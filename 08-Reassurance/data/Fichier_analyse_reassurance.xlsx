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GC\Desktop\Cours actuariat\M2\Réassurance\"/>
    </mc:Choice>
  </mc:AlternateContent>
  <xr:revisionPtr revIDLastSave="0" documentId="13_ncr:1_{9691892F-3DD9-40BF-B2EC-2C4BE1C706F5}" xr6:coauthVersionLast="47" xr6:coauthVersionMax="47" xr10:uidLastSave="{00000000-0000-0000-0000-000000000000}"/>
  <bookViews>
    <workbookView xWindow="0" yWindow="300" windowWidth="23256" windowHeight="12576" firstSheet="3" activeTab="6" xr2:uid="{DB8C3A53-6B4B-4D89-8267-4CEEF31BB4D7}"/>
  </bookViews>
  <sheets>
    <sheet name="Exposure" sheetId="2" r:id="rId1"/>
    <sheet name="Cum. payments" sheetId="3" r:id="rId2"/>
    <sheet name="Outstanding loss reserves" sheetId="4" r:id="rId3"/>
    <sheet name="Incurred_loss" sheetId="6" r:id="rId4"/>
    <sheet name="BC_without_index" sheetId="5" r:id="rId5"/>
    <sheet name="BC_with_index" sheetId="8" r:id="rId6"/>
    <sheet name="XL_Pure_Premium" sheetId="10" r:id="rId7"/>
    <sheet name="Comparaison_BC_Pareto" sheetId="20" r:id="rId8"/>
    <sheet name="Patterns" sheetId="12" r:id="rId9"/>
    <sheet name="Stability_Clause" sheetId="14" r:id="rId10"/>
    <sheet name="Com_Premium" sheetId="13" r:id="rId11"/>
    <sheet name="Stability_Patterns" sheetId="15" r:id="rId12"/>
    <sheet name="Stability_Com_Premium" sheetId="16" r:id="rId13"/>
    <sheet name="Sensitivity_to_CoC" sheetId="18" r:id="rId14"/>
    <sheet name="Sensitivity_To_SI_Inflation" sheetId="19" r:id="rId15"/>
  </sheets>
  <definedNames>
    <definedName name="solver_adj" localSheetId="10" hidden="1">Com_Premium!$V$15</definedName>
    <definedName name="solver_adj" localSheetId="13" hidden="1">Sensitivity_to_CoC!$V$15</definedName>
    <definedName name="solver_adj" localSheetId="14" hidden="1">Sensitivity_To_SI_Inflation!$V$15</definedName>
    <definedName name="solver_adj" localSheetId="12" hidden="1">Stability_Com_Premium!$D$14</definedName>
    <definedName name="solver_cvg" localSheetId="10" hidden="1">0.0001</definedName>
    <definedName name="solver_cvg" localSheetId="13" hidden="1">0.0001</definedName>
    <definedName name="solver_cvg" localSheetId="14" hidden="1">0.0001</definedName>
    <definedName name="solver_cvg" localSheetId="12" hidden="1">0.0001</definedName>
    <definedName name="solver_drv" localSheetId="10" hidden="1">1</definedName>
    <definedName name="solver_drv" localSheetId="13" hidden="1">1</definedName>
    <definedName name="solver_drv" localSheetId="14" hidden="1">1</definedName>
    <definedName name="solver_drv" localSheetId="12" hidden="1">1</definedName>
    <definedName name="solver_eng" localSheetId="10" hidden="1">1</definedName>
    <definedName name="solver_eng" localSheetId="13" hidden="1">1</definedName>
    <definedName name="solver_eng" localSheetId="14" hidden="1">1</definedName>
    <definedName name="solver_eng" localSheetId="12" hidden="1">1</definedName>
    <definedName name="solver_est" localSheetId="10" hidden="1">1</definedName>
    <definedName name="solver_est" localSheetId="13" hidden="1">1</definedName>
    <definedName name="solver_est" localSheetId="14" hidden="1">1</definedName>
    <definedName name="solver_est" localSheetId="12" hidden="1">1</definedName>
    <definedName name="solver_itr" localSheetId="10" hidden="1">2147483647</definedName>
    <definedName name="solver_itr" localSheetId="13" hidden="1">2147483647</definedName>
    <definedName name="solver_itr" localSheetId="14" hidden="1">2147483647</definedName>
    <definedName name="solver_itr" localSheetId="12" hidden="1">2147483647</definedName>
    <definedName name="solver_lhs1" localSheetId="10" hidden="1">Com_Premium!$V$15</definedName>
    <definedName name="solver_lhs1" localSheetId="13" hidden="1">Sensitivity_to_CoC!$V$15</definedName>
    <definedName name="solver_lhs1" localSheetId="14" hidden="1">Sensitivity_To_SI_Inflation!$V$15</definedName>
    <definedName name="solver_lhs1" localSheetId="12" hidden="1">Stability_Com_Premium!$D$14</definedName>
    <definedName name="solver_mip" localSheetId="10" hidden="1">2147483647</definedName>
    <definedName name="solver_mip" localSheetId="13" hidden="1">2147483647</definedName>
    <definedName name="solver_mip" localSheetId="14" hidden="1">2147483647</definedName>
    <definedName name="solver_mip" localSheetId="12" hidden="1">2147483647</definedName>
    <definedName name="solver_mni" localSheetId="10" hidden="1">30</definedName>
    <definedName name="solver_mni" localSheetId="13" hidden="1">30</definedName>
    <definedName name="solver_mni" localSheetId="14" hidden="1">30</definedName>
    <definedName name="solver_mni" localSheetId="12" hidden="1">30</definedName>
    <definedName name="solver_mrt" localSheetId="10" hidden="1">0.075</definedName>
    <definedName name="solver_mrt" localSheetId="13" hidden="1">0.075</definedName>
    <definedName name="solver_mrt" localSheetId="14" hidden="1">0.075</definedName>
    <definedName name="solver_mrt" localSheetId="12" hidden="1">0.075</definedName>
    <definedName name="solver_msl" localSheetId="10" hidden="1">2</definedName>
    <definedName name="solver_msl" localSheetId="13" hidden="1">2</definedName>
    <definedName name="solver_msl" localSheetId="14" hidden="1">2</definedName>
    <definedName name="solver_msl" localSheetId="12" hidden="1">2</definedName>
    <definedName name="solver_neg" localSheetId="10" hidden="1">1</definedName>
    <definedName name="solver_neg" localSheetId="13" hidden="1">1</definedName>
    <definedName name="solver_neg" localSheetId="14" hidden="1">1</definedName>
    <definedName name="solver_neg" localSheetId="12" hidden="1">1</definedName>
    <definedName name="solver_nod" localSheetId="10" hidden="1">2147483647</definedName>
    <definedName name="solver_nod" localSheetId="13" hidden="1">2147483647</definedName>
    <definedName name="solver_nod" localSheetId="14" hidden="1">2147483647</definedName>
    <definedName name="solver_nod" localSheetId="12" hidden="1">2147483647</definedName>
    <definedName name="solver_num" localSheetId="10" hidden="1">1</definedName>
    <definedName name="solver_num" localSheetId="13" hidden="1">1</definedName>
    <definedName name="solver_num" localSheetId="14" hidden="1">1</definedName>
    <definedName name="solver_num" localSheetId="12" hidden="1">1</definedName>
    <definedName name="solver_nwt" localSheetId="10" hidden="1">1</definedName>
    <definedName name="solver_nwt" localSheetId="13" hidden="1">1</definedName>
    <definedName name="solver_nwt" localSheetId="14" hidden="1">1</definedName>
    <definedName name="solver_nwt" localSheetId="12" hidden="1">1</definedName>
    <definedName name="solver_opt" localSheetId="10" hidden="1">Com_Premium!$V$27</definedName>
    <definedName name="solver_opt" localSheetId="13" hidden="1">Sensitivity_to_CoC!$V$27</definedName>
    <definedName name="solver_opt" localSheetId="14" hidden="1">Sensitivity_To_SI_Inflation!$V$27</definedName>
    <definedName name="solver_opt" localSheetId="12" hidden="1">Stability_Com_Premium!$D$26</definedName>
    <definedName name="solver_pre" localSheetId="10" hidden="1">0.000001</definedName>
    <definedName name="solver_pre" localSheetId="13" hidden="1">0.000001</definedName>
    <definedName name="solver_pre" localSheetId="14" hidden="1">0.000001</definedName>
    <definedName name="solver_pre" localSheetId="12" hidden="1">0.000001</definedName>
    <definedName name="solver_rbv" localSheetId="10" hidden="1">1</definedName>
    <definedName name="solver_rbv" localSheetId="13" hidden="1">1</definedName>
    <definedName name="solver_rbv" localSheetId="14" hidden="1">1</definedName>
    <definedName name="solver_rbv" localSheetId="12" hidden="1">1</definedName>
    <definedName name="solver_rel1" localSheetId="10" hidden="1">3</definedName>
    <definedName name="solver_rel1" localSheetId="13" hidden="1">3</definedName>
    <definedName name="solver_rel1" localSheetId="14" hidden="1">3</definedName>
    <definedName name="solver_rel1" localSheetId="12" hidden="1">3</definedName>
    <definedName name="solver_rhs1" localSheetId="10" hidden="1">0</definedName>
    <definedName name="solver_rhs1" localSheetId="13" hidden="1">0</definedName>
    <definedName name="solver_rhs1" localSheetId="14" hidden="1">0</definedName>
    <definedName name="solver_rhs1" localSheetId="12" hidden="1">0</definedName>
    <definedName name="solver_rlx" localSheetId="10" hidden="1">2</definedName>
    <definedName name="solver_rlx" localSheetId="13" hidden="1">2</definedName>
    <definedName name="solver_rlx" localSheetId="14" hidden="1">2</definedName>
    <definedName name="solver_rlx" localSheetId="12" hidden="1">2</definedName>
    <definedName name="solver_rsd" localSheetId="10" hidden="1">0</definedName>
    <definedName name="solver_rsd" localSheetId="13" hidden="1">0</definedName>
    <definedName name="solver_rsd" localSheetId="14" hidden="1">0</definedName>
    <definedName name="solver_rsd" localSheetId="12" hidden="1">0</definedName>
    <definedName name="solver_scl" localSheetId="10" hidden="1">1</definedName>
    <definedName name="solver_scl" localSheetId="13" hidden="1">1</definedName>
    <definedName name="solver_scl" localSheetId="14" hidden="1">1</definedName>
    <definedName name="solver_scl" localSheetId="12" hidden="1">1</definedName>
    <definedName name="solver_sho" localSheetId="10" hidden="1">2</definedName>
    <definedName name="solver_sho" localSheetId="13" hidden="1">2</definedName>
    <definedName name="solver_sho" localSheetId="14" hidden="1">2</definedName>
    <definedName name="solver_sho" localSheetId="12" hidden="1">2</definedName>
    <definedName name="solver_ssz" localSheetId="10" hidden="1">100</definedName>
    <definedName name="solver_ssz" localSheetId="13" hidden="1">100</definedName>
    <definedName name="solver_ssz" localSheetId="14" hidden="1">100</definedName>
    <definedName name="solver_ssz" localSheetId="12" hidden="1">100</definedName>
    <definedName name="solver_tim" localSheetId="10" hidden="1">2147483647</definedName>
    <definedName name="solver_tim" localSheetId="13" hidden="1">2147483647</definedName>
    <definedName name="solver_tim" localSheetId="14" hidden="1">2147483647</definedName>
    <definedName name="solver_tim" localSheetId="12" hidden="1">2147483647</definedName>
    <definedName name="solver_tol" localSheetId="10" hidden="1">0.01</definedName>
    <definedName name="solver_tol" localSheetId="13" hidden="1">0.01</definedName>
    <definedName name="solver_tol" localSheetId="14" hidden="1">0.01</definedName>
    <definedName name="solver_tol" localSheetId="12" hidden="1">0.01</definedName>
    <definedName name="solver_typ" localSheetId="10" hidden="1">3</definedName>
    <definedName name="solver_typ" localSheetId="13" hidden="1">3</definedName>
    <definedName name="solver_typ" localSheetId="14" hidden="1">3</definedName>
    <definedName name="solver_typ" localSheetId="12" hidden="1">3</definedName>
    <definedName name="solver_val" localSheetId="10" hidden="1">0</definedName>
    <definedName name="solver_val" localSheetId="13" hidden="1">0</definedName>
    <definedName name="solver_val" localSheetId="14" hidden="1">0</definedName>
    <definedName name="solver_val" localSheetId="12" hidden="1">0</definedName>
    <definedName name="solver_ver" localSheetId="10" hidden="1">3</definedName>
    <definedName name="solver_ver" localSheetId="13" hidden="1">3</definedName>
    <definedName name="solver_ver" localSheetId="14" hidden="1">3</definedName>
    <definedName name="solver_ver" localSheetId="12" hidden="1">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124" i="10" l="1"/>
  <c r="AC124" i="10"/>
  <c r="T125" i="10"/>
  <c r="T124" i="10"/>
  <c r="H127" i="10"/>
  <c r="Q122" i="5" l="1"/>
  <c r="Q122" i="8"/>
  <c r="N125" i="10"/>
  <c r="M125" i="10"/>
  <c r="D37" i="13"/>
  <c r="V17" i="19"/>
  <c r="D17" i="19"/>
  <c r="V17" i="18"/>
  <c r="D17" i="18"/>
  <c r="V17" i="13"/>
  <c r="D17" i="13"/>
  <c r="V18" i="13"/>
  <c r="V18" i="18"/>
  <c r="C38" i="16"/>
  <c r="B38" i="16"/>
  <c r="D16" i="16"/>
  <c r="C4" i="14"/>
  <c r="B5" i="14"/>
  <c r="B4" i="14"/>
  <c r="H8" i="2"/>
  <c r="H7" i="2"/>
  <c r="P5" i="5"/>
  <c r="AU119" i="12"/>
  <c r="AC119" i="12"/>
  <c r="AE31" i="19"/>
  <c r="AD31" i="19"/>
  <c r="AC31" i="19"/>
  <c r="AB31" i="19"/>
  <c r="AA31" i="19"/>
  <c r="Z31" i="19"/>
  <c r="Y31" i="19"/>
  <c r="X31" i="19"/>
  <c r="Y20" i="19" s="1"/>
  <c r="W31" i="19"/>
  <c r="X20" i="19" s="1"/>
  <c r="M31" i="19"/>
  <c r="L31" i="19"/>
  <c r="K31" i="19"/>
  <c r="J31" i="19"/>
  <c r="I31" i="19"/>
  <c r="H31" i="19"/>
  <c r="G31" i="19"/>
  <c r="H20" i="19" s="1"/>
  <c r="F31" i="19"/>
  <c r="G20" i="19" s="1"/>
  <c r="E31" i="19"/>
  <c r="V22" i="19"/>
  <c r="D22" i="19"/>
  <c r="AE20" i="19"/>
  <c r="AD20" i="19"/>
  <c r="AC20" i="19"/>
  <c r="AB20" i="19"/>
  <c r="AA20" i="19"/>
  <c r="Z20" i="19"/>
  <c r="M20" i="19"/>
  <c r="L20" i="19"/>
  <c r="K20" i="19"/>
  <c r="J20" i="19"/>
  <c r="I20" i="19"/>
  <c r="F20" i="19"/>
  <c r="AC14" i="19"/>
  <c r="W14" i="19"/>
  <c r="K14" i="19"/>
  <c r="L14" i="19" s="1"/>
  <c r="E14" i="19"/>
  <c r="AE8" i="19"/>
  <c r="AD8" i="19"/>
  <c r="AC8" i="19"/>
  <c r="AB8" i="19"/>
  <c r="AA8" i="19"/>
  <c r="Z8" i="19"/>
  <c r="Y8" i="19"/>
  <c r="X8" i="19"/>
  <c r="W8" i="19"/>
  <c r="M8" i="19"/>
  <c r="L8" i="19"/>
  <c r="K8" i="19"/>
  <c r="J8" i="19"/>
  <c r="I8" i="19"/>
  <c r="H8" i="19"/>
  <c r="G8" i="19"/>
  <c r="F8" i="19"/>
  <c r="E8" i="19"/>
  <c r="AE31" i="18"/>
  <c r="AD31" i="18"/>
  <c r="AE20" i="18" s="1"/>
  <c r="AC31" i="18"/>
  <c r="AB31" i="18"/>
  <c r="AA31" i="18"/>
  <c r="Z31" i="18"/>
  <c r="Y31" i="18"/>
  <c r="X31" i="18"/>
  <c r="W31" i="18"/>
  <c r="M31" i="18"/>
  <c r="L31" i="18"/>
  <c r="K31" i="18"/>
  <c r="J31" i="18"/>
  <c r="I31" i="18"/>
  <c r="H31" i="18"/>
  <c r="G31" i="18"/>
  <c r="F31" i="18"/>
  <c r="E31" i="18"/>
  <c r="F20" i="18" s="1"/>
  <c r="V22" i="18"/>
  <c r="D22" i="18"/>
  <c r="AD20" i="18"/>
  <c r="AC20" i="18"/>
  <c r="AB20" i="18"/>
  <c r="AA20" i="18"/>
  <c r="Z20" i="18"/>
  <c r="Y20" i="18"/>
  <c r="X20" i="18"/>
  <c r="M20" i="18"/>
  <c r="L20" i="18"/>
  <c r="K20" i="18"/>
  <c r="J20" i="18"/>
  <c r="I20" i="18"/>
  <c r="H20" i="18"/>
  <c r="G20" i="18"/>
  <c r="AC14" i="18"/>
  <c r="W14" i="18"/>
  <c r="K14" i="18"/>
  <c r="E14" i="18"/>
  <c r="AE8" i="18"/>
  <c r="AD8" i="18"/>
  <c r="AC8" i="18"/>
  <c r="AB8" i="18"/>
  <c r="AA8" i="18"/>
  <c r="Z8" i="18"/>
  <c r="Y8" i="18"/>
  <c r="X8" i="18"/>
  <c r="W8" i="18"/>
  <c r="M8" i="18"/>
  <c r="L8" i="18"/>
  <c r="K8" i="18"/>
  <c r="J8" i="18"/>
  <c r="I8" i="18"/>
  <c r="H8" i="18"/>
  <c r="G8" i="18"/>
  <c r="F8" i="18"/>
  <c r="E8" i="18"/>
  <c r="AE30" i="16"/>
  <c r="AD30" i="16"/>
  <c r="AC30" i="16"/>
  <c r="AB30" i="16"/>
  <c r="AA30" i="16"/>
  <c r="Z30" i="16"/>
  <c r="Y30" i="16"/>
  <c r="X30" i="16"/>
  <c r="W30" i="16"/>
  <c r="M30" i="16"/>
  <c r="L30" i="16"/>
  <c r="K30" i="16"/>
  <c r="J30" i="16"/>
  <c r="I30" i="16"/>
  <c r="H30" i="16"/>
  <c r="G30" i="16"/>
  <c r="F30" i="16"/>
  <c r="E30" i="16"/>
  <c r="V21" i="16"/>
  <c r="D21" i="16"/>
  <c r="AE19" i="16"/>
  <c r="AD19" i="16"/>
  <c r="AC19" i="16"/>
  <c r="AB19" i="16"/>
  <c r="AA19" i="16"/>
  <c r="Z19" i="16"/>
  <c r="Y19" i="16"/>
  <c r="X19" i="16"/>
  <c r="M19" i="16"/>
  <c r="L19" i="16"/>
  <c r="K19" i="16"/>
  <c r="J19" i="16"/>
  <c r="I19" i="16"/>
  <c r="H19" i="16"/>
  <c r="G19" i="16"/>
  <c r="F19" i="16"/>
  <c r="AC13" i="16"/>
  <c r="W13" i="16"/>
  <c r="K13" i="16"/>
  <c r="E13" i="16"/>
  <c r="AE7" i="16"/>
  <c r="AD7" i="16"/>
  <c r="AC7" i="16"/>
  <c r="AB7" i="16"/>
  <c r="AA7" i="16"/>
  <c r="Z7" i="16"/>
  <c r="Y7" i="16"/>
  <c r="X7" i="16"/>
  <c r="W7" i="16"/>
  <c r="M7" i="16"/>
  <c r="L7" i="16"/>
  <c r="K7" i="16"/>
  <c r="J7" i="16"/>
  <c r="I7" i="16"/>
  <c r="H7" i="16"/>
  <c r="G7" i="16"/>
  <c r="F7" i="16"/>
  <c r="E7" i="16"/>
  <c r="AJ5" i="15"/>
  <c r="AI5" i="15"/>
  <c r="AH6" i="15"/>
  <c r="AH7" i="15"/>
  <c r="AH8" i="15"/>
  <c r="AH9" i="15"/>
  <c r="AH10" i="15"/>
  <c r="AH22" i="15"/>
  <c r="AH23" i="15"/>
  <c r="AH24" i="15"/>
  <c r="AH25" i="15"/>
  <c r="AH5" i="15"/>
  <c r="R5" i="15"/>
  <c r="Q5" i="15"/>
  <c r="P6" i="15"/>
  <c r="P7" i="15"/>
  <c r="P8" i="15"/>
  <c r="P9" i="15"/>
  <c r="P10" i="15"/>
  <c r="P22" i="15"/>
  <c r="P23" i="15"/>
  <c r="P24" i="15"/>
  <c r="P25" i="15"/>
  <c r="P5" i="15"/>
  <c r="AL122" i="15"/>
  <c r="T122" i="15"/>
  <c r="AM109" i="15"/>
  <c r="C108" i="15"/>
  <c r="C107" i="15"/>
  <c r="C106" i="15"/>
  <c r="C105" i="15"/>
  <c r="C104" i="15"/>
  <c r="C103" i="15"/>
  <c r="C102" i="15"/>
  <c r="C101" i="15"/>
  <c r="C100" i="15"/>
  <c r="C99" i="15"/>
  <c r="C98" i="15"/>
  <c r="C97" i="15"/>
  <c r="C96" i="15"/>
  <c r="C95" i="15"/>
  <c r="C94" i="15"/>
  <c r="C93" i="15"/>
  <c r="C92" i="15"/>
  <c r="C91" i="15"/>
  <c r="C90" i="15"/>
  <c r="C89" i="15"/>
  <c r="C88" i="15"/>
  <c r="C87" i="15"/>
  <c r="C86" i="15"/>
  <c r="C85" i="15"/>
  <c r="C84" i="15"/>
  <c r="C83" i="15"/>
  <c r="C82" i="15"/>
  <c r="C81" i="15"/>
  <c r="C8" i="15"/>
  <c r="C7" i="15"/>
  <c r="C6" i="15"/>
  <c r="C5" i="15"/>
  <c r="K5" i="14"/>
  <c r="O5" i="14" s="1"/>
  <c r="K6" i="14"/>
  <c r="O6" i="14" s="1"/>
  <c r="K7" i="14"/>
  <c r="O7" i="14" s="1"/>
  <c r="K8" i="14"/>
  <c r="O8" i="14" s="1"/>
  <c r="K9" i="14"/>
  <c r="O9" i="14" s="1"/>
  <c r="K10" i="14"/>
  <c r="O10" i="14" s="1"/>
  <c r="K11" i="14"/>
  <c r="O11" i="14" s="1"/>
  <c r="K12" i="14"/>
  <c r="O12" i="14" s="1"/>
  <c r="K13" i="14"/>
  <c r="O13" i="14" s="1"/>
  <c r="K14" i="14"/>
  <c r="O14" i="14" s="1"/>
  <c r="K15" i="14"/>
  <c r="O15" i="14" s="1"/>
  <c r="K16" i="14"/>
  <c r="O16" i="14" s="1"/>
  <c r="K17" i="14"/>
  <c r="O17" i="14" s="1"/>
  <c r="K18" i="14"/>
  <c r="O18" i="14" s="1"/>
  <c r="K20" i="14"/>
  <c r="O20" i="14" s="1"/>
  <c r="K21" i="14"/>
  <c r="N21" i="14" s="1"/>
  <c r="K22" i="14"/>
  <c r="N22" i="14" s="1"/>
  <c r="K23" i="14"/>
  <c r="O23" i="14" s="1"/>
  <c r="K24" i="14"/>
  <c r="O24" i="14" s="1"/>
  <c r="K25" i="14"/>
  <c r="O25" i="14" s="1"/>
  <c r="K26" i="14"/>
  <c r="O26" i="14" s="1"/>
  <c r="K27" i="14"/>
  <c r="O27" i="14" s="1"/>
  <c r="K28" i="14"/>
  <c r="O28" i="14" s="1"/>
  <c r="K29" i="14"/>
  <c r="N29" i="14" s="1"/>
  <c r="K30" i="14"/>
  <c r="N30" i="14" s="1"/>
  <c r="K31" i="14"/>
  <c r="O31" i="14" s="1"/>
  <c r="K33" i="14"/>
  <c r="O33" i="14" s="1"/>
  <c r="K34" i="14"/>
  <c r="O34" i="14" s="1"/>
  <c r="K35" i="14"/>
  <c r="O35" i="14" s="1"/>
  <c r="K36" i="14"/>
  <c r="O36" i="14" s="1"/>
  <c r="K37" i="14"/>
  <c r="O37" i="14" s="1"/>
  <c r="K38" i="14"/>
  <c r="O38" i="14" s="1"/>
  <c r="K39" i="14"/>
  <c r="O39" i="14" s="1"/>
  <c r="K40" i="14"/>
  <c r="O40" i="14" s="1"/>
  <c r="K41" i="14"/>
  <c r="O41" i="14" s="1"/>
  <c r="K42" i="14"/>
  <c r="O42" i="14" s="1"/>
  <c r="K44" i="14"/>
  <c r="O44" i="14" s="1"/>
  <c r="K45" i="14"/>
  <c r="O45" i="14" s="1"/>
  <c r="K46" i="14"/>
  <c r="O46" i="14" s="1"/>
  <c r="K47" i="14"/>
  <c r="N47" i="14" s="1"/>
  <c r="K48" i="14"/>
  <c r="N48" i="14" s="1"/>
  <c r="K49" i="14"/>
  <c r="O49" i="14" s="1"/>
  <c r="K50" i="14"/>
  <c r="O50" i="14" s="1"/>
  <c r="K51" i="14"/>
  <c r="O51" i="14" s="1"/>
  <c r="K52" i="14"/>
  <c r="O52" i="14" s="1"/>
  <c r="K53" i="14"/>
  <c r="O53" i="14" s="1"/>
  <c r="K54" i="14"/>
  <c r="O54" i="14" s="1"/>
  <c r="K55" i="14"/>
  <c r="N55" i="14" s="1"/>
  <c r="K56" i="14"/>
  <c r="N56" i="14" s="1"/>
  <c r="K57" i="14"/>
  <c r="O57" i="14" s="1"/>
  <c r="K59" i="14"/>
  <c r="O59" i="14" s="1"/>
  <c r="K60" i="14"/>
  <c r="O60" i="14" s="1"/>
  <c r="K61" i="14"/>
  <c r="O61" i="14" s="1"/>
  <c r="K62" i="14"/>
  <c r="O62" i="14" s="1"/>
  <c r="K63" i="14"/>
  <c r="O63" i="14" s="1"/>
  <c r="K65" i="14"/>
  <c r="N65" i="14" s="1"/>
  <c r="K66" i="14"/>
  <c r="N66" i="14" s="1"/>
  <c r="K67" i="14"/>
  <c r="O67" i="14" s="1"/>
  <c r="K68" i="14"/>
  <c r="O68" i="14" s="1"/>
  <c r="K69" i="14"/>
  <c r="O69" i="14" s="1"/>
  <c r="K70" i="14"/>
  <c r="O70" i="14" s="1"/>
  <c r="K71" i="14"/>
  <c r="O71" i="14" s="1"/>
  <c r="K72" i="14"/>
  <c r="O72" i="14" s="1"/>
  <c r="K73" i="14"/>
  <c r="O73" i="14" s="1"/>
  <c r="K75" i="14"/>
  <c r="O75" i="14" s="1"/>
  <c r="K76" i="14"/>
  <c r="O76" i="14" s="1"/>
  <c r="K77" i="14"/>
  <c r="O77" i="14" s="1"/>
  <c r="K78" i="14"/>
  <c r="O78" i="14" s="1"/>
  <c r="K79" i="14"/>
  <c r="O79" i="14" s="1"/>
  <c r="K81" i="14"/>
  <c r="O81" i="14" s="1"/>
  <c r="K82" i="14"/>
  <c r="O82" i="14" s="1"/>
  <c r="K83" i="14"/>
  <c r="N83" i="14" s="1"/>
  <c r="K84" i="14"/>
  <c r="N84" i="14" s="1"/>
  <c r="K85" i="14"/>
  <c r="O85" i="14" s="1"/>
  <c r="K86" i="14"/>
  <c r="O86" i="14" s="1"/>
  <c r="K87" i="14"/>
  <c r="O87" i="14" s="1"/>
  <c r="K88" i="14"/>
  <c r="O88" i="14" s="1"/>
  <c r="K89" i="14"/>
  <c r="O89" i="14" s="1"/>
  <c r="K90" i="14"/>
  <c r="O90" i="14" s="1"/>
  <c r="K91" i="14"/>
  <c r="N91" i="14" s="1"/>
  <c r="K92" i="14"/>
  <c r="N92" i="14" s="1"/>
  <c r="K93" i="14"/>
  <c r="O93" i="14" s="1"/>
  <c r="K94" i="14"/>
  <c r="O94" i="14" s="1"/>
  <c r="K95" i="14"/>
  <c r="O95" i="14" s="1"/>
  <c r="K97" i="14"/>
  <c r="O97" i="14" s="1"/>
  <c r="K98" i="14"/>
  <c r="O98" i="14" s="1"/>
  <c r="K99" i="14"/>
  <c r="O99" i="14" s="1"/>
  <c r="K100" i="14"/>
  <c r="N100" i="14" s="1"/>
  <c r="K101" i="14"/>
  <c r="N101" i="14" s="1"/>
  <c r="K102" i="14"/>
  <c r="O102" i="14" s="1"/>
  <c r="K103" i="14"/>
  <c r="O103" i="14" s="1"/>
  <c r="K104" i="14"/>
  <c r="O104" i="14" s="1"/>
  <c r="K105" i="14"/>
  <c r="O105" i="14" s="1"/>
  <c r="K106" i="14"/>
  <c r="O106" i="14" s="1"/>
  <c r="K107" i="14"/>
  <c r="O107" i="14" s="1"/>
  <c r="K108" i="14"/>
  <c r="O108" i="14" s="1"/>
  <c r="K110" i="14"/>
  <c r="O110" i="14" s="1"/>
  <c r="K111" i="14"/>
  <c r="O111" i="14" s="1"/>
  <c r="K112" i="14"/>
  <c r="O112" i="14" s="1"/>
  <c r="K113" i="14"/>
  <c r="O113" i="14" s="1"/>
  <c r="K114" i="14"/>
  <c r="O114" i="14" s="1"/>
  <c r="K115" i="14"/>
  <c r="O115" i="14" s="1"/>
  <c r="K116" i="14"/>
  <c r="O116" i="14" s="1"/>
  <c r="K117" i="14"/>
  <c r="N117" i="14" s="1"/>
  <c r="J118" i="14"/>
  <c r="B6" i="14"/>
  <c r="B7" i="14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A9" i="14"/>
  <c r="AC14" i="13"/>
  <c r="X31" i="13"/>
  <c r="AE31" i="13"/>
  <c r="AD31" i="13"/>
  <c r="AC31" i="13"/>
  <c r="AD20" i="13" s="1"/>
  <c r="AB31" i="13"/>
  <c r="AC20" i="13" s="1"/>
  <c r="AA31" i="13"/>
  <c r="Z31" i="13"/>
  <c r="Y31" i="13"/>
  <c r="Z20" i="13" s="1"/>
  <c r="W31" i="13"/>
  <c r="V22" i="13"/>
  <c r="AE20" i="13"/>
  <c r="AB20" i="13"/>
  <c r="AA20" i="13"/>
  <c r="X20" i="13"/>
  <c r="W14" i="13"/>
  <c r="AE8" i="13"/>
  <c r="AD8" i="13"/>
  <c r="AC8" i="13"/>
  <c r="AB8" i="13"/>
  <c r="AA8" i="13"/>
  <c r="Z8" i="13"/>
  <c r="Y8" i="13"/>
  <c r="X8" i="13"/>
  <c r="W8" i="13"/>
  <c r="D22" i="13"/>
  <c r="F8" i="13"/>
  <c r="G8" i="13"/>
  <c r="H8" i="13"/>
  <c r="I8" i="13"/>
  <c r="J8" i="13"/>
  <c r="K8" i="13"/>
  <c r="L8" i="13"/>
  <c r="M8" i="13"/>
  <c r="E8" i="13"/>
  <c r="F31" i="13"/>
  <c r="G20" i="13" s="1"/>
  <c r="G31" i="13"/>
  <c r="H31" i="13"/>
  <c r="I20" i="13" s="1"/>
  <c r="I31" i="13"/>
  <c r="J20" i="13" s="1"/>
  <c r="J31" i="13"/>
  <c r="K20" i="13" s="1"/>
  <c r="K31" i="13"/>
  <c r="L20" i="13" s="1"/>
  <c r="L31" i="13"/>
  <c r="M20" i="13" s="1"/>
  <c r="M31" i="13"/>
  <c r="E31" i="13"/>
  <c r="F20" i="13" s="1"/>
  <c r="K14" i="13"/>
  <c r="L14" i="13" s="1"/>
  <c r="M14" i="13" s="1"/>
  <c r="E14" i="13"/>
  <c r="AL122" i="12"/>
  <c r="T122" i="12"/>
  <c r="AM109" i="12"/>
  <c r="U109" i="12"/>
  <c r="C93" i="12"/>
  <c r="C94" i="12"/>
  <c r="C95" i="12"/>
  <c r="C96" i="12"/>
  <c r="C97" i="12"/>
  <c r="C98" i="12"/>
  <c r="C99" i="12"/>
  <c r="C100" i="12"/>
  <c r="C101" i="12"/>
  <c r="C102" i="12"/>
  <c r="C103" i="12"/>
  <c r="C104" i="12"/>
  <c r="C105" i="12"/>
  <c r="C106" i="12"/>
  <c r="C107" i="12"/>
  <c r="C108" i="12"/>
  <c r="C81" i="12"/>
  <c r="C82" i="12"/>
  <c r="C83" i="12"/>
  <c r="C84" i="12"/>
  <c r="C85" i="12"/>
  <c r="C86" i="12"/>
  <c r="C87" i="12"/>
  <c r="C88" i="12"/>
  <c r="C89" i="12"/>
  <c r="C90" i="12"/>
  <c r="C91" i="12"/>
  <c r="C92" i="12"/>
  <c r="C6" i="12"/>
  <c r="C7" i="12"/>
  <c r="C8" i="12"/>
  <c r="C5" i="12"/>
  <c r="H132" i="10"/>
  <c r="H133" i="10" s="1"/>
  <c r="H125" i="10"/>
  <c r="P126" i="10"/>
  <c r="AC134" i="10"/>
  <c r="AC119" i="10"/>
  <c r="S6" i="10"/>
  <c r="S7" i="10"/>
  <c r="S8" i="10"/>
  <c r="S81" i="10"/>
  <c r="S82" i="10"/>
  <c r="S83" i="10"/>
  <c r="S84" i="10"/>
  <c r="S85" i="10"/>
  <c r="S86" i="10"/>
  <c r="S87" i="10"/>
  <c r="S88" i="10"/>
  <c r="S89" i="10"/>
  <c r="S90" i="10"/>
  <c r="S91" i="10"/>
  <c r="S92" i="10"/>
  <c r="S93" i="10"/>
  <c r="S94" i="10"/>
  <c r="S95" i="10"/>
  <c r="S96" i="10"/>
  <c r="S97" i="10"/>
  <c r="S98" i="10"/>
  <c r="S99" i="10"/>
  <c r="S100" i="10"/>
  <c r="S101" i="10"/>
  <c r="S102" i="10"/>
  <c r="S5" i="10"/>
  <c r="O26" i="5"/>
  <c r="O27" i="5"/>
  <c r="O28" i="5"/>
  <c r="O29" i="5"/>
  <c r="O30" i="5"/>
  <c r="O31" i="5"/>
  <c r="O32" i="5"/>
  <c r="D108" i="10"/>
  <c r="D107" i="10"/>
  <c r="D106" i="10"/>
  <c r="D105" i="10"/>
  <c r="D104" i="10"/>
  <c r="D102" i="10"/>
  <c r="D101" i="10"/>
  <c r="D100" i="10"/>
  <c r="D99" i="10"/>
  <c r="D98" i="10"/>
  <c r="D97" i="10"/>
  <c r="D96" i="10"/>
  <c r="D95" i="10"/>
  <c r="D94" i="10"/>
  <c r="D93" i="10"/>
  <c r="D92" i="10"/>
  <c r="D91" i="10"/>
  <c r="D90" i="10"/>
  <c r="D89" i="10"/>
  <c r="D88" i="10"/>
  <c r="D87" i="10"/>
  <c r="D86" i="10"/>
  <c r="D85" i="10"/>
  <c r="D84" i="10"/>
  <c r="D83" i="10"/>
  <c r="D82" i="10"/>
  <c r="D81" i="10"/>
  <c r="D8" i="10"/>
  <c r="D7" i="10"/>
  <c r="D6" i="10"/>
  <c r="D5" i="10"/>
  <c r="T118" i="8"/>
  <c r="S118" i="8"/>
  <c r="T117" i="8"/>
  <c r="S117" i="8"/>
  <c r="T116" i="8"/>
  <c r="S116" i="8"/>
  <c r="T115" i="8"/>
  <c r="S115" i="8"/>
  <c r="T114" i="8"/>
  <c r="S114" i="8"/>
  <c r="T113" i="8"/>
  <c r="S113" i="8"/>
  <c r="T112" i="8"/>
  <c r="S112" i="8"/>
  <c r="T111" i="8"/>
  <c r="S111" i="8"/>
  <c r="T109" i="8"/>
  <c r="S109" i="8"/>
  <c r="T108" i="8"/>
  <c r="S108" i="8"/>
  <c r="D108" i="8"/>
  <c r="I107" i="14" s="1"/>
  <c r="T107" i="8"/>
  <c r="S107" i="8"/>
  <c r="D107" i="8"/>
  <c r="I106" i="14" s="1"/>
  <c r="T106" i="8"/>
  <c r="S106" i="8"/>
  <c r="D106" i="8"/>
  <c r="I105" i="14" s="1"/>
  <c r="T105" i="8"/>
  <c r="S105" i="8"/>
  <c r="D105" i="8"/>
  <c r="I104" i="14" s="1"/>
  <c r="T104" i="8"/>
  <c r="S104" i="8"/>
  <c r="D104" i="8"/>
  <c r="I103" i="14" s="1"/>
  <c r="T103" i="8"/>
  <c r="S103" i="8"/>
  <c r="D103" i="8"/>
  <c r="I102" i="14" s="1"/>
  <c r="T102" i="8"/>
  <c r="S102" i="8"/>
  <c r="D102" i="8"/>
  <c r="T101" i="8"/>
  <c r="S101" i="8"/>
  <c r="D101" i="8"/>
  <c r="I100" i="14" s="1"/>
  <c r="T100" i="8"/>
  <c r="S100" i="8"/>
  <c r="D100" i="8"/>
  <c r="I99" i="14" s="1"/>
  <c r="T99" i="8"/>
  <c r="S99" i="8"/>
  <c r="D99" i="8"/>
  <c r="I98" i="14" s="1"/>
  <c r="T98" i="8"/>
  <c r="S98" i="8"/>
  <c r="D98" i="8"/>
  <c r="I97" i="14" s="1"/>
  <c r="D97" i="8"/>
  <c r="I96" i="14" s="1"/>
  <c r="T96" i="8"/>
  <c r="S96" i="8"/>
  <c r="D96" i="8"/>
  <c r="I95" i="14" s="1"/>
  <c r="T95" i="8"/>
  <c r="S95" i="8"/>
  <c r="D95" i="8"/>
  <c r="I94" i="14" s="1"/>
  <c r="T94" i="8"/>
  <c r="S94" i="8"/>
  <c r="D94" i="8"/>
  <c r="T93" i="8"/>
  <c r="S93" i="8"/>
  <c r="D93" i="8"/>
  <c r="I92" i="14" s="1"/>
  <c r="T92" i="8"/>
  <c r="S92" i="8"/>
  <c r="D92" i="8"/>
  <c r="I91" i="14" s="1"/>
  <c r="T91" i="8"/>
  <c r="S91" i="8"/>
  <c r="D91" i="8"/>
  <c r="I90" i="14" s="1"/>
  <c r="T90" i="8"/>
  <c r="S90" i="8"/>
  <c r="D90" i="8"/>
  <c r="I89" i="14" s="1"/>
  <c r="T89" i="8"/>
  <c r="S89" i="8"/>
  <c r="D89" i="8"/>
  <c r="I88" i="14" s="1"/>
  <c r="T88" i="8"/>
  <c r="S88" i="8"/>
  <c r="D88" i="8"/>
  <c r="I87" i="14" s="1"/>
  <c r="T87" i="8"/>
  <c r="S87" i="8"/>
  <c r="D87" i="8"/>
  <c r="I86" i="14" s="1"/>
  <c r="T86" i="8"/>
  <c r="S86" i="8"/>
  <c r="D86" i="8"/>
  <c r="T85" i="8"/>
  <c r="S85" i="8"/>
  <c r="D85" i="8"/>
  <c r="I84" i="14" s="1"/>
  <c r="T84" i="8"/>
  <c r="S84" i="8"/>
  <c r="D84" i="8"/>
  <c r="I83" i="14" s="1"/>
  <c r="T83" i="8"/>
  <c r="S83" i="8"/>
  <c r="D83" i="8"/>
  <c r="I82" i="14" s="1"/>
  <c r="T82" i="8"/>
  <c r="S82" i="8"/>
  <c r="D82" i="8"/>
  <c r="I81" i="14" s="1"/>
  <c r="D81" i="8"/>
  <c r="I80" i="14" s="1"/>
  <c r="T80" i="8"/>
  <c r="S80" i="8"/>
  <c r="T79" i="8"/>
  <c r="S79" i="8"/>
  <c r="T78" i="8"/>
  <c r="S78" i="8"/>
  <c r="T77" i="8"/>
  <c r="S77" i="8"/>
  <c r="T76" i="8"/>
  <c r="S76" i="8"/>
  <c r="T74" i="8"/>
  <c r="S74" i="8"/>
  <c r="T73" i="8"/>
  <c r="S73" i="8"/>
  <c r="T72" i="8"/>
  <c r="S72" i="8"/>
  <c r="T71" i="8"/>
  <c r="S71" i="8"/>
  <c r="T70" i="8"/>
  <c r="S70" i="8"/>
  <c r="T69" i="8"/>
  <c r="S69" i="8"/>
  <c r="T68" i="8"/>
  <c r="S68" i="8"/>
  <c r="T67" i="8"/>
  <c r="S67" i="8"/>
  <c r="T66" i="8"/>
  <c r="S66" i="8"/>
  <c r="T64" i="8"/>
  <c r="S64" i="8"/>
  <c r="T63" i="8"/>
  <c r="S63" i="8"/>
  <c r="T62" i="8"/>
  <c r="S62" i="8"/>
  <c r="T61" i="8"/>
  <c r="S61" i="8"/>
  <c r="T60" i="8"/>
  <c r="S60" i="8"/>
  <c r="T58" i="8"/>
  <c r="S58" i="8"/>
  <c r="T57" i="8"/>
  <c r="S57" i="8"/>
  <c r="T56" i="8"/>
  <c r="S56" i="8"/>
  <c r="T55" i="8"/>
  <c r="S55" i="8"/>
  <c r="T54" i="8"/>
  <c r="S54" i="8"/>
  <c r="T53" i="8"/>
  <c r="S53" i="8"/>
  <c r="T52" i="8"/>
  <c r="S52" i="8"/>
  <c r="T51" i="8"/>
  <c r="S51" i="8"/>
  <c r="T50" i="8"/>
  <c r="S50" i="8"/>
  <c r="T49" i="8"/>
  <c r="S49" i="8"/>
  <c r="T48" i="8"/>
  <c r="S48" i="8"/>
  <c r="T47" i="8"/>
  <c r="S47" i="8"/>
  <c r="T46" i="8"/>
  <c r="S46" i="8"/>
  <c r="T45" i="8"/>
  <c r="S45" i="8"/>
  <c r="T43" i="8"/>
  <c r="S43" i="8"/>
  <c r="T42" i="8"/>
  <c r="S42" i="8"/>
  <c r="T41" i="8"/>
  <c r="S41" i="8"/>
  <c r="T40" i="8"/>
  <c r="S40" i="8"/>
  <c r="T39" i="8"/>
  <c r="S39" i="8"/>
  <c r="T38" i="8"/>
  <c r="S38" i="8"/>
  <c r="T37" i="8"/>
  <c r="S37" i="8"/>
  <c r="T36" i="8"/>
  <c r="S36" i="8"/>
  <c r="T35" i="8"/>
  <c r="S35" i="8"/>
  <c r="T34" i="8"/>
  <c r="S34" i="8"/>
  <c r="T32" i="8"/>
  <c r="S32" i="8"/>
  <c r="T31" i="8"/>
  <c r="S31" i="8"/>
  <c r="T30" i="8"/>
  <c r="S30" i="8"/>
  <c r="T29" i="8"/>
  <c r="S29" i="8"/>
  <c r="T28" i="8"/>
  <c r="S28" i="8"/>
  <c r="T27" i="8"/>
  <c r="S27" i="8"/>
  <c r="T26" i="8"/>
  <c r="S26" i="8"/>
  <c r="T25" i="8"/>
  <c r="S25" i="8"/>
  <c r="T24" i="8"/>
  <c r="S24" i="8"/>
  <c r="T23" i="8"/>
  <c r="S23" i="8"/>
  <c r="T22" i="8"/>
  <c r="S22" i="8"/>
  <c r="T21" i="8"/>
  <c r="S21" i="8"/>
  <c r="T19" i="8"/>
  <c r="S19" i="8"/>
  <c r="T18" i="8"/>
  <c r="S18" i="8"/>
  <c r="T17" i="8"/>
  <c r="S17" i="8"/>
  <c r="T16" i="8"/>
  <c r="S16" i="8"/>
  <c r="T15" i="8"/>
  <c r="S15" i="8"/>
  <c r="T14" i="8"/>
  <c r="S14" i="8"/>
  <c r="T13" i="8"/>
  <c r="S13" i="8"/>
  <c r="T12" i="8"/>
  <c r="S12" i="8"/>
  <c r="T11" i="8"/>
  <c r="S11" i="8"/>
  <c r="T10" i="8"/>
  <c r="S10" i="8"/>
  <c r="T9" i="8"/>
  <c r="S9" i="8"/>
  <c r="T8" i="8"/>
  <c r="S8" i="8"/>
  <c r="D8" i="8"/>
  <c r="I7" i="14" s="1"/>
  <c r="T7" i="8"/>
  <c r="S7" i="8"/>
  <c r="D7" i="8"/>
  <c r="I6" i="14" s="1"/>
  <c r="T6" i="8"/>
  <c r="S6" i="8"/>
  <c r="D6" i="8"/>
  <c r="D5" i="8"/>
  <c r="T21" i="5"/>
  <c r="T22" i="5"/>
  <c r="T23" i="5"/>
  <c r="T24" i="5"/>
  <c r="T25" i="5"/>
  <c r="T26" i="5"/>
  <c r="T27" i="5"/>
  <c r="T28" i="5"/>
  <c r="T29" i="5"/>
  <c r="T30" i="5"/>
  <c r="T31" i="5"/>
  <c r="T32" i="5"/>
  <c r="T34" i="5"/>
  <c r="T35" i="5"/>
  <c r="T36" i="5"/>
  <c r="T37" i="5"/>
  <c r="T38" i="5"/>
  <c r="T39" i="5"/>
  <c r="T40" i="5"/>
  <c r="T41" i="5"/>
  <c r="T42" i="5"/>
  <c r="T43" i="5"/>
  <c r="T45" i="5"/>
  <c r="T46" i="5"/>
  <c r="T47" i="5"/>
  <c r="T48" i="5"/>
  <c r="T49" i="5"/>
  <c r="T50" i="5"/>
  <c r="T51" i="5"/>
  <c r="T52" i="5"/>
  <c r="T53" i="5"/>
  <c r="T54" i="5"/>
  <c r="T55" i="5"/>
  <c r="T56" i="5"/>
  <c r="T57" i="5"/>
  <c r="T58" i="5"/>
  <c r="T60" i="5"/>
  <c r="T61" i="5"/>
  <c r="T62" i="5"/>
  <c r="T63" i="5"/>
  <c r="T64" i="5"/>
  <c r="T66" i="5"/>
  <c r="T67" i="5"/>
  <c r="T68" i="5"/>
  <c r="T69" i="5"/>
  <c r="T70" i="5"/>
  <c r="T71" i="5"/>
  <c r="T72" i="5"/>
  <c r="T73" i="5"/>
  <c r="T74" i="5"/>
  <c r="T76" i="5"/>
  <c r="T77" i="5"/>
  <c r="T78" i="5"/>
  <c r="T79" i="5"/>
  <c r="T80" i="5"/>
  <c r="T82" i="5"/>
  <c r="T83" i="5"/>
  <c r="T84" i="5"/>
  <c r="T85" i="5"/>
  <c r="T86" i="5"/>
  <c r="T87" i="5"/>
  <c r="T88" i="5"/>
  <c r="T89" i="5"/>
  <c r="T90" i="5"/>
  <c r="T91" i="5"/>
  <c r="T92" i="5"/>
  <c r="T93" i="5"/>
  <c r="T94" i="5"/>
  <c r="T95" i="5"/>
  <c r="T96" i="5"/>
  <c r="T98" i="5"/>
  <c r="T99" i="5"/>
  <c r="T100" i="5"/>
  <c r="T101" i="5"/>
  <c r="T102" i="5"/>
  <c r="T103" i="5"/>
  <c r="T104" i="5"/>
  <c r="T105" i="5"/>
  <c r="T106" i="5"/>
  <c r="T107" i="5"/>
  <c r="T108" i="5"/>
  <c r="T109" i="5"/>
  <c r="T111" i="5"/>
  <c r="T112" i="5"/>
  <c r="T113" i="5"/>
  <c r="T114" i="5"/>
  <c r="T115" i="5"/>
  <c r="T116" i="5"/>
  <c r="T117" i="5"/>
  <c r="T118" i="5"/>
  <c r="T6" i="5"/>
  <c r="T7" i="5"/>
  <c r="T8" i="5"/>
  <c r="T9" i="5"/>
  <c r="T10" i="5"/>
  <c r="T11" i="5"/>
  <c r="T12" i="5"/>
  <c r="T13" i="5"/>
  <c r="T14" i="5"/>
  <c r="T15" i="5"/>
  <c r="T16" i="5"/>
  <c r="T17" i="5"/>
  <c r="T18" i="5"/>
  <c r="T19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1" i="5"/>
  <c r="S22" i="5"/>
  <c r="S23" i="5"/>
  <c r="S24" i="5"/>
  <c r="S25" i="5"/>
  <c r="S26" i="5"/>
  <c r="S27" i="5"/>
  <c r="S28" i="5"/>
  <c r="S29" i="5"/>
  <c r="S30" i="5"/>
  <c r="S31" i="5"/>
  <c r="S32" i="5"/>
  <c r="S34" i="5"/>
  <c r="S35" i="5"/>
  <c r="S36" i="5"/>
  <c r="S37" i="5"/>
  <c r="S38" i="5"/>
  <c r="S39" i="5"/>
  <c r="S40" i="5"/>
  <c r="S41" i="5"/>
  <c r="S42" i="5"/>
  <c r="S43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60" i="5"/>
  <c r="S61" i="5"/>
  <c r="S62" i="5"/>
  <c r="S63" i="5"/>
  <c r="S64" i="5"/>
  <c r="S66" i="5"/>
  <c r="S67" i="5"/>
  <c r="S68" i="5"/>
  <c r="S69" i="5"/>
  <c r="S70" i="5"/>
  <c r="S71" i="5"/>
  <c r="S72" i="5"/>
  <c r="S73" i="5"/>
  <c r="S74" i="5"/>
  <c r="S76" i="5"/>
  <c r="S77" i="5"/>
  <c r="S78" i="5"/>
  <c r="S79" i="5"/>
  <c r="S80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8" i="5"/>
  <c r="S99" i="5"/>
  <c r="S100" i="5"/>
  <c r="S101" i="5"/>
  <c r="S102" i="5"/>
  <c r="S103" i="5"/>
  <c r="S104" i="5"/>
  <c r="S105" i="5"/>
  <c r="S106" i="5"/>
  <c r="S107" i="5"/>
  <c r="S108" i="5"/>
  <c r="S109" i="5"/>
  <c r="S111" i="5"/>
  <c r="S112" i="5"/>
  <c r="S113" i="5"/>
  <c r="S114" i="5"/>
  <c r="S115" i="5"/>
  <c r="S116" i="5"/>
  <c r="S117" i="5"/>
  <c r="S118" i="5"/>
  <c r="R26" i="5"/>
  <c r="R27" i="5"/>
  <c r="R28" i="5"/>
  <c r="R29" i="5"/>
  <c r="R30" i="5"/>
  <c r="R31" i="5"/>
  <c r="R32" i="5"/>
  <c r="Q26" i="5"/>
  <c r="Q27" i="5"/>
  <c r="Q28" i="5"/>
  <c r="Q29" i="5"/>
  <c r="Q30" i="5"/>
  <c r="Q31" i="5"/>
  <c r="Q32" i="5"/>
  <c r="P110" i="5"/>
  <c r="P97" i="5"/>
  <c r="P81" i="5"/>
  <c r="P75" i="5"/>
  <c r="P65" i="5"/>
  <c r="P59" i="5"/>
  <c r="P44" i="5"/>
  <c r="P33" i="5"/>
  <c r="P20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5" i="5"/>
  <c r="N26" i="5"/>
  <c r="N27" i="5"/>
  <c r="N28" i="5"/>
  <c r="N29" i="5"/>
  <c r="N30" i="5"/>
  <c r="N31" i="5"/>
  <c r="N32" i="5"/>
  <c r="M120" i="5"/>
  <c r="E110" i="5"/>
  <c r="E111" i="5"/>
  <c r="E112" i="5"/>
  <c r="E113" i="5"/>
  <c r="E114" i="5"/>
  <c r="E115" i="5"/>
  <c r="E116" i="5"/>
  <c r="E117" i="5"/>
  <c r="E118" i="5"/>
  <c r="E97" i="5"/>
  <c r="F97" i="5"/>
  <c r="E98" i="5"/>
  <c r="F98" i="5"/>
  <c r="E99" i="5"/>
  <c r="F99" i="5"/>
  <c r="E100" i="5"/>
  <c r="F100" i="5"/>
  <c r="E101" i="5"/>
  <c r="F101" i="5"/>
  <c r="E102" i="5"/>
  <c r="F102" i="5"/>
  <c r="E103" i="5"/>
  <c r="F103" i="5"/>
  <c r="E104" i="5"/>
  <c r="F104" i="5"/>
  <c r="E105" i="5"/>
  <c r="F105" i="5"/>
  <c r="E106" i="5"/>
  <c r="F106" i="5"/>
  <c r="E107" i="5"/>
  <c r="F107" i="5"/>
  <c r="E108" i="5"/>
  <c r="F108" i="5"/>
  <c r="E109" i="5"/>
  <c r="F109" i="5"/>
  <c r="E81" i="5"/>
  <c r="F81" i="5"/>
  <c r="G81" i="5"/>
  <c r="E82" i="5"/>
  <c r="F82" i="5"/>
  <c r="G82" i="5"/>
  <c r="E83" i="5"/>
  <c r="F83" i="5"/>
  <c r="G83" i="5"/>
  <c r="E84" i="5"/>
  <c r="F84" i="5"/>
  <c r="G84" i="5"/>
  <c r="E85" i="5"/>
  <c r="F85" i="5"/>
  <c r="G85" i="5"/>
  <c r="E86" i="5"/>
  <c r="F86" i="5"/>
  <c r="G86" i="5"/>
  <c r="E87" i="5"/>
  <c r="F87" i="5"/>
  <c r="G87" i="5"/>
  <c r="E88" i="5"/>
  <c r="F88" i="5"/>
  <c r="G88" i="5"/>
  <c r="E89" i="5"/>
  <c r="F89" i="5"/>
  <c r="G89" i="5"/>
  <c r="E90" i="5"/>
  <c r="F90" i="5"/>
  <c r="G90" i="5"/>
  <c r="E91" i="5"/>
  <c r="F91" i="5"/>
  <c r="G91" i="5"/>
  <c r="E92" i="5"/>
  <c r="F92" i="5"/>
  <c r="G92" i="5"/>
  <c r="E93" i="5"/>
  <c r="F93" i="5"/>
  <c r="G93" i="5"/>
  <c r="E94" i="5"/>
  <c r="F94" i="5"/>
  <c r="G94" i="5"/>
  <c r="E95" i="5"/>
  <c r="F95" i="5"/>
  <c r="G95" i="5"/>
  <c r="E96" i="5"/>
  <c r="F96" i="5"/>
  <c r="G96" i="5"/>
  <c r="E74" i="5"/>
  <c r="F74" i="5"/>
  <c r="G74" i="5"/>
  <c r="H74" i="5"/>
  <c r="E75" i="5"/>
  <c r="F75" i="5"/>
  <c r="G75" i="5"/>
  <c r="H75" i="5"/>
  <c r="E76" i="5"/>
  <c r="F76" i="5"/>
  <c r="G76" i="5"/>
  <c r="H76" i="5"/>
  <c r="E77" i="5"/>
  <c r="F77" i="5"/>
  <c r="G77" i="5"/>
  <c r="H77" i="5"/>
  <c r="E78" i="5"/>
  <c r="F78" i="5"/>
  <c r="G78" i="5"/>
  <c r="H78" i="5"/>
  <c r="E79" i="5"/>
  <c r="F79" i="5"/>
  <c r="G79" i="5"/>
  <c r="H79" i="5"/>
  <c r="E80" i="5"/>
  <c r="F80" i="5"/>
  <c r="G80" i="5"/>
  <c r="H80" i="5"/>
  <c r="E65" i="5"/>
  <c r="F65" i="5"/>
  <c r="G65" i="5"/>
  <c r="H65" i="5"/>
  <c r="I65" i="5"/>
  <c r="E66" i="5"/>
  <c r="F66" i="5"/>
  <c r="G66" i="5"/>
  <c r="H66" i="5"/>
  <c r="I66" i="5"/>
  <c r="E67" i="5"/>
  <c r="F67" i="5"/>
  <c r="G67" i="5"/>
  <c r="H67" i="5"/>
  <c r="I67" i="5"/>
  <c r="E68" i="5"/>
  <c r="F68" i="5"/>
  <c r="G68" i="5"/>
  <c r="H68" i="5"/>
  <c r="I68" i="5"/>
  <c r="E69" i="5"/>
  <c r="F69" i="5"/>
  <c r="G69" i="5"/>
  <c r="H69" i="5"/>
  <c r="I69" i="5"/>
  <c r="E70" i="5"/>
  <c r="F70" i="5"/>
  <c r="G70" i="5"/>
  <c r="H70" i="5"/>
  <c r="I70" i="5"/>
  <c r="E71" i="5"/>
  <c r="F71" i="5"/>
  <c r="G71" i="5"/>
  <c r="H71" i="5"/>
  <c r="I71" i="5"/>
  <c r="E72" i="5"/>
  <c r="F72" i="5"/>
  <c r="G72" i="5"/>
  <c r="H72" i="5"/>
  <c r="I72" i="5"/>
  <c r="E73" i="5"/>
  <c r="F73" i="5"/>
  <c r="G73" i="5"/>
  <c r="H73" i="5"/>
  <c r="I73" i="5"/>
  <c r="E59" i="5"/>
  <c r="F59" i="5"/>
  <c r="G59" i="5"/>
  <c r="H59" i="5"/>
  <c r="I59" i="5"/>
  <c r="J59" i="5"/>
  <c r="E60" i="5"/>
  <c r="F60" i="5"/>
  <c r="G60" i="5"/>
  <c r="H60" i="5"/>
  <c r="I60" i="5"/>
  <c r="J60" i="5"/>
  <c r="E61" i="5"/>
  <c r="F61" i="5"/>
  <c r="G61" i="5"/>
  <c r="H61" i="5"/>
  <c r="I61" i="5"/>
  <c r="J61" i="5"/>
  <c r="E62" i="5"/>
  <c r="F62" i="5"/>
  <c r="G62" i="5"/>
  <c r="H62" i="5"/>
  <c r="I62" i="5"/>
  <c r="J62" i="5"/>
  <c r="E63" i="5"/>
  <c r="F63" i="5"/>
  <c r="G63" i="5"/>
  <c r="H63" i="5"/>
  <c r="I63" i="5"/>
  <c r="J63" i="5"/>
  <c r="E64" i="5"/>
  <c r="F64" i="5"/>
  <c r="G64" i="5"/>
  <c r="H64" i="5"/>
  <c r="I64" i="5"/>
  <c r="J64" i="5"/>
  <c r="E44" i="5"/>
  <c r="F44" i="5"/>
  <c r="G44" i="5"/>
  <c r="H44" i="5"/>
  <c r="I44" i="5"/>
  <c r="J44" i="5"/>
  <c r="K44" i="5"/>
  <c r="E45" i="5"/>
  <c r="F45" i="5"/>
  <c r="G45" i="5"/>
  <c r="H45" i="5"/>
  <c r="I45" i="5"/>
  <c r="J45" i="5"/>
  <c r="K45" i="5"/>
  <c r="E46" i="5"/>
  <c r="F46" i="5"/>
  <c r="G46" i="5"/>
  <c r="H46" i="5"/>
  <c r="I46" i="5"/>
  <c r="J46" i="5"/>
  <c r="K46" i="5"/>
  <c r="E47" i="5"/>
  <c r="F47" i="5"/>
  <c r="G47" i="5"/>
  <c r="H47" i="5"/>
  <c r="I47" i="5"/>
  <c r="J47" i="5"/>
  <c r="K47" i="5"/>
  <c r="E48" i="5"/>
  <c r="F48" i="5"/>
  <c r="G48" i="5"/>
  <c r="H48" i="5"/>
  <c r="I48" i="5"/>
  <c r="J48" i="5"/>
  <c r="K48" i="5"/>
  <c r="E49" i="5"/>
  <c r="F49" i="5"/>
  <c r="G49" i="5"/>
  <c r="H49" i="5"/>
  <c r="I49" i="5"/>
  <c r="J49" i="5"/>
  <c r="K49" i="5"/>
  <c r="E50" i="5"/>
  <c r="F50" i="5"/>
  <c r="G50" i="5"/>
  <c r="H50" i="5"/>
  <c r="I50" i="5"/>
  <c r="J50" i="5"/>
  <c r="K50" i="5"/>
  <c r="E51" i="5"/>
  <c r="F51" i="5"/>
  <c r="G51" i="5"/>
  <c r="H51" i="5"/>
  <c r="I51" i="5"/>
  <c r="J51" i="5"/>
  <c r="K51" i="5"/>
  <c r="E52" i="5"/>
  <c r="F52" i="5"/>
  <c r="G52" i="5"/>
  <c r="H52" i="5"/>
  <c r="I52" i="5"/>
  <c r="J52" i="5"/>
  <c r="K52" i="5"/>
  <c r="E53" i="5"/>
  <c r="F53" i="5"/>
  <c r="G53" i="5"/>
  <c r="H53" i="5"/>
  <c r="I53" i="5"/>
  <c r="J53" i="5"/>
  <c r="K53" i="5"/>
  <c r="E54" i="5"/>
  <c r="F54" i="5"/>
  <c r="G54" i="5"/>
  <c r="H54" i="5"/>
  <c r="I54" i="5"/>
  <c r="J54" i="5"/>
  <c r="K54" i="5"/>
  <c r="E55" i="5"/>
  <c r="F55" i="5"/>
  <c r="G55" i="5"/>
  <c r="H55" i="5"/>
  <c r="I55" i="5"/>
  <c r="J55" i="5"/>
  <c r="K55" i="5"/>
  <c r="E56" i="5"/>
  <c r="F56" i="5"/>
  <c r="G56" i="5"/>
  <c r="H56" i="5"/>
  <c r="I56" i="5"/>
  <c r="J56" i="5"/>
  <c r="K56" i="5"/>
  <c r="E57" i="5"/>
  <c r="F57" i="5"/>
  <c r="G57" i="5"/>
  <c r="H57" i="5"/>
  <c r="I57" i="5"/>
  <c r="J57" i="5"/>
  <c r="K57" i="5"/>
  <c r="E58" i="5"/>
  <c r="F58" i="5"/>
  <c r="G58" i="5"/>
  <c r="H58" i="5"/>
  <c r="I58" i="5"/>
  <c r="J58" i="5"/>
  <c r="K58" i="5"/>
  <c r="E33" i="5"/>
  <c r="F33" i="5"/>
  <c r="G33" i="5"/>
  <c r="H33" i="5"/>
  <c r="I33" i="5"/>
  <c r="J33" i="5"/>
  <c r="K33" i="5"/>
  <c r="L33" i="5"/>
  <c r="E34" i="5"/>
  <c r="F34" i="5"/>
  <c r="G34" i="5"/>
  <c r="H34" i="5"/>
  <c r="I34" i="5"/>
  <c r="J34" i="5"/>
  <c r="K34" i="5"/>
  <c r="L34" i="5"/>
  <c r="E35" i="5"/>
  <c r="F35" i="5"/>
  <c r="G35" i="5"/>
  <c r="H35" i="5"/>
  <c r="I35" i="5"/>
  <c r="J35" i="5"/>
  <c r="K35" i="5"/>
  <c r="L35" i="5"/>
  <c r="E36" i="5"/>
  <c r="F36" i="5"/>
  <c r="G36" i="5"/>
  <c r="H36" i="5"/>
  <c r="I36" i="5"/>
  <c r="J36" i="5"/>
  <c r="K36" i="5"/>
  <c r="L36" i="5"/>
  <c r="E37" i="5"/>
  <c r="F37" i="5"/>
  <c r="G37" i="5"/>
  <c r="H37" i="5"/>
  <c r="I37" i="5"/>
  <c r="J37" i="5"/>
  <c r="K37" i="5"/>
  <c r="L37" i="5"/>
  <c r="E38" i="5"/>
  <c r="F38" i="5"/>
  <c r="G38" i="5"/>
  <c r="H38" i="5"/>
  <c r="I38" i="5"/>
  <c r="J38" i="5"/>
  <c r="K38" i="5"/>
  <c r="L38" i="5"/>
  <c r="E39" i="5"/>
  <c r="F39" i="5"/>
  <c r="G39" i="5"/>
  <c r="H39" i="5"/>
  <c r="I39" i="5"/>
  <c r="J39" i="5"/>
  <c r="K39" i="5"/>
  <c r="L39" i="5"/>
  <c r="E40" i="5"/>
  <c r="F40" i="5"/>
  <c r="G40" i="5"/>
  <c r="H40" i="5"/>
  <c r="I40" i="5"/>
  <c r="J40" i="5"/>
  <c r="K40" i="5"/>
  <c r="L40" i="5"/>
  <c r="E41" i="5"/>
  <c r="F41" i="5"/>
  <c r="G41" i="5"/>
  <c r="H41" i="5"/>
  <c r="I41" i="5"/>
  <c r="J41" i="5"/>
  <c r="K41" i="5"/>
  <c r="L41" i="5"/>
  <c r="E42" i="5"/>
  <c r="F42" i="5"/>
  <c r="G42" i="5"/>
  <c r="H42" i="5"/>
  <c r="I42" i="5"/>
  <c r="J42" i="5"/>
  <c r="K42" i="5"/>
  <c r="L42" i="5"/>
  <c r="E43" i="5"/>
  <c r="F43" i="5"/>
  <c r="G43" i="5"/>
  <c r="H43" i="5"/>
  <c r="I43" i="5"/>
  <c r="J43" i="5"/>
  <c r="K43" i="5"/>
  <c r="L43" i="5"/>
  <c r="E20" i="5"/>
  <c r="F20" i="5"/>
  <c r="G20" i="5"/>
  <c r="H20" i="5"/>
  <c r="I20" i="5"/>
  <c r="J20" i="5"/>
  <c r="K20" i="5"/>
  <c r="L20" i="5"/>
  <c r="M20" i="5"/>
  <c r="E21" i="5"/>
  <c r="F21" i="5"/>
  <c r="G21" i="5"/>
  <c r="H21" i="5"/>
  <c r="I21" i="5"/>
  <c r="J21" i="5"/>
  <c r="K21" i="5"/>
  <c r="L21" i="5"/>
  <c r="M21" i="5"/>
  <c r="E22" i="5"/>
  <c r="F22" i="5"/>
  <c r="G22" i="5"/>
  <c r="H22" i="5"/>
  <c r="I22" i="5"/>
  <c r="J22" i="5"/>
  <c r="K22" i="5"/>
  <c r="L22" i="5"/>
  <c r="M22" i="5"/>
  <c r="E23" i="5"/>
  <c r="F23" i="5"/>
  <c r="G23" i="5"/>
  <c r="H23" i="5"/>
  <c r="I23" i="5"/>
  <c r="J23" i="5"/>
  <c r="K23" i="5"/>
  <c r="L23" i="5"/>
  <c r="M23" i="5"/>
  <c r="E24" i="5"/>
  <c r="F24" i="5"/>
  <c r="G24" i="5"/>
  <c r="H24" i="5"/>
  <c r="I24" i="5"/>
  <c r="J24" i="5"/>
  <c r="K24" i="5"/>
  <c r="L24" i="5"/>
  <c r="M24" i="5"/>
  <c r="E25" i="5"/>
  <c r="F25" i="5"/>
  <c r="G25" i="5"/>
  <c r="H25" i="5"/>
  <c r="I25" i="5"/>
  <c r="J25" i="5"/>
  <c r="K25" i="5"/>
  <c r="L25" i="5"/>
  <c r="M25" i="5"/>
  <c r="E26" i="5"/>
  <c r="F26" i="5"/>
  <c r="G26" i="5"/>
  <c r="H26" i="5"/>
  <c r="I26" i="5"/>
  <c r="J26" i="5"/>
  <c r="L26" i="5"/>
  <c r="M26" i="5"/>
  <c r="E27" i="5"/>
  <c r="F27" i="5"/>
  <c r="G27" i="5"/>
  <c r="H27" i="5"/>
  <c r="I27" i="5"/>
  <c r="J27" i="5"/>
  <c r="K27" i="5"/>
  <c r="L27" i="5"/>
  <c r="M27" i="5"/>
  <c r="E28" i="5"/>
  <c r="F28" i="5"/>
  <c r="G28" i="5"/>
  <c r="H28" i="5"/>
  <c r="I28" i="5"/>
  <c r="J28" i="5"/>
  <c r="K28" i="5"/>
  <c r="L28" i="5"/>
  <c r="M28" i="5"/>
  <c r="E29" i="5"/>
  <c r="F29" i="5"/>
  <c r="G29" i="5"/>
  <c r="H29" i="5"/>
  <c r="I29" i="5"/>
  <c r="J29" i="5"/>
  <c r="K29" i="5"/>
  <c r="L29" i="5"/>
  <c r="M29" i="5"/>
  <c r="E30" i="5"/>
  <c r="F30" i="5"/>
  <c r="G30" i="5"/>
  <c r="H30" i="5"/>
  <c r="I30" i="5"/>
  <c r="J30" i="5"/>
  <c r="K30" i="5"/>
  <c r="L30" i="5"/>
  <c r="M30" i="5"/>
  <c r="E31" i="5"/>
  <c r="F31" i="5"/>
  <c r="G31" i="5"/>
  <c r="H31" i="5"/>
  <c r="I31" i="5"/>
  <c r="J31" i="5"/>
  <c r="K31" i="5"/>
  <c r="L31" i="5"/>
  <c r="M31" i="5"/>
  <c r="E32" i="5"/>
  <c r="F32" i="5"/>
  <c r="G32" i="5"/>
  <c r="H32" i="5"/>
  <c r="I32" i="5"/>
  <c r="J32" i="5"/>
  <c r="K32" i="5"/>
  <c r="L32" i="5"/>
  <c r="M32" i="5"/>
  <c r="M17" i="6"/>
  <c r="E6" i="5"/>
  <c r="F6" i="5"/>
  <c r="G6" i="5"/>
  <c r="H6" i="5"/>
  <c r="I6" i="5"/>
  <c r="J6" i="5"/>
  <c r="K6" i="5"/>
  <c r="L6" i="5"/>
  <c r="M6" i="5"/>
  <c r="N6" i="5"/>
  <c r="E7" i="5"/>
  <c r="F7" i="5"/>
  <c r="G7" i="5"/>
  <c r="H7" i="5"/>
  <c r="I7" i="5"/>
  <c r="J7" i="5"/>
  <c r="K7" i="5"/>
  <c r="L7" i="5"/>
  <c r="M7" i="5"/>
  <c r="N7" i="5"/>
  <c r="E8" i="5"/>
  <c r="F8" i="5"/>
  <c r="G8" i="5"/>
  <c r="H8" i="5"/>
  <c r="I8" i="5"/>
  <c r="J8" i="5"/>
  <c r="K8" i="5"/>
  <c r="L8" i="5"/>
  <c r="M8" i="5"/>
  <c r="N8" i="5"/>
  <c r="E9" i="5"/>
  <c r="F9" i="5"/>
  <c r="G9" i="5"/>
  <c r="H9" i="5"/>
  <c r="I9" i="5"/>
  <c r="J9" i="5"/>
  <c r="K9" i="5"/>
  <c r="L9" i="5"/>
  <c r="M9" i="5"/>
  <c r="N9" i="5"/>
  <c r="E10" i="5"/>
  <c r="F10" i="5"/>
  <c r="G10" i="5"/>
  <c r="H10" i="5"/>
  <c r="I10" i="5"/>
  <c r="J10" i="5"/>
  <c r="K10" i="5"/>
  <c r="L10" i="5"/>
  <c r="M10" i="5"/>
  <c r="N10" i="5"/>
  <c r="E11" i="5"/>
  <c r="F11" i="5"/>
  <c r="G11" i="5"/>
  <c r="H11" i="5"/>
  <c r="I11" i="5"/>
  <c r="J11" i="5"/>
  <c r="K11" i="5"/>
  <c r="L11" i="5"/>
  <c r="M11" i="5"/>
  <c r="N11" i="5"/>
  <c r="E12" i="5"/>
  <c r="F12" i="5"/>
  <c r="G12" i="5"/>
  <c r="H12" i="5"/>
  <c r="I12" i="5"/>
  <c r="J12" i="5"/>
  <c r="K12" i="5"/>
  <c r="L12" i="5"/>
  <c r="M12" i="5"/>
  <c r="N12" i="5"/>
  <c r="E13" i="5"/>
  <c r="F13" i="5"/>
  <c r="G13" i="5"/>
  <c r="H13" i="5"/>
  <c r="I13" i="5"/>
  <c r="J13" i="5"/>
  <c r="K13" i="5"/>
  <c r="L13" i="5"/>
  <c r="M13" i="5"/>
  <c r="N13" i="5"/>
  <c r="E14" i="5"/>
  <c r="F14" i="5"/>
  <c r="G14" i="5"/>
  <c r="H14" i="5"/>
  <c r="I14" i="5"/>
  <c r="J14" i="5"/>
  <c r="K14" i="5"/>
  <c r="L14" i="5"/>
  <c r="M14" i="5"/>
  <c r="N14" i="5"/>
  <c r="E15" i="5"/>
  <c r="F15" i="5"/>
  <c r="G15" i="5"/>
  <c r="H15" i="5"/>
  <c r="I15" i="5"/>
  <c r="J15" i="5"/>
  <c r="K15" i="5"/>
  <c r="L15" i="5"/>
  <c r="M15" i="5"/>
  <c r="N15" i="5"/>
  <c r="E16" i="5"/>
  <c r="F16" i="5"/>
  <c r="G16" i="5"/>
  <c r="H16" i="5"/>
  <c r="I16" i="5"/>
  <c r="J16" i="5"/>
  <c r="K16" i="5"/>
  <c r="L16" i="5"/>
  <c r="M16" i="5"/>
  <c r="N16" i="5"/>
  <c r="E17" i="5"/>
  <c r="F17" i="5"/>
  <c r="G17" i="5"/>
  <c r="H17" i="5"/>
  <c r="I17" i="5"/>
  <c r="J17" i="5"/>
  <c r="K17" i="5"/>
  <c r="L17" i="5"/>
  <c r="M17" i="5"/>
  <c r="N17" i="5"/>
  <c r="E18" i="5"/>
  <c r="F18" i="5"/>
  <c r="G18" i="5"/>
  <c r="I18" i="5"/>
  <c r="J18" i="5"/>
  <c r="K18" i="5"/>
  <c r="L18" i="5"/>
  <c r="M18" i="5"/>
  <c r="N18" i="5"/>
  <c r="E19" i="5"/>
  <c r="F19" i="5"/>
  <c r="G19" i="5"/>
  <c r="H19" i="5"/>
  <c r="I19" i="5"/>
  <c r="J19" i="5"/>
  <c r="K19" i="5"/>
  <c r="L19" i="5"/>
  <c r="M19" i="5"/>
  <c r="N19" i="5"/>
  <c r="F5" i="5"/>
  <c r="G5" i="5"/>
  <c r="H5" i="5"/>
  <c r="I5" i="5"/>
  <c r="J5" i="5"/>
  <c r="K5" i="5"/>
  <c r="L5" i="5"/>
  <c r="M5" i="5"/>
  <c r="N5" i="5"/>
  <c r="E5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5" i="5"/>
  <c r="R4" i="6"/>
  <c r="R5" i="6"/>
  <c r="R6" i="6"/>
  <c r="R79" i="6"/>
  <c r="R80" i="6"/>
  <c r="R81" i="6"/>
  <c r="R82" i="6"/>
  <c r="R83" i="6"/>
  <c r="R84" i="6"/>
  <c r="R85" i="6"/>
  <c r="R86" i="6"/>
  <c r="R87" i="6"/>
  <c r="R88" i="6"/>
  <c r="R89" i="6"/>
  <c r="R90" i="6"/>
  <c r="R91" i="6"/>
  <c r="R92" i="6"/>
  <c r="R93" i="6"/>
  <c r="R94" i="6"/>
  <c r="R95" i="6"/>
  <c r="R96" i="6"/>
  <c r="R97" i="6"/>
  <c r="R98" i="6"/>
  <c r="R99" i="6"/>
  <c r="R100" i="6"/>
  <c r="R101" i="6"/>
  <c r="R102" i="6"/>
  <c r="R103" i="6"/>
  <c r="R104" i="6"/>
  <c r="R105" i="6"/>
  <c r="R106" i="6"/>
  <c r="R3" i="6"/>
  <c r="D108" i="6"/>
  <c r="D109" i="6"/>
  <c r="D110" i="6"/>
  <c r="D111" i="6"/>
  <c r="D112" i="6"/>
  <c r="D113" i="6"/>
  <c r="D114" i="6"/>
  <c r="D115" i="6"/>
  <c r="D116" i="6"/>
  <c r="D95" i="6"/>
  <c r="E95" i="6"/>
  <c r="D96" i="6"/>
  <c r="E96" i="6"/>
  <c r="D97" i="6"/>
  <c r="E97" i="6"/>
  <c r="D98" i="6"/>
  <c r="E98" i="6"/>
  <c r="D99" i="6"/>
  <c r="E99" i="6"/>
  <c r="D100" i="6"/>
  <c r="E100" i="6"/>
  <c r="D101" i="6"/>
  <c r="E101" i="6"/>
  <c r="D102" i="6"/>
  <c r="E102" i="6"/>
  <c r="D103" i="6"/>
  <c r="E103" i="6"/>
  <c r="D104" i="6"/>
  <c r="E104" i="6"/>
  <c r="D105" i="6"/>
  <c r="E105" i="6"/>
  <c r="D106" i="6"/>
  <c r="E106" i="6"/>
  <c r="D107" i="6"/>
  <c r="E107" i="6"/>
  <c r="D79" i="6"/>
  <c r="E79" i="6"/>
  <c r="F79" i="6"/>
  <c r="D80" i="6"/>
  <c r="E80" i="6"/>
  <c r="F80" i="6"/>
  <c r="D81" i="6"/>
  <c r="E81" i="6"/>
  <c r="F81" i="6"/>
  <c r="D82" i="6"/>
  <c r="E82" i="6"/>
  <c r="F82" i="6"/>
  <c r="D83" i="6"/>
  <c r="E83" i="6"/>
  <c r="F83" i="6"/>
  <c r="D84" i="6"/>
  <c r="E84" i="6"/>
  <c r="F84" i="6"/>
  <c r="D85" i="6"/>
  <c r="E85" i="6"/>
  <c r="F85" i="6"/>
  <c r="D86" i="6"/>
  <c r="E86" i="6"/>
  <c r="F86" i="6"/>
  <c r="D87" i="6"/>
  <c r="E87" i="6"/>
  <c r="F87" i="6"/>
  <c r="D88" i="6"/>
  <c r="E88" i="6"/>
  <c r="F88" i="6"/>
  <c r="D89" i="6"/>
  <c r="E89" i="6"/>
  <c r="F89" i="6"/>
  <c r="D90" i="6"/>
  <c r="E90" i="6"/>
  <c r="F90" i="6"/>
  <c r="D91" i="6"/>
  <c r="E91" i="6"/>
  <c r="F91" i="6"/>
  <c r="D92" i="6"/>
  <c r="E92" i="6"/>
  <c r="F92" i="6"/>
  <c r="D93" i="6"/>
  <c r="E93" i="6"/>
  <c r="F93" i="6"/>
  <c r="D94" i="6"/>
  <c r="E94" i="6"/>
  <c r="F94" i="6"/>
  <c r="D73" i="6"/>
  <c r="E73" i="6"/>
  <c r="F73" i="6"/>
  <c r="G73" i="6"/>
  <c r="D74" i="6"/>
  <c r="E74" i="6"/>
  <c r="F74" i="6"/>
  <c r="G74" i="6"/>
  <c r="D75" i="6"/>
  <c r="E75" i="6"/>
  <c r="F75" i="6"/>
  <c r="G75" i="6"/>
  <c r="D76" i="6"/>
  <c r="E76" i="6"/>
  <c r="F76" i="6"/>
  <c r="G76" i="6"/>
  <c r="D77" i="6"/>
  <c r="E77" i="6"/>
  <c r="F77" i="6"/>
  <c r="G77" i="6"/>
  <c r="D78" i="6"/>
  <c r="E78" i="6"/>
  <c r="F78" i="6"/>
  <c r="G78" i="6"/>
  <c r="D63" i="6"/>
  <c r="E63" i="6"/>
  <c r="F63" i="6"/>
  <c r="G63" i="6"/>
  <c r="H63" i="6"/>
  <c r="D64" i="6"/>
  <c r="E64" i="6"/>
  <c r="F64" i="6"/>
  <c r="G64" i="6"/>
  <c r="H64" i="6"/>
  <c r="D65" i="6"/>
  <c r="E65" i="6"/>
  <c r="F65" i="6"/>
  <c r="G65" i="6"/>
  <c r="H65" i="6"/>
  <c r="D66" i="6"/>
  <c r="E66" i="6"/>
  <c r="F66" i="6"/>
  <c r="G66" i="6"/>
  <c r="H66" i="6"/>
  <c r="D67" i="6"/>
  <c r="E67" i="6"/>
  <c r="F67" i="6"/>
  <c r="G67" i="6"/>
  <c r="H67" i="6"/>
  <c r="D68" i="6"/>
  <c r="E68" i="6"/>
  <c r="F68" i="6"/>
  <c r="G68" i="6"/>
  <c r="H68" i="6"/>
  <c r="D69" i="6"/>
  <c r="E69" i="6"/>
  <c r="F69" i="6"/>
  <c r="G69" i="6"/>
  <c r="H69" i="6"/>
  <c r="D70" i="6"/>
  <c r="E70" i="6"/>
  <c r="F70" i="6"/>
  <c r="G70" i="6"/>
  <c r="H70" i="6"/>
  <c r="D71" i="6"/>
  <c r="E71" i="6"/>
  <c r="F71" i="6"/>
  <c r="G71" i="6"/>
  <c r="H71" i="6"/>
  <c r="D72" i="6"/>
  <c r="E72" i="6"/>
  <c r="F72" i="6"/>
  <c r="G72" i="6"/>
  <c r="H72" i="6"/>
  <c r="D57" i="6"/>
  <c r="E57" i="6"/>
  <c r="F57" i="6"/>
  <c r="G57" i="6"/>
  <c r="H57" i="6"/>
  <c r="I57" i="6"/>
  <c r="D58" i="6"/>
  <c r="E58" i="6"/>
  <c r="F58" i="6"/>
  <c r="G58" i="6"/>
  <c r="H58" i="6"/>
  <c r="I58" i="6"/>
  <c r="D59" i="6"/>
  <c r="E59" i="6"/>
  <c r="F59" i="6"/>
  <c r="G59" i="6"/>
  <c r="H59" i="6"/>
  <c r="I59" i="6"/>
  <c r="D60" i="6"/>
  <c r="E60" i="6"/>
  <c r="F60" i="6"/>
  <c r="G60" i="6"/>
  <c r="H60" i="6"/>
  <c r="I60" i="6"/>
  <c r="D61" i="6"/>
  <c r="E61" i="6"/>
  <c r="F61" i="6"/>
  <c r="G61" i="6"/>
  <c r="H61" i="6"/>
  <c r="I61" i="6"/>
  <c r="D62" i="6"/>
  <c r="E62" i="6"/>
  <c r="F62" i="6"/>
  <c r="G62" i="6"/>
  <c r="H62" i="6"/>
  <c r="I62" i="6"/>
  <c r="D42" i="6"/>
  <c r="E42" i="6"/>
  <c r="F42" i="6"/>
  <c r="G42" i="6"/>
  <c r="H42" i="6"/>
  <c r="I42" i="6"/>
  <c r="J42" i="6"/>
  <c r="D43" i="6"/>
  <c r="E43" i="6"/>
  <c r="F43" i="6"/>
  <c r="G43" i="6"/>
  <c r="H43" i="6"/>
  <c r="I43" i="6"/>
  <c r="J43" i="6"/>
  <c r="D44" i="6"/>
  <c r="E44" i="6"/>
  <c r="F44" i="6"/>
  <c r="G44" i="6"/>
  <c r="H44" i="6"/>
  <c r="I44" i="6"/>
  <c r="J44" i="6"/>
  <c r="D45" i="6"/>
  <c r="E45" i="6"/>
  <c r="F45" i="6"/>
  <c r="G45" i="6"/>
  <c r="H45" i="6"/>
  <c r="I45" i="6"/>
  <c r="J45" i="6"/>
  <c r="D46" i="6"/>
  <c r="E46" i="6"/>
  <c r="F46" i="6"/>
  <c r="G46" i="6"/>
  <c r="H46" i="6"/>
  <c r="I46" i="6"/>
  <c r="J46" i="6"/>
  <c r="D47" i="6"/>
  <c r="E47" i="6"/>
  <c r="F47" i="6"/>
  <c r="G47" i="6"/>
  <c r="H47" i="6"/>
  <c r="I47" i="6"/>
  <c r="J47" i="6"/>
  <c r="D48" i="6"/>
  <c r="E48" i="6"/>
  <c r="F48" i="6"/>
  <c r="G48" i="6"/>
  <c r="H48" i="6"/>
  <c r="I48" i="6"/>
  <c r="J48" i="6"/>
  <c r="D49" i="6"/>
  <c r="E49" i="6"/>
  <c r="F49" i="6"/>
  <c r="G49" i="6"/>
  <c r="H49" i="6"/>
  <c r="I49" i="6"/>
  <c r="J49" i="6"/>
  <c r="D50" i="6"/>
  <c r="E50" i="6"/>
  <c r="F50" i="6"/>
  <c r="G50" i="6"/>
  <c r="H50" i="6"/>
  <c r="I50" i="6"/>
  <c r="J50" i="6"/>
  <c r="D51" i="6"/>
  <c r="E51" i="6"/>
  <c r="F51" i="6"/>
  <c r="G51" i="6"/>
  <c r="H51" i="6"/>
  <c r="I51" i="6"/>
  <c r="J51" i="6"/>
  <c r="D52" i="6"/>
  <c r="E52" i="6"/>
  <c r="F52" i="6"/>
  <c r="G52" i="6"/>
  <c r="H52" i="6"/>
  <c r="I52" i="6"/>
  <c r="J52" i="6"/>
  <c r="D53" i="6"/>
  <c r="E53" i="6"/>
  <c r="F53" i="6"/>
  <c r="G53" i="6"/>
  <c r="H53" i="6"/>
  <c r="I53" i="6"/>
  <c r="J53" i="6"/>
  <c r="D54" i="6"/>
  <c r="E54" i="6"/>
  <c r="F54" i="6"/>
  <c r="G54" i="6"/>
  <c r="H54" i="6"/>
  <c r="I54" i="6"/>
  <c r="J54" i="6"/>
  <c r="D55" i="6"/>
  <c r="E55" i="6"/>
  <c r="F55" i="6"/>
  <c r="G55" i="6"/>
  <c r="H55" i="6"/>
  <c r="I55" i="6"/>
  <c r="J55" i="6"/>
  <c r="D56" i="6"/>
  <c r="E56" i="6"/>
  <c r="F56" i="6"/>
  <c r="G56" i="6"/>
  <c r="H56" i="6"/>
  <c r="I56" i="6"/>
  <c r="J56" i="6"/>
  <c r="D31" i="6"/>
  <c r="E31" i="6"/>
  <c r="F31" i="6"/>
  <c r="G31" i="6"/>
  <c r="H31" i="6"/>
  <c r="I31" i="6"/>
  <c r="J31" i="6"/>
  <c r="K31" i="6"/>
  <c r="D32" i="6"/>
  <c r="E32" i="6"/>
  <c r="F32" i="6"/>
  <c r="G32" i="6"/>
  <c r="H32" i="6"/>
  <c r="I32" i="6"/>
  <c r="J32" i="6"/>
  <c r="K32" i="6"/>
  <c r="D33" i="6"/>
  <c r="E33" i="6"/>
  <c r="F33" i="6"/>
  <c r="G33" i="6"/>
  <c r="H33" i="6"/>
  <c r="I33" i="6"/>
  <c r="J33" i="6"/>
  <c r="K33" i="6"/>
  <c r="D34" i="6"/>
  <c r="E34" i="6"/>
  <c r="F34" i="6"/>
  <c r="G34" i="6"/>
  <c r="H34" i="6"/>
  <c r="I34" i="6"/>
  <c r="J34" i="6"/>
  <c r="K34" i="6"/>
  <c r="D35" i="6"/>
  <c r="E35" i="6"/>
  <c r="F35" i="6"/>
  <c r="G35" i="6"/>
  <c r="H35" i="6"/>
  <c r="I35" i="6"/>
  <c r="J35" i="6"/>
  <c r="K35" i="6"/>
  <c r="D36" i="6"/>
  <c r="E36" i="6"/>
  <c r="F36" i="6"/>
  <c r="G36" i="6"/>
  <c r="H36" i="6"/>
  <c r="I36" i="6"/>
  <c r="J36" i="6"/>
  <c r="K36" i="6"/>
  <c r="D37" i="6"/>
  <c r="E37" i="6"/>
  <c r="F37" i="6"/>
  <c r="G37" i="6"/>
  <c r="H37" i="6"/>
  <c r="I37" i="6"/>
  <c r="J37" i="6"/>
  <c r="K37" i="6"/>
  <c r="D38" i="6"/>
  <c r="E38" i="6"/>
  <c r="F38" i="6"/>
  <c r="G38" i="6"/>
  <c r="H38" i="6"/>
  <c r="I38" i="6"/>
  <c r="J38" i="6"/>
  <c r="K38" i="6"/>
  <c r="D39" i="6"/>
  <c r="E39" i="6"/>
  <c r="F39" i="6"/>
  <c r="G39" i="6"/>
  <c r="H39" i="6"/>
  <c r="I39" i="6"/>
  <c r="J39" i="6"/>
  <c r="K39" i="6"/>
  <c r="D40" i="6"/>
  <c r="E40" i="6"/>
  <c r="F40" i="6"/>
  <c r="G40" i="6"/>
  <c r="H40" i="6"/>
  <c r="I40" i="6"/>
  <c r="J40" i="6"/>
  <c r="K40" i="6"/>
  <c r="D41" i="6"/>
  <c r="E41" i="6"/>
  <c r="F41" i="6"/>
  <c r="G41" i="6"/>
  <c r="H41" i="6"/>
  <c r="I41" i="6"/>
  <c r="J41" i="6"/>
  <c r="K41" i="6"/>
  <c r="D17" i="6"/>
  <c r="E17" i="6"/>
  <c r="F17" i="6"/>
  <c r="G17" i="6"/>
  <c r="H17" i="6"/>
  <c r="I17" i="6"/>
  <c r="J17" i="6"/>
  <c r="K17" i="6"/>
  <c r="L17" i="6"/>
  <c r="D18" i="6"/>
  <c r="E18" i="6"/>
  <c r="F18" i="6"/>
  <c r="G18" i="6"/>
  <c r="H18" i="6"/>
  <c r="I18" i="6"/>
  <c r="J18" i="6"/>
  <c r="K18" i="6"/>
  <c r="L18" i="6"/>
  <c r="D19" i="6"/>
  <c r="E19" i="6"/>
  <c r="F19" i="6"/>
  <c r="G19" i="6"/>
  <c r="H19" i="6"/>
  <c r="I19" i="6"/>
  <c r="J19" i="6"/>
  <c r="K19" i="6"/>
  <c r="L19" i="6"/>
  <c r="D20" i="6"/>
  <c r="E20" i="6"/>
  <c r="F20" i="6"/>
  <c r="G20" i="6"/>
  <c r="H20" i="6"/>
  <c r="I20" i="6"/>
  <c r="J20" i="6"/>
  <c r="K20" i="6"/>
  <c r="L20" i="6"/>
  <c r="D21" i="6"/>
  <c r="E21" i="6"/>
  <c r="F21" i="6"/>
  <c r="G21" i="6"/>
  <c r="H21" i="6"/>
  <c r="I21" i="6"/>
  <c r="J21" i="6"/>
  <c r="K21" i="6"/>
  <c r="L21" i="6"/>
  <c r="D22" i="6"/>
  <c r="E22" i="6"/>
  <c r="F22" i="6"/>
  <c r="G22" i="6"/>
  <c r="H22" i="6"/>
  <c r="I22" i="6"/>
  <c r="J22" i="6"/>
  <c r="K22" i="6"/>
  <c r="L22" i="6"/>
  <c r="D23" i="6"/>
  <c r="E23" i="6"/>
  <c r="F23" i="6"/>
  <c r="G23" i="6"/>
  <c r="H23" i="6"/>
  <c r="I23" i="6"/>
  <c r="J23" i="6"/>
  <c r="K23" i="6"/>
  <c r="L23" i="6"/>
  <c r="D24" i="6"/>
  <c r="E24" i="6"/>
  <c r="F24" i="6"/>
  <c r="G24" i="6"/>
  <c r="H24" i="6"/>
  <c r="I24" i="6"/>
  <c r="J24" i="6"/>
  <c r="K24" i="6"/>
  <c r="L24" i="6"/>
  <c r="D25" i="6"/>
  <c r="E25" i="6"/>
  <c r="F25" i="6"/>
  <c r="G25" i="6"/>
  <c r="H25" i="6"/>
  <c r="I25" i="6"/>
  <c r="J25" i="6"/>
  <c r="K25" i="6"/>
  <c r="L25" i="6"/>
  <c r="D26" i="6"/>
  <c r="E26" i="6"/>
  <c r="F26" i="6"/>
  <c r="G26" i="6"/>
  <c r="H26" i="6"/>
  <c r="I26" i="6"/>
  <c r="J26" i="6"/>
  <c r="K26" i="6"/>
  <c r="L26" i="6"/>
  <c r="D27" i="6"/>
  <c r="E27" i="6"/>
  <c r="F27" i="6"/>
  <c r="G27" i="6"/>
  <c r="H27" i="6"/>
  <c r="I27" i="6"/>
  <c r="J27" i="6"/>
  <c r="K27" i="6"/>
  <c r="L27" i="6"/>
  <c r="D28" i="6"/>
  <c r="E28" i="6"/>
  <c r="F28" i="6"/>
  <c r="G28" i="6"/>
  <c r="H28" i="6"/>
  <c r="I28" i="6"/>
  <c r="J28" i="6"/>
  <c r="K28" i="6"/>
  <c r="L28" i="6"/>
  <c r="D29" i="6"/>
  <c r="E29" i="6"/>
  <c r="F29" i="6"/>
  <c r="G29" i="6"/>
  <c r="H29" i="6"/>
  <c r="I29" i="6"/>
  <c r="J29" i="6"/>
  <c r="K29" i="6"/>
  <c r="L29" i="6"/>
  <c r="D30" i="6"/>
  <c r="E30" i="6"/>
  <c r="F30" i="6"/>
  <c r="G30" i="6"/>
  <c r="H30" i="6"/>
  <c r="I30" i="6"/>
  <c r="J30" i="6"/>
  <c r="K30" i="6"/>
  <c r="L30" i="6"/>
  <c r="D4" i="6"/>
  <c r="E4" i="6"/>
  <c r="F4" i="6"/>
  <c r="G4" i="6"/>
  <c r="H4" i="6"/>
  <c r="I4" i="6"/>
  <c r="J4" i="6"/>
  <c r="K4" i="6"/>
  <c r="L4" i="6"/>
  <c r="M4" i="6"/>
  <c r="D5" i="6"/>
  <c r="E5" i="6"/>
  <c r="F5" i="6"/>
  <c r="G5" i="6"/>
  <c r="H5" i="6"/>
  <c r="I5" i="6"/>
  <c r="J5" i="6"/>
  <c r="K5" i="6"/>
  <c r="L5" i="6"/>
  <c r="M5" i="6"/>
  <c r="D6" i="6"/>
  <c r="E6" i="6"/>
  <c r="F6" i="6"/>
  <c r="G6" i="6"/>
  <c r="H6" i="6"/>
  <c r="I6" i="6"/>
  <c r="J6" i="6"/>
  <c r="K6" i="6"/>
  <c r="L6" i="6"/>
  <c r="M6" i="6"/>
  <c r="D7" i="6"/>
  <c r="E7" i="6"/>
  <c r="F7" i="6"/>
  <c r="G7" i="6"/>
  <c r="H7" i="6"/>
  <c r="I7" i="6"/>
  <c r="J7" i="6"/>
  <c r="K7" i="6"/>
  <c r="L7" i="6"/>
  <c r="M7" i="6"/>
  <c r="D8" i="6"/>
  <c r="E8" i="6"/>
  <c r="F8" i="6"/>
  <c r="G8" i="6"/>
  <c r="H8" i="6"/>
  <c r="I8" i="6"/>
  <c r="J8" i="6"/>
  <c r="K8" i="6"/>
  <c r="L8" i="6"/>
  <c r="M8" i="6"/>
  <c r="D9" i="6"/>
  <c r="E9" i="6"/>
  <c r="F9" i="6"/>
  <c r="G9" i="6"/>
  <c r="H9" i="6"/>
  <c r="I9" i="6"/>
  <c r="J9" i="6"/>
  <c r="K9" i="6"/>
  <c r="L9" i="6"/>
  <c r="M9" i="6"/>
  <c r="D10" i="6"/>
  <c r="E10" i="6"/>
  <c r="F10" i="6"/>
  <c r="G10" i="6"/>
  <c r="H10" i="6"/>
  <c r="I10" i="6"/>
  <c r="J10" i="6"/>
  <c r="K10" i="6"/>
  <c r="L10" i="6"/>
  <c r="M10" i="6"/>
  <c r="D11" i="6"/>
  <c r="E11" i="6"/>
  <c r="F11" i="6"/>
  <c r="G11" i="6"/>
  <c r="H11" i="6"/>
  <c r="I11" i="6"/>
  <c r="J11" i="6"/>
  <c r="K11" i="6"/>
  <c r="L11" i="6"/>
  <c r="M11" i="6"/>
  <c r="D12" i="6"/>
  <c r="E12" i="6"/>
  <c r="F12" i="6"/>
  <c r="G12" i="6"/>
  <c r="H12" i="6"/>
  <c r="I12" i="6"/>
  <c r="J12" i="6"/>
  <c r="K12" i="6"/>
  <c r="L12" i="6"/>
  <c r="M12" i="6"/>
  <c r="D13" i="6"/>
  <c r="E13" i="6"/>
  <c r="F13" i="6"/>
  <c r="G13" i="6"/>
  <c r="H13" i="6"/>
  <c r="I13" i="6"/>
  <c r="J13" i="6"/>
  <c r="K13" i="6"/>
  <c r="L13" i="6"/>
  <c r="M13" i="6"/>
  <c r="D14" i="6"/>
  <c r="E14" i="6"/>
  <c r="F14" i="6"/>
  <c r="G14" i="6"/>
  <c r="H14" i="6"/>
  <c r="I14" i="6"/>
  <c r="J14" i="6"/>
  <c r="K14" i="6"/>
  <c r="L14" i="6"/>
  <c r="M14" i="6"/>
  <c r="D15" i="6"/>
  <c r="E15" i="6"/>
  <c r="F15" i="6"/>
  <c r="G15" i="6"/>
  <c r="H15" i="6"/>
  <c r="I15" i="6"/>
  <c r="J15" i="6"/>
  <c r="K15" i="6"/>
  <c r="L15" i="6"/>
  <c r="M15" i="6"/>
  <c r="D16" i="6"/>
  <c r="E16" i="6"/>
  <c r="F16" i="6"/>
  <c r="H16" i="6"/>
  <c r="I16" i="6"/>
  <c r="J16" i="6"/>
  <c r="K16" i="6"/>
  <c r="L16" i="6"/>
  <c r="M16" i="6"/>
  <c r="E3" i="6"/>
  <c r="F3" i="6"/>
  <c r="G3" i="6"/>
  <c r="H3" i="6"/>
  <c r="I3" i="6"/>
  <c r="J3" i="6"/>
  <c r="K3" i="6"/>
  <c r="L3" i="6"/>
  <c r="M3" i="6"/>
  <c r="D3" i="6"/>
  <c r="C98" i="6"/>
  <c r="C99" i="6"/>
  <c r="C100" i="6"/>
  <c r="C101" i="6"/>
  <c r="C102" i="6"/>
  <c r="C103" i="6"/>
  <c r="C104" i="6"/>
  <c r="C105" i="6"/>
  <c r="C106" i="6"/>
  <c r="C87" i="6"/>
  <c r="C88" i="6"/>
  <c r="C89" i="6"/>
  <c r="C90" i="6"/>
  <c r="C91" i="6"/>
  <c r="C92" i="6"/>
  <c r="C93" i="6"/>
  <c r="C94" i="6"/>
  <c r="C95" i="6"/>
  <c r="C96" i="6"/>
  <c r="C97" i="6"/>
  <c r="C4" i="6"/>
  <c r="C5" i="6"/>
  <c r="C6" i="6"/>
  <c r="C79" i="6"/>
  <c r="C80" i="6"/>
  <c r="C81" i="6"/>
  <c r="C82" i="6"/>
  <c r="C83" i="6"/>
  <c r="C84" i="6"/>
  <c r="C85" i="6"/>
  <c r="C86" i="6"/>
  <c r="C3" i="6"/>
  <c r="O106" i="4"/>
  <c r="O107" i="4"/>
  <c r="O108" i="4"/>
  <c r="O109" i="4"/>
  <c r="O110" i="4"/>
  <c r="O111" i="4"/>
  <c r="O112" i="4"/>
  <c r="O113" i="4"/>
  <c r="O114" i="4"/>
  <c r="O11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2" i="4"/>
  <c r="O4" i="4"/>
  <c r="O3" i="4"/>
  <c r="O5" i="4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124" i="3"/>
  <c r="F50" i="2"/>
  <c r="F51" i="2"/>
  <c r="F52" i="2"/>
  <c r="F53" i="2"/>
  <c r="F34" i="2"/>
  <c r="C34" i="2" s="1"/>
  <c r="F35" i="2"/>
  <c r="F36" i="2"/>
  <c r="F37" i="2"/>
  <c r="F38" i="2"/>
  <c r="F39" i="2"/>
  <c r="F40" i="2"/>
  <c r="F41" i="2"/>
  <c r="F42" i="2"/>
  <c r="F43" i="2"/>
  <c r="F33" i="2"/>
  <c r="BP94" i="3"/>
  <c r="BP95" i="3"/>
  <c r="BP96" i="3"/>
  <c r="BP97" i="3"/>
  <c r="BP98" i="3"/>
  <c r="BP99" i="3"/>
  <c r="BP100" i="3"/>
  <c r="BP101" i="3"/>
  <c r="BP102" i="3"/>
  <c r="BP103" i="3"/>
  <c r="BP104" i="3"/>
  <c r="BP105" i="3"/>
  <c r="BP106" i="3"/>
  <c r="BP78" i="3"/>
  <c r="BQ78" i="3"/>
  <c r="BP79" i="3"/>
  <c r="BQ79" i="3"/>
  <c r="BP80" i="3"/>
  <c r="BQ80" i="3"/>
  <c r="BP81" i="3"/>
  <c r="BQ81" i="3"/>
  <c r="BP82" i="3"/>
  <c r="BQ82" i="3"/>
  <c r="BP83" i="3"/>
  <c r="BQ83" i="3"/>
  <c r="BP84" i="3"/>
  <c r="BQ84" i="3"/>
  <c r="BP85" i="3"/>
  <c r="BQ85" i="3"/>
  <c r="BP86" i="3"/>
  <c r="BQ86" i="3"/>
  <c r="BP87" i="3"/>
  <c r="BQ87" i="3"/>
  <c r="BP88" i="3"/>
  <c r="BQ88" i="3"/>
  <c r="BP89" i="3"/>
  <c r="BQ89" i="3"/>
  <c r="BP90" i="3"/>
  <c r="BQ90" i="3"/>
  <c r="BP91" i="3"/>
  <c r="BQ91" i="3"/>
  <c r="BP92" i="3"/>
  <c r="BQ92" i="3"/>
  <c r="BP93" i="3"/>
  <c r="BQ93" i="3"/>
  <c r="BP72" i="3"/>
  <c r="BQ72" i="3"/>
  <c r="BR72" i="3"/>
  <c r="BP73" i="3"/>
  <c r="BQ73" i="3"/>
  <c r="BR73" i="3"/>
  <c r="BP74" i="3"/>
  <c r="BQ74" i="3"/>
  <c r="BR74" i="3"/>
  <c r="BP75" i="3"/>
  <c r="BQ75" i="3"/>
  <c r="BR75" i="3"/>
  <c r="BP76" i="3"/>
  <c r="BQ76" i="3"/>
  <c r="BR76" i="3"/>
  <c r="BP77" i="3"/>
  <c r="BQ77" i="3"/>
  <c r="BR77" i="3"/>
  <c r="BP62" i="3"/>
  <c r="BQ62" i="3"/>
  <c r="BR62" i="3"/>
  <c r="BS62" i="3"/>
  <c r="BP63" i="3"/>
  <c r="BQ63" i="3"/>
  <c r="BR63" i="3"/>
  <c r="BS63" i="3"/>
  <c r="BP64" i="3"/>
  <c r="BQ64" i="3"/>
  <c r="BR64" i="3"/>
  <c r="BS64" i="3"/>
  <c r="BP65" i="3"/>
  <c r="BQ65" i="3"/>
  <c r="BR65" i="3"/>
  <c r="BS65" i="3"/>
  <c r="BP66" i="3"/>
  <c r="BQ66" i="3"/>
  <c r="BR66" i="3"/>
  <c r="BS66" i="3"/>
  <c r="BP67" i="3"/>
  <c r="BQ67" i="3"/>
  <c r="BR67" i="3"/>
  <c r="BS67" i="3"/>
  <c r="BP68" i="3"/>
  <c r="BQ68" i="3"/>
  <c r="BR68" i="3"/>
  <c r="BS68" i="3"/>
  <c r="BP69" i="3"/>
  <c r="BQ69" i="3"/>
  <c r="BR69" i="3"/>
  <c r="BS69" i="3"/>
  <c r="BP70" i="3"/>
  <c r="BQ70" i="3"/>
  <c r="BR70" i="3"/>
  <c r="BS70" i="3"/>
  <c r="BP71" i="3"/>
  <c r="BQ71" i="3"/>
  <c r="BR71" i="3"/>
  <c r="BS71" i="3"/>
  <c r="BP56" i="3"/>
  <c r="BQ56" i="3"/>
  <c r="BR56" i="3"/>
  <c r="BS56" i="3"/>
  <c r="BT56" i="3"/>
  <c r="BP57" i="3"/>
  <c r="BQ57" i="3"/>
  <c r="BR57" i="3"/>
  <c r="BS57" i="3"/>
  <c r="BT57" i="3"/>
  <c r="BP58" i="3"/>
  <c r="BQ58" i="3"/>
  <c r="BR58" i="3"/>
  <c r="BS58" i="3"/>
  <c r="BT58" i="3"/>
  <c r="BP59" i="3"/>
  <c r="BQ59" i="3"/>
  <c r="BR59" i="3"/>
  <c r="BS59" i="3"/>
  <c r="BT59" i="3"/>
  <c r="BP60" i="3"/>
  <c r="BQ60" i="3"/>
  <c r="BR60" i="3"/>
  <c r="BS60" i="3"/>
  <c r="BT60" i="3"/>
  <c r="BP61" i="3"/>
  <c r="BQ61" i="3"/>
  <c r="BR61" i="3"/>
  <c r="BS61" i="3"/>
  <c r="BT61" i="3"/>
  <c r="BP41" i="3"/>
  <c r="BQ41" i="3"/>
  <c r="BR41" i="3"/>
  <c r="BS41" i="3"/>
  <c r="BT41" i="3"/>
  <c r="BU41" i="3"/>
  <c r="BP42" i="3"/>
  <c r="BQ42" i="3"/>
  <c r="BR42" i="3"/>
  <c r="BS42" i="3"/>
  <c r="BT42" i="3"/>
  <c r="BU42" i="3"/>
  <c r="BP43" i="3"/>
  <c r="BQ43" i="3"/>
  <c r="BR43" i="3"/>
  <c r="BS43" i="3"/>
  <c r="BT43" i="3"/>
  <c r="BU43" i="3"/>
  <c r="BP44" i="3"/>
  <c r="BQ44" i="3"/>
  <c r="BR44" i="3"/>
  <c r="BS44" i="3"/>
  <c r="BT44" i="3"/>
  <c r="BU44" i="3"/>
  <c r="BP45" i="3"/>
  <c r="BQ45" i="3"/>
  <c r="BR45" i="3"/>
  <c r="BS45" i="3"/>
  <c r="BT45" i="3"/>
  <c r="BU45" i="3"/>
  <c r="BP46" i="3"/>
  <c r="BQ46" i="3"/>
  <c r="BR46" i="3"/>
  <c r="BS46" i="3"/>
  <c r="BT46" i="3"/>
  <c r="BU46" i="3"/>
  <c r="BP47" i="3"/>
  <c r="BQ47" i="3"/>
  <c r="BR47" i="3"/>
  <c r="BS47" i="3"/>
  <c r="BT47" i="3"/>
  <c r="BU47" i="3"/>
  <c r="BP48" i="3"/>
  <c r="BQ48" i="3"/>
  <c r="BR48" i="3"/>
  <c r="BS48" i="3"/>
  <c r="BT48" i="3"/>
  <c r="BU48" i="3"/>
  <c r="BP49" i="3"/>
  <c r="BQ49" i="3"/>
  <c r="BR49" i="3"/>
  <c r="BS49" i="3"/>
  <c r="BT49" i="3"/>
  <c r="BU49" i="3"/>
  <c r="BP50" i="3"/>
  <c r="BQ50" i="3"/>
  <c r="BR50" i="3"/>
  <c r="BS50" i="3"/>
  <c r="BT50" i="3"/>
  <c r="BU50" i="3"/>
  <c r="BP51" i="3"/>
  <c r="BQ51" i="3"/>
  <c r="BR51" i="3"/>
  <c r="BS51" i="3"/>
  <c r="BT51" i="3"/>
  <c r="BU51" i="3"/>
  <c r="BP52" i="3"/>
  <c r="BQ52" i="3"/>
  <c r="BR52" i="3"/>
  <c r="BS52" i="3"/>
  <c r="BT52" i="3"/>
  <c r="BU52" i="3"/>
  <c r="BP53" i="3"/>
  <c r="BQ53" i="3"/>
  <c r="BR53" i="3"/>
  <c r="BS53" i="3"/>
  <c r="BT53" i="3"/>
  <c r="BU53" i="3"/>
  <c r="BP54" i="3"/>
  <c r="BQ54" i="3"/>
  <c r="BR54" i="3"/>
  <c r="BS54" i="3"/>
  <c r="BT54" i="3"/>
  <c r="BU54" i="3"/>
  <c r="BP55" i="3"/>
  <c r="BQ55" i="3"/>
  <c r="BR55" i="3"/>
  <c r="BS55" i="3"/>
  <c r="BT55" i="3"/>
  <c r="BU55" i="3"/>
  <c r="BP30" i="3"/>
  <c r="BQ30" i="3"/>
  <c r="BR30" i="3"/>
  <c r="BS30" i="3"/>
  <c r="BT30" i="3"/>
  <c r="BU30" i="3"/>
  <c r="BV30" i="3"/>
  <c r="BP31" i="3"/>
  <c r="BQ31" i="3"/>
  <c r="BR31" i="3"/>
  <c r="BS31" i="3"/>
  <c r="BT31" i="3"/>
  <c r="BU31" i="3"/>
  <c r="BV31" i="3"/>
  <c r="BP32" i="3"/>
  <c r="BQ32" i="3"/>
  <c r="BR32" i="3"/>
  <c r="BS32" i="3"/>
  <c r="BT32" i="3"/>
  <c r="BU32" i="3"/>
  <c r="BV32" i="3"/>
  <c r="BP33" i="3"/>
  <c r="BQ33" i="3"/>
  <c r="BR33" i="3"/>
  <c r="BS33" i="3"/>
  <c r="BT33" i="3"/>
  <c r="BU33" i="3"/>
  <c r="BV33" i="3"/>
  <c r="BP34" i="3"/>
  <c r="BQ34" i="3"/>
  <c r="BR34" i="3"/>
  <c r="BS34" i="3"/>
  <c r="BT34" i="3"/>
  <c r="BU34" i="3"/>
  <c r="BV34" i="3"/>
  <c r="BP35" i="3"/>
  <c r="BQ35" i="3"/>
  <c r="BR35" i="3"/>
  <c r="BS35" i="3"/>
  <c r="BT35" i="3"/>
  <c r="BU35" i="3"/>
  <c r="BV35" i="3"/>
  <c r="BP36" i="3"/>
  <c r="BQ36" i="3"/>
  <c r="BR36" i="3"/>
  <c r="BS36" i="3"/>
  <c r="BT36" i="3"/>
  <c r="BU36" i="3"/>
  <c r="BV36" i="3"/>
  <c r="BP37" i="3"/>
  <c r="BQ37" i="3"/>
  <c r="BR37" i="3"/>
  <c r="BS37" i="3"/>
  <c r="BT37" i="3"/>
  <c r="BU37" i="3"/>
  <c r="BV37" i="3"/>
  <c r="BP38" i="3"/>
  <c r="BQ38" i="3"/>
  <c r="BR38" i="3"/>
  <c r="BS38" i="3"/>
  <c r="BT38" i="3"/>
  <c r="BU38" i="3"/>
  <c r="BV38" i="3"/>
  <c r="BP39" i="3"/>
  <c r="BQ39" i="3"/>
  <c r="BR39" i="3"/>
  <c r="BS39" i="3"/>
  <c r="BT39" i="3"/>
  <c r="BU39" i="3"/>
  <c r="BV39" i="3"/>
  <c r="BP40" i="3"/>
  <c r="BQ40" i="3"/>
  <c r="BR40" i="3"/>
  <c r="BS40" i="3"/>
  <c r="BT40" i="3"/>
  <c r="BU40" i="3"/>
  <c r="BV40" i="3"/>
  <c r="BP17" i="3"/>
  <c r="BQ17" i="3"/>
  <c r="BR17" i="3"/>
  <c r="BS17" i="3"/>
  <c r="BT17" i="3"/>
  <c r="BU17" i="3"/>
  <c r="BV17" i="3"/>
  <c r="BW17" i="3"/>
  <c r="BP18" i="3"/>
  <c r="BQ18" i="3"/>
  <c r="BR18" i="3"/>
  <c r="BS18" i="3"/>
  <c r="BT18" i="3"/>
  <c r="BU18" i="3"/>
  <c r="BV18" i="3"/>
  <c r="BW18" i="3"/>
  <c r="BP19" i="3"/>
  <c r="BQ19" i="3"/>
  <c r="BR19" i="3"/>
  <c r="BS19" i="3"/>
  <c r="BT19" i="3"/>
  <c r="BU19" i="3"/>
  <c r="BV19" i="3"/>
  <c r="BW19" i="3"/>
  <c r="BP20" i="3"/>
  <c r="BQ20" i="3"/>
  <c r="BR20" i="3"/>
  <c r="BS20" i="3"/>
  <c r="BT20" i="3"/>
  <c r="BU20" i="3"/>
  <c r="BV20" i="3"/>
  <c r="BW20" i="3"/>
  <c r="BP21" i="3"/>
  <c r="BQ21" i="3"/>
  <c r="BR21" i="3"/>
  <c r="BS21" i="3"/>
  <c r="BT21" i="3"/>
  <c r="BU21" i="3"/>
  <c r="BV21" i="3"/>
  <c r="BW21" i="3"/>
  <c r="BP22" i="3"/>
  <c r="BQ22" i="3"/>
  <c r="BR22" i="3"/>
  <c r="BS22" i="3"/>
  <c r="BT22" i="3"/>
  <c r="BU22" i="3"/>
  <c r="BV22" i="3"/>
  <c r="BW22" i="3"/>
  <c r="BP23" i="3"/>
  <c r="BQ23" i="3"/>
  <c r="BR23" i="3"/>
  <c r="BS23" i="3"/>
  <c r="BT23" i="3"/>
  <c r="BU23" i="3"/>
  <c r="BV23" i="3"/>
  <c r="BW23" i="3"/>
  <c r="BP24" i="3"/>
  <c r="BQ24" i="3"/>
  <c r="BR24" i="3"/>
  <c r="BS24" i="3"/>
  <c r="BT24" i="3"/>
  <c r="BU24" i="3"/>
  <c r="BV24" i="3"/>
  <c r="BW24" i="3"/>
  <c r="BP25" i="3"/>
  <c r="BQ25" i="3"/>
  <c r="BR25" i="3"/>
  <c r="BS25" i="3"/>
  <c r="BT25" i="3"/>
  <c r="BU25" i="3"/>
  <c r="BV25" i="3"/>
  <c r="BW25" i="3"/>
  <c r="BP26" i="3"/>
  <c r="BQ26" i="3"/>
  <c r="BR26" i="3"/>
  <c r="BS26" i="3"/>
  <c r="BT26" i="3"/>
  <c r="BU26" i="3"/>
  <c r="BV26" i="3"/>
  <c r="BW26" i="3"/>
  <c r="BP27" i="3"/>
  <c r="BQ27" i="3"/>
  <c r="BR27" i="3"/>
  <c r="BS27" i="3"/>
  <c r="BT27" i="3"/>
  <c r="BU27" i="3"/>
  <c r="BV27" i="3"/>
  <c r="BW27" i="3"/>
  <c r="BP28" i="3"/>
  <c r="BQ28" i="3"/>
  <c r="BR28" i="3"/>
  <c r="BS28" i="3"/>
  <c r="BT28" i="3"/>
  <c r="BU28" i="3"/>
  <c r="BV28" i="3"/>
  <c r="BW28" i="3"/>
  <c r="BP29" i="3"/>
  <c r="BQ29" i="3"/>
  <c r="BR29" i="3"/>
  <c r="BS29" i="3"/>
  <c r="BT29" i="3"/>
  <c r="BU29" i="3"/>
  <c r="BV29" i="3"/>
  <c r="BW29" i="3"/>
  <c r="BP3" i="3"/>
  <c r="BQ3" i="3"/>
  <c r="BR3" i="3"/>
  <c r="BS3" i="3"/>
  <c r="BT3" i="3"/>
  <c r="BU3" i="3"/>
  <c r="BV3" i="3"/>
  <c r="BW3" i="3"/>
  <c r="BX3" i="3"/>
  <c r="BP4" i="3"/>
  <c r="BQ4" i="3"/>
  <c r="BR4" i="3"/>
  <c r="BS4" i="3"/>
  <c r="BT4" i="3"/>
  <c r="BU4" i="3"/>
  <c r="BV4" i="3"/>
  <c r="BW4" i="3"/>
  <c r="BX4" i="3"/>
  <c r="BP5" i="3"/>
  <c r="BQ5" i="3"/>
  <c r="BR5" i="3"/>
  <c r="BS5" i="3"/>
  <c r="BT5" i="3"/>
  <c r="BU5" i="3"/>
  <c r="BV5" i="3"/>
  <c r="BW5" i="3"/>
  <c r="BX5" i="3"/>
  <c r="BP6" i="3"/>
  <c r="BQ6" i="3"/>
  <c r="BR6" i="3"/>
  <c r="BS6" i="3"/>
  <c r="BT6" i="3"/>
  <c r="BU6" i="3"/>
  <c r="BV6" i="3"/>
  <c r="BW6" i="3"/>
  <c r="BX6" i="3"/>
  <c r="BP7" i="3"/>
  <c r="BQ7" i="3"/>
  <c r="BR7" i="3"/>
  <c r="BS7" i="3"/>
  <c r="BT7" i="3"/>
  <c r="BU7" i="3"/>
  <c r="BV7" i="3"/>
  <c r="BW7" i="3"/>
  <c r="BX7" i="3"/>
  <c r="BP8" i="3"/>
  <c r="BQ8" i="3"/>
  <c r="BR8" i="3"/>
  <c r="BS8" i="3"/>
  <c r="BT8" i="3"/>
  <c r="BU8" i="3"/>
  <c r="BV8" i="3"/>
  <c r="BW8" i="3"/>
  <c r="BX8" i="3"/>
  <c r="BP9" i="3"/>
  <c r="BQ9" i="3"/>
  <c r="BR9" i="3"/>
  <c r="BS9" i="3"/>
  <c r="BT9" i="3"/>
  <c r="BU9" i="3"/>
  <c r="BV9" i="3"/>
  <c r="BW9" i="3"/>
  <c r="BX9" i="3"/>
  <c r="BP10" i="3"/>
  <c r="BQ10" i="3"/>
  <c r="BR10" i="3"/>
  <c r="BS10" i="3"/>
  <c r="BT10" i="3"/>
  <c r="BU10" i="3"/>
  <c r="BV10" i="3"/>
  <c r="BW10" i="3"/>
  <c r="BX10" i="3"/>
  <c r="BP11" i="3"/>
  <c r="BQ11" i="3"/>
  <c r="BR11" i="3"/>
  <c r="BS11" i="3"/>
  <c r="BT11" i="3"/>
  <c r="BU11" i="3"/>
  <c r="BV11" i="3"/>
  <c r="BW11" i="3"/>
  <c r="BX11" i="3"/>
  <c r="BP12" i="3"/>
  <c r="BQ12" i="3"/>
  <c r="BR12" i="3"/>
  <c r="BS12" i="3"/>
  <c r="BT12" i="3"/>
  <c r="BU12" i="3"/>
  <c r="BV12" i="3"/>
  <c r="BW12" i="3"/>
  <c r="BX12" i="3"/>
  <c r="BP13" i="3"/>
  <c r="BQ13" i="3"/>
  <c r="BR13" i="3"/>
  <c r="BS13" i="3"/>
  <c r="BT13" i="3"/>
  <c r="BU13" i="3"/>
  <c r="BV13" i="3"/>
  <c r="BW13" i="3"/>
  <c r="BX13" i="3"/>
  <c r="BP14" i="3"/>
  <c r="BQ14" i="3"/>
  <c r="BR14" i="3"/>
  <c r="BS14" i="3"/>
  <c r="BT14" i="3"/>
  <c r="BU14" i="3"/>
  <c r="BV14" i="3"/>
  <c r="BW14" i="3"/>
  <c r="BX14" i="3"/>
  <c r="BP15" i="3"/>
  <c r="BQ15" i="3"/>
  <c r="BR15" i="3"/>
  <c r="BS15" i="3"/>
  <c r="BT15" i="3"/>
  <c r="BU15" i="3"/>
  <c r="BV15" i="3"/>
  <c r="BW15" i="3"/>
  <c r="BX15" i="3"/>
  <c r="BP16" i="3"/>
  <c r="BQ16" i="3"/>
  <c r="BR16" i="3"/>
  <c r="BS16" i="3"/>
  <c r="BT16" i="3"/>
  <c r="BU16" i="3"/>
  <c r="BV16" i="3"/>
  <c r="BW16" i="3"/>
  <c r="BX16" i="3"/>
  <c r="BQ2" i="3"/>
  <c r="BR2" i="3"/>
  <c r="BS2" i="3"/>
  <c r="BT2" i="3"/>
  <c r="BU2" i="3"/>
  <c r="BV2" i="3"/>
  <c r="BW2" i="3"/>
  <c r="BX2" i="3"/>
  <c r="BP2" i="3"/>
  <c r="BC67" i="3"/>
  <c r="BD67" i="3"/>
  <c r="BA68" i="3"/>
  <c r="BB68" i="3"/>
  <c r="BC68" i="3"/>
  <c r="BD68" i="3"/>
  <c r="BA69" i="3"/>
  <c r="BB69" i="3"/>
  <c r="BC69" i="3"/>
  <c r="BD69" i="3"/>
  <c r="BA70" i="3"/>
  <c r="BB70" i="3"/>
  <c r="BC70" i="3"/>
  <c r="BD70" i="3"/>
  <c r="BA71" i="3"/>
  <c r="BB71" i="3"/>
  <c r="BC71" i="3"/>
  <c r="BD71" i="3"/>
  <c r="BA56" i="3"/>
  <c r="BB56" i="3"/>
  <c r="BC56" i="3"/>
  <c r="BD56" i="3"/>
  <c r="BE56" i="3"/>
  <c r="BA57" i="3"/>
  <c r="BB57" i="3"/>
  <c r="BC57" i="3"/>
  <c r="BD57" i="3"/>
  <c r="BE57" i="3"/>
  <c r="BA58" i="3"/>
  <c r="BB58" i="3"/>
  <c r="BC58" i="3"/>
  <c r="BD58" i="3"/>
  <c r="BE58" i="3"/>
  <c r="BA59" i="3"/>
  <c r="BB59" i="3"/>
  <c r="BC59" i="3"/>
  <c r="BD59" i="3"/>
  <c r="BE59" i="3"/>
  <c r="BA60" i="3"/>
  <c r="BB60" i="3"/>
  <c r="BC60" i="3"/>
  <c r="BD60" i="3"/>
  <c r="BE60" i="3"/>
  <c r="BA61" i="3"/>
  <c r="BB61" i="3"/>
  <c r="BC61" i="3"/>
  <c r="BD61" i="3"/>
  <c r="BE61" i="3"/>
  <c r="BA41" i="3"/>
  <c r="BB41" i="3"/>
  <c r="BC41" i="3"/>
  <c r="BD41" i="3"/>
  <c r="BE41" i="3"/>
  <c r="BF41" i="3"/>
  <c r="BA42" i="3"/>
  <c r="BB42" i="3"/>
  <c r="BC42" i="3"/>
  <c r="BD42" i="3"/>
  <c r="BE42" i="3"/>
  <c r="BF42" i="3"/>
  <c r="BA43" i="3"/>
  <c r="BB43" i="3"/>
  <c r="BC43" i="3"/>
  <c r="BD43" i="3"/>
  <c r="BE43" i="3"/>
  <c r="BF43" i="3"/>
  <c r="BA44" i="3"/>
  <c r="BB44" i="3"/>
  <c r="BC44" i="3"/>
  <c r="BD44" i="3"/>
  <c r="BE44" i="3"/>
  <c r="BF44" i="3"/>
  <c r="BA45" i="3"/>
  <c r="BB45" i="3"/>
  <c r="BC45" i="3"/>
  <c r="BD45" i="3"/>
  <c r="BE45" i="3"/>
  <c r="BF45" i="3"/>
  <c r="BA46" i="3"/>
  <c r="BB46" i="3"/>
  <c r="BC46" i="3"/>
  <c r="BD46" i="3"/>
  <c r="BE46" i="3"/>
  <c r="BF46" i="3"/>
  <c r="BA47" i="3"/>
  <c r="BB47" i="3"/>
  <c r="BC47" i="3"/>
  <c r="BD47" i="3"/>
  <c r="BE47" i="3"/>
  <c r="BF47" i="3"/>
  <c r="BA48" i="3"/>
  <c r="BB48" i="3"/>
  <c r="BC48" i="3"/>
  <c r="BD48" i="3"/>
  <c r="BE48" i="3"/>
  <c r="BF48" i="3"/>
  <c r="BA49" i="3"/>
  <c r="BB49" i="3"/>
  <c r="BC49" i="3"/>
  <c r="BD49" i="3"/>
  <c r="BE49" i="3"/>
  <c r="BF49" i="3"/>
  <c r="BA50" i="3"/>
  <c r="BB50" i="3"/>
  <c r="BC50" i="3"/>
  <c r="BD50" i="3"/>
  <c r="BE50" i="3"/>
  <c r="BF50" i="3"/>
  <c r="BA51" i="3"/>
  <c r="BB51" i="3"/>
  <c r="BC51" i="3"/>
  <c r="BD51" i="3"/>
  <c r="BE51" i="3"/>
  <c r="BF51" i="3"/>
  <c r="BA52" i="3"/>
  <c r="BB52" i="3"/>
  <c r="BC52" i="3"/>
  <c r="BD52" i="3"/>
  <c r="BE52" i="3"/>
  <c r="BF52" i="3"/>
  <c r="BA53" i="3"/>
  <c r="BB53" i="3"/>
  <c r="BC53" i="3"/>
  <c r="BD53" i="3"/>
  <c r="BE53" i="3"/>
  <c r="BF53" i="3"/>
  <c r="BA54" i="3"/>
  <c r="BB54" i="3"/>
  <c r="BC54" i="3"/>
  <c r="BD54" i="3"/>
  <c r="BE54" i="3"/>
  <c r="BF54" i="3"/>
  <c r="BA55" i="3"/>
  <c r="BB55" i="3"/>
  <c r="BC55" i="3"/>
  <c r="BD55" i="3"/>
  <c r="BE55" i="3"/>
  <c r="BF55" i="3"/>
  <c r="BA30" i="3"/>
  <c r="BB30" i="3"/>
  <c r="BC30" i="3"/>
  <c r="BD30" i="3"/>
  <c r="BE30" i="3"/>
  <c r="BF30" i="3"/>
  <c r="BG30" i="3"/>
  <c r="BA31" i="3"/>
  <c r="BB31" i="3"/>
  <c r="BC31" i="3"/>
  <c r="BD31" i="3"/>
  <c r="BE31" i="3"/>
  <c r="BF31" i="3"/>
  <c r="BG31" i="3"/>
  <c r="BA32" i="3"/>
  <c r="BB32" i="3"/>
  <c r="BC32" i="3"/>
  <c r="BD32" i="3"/>
  <c r="BE32" i="3"/>
  <c r="BF32" i="3"/>
  <c r="BG32" i="3"/>
  <c r="BA33" i="3"/>
  <c r="BB33" i="3"/>
  <c r="BC33" i="3"/>
  <c r="BD33" i="3"/>
  <c r="BE33" i="3"/>
  <c r="BF33" i="3"/>
  <c r="BG33" i="3"/>
  <c r="BA34" i="3"/>
  <c r="BB34" i="3"/>
  <c r="BC34" i="3"/>
  <c r="BD34" i="3"/>
  <c r="BE34" i="3"/>
  <c r="BF34" i="3"/>
  <c r="BG34" i="3"/>
  <c r="BA35" i="3"/>
  <c r="BB35" i="3"/>
  <c r="BC35" i="3"/>
  <c r="BD35" i="3"/>
  <c r="BE35" i="3"/>
  <c r="BF35" i="3"/>
  <c r="BG35" i="3"/>
  <c r="BA36" i="3"/>
  <c r="BB36" i="3"/>
  <c r="BC36" i="3"/>
  <c r="BD36" i="3"/>
  <c r="BE36" i="3"/>
  <c r="BF36" i="3"/>
  <c r="BG36" i="3"/>
  <c r="BA37" i="3"/>
  <c r="BB37" i="3"/>
  <c r="BC37" i="3"/>
  <c r="BD37" i="3"/>
  <c r="BE37" i="3"/>
  <c r="BF37" i="3"/>
  <c r="BG37" i="3"/>
  <c r="BA38" i="3"/>
  <c r="BB38" i="3"/>
  <c r="BC38" i="3"/>
  <c r="BD38" i="3"/>
  <c r="BE38" i="3"/>
  <c r="BF38" i="3"/>
  <c r="BG38" i="3"/>
  <c r="BA39" i="3"/>
  <c r="BB39" i="3"/>
  <c r="BC39" i="3"/>
  <c r="BD39" i="3"/>
  <c r="BE39" i="3"/>
  <c r="BF39" i="3"/>
  <c r="BG39" i="3"/>
  <c r="BA40" i="3"/>
  <c r="BB40" i="3"/>
  <c r="BC40" i="3"/>
  <c r="BD40" i="3"/>
  <c r="BE40" i="3"/>
  <c r="BF40" i="3"/>
  <c r="BG40" i="3"/>
  <c r="BA29" i="3"/>
  <c r="BB29" i="3"/>
  <c r="BC29" i="3"/>
  <c r="BD29" i="3"/>
  <c r="BE29" i="3"/>
  <c r="BF29" i="3"/>
  <c r="BG29" i="3"/>
  <c r="BH29" i="3"/>
  <c r="BA17" i="3"/>
  <c r="BB17" i="3"/>
  <c r="BC17" i="3"/>
  <c r="BD17" i="3"/>
  <c r="BE17" i="3"/>
  <c r="BF17" i="3"/>
  <c r="BG17" i="3"/>
  <c r="BH17" i="3"/>
  <c r="BA18" i="3"/>
  <c r="BB18" i="3"/>
  <c r="BC18" i="3"/>
  <c r="BD18" i="3"/>
  <c r="BE18" i="3"/>
  <c r="BF18" i="3"/>
  <c r="BG18" i="3"/>
  <c r="BH18" i="3"/>
  <c r="BA19" i="3"/>
  <c r="BB19" i="3"/>
  <c r="BC19" i="3"/>
  <c r="BD19" i="3"/>
  <c r="BE19" i="3"/>
  <c r="BF19" i="3"/>
  <c r="BG19" i="3"/>
  <c r="BH19" i="3"/>
  <c r="BA20" i="3"/>
  <c r="BB20" i="3"/>
  <c r="BC20" i="3"/>
  <c r="BD20" i="3"/>
  <c r="BE20" i="3"/>
  <c r="BF20" i="3"/>
  <c r="BG20" i="3"/>
  <c r="BH20" i="3"/>
  <c r="BA21" i="3"/>
  <c r="BB21" i="3"/>
  <c r="BC21" i="3"/>
  <c r="BD21" i="3"/>
  <c r="BE21" i="3"/>
  <c r="BF21" i="3"/>
  <c r="BG21" i="3"/>
  <c r="BH21" i="3"/>
  <c r="BA22" i="3"/>
  <c r="BB22" i="3"/>
  <c r="BC22" i="3"/>
  <c r="BD22" i="3"/>
  <c r="BE22" i="3"/>
  <c r="BF22" i="3"/>
  <c r="BG22" i="3"/>
  <c r="BH22" i="3"/>
  <c r="BA23" i="3"/>
  <c r="BB23" i="3"/>
  <c r="BC23" i="3"/>
  <c r="BD23" i="3"/>
  <c r="BE23" i="3"/>
  <c r="BF23" i="3"/>
  <c r="BG23" i="3"/>
  <c r="BH23" i="3"/>
  <c r="BA24" i="3"/>
  <c r="BB24" i="3"/>
  <c r="BC24" i="3"/>
  <c r="BD24" i="3"/>
  <c r="BE24" i="3"/>
  <c r="BF24" i="3"/>
  <c r="BG24" i="3"/>
  <c r="BH24" i="3"/>
  <c r="BA25" i="3"/>
  <c r="BB25" i="3"/>
  <c r="BC25" i="3"/>
  <c r="BD25" i="3"/>
  <c r="BE25" i="3"/>
  <c r="BF25" i="3"/>
  <c r="BG25" i="3"/>
  <c r="BH25" i="3"/>
  <c r="BA26" i="3"/>
  <c r="BB26" i="3"/>
  <c r="BC26" i="3"/>
  <c r="BD26" i="3"/>
  <c r="BE26" i="3"/>
  <c r="BF26" i="3"/>
  <c r="BG26" i="3"/>
  <c r="BH26" i="3"/>
  <c r="BA27" i="3"/>
  <c r="BB27" i="3"/>
  <c r="BC27" i="3"/>
  <c r="BD27" i="3"/>
  <c r="BE27" i="3"/>
  <c r="BF27" i="3"/>
  <c r="BG27" i="3"/>
  <c r="BH27" i="3"/>
  <c r="BA28" i="3"/>
  <c r="BB28" i="3"/>
  <c r="BC28" i="3"/>
  <c r="BD28" i="3"/>
  <c r="BE28" i="3"/>
  <c r="BF28" i="3"/>
  <c r="BG28" i="3"/>
  <c r="BH28" i="3"/>
  <c r="BA3" i="3"/>
  <c r="BB3" i="3"/>
  <c r="BC3" i="3"/>
  <c r="BD3" i="3"/>
  <c r="BE3" i="3"/>
  <c r="BF3" i="3"/>
  <c r="BG3" i="3"/>
  <c r="BH3" i="3"/>
  <c r="BI3" i="3"/>
  <c r="BA4" i="3"/>
  <c r="BB4" i="3"/>
  <c r="BC4" i="3"/>
  <c r="BD4" i="3"/>
  <c r="BE4" i="3"/>
  <c r="BF4" i="3"/>
  <c r="BG4" i="3"/>
  <c r="BH4" i="3"/>
  <c r="BI4" i="3"/>
  <c r="BA5" i="3"/>
  <c r="BB5" i="3"/>
  <c r="BC5" i="3"/>
  <c r="BD5" i="3"/>
  <c r="BE5" i="3"/>
  <c r="BF5" i="3"/>
  <c r="BG5" i="3"/>
  <c r="BH5" i="3"/>
  <c r="BI5" i="3"/>
  <c r="BA6" i="3"/>
  <c r="BB6" i="3"/>
  <c r="BC6" i="3"/>
  <c r="BD6" i="3"/>
  <c r="BE6" i="3"/>
  <c r="BF6" i="3"/>
  <c r="BG6" i="3"/>
  <c r="BH6" i="3"/>
  <c r="BI6" i="3"/>
  <c r="BA7" i="3"/>
  <c r="BB7" i="3"/>
  <c r="BC7" i="3"/>
  <c r="BD7" i="3"/>
  <c r="BE7" i="3"/>
  <c r="BF7" i="3"/>
  <c r="BG7" i="3"/>
  <c r="BH7" i="3"/>
  <c r="BI7" i="3"/>
  <c r="BA8" i="3"/>
  <c r="BB8" i="3"/>
  <c r="BC8" i="3"/>
  <c r="BD8" i="3"/>
  <c r="BE8" i="3"/>
  <c r="BF8" i="3"/>
  <c r="BG8" i="3"/>
  <c r="BH8" i="3"/>
  <c r="BI8" i="3"/>
  <c r="BA9" i="3"/>
  <c r="BB9" i="3"/>
  <c r="BC9" i="3"/>
  <c r="BD9" i="3"/>
  <c r="BE9" i="3"/>
  <c r="BF9" i="3"/>
  <c r="BG9" i="3"/>
  <c r="BH9" i="3"/>
  <c r="BI9" i="3"/>
  <c r="BA10" i="3"/>
  <c r="BB10" i="3"/>
  <c r="BC10" i="3"/>
  <c r="BD10" i="3"/>
  <c r="BE10" i="3"/>
  <c r="BF10" i="3"/>
  <c r="BG10" i="3"/>
  <c r="BH10" i="3"/>
  <c r="BI10" i="3"/>
  <c r="BA11" i="3"/>
  <c r="BB11" i="3"/>
  <c r="BC11" i="3"/>
  <c r="BD11" i="3"/>
  <c r="BE11" i="3"/>
  <c r="BF11" i="3"/>
  <c r="BG11" i="3"/>
  <c r="BH11" i="3"/>
  <c r="BI11" i="3"/>
  <c r="BA12" i="3"/>
  <c r="BB12" i="3"/>
  <c r="BC12" i="3"/>
  <c r="BD12" i="3"/>
  <c r="BE12" i="3"/>
  <c r="BF12" i="3"/>
  <c r="BG12" i="3"/>
  <c r="BH12" i="3"/>
  <c r="BI12" i="3"/>
  <c r="BA13" i="3"/>
  <c r="BB13" i="3"/>
  <c r="BC13" i="3"/>
  <c r="BD13" i="3"/>
  <c r="BE13" i="3"/>
  <c r="BF13" i="3"/>
  <c r="BG13" i="3"/>
  <c r="BH13" i="3"/>
  <c r="BI13" i="3"/>
  <c r="BA14" i="3"/>
  <c r="BB14" i="3"/>
  <c r="BC14" i="3"/>
  <c r="BD14" i="3"/>
  <c r="BE14" i="3"/>
  <c r="BF14" i="3"/>
  <c r="BG14" i="3"/>
  <c r="BH14" i="3"/>
  <c r="BI14" i="3"/>
  <c r="BA15" i="3"/>
  <c r="BB15" i="3"/>
  <c r="BC15" i="3"/>
  <c r="BD15" i="3"/>
  <c r="BE15" i="3"/>
  <c r="BF15" i="3"/>
  <c r="BG15" i="3"/>
  <c r="BH15" i="3"/>
  <c r="BI15" i="3"/>
  <c r="BA16" i="3"/>
  <c r="BB16" i="3"/>
  <c r="BC16" i="3"/>
  <c r="BD16" i="3"/>
  <c r="BE16" i="3"/>
  <c r="BF16" i="3"/>
  <c r="BG16" i="3"/>
  <c r="BH16" i="3"/>
  <c r="BI16" i="3"/>
  <c r="BB2" i="3"/>
  <c r="BC2" i="3"/>
  <c r="BD2" i="3"/>
  <c r="BE2" i="3"/>
  <c r="BF2" i="3"/>
  <c r="BG2" i="3"/>
  <c r="BH2" i="3"/>
  <c r="BI2" i="3"/>
  <c r="BA2" i="3"/>
  <c r="AZ115" i="3"/>
  <c r="AZ114" i="3"/>
  <c r="AZ113" i="3"/>
  <c r="AZ112" i="3"/>
  <c r="AZ111" i="3"/>
  <c r="AZ110" i="3"/>
  <c r="AZ109" i="3"/>
  <c r="AZ108" i="3"/>
  <c r="AZ107" i="3"/>
  <c r="AZ106" i="3"/>
  <c r="AZ105" i="3"/>
  <c r="AZ104" i="3"/>
  <c r="AZ103" i="3"/>
  <c r="AZ102" i="3"/>
  <c r="AZ101" i="3"/>
  <c r="AZ100" i="3"/>
  <c r="AZ99" i="3"/>
  <c r="AZ98" i="3"/>
  <c r="AZ97" i="3"/>
  <c r="AZ96" i="3"/>
  <c r="AZ95" i="3"/>
  <c r="AZ94" i="3"/>
  <c r="AZ93" i="3"/>
  <c r="AZ92" i="3"/>
  <c r="AZ91" i="3"/>
  <c r="AZ90" i="3"/>
  <c r="AZ89" i="3"/>
  <c r="AZ88" i="3"/>
  <c r="AZ87" i="3"/>
  <c r="AZ86" i="3"/>
  <c r="AZ85" i="3"/>
  <c r="AZ84" i="3"/>
  <c r="AZ83" i="3"/>
  <c r="AZ82" i="3"/>
  <c r="AZ81" i="3"/>
  <c r="AZ80" i="3"/>
  <c r="AZ79" i="3"/>
  <c r="AZ78" i="3"/>
  <c r="AZ77" i="3"/>
  <c r="AZ76" i="3"/>
  <c r="AZ75" i="3"/>
  <c r="AZ74" i="3"/>
  <c r="AZ73" i="3"/>
  <c r="AZ71" i="3"/>
  <c r="AZ70" i="3"/>
  <c r="AZ69" i="3"/>
  <c r="AZ68" i="3"/>
  <c r="AZ67" i="3"/>
  <c r="AZ66" i="3"/>
  <c r="AZ65" i="3"/>
  <c r="AZ64" i="3"/>
  <c r="AZ63" i="3"/>
  <c r="AZ62" i="3"/>
  <c r="AZ61" i="3"/>
  <c r="AZ60" i="3"/>
  <c r="AZ59" i="3"/>
  <c r="AZ58" i="3"/>
  <c r="AZ57" i="3"/>
  <c r="AZ56" i="3"/>
  <c r="AZ55" i="3"/>
  <c r="AZ54" i="3"/>
  <c r="AZ53" i="3"/>
  <c r="AZ52" i="3"/>
  <c r="AZ51" i="3"/>
  <c r="AZ50" i="3"/>
  <c r="AZ49" i="3"/>
  <c r="AZ48" i="3"/>
  <c r="AZ47" i="3"/>
  <c r="AZ46" i="3"/>
  <c r="AZ45" i="3"/>
  <c r="AZ44" i="3"/>
  <c r="AZ43" i="3"/>
  <c r="AZ42" i="3"/>
  <c r="AZ41" i="3"/>
  <c r="AZ40" i="3"/>
  <c r="AZ39" i="3"/>
  <c r="AZ38" i="3"/>
  <c r="AZ37" i="3"/>
  <c r="AZ36" i="3"/>
  <c r="AZ35" i="3"/>
  <c r="AZ34" i="3"/>
  <c r="AZ33" i="3"/>
  <c r="AZ32" i="3"/>
  <c r="AZ31" i="3"/>
  <c r="AZ30" i="3"/>
  <c r="AZ29" i="3"/>
  <c r="AZ28" i="3"/>
  <c r="AZ27" i="3"/>
  <c r="AZ26" i="3"/>
  <c r="AZ25" i="3"/>
  <c r="AZ24" i="3"/>
  <c r="AZ23" i="3"/>
  <c r="AZ22" i="3"/>
  <c r="AZ21" i="3"/>
  <c r="AZ20" i="3"/>
  <c r="AZ19" i="3"/>
  <c r="AZ18" i="3"/>
  <c r="AZ17" i="3"/>
  <c r="AZ16" i="3"/>
  <c r="AZ15" i="3"/>
  <c r="AZ14" i="3"/>
  <c r="AZ13" i="3"/>
  <c r="AZ12" i="3"/>
  <c r="AZ11" i="3"/>
  <c r="AZ10" i="3"/>
  <c r="AZ9" i="3"/>
  <c r="AZ8" i="3"/>
  <c r="AZ7" i="3"/>
  <c r="AZ6" i="3"/>
  <c r="AZ5" i="3"/>
  <c r="AZ4" i="3"/>
  <c r="AZ3" i="3"/>
  <c r="AZ2" i="3"/>
  <c r="AB3" i="3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AB79" i="3"/>
  <c r="AB80" i="3"/>
  <c r="AB81" i="3"/>
  <c r="AB82" i="3"/>
  <c r="AB83" i="3"/>
  <c r="AB84" i="3"/>
  <c r="AB85" i="3"/>
  <c r="AB86" i="3"/>
  <c r="AB87" i="3"/>
  <c r="AB88" i="3"/>
  <c r="AB89" i="3"/>
  <c r="AB90" i="3"/>
  <c r="AB91" i="3"/>
  <c r="AB92" i="3"/>
  <c r="AB93" i="3"/>
  <c r="AB94" i="3"/>
  <c r="AB95" i="3"/>
  <c r="AB96" i="3"/>
  <c r="AB97" i="3"/>
  <c r="AB98" i="3"/>
  <c r="AB99" i="3"/>
  <c r="AB100" i="3"/>
  <c r="AB101" i="3"/>
  <c r="AB102" i="3"/>
  <c r="AB103" i="3"/>
  <c r="AB104" i="3"/>
  <c r="AB105" i="3"/>
  <c r="AB106" i="3"/>
  <c r="AB107" i="3"/>
  <c r="AB108" i="3"/>
  <c r="AB109" i="3"/>
  <c r="AB110" i="3"/>
  <c r="AB111" i="3"/>
  <c r="AB112" i="3"/>
  <c r="AB113" i="3"/>
  <c r="AB114" i="3"/>
  <c r="AB115" i="3"/>
  <c r="AB2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78" i="3"/>
  <c r="R78" i="3"/>
  <c r="Q79" i="3"/>
  <c r="R79" i="3"/>
  <c r="Q80" i="3"/>
  <c r="R80" i="3"/>
  <c r="Q81" i="3"/>
  <c r="R81" i="3"/>
  <c r="Q82" i="3"/>
  <c r="R82" i="3"/>
  <c r="Q83" i="3"/>
  <c r="R83" i="3"/>
  <c r="Q84" i="3"/>
  <c r="R84" i="3"/>
  <c r="Q85" i="3"/>
  <c r="R85" i="3"/>
  <c r="Q86" i="3"/>
  <c r="R86" i="3"/>
  <c r="Q87" i="3"/>
  <c r="R87" i="3"/>
  <c r="Q88" i="3"/>
  <c r="R88" i="3"/>
  <c r="Q89" i="3"/>
  <c r="R89" i="3"/>
  <c r="Q90" i="3"/>
  <c r="R90" i="3"/>
  <c r="Q91" i="3"/>
  <c r="R91" i="3"/>
  <c r="Q92" i="3"/>
  <c r="R92" i="3"/>
  <c r="Q93" i="3"/>
  <c r="R93" i="3"/>
  <c r="Q72" i="3"/>
  <c r="R72" i="3"/>
  <c r="S72" i="3"/>
  <c r="Q73" i="3"/>
  <c r="R73" i="3"/>
  <c r="S73" i="3"/>
  <c r="Q74" i="3"/>
  <c r="R74" i="3"/>
  <c r="S74" i="3"/>
  <c r="Q75" i="3"/>
  <c r="R75" i="3"/>
  <c r="S75" i="3"/>
  <c r="Q76" i="3"/>
  <c r="R76" i="3"/>
  <c r="S76" i="3"/>
  <c r="Q77" i="3"/>
  <c r="R77" i="3"/>
  <c r="S77" i="3"/>
  <c r="Q62" i="3"/>
  <c r="R62" i="3"/>
  <c r="S62" i="3"/>
  <c r="T62" i="3"/>
  <c r="Q63" i="3"/>
  <c r="R63" i="3"/>
  <c r="S63" i="3"/>
  <c r="T63" i="3"/>
  <c r="Q64" i="3"/>
  <c r="R64" i="3"/>
  <c r="S64" i="3"/>
  <c r="T64" i="3"/>
  <c r="Q65" i="3"/>
  <c r="R65" i="3"/>
  <c r="S65" i="3"/>
  <c r="T65" i="3"/>
  <c r="Q66" i="3"/>
  <c r="R66" i="3"/>
  <c r="S66" i="3"/>
  <c r="T66" i="3"/>
  <c r="Q67" i="3"/>
  <c r="R67" i="3"/>
  <c r="S67" i="3"/>
  <c r="T67" i="3"/>
  <c r="Q68" i="3"/>
  <c r="R68" i="3"/>
  <c r="S68" i="3"/>
  <c r="T68" i="3"/>
  <c r="Q69" i="3"/>
  <c r="R69" i="3"/>
  <c r="S69" i="3"/>
  <c r="T69" i="3"/>
  <c r="Q70" i="3"/>
  <c r="R70" i="3"/>
  <c r="S70" i="3"/>
  <c r="T70" i="3"/>
  <c r="Q71" i="3"/>
  <c r="R71" i="3"/>
  <c r="S71" i="3"/>
  <c r="T71" i="3"/>
  <c r="Q56" i="3"/>
  <c r="R56" i="3"/>
  <c r="S56" i="3"/>
  <c r="T56" i="3"/>
  <c r="U56" i="3"/>
  <c r="Q57" i="3"/>
  <c r="R57" i="3"/>
  <c r="S57" i="3"/>
  <c r="T57" i="3"/>
  <c r="U57" i="3"/>
  <c r="Q58" i="3"/>
  <c r="R58" i="3"/>
  <c r="S58" i="3"/>
  <c r="T58" i="3"/>
  <c r="U58" i="3"/>
  <c r="Q59" i="3"/>
  <c r="R59" i="3"/>
  <c r="S59" i="3"/>
  <c r="T59" i="3"/>
  <c r="U59" i="3"/>
  <c r="Q60" i="3"/>
  <c r="R60" i="3"/>
  <c r="S60" i="3"/>
  <c r="T60" i="3"/>
  <c r="U60" i="3"/>
  <c r="Q61" i="3"/>
  <c r="R61" i="3"/>
  <c r="S61" i="3"/>
  <c r="T61" i="3"/>
  <c r="U61" i="3"/>
  <c r="Q41" i="3"/>
  <c r="R41" i="3"/>
  <c r="S41" i="3"/>
  <c r="T41" i="3"/>
  <c r="U41" i="3"/>
  <c r="V41" i="3"/>
  <c r="Q42" i="3"/>
  <c r="R42" i="3"/>
  <c r="S42" i="3"/>
  <c r="T42" i="3"/>
  <c r="U42" i="3"/>
  <c r="V42" i="3"/>
  <c r="Q43" i="3"/>
  <c r="R43" i="3"/>
  <c r="S43" i="3"/>
  <c r="T43" i="3"/>
  <c r="U43" i="3"/>
  <c r="V43" i="3"/>
  <c r="Q44" i="3"/>
  <c r="R44" i="3"/>
  <c r="S44" i="3"/>
  <c r="T44" i="3"/>
  <c r="U44" i="3"/>
  <c r="V44" i="3"/>
  <c r="Q45" i="3"/>
  <c r="R45" i="3"/>
  <c r="S45" i="3"/>
  <c r="T45" i="3"/>
  <c r="U45" i="3"/>
  <c r="V45" i="3"/>
  <c r="Q46" i="3"/>
  <c r="R46" i="3"/>
  <c r="S46" i="3"/>
  <c r="T46" i="3"/>
  <c r="U46" i="3"/>
  <c r="V46" i="3"/>
  <c r="Q47" i="3"/>
  <c r="R47" i="3"/>
  <c r="S47" i="3"/>
  <c r="T47" i="3"/>
  <c r="U47" i="3"/>
  <c r="V47" i="3"/>
  <c r="Q48" i="3"/>
  <c r="R48" i="3"/>
  <c r="S48" i="3"/>
  <c r="T48" i="3"/>
  <c r="U48" i="3"/>
  <c r="V48" i="3"/>
  <c r="Q49" i="3"/>
  <c r="R49" i="3"/>
  <c r="S49" i="3"/>
  <c r="T49" i="3"/>
  <c r="U49" i="3"/>
  <c r="V49" i="3"/>
  <c r="Q50" i="3"/>
  <c r="R50" i="3"/>
  <c r="S50" i="3"/>
  <c r="T50" i="3"/>
  <c r="U50" i="3"/>
  <c r="V50" i="3"/>
  <c r="Q51" i="3"/>
  <c r="R51" i="3"/>
  <c r="S51" i="3"/>
  <c r="T51" i="3"/>
  <c r="U51" i="3"/>
  <c r="V51" i="3"/>
  <c r="Q52" i="3"/>
  <c r="R52" i="3"/>
  <c r="S52" i="3"/>
  <c r="T52" i="3"/>
  <c r="U52" i="3"/>
  <c r="V52" i="3"/>
  <c r="Q53" i="3"/>
  <c r="R53" i="3"/>
  <c r="S53" i="3"/>
  <c r="T53" i="3"/>
  <c r="U53" i="3"/>
  <c r="V53" i="3"/>
  <c r="Q54" i="3"/>
  <c r="R54" i="3"/>
  <c r="S54" i="3"/>
  <c r="T54" i="3"/>
  <c r="U54" i="3"/>
  <c r="V54" i="3"/>
  <c r="Q55" i="3"/>
  <c r="R55" i="3"/>
  <c r="S55" i="3"/>
  <c r="T55" i="3"/>
  <c r="U55" i="3"/>
  <c r="V55" i="3"/>
  <c r="Q30" i="3"/>
  <c r="R30" i="3"/>
  <c r="S30" i="3"/>
  <c r="T30" i="3"/>
  <c r="U30" i="3"/>
  <c r="V30" i="3"/>
  <c r="W30" i="3"/>
  <c r="Q31" i="3"/>
  <c r="R31" i="3"/>
  <c r="S31" i="3"/>
  <c r="T31" i="3"/>
  <c r="U31" i="3"/>
  <c r="V31" i="3"/>
  <c r="W31" i="3"/>
  <c r="Q32" i="3"/>
  <c r="R32" i="3"/>
  <c r="S32" i="3"/>
  <c r="T32" i="3"/>
  <c r="U32" i="3"/>
  <c r="V32" i="3"/>
  <c r="W32" i="3"/>
  <c r="Q33" i="3"/>
  <c r="R33" i="3"/>
  <c r="S33" i="3"/>
  <c r="T33" i="3"/>
  <c r="U33" i="3"/>
  <c r="V33" i="3"/>
  <c r="W33" i="3"/>
  <c r="Q34" i="3"/>
  <c r="R34" i="3"/>
  <c r="S34" i="3"/>
  <c r="T34" i="3"/>
  <c r="U34" i="3"/>
  <c r="V34" i="3"/>
  <c r="W34" i="3"/>
  <c r="Q35" i="3"/>
  <c r="R35" i="3"/>
  <c r="S35" i="3"/>
  <c r="T35" i="3"/>
  <c r="U35" i="3"/>
  <c r="V35" i="3"/>
  <c r="W35" i="3"/>
  <c r="Q36" i="3"/>
  <c r="R36" i="3"/>
  <c r="S36" i="3"/>
  <c r="T36" i="3"/>
  <c r="U36" i="3"/>
  <c r="V36" i="3"/>
  <c r="W36" i="3"/>
  <c r="Q37" i="3"/>
  <c r="R37" i="3"/>
  <c r="S37" i="3"/>
  <c r="T37" i="3"/>
  <c r="U37" i="3"/>
  <c r="V37" i="3"/>
  <c r="W37" i="3"/>
  <c r="Q38" i="3"/>
  <c r="R38" i="3"/>
  <c r="S38" i="3"/>
  <c r="T38" i="3"/>
  <c r="U38" i="3"/>
  <c r="V38" i="3"/>
  <c r="W38" i="3"/>
  <c r="Q39" i="3"/>
  <c r="R39" i="3"/>
  <c r="S39" i="3"/>
  <c r="T39" i="3"/>
  <c r="U39" i="3"/>
  <c r="V39" i="3"/>
  <c r="W39" i="3"/>
  <c r="Q40" i="3"/>
  <c r="R40" i="3"/>
  <c r="S40" i="3"/>
  <c r="T40" i="3"/>
  <c r="U40" i="3"/>
  <c r="V40" i="3"/>
  <c r="W40" i="3"/>
  <c r="S29" i="3"/>
  <c r="S26" i="3"/>
  <c r="Q17" i="3"/>
  <c r="R17" i="3"/>
  <c r="S17" i="3"/>
  <c r="T17" i="3"/>
  <c r="U17" i="3"/>
  <c r="V17" i="3"/>
  <c r="W17" i="3"/>
  <c r="X17" i="3"/>
  <c r="Q18" i="3"/>
  <c r="R18" i="3"/>
  <c r="S18" i="3"/>
  <c r="T18" i="3"/>
  <c r="U18" i="3"/>
  <c r="V18" i="3"/>
  <c r="W18" i="3"/>
  <c r="X18" i="3"/>
  <c r="Q19" i="3"/>
  <c r="R19" i="3"/>
  <c r="S19" i="3"/>
  <c r="T19" i="3"/>
  <c r="U19" i="3"/>
  <c r="V19" i="3"/>
  <c r="W19" i="3"/>
  <c r="X19" i="3"/>
  <c r="Q20" i="3"/>
  <c r="R20" i="3"/>
  <c r="S20" i="3"/>
  <c r="T20" i="3"/>
  <c r="U20" i="3"/>
  <c r="V20" i="3"/>
  <c r="W20" i="3"/>
  <c r="X20" i="3"/>
  <c r="Q21" i="3"/>
  <c r="R21" i="3"/>
  <c r="S21" i="3"/>
  <c r="T21" i="3"/>
  <c r="U21" i="3"/>
  <c r="V21" i="3"/>
  <c r="W21" i="3"/>
  <c r="X21" i="3"/>
  <c r="Q22" i="3"/>
  <c r="R22" i="3"/>
  <c r="S22" i="3"/>
  <c r="T22" i="3"/>
  <c r="U22" i="3"/>
  <c r="V22" i="3"/>
  <c r="W22" i="3"/>
  <c r="X22" i="3"/>
  <c r="Q23" i="3"/>
  <c r="R23" i="3"/>
  <c r="S23" i="3"/>
  <c r="T23" i="3"/>
  <c r="U23" i="3"/>
  <c r="V23" i="3"/>
  <c r="W23" i="3"/>
  <c r="X23" i="3"/>
  <c r="Q24" i="3"/>
  <c r="R24" i="3"/>
  <c r="S24" i="3"/>
  <c r="T24" i="3"/>
  <c r="U24" i="3"/>
  <c r="V24" i="3"/>
  <c r="W24" i="3"/>
  <c r="X24" i="3"/>
  <c r="Q25" i="3"/>
  <c r="R25" i="3"/>
  <c r="S25" i="3"/>
  <c r="T25" i="3"/>
  <c r="U25" i="3"/>
  <c r="V25" i="3"/>
  <c r="W25" i="3"/>
  <c r="X25" i="3"/>
  <c r="Q26" i="3"/>
  <c r="R26" i="3"/>
  <c r="T26" i="3"/>
  <c r="U26" i="3"/>
  <c r="V26" i="3"/>
  <c r="W26" i="3"/>
  <c r="X26" i="3"/>
  <c r="Q27" i="3"/>
  <c r="R27" i="3"/>
  <c r="S27" i="3"/>
  <c r="T27" i="3"/>
  <c r="U27" i="3"/>
  <c r="V27" i="3"/>
  <c r="W27" i="3"/>
  <c r="X27" i="3"/>
  <c r="Q28" i="3"/>
  <c r="R28" i="3"/>
  <c r="S28" i="3"/>
  <c r="T28" i="3"/>
  <c r="U28" i="3"/>
  <c r="V28" i="3"/>
  <c r="W28" i="3"/>
  <c r="X28" i="3"/>
  <c r="Q29" i="3"/>
  <c r="R29" i="3"/>
  <c r="T29" i="3"/>
  <c r="U29" i="3"/>
  <c r="V29" i="3"/>
  <c r="W29" i="3"/>
  <c r="X29" i="3"/>
  <c r="Q16" i="3"/>
  <c r="Q3" i="3"/>
  <c r="R3" i="3"/>
  <c r="S3" i="3"/>
  <c r="T3" i="3"/>
  <c r="U3" i="3"/>
  <c r="V3" i="3"/>
  <c r="W3" i="3"/>
  <c r="X3" i="3"/>
  <c r="Y3" i="3"/>
  <c r="Q4" i="3"/>
  <c r="R4" i="3"/>
  <c r="S4" i="3"/>
  <c r="T4" i="3"/>
  <c r="U4" i="3"/>
  <c r="V4" i="3"/>
  <c r="W4" i="3"/>
  <c r="X4" i="3"/>
  <c r="Y4" i="3"/>
  <c r="Q5" i="3"/>
  <c r="R5" i="3"/>
  <c r="S5" i="3"/>
  <c r="T5" i="3"/>
  <c r="U5" i="3"/>
  <c r="V5" i="3"/>
  <c r="W5" i="3"/>
  <c r="X5" i="3"/>
  <c r="Y5" i="3"/>
  <c r="Q6" i="3"/>
  <c r="R6" i="3"/>
  <c r="S6" i="3"/>
  <c r="T6" i="3"/>
  <c r="U6" i="3"/>
  <c r="V6" i="3"/>
  <c r="W6" i="3"/>
  <c r="X6" i="3"/>
  <c r="Y6" i="3"/>
  <c r="Q7" i="3"/>
  <c r="R7" i="3"/>
  <c r="S7" i="3"/>
  <c r="T7" i="3"/>
  <c r="U7" i="3"/>
  <c r="V7" i="3"/>
  <c r="W7" i="3"/>
  <c r="X7" i="3"/>
  <c r="Y7" i="3"/>
  <c r="Q8" i="3"/>
  <c r="R8" i="3"/>
  <c r="S8" i="3"/>
  <c r="T8" i="3"/>
  <c r="U8" i="3"/>
  <c r="V8" i="3"/>
  <c r="W8" i="3"/>
  <c r="X8" i="3"/>
  <c r="Y8" i="3"/>
  <c r="Q9" i="3"/>
  <c r="R9" i="3"/>
  <c r="S9" i="3"/>
  <c r="T9" i="3"/>
  <c r="U9" i="3"/>
  <c r="V9" i="3"/>
  <c r="W9" i="3"/>
  <c r="X9" i="3"/>
  <c r="Y9" i="3"/>
  <c r="Q10" i="3"/>
  <c r="R10" i="3"/>
  <c r="S10" i="3"/>
  <c r="T10" i="3"/>
  <c r="U10" i="3"/>
  <c r="V10" i="3"/>
  <c r="W10" i="3"/>
  <c r="X10" i="3"/>
  <c r="Y10" i="3"/>
  <c r="Q11" i="3"/>
  <c r="R11" i="3"/>
  <c r="S11" i="3"/>
  <c r="T11" i="3"/>
  <c r="U11" i="3"/>
  <c r="V11" i="3"/>
  <c r="W11" i="3"/>
  <c r="X11" i="3"/>
  <c r="Y11" i="3"/>
  <c r="Q12" i="3"/>
  <c r="R12" i="3"/>
  <c r="S12" i="3"/>
  <c r="T12" i="3"/>
  <c r="U12" i="3"/>
  <c r="V12" i="3"/>
  <c r="W12" i="3"/>
  <c r="X12" i="3"/>
  <c r="Y12" i="3"/>
  <c r="Q13" i="3"/>
  <c r="R13" i="3"/>
  <c r="S13" i="3"/>
  <c r="T13" i="3"/>
  <c r="U13" i="3"/>
  <c r="V13" i="3"/>
  <c r="W13" i="3"/>
  <c r="X13" i="3"/>
  <c r="Y13" i="3"/>
  <c r="Q14" i="3"/>
  <c r="R14" i="3"/>
  <c r="S14" i="3"/>
  <c r="T14" i="3"/>
  <c r="U14" i="3"/>
  <c r="V14" i="3"/>
  <c r="W14" i="3"/>
  <c r="X14" i="3"/>
  <c r="Y14" i="3"/>
  <c r="Q15" i="3"/>
  <c r="R15" i="3"/>
  <c r="S15" i="3"/>
  <c r="T15" i="3"/>
  <c r="U15" i="3"/>
  <c r="V15" i="3"/>
  <c r="W15" i="3"/>
  <c r="X15" i="3"/>
  <c r="Y15" i="3"/>
  <c r="R16" i="3"/>
  <c r="S16" i="3"/>
  <c r="T16" i="3"/>
  <c r="U16" i="3"/>
  <c r="V16" i="3"/>
  <c r="W16" i="3"/>
  <c r="X16" i="3"/>
  <c r="Y16" i="3"/>
  <c r="R2" i="3"/>
  <c r="S2" i="3"/>
  <c r="T2" i="3"/>
  <c r="U2" i="3"/>
  <c r="V2" i="3"/>
  <c r="W2" i="3"/>
  <c r="X2" i="3"/>
  <c r="Y2" i="3"/>
  <c r="Q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2" i="3"/>
  <c r="O115" i="3"/>
  <c r="O108" i="3"/>
  <c r="O109" i="3"/>
  <c r="O110" i="3"/>
  <c r="O111" i="3"/>
  <c r="O112" i="3"/>
  <c r="O113" i="3"/>
  <c r="O114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2" i="3"/>
  <c r="G8" i="2"/>
  <c r="G9" i="2"/>
  <c r="G10" i="2"/>
  <c r="G11" i="2"/>
  <c r="G12" i="2"/>
  <c r="G13" i="2"/>
  <c r="G14" i="2"/>
  <c r="G15" i="2"/>
  <c r="G16" i="2"/>
  <c r="G17" i="2"/>
  <c r="G18" i="2"/>
  <c r="G7" i="2"/>
  <c r="F44" i="2"/>
  <c r="F45" i="2"/>
  <c r="F46" i="2"/>
  <c r="F47" i="2"/>
  <c r="F48" i="2"/>
  <c r="F49" i="2"/>
  <c r="B38" i="2"/>
  <c r="B39" i="2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8" i="2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E14" i="4"/>
  <c r="C5" i="14" l="1"/>
  <c r="N38" i="14"/>
  <c r="AK106" i="12"/>
  <c r="AK101" i="12"/>
  <c r="AK97" i="12"/>
  <c r="AK92" i="12"/>
  <c r="AK87" i="12"/>
  <c r="AK83" i="12"/>
  <c r="AK7" i="12"/>
  <c r="S8" i="12"/>
  <c r="S81" i="12"/>
  <c r="S107" i="10"/>
  <c r="O114" i="5"/>
  <c r="O110" i="5"/>
  <c r="O104" i="5"/>
  <c r="O107" i="5"/>
  <c r="O83" i="5"/>
  <c r="O86" i="5"/>
  <c r="O91" i="5"/>
  <c r="O95" i="5"/>
  <c r="O76" i="5"/>
  <c r="O80" i="5"/>
  <c r="O68" i="5"/>
  <c r="O71" i="5"/>
  <c r="O60" i="5"/>
  <c r="O46" i="5"/>
  <c r="O52" i="5"/>
  <c r="O58" i="5"/>
  <c r="O37" i="5"/>
  <c r="O39" i="5"/>
  <c r="O21" i="5"/>
  <c r="Q10" i="5"/>
  <c r="F120" i="5"/>
  <c r="H20" i="13"/>
  <c r="Q16" i="5"/>
  <c r="N24" i="5"/>
  <c r="M33" i="5"/>
  <c r="N33" i="5" s="1"/>
  <c r="D103" i="10"/>
  <c r="S103" i="10" s="1"/>
  <c r="P119" i="5"/>
  <c r="M36" i="5"/>
  <c r="N36" i="5" s="1"/>
  <c r="M41" i="5"/>
  <c r="N41" i="5" s="1"/>
  <c r="M43" i="5"/>
  <c r="N43" i="5" s="1"/>
  <c r="L46" i="5"/>
  <c r="M46" i="5" s="1"/>
  <c r="L53" i="5"/>
  <c r="M53" i="5" s="1"/>
  <c r="N53" i="5" s="1"/>
  <c r="K61" i="5"/>
  <c r="L61" i="5" s="1"/>
  <c r="M61" i="5" s="1"/>
  <c r="N61" i="5" s="1"/>
  <c r="K63" i="5"/>
  <c r="L63" i="5" s="1"/>
  <c r="M63" i="5" s="1"/>
  <c r="N63" i="5" s="1"/>
  <c r="H120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Q14" i="5"/>
  <c r="N21" i="5"/>
  <c r="N25" i="5"/>
  <c r="K59" i="5"/>
  <c r="L59" i="5" s="1"/>
  <c r="J66" i="5"/>
  <c r="K66" i="5" s="1"/>
  <c r="L66" i="5" s="1"/>
  <c r="J67" i="5"/>
  <c r="K67" i="5" s="1"/>
  <c r="L67" i="5" s="1"/>
  <c r="J68" i="5"/>
  <c r="K68" i="5" s="1"/>
  <c r="L68" i="5" s="1"/>
  <c r="M68" i="5" s="1"/>
  <c r="N68" i="5" s="1"/>
  <c r="J69" i="5"/>
  <c r="K69" i="5" s="1"/>
  <c r="J70" i="5"/>
  <c r="K70" i="5" s="1"/>
  <c r="L70" i="5" s="1"/>
  <c r="M70" i="5" s="1"/>
  <c r="N70" i="5" s="1"/>
  <c r="J71" i="5"/>
  <c r="K71" i="5" s="1"/>
  <c r="J72" i="5"/>
  <c r="K72" i="5" s="1"/>
  <c r="J73" i="5"/>
  <c r="K73" i="5" s="1"/>
  <c r="J65" i="5"/>
  <c r="K65" i="5" s="1"/>
  <c r="L65" i="5" s="1"/>
  <c r="M65" i="5" s="1"/>
  <c r="N65" i="5" s="1"/>
  <c r="I75" i="5"/>
  <c r="J75" i="5" s="1"/>
  <c r="K75" i="5" s="1"/>
  <c r="I120" i="5"/>
  <c r="K26" i="5"/>
  <c r="J120" i="5" s="1"/>
  <c r="D6" i="5"/>
  <c r="D7" i="5"/>
  <c r="D8" i="5"/>
  <c r="D81" i="5"/>
  <c r="D82" i="5"/>
  <c r="D83" i="5"/>
  <c r="D84" i="5"/>
  <c r="D85" i="5"/>
  <c r="D86" i="5"/>
  <c r="D87" i="5"/>
  <c r="D88" i="5"/>
  <c r="I93" i="14"/>
  <c r="AK107" i="12"/>
  <c r="AK102" i="12"/>
  <c r="AK94" i="12"/>
  <c r="AK91" i="12"/>
  <c r="AK86" i="12"/>
  <c r="AK81" i="12"/>
  <c r="AK8" i="12"/>
  <c r="S6" i="12"/>
  <c r="S83" i="12"/>
  <c r="S85" i="12"/>
  <c r="S87" i="12"/>
  <c r="S88" i="12"/>
  <c r="S90" i="12"/>
  <c r="S92" i="12"/>
  <c r="S93" i="12"/>
  <c r="S95" i="12"/>
  <c r="S96" i="12"/>
  <c r="S100" i="12"/>
  <c r="S102" i="12"/>
  <c r="S105" i="12"/>
  <c r="S107" i="12"/>
  <c r="S5" i="12"/>
  <c r="O115" i="5"/>
  <c r="O98" i="5"/>
  <c r="O101" i="5"/>
  <c r="O106" i="5"/>
  <c r="O97" i="5"/>
  <c r="O85" i="5"/>
  <c r="O87" i="5"/>
  <c r="O90" i="5"/>
  <c r="O94" i="5"/>
  <c r="O77" i="5"/>
  <c r="O67" i="5"/>
  <c r="O72" i="5"/>
  <c r="O62" i="5"/>
  <c r="O59" i="5"/>
  <c r="O49" i="5"/>
  <c r="O54" i="5"/>
  <c r="O44" i="5"/>
  <c r="O38" i="5"/>
  <c r="O42" i="5"/>
  <c r="O24" i="5"/>
  <c r="Q8" i="5"/>
  <c r="Q11" i="5"/>
  <c r="Q18" i="5"/>
  <c r="M34" i="5"/>
  <c r="N34" i="5" s="1"/>
  <c r="M38" i="5"/>
  <c r="N38" i="5" s="1"/>
  <c r="G16" i="6"/>
  <c r="H18" i="5" s="1"/>
  <c r="G120" i="5" s="1"/>
  <c r="C116" i="6"/>
  <c r="C111" i="6"/>
  <c r="C112" i="6"/>
  <c r="C113" i="6"/>
  <c r="C114" i="6"/>
  <c r="C115" i="6"/>
  <c r="C107" i="6"/>
  <c r="C108" i="6"/>
  <c r="C109" i="6"/>
  <c r="C110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I101" i="14"/>
  <c r="S105" i="10"/>
  <c r="O111" i="5"/>
  <c r="O116" i="5"/>
  <c r="O99" i="5"/>
  <c r="O102" i="5"/>
  <c r="O105" i="5"/>
  <c r="O109" i="5"/>
  <c r="O82" i="5"/>
  <c r="O89" i="5"/>
  <c r="O93" i="5"/>
  <c r="O96" i="5"/>
  <c r="O78" i="5"/>
  <c r="O75" i="5"/>
  <c r="O69" i="5"/>
  <c r="O73" i="5"/>
  <c r="O61" i="5"/>
  <c r="O45" i="5"/>
  <c r="O53" i="5"/>
  <c r="O57" i="5"/>
  <c r="O36" i="5"/>
  <c r="O43" i="5"/>
  <c r="O23" i="5"/>
  <c r="Q5" i="5"/>
  <c r="Q17" i="5"/>
  <c r="M40" i="5"/>
  <c r="N40" i="5" s="1"/>
  <c r="K120" i="5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K108" i="12"/>
  <c r="AK104" i="12"/>
  <c r="AK99" i="12"/>
  <c r="AK96" i="12"/>
  <c r="AK89" i="12"/>
  <c r="AK84" i="12"/>
  <c r="S7" i="12"/>
  <c r="Q6" i="5"/>
  <c r="Q12" i="5"/>
  <c r="Q15" i="5"/>
  <c r="N22" i="5"/>
  <c r="M35" i="5"/>
  <c r="N35" i="5" s="1"/>
  <c r="M37" i="5"/>
  <c r="N37" i="5" s="1"/>
  <c r="M39" i="5"/>
  <c r="N39" i="5" s="1"/>
  <c r="L120" i="5"/>
  <c r="BA94" i="3"/>
  <c r="BA95" i="3"/>
  <c r="BA96" i="3"/>
  <c r="BA97" i="3"/>
  <c r="BA98" i="3"/>
  <c r="BA99" i="3"/>
  <c r="BA100" i="3"/>
  <c r="BA101" i="3"/>
  <c r="BA102" i="3"/>
  <c r="BA103" i="3"/>
  <c r="BA104" i="3"/>
  <c r="BA105" i="3"/>
  <c r="BA106" i="3"/>
  <c r="BA78" i="3"/>
  <c r="BB78" i="3"/>
  <c r="BA79" i="3"/>
  <c r="BB79" i="3"/>
  <c r="BA80" i="3"/>
  <c r="BB80" i="3"/>
  <c r="BA81" i="3"/>
  <c r="BB81" i="3"/>
  <c r="BA82" i="3"/>
  <c r="BB82" i="3"/>
  <c r="BA83" i="3"/>
  <c r="BB83" i="3"/>
  <c r="BA84" i="3"/>
  <c r="BB84" i="3"/>
  <c r="BA85" i="3"/>
  <c r="BB85" i="3"/>
  <c r="BA86" i="3"/>
  <c r="BB86" i="3"/>
  <c r="BA87" i="3"/>
  <c r="BB87" i="3"/>
  <c r="BA88" i="3"/>
  <c r="BB88" i="3"/>
  <c r="BA89" i="3"/>
  <c r="BB89" i="3"/>
  <c r="BA90" i="3"/>
  <c r="BB90" i="3"/>
  <c r="BA91" i="3"/>
  <c r="BB91" i="3"/>
  <c r="BA92" i="3"/>
  <c r="BB92" i="3"/>
  <c r="BA93" i="3"/>
  <c r="BB93" i="3"/>
  <c r="BA73" i="3"/>
  <c r="BB73" i="3"/>
  <c r="BC73" i="3"/>
  <c r="BA74" i="3"/>
  <c r="BB74" i="3"/>
  <c r="BC74" i="3"/>
  <c r="BA75" i="3"/>
  <c r="BB75" i="3"/>
  <c r="BC75" i="3"/>
  <c r="BA76" i="3"/>
  <c r="BB76" i="3"/>
  <c r="BC76" i="3"/>
  <c r="BA77" i="3"/>
  <c r="BB77" i="3"/>
  <c r="BC77" i="3"/>
  <c r="BA62" i="3"/>
  <c r="BB62" i="3"/>
  <c r="BC62" i="3"/>
  <c r="BD62" i="3"/>
  <c r="BA63" i="3"/>
  <c r="BB63" i="3"/>
  <c r="BC63" i="3"/>
  <c r="BD63" i="3"/>
  <c r="BA64" i="3"/>
  <c r="BB64" i="3"/>
  <c r="BC64" i="3"/>
  <c r="BD64" i="3"/>
  <c r="BA65" i="3"/>
  <c r="BB65" i="3"/>
  <c r="BC65" i="3"/>
  <c r="BD65" i="3"/>
  <c r="BA66" i="3"/>
  <c r="BB66" i="3"/>
  <c r="BC66" i="3"/>
  <c r="BD66" i="3"/>
  <c r="BA67" i="3"/>
  <c r="BB67" i="3"/>
  <c r="AK103" i="12"/>
  <c r="AK98" i="12"/>
  <c r="AK93" i="12"/>
  <c r="AK90" i="12"/>
  <c r="AK85" i="12"/>
  <c r="Q9" i="5"/>
  <c r="N20" i="5"/>
  <c r="AZ72" i="3"/>
  <c r="H9" i="2"/>
  <c r="H10" i="2"/>
  <c r="H11" i="2"/>
  <c r="H12" i="2"/>
  <c r="H13" i="2"/>
  <c r="H14" i="2"/>
  <c r="H15" i="2"/>
  <c r="H16" i="2"/>
  <c r="H17" i="2"/>
  <c r="H18" i="2"/>
  <c r="I5" i="14"/>
  <c r="I85" i="14"/>
  <c r="AK105" i="12"/>
  <c r="AK100" i="12"/>
  <c r="AK95" i="12"/>
  <c r="AK88" i="12"/>
  <c r="AK82" i="12"/>
  <c r="AK6" i="12"/>
  <c r="S106" i="10"/>
  <c r="O112" i="5"/>
  <c r="O118" i="5"/>
  <c r="O100" i="5"/>
  <c r="O103" i="5"/>
  <c r="O108" i="5"/>
  <c r="O84" i="5"/>
  <c r="O88" i="5"/>
  <c r="O92" i="5"/>
  <c r="O81" i="5"/>
  <c r="O79" i="5"/>
  <c r="O66" i="5"/>
  <c r="O65" i="5"/>
  <c r="O64" i="5"/>
  <c r="O48" i="5"/>
  <c r="O51" i="5"/>
  <c r="O56" i="5"/>
  <c r="O35" i="5"/>
  <c r="O41" i="5"/>
  <c r="O22" i="5"/>
  <c r="Q7" i="5"/>
  <c r="Q19" i="5"/>
  <c r="N23" i="5"/>
  <c r="M42" i="5"/>
  <c r="N42" i="5" s="1"/>
  <c r="E120" i="5"/>
  <c r="AK5" i="12"/>
  <c r="S82" i="12"/>
  <c r="S84" i="12"/>
  <c r="S86" i="12"/>
  <c r="S89" i="12"/>
  <c r="S91" i="12"/>
  <c r="S94" i="12"/>
  <c r="S97" i="12"/>
  <c r="S98" i="12"/>
  <c r="S99" i="12"/>
  <c r="S101" i="12"/>
  <c r="S103" i="12"/>
  <c r="S104" i="12"/>
  <c r="S106" i="12"/>
  <c r="S108" i="12"/>
  <c r="S104" i="10"/>
  <c r="S108" i="10"/>
  <c r="O113" i="5"/>
  <c r="O117" i="5"/>
  <c r="O70" i="5"/>
  <c r="O63" i="5"/>
  <c r="O47" i="5"/>
  <c r="O50" i="5"/>
  <c r="O55" i="5"/>
  <c r="O34" i="5"/>
  <c r="O40" i="5"/>
  <c r="O33" i="5"/>
  <c r="O25" i="5"/>
  <c r="O20" i="5"/>
  <c r="Q13" i="5"/>
  <c r="L58" i="5"/>
  <c r="M58" i="5" s="1"/>
  <c r="N58" i="5" s="1"/>
  <c r="C35" i="2"/>
  <c r="I4" i="14"/>
  <c r="N73" i="14"/>
  <c r="O101" i="14"/>
  <c r="O66" i="14"/>
  <c r="O30" i="14"/>
  <c r="N108" i="14"/>
  <c r="N110" i="14"/>
  <c r="N75" i="14"/>
  <c r="N39" i="14"/>
  <c r="O100" i="14"/>
  <c r="O65" i="14"/>
  <c r="O29" i="14"/>
  <c r="O92" i="14"/>
  <c r="O56" i="14"/>
  <c r="O22" i="14"/>
  <c r="O91" i="14"/>
  <c r="O55" i="14"/>
  <c r="O21" i="14"/>
  <c r="O84" i="14"/>
  <c r="O48" i="14"/>
  <c r="O117" i="14"/>
  <c r="O83" i="14"/>
  <c r="O47" i="14"/>
  <c r="N116" i="14"/>
  <c r="N107" i="14"/>
  <c r="N99" i="14"/>
  <c r="N90" i="14"/>
  <c r="N82" i="14"/>
  <c r="N72" i="14"/>
  <c r="N63" i="14"/>
  <c r="N54" i="14"/>
  <c r="N46" i="14"/>
  <c r="N37" i="14"/>
  <c r="N28" i="14"/>
  <c r="N20" i="14"/>
  <c r="N11" i="14"/>
  <c r="N12" i="14"/>
  <c r="N115" i="14"/>
  <c r="N106" i="14"/>
  <c r="N98" i="14"/>
  <c r="N89" i="14"/>
  <c r="N81" i="14"/>
  <c r="N71" i="14"/>
  <c r="N62" i="14"/>
  <c r="N53" i="14"/>
  <c r="N45" i="14"/>
  <c r="N36" i="14"/>
  <c r="N27" i="14"/>
  <c r="N18" i="14"/>
  <c r="N10" i="14"/>
  <c r="N114" i="14"/>
  <c r="N105" i="14"/>
  <c r="N97" i="14"/>
  <c r="N88" i="14"/>
  <c r="N79" i="14"/>
  <c r="N70" i="14"/>
  <c r="N61" i="14"/>
  <c r="N52" i="14"/>
  <c r="N44" i="14"/>
  <c r="N35" i="14"/>
  <c r="N26" i="14"/>
  <c r="N17" i="14"/>
  <c r="N9" i="14"/>
  <c r="N113" i="14"/>
  <c r="N104" i="14"/>
  <c r="N95" i="14"/>
  <c r="N87" i="14"/>
  <c r="N78" i="14"/>
  <c r="N69" i="14"/>
  <c r="N60" i="14"/>
  <c r="N51" i="14"/>
  <c r="N42" i="14"/>
  <c r="N34" i="14"/>
  <c r="N25" i="14"/>
  <c r="N16" i="14"/>
  <c r="N8" i="14"/>
  <c r="N112" i="14"/>
  <c r="N103" i="14"/>
  <c r="N94" i="14"/>
  <c r="N86" i="14"/>
  <c r="N77" i="14"/>
  <c r="N68" i="14"/>
  <c r="N59" i="14"/>
  <c r="N50" i="14"/>
  <c r="N41" i="14"/>
  <c r="N33" i="14"/>
  <c r="N24" i="14"/>
  <c r="N15" i="14"/>
  <c r="N7" i="14"/>
  <c r="N111" i="14"/>
  <c r="N102" i="14"/>
  <c r="N93" i="14"/>
  <c r="N85" i="14"/>
  <c r="N76" i="14"/>
  <c r="N67" i="14"/>
  <c r="N57" i="14"/>
  <c r="N49" i="14"/>
  <c r="N40" i="14"/>
  <c r="N31" i="14"/>
  <c r="N23" i="14"/>
  <c r="N14" i="14"/>
  <c r="N6" i="14"/>
  <c r="N13" i="14"/>
  <c r="N5" i="14"/>
  <c r="AD14" i="19"/>
  <c r="AE14" i="19" s="1"/>
  <c r="X14" i="19"/>
  <c r="Y14" i="19" s="1"/>
  <c r="Z14" i="19" s="1"/>
  <c r="AA14" i="19" s="1"/>
  <c r="M14" i="19"/>
  <c r="F14" i="19"/>
  <c r="G14" i="19" s="1"/>
  <c r="H14" i="19" s="1"/>
  <c r="I14" i="19" s="1"/>
  <c r="AD14" i="18"/>
  <c r="AE14" i="18" s="1"/>
  <c r="F14" i="18"/>
  <c r="G14" i="18" s="1"/>
  <c r="H14" i="18" s="1"/>
  <c r="I14" i="18" s="1"/>
  <c r="X14" i="18"/>
  <c r="Y14" i="18" s="1"/>
  <c r="Z14" i="18" s="1"/>
  <c r="AA14" i="18" s="1"/>
  <c r="L14" i="18"/>
  <c r="M14" i="18" s="1"/>
  <c r="AD13" i="16"/>
  <c r="AE13" i="16" s="1"/>
  <c r="X13" i="16"/>
  <c r="Y13" i="16" s="1"/>
  <c r="L13" i="16"/>
  <c r="M13" i="16" s="1"/>
  <c r="Z13" i="16"/>
  <c r="AA13" i="16" s="1"/>
  <c r="F13" i="16"/>
  <c r="G13" i="16" s="1"/>
  <c r="H13" i="16" s="1"/>
  <c r="I13" i="16" s="1"/>
  <c r="S108" i="15"/>
  <c r="S105" i="15"/>
  <c r="AK97" i="15"/>
  <c r="S97" i="15"/>
  <c r="AK96" i="15"/>
  <c r="S88" i="15"/>
  <c r="S84" i="15"/>
  <c r="AK83" i="15"/>
  <c r="AK8" i="15"/>
  <c r="S8" i="15"/>
  <c r="S7" i="15"/>
  <c r="AK107" i="15"/>
  <c r="S107" i="15"/>
  <c r="S106" i="15"/>
  <c r="AK104" i="15"/>
  <c r="S104" i="15"/>
  <c r="S103" i="15"/>
  <c r="AK102" i="15"/>
  <c r="AK98" i="15"/>
  <c r="S98" i="15"/>
  <c r="AK95" i="15"/>
  <c r="S92" i="15"/>
  <c r="S91" i="15"/>
  <c r="S87" i="15"/>
  <c r="S85" i="15"/>
  <c r="AK82" i="15"/>
  <c r="AK100" i="15"/>
  <c r="AK99" i="15"/>
  <c r="S99" i="15"/>
  <c r="S96" i="15"/>
  <c r="S95" i="15"/>
  <c r="AK94" i="15"/>
  <c r="S94" i="15"/>
  <c r="S93" i="15"/>
  <c r="AK92" i="15"/>
  <c r="AK91" i="15"/>
  <c r="S89" i="15"/>
  <c r="AK88" i="15"/>
  <c r="AK87" i="15"/>
  <c r="AK86" i="15"/>
  <c r="S86" i="15"/>
  <c r="AK85" i="15"/>
  <c r="S82" i="15"/>
  <c r="AK81" i="15"/>
  <c r="S81" i="15"/>
  <c r="AK7" i="15"/>
  <c r="AK6" i="15"/>
  <c r="S6" i="15"/>
  <c r="S5" i="15"/>
  <c r="AK108" i="15"/>
  <c r="AK106" i="15"/>
  <c r="AK105" i="15"/>
  <c r="AK103" i="15"/>
  <c r="S100" i="15"/>
  <c r="AK90" i="15"/>
  <c r="S90" i="15"/>
  <c r="AK89" i="15"/>
  <c r="AK84" i="15"/>
  <c r="AK5" i="15"/>
  <c r="S102" i="15"/>
  <c r="AK101" i="15"/>
  <c r="S101" i="15"/>
  <c r="AK93" i="15"/>
  <c r="S83" i="15"/>
  <c r="A10" i="14"/>
  <c r="AD14" i="13"/>
  <c r="AE14" i="13" s="1"/>
  <c r="Y20" i="13"/>
  <c r="X14" i="13"/>
  <c r="F14" i="13"/>
  <c r="G14" i="13" s="1"/>
  <c r="H14" i="13" s="1"/>
  <c r="I14" i="13" s="1"/>
  <c r="H128" i="10"/>
  <c r="G5" i="14" l="1"/>
  <c r="AJ6" i="15" s="1"/>
  <c r="E5" i="14"/>
  <c r="R6" i="15" s="1"/>
  <c r="D5" i="14"/>
  <c r="Q6" i="15" s="1"/>
  <c r="C6" i="14"/>
  <c r="F5" i="14"/>
  <c r="AI6" i="15" s="1"/>
  <c r="R114" i="5"/>
  <c r="Q114" i="5"/>
  <c r="R110" i="5"/>
  <c r="Q110" i="5"/>
  <c r="R104" i="5"/>
  <c r="Q104" i="5"/>
  <c r="R107" i="5"/>
  <c r="Q107" i="5"/>
  <c r="R83" i="5"/>
  <c r="Q83" i="5"/>
  <c r="R86" i="5"/>
  <c r="Q86" i="5"/>
  <c r="R91" i="5"/>
  <c r="Q91" i="5"/>
  <c r="R95" i="5"/>
  <c r="Q95" i="5"/>
  <c r="R76" i="5"/>
  <c r="Q76" i="5"/>
  <c r="Q80" i="5"/>
  <c r="R80" i="5"/>
  <c r="R68" i="5"/>
  <c r="Q68" i="5"/>
  <c r="Q71" i="5"/>
  <c r="R71" i="5"/>
  <c r="Q60" i="5"/>
  <c r="R60" i="5"/>
  <c r="R46" i="5"/>
  <c r="Q46" i="5"/>
  <c r="R52" i="5"/>
  <c r="Q52" i="5"/>
  <c r="R58" i="5"/>
  <c r="Q58" i="5"/>
  <c r="R37" i="5"/>
  <c r="Q37" i="5"/>
  <c r="R39" i="5"/>
  <c r="Q39" i="5"/>
  <c r="Q21" i="5"/>
  <c r="R21" i="5"/>
  <c r="Q115" i="5"/>
  <c r="R115" i="5"/>
  <c r="Q98" i="5"/>
  <c r="R98" i="5"/>
  <c r="Q101" i="5"/>
  <c r="R101" i="5"/>
  <c r="Q106" i="5"/>
  <c r="R106" i="5"/>
  <c r="Q97" i="5"/>
  <c r="R97" i="5"/>
  <c r="Q85" i="5"/>
  <c r="R85" i="5"/>
  <c r="Q87" i="5"/>
  <c r="R87" i="5"/>
  <c r="Q90" i="5"/>
  <c r="R90" i="5"/>
  <c r="Q94" i="5"/>
  <c r="R94" i="5"/>
  <c r="R77" i="5"/>
  <c r="Q77" i="5"/>
  <c r="Q67" i="5"/>
  <c r="R67" i="5"/>
  <c r="R72" i="5"/>
  <c r="Q72" i="5"/>
  <c r="R62" i="5"/>
  <c r="Q62" i="5"/>
  <c r="Q59" i="5"/>
  <c r="R59" i="5"/>
  <c r="R49" i="5"/>
  <c r="Q49" i="5"/>
  <c r="Q54" i="5"/>
  <c r="R54" i="5"/>
  <c r="Q44" i="5"/>
  <c r="R44" i="5"/>
  <c r="R38" i="5"/>
  <c r="Q38" i="5"/>
  <c r="R42" i="5"/>
  <c r="Q42" i="5"/>
  <c r="R24" i="5"/>
  <c r="Q24" i="5"/>
  <c r="R116" i="6"/>
  <c r="D118" i="5"/>
  <c r="D118" i="8"/>
  <c r="I117" i="14" s="1"/>
  <c r="D118" i="10"/>
  <c r="S118" i="10" s="1"/>
  <c r="R111" i="6"/>
  <c r="D113" i="5"/>
  <c r="D113" i="8"/>
  <c r="I112" i="14" s="1"/>
  <c r="D113" i="10"/>
  <c r="S113" i="10" s="1"/>
  <c r="R112" i="6"/>
  <c r="D114" i="5"/>
  <c r="D114" i="8"/>
  <c r="I113" i="14" s="1"/>
  <c r="D114" i="10"/>
  <c r="S114" i="10" s="1"/>
  <c r="D115" i="10"/>
  <c r="S115" i="10" s="1"/>
  <c r="R113" i="6"/>
  <c r="D115" i="5"/>
  <c r="D115" i="8"/>
  <c r="I114" i="14" s="1"/>
  <c r="R114" i="6"/>
  <c r="D116" i="5"/>
  <c r="D116" i="8"/>
  <c r="I115" i="14" s="1"/>
  <c r="D116" i="10"/>
  <c r="S116" i="10" s="1"/>
  <c r="R115" i="6"/>
  <c r="D117" i="5"/>
  <c r="D117" i="8"/>
  <c r="I116" i="14" s="1"/>
  <c r="D117" i="10"/>
  <c r="S117" i="10" s="1"/>
  <c r="R107" i="6"/>
  <c r="D109" i="5"/>
  <c r="D109" i="8"/>
  <c r="I108" i="14" s="1"/>
  <c r="D109" i="10"/>
  <c r="S109" i="10" s="1"/>
  <c r="R108" i="6"/>
  <c r="D110" i="5"/>
  <c r="D110" i="8"/>
  <c r="I109" i="14" s="1"/>
  <c r="D110" i="10"/>
  <c r="S110" i="10" s="1"/>
  <c r="D111" i="10"/>
  <c r="S111" i="10" s="1"/>
  <c r="R109" i="6"/>
  <c r="D111" i="5"/>
  <c r="D111" i="8"/>
  <c r="I110" i="14" s="1"/>
  <c r="R110" i="6"/>
  <c r="D112" i="5"/>
  <c r="D112" i="8"/>
  <c r="I111" i="14" s="1"/>
  <c r="D112" i="10"/>
  <c r="S112" i="10" s="1"/>
  <c r="R7" i="6"/>
  <c r="D9" i="5"/>
  <c r="D9" i="8"/>
  <c r="I8" i="14" s="1"/>
  <c r="D9" i="10"/>
  <c r="S9" i="10" s="1"/>
  <c r="D10" i="8"/>
  <c r="I9" i="14" s="1"/>
  <c r="R8" i="6"/>
  <c r="D10" i="5"/>
  <c r="D10" i="10"/>
  <c r="S10" i="10" s="1"/>
  <c r="D11" i="8"/>
  <c r="I10" i="14" s="1"/>
  <c r="R9" i="6"/>
  <c r="D11" i="5"/>
  <c r="D11" i="10"/>
  <c r="S11" i="10" s="1"/>
  <c r="R10" i="6"/>
  <c r="D12" i="5"/>
  <c r="D12" i="10"/>
  <c r="S12" i="10" s="1"/>
  <c r="D12" i="8"/>
  <c r="I11" i="14" s="1"/>
  <c r="R11" i="6"/>
  <c r="D13" i="5"/>
  <c r="D13" i="10"/>
  <c r="S13" i="10" s="1"/>
  <c r="D13" i="8"/>
  <c r="I12" i="14" s="1"/>
  <c r="R12" i="6"/>
  <c r="D14" i="5"/>
  <c r="D14" i="10"/>
  <c r="S14" i="10" s="1"/>
  <c r="D14" i="8"/>
  <c r="I13" i="14" s="1"/>
  <c r="R13" i="6"/>
  <c r="D15" i="5"/>
  <c r="D15" i="10"/>
  <c r="S15" i="10" s="1"/>
  <c r="D15" i="8"/>
  <c r="I14" i="14" s="1"/>
  <c r="R14" i="6"/>
  <c r="D16" i="5"/>
  <c r="D16" i="10"/>
  <c r="S16" i="10" s="1"/>
  <c r="D16" i="8"/>
  <c r="I15" i="14" s="1"/>
  <c r="R15" i="6"/>
  <c r="D17" i="5"/>
  <c r="D17" i="10"/>
  <c r="S17" i="10" s="1"/>
  <c r="D17" i="8"/>
  <c r="I16" i="14" s="1"/>
  <c r="R16" i="6"/>
  <c r="D18" i="5"/>
  <c r="D18" i="8"/>
  <c r="I17" i="14" s="1"/>
  <c r="D18" i="10"/>
  <c r="S18" i="10" s="1"/>
  <c r="R17" i="6"/>
  <c r="D19" i="5"/>
  <c r="D19" i="10"/>
  <c r="S19" i="10" s="1"/>
  <c r="D19" i="8"/>
  <c r="I18" i="14" s="1"/>
  <c r="R18" i="6"/>
  <c r="D20" i="5"/>
  <c r="D20" i="8"/>
  <c r="I19" i="14" s="1"/>
  <c r="D20" i="10"/>
  <c r="S20" i="10" s="1"/>
  <c r="R19" i="6"/>
  <c r="D21" i="5"/>
  <c r="D21" i="10"/>
  <c r="S21" i="10" s="1"/>
  <c r="D21" i="8"/>
  <c r="I20" i="14" s="1"/>
  <c r="R20" i="6"/>
  <c r="D22" i="5"/>
  <c r="D22" i="10"/>
  <c r="S22" i="10" s="1"/>
  <c r="D22" i="8"/>
  <c r="I21" i="14" s="1"/>
  <c r="D23" i="8"/>
  <c r="I22" i="14" s="1"/>
  <c r="R21" i="6"/>
  <c r="D23" i="5"/>
  <c r="D23" i="10"/>
  <c r="S23" i="10" s="1"/>
  <c r="R22" i="6"/>
  <c r="D24" i="5"/>
  <c r="D24" i="10"/>
  <c r="S24" i="10" s="1"/>
  <c r="D24" i="8"/>
  <c r="I23" i="14" s="1"/>
  <c r="R23" i="6"/>
  <c r="D25" i="5"/>
  <c r="D25" i="10"/>
  <c r="S25" i="10" s="1"/>
  <c r="D25" i="8"/>
  <c r="I24" i="14" s="1"/>
  <c r="R24" i="6"/>
  <c r="D26" i="5"/>
  <c r="D26" i="10"/>
  <c r="S26" i="10" s="1"/>
  <c r="D26" i="8"/>
  <c r="I25" i="14" s="1"/>
  <c r="R25" i="6"/>
  <c r="D27" i="5"/>
  <c r="D27" i="10"/>
  <c r="S27" i="10" s="1"/>
  <c r="D27" i="8"/>
  <c r="I26" i="14" s="1"/>
  <c r="D28" i="8"/>
  <c r="I27" i="14" s="1"/>
  <c r="R26" i="6"/>
  <c r="D28" i="5"/>
  <c r="D28" i="10"/>
  <c r="S28" i="10" s="1"/>
  <c r="R27" i="6"/>
  <c r="D29" i="5"/>
  <c r="D29" i="10"/>
  <c r="S29" i="10" s="1"/>
  <c r="D29" i="8"/>
  <c r="I28" i="14" s="1"/>
  <c r="R28" i="6"/>
  <c r="D30" i="5"/>
  <c r="D30" i="10"/>
  <c r="S30" i="10" s="1"/>
  <c r="D30" i="8"/>
  <c r="I29" i="14" s="1"/>
  <c r="R29" i="6"/>
  <c r="D31" i="5"/>
  <c r="D31" i="10"/>
  <c r="S31" i="10" s="1"/>
  <c r="D31" i="8"/>
  <c r="I30" i="14" s="1"/>
  <c r="R30" i="6"/>
  <c r="D32" i="5"/>
  <c r="D32" i="8"/>
  <c r="I31" i="14" s="1"/>
  <c r="D32" i="10"/>
  <c r="S32" i="10" s="1"/>
  <c r="R31" i="6"/>
  <c r="D33" i="5"/>
  <c r="D33" i="10"/>
  <c r="S33" i="10" s="1"/>
  <c r="D33" i="8"/>
  <c r="I32" i="14" s="1"/>
  <c r="R32" i="6"/>
  <c r="D34" i="5"/>
  <c r="D34" i="10"/>
  <c r="S34" i="10" s="1"/>
  <c r="D34" i="8"/>
  <c r="I33" i="14" s="1"/>
  <c r="D35" i="8"/>
  <c r="I34" i="14" s="1"/>
  <c r="R33" i="6"/>
  <c r="D35" i="5"/>
  <c r="D35" i="10"/>
  <c r="S35" i="10" s="1"/>
  <c r="D36" i="8"/>
  <c r="I35" i="14" s="1"/>
  <c r="R34" i="6"/>
  <c r="D36" i="5"/>
  <c r="D36" i="10"/>
  <c r="S36" i="10" s="1"/>
  <c r="R35" i="6"/>
  <c r="D37" i="5"/>
  <c r="D37" i="10"/>
  <c r="S37" i="10" s="1"/>
  <c r="D37" i="8"/>
  <c r="I36" i="14" s="1"/>
  <c r="D38" i="8"/>
  <c r="I37" i="14" s="1"/>
  <c r="R36" i="6"/>
  <c r="D38" i="5"/>
  <c r="D38" i="10"/>
  <c r="S38" i="10" s="1"/>
  <c r="R37" i="6"/>
  <c r="D39" i="5"/>
  <c r="D39" i="10"/>
  <c r="S39" i="10" s="1"/>
  <c r="D39" i="8"/>
  <c r="I38" i="14" s="1"/>
  <c r="D40" i="8"/>
  <c r="I39" i="14" s="1"/>
  <c r="R38" i="6"/>
  <c r="D40" i="5"/>
  <c r="D40" i="10"/>
  <c r="S40" i="10" s="1"/>
  <c r="R39" i="6"/>
  <c r="D41" i="5"/>
  <c r="D41" i="10"/>
  <c r="S41" i="10" s="1"/>
  <c r="D41" i="8"/>
  <c r="I40" i="14" s="1"/>
  <c r="R40" i="6"/>
  <c r="D42" i="5"/>
  <c r="D42" i="10"/>
  <c r="S42" i="10" s="1"/>
  <c r="D42" i="8"/>
  <c r="I41" i="14" s="1"/>
  <c r="R41" i="6"/>
  <c r="D43" i="5"/>
  <c r="D43" i="10"/>
  <c r="S43" i="10" s="1"/>
  <c r="D43" i="8"/>
  <c r="I42" i="14" s="1"/>
  <c r="R42" i="6"/>
  <c r="D44" i="5"/>
  <c r="D44" i="10"/>
  <c r="S44" i="10" s="1"/>
  <c r="D44" i="8"/>
  <c r="I43" i="14" s="1"/>
  <c r="R43" i="6"/>
  <c r="D45" i="5"/>
  <c r="D45" i="8"/>
  <c r="I44" i="14" s="1"/>
  <c r="D45" i="10"/>
  <c r="S45" i="10" s="1"/>
  <c r="R44" i="6"/>
  <c r="D46" i="5"/>
  <c r="D46" i="10"/>
  <c r="S46" i="10" s="1"/>
  <c r="D46" i="8"/>
  <c r="I45" i="14" s="1"/>
  <c r="R45" i="6"/>
  <c r="D47" i="5"/>
  <c r="D47" i="10"/>
  <c r="S47" i="10" s="1"/>
  <c r="D47" i="8"/>
  <c r="I46" i="14" s="1"/>
  <c r="R46" i="6"/>
  <c r="D48" i="5"/>
  <c r="D48" i="10"/>
  <c r="S48" i="10" s="1"/>
  <c r="D48" i="8"/>
  <c r="I47" i="14" s="1"/>
  <c r="R47" i="6"/>
  <c r="D49" i="5"/>
  <c r="D49" i="10"/>
  <c r="S49" i="10" s="1"/>
  <c r="D49" i="8"/>
  <c r="I48" i="14" s="1"/>
  <c r="R48" i="6"/>
  <c r="D50" i="5"/>
  <c r="D50" i="8"/>
  <c r="I49" i="14" s="1"/>
  <c r="D50" i="10"/>
  <c r="S50" i="10" s="1"/>
  <c r="R49" i="6"/>
  <c r="D51" i="5"/>
  <c r="D51" i="8"/>
  <c r="I50" i="14" s="1"/>
  <c r="D51" i="10"/>
  <c r="S51" i="10" s="1"/>
  <c r="R50" i="6"/>
  <c r="D52" i="5"/>
  <c r="D52" i="10"/>
  <c r="S52" i="10" s="1"/>
  <c r="D52" i="8"/>
  <c r="I51" i="14" s="1"/>
  <c r="D53" i="8"/>
  <c r="I52" i="14" s="1"/>
  <c r="R51" i="6"/>
  <c r="D53" i="5"/>
  <c r="D53" i="10"/>
  <c r="S53" i="10" s="1"/>
  <c r="R52" i="6"/>
  <c r="D54" i="5"/>
  <c r="D54" i="10"/>
  <c r="S54" i="10" s="1"/>
  <c r="D54" i="8"/>
  <c r="I53" i="14" s="1"/>
  <c r="D55" i="8"/>
  <c r="I54" i="14" s="1"/>
  <c r="R53" i="6"/>
  <c r="D55" i="5"/>
  <c r="D55" i="10"/>
  <c r="S55" i="10" s="1"/>
  <c r="R54" i="6"/>
  <c r="D56" i="5"/>
  <c r="D56" i="8"/>
  <c r="I55" i="14" s="1"/>
  <c r="D56" i="10"/>
  <c r="S56" i="10" s="1"/>
  <c r="R55" i="6"/>
  <c r="D57" i="5"/>
  <c r="D57" i="10"/>
  <c r="S57" i="10" s="1"/>
  <c r="D57" i="8"/>
  <c r="I56" i="14" s="1"/>
  <c r="R56" i="6"/>
  <c r="D58" i="5"/>
  <c r="D58" i="10"/>
  <c r="S58" i="10" s="1"/>
  <c r="D58" i="8"/>
  <c r="I57" i="14" s="1"/>
  <c r="R57" i="6"/>
  <c r="D59" i="5"/>
  <c r="D59" i="10"/>
  <c r="S59" i="10" s="1"/>
  <c r="D59" i="8"/>
  <c r="I58" i="14" s="1"/>
  <c r="R58" i="6"/>
  <c r="D60" i="5"/>
  <c r="D60" i="8"/>
  <c r="I59" i="14" s="1"/>
  <c r="D60" i="10"/>
  <c r="S60" i="10" s="1"/>
  <c r="R59" i="6"/>
  <c r="D61" i="5"/>
  <c r="D61" i="10"/>
  <c r="S61" i="10" s="1"/>
  <c r="D61" i="8"/>
  <c r="I60" i="14" s="1"/>
  <c r="R60" i="6"/>
  <c r="D62" i="5"/>
  <c r="D62" i="10"/>
  <c r="S62" i="10" s="1"/>
  <c r="D62" i="8"/>
  <c r="I61" i="14" s="1"/>
  <c r="R61" i="6"/>
  <c r="D63" i="5"/>
  <c r="D63" i="10"/>
  <c r="S63" i="10" s="1"/>
  <c r="D63" i="8"/>
  <c r="I62" i="14" s="1"/>
  <c r="R62" i="6"/>
  <c r="D64" i="5"/>
  <c r="D64" i="10"/>
  <c r="S64" i="10" s="1"/>
  <c r="D64" i="8"/>
  <c r="I63" i="14" s="1"/>
  <c r="R63" i="6"/>
  <c r="D65" i="5"/>
  <c r="D65" i="10"/>
  <c r="S65" i="10" s="1"/>
  <c r="D65" i="8"/>
  <c r="I64" i="14" s="1"/>
  <c r="R64" i="6"/>
  <c r="D66" i="5"/>
  <c r="D66" i="10"/>
  <c r="S66" i="10" s="1"/>
  <c r="D66" i="8"/>
  <c r="I65" i="14" s="1"/>
  <c r="R65" i="6"/>
  <c r="D67" i="5"/>
  <c r="D67" i="10"/>
  <c r="S67" i="10" s="1"/>
  <c r="D67" i="8"/>
  <c r="I66" i="14" s="1"/>
  <c r="R66" i="6"/>
  <c r="D68" i="5"/>
  <c r="D68" i="10"/>
  <c r="S68" i="10" s="1"/>
  <c r="D68" i="8"/>
  <c r="I67" i="14" s="1"/>
  <c r="R67" i="6"/>
  <c r="D69" i="5"/>
  <c r="D69" i="10"/>
  <c r="S69" i="10" s="1"/>
  <c r="D69" i="8"/>
  <c r="I68" i="14" s="1"/>
  <c r="R68" i="6"/>
  <c r="D70" i="5"/>
  <c r="D70" i="10"/>
  <c r="S70" i="10" s="1"/>
  <c r="D70" i="8"/>
  <c r="I69" i="14" s="1"/>
  <c r="D71" i="8"/>
  <c r="I70" i="14" s="1"/>
  <c r="R69" i="6"/>
  <c r="D71" i="5"/>
  <c r="D71" i="10"/>
  <c r="S71" i="10" s="1"/>
  <c r="R70" i="6"/>
  <c r="D72" i="5"/>
  <c r="D72" i="10"/>
  <c r="S72" i="10" s="1"/>
  <c r="D72" i="8"/>
  <c r="I71" i="14" s="1"/>
  <c r="R71" i="6"/>
  <c r="D73" i="5"/>
  <c r="D73" i="10"/>
  <c r="S73" i="10" s="1"/>
  <c r="D73" i="8"/>
  <c r="I72" i="14" s="1"/>
  <c r="R72" i="6"/>
  <c r="D74" i="5"/>
  <c r="D74" i="8"/>
  <c r="I73" i="14" s="1"/>
  <c r="D74" i="10"/>
  <c r="S74" i="10" s="1"/>
  <c r="R73" i="6"/>
  <c r="D75" i="5"/>
  <c r="D75" i="8"/>
  <c r="I74" i="14" s="1"/>
  <c r="D75" i="10"/>
  <c r="S75" i="10" s="1"/>
  <c r="D76" i="8"/>
  <c r="I75" i="14" s="1"/>
  <c r="R74" i="6"/>
  <c r="D76" i="5"/>
  <c r="D76" i="10"/>
  <c r="S76" i="10" s="1"/>
  <c r="R75" i="6"/>
  <c r="D77" i="5"/>
  <c r="D77" i="8"/>
  <c r="I76" i="14" s="1"/>
  <c r="D77" i="10"/>
  <c r="S77" i="10" s="1"/>
  <c r="R76" i="6"/>
  <c r="D78" i="5"/>
  <c r="D78" i="10"/>
  <c r="S78" i="10" s="1"/>
  <c r="D78" i="8"/>
  <c r="I77" i="14" s="1"/>
  <c r="R77" i="6"/>
  <c r="D79" i="5"/>
  <c r="D79" i="10"/>
  <c r="S79" i="10" s="1"/>
  <c r="D79" i="8"/>
  <c r="I78" i="14" s="1"/>
  <c r="R78" i="6"/>
  <c r="D80" i="5"/>
  <c r="D80" i="10"/>
  <c r="S80" i="10" s="1"/>
  <c r="D80" i="8"/>
  <c r="I79" i="14" s="1"/>
  <c r="R111" i="5"/>
  <c r="Q111" i="5"/>
  <c r="R116" i="5"/>
  <c r="Q116" i="5"/>
  <c r="R99" i="5"/>
  <c r="Q99" i="5"/>
  <c r="Q102" i="5"/>
  <c r="R102" i="5"/>
  <c r="Q105" i="5"/>
  <c r="R105" i="5"/>
  <c r="Q109" i="5"/>
  <c r="R109" i="5"/>
  <c r="Q82" i="5"/>
  <c r="R82" i="5"/>
  <c r="R89" i="5"/>
  <c r="Q89" i="5"/>
  <c r="Q93" i="5"/>
  <c r="R93" i="5"/>
  <c r="Q96" i="5"/>
  <c r="R96" i="5"/>
  <c r="R78" i="5"/>
  <c r="Q78" i="5"/>
  <c r="R75" i="5"/>
  <c r="Q75" i="5"/>
  <c r="R69" i="5"/>
  <c r="Q69" i="5"/>
  <c r="Q73" i="5"/>
  <c r="R73" i="5"/>
  <c r="R61" i="5"/>
  <c r="Q61" i="5"/>
  <c r="R45" i="5"/>
  <c r="Q45" i="5"/>
  <c r="Q53" i="5"/>
  <c r="R53" i="5"/>
  <c r="R57" i="5"/>
  <c r="Q57" i="5"/>
  <c r="Q36" i="5"/>
  <c r="R36" i="5"/>
  <c r="Q43" i="5"/>
  <c r="R43" i="5"/>
  <c r="R23" i="5"/>
  <c r="Q23" i="5"/>
  <c r="BC72" i="3"/>
  <c r="BB72" i="3"/>
  <c r="BA72" i="3"/>
  <c r="I18" i="2"/>
  <c r="I17" i="2"/>
  <c r="I16" i="2"/>
  <c r="P110" i="8" s="1"/>
  <c r="K109" i="14" s="1"/>
  <c r="I15" i="2"/>
  <c r="P97" i="8" s="1"/>
  <c r="K96" i="14" s="1"/>
  <c r="I14" i="2"/>
  <c r="P81" i="8" s="1"/>
  <c r="K80" i="14" s="1"/>
  <c r="I13" i="2"/>
  <c r="P75" i="8" s="1"/>
  <c r="K74" i="14" s="1"/>
  <c r="I12" i="2"/>
  <c r="P65" i="8" s="1"/>
  <c r="K64" i="14" s="1"/>
  <c r="I11" i="2"/>
  <c r="P59" i="8" s="1"/>
  <c r="K58" i="14" s="1"/>
  <c r="I10" i="2"/>
  <c r="P44" i="8" s="1"/>
  <c r="K43" i="14" s="1"/>
  <c r="I9" i="2"/>
  <c r="P33" i="8" s="1"/>
  <c r="K32" i="14" s="1"/>
  <c r="I7" i="2"/>
  <c r="P5" i="8" s="1"/>
  <c r="I8" i="2"/>
  <c r="P20" i="8" s="1"/>
  <c r="K19" i="14" s="1"/>
  <c r="R112" i="5"/>
  <c r="Q112" i="5"/>
  <c r="R118" i="5"/>
  <c r="Q118" i="5"/>
  <c r="R100" i="5"/>
  <c r="Q100" i="5"/>
  <c r="Q103" i="5"/>
  <c r="R103" i="5"/>
  <c r="R108" i="5"/>
  <c r="Q108" i="5"/>
  <c r="R84" i="5"/>
  <c r="Q84" i="5"/>
  <c r="R88" i="5"/>
  <c r="Q88" i="5"/>
  <c r="Q92" i="5"/>
  <c r="R92" i="5"/>
  <c r="Q81" i="5"/>
  <c r="R81" i="5"/>
  <c r="R79" i="5"/>
  <c r="Q79" i="5"/>
  <c r="Q66" i="5"/>
  <c r="R66" i="5"/>
  <c r="R65" i="5"/>
  <c r="Q65" i="5"/>
  <c r="Q64" i="5"/>
  <c r="R64" i="5"/>
  <c r="R48" i="5"/>
  <c r="Q48" i="5"/>
  <c r="R51" i="5"/>
  <c r="Q51" i="5"/>
  <c r="Q56" i="5"/>
  <c r="R56" i="5"/>
  <c r="R35" i="5"/>
  <c r="Q35" i="5"/>
  <c r="R41" i="5"/>
  <c r="Q41" i="5"/>
  <c r="Q22" i="5"/>
  <c r="R22" i="5"/>
  <c r="R113" i="5"/>
  <c r="Q113" i="5"/>
  <c r="R117" i="5"/>
  <c r="Q117" i="5"/>
  <c r="R70" i="5"/>
  <c r="Q70" i="5"/>
  <c r="Q63" i="5"/>
  <c r="R63" i="5"/>
  <c r="Q47" i="5"/>
  <c r="R47" i="5"/>
  <c r="Q50" i="5"/>
  <c r="R50" i="5"/>
  <c r="Q55" i="5"/>
  <c r="R55" i="5"/>
  <c r="R34" i="5"/>
  <c r="Q34" i="5"/>
  <c r="R40" i="5"/>
  <c r="Q40" i="5"/>
  <c r="R33" i="5"/>
  <c r="Q33" i="5"/>
  <c r="Q25" i="5"/>
  <c r="R25" i="5"/>
  <c r="Q20" i="5"/>
  <c r="R20" i="5"/>
  <c r="K60" i="5"/>
  <c r="L60" i="5" s="1"/>
  <c r="M60" i="5" s="1"/>
  <c r="N60" i="5" s="1"/>
  <c r="I76" i="5"/>
  <c r="J76" i="5" s="1"/>
  <c r="K76" i="5" s="1"/>
  <c r="L76" i="5" s="1"/>
  <c r="M76" i="5" s="1"/>
  <c r="N76" i="5" s="1"/>
  <c r="I77" i="5"/>
  <c r="J77" i="5" s="1"/>
  <c r="K77" i="5" s="1"/>
  <c r="L77" i="5" s="1"/>
  <c r="M77" i="5" s="1"/>
  <c r="N77" i="5" s="1"/>
  <c r="I78" i="5"/>
  <c r="J78" i="5" s="1"/>
  <c r="K78" i="5" s="1"/>
  <c r="L78" i="5" s="1"/>
  <c r="M78" i="5" s="1"/>
  <c r="N78" i="5" s="1"/>
  <c r="I79" i="5"/>
  <c r="J79" i="5" s="1"/>
  <c r="K79" i="5" s="1"/>
  <c r="L79" i="5" s="1"/>
  <c r="M79" i="5" s="1"/>
  <c r="N79" i="5" s="1"/>
  <c r="I80" i="5"/>
  <c r="J80" i="5" s="1"/>
  <c r="K80" i="5" s="1"/>
  <c r="L80" i="5" s="1"/>
  <c r="M80" i="5" s="1"/>
  <c r="N80" i="5" s="1"/>
  <c r="I74" i="5"/>
  <c r="H82" i="5"/>
  <c r="I82" i="5" s="1"/>
  <c r="J82" i="5" s="1"/>
  <c r="K82" i="5" s="1"/>
  <c r="L82" i="5" s="1"/>
  <c r="M82" i="5" s="1"/>
  <c r="N82" i="5" s="1"/>
  <c r="H83" i="5"/>
  <c r="I83" i="5" s="1"/>
  <c r="J83" i="5" s="1"/>
  <c r="K83" i="5" s="1"/>
  <c r="L83" i="5" s="1"/>
  <c r="M83" i="5" s="1"/>
  <c r="N83" i="5" s="1"/>
  <c r="H84" i="5"/>
  <c r="I84" i="5" s="1"/>
  <c r="J84" i="5" s="1"/>
  <c r="K84" i="5" s="1"/>
  <c r="L84" i="5" s="1"/>
  <c r="M84" i="5" s="1"/>
  <c r="N84" i="5" s="1"/>
  <c r="H85" i="5"/>
  <c r="I85" i="5" s="1"/>
  <c r="J85" i="5" s="1"/>
  <c r="K85" i="5" s="1"/>
  <c r="L85" i="5" s="1"/>
  <c r="M85" i="5" s="1"/>
  <c r="N85" i="5" s="1"/>
  <c r="H86" i="5"/>
  <c r="I86" i="5" s="1"/>
  <c r="J86" i="5" s="1"/>
  <c r="K86" i="5" s="1"/>
  <c r="L86" i="5" s="1"/>
  <c r="M86" i="5" s="1"/>
  <c r="N86" i="5" s="1"/>
  <c r="H87" i="5"/>
  <c r="I87" i="5" s="1"/>
  <c r="J87" i="5" s="1"/>
  <c r="K87" i="5" s="1"/>
  <c r="L87" i="5" s="1"/>
  <c r="M87" i="5" s="1"/>
  <c r="N87" i="5" s="1"/>
  <c r="H88" i="5"/>
  <c r="I88" i="5" s="1"/>
  <c r="J88" i="5" s="1"/>
  <c r="K88" i="5" s="1"/>
  <c r="L88" i="5" s="1"/>
  <c r="M88" i="5" s="1"/>
  <c r="N88" i="5" s="1"/>
  <c r="H89" i="5"/>
  <c r="I89" i="5" s="1"/>
  <c r="J89" i="5" s="1"/>
  <c r="K89" i="5" s="1"/>
  <c r="L89" i="5" s="1"/>
  <c r="M89" i="5" s="1"/>
  <c r="N89" i="5" s="1"/>
  <c r="H90" i="5"/>
  <c r="I90" i="5" s="1"/>
  <c r="J90" i="5" s="1"/>
  <c r="K90" i="5" s="1"/>
  <c r="L90" i="5" s="1"/>
  <c r="M90" i="5" s="1"/>
  <c r="N90" i="5" s="1"/>
  <c r="H91" i="5"/>
  <c r="I91" i="5" s="1"/>
  <c r="J91" i="5" s="1"/>
  <c r="K91" i="5" s="1"/>
  <c r="L91" i="5" s="1"/>
  <c r="M91" i="5" s="1"/>
  <c r="N91" i="5" s="1"/>
  <c r="H92" i="5"/>
  <c r="I92" i="5" s="1"/>
  <c r="J92" i="5" s="1"/>
  <c r="K92" i="5" s="1"/>
  <c r="L92" i="5" s="1"/>
  <c r="M92" i="5" s="1"/>
  <c r="N92" i="5" s="1"/>
  <c r="H93" i="5"/>
  <c r="I93" i="5" s="1"/>
  <c r="J93" i="5" s="1"/>
  <c r="K93" i="5" s="1"/>
  <c r="L93" i="5" s="1"/>
  <c r="M93" i="5" s="1"/>
  <c r="N93" i="5" s="1"/>
  <c r="H94" i="5"/>
  <c r="I94" i="5" s="1"/>
  <c r="J94" i="5" s="1"/>
  <c r="K94" i="5" s="1"/>
  <c r="L94" i="5" s="1"/>
  <c r="M94" i="5" s="1"/>
  <c r="N94" i="5" s="1"/>
  <c r="H95" i="5"/>
  <c r="I95" i="5" s="1"/>
  <c r="J95" i="5" s="1"/>
  <c r="K95" i="5" s="1"/>
  <c r="L95" i="5" s="1"/>
  <c r="M95" i="5" s="1"/>
  <c r="N95" i="5" s="1"/>
  <c r="H96" i="5"/>
  <c r="I96" i="5" s="1"/>
  <c r="J96" i="5" s="1"/>
  <c r="K96" i="5" s="1"/>
  <c r="L96" i="5" s="1"/>
  <c r="M96" i="5" s="1"/>
  <c r="N96" i="5" s="1"/>
  <c r="H81" i="5"/>
  <c r="I81" i="5" s="1"/>
  <c r="J81" i="5" s="1"/>
  <c r="K81" i="5" s="1"/>
  <c r="L81" i="5" s="1"/>
  <c r="M81" i="5" s="1"/>
  <c r="N81" i="5" s="1"/>
  <c r="G98" i="5"/>
  <c r="H98" i="5" s="1"/>
  <c r="I98" i="5" s="1"/>
  <c r="J98" i="5" s="1"/>
  <c r="K98" i="5" s="1"/>
  <c r="L98" i="5" s="1"/>
  <c r="M98" i="5" s="1"/>
  <c r="N98" i="5" s="1"/>
  <c r="G99" i="5"/>
  <c r="H99" i="5" s="1"/>
  <c r="I99" i="5" s="1"/>
  <c r="J99" i="5" s="1"/>
  <c r="K99" i="5" s="1"/>
  <c r="L99" i="5" s="1"/>
  <c r="M99" i="5" s="1"/>
  <c r="N99" i="5" s="1"/>
  <c r="G100" i="5"/>
  <c r="H100" i="5" s="1"/>
  <c r="I100" i="5" s="1"/>
  <c r="J100" i="5" s="1"/>
  <c r="K100" i="5" s="1"/>
  <c r="L100" i="5" s="1"/>
  <c r="M100" i="5" s="1"/>
  <c r="N100" i="5" s="1"/>
  <c r="G101" i="5"/>
  <c r="H101" i="5" s="1"/>
  <c r="I101" i="5" s="1"/>
  <c r="J101" i="5" s="1"/>
  <c r="K101" i="5" s="1"/>
  <c r="L101" i="5" s="1"/>
  <c r="M101" i="5" s="1"/>
  <c r="N101" i="5" s="1"/>
  <c r="G102" i="5"/>
  <c r="H102" i="5" s="1"/>
  <c r="I102" i="5" s="1"/>
  <c r="J102" i="5" s="1"/>
  <c r="K102" i="5" s="1"/>
  <c r="L102" i="5" s="1"/>
  <c r="M102" i="5" s="1"/>
  <c r="N102" i="5" s="1"/>
  <c r="G103" i="5"/>
  <c r="H103" i="5" s="1"/>
  <c r="I103" i="5" s="1"/>
  <c r="J103" i="5" s="1"/>
  <c r="K103" i="5" s="1"/>
  <c r="L103" i="5" s="1"/>
  <c r="M103" i="5" s="1"/>
  <c r="N103" i="5" s="1"/>
  <c r="G104" i="5"/>
  <c r="H104" i="5" s="1"/>
  <c r="I104" i="5" s="1"/>
  <c r="J104" i="5" s="1"/>
  <c r="K104" i="5" s="1"/>
  <c r="L104" i="5" s="1"/>
  <c r="M104" i="5" s="1"/>
  <c r="N104" i="5" s="1"/>
  <c r="G105" i="5"/>
  <c r="H105" i="5" s="1"/>
  <c r="I105" i="5" s="1"/>
  <c r="J105" i="5" s="1"/>
  <c r="K105" i="5" s="1"/>
  <c r="L105" i="5" s="1"/>
  <c r="M105" i="5" s="1"/>
  <c r="N105" i="5" s="1"/>
  <c r="G106" i="5"/>
  <c r="H106" i="5" s="1"/>
  <c r="I106" i="5" s="1"/>
  <c r="J106" i="5" s="1"/>
  <c r="K106" i="5" s="1"/>
  <c r="L106" i="5" s="1"/>
  <c r="M106" i="5" s="1"/>
  <c r="N106" i="5" s="1"/>
  <c r="G107" i="5"/>
  <c r="H107" i="5" s="1"/>
  <c r="I107" i="5" s="1"/>
  <c r="J107" i="5" s="1"/>
  <c r="K107" i="5" s="1"/>
  <c r="L107" i="5" s="1"/>
  <c r="M107" i="5" s="1"/>
  <c r="N107" i="5" s="1"/>
  <c r="G108" i="5"/>
  <c r="H108" i="5" s="1"/>
  <c r="I108" i="5" s="1"/>
  <c r="J108" i="5" s="1"/>
  <c r="K108" i="5" s="1"/>
  <c r="L108" i="5" s="1"/>
  <c r="M108" i="5" s="1"/>
  <c r="N108" i="5" s="1"/>
  <c r="G109" i="5"/>
  <c r="H109" i="5" s="1"/>
  <c r="I109" i="5" s="1"/>
  <c r="J109" i="5" s="1"/>
  <c r="K109" i="5" s="1"/>
  <c r="L109" i="5" s="1"/>
  <c r="M109" i="5" s="1"/>
  <c r="N109" i="5" s="1"/>
  <c r="G97" i="5"/>
  <c r="H97" i="5" s="1"/>
  <c r="I97" i="5" s="1"/>
  <c r="J97" i="5" s="1"/>
  <c r="K97" i="5" s="1"/>
  <c r="L97" i="5" s="1"/>
  <c r="M97" i="5" s="1"/>
  <c r="N97" i="5" s="1"/>
  <c r="F113" i="5"/>
  <c r="G113" i="5" s="1"/>
  <c r="H113" i="5" s="1"/>
  <c r="I113" i="5" s="1"/>
  <c r="J113" i="5" s="1"/>
  <c r="K113" i="5" s="1"/>
  <c r="L113" i="5" s="1"/>
  <c r="M113" i="5" s="1"/>
  <c r="N113" i="5" s="1"/>
  <c r="F111" i="5"/>
  <c r="G111" i="5" s="1"/>
  <c r="H111" i="5" s="1"/>
  <c r="I111" i="5" s="1"/>
  <c r="J111" i="5" s="1"/>
  <c r="K111" i="5" s="1"/>
  <c r="L111" i="5" s="1"/>
  <c r="M111" i="5" s="1"/>
  <c r="N111" i="5" s="1"/>
  <c r="F112" i="5"/>
  <c r="G112" i="5" s="1"/>
  <c r="H112" i="5" s="1"/>
  <c r="I112" i="5" s="1"/>
  <c r="J112" i="5" s="1"/>
  <c r="K112" i="5" s="1"/>
  <c r="L112" i="5" s="1"/>
  <c r="M112" i="5" s="1"/>
  <c r="N112" i="5" s="1"/>
  <c r="F114" i="5"/>
  <c r="G114" i="5" s="1"/>
  <c r="H114" i="5" s="1"/>
  <c r="I114" i="5" s="1"/>
  <c r="J114" i="5" s="1"/>
  <c r="K114" i="5" s="1"/>
  <c r="L114" i="5" s="1"/>
  <c r="M114" i="5" s="1"/>
  <c r="N114" i="5" s="1"/>
  <c r="F115" i="5"/>
  <c r="G115" i="5" s="1"/>
  <c r="H115" i="5" s="1"/>
  <c r="I115" i="5" s="1"/>
  <c r="J115" i="5" s="1"/>
  <c r="K115" i="5" s="1"/>
  <c r="L115" i="5" s="1"/>
  <c r="M115" i="5" s="1"/>
  <c r="N115" i="5" s="1"/>
  <c r="F116" i="5"/>
  <c r="G116" i="5" s="1"/>
  <c r="H116" i="5" s="1"/>
  <c r="I116" i="5" s="1"/>
  <c r="J116" i="5" s="1"/>
  <c r="K116" i="5" s="1"/>
  <c r="L116" i="5" s="1"/>
  <c r="M116" i="5" s="1"/>
  <c r="N116" i="5" s="1"/>
  <c r="F117" i="5"/>
  <c r="G117" i="5" s="1"/>
  <c r="H117" i="5" s="1"/>
  <c r="I117" i="5" s="1"/>
  <c r="J117" i="5" s="1"/>
  <c r="K117" i="5" s="1"/>
  <c r="L117" i="5" s="1"/>
  <c r="M117" i="5" s="1"/>
  <c r="N117" i="5" s="1"/>
  <c r="F118" i="5"/>
  <c r="G118" i="5" s="1"/>
  <c r="H118" i="5" s="1"/>
  <c r="I118" i="5" s="1"/>
  <c r="J118" i="5" s="1"/>
  <c r="K118" i="5" s="1"/>
  <c r="L118" i="5" s="1"/>
  <c r="M118" i="5" s="1"/>
  <c r="N118" i="5" s="1"/>
  <c r="F110" i="5"/>
  <c r="G110" i="5" s="1"/>
  <c r="H110" i="5" s="1"/>
  <c r="I110" i="5" s="1"/>
  <c r="J110" i="5" s="1"/>
  <c r="K110" i="5" s="1"/>
  <c r="L110" i="5" s="1"/>
  <c r="M110" i="5" s="1"/>
  <c r="N110" i="5" s="1"/>
  <c r="L47" i="5"/>
  <c r="M47" i="5" s="1"/>
  <c r="N47" i="5" s="1"/>
  <c r="L49" i="5"/>
  <c r="M49" i="5" s="1"/>
  <c r="N49" i="5" s="1"/>
  <c r="L51" i="5"/>
  <c r="M51" i="5" s="1"/>
  <c r="N51" i="5" s="1"/>
  <c r="L55" i="5"/>
  <c r="M55" i="5" s="1"/>
  <c r="N55" i="5" s="1"/>
  <c r="L57" i="5"/>
  <c r="M57" i="5" s="1"/>
  <c r="N57" i="5" s="1"/>
  <c r="L71" i="5"/>
  <c r="M71" i="5" s="1"/>
  <c r="N71" i="5" s="1"/>
  <c r="L73" i="5"/>
  <c r="M73" i="5" s="1"/>
  <c r="N73" i="5" s="1"/>
  <c r="L75" i="5"/>
  <c r="M75" i="5" s="1"/>
  <c r="N75" i="5" s="1"/>
  <c r="L44" i="5"/>
  <c r="M44" i="5" s="1"/>
  <c r="N44" i="5" s="1"/>
  <c r="L45" i="5"/>
  <c r="M45" i="5" s="1"/>
  <c r="N45" i="5" s="1"/>
  <c r="L72" i="5"/>
  <c r="M72" i="5" s="1"/>
  <c r="N72" i="5" s="1"/>
  <c r="N46" i="5"/>
  <c r="M59" i="5"/>
  <c r="N59" i="5" s="1"/>
  <c r="M66" i="5"/>
  <c r="N66" i="5" s="1"/>
  <c r="M67" i="5"/>
  <c r="N67" i="5" s="1"/>
  <c r="L48" i="5"/>
  <c r="M48" i="5" s="1"/>
  <c r="N48" i="5" s="1"/>
  <c r="L50" i="5"/>
  <c r="M50" i="5" s="1"/>
  <c r="N50" i="5" s="1"/>
  <c r="L52" i="5"/>
  <c r="M52" i="5" s="1"/>
  <c r="N52" i="5" s="1"/>
  <c r="L54" i="5"/>
  <c r="M54" i="5" s="1"/>
  <c r="N54" i="5" s="1"/>
  <c r="L56" i="5"/>
  <c r="M56" i="5" s="1"/>
  <c r="N56" i="5" s="1"/>
  <c r="L69" i="5"/>
  <c r="M69" i="5" s="1"/>
  <c r="N69" i="5" s="1"/>
  <c r="K62" i="5"/>
  <c r="L62" i="5" s="1"/>
  <c r="M62" i="5" s="1"/>
  <c r="N62" i="5" s="1"/>
  <c r="K64" i="5"/>
  <c r="L64" i="5" s="1"/>
  <c r="M64" i="5" s="1"/>
  <c r="N64" i="5" s="1"/>
  <c r="A11" i="14"/>
  <c r="AH11" i="15"/>
  <c r="P11" i="15"/>
  <c r="C36" i="2"/>
  <c r="C37" i="2" s="1"/>
  <c r="C38" i="2" s="1"/>
  <c r="C39" i="2" s="1"/>
  <c r="C40" i="2" s="1"/>
  <c r="C41" i="2" s="1"/>
  <c r="C42" i="2" s="1"/>
  <c r="C43" i="2" s="1"/>
  <c r="C44" i="2" s="1"/>
  <c r="AC6" i="3" s="1"/>
  <c r="B128" i="3" s="1"/>
  <c r="P78" i="4"/>
  <c r="Y14" i="13"/>
  <c r="Z14" i="13" s="1"/>
  <c r="AA14" i="13" s="1"/>
  <c r="G6" i="14" l="1"/>
  <c r="AJ7" i="15" s="1"/>
  <c r="F6" i="14"/>
  <c r="AI7" i="15" s="1"/>
  <c r="E6" i="14"/>
  <c r="R7" i="15" s="1"/>
  <c r="D6" i="14"/>
  <c r="Q7" i="15" s="1"/>
  <c r="C7" i="14"/>
  <c r="C118" i="15"/>
  <c r="C118" i="12"/>
  <c r="C113" i="12"/>
  <c r="C113" i="15"/>
  <c r="C114" i="15"/>
  <c r="C114" i="12"/>
  <c r="C115" i="12"/>
  <c r="C115" i="15"/>
  <c r="C116" i="15"/>
  <c r="C116" i="12"/>
  <c r="C117" i="15"/>
  <c r="C117" i="12"/>
  <c r="C109" i="15"/>
  <c r="C109" i="12"/>
  <c r="C110" i="15"/>
  <c r="C110" i="12"/>
  <c r="T110" i="5"/>
  <c r="S110" i="5"/>
  <c r="C111" i="12"/>
  <c r="C111" i="15"/>
  <c r="C112" i="15"/>
  <c r="C112" i="12"/>
  <c r="C9" i="15"/>
  <c r="C9" i="12"/>
  <c r="T97" i="5"/>
  <c r="S81" i="5"/>
  <c r="T81" i="5"/>
  <c r="S97" i="5"/>
  <c r="T5" i="5"/>
  <c r="C10" i="12"/>
  <c r="C10" i="15"/>
  <c r="C11" i="15"/>
  <c r="C11" i="12"/>
  <c r="C12" i="15"/>
  <c r="C12" i="12"/>
  <c r="C13" i="12"/>
  <c r="C13" i="15"/>
  <c r="C14" i="12"/>
  <c r="C14" i="15"/>
  <c r="C15" i="15"/>
  <c r="C15" i="12"/>
  <c r="C16" i="12"/>
  <c r="C16" i="15"/>
  <c r="C17" i="15"/>
  <c r="C17" i="12"/>
  <c r="C18" i="12"/>
  <c r="C18" i="15"/>
  <c r="C19" i="15"/>
  <c r="C19" i="12"/>
  <c r="C20" i="12"/>
  <c r="C20" i="15"/>
  <c r="S20" i="5"/>
  <c r="T20" i="5"/>
  <c r="C21" i="15"/>
  <c r="C21" i="12"/>
  <c r="C22" i="12"/>
  <c r="C22" i="15"/>
  <c r="C23" i="12"/>
  <c r="C23" i="15"/>
  <c r="C24" i="15"/>
  <c r="C24" i="12"/>
  <c r="C25" i="15"/>
  <c r="C25" i="12"/>
  <c r="C26" i="15"/>
  <c r="C26" i="12"/>
  <c r="C27" i="12"/>
  <c r="C27" i="15"/>
  <c r="C28" i="12"/>
  <c r="C28" i="15"/>
  <c r="C29" i="15"/>
  <c r="C29" i="12"/>
  <c r="C30" i="15"/>
  <c r="C30" i="12"/>
  <c r="C31" i="15"/>
  <c r="C31" i="12"/>
  <c r="C32" i="12"/>
  <c r="C32" i="15"/>
  <c r="C33" i="12"/>
  <c r="C33" i="15"/>
  <c r="C34" i="15"/>
  <c r="C34" i="12"/>
  <c r="C35" i="15"/>
  <c r="C35" i="12"/>
  <c r="C36" i="12"/>
  <c r="C36" i="15"/>
  <c r="C37" i="12"/>
  <c r="C37" i="15"/>
  <c r="C38" i="15"/>
  <c r="C38" i="12"/>
  <c r="C39" i="15"/>
  <c r="C39" i="12"/>
  <c r="C40" i="12"/>
  <c r="C40" i="15"/>
  <c r="C41" i="12"/>
  <c r="C41" i="15"/>
  <c r="C42" i="12"/>
  <c r="C42" i="15"/>
  <c r="C43" i="15"/>
  <c r="C43" i="12"/>
  <c r="C44" i="12"/>
  <c r="C44" i="15"/>
  <c r="C45" i="15"/>
  <c r="C45" i="12"/>
  <c r="C46" i="12"/>
  <c r="C46" i="15"/>
  <c r="C47" i="12"/>
  <c r="C47" i="15"/>
  <c r="C48" i="12"/>
  <c r="C48" i="15"/>
  <c r="C49" i="15"/>
  <c r="C49" i="12"/>
  <c r="C50" i="12"/>
  <c r="C50" i="15"/>
  <c r="C51" i="15"/>
  <c r="C51" i="12"/>
  <c r="C52" i="12"/>
  <c r="C52" i="15"/>
  <c r="C53" i="15"/>
  <c r="C53" i="12"/>
  <c r="C54" i="12"/>
  <c r="C54" i="15"/>
  <c r="C55" i="15"/>
  <c r="C55" i="12"/>
  <c r="C56" i="15"/>
  <c r="C56" i="12"/>
  <c r="C57" i="12"/>
  <c r="C57" i="15"/>
  <c r="C58" i="12"/>
  <c r="C58" i="15"/>
  <c r="C59" i="15"/>
  <c r="C59" i="12"/>
  <c r="S59" i="5"/>
  <c r="T59" i="5"/>
  <c r="C60" i="15"/>
  <c r="C60" i="12"/>
  <c r="C61" i="15"/>
  <c r="C61" i="12"/>
  <c r="C62" i="12"/>
  <c r="C62" i="15"/>
  <c r="C63" i="12"/>
  <c r="C63" i="15"/>
  <c r="C64" i="15"/>
  <c r="C64" i="12"/>
  <c r="C65" i="12"/>
  <c r="C65" i="15"/>
  <c r="C66" i="15"/>
  <c r="C66" i="12"/>
  <c r="C67" i="12"/>
  <c r="C67" i="15"/>
  <c r="C68" i="15"/>
  <c r="C68" i="12"/>
  <c r="C69" i="15"/>
  <c r="C69" i="12"/>
  <c r="C70" i="12"/>
  <c r="C70" i="15"/>
  <c r="C71" i="12"/>
  <c r="C71" i="15"/>
  <c r="C72" i="15"/>
  <c r="C72" i="12"/>
  <c r="C73" i="12"/>
  <c r="C73" i="15"/>
  <c r="C74" i="15"/>
  <c r="C74" i="12"/>
  <c r="C75" i="12"/>
  <c r="C75" i="15"/>
  <c r="S75" i="5"/>
  <c r="T75" i="5"/>
  <c r="C76" i="15"/>
  <c r="C76" i="12"/>
  <c r="C77" i="15"/>
  <c r="C77" i="12"/>
  <c r="C78" i="15"/>
  <c r="C78" i="12"/>
  <c r="C79" i="12"/>
  <c r="C79" i="15"/>
  <c r="C80" i="15"/>
  <c r="C80" i="12"/>
  <c r="P119" i="8"/>
  <c r="K118" i="14" s="1"/>
  <c r="K4" i="14"/>
  <c r="O74" i="5"/>
  <c r="J74" i="5"/>
  <c r="K74" i="5" s="1"/>
  <c r="L74" i="5" s="1"/>
  <c r="M74" i="5" s="1"/>
  <c r="N74" i="5" s="1"/>
  <c r="P12" i="15"/>
  <c r="AH12" i="15"/>
  <c r="A12" i="14"/>
  <c r="T33" i="5"/>
  <c r="T44" i="5"/>
  <c r="S33" i="5"/>
  <c r="S44" i="5"/>
  <c r="S5" i="5"/>
  <c r="AC23" i="3"/>
  <c r="B145" i="3" s="1"/>
  <c r="AC54" i="3"/>
  <c r="B176" i="3" s="1"/>
  <c r="AC20" i="3"/>
  <c r="B142" i="3" s="1"/>
  <c r="AC13" i="3"/>
  <c r="B135" i="3" s="1"/>
  <c r="AC49" i="3"/>
  <c r="B171" i="3" s="1"/>
  <c r="D52" i="12" s="1"/>
  <c r="AC31" i="3"/>
  <c r="B153" i="3" s="1"/>
  <c r="D34" i="12" s="1"/>
  <c r="AC21" i="3"/>
  <c r="B143" i="3" s="1"/>
  <c r="D24" i="12" s="1"/>
  <c r="P10" i="4"/>
  <c r="AC50" i="3"/>
  <c r="B172" i="3" s="1"/>
  <c r="AC32" i="3"/>
  <c r="B154" i="3" s="1"/>
  <c r="AC34" i="3"/>
  <c r="B156" i="3" s="1"/>
  <c r="AC30" i="3"/>
  <c r="B152" i="3" s="1"/>
  <c r="AC51" i="3"/>
  <c r="B173" i="3" s="1"/>
  <c r="D54" i="12" s="1"/>
  <c r="AC33" i="3"/>
  <c r="B155" i="3" s="1"/>
  <c r="D36" i="12" s="1"/>
  <c r="AC36" i="3"/>
  <c r="B158" i="3" s="1"/>
  <c r="D39" i="12" s="1"/>
  <c r="AC55" i="3"/>
  <c r="B177" i="3" s="1"/>
  <c r="D58" i="12" s="1"/>
  <c r="AC48" i="3"/>
  <c r="B170" i="3" s="1"/>
  <c r="AC52" i="3"/>
  <c r="B174" i="3" s="1"/>
  <c r="AC37" i="3"/>
  <c r="B159" i="3" s="1"/>
  <c r="AC22" i="3"/>
  <c r="B144" i="3" s="1"/>
  <c r="AC14" i="3"/>
  <c r="B136" i="3" s="1"/>
  <c r="D17" i="12" s="1"/>
  <c r="AC53" i="3"/>
  <c r="B175" i="3" s="1"/>
  <c r="D56" i="12" s="1"/>
  <c r="AC39" i="3"/>
  <c r="B161" i="3" s="1"/>
  <c r="D42" i="12" s="1"/>
  <c r="AC27" i="3"/>
  <c r="B149" i="3" s="1"/>
  <c r="D30" i="12" s="1"/>
  <c r="AC40" i="3"/>
  <c r="B162" i="3" s="1"/>
  <c r="P13" i="4"/>
  <c r="P12" i="4"/>
  <c r="P26" i="4"/>
  <c r="P25" i="4"/>
  <c r="P24" i="4"/>
  <c r="P36" i="4"/>
  <c r="P33" i="4"/>
  <c r="P51" i="4"/>
  <c r="P49" i="4"/>
  <c r="P48" i="4"/>
  <c r="P45" i="4"/>
  <c r="P43" i="4"/>
  <c r="P41" i="4"/>
  <c r="P58" i="4"/>
  <c r="P57" i="4"/>
  <c r="P56" i="4"/>
  <c r="P70" i="4"/>
  <c r="P68" i="4"/>
  <c r="P67" i="4"/>
  <c r="AC15" i="3"/>
  <c r="B137" i="3" s="1"/>
  <c r="AC9" i="3"/>
  <c r="B131" i="3" s="1"/>
  <c r="AC29" i="3"/>
  <c r="B151" i="3" s="1"/>
  <c r="AC26" i="3"/>
  <c r="B148" i="3" s="1"/>
  <c r="P23" i="4"/>
  <c r="P20" i="4"/>
  <c r="P39" i="4"/>
  <c r="P37" i="4"/>
  <c r="P34" i="4"/>
  <c r="P31" i="4"/>
  <c r="P30" i="4"/>
  <c r="P53" i="4"/>
  <c r="P52" i="4"/>
  <c r="AA2" i="3"/>
  <c r="AC2" i="3" s="1"/>
  <c r="B124" i="3" s="1"/>
  <c r="AC28" i="3"/>
  <c r="B150" i="3" s="1"/>
  <c r="AC24" i="3"/>
  <c r="B146" i="3" s="1"/>
  <c r="AC18" i="3"/>
  <c r="B140" i="3" s="1"/>
  <c r="AC38" i="3"/>
  <c r="B160" i="3" s="1"/>
  <c r="P2" i="4"/>
  <c r="P11" i="4"/>
  <c r="P9" i="4"/>
  <c r="P7" i="4"/>
  <c r="P4" i="4"/>
  <c r="P28" i="4"/>
  <c r="P27" i="4"/>
  <c r="P22" i="4"/>
  <c r="AC8" i="3"/>
  <c r="B130" i="3" s="1"/>
  <c r="AC7" i="3"/>
  <c r="B129" i="3" s="1"/>
  <c r="AC47" i="3"/>
  <c r="B169" i="3" s="1"/>
  <c r="AC46" i="3"/>
  <c r="B168" i="3" s="1"/>
  <c r="AC45" i="3"/>
  <c r="B167" i="3" s="1"/>
  <c r="AC44" i="3"/>
  <c r="B166" i="3" s="1"/>
  <c r="AC42" i="3"/>
  <c r="B164" i="3" s="1"/>
  <c r="AC41" i="3"/>
  <c r="B163" i="3" s="1"/>
  <c r="AC61" i="3"/>
  <c r="B183" i="3" s="1"/>
  <c r="AC60" i="3"/>
  <c r="B182" i="3" s="1"/>
  <c r="AC59" i="3"/>
  <c r="B181" i="3" s="1"/>
  <c r="AC58" i="3"/>
  <c r="B180" i="3" s="1"/>
  <c r="AC57" i="3"/>
  <c r="B179" i="3" s="1"/>
  <c r="AC56" i="3"/>
  <c r="B178" i="3" s="1"/>
  <c r="AC71" i="3"/>
  <c r="B193" i="3" s="1"/>
  <c r="AC70" i="3"/>
  <c r="B192" i="3" s="1"/>
  <c r="AC69" i="3"/>
  <c r="B191" i="3" s="1"/>
  <c r="AC76" i="3"/>
  <c r="B198" i="3" s="1"/>
  <c r="AC74" i="3"/>
  <c r="B196" i="3" s="1"/>
  <c r="AC72" i="3"/>
  <c r="B194" i="3" s="1"/>
  <c r="AC92" i="3"/>
  <c r="B214" i="3" s="1"/>
  <c r="AC88" i="3"/>
  <c r="B210" i="3" s="1"/>
  <c r="AC86" i="3"/>
  <c r="B208" i="3" s="1"/>
  <c r="AC83" i="3"/>
  <c r="B205" i="3" s="1"/>
  <c r="AC80" i="3"/>
  <c r="B202" i="3" s="1"/>
  <c r="AC106" i="3"/>
  <c r="B228" i="3" s="1"/>
  <c r="AC68" i="3"/>
  <c r="B190" i="3" s="1"/>
  <c r="AC67" i="3"/>
  <c r="B189" i="3" s="1"/>
  <c r="AC66" i="3"/>
  <c r="B188" i="3" s="1"/>
  <c r="AC65" i="3"/>
  <c r="B187" i="3" s="1"/>
  <c r="AC64" i="3"/>
  <c r="B186" i="3" s="1"/>
  <c r="AC63" i="3"/>
  <c r="B185" i="3" s="1"/>
  <c r="AC62" i="3"/>
  <c r="B184" i="3" s="1"/>
  <c r="AC77" i="3"/>
  <c r="B199" i="3" s="1"/>
  <c r="AC75" i="3"/>
  <c r="B197" i="3" s="1"/>
  <c r="AC73" i="3"/>
  <c r="B195" i="3" s="1"/>
  <c r="AC93" i="3"/>
  <c r="B215" i="3" s="1"/>
  <c r="AC91" i="3"/>
  <c r="B213" i="3" s="1"/>
  <c r="AC87" i="3"/>
  <c r="B209" i="3" s="1"/>
  <c r="AC84" i="3"/>
  <c r="B206" i="3" s="1"/>
  <c r="AC81" i="3"/>
  <c r="B203" i="3" s="1"/>
  <c r="AC78" i="3"/>
  <c r="B200" i="3" s="1"/>
  <c r="AC104" i="3"/>
  <c r="B226" i="3" s="1"/>
  <c r="AC90" i="3"/>
  <c r="B212" i="3" s="1"/>
  <c r="AC89" i="3"/>
  <c r="B211" i="3" s="1"/>
  <c r="AC85" i="3"/>
  <c r="B207" i="3" s="1"/>
  <c r="AC82" i="3"/>
  <c r="B204" i="3" s="1"/>
  <c r="AC79" i="3"/>
  <c r="B201" i="3" s="1"/>
  <c r="AC105" i="3"/>
  <c r="B227" i="3" s="1"/>
  <c r="AC103" i="3"/>
  <c r="B225" i="3" s="1"/>
  <c r="AC102" i="3"/>
  <c r="B224" i="3" s="1"/>
  <c r="AC101" i="3"/>
  <c r="B223" i="3" s="1"/>
  <c r="AC100" i="3"/>
  <c r="B222" i="3" s="1"/>
  <c r="AC99" i="3"/>
  <c r="B221" i="3" s="1"/>
  <c r="AC98" i="3"/>
  <c r="B220" i="3" s="1"/>
  <c r="AC97" i="3"/>
  <c r="B219" i="3" s="1"/>
  <c r="AC96" i="3"/>
  <c r="B218" i="3" s="1"/>
  <c r="AC95" i="3"/>
  <c r="B217" i="3" s="1"/>
  <c r="AC94" i="3"/>
  <c r="B216" i="3" s="1"/>
  <c r="AC115" i="3"/>
  <c r="B237" i="3" s="1"/>
  <c r="AC110" i="3"/>
  <c r="B232" i="3" s="1"/>
  <c r="AC109" i="3"/>
  <c r="B231" i="3" s="1"/>
  <c r="AC108" i="3"/>
  <c r="B230" i="3" s="1"/>
  <c r="AC107" i="3"/>
  <c r="B229" i="3" s="1"/>
  <c r="AC3" i="3"/>
  <c r="B125" i="3" s="1"/>
  <c r="P19" i="4"/>
  <c r="P40" i="4"/>
  <c r="P35" i="4"/>
  <c r="P55" i="4"/>
  <c r="P50" i="4"/>
  <c r="P87" i="4"/>
  <c r="P84" i="4"/>
  <c r="P81" i="4"/>
  <c r="AC10" i="3"/>
  <c r="B132" i="3" s="1"/>
  <c r="AC25" i="3"/>
  <c r="B147" i="3" s="1"/>
  <c r="AC19" i="3"/>
  <c r="B141" i="3" s="1"/>
  <c r="AC17" i="3"/>
  <c r="B139" i="3" s="1"/>
  <c r="AC35" i="3"/>
  <c r="B157" i="3" s="1"/>
  <c r="P16" i="4"/>
  <c r="P15" i="4"/>
  <c r="P14" i="4"/>
  <c r="P8" i="4"/>
  <c r="P6" i="4"/>
  <c r="P5" i="4"/>
  <c r="P3" i="4"/>
  <c r="P29" i="4"/>
  <c r="P21" i="4"/>
  <c r="P18" i="4"/>
  <c r="P17" i="4"/>
  <c r="P38" i="4"/>
  <c r="P32" i="4"/>
  <c r="P54" i="4"/>
  <c r="P47" i="4"/>
  <c r="P86" i="4"/>
  <c r="P83" i="4"/>
  <c r="P80" i="4"/>
  <c r="P46" i="4"/>
  <c r="P44" i="4"/>
  <c r="P42" i="4"/>
  <c r="P61" i="4"/>
  <c r="P60" i="4"/>
  <c r="P59" i="4"/>
  <c r="P71" i="4"/>
  <c r="P69" i="4"/>
  <c r="P66" i="4"/>
  <c r="P65" i="4"/>
  <c r="P64" i="4"/>
  <c r="P63" i="4"/>
  <c r="P62" i="4"/>
  <c r="P77" i="4"/>
  <c r="P76" i="4"/>
  <c r="P75" i="4"/>
  <c r="P74" i="4"/>
  <c r="P73" i="4"/>
  <c r="P91" i="4"/>
  <c r="P90" i="4"/>
  <c r="P89" i="4"/>
  <c r="P88" i="4"/>
  <c r="P85" i="4"/>
  <c r="P82" i="4"/>
  <c r="P79" i="4"/>
  <c r="P106" i="4"/>
  <c r="P105" i="4"/>
  <c r="P104" i="4"/>
  <c r="P103" i="4"/>
  <c r="P102" i="4"/>
  <c r="P101" i="4"/>
  <c r="P100" i="4"/>
  <c r="P99" i="4"/>
  <c r="P98" i="4"/>
  <c r="P97" i="4"/>
  <c r="P96" i="4"/>
  <c r="P95" i="4"/>
  <c r="P94" i="4"/>
  <c r="P115" i="4"/>
  <c r="P114" i="4"/>
  <c r="P113" i="4"/>
  <c r="P112" i="4"/>
  <c r="P111" i="4"/>
  <c r="P110" i="4"/>
  <c r="P109" i="4"/>
  <c r="P108" i="4"/>
  <c r="P107" i="4"/>
  <c r="C45" i="2"/>
  <c r="AC16" i="3"/>
  <c r="B138" i="3" s="1"/>
  <c r="AC12" i="3"/>
  <c r="B134" i="3" s="1"/>
  <c r="AC11" i="3"/>
  <c r="B133" i="3" s="1"/>
  <c r="AC5" i="3"/>
  <c r="B127" i="3" s="1"/>
  <c r="AC4" i="3"/>
  <c r="B126" i="3" s="1"/>
  <c r="AC43" i="3"/>
  <c r="B165" i="3" s="1"/>
  <c r="AC114" i="3"/>
  <c r="B236" i="3" s="1"/>
  <c r="AC113" i="3"/>
  <c r="B235" i="3" s="1"/>
  <c r="AC112" i="3"/>
  <c r="B234" i="3" s="1"/>
  <c r="AC111" i="3"/>
  <c r="B233" i="3" s="1"/>
  <c r="P72" i="4"/>
  <c r="P93" i="4"/>
  <c r="P92" i="4"/>
  <c r="D16" i="12"/>
  <c r="D9" i="12"/>
  <c r="D25" i="12"/>
  <c r="D43" i="12"/>
  <c r="D37" i="12"/>
  <c r="D26" i="12"/>
  <c r="D23" i="12"/>
  <c r="D40" i="12"/>
  <c r="D35" i="12"/>
  <c r="D33" i="12"/>
  <c r="D57" i="12"/>
  <c r="D55" i="12"/>
  <c r="D53" i="12"/>
  <c r="D51" i="12"/>
  <c r="F7" i="14" l="1"/>
  <c r="AI8" i="15" s="1"/>
  <c r="D7" i="14"/>
  <c r="Q8" i="15" s="1"/>
  <c r="C8" i="14"/>
  <c r="E7" i="14"/>
  <c r="R8" i="15" s="1"/>
  <c r="G7" i="14"/>
  <c r="AJ8" i="15" s="1"/>
  <c r="S118" i="15"/>
  <c r="AK118" i="15"/>
  <c r="S118" i="12"/>
  <c r="AK118" i="12"/>
  <c r="S113" i="12"/>
  <c r="AK113" i="12"/>
  <c r="S113" i="15"/>
  <c r="AK113" i="15"/>
  <c r="S114" i="15"/>
  <c r="AK114" i="15"/>
  <c r="S114" i="12"/>
  <c r="AK114" i="12"/>
  <c r="S115" i="12"/>
  <c r="AK115" i="12"/>
  <c r="AK115" i="15"/>
  <c r="S115" i="15"/>
  <c r="S116" i="15"/>
  <c r="AK116" i="15"/>
  <c r="S116" i="12"/>
  <c r="AK116" i="12"/>
  <c r="S117" i="15"/>
  <c r="AK117" i="15"/>
  <c r="S117" i="12"/>
  <c r="AK117" i="12"/>
  <c r="AK109" i="15"/>
  <c r="S109" i="15"/>
  <c r="S109" i="12"/>
  <c r="AK109" i="12"/>
  <c r="S110" i="15"/>
  <c r="AK110" i="15"/>
  <c r="S110" i="12"/>
  <c r="AK110" i="12"/>
  <c r="S111" i="12"/>
  <c r="AK111" i="12"/>
  <c r="AK111" i="15"/>
  <c r="S111" i="15"/>
  <c r="AK112" i="15"/>
  <c r="S112" i="15"/>
  <c r="S112" i="12"/>
  <c r="AK112" i="12"/>
  <c r="S9" i="15"/>
  <c r="AK9" i="15"/>
  <c r="S9" i="12"/>
  <c r="AK9" i="12"/>
  <c r="AK10" i="12"/>
  <c r="S10" i="12"/>
  <c r="S10" i="15"/>
  <c r="AK10" i="15"/>
  <c r="S11" i="15"/>
  <c r="AK11" i="15"/>
  <c r="AK11" i="12"/>
  <c r="S11" i="12"/>
  <c r="S12" i="15"/>
  <c r="AK12" i="15"/>
  <c r="AK12" i="12"/>
  <c r="S12" i="12"/>
  <c r="S13" i="12"/>
  <c r="AK13" i="12"/>
  <c r="S13" i="15"/>
  <c r="AK13" i="15"/>
  <c r="AK14" i="12"/>
  <c r="S14" i="12"/>
  <c r="S14" i="15"/>
  <c r="AK14" i="15"/>
  <c r="S15" i="15"/>
  <c r="AK15" i="15"/>
  <c r="S15" i="12"/>
  <c r="AK15" i="12"/>
  <c r="S16" i="12"/>
  <c r="AK16" i="12"/>
  <c r="S16" i="15"/>
  <c r="AK16" i="15"/>
  <c r="S17" i="15"/>
  <c r="AK17" i="15"/>
  <c r="S17" i="12"/>
  <c r="AK17" i="12"/>
  <c r="AK18" i="12"/>
  <c r="S18" i="12"/>
  <c r="S18" i="15"/>
  <c r="AK18" i="15"/>
  <c r="S19" i="15"/>
  <c r="AK19" i="15"/>
  <c r="S19" i="12"/>
  <c r="AK19" i="12"/>
  <c r="S20" i="12"/>
  <c r="AK20" i="12"/>
  <c r="S20" i="15"/>
  <c r="AK20" i="15"/>
  <c r="S21" i="15"/>
  <c r="AK21" i="15"/>
  <c r="AK21" i="12"/>
  <c r="S21" i="12"/>
  <c r="AK22" i="12"/>
  <c r="S22" i="12"/>
  <c r="S22" i="15"/>
  <c r="AK22" i="15"/>
  <c r="AK23" i="12"/>
  <c r="S23" i="12"/>
  <c r="S23" i="15"/>
  <c r="AK23" i="15"/>
  <c r="S24" i="15"/>
  <c r="AK24" i="15"/>
  <c r="AK24" i="12"/>
  <c r="S24" i="12"/>
  <c r="S25" i="15"/>
  <c r="AK25" i="15"/>
  <c r="AK25" i="12"/>
  <c r="S25" i="12"/>
  <c r="S26" i="15"/>
  <c r="AK26" i="15"/>
  <c r="S26" i="12"/>
  <c r="AK26" i="12"/>
  <c r="AK27" i="12"/>
  <c r="S27" i="12"/>
  <c r="S27" i="15"/>
  <c r="AK27" i="15"/>
  <c r="AK28" i="12"/>
  <c r="S28" i="12"/>
  <c r="S28" i="15"/>
  <c r="AK28" i="15"/>
  <c r="S29" i="15"/>
  <c r="AK29" i="15"/>
  <c r="S29" i="12"/>
  <c r="AK29" i="12"/>
  <c r="S30" i="15"/>
  <c r="AK30" i="15"/>
  <c r="S30" i="12"/>
  <c r="AK30" i="12"/>
  <c r="S31" i="15"/>
  <c r="AK31" i="15"/>
  <c r="AK31" i="12"/>
  <c r="S31" i="12"/>
  <c r="AK32" i="12"/>
  <c r="S32" i="12"/>
  <c r="S32" i="15"/>
  <c r="AK32" i="15"/>
  <c r="AK33" i="12"/>
  <c r="S33" i="12"/>
  <c r="S33" i="15"/>
  <c r="AK33" i="15"/>
  <c r="S34" i="15"/>
  <c r="AK34" i="15"/>
  <c r="AK34" i="12"/>
  <c r="S34" i="12"/>
  <c r="S35" i="15"/>
  <c r="AK35" i="15"/>
  <c r="S35" i="12"/>
  <c r="AK35" i="12"/>
  <c r="S36" i="12"/>
  <c r="AK36" i="12"/>
  <c r="S36" i="15"/>
  <c r="AK36" i="15"/>
  <c r="S37" i="12"/>
  <c r="AK37" i="12"/>
  <c r="S37" i="15"/>
  <c r="AK37" i="15"/>
  <c r="S38" i="15"/>
  <c r="AK38" i="15"/>
  <c r="S38" i="12"/>
  <c r="AK38" i="12"/>
  <c r="S39" i="15"/>
  <c r="AK39" i="15"/>
  <c r="S39" i="12"/>
  <c r="AK39" i="12"/>
  <c r="S40" i="12"/>
  <c r="AK40" i="12"/>
  <c r="S40" i="15"/>
  <c r="AK40" i="15"/>
  <c r="S41" i="12"/>
  <c r="AK41" i="12"/>
  <c r="S41" i="15"/>
  <c r="AK41" i="15"/>
  <c r="S42" i="12"/>
  <c r="AK42" i="12"/>
  <c r="S42" i="15"/>
  <c r="AK42" i="15"/>
  <c r="S43" i="15"/>
  <c r="AK43" i="15"/>
  <c r="S43" i="12"/>
  <c r="AK43" i="12"/>
  <c r="S44" i="12"/>
  <c r="AK44" i="12"/>
  <c r="S44" i="15"/>
  <c r="AK44" i="15"/>
  <c r="AK45" i="15"/>
  <c r="S45" i="15"/>
  <c r="S45" i="12"/>
  <c r="AK45" i="12"/>
  <c r="S46" i="12"/>
  <c r="AK46" i="12"/>
  <c r="S46" i="15"/>
  <c r="AK46" i="15"/>
  <c r="S47" i="12"/>
  <c r="AK47" i="12"/>
  <c r="S47" i="15"/>
  <c r="AK47" i="15"/>
  <c r="S48" i="12"/>
  <c r="AK48" i="12"/>
  <c r="S48" i="15"/>
  <c r="AK48" i="15"/>
  <c r="AK49" i="15"/>
  <c r="S49" i="15"/>
  <c r="S49" i="12"/>
  <c r="AK49" i="12"/>
  <c r="AK50" i="12"/>
  <c r="S50" i="12"/>
  <c r="S50" i="15"/>
  <c r="AK50" i="15"/>
  <c r="S51" i="15"/>
  <c r="AK51" i="15"/>
  <c r="AK51" i="12"/>
  <c r="S51" i="12"/>
  <c r="AK52" i="12"/>
  <c r="S52" i="12"/>
  <c r="AK52" i="15"/>
  <c r="S52" i="15"/>
  <c r="AK53" i="15"/>
  <c r="S53" i="15"/>
  <c r="S53" i="12"/>
  <c r="AK53" i="12"/>
  <c r="S54" i="12"/>
  <c r="AK54" i="12"/>
  <c r="S54" i="15"/>
  <c r="AK54" i="15"/>
  <c r="S55" i="15"/>
  <c r="AK55" i="15"/>
  <c r="S55" i="12"/>
  <c r="AK55" i="12"/>
  <c r="S56" i="15"/>
  <c r="AK56" i="15"/>
  <c r="AK56" i="12"/>
  <c r="S56" i="12"/>
  <c r="AK57" i="12"/>
  <c r="S57" i="12"/>
  <c r="AK57" i="15"/>
  <c r="S57" i="15"/>
  <c r="S58" i="12"/>
  <c r="AK58" i="12"/>
  <c r="S58" i="15"/>
  <c r="AK58" i="15"/>
  <c r="S59" i="15"/>
  <c r="AK59" i="15"/>
  <c r="S59" i="12"/>
  <c r="AK59" i="12"/>
  <c r="S60" i="15"/>
  <c r="AK60" i="15"/>
  <c r="S60" i="12"/>
  <c r="AK60" i="12"/>
  <c r="S61" i="15"/>
  <c r="AK61" i="15"/>
  <c r="S61" i="12"/>
  <c r="AK61" i="12"/>
  <c r="S62" i="12"/>
  <c r="AK62" i="12"/>
  <c r="AK62" i="15"/>
  <c r="S62" i="15"/>
  <c r="S63" i="12"/>
  <c r="AK63" i="12"/>
  <c r="S63" i="15"/>
  <c r="AK63" i="15"/>
  <c r="AK64" i="15"/>
  <c r="S64" i="15"/>
  <c r="AK64" i="12"/>
  <c r="S64" i="12"/>
  <c r="S65" i="12"/>
  <c r="AK65" i="12"/>
  <c r="AK65" i="15"/>
  <c r="S65" i="15"/>
  <c r="S66" i="15"/>
  <c r="AK66" i="15"/>
  <c r="AK66" i="12"/>
  <c r="S66" i="12"/>
  <c r="S67" i="12"/>
  <c r="AK67" i="12"/>
  <c r="S67" i="15"/>
  <c r="AK67" i="15"/>
  <c r="S68" i="15"/>
  <c r="AK68" i="15"/>
  <c r="S68" i="12"/>
  <c r="AK68" i="12"/>
  <c r="S69" i="15"/>
  <c r="AK69" i="15"/>
  <c r="S69" i="12"/>
  <c r="AK69" i="12"/>
  <c r="S70" i="12"/>
  <c r="AK70" i="12"/>
  <c r="S70" i="15"/>
  <c r="AK70" i="15"/>
  <c r="AK71" i="12"/>
  <c r="S71" i="12"/>
  <c r="S71" i="15"/>
  <c r="AK71" i="15"/>
  <c r="S72" i="15"/>
  <c r="AK72" i="15"/>
  <c r="S72" i="12"/>
  <c r="AK72" i="12"/>
  <c r="S73" i="12"/>
  <c r="AK73" i="12"/>
  <c r="AK73" i="15"/>
  <c r="S73" i="15"/>
  <c r="S74" i="15"/>
  <c r="AK74" i="15"/>
  <c r="S74" i="12"/>
  <c r="AK74" i="12"/>
  <c r="S75" i="12"/>
  <c r="AK75" i="12"/>
  <c r="S75" i="15"/>
  <c r="AK75" i="15"/>
  <c r="AK76" i="15"/>
  <c r="S76" i="15"/>
  <c r="S76" i="12"/>
  <c r="AK76" i="12"/>
  <c r="S77" i="15"/>
  <c r="AK77" i="15"/>
  <c r="S77" i="12"/>
  <c r="AK77" i="12"/>
  <c r="S78" i="15"/>
  <c r="AK78" i="15"/>
  <c r="AK78" i="12"/>
  <c r="S78" i="12"/>
  <c r="S79" i="12"/>
  <c r="AK79" i="12"/>
  <c r="S79" i="15"/>
  <c r="AK79" i="15"/>
  <c r="AK80" i="15"/>
  <c r="S80" i="15"/>
  <c r="S80" i="12"/>
  <c r="AK80" i="12"/>
  <c r="R74" i="5"/>
  <c r="Q74" i="5"/>
  <c r="P13" i="15"/>
  <c r="AH13" i="15"/>
  <c r="A13" i="14"/>
  <c r="S74" i="6"/>
  <c r="D76" i="15" s="1"/>
  <c r="S76" i="6"/>
  <c r="D78" i="15" s="1"/>
  <c r="S75" i="6"/>
  <c r="D77" i="15" s="1"/>
  <c r="S11" i="6"/>
  <c r="D13" i="15" s="1"/>
  <c r="S77" i="6"/>
  <c r="D79" i="15" s="1"/>
  <c r="S37" i="6"/>
  <c r="D39" i="15" s="1"/>
  <c r="S52" i="6"/>
  <c r="D54" i="15" s="1"/>
  <c r="S42" i="6"/>
  <c r="D44" i="15" s="1"/>
  <c r="S14" i="6"/>
  <c r="D16" i="15" s="1"/>
  <c r="S29" i="6"/>
  <c r="D31" i="15" s="1"/>
  <c r="S32" i="6"/>
  <c r="D34" i="15" s="1"/>
  <c r="S53" i="6"/>
  <c r="D55" i="15" s="1"/>
  <c r="S54" i="6"/>
  <c r="D56" i="15" s="1"/>
  <c r="S50" i="6"/>
  <c r="D52" i="15" s="1"/>
  <c r="S49" i="6"/>
  <c r="D51" i="15" s="1"/>
  <c r="S31" i="6"/>
  <c r="D33" i="15" s="1"/>
  <c r="T33" i="15" s="1"/>
  <c r="S35" i="6"/>
  <c r="D37" i="15" s="1"/>
  <c r="T37" i="15" s="1"/>
  <c r="S3" i="6"/>
  <c r="D5" i="15" s="1"/>
  <c r="S10" i="6"/>
  <c r="D12" i="15" s="1"/>
  <c r="S4" i="6"/>
  <c r="D6" i="15" s="1"/>
  <c r="S20" i="6"/>
  <c r="D22" i="15" s="1"/>
  <c r="S18" i="6"/>
  <c r="D20" i="15" s="1"/>
  <c r="S12" i="6"/>
  <c r="D14" i="15" s="1"/>
  <c r="S5" i="6"/>
  <c r="D7" i="15" s="1"/>
  <c r="S44" i="6"/>
  <c r="D46" i="15" s="1"/>
  <c r="S73" i="6"/>
  <c r="D75" i="15" s="1"/>
  <c r="S94" i="6"/>
  <c r="D96" i="15" s="1"/>
  <c r="S93" i="6"/>
  <c r="D95" i="15" s="1"/>
  <c r="S92" i="6"/>
  <c r="D94" i="15" s="1"/>
  <c r="S91" i="6"/>
  <c r="D93" i="15" s="1"/>
  <c r="S90" i="6"/>
  <c r="D92" i="15" s="1"/>
  <c r="S89" i="6"/>
  <c r="D91" i="15" s="1"/>
  <c r="S88" i="6"/>
  <c r="D90" i="15" s="1"/>
  <c r="S87" i="6"/>
  <c r="D89" i="15" s="1"/>
  <c r="S86" i="6"/>
  <c r="D88" i="15" s="1"/>
  <c r="S85" i="6"/>
  <c r="D87" i="15" s="1"/>
  <c r="S84" i="6"/>
  <c r="D86" i="15" s="1"/>
  <c r="S83" i="6"/>
  <c r="D85" i="15" s="1"/>
  <c r="S82" i="6"/>
  <c r="D84" i="15" s="1"/>
  <c r="S46" i="6"/>
  <c r="D48" i="15" s="1"/>
  <c r="S59" i="6"/>
  <c r="D61" i="15" s="1"/>
  <c r="S26" i="6"/>
  <c r="D28" i="15" s="1"/>
  <c r="S58" i="6"/>
  <c r="D60" i="15" s="1"/>
  <c r="S57" i="6"/>
  <c r="D59" i="15" s="1"/>
  <c r="S71" i="6"/>
  <c r="D73" i="15" s="1"/>
  <c r="S69" i="6"/>
  <c r="D71" i="15" s="1"/>
  <c r="S68" i="6"/>
  <c r="D70" i="15" s="1"/>
  <c r="AD13" i="3"/>
  <c r="AD17" i="3"/>
  <c r="Q12" i="4"/>
  <c r="Q21" i="4"/>
  <c r="AD18" i="3"/>
  <c r="AD31" i="3"/>
  <c r="AD53" i="3"/>
  <c r="AD49" i="3"/>
  <c r="AD45" i="3"/>
  <c r="AD41" i="3"/>
  <c r="AD58" i="3"/>
  <c r="AD70" i="3"/>
  <c r="AD66" i="3"/>
  <c r="AD76" i="3"/>
  <c r="AD72" i="3"/>
  <c r="AD90" i="3"/>
  <c r="AD85" i="3"/>
  <c r="AD80" i="3"/>
  <c r="AD104" i="3"/>
  <c r="AD99" i="3"/>
  <c r="AD94" i="3"/>
  <c r="AD21" i="3"/>
  <c r="Q4" i="4"/>
  <c r="Q53" i="4"/>
  <c r="Q45" i="4"/>
  <c r="Q58" i="4"/>
  <c r="Q64" i="4"/>
  <c r="S8" i="6"/>
  <c r="D10" i="15" s="1"/>
  <c r="S28" i="6"/>
  <c r="D30" i="15" s="1"/>
  <c r="S23" i="6"/>
  <c r="D25" i="15" s="1"/>
  <c r="S15" i="6"/>
  <c r="D17" i="15" s="1"/>
  <c r="S41" i="6"/>
  <c r="D43" i="15" s="1"/>
  <c r="S55" i="6"/>
  <c r="D57" i="15" s="1"/>
  <c r="S51" i="6"/>
  <c r="D53" i="15" s="1"/>
  <c r="S45" i="6"/>
  <c r="D47" i="15" s="1"/>
  <c r="S43" i="6"/>
  <c r="D45" i="15" s="1"/>
  <c r="S60" i="6"/>
  <c r="D62" i="15" s="1"/>
  <c r="S67" i="6"/>
  <c r="D69" i="15" s="1"/>
  <c r="S64" i="6"/>
  <c r="D66" i="15" s="1"/>
  <c r="S78" i="6"/>
  <c r="D80" i="15" s="1"/>
  <c r="S7" i="6"/>
  <c r="D9" i="15" s="1"/>
  <c r="S56" i="6"/>
  <c r="D58" i="15" s="1"/>
  <c r="S47" i="6"/>
  <c r="D49" i="15" s="1"/>
  <c r="S62" i="6"/>
  <c r="D64" i="15" s="1"/>
  <c r="S72" i="6"/>
  <c r="D74" i="15" s="1"/>
  <c r="S66" i="6"/>
  <c r="D68" i="15" s="1"/>
  <c r="S63" i="6"/>
  <c r="D65" i="15" s="1"/>
  <c r="S33" i="6"/>
  <c r="D35" i="15" s="1"/>
  <c r="S48" i="6"/>
  <c r="D50" i="15" s="1"/>
  <c r="S61" i="6"/>
  <c r="D63" i="15" s="1"/>
  <c r="S70" i="6"/>
  <c r="D72" i="15" s="1"/>
  <c r="S65" i="6"/>
  <c r="D67" i="15" s="1"/>
  <c r="D18" i="12"/>
  <c r="D12" i="12"/>
  <c r="D32" i="12"/>
  <c r="D29" i="12"/>
  <c r="D5" i="12"/>
  <c r="D31" i="12"/>
  <c r="D27" i="12"/>
  <c r="D21" i="12"/>
  <c r="D41" i="12"/>
  <c r="D11" i="12"/>
  <c r="D10" i="12"/>
  <c r="D50" i="12"/>
  <c r="D49" i="12"/>
  <c r="D48" i="12"/>
  <c r="D47" i="12"/>
  <c r="D45" i="12"/>
  <c r="D44" i="12"/>
  <c r="D64" i="12"/>
  <c r="D63" i="12"/>
  <c r="D62" i="12"/>
  <c r="D61" i="12"/>
  <c r="D60" i="12"/>
  <c r="D59" i="12"/>
  <c r="T59" i="12" s="1"/>
  <c r="D74" i="12"/>
  <c r="D73" i="12"/>
  <c r="T73" i="12" s="1"/>
  <c r="D72" i="12"/>
  <c r="T72" i="12" s="1"/>
  <c r="D70" i="12"/>
  <c r="T70" i="12" s="1"/>
  <c r="D69" i="12"/>
  <c r="T69" i="12" s="1"/>
  <c r="D68" i="12"/>
  <c r="T68" i="12" s="1"/>
  <c r="D66" i="12"/>
  <c r="T66" i="12" s="1"/>
  <c r="D65" i="12"/>
  <c r="AL65" i="12" s="1"/>
  <c r="D78" i="12"/>
  <c r="D75" i="12"/>
  <c r="AL75" i="12" s="1"/>
  <c r="D95" i="12"/>
  <c r="AL95" i="12" s="1"/>
  <c r="D93" i="12"/>
  <c r="AL93" i="12" s="1"/>
  <c r="D92" i="12"/>
  <c r="AL92" i="12" s="1"/>
  <c r="D91" i="12"/>
  <c r="T91" i="12" s="1"/>
  <c r="D88" i="12"/>
  <c r="T88" i="12" s="1"/>
  <c r="D87" i="12"/>
  <c r="D83" i="12"/>
  <c r="D82" i="12"/>
  <c r="AL82" i="12" s="1"/>
  <c r="D107" i="12"/>
  <c r="T107" i="12" s="1"/>
  <c r="D104" i="12"/>
  <c r="T104" i="12" s="1"/>
  <c r="Q2" i="4"/>
  <c r="Q24" i="4"/>
  <c r="Q32" i="4"/>
  <c r="Q55" i="4"/>
  <c r="AD3" i="3"/>
  <c r="AD14" i="3"/>
  <c r="AD29" i="3"/>
  <c r="AD20" i="3"/>
  <c r="AD37" i="3"/>
  <c r="Q26" i="4"/>
  <c r="AD9" i="3"/>
  <c r="AD35" i="3"/>
  <c r="AD30" i="3"/>
  <c r="AD52" i="3"/>
  <c r="AD50" i="3"/>
  <c r="AD46" i="3"/>
  <c r="AD42" i="3"/>
  <c r="AD59" i="3"/>
  <c r="AD56" i="3"/>
  <c r="AD68" i="3"/>
  <c r="AD64" i="3"/>
  <c r="AD75" i="3"/>
  <c r="AD92" i="3"/>
  <c r="AD88" i="3"/>
  <c r="AD83" i="3"/>
  <c r="AD106" i="3"/>
  <c r="AD101" i="3"/>
  <c r="AD97" i="3"/>
  <c r="AD28" i="3"/>
  <c r="Q7" i="4"/>
  <c r="Q33" i="4"/>
  <c r="Q48" i="4"/>
  <c r="Q60" i="4"/>
  <c r="Q68" i="4"/>
  <c r="D71" i="12"/>
  <c r="D67" i="12"/>
  <c r="D80" i="12"/>
  <c r="D79" i="12"/>
  <c r="D77" i="12"/>
  <c r="D76" i="12"/>
  <c r="D96" i="12"/>
  <c r="D94" i="12"/>
  <c r="D90" i="12"/>
  <c r="D89" i="12"/>
  <c r="D86" i="12"/>
  <c r="D85" i="12"/>
  <c r="D84" i="12"/>
  <c r="D81" i="12"/>
  <c r="D109" i="12"/>
  <c r="D108" i="12"/>
  <c r="D106" i="12"/>
  <c r="AL106" i="12" s="1"/>
  <c r="D105" i="12"/>
  <c r="T105" i="12" s="1"/>
  <c r="Q15" i="4"/>
  <c r="AD15" i="3"/>
  <c r="AD6" i="3"/>
  <c r="AD22" i="3"/>
  <c r="Q14" i="4"/>
  <c r="Q25" i="4"/>
  <c r="AD26" i="3"/>
  <c r="AD32" i="3"/>
  <c r="AD54" i="3"/>
  <c r="AD48" i="3"/>
  <c r="AD43" i="3"/>
  <c r="AD60" i="3"/>
  <c r="AD71" i="3"/>
  <c r="AD65" i="3"/>
  <c r="AD77" i="3"/>
  <c r="AD73" i="3"/>
  <c r="AD89" i="3"/>
  <c r="AD84" i="3"/>
  <c r="AD79" i="3"/>
  <c r="AD103" i="3"/>
  <c r="AD98" i="3"/>
  <c r="AD11" i="3"/>
  <c r="Q13" i="4"/>
  <c r="Q36" i="4"/>
  <c r="Q49" i="4"/>
  <c r="Q57" i="4"/>
  <c r="S36" i="6"/>
  <c r="D38" i="15" s="1"/>
  <c r="D103" i="12"/>
  <c r="T103" i="12" s="1"/>
  <c r="D102" i="12"/>
  <c r="AL102" i="12" s="1"/>
  <c r="D101" i="12"/>
  <c r="AL101" i="12" s="1"/>
  <c r="D100" i="12"/>
  <c r="T100" i="12" s="1"/>
  <c r="D99" i="12"/>
  <c r="AL99" i="12" s="1"/>
  <c r="D98" i="12"/>
  <c r="D97" i="12"/>
  <c r="AL97" i="12" s="1"/>
  <c r="D118" i="12"/>
  <c r="T118" i="12" s="1"/>
  <c r="D113" i="12"/>
  <c r="T113" i="12" s="1"/>
  <c r="D112" i="12"/>
  <c r="T112" i="12" s="1"/>
  <c r="D111" i="12"/>
  <c r="AL111" i="12" s="1"/>
  <c r="D110" i="12"/>
  <c r="T110" i="12" s="1"/>
  <c r="D6" i="12"/>
  <c r="D13" i="12"/>
  <c r="D28" i="12"/>
  <c r="AL28" i="12" s="1"/>
  <c r="D22" i="12"/>
  <c r="T22" i="12" s="1"/>
  <c r="D20" i="12"/>
  <c r="T20" i="12" s="1"/>
  <c r="D38" i="12"/>
  <c r="AL38" i="12" s="1"/>
  <c r="AD8" i="3"/>
  <c r="AD25" i="3"/>
  <c r="AD19" i="3"/>
  <c r="AD38" i="3"/>
  <c r="Q11" i="4"/>
  <c r="Q10" i="4"/>
  <c r="Q6" i="4"/>
  <c r="Q3" i="4"/>
  <c r="Q29" i="4"/>
  <c r="Q28" i="4"/>
  <c r="Q27" i="4"/>
  <c r="Q23" i="4"/>
  <c r="Q22" i="4"/>
  <c r="Q19" i="4"/>
  <c r="Q18" i="4"/>
  <c r="Q17" i="4"/>
  <c r="Q40" i="4"/>
  <c r="Q38" i="4"/>
  <c r="Q37" i="4"/>
  <c r="Q34" i="4"/>
  <c r="Q31" i="4"/>
  <c r="Q30" i="4"/>
  <c r="Q54" i="4"/>
  <c r="Q52" i="4"/>
  <c r="Q50" i="4"/>
  <c r="Q47" i="4"/>
  <c r="Q46" i="4"/>
  <c r="Q44" i="4"/>
  <c r="Q42" i="4"/>
  <c r="Q61" i="4"/>
  <c r="Q59" i="4"/>
  <c r="Q71" i="4"/>
  <c r="Q69" i="4"/>
  <c r="Q67" i="4"/>
  <c r="Q66" i="4"/>
  <c r="Q65" i="4"/>
  <c r="AD16" i="3"/>
  <c r="AD10" i="3"/>
  <c r="AD5" i="3"/>
  <c r="AD4" i="3"/>
  <c r="AD27" i="3"/>
  <c r="AD24" i="3"/>
  <c r="AD39" i="3"/>
  <c r="AD36" i="3"/>
  <c r="AD34" i="3"/>
  <c r="AD2" i="3"/>
  <c r="Q9" i="4"/>
  <c r="Q8" i="4"/>
  <c r="Q35" i="4"/>
  <c r="AD40" i="3"/>
  <c r="Q5" i="4"/>
  <c r="AD12" i="3"/>
  <c r="AD33" i="3"/>
  <c r="AD55" i="3"/>
  <c r="AD51" i="3"/>
  <c r="AD47" i="3"/>
  <c r="AD44" i="3"/>
  <c r="AD61" i="3"/>
  <c r="AD57" i="3"/>
  <c r="AD67" i="3"/>
  <c r="AD63" i="3"/>
  <c r="AD74" i="3"/>
  <c r="AD91" i="3"/>
  <c r="AD86" i="3"/>
  <c r="AD81" i="3"/>
  <c r="AD105" i="3"/>
  <c r="AD100" i="3"/>
  <c r="AD95" i="3"/>
  <c r="AD23" i="3"/>
  <c r="Q39" i="4"/>
  <c r="Q51" i="4"/>
  <c r="Q43" i="4"/>
  <c r="Q56" i="4"/>
  <c r="Q63" i="4"/>
  <c r="Q16" i="4"/>
  <c r="AD69" i="3"/>
  <c r="AD62" i="3"/>
  <c r="AD93" i="3"/>
  <c r="AD87" i="3"/>
  <c r="AD82" i="3"/>
  <c r="AD78" i="3"/>
  <c r="AD102" i="3"/>
  <c r="AD96" i="3"/>
  <c r="AD7" i="3"/>
  <c r="Q20" i="4"/>
  <c r="Q41" i="4"/>
  <c r="Q70" i="4"/>
  <c r="Q62" i="4"/>
  <c r="Q77" i="4"/>
  <c r="Q76" i="4"/>
  <c r="Q75" i="4"/>
  <c r="Q74" i="4"/>
  <c r="Q73" i="4"/>
  <c r="Q72" i="4"/>
  <c r="Q93" i="4"/>
  <c r="Q92" i="4"/>
  <c r="Q91" i="4"/>
  <c r="Q90" i="4"/>
  <c r="Q89" i="4"/>
  <c r="Q88" i="4"/>
  <c r="Q87" i="4"/>
  <c r="Q86" i="4"/>
  <c r="Q85" i="4"/>
  <c r="Q84" i="4"/>
  <c r="Q83" i="4"/>
  <c r="Q82" i="4"/>
  <c r="Q81" i="4"/>
  <c r="Q80" i="4"/>
  <c r="Q79" i="4"/>
  <c r="Q78" i="4"/>
  <c r="Q106" i="4"/>
  <c r="Q105" i="4"/>
  <c r="Q104" i="4"/>
  <c r="Q103" i="4"/>
  <c r="Q102" i="4"/>
  <c r="Q101" i="4"/>
  <c r="Q100" i="4"/>
  <c r="Q99" i="4"/>
  <c r="Q98" i="4"/>
  <c r="Q97" i="4"/>
  <c r="Q96" i="4"/>
  <c r="Q95" i="4"/>
  <c r="Q94" i="4"/>
  <c r="C46" i="2"/>
  <c r="S21" i="6"/>
  <c r="D23" i="15" s="1"/>
  <c r="S9" i="6"/>
  <c r="D11" i="15" s="1"/>
  <c r="S30" i="6"/>
  <c r="D32" i="15" s="1"/>
  <c r="T32" i="15" s="1"/>
  <c r="S19" i="6"/>
  <c r="D21" i="15" s="1"/>
  <c r="T21" i="15" s="1"/>
  <c r="S16" i="6"/>
  <c r="D18" i="15" s="1"/>
  <c r="S22" i="6"/>
  <c r="D24" i="15" s="1"/>
  <c r="S39" i="6"/>
  <c r="D41" i="15" s="1"/>
  <c r="T41" i="15" s="1"/>
  <c r="S81" i="6"/>
  <c r="D83" i="15" s="1"/>
  <c r="S80" i="6"/>
  <c r="D82" i="15" s="1"/>
  <c r="S79" i="6"/>
  <c r="D81" i="15" s="1"/>
  <c r="S107" i="6"/>
  <c r="D109" i="15" s="1"/>
  <c r="S106" i="6"/>
  <c r="D108" i="15" s="1"/>
  <c r="S105" i="6"/>
  <c r="D107" i="15" s="1"/>
  <c r="S104" i="6"/>
  <c r="D106" i="15" s="1"/>
  <c r="S103" i="6"/>
  <c r="D105" i="15" s="1"/>
  <c r="S102" i="6"/>
  <c r="D104" i="15" s="1"/>
  <c r="S101" i="6"/>
  <c r="D103" i="15" s="1"/>
  <c r="S100" i="6"/>
  <c r="D102" i="15" s="1"/>
  <c r="S99" i="6"/>
  <c r="D101" i="15" s="1"/>
  <c r="S98" i="6"/>
  <c r="D100" i="15" s="1"/>
  <c r="S97" i="6"/>
  <c r="D99" i="15" s="1"/>
  <c r="S96" i="6"/>
  <c r="D98" i="15" s="1"/>
  <c r="S95" i="6"/>
  <c r="D97" i="15" s="1"/>
  <c r="S116" i="6"/>
  <c r="D118" i="15" s="1"/>
  <c r="S111" i="6"/>
  <c r="D113" i="15" s="1"/>
  <c r="S110" i="6"/>
  <c r="D112" i="15" s="1"/>
  <c r="S109" i="6"/>
  <c r="D111" i="15" s="1"/>
  <c r="S108" i="6"/>
  <c r="D110" i="15" s="1"/>
  <c r="S24" i="6"/>
  <c r="D26" i="15" s="1"/>
  <c r="S38" i="6"/>
  <c r="D40" i="15" s="1"/>
  <c r="S27" i="6"/>
  <c r="D29" i="15" s="1"/>
  <c r="T29" i="15" s="1"/>
  <c r="S25" i="6"/>
  <c r="D27" i="15" s="1"/>
  <c r="T27" i="15" s="1"/>
  <c r="S34" i="6"/>
  <c r="D36" i="15" s="1"/>
  <c r="S40" i="6"/>
  <c r="D42" i="15" s="1"/>
  <c r="E79" i="8"/>
  <c r="E79" i="10"/>
  <c r="T79" i="10" s="1"/>
  <c r="E78" i="8"/>
  <c r="E78" i="10"/>
  <c r="T78" i="10" s="1"/>
  <c r="E77" i="8"/>
  <c r="E77" i="10"/>
  <c r="T77" i="10" s="1"/>
  <c r="E76" i="8"/>
  <c r="E76" i="10"/>
  <c r="T76" i="10" s="1"/>
  <c r="D19" i="12"/>
  <c r="T19" i="12" s="1"/>
  <c r="D15" i="12"/>
  <c r="T15" i="12" s="1"/>
  <c r="D14" i="12"/>
  <c r="T14" i="12" s="1"/>
  <c r="D8" i="12"/>
  <c r="T8" i="12" s="1"/>
  <c r="D7" i="12"/>
  <c r="AL7" i="12" s="1"/>
  <c r="D46" i="12"/>
  <c r="S13" i="6"/>
  <c r="D15" i="15" s="1"/>
  <c r="D117" i="12"/>
  <c r="D116" i="12"/>
  <c r="D115" i="12"/>
  <c r="D114" i="12"/>
  <c r="S6" i="6"/>
  <c r="D8" i="15" s="1"/>
  <c r="S112" i="6"/>
  <c r="D114" i="15" s="1"/>
  <c r="S113" i="6"/>
  <c r="D115" i="15" s="1"/>
  <c r="S114" i="6"/>
  <c r="D116" i="15" s="1"/>
  <c r="S17" i="6"/>
  <c r="D19" i="15" s="1"/>
  <c r="S115" i="6"/>
  <c r="D117" i="15" s="1"/>
  <c r="T17" i="12"/>
  <c r="AL17" i="12"/>
  <c r="T16" i="12"/>
  <c r="AL16" i="12"/>
  <c r="T9" i="12"/>
  <c r="AL9" i="12"/>
  <c r="T30" i="12"/>
  <c r="AL30" i="12"/>
  <c r="T25" i="12"/>
  <c r="AL25" i="12"/>
  <c r="T43" i="12"/>
  <c r="AL43" i="12"/>
  <c r="T39" i="12"/>
  <c r="AL39" i="12"/>
  <c r="T37" i="12"/>
  <c r="AL37" i="12"/>
  <c r="T24" i="12"/>
  <c r="AL24" i="12"/>
  <c r="T26" i="12"/>
  <c r="AL26" i="12"/>
  <c r="T23" i="12"/>
  <c r="AL23" i="12"/>
  <c r="T42" i="12"/>
  <c r="AL42" i="12"/>
  <c r="T40" i="12"/>
  <c r="AL40" i="12"/>
  <c r="T36" i="12"/>
  <c r="AL36" i="12"/>
  <c r="T35" i="12"/>
  <c r="AL35" i="12"/>
  <c r="T34" i="12"/>
  <c r="AL34" i="12"/>
  <c r="T33" i="12"/>
  <c r="AL33" i="12"/>
  <c r="T58" i="12"/>
  <c r="AL58" i="12"/>
  <c r="T57" i="12"/>
  <c r="AL57" i="12"/>
  <c r="T56" i="12"/>
  <c r="AL56" i="12"/>
  <c r="T55" i="12"/>
  <c r="AL55" i="12"/>
  <c r="T54" i="12"/>
  <c r="AL54" i="12"/>
  <c r="T53" i="12"/>
  <c r="AL53" i="12"/>
  <c r="T52" i="12"/>
  <c r="AL52" i="12"/>
  <c r="T51" i="12"/>
  <c r="AL51" i="12"/>
  <c r="AL59" i="12"/>
  <c r="T74" i="12"/>
  <c r="AL74" i="12"/>
  <c r="T65" i="12"/>
  <c r="T78" i="12"/>
  <c r="AL78" i="12"/>
  <c r="T87" i="12"/>
  <c r="AL87" i="12"/>
  <c r="T83" i="12"/>
  <c r="AL83" i="12"/>
  <c r="T82" i="12"/>
  <c r="T99" i="12"/>
  <c r="T98" i="12"/>
  <c r="AL98" i="12"/>
  <c r="T6" i="12"/>
  <c r="AL6" i="12"/>
  <c r="T13" i="12"/>
  <c r="AL13" i="12"/>
  <c r="T28" i="12"/>
  <c r="E8" i="14" l="1"/>
  <c r="R9" i="15" s="1"/>
  <c r="D8" i="14"/>
  <c r="Q9" i="15" s="1"/>
  <c r="F8" i="14"/>
  <c r="AI9" i="15" s="1"/>
  <c r="G8" i="14"/>
  <c r="AJ9" i="15" s="1"/>
  <c r="C9" i="14"/>
  <c r="R119" i="5"/>
  <c r="R120" i="5" s="1"/>
  <c r="T65" i="5"/>
  <c r="Q119" i="5"/>
  <c r="Q120" i="5" s="1"/>
  <c r="S65" i="5"/>
  <c r="P14" i="15"/>
  <c r="AH14" i="15"/>
  <c r="A14" i="14"/>
  <c r="T47" i="15"/>
  <c r="AL16" i="15"/>
  <c r="T56" i="15"/>
  <c r="T34" i="15"/>
  <c r="T52" i="15"/>
  <c r="AL13" i="15"/>
  <c r="T45" i="15"/>
  <c r="T13" i="15"/>
  <c r="T39" i="15"/>
  <c r="T54" i="15"/>
  <c r="T44" i="15"/>
  <c r="T31" i="15"/>
  <c r="T55" i="15"/>
  <c r="T51" i="15"/>
  <c r="T48" i="15"/>
  <c r="T61" i="15"/>
  <c r="T60" i="15"/>
  <c r="T49" i="15"/>
  <c r="T50" i="15"/>
  <c r="T7" i="12"/>
  <c r="AL39" i="15"/>
  <c r="E39" i="10"/>
  <c r="T39" i="10" s="1"/>
  <c r="E39" i="8"/>
  <c r="T102" i="12"/>
  <c r="AL68" i="12"/>
  <c r="T92" i="12"/>
  <c r="T38" i="12"/>
  <c r="T97" i="12"/>
  <c r="T75" i="12"/>
  <c r="E13" i="8"/>
  <c r="AL73" i="12"/>
  <c r="AL110" i="12"/>
  <c r="AL105" i="12"/>
  <c r="E13" i="10"/>
  <c r="T13" i="10" s="1"/>
  <c r="AL107" i="12"/>
  <c r="T95" i="12"/>
  <c r="AL72" i="12"/>
  <c r="AL22" i="12"/>
  <c r="AL118" i="12"/>
  <c r="AL104" i="12"/>
  <c r="T111" i="12"/>
  <c r="AL112" i="12"/>
  <c r="AL69" i="12"/>
  <c r="AL91" i="12"/>
  <c r="AL100" i="12"/>
  <c r="T101" i="12"/>
  <c r="AL8" i="12"/>
  <c r="AL15" i="12"/>
  <c r="AL14" i="12"/>
  <c r="T16" i="15"/>
  <c r="AL70" i="12"/>
  <c r="T106" i="12"/>
  <c r="T93" i="12"/>
  <c r="AL20" i="12"/>
  <c r="AL113" i="12"/>
  <c r="AL103" i="12"/>
  <c r="AL88" i="12"/>
  <c r="AL66" i="12"/>
  <c r="AL19" i="12"/>
  <c r="E16" i="8"/>
  <c r="E16" i="10"/>
  <c r="T16" i="10" s="1"/>
  <c r="E44" i="8"/>
  <c r="E44" i="10"/>
  <c r="T44" i="10" s="1"/>
  <c r="E31" i="8"/>
  <c r="E31" i="10"/>
  <c r="T31" i="10" s="1"/>
  <c r="E54" i="8"/>
  <c r="E54" i="10"/>
  <c r="T54" i="10" s="1"/>
  <c r="E34" i="8"/>
  <c r="E34" i="10"/>
  <c r="T34" i="10" s="1"/>
  <c r="AL37" i="15"/>
  <c r="AL34" i="15"/>
  <c r="AL33" i="15"/>
  <c r="AL56" i="15"/>
  <c r="AL55" i="15"/>
  <c r="AL54" i="15"/>
  <c r="AL52" i="15"/>
  <c r="AL51" i="15"/>
  <c r="T46" i="12"/>
  <c r="AL46" i="12"/>
  <c r="T117" i="12"/>
  <c r="AL117" i="12"/>
  <c r="T116" i="12"/>
  <c r="AL116" i="12"/>
  <c r="T115" i="12"/>
  <c r="AL115" i="12"/>
  <c r="T114" i="12"/>
  <c r="AL114" i="12"/>
  <c r="AE15" i="3"/>
  <c r="AE10" i="3"/>
  <c r="AE9" i="3"/>
  <c r="AE28" i="3"/>
  <c r="AE23" i="3"/>
  <c r="AE20" i="3"/>
  <c r="AE35" i="3"/>
  <c r="R2" i="4"/>
  <c r="R16" i="4"/>
  <c r="R9" i="4"/>
  <c r="R5" i="4"/>
  <c r="R21" i="4"/>
  <c r="R20" i="4"/>
  <c r="R17" i="4"/>
  <c r="R39" i="4"/>
  <c r="R35" i="4"/>
  <c r="R32" i="4"/>
  <c r="R55" i="4"/>
  <c r="R53" i="4"/>
  <c r="R51" i="4"/>
  <c r="R49" i="4"/>
  <c r="R48" i="4"/>
  <c r="E19" i="10"/>
  <c r="T19" i="10" s="1"/>
  <c r="E19" i="8"/>
  <c r="E8" i="10"/>
  <c r="T8" i="10" s="1"/>
  <c r="E8" i="8"/>
  <c r="T5" i="15"/>
  <c r="AL5" i="15"/>
  <c r="E52" i="8"/>
  <c r="E52" i="10"/>
  <c r="T52" i="10" s="1"/>
  <c r="E51" i="8"/>
  <c r="E51" i="10"/>
  <c r="T51" i="10" s="1"/>
  <c r="E33" i="8"/>
  <c r="E33" i="10"/>
  <c r="T33" i="10" s="1"/>
  <c r="E56" i="8"/>
  <c r="E56" i="10"/>
  <c r="T56" i="10" s="1"/>
  <c r="E55" i="8"/>
  <c r="E55" i="10"/>
  <c r="T55" i="10" s="1"/>
  <c r="E37" i="8"/>
  <c r="E37" i="10"/>
  <c r="T37" i="10" s="1"/>
  <c r="E5" i="8"/>
  <c r="E5" i="10"/>
  <c r="T5" i="10" s="1"/>
  <c r="E12" i="8"/>
  <c r="E12" i="10"/>
  <c r="T12" i="10" s="1"/>
  <c r="AL12" i="15"/>
  <c r="T12" i="15"/>
  <c r="AL6" i="15"/>
  <c r="T6" i="15"/>
  <c r="AL22" i="15"/>
  <c r="T22" i="15"/>
  <c r="AL20" i="15"/>
  <c r="T20" i="15"/>
  <c r="AL14" i="15"/>
  <c r="T14" i="15"/>
  <c r="AL7" i="15"/>
  <c r="T7" i="15"/>
  <c r="AL46" i="15"/>
  <c r="T46" i="15"/>
  <c r="AL28" i="15"/>
  <c r="T28" i="15"/>
  <c r="AL59" i="15"/>
  <c r="T59" i="15"/>
  <c r="AL10" i="15"/>
  <c r="T10" i="15"/>
  <c r="AL30" i="15"/>
  <c r="T30" i="15"/>
  <c r="AL25" i="15"/>
  <c r="T25" i="15"/>
  <c r="AL17" i="15"/>
  <c r="T17" i="15"/>
  <c r="AL43" i="15"/>
  <c r="T43" i="15"/>
  <c r="AL57" i="15"/>
  <c r="T57" i="15"/>
  <c r="AL53" i="15"/>
  <c r="T53" i="15"/>
  <c r="AL9" i="15"/>
  <c r="T9" i="15"/>
  <c r="AL58" i="15"/>
  <c r="T58" i="15"/>
  <c r="AL35" i="15"/>
  <c r="T35" i="15"/>
  <c r="AL38" i="15"/>
  <c r="T38" i="15"/>
  <c r="AL23" i="15"/>
  <c r="T23" i="15"/>
  <c r="AL11" i="15"/>
  <c r="T11" i="15"/>
  <c r="AL18" i="15"/>
  <c r="T18" i="15"/>
  <c r="AL24" i="15"/>
  <c r="T24" i="15"/>
  <c r="AL26" i="15"/>
  <c r="T26" i="15"/>
  <c r="AL40" i="15"/>
  <c r="T40" i="15"/>
  <c r="AL36" i="15"/>
  <c r="T36" i="15"/>
  <c r="AL42" i="15"/>
  <c r="T42" i="15"/>
  <c r="AL15" i="15"/>
  <c r="T15" i="15"/>
  <c r="AL8" i="15"/>
  <c r="T8" i="15"/>
  <c r="AL19" i="15"/>
  <c r="T19" i="15"/>
  <c r="R46" i="4"/>
  <c r="R45" i="4"/>
  <c r="R44" i="4"/>
  <c r="R43" i="4"/>
  <c r="R41" i="4"/>
  <c r="R58" i="4"/>
  <c r="R57" i="4"/>
  <c r="R56" i="4"/>
  <c r="R70" i="4"/>
  <c r="R68" i="4"/>
  <c r="AE3" i="3"/>
  <c r="AE12" i="3"/>
  <c r="AE11" i="3"/>
  <c r="AE6" i="3"/>
  <c r="AE22" i="3"/>
  <c r="AE18" i="3"/>
  <c r="AE17" i="3"/>
  <c r="R14" i="4"/>
  <c r="R7" i="4"/>
  <c r="R4" i="4"/>
  <c r="R28" i="4"/>
  <c r="R27" i="4"/>
  <c r="R26" i="4"/>
  <c r="R25" i="4"/>
  <c r="R38" i="4"/>
  <c r="R36" i="4"/>
  <c r="R33" i="4"/>
  <c r="R54" i="4"/>
  <c r="AE2" i="3"/>
  <c r="AE7" i="3"/>
  <c r="AE27" i="3"/>
  <c r="AE25" i="3"/>
  <c r="AE19" i="3"/>
  <c r="AE39" i="3"/>
  <c r="AE36" i="3"/>
  <c r="R15" i="4"/>
  <c r="R13" i="4"/>
  <c r="R10" i="4"/>
  <c r="R8" i="4"/>
  <c r="R6" i="4"/>
  <c r="R3" i="4"/>
  <c r="R29" i="4"/>
  <c r="R24" i="4"/>
  <c r="AE14" i="3"/>
  <c r="AE13" i="3"/>
  <c r="AE4" i="3"/>
  <c r="AE29" i="3"/>
  <c r="AE24" i="3"/>
  <c r="AE21" i="3"/>
  <c r="AE40" i="3"/>
  <c r="AE38" i="3"/>
  <c r="AE33" i="3"/>
  <c r="AE32" i="3"/>
  <c r="AE31" i="3"/>
  <c r="AE30" i="3"/>
  <c r="AE55" i="3"/>
  <c r="AE67" i="3"/>
  <c r="AE66" i="3"/>
  <c r="AE65" i="3"/>
  <c r="AE64" i="3"/>
  <c r="AE63" i="3"/>
  <c r="AE62" i="3"/>
  <c r="AE77" i="3"/>
  <c r="AE76" i="3"/>
  <c r="AE75" i="3"/>
  <c r="AE74" i="3"/>
  <c r="AE73" i="3"/>
  <c r="AE72" i="3"/>
  <c r="AE93" i="3"/>
  <c r="AE92" i="3"/>
  <c r="AE91" i="3"/>
  <c r="AE90" i="3"/>
  <c r="AE89" i="3"/>
  <c r="AE88" i="3"/>
  <c r="AE87" i="3"/>
  <c r="AE86" i="3"/>
  <c r="AE85" i="3"/>
  <c r="AE84" i="3"/>
  <c r="AE83" i="3"/>
  <c r="AE82" i="3"/>
  <c r="AE81" i="3"/>
  <c r="AE80" i="3"/>
  <c r="AE79" i="3"/>
  <c r="AE78" i="3"/>
  <c r="AE16" i="3"/>
  <c r="AE8" i="3"/>
  <c r="AE5" i="3"/>
  <c r="AE26" i="3"/>
  <c r="AE37" i="3"/>
  <c r="AE34" i="3"/>
  <c r="R12" i="4"/>
  <c r="R11" i="4"/>
  <c r="R23" i="4"/>
  <c r="R22" i="4"/>
  <c r="R19" i="4"/>
  <c r="R18" i="4"/>
  <c r="R40" i="4"/>
  <c r="R37" i="4"/>
  <c r="R34" i="4"/>
  <c r="R31" i="4"/>
  <c r="R30" i="4"/>
  <c r="R52" i="4"/>
  <c r="R50" i="4"/>
  <c r="R47" i="4"/>
  <c r="R42" i="4"/>
  <c r="R61" i="4"/>
  <c r="R60" i="4"/>
  <c r="R59" i="4"/>
  <c r="R71" i="4"/>
  <c r="R69" i="4"/>
  <c r="R67" i="4"/>
  <c r="R66" i="4"/>
  <c r="R65" i="4"/>
  <c r="R64" i="4"/>
  <c r="R63" i="4"/>
  <c r="R62" i="4"/>
  <c r="R77" i="4"/>
  <c r="R76" i="4"/>
  <c r="R75" i="4"/>
  <c r="R74" i="4"/>
  <c r="R73" i="4"/>
  <c r="R72" i="4"/>
  <c r="R93" i="4"/>
  <c r="R92" i="4"/>
  <c r="R91" i="4"/>
  <c r="R90" i="4"/>
  <c r="R89" i="4"/>
  <c r="R88" i="4"/>
  <c r="R87" i="4"/>
  <c r="R86" i="4"/>
  <c r="R85" i="4"/>
  <c r="R84" i="4"/>
  <c r="R83" i="4"/>
  <c r="R82" i="4"/>
  <c r="R81" i="4"/>
  <c r="R80" i="4"/>
  <c r="R79" i="4"/>
  <c r="R78" i="4"/>
  <c r="C47" i="2"/>
  <c r="E23" i="10"/>
  <c r="T23" i="10" s="1"/>
  <c r="E23" i="8"/>
  <c r="E11" i="10"/>
  <c r="T11" i="10" s="1"/>
  <c r="E11" i="8"/>
  <c r="E32" i="10"/>
  <c r="T32" i="10" s="1"/>
  <c r="E32" i="8"/>
  <c r="E21" i="10"/>
  <c r="T21" i="10" s="1"/>
  <c r="E21" i="8"/>
  <c r="E18" i="10"/>
  <c r="T18" i="10" s="1"/>
  <c r="E18" i="8"/>
  <c r="E24" i="10"/>
  <c r="T24" i="10" s="1"/>
  <c r="E24" i="8"/>
  <c r="E41" i="10"/>
  <c r="T41" i="10" s="1"/>
  <c r="E41" i="8"/>
  <c r="E83" i="10"/>
  <c r="T83" i="10" s="1"/>
  <c r="E83" i="8"/>
  <c r="E82" i="10"/>
  <c r="T82" i="10" s="1"/>
  <c r="E82" i="8"/>
  <c r="E81" i="10"/>
  <c r="T81" i="10" s="1"/>
  <c r="E81" i="8"/>
  <c r="E109" i="10"/>
  <c r="T109" i="10" s="1"/>
  <c r="E109" i="8"/>
  <c r="E108" i="10"/>
  <c r="T108" i="10" s="1"/>
  <c r="E108" i="8"/>
  <c r="E107" i="10"/>
  <c r="T107" i="10" s="1"/>
  <c r="E107" i="8"/>
  <c r="E106" i="10"/>
  <c r="T106" i="10" s="1"/>
  <c r="E106" i="8"/>
  <c r="E105" i="8"/>
  <c r="E105" i="10"/>
  <c r="T105" i="10" s="1"/>
  <c r="E104" i="10"/>
  <c r="T104" i="10" s="1"/>
  <c r="E104" i="8"/>
  <c r="E103" i="10"/>
  <c r="T103" i="10" s="1"/>
  <c r="E103" i="8"/>
  <c r="E102" i="10"/>
  <c r="T102" i="10" s="1"/>
  <c r="E102" i="8"/>
  <c r="E101" i="10"/>
  <c r="T101" i="10" s="1"/>
  <c r="E101" i="8"/>
  <c r="E100" i="10"/>
  <c r="T100" i="10" s="1"/>
  <c r="E100" i="8"/>
  <c r="E99" i="10"/>
  <c r="T99" i="10" s="1"/>
  <c r="E99" i="8"/>
  <c r="E98" i="10"/>
  <c r="T98" i="10" s="1"/>
  <c r="E98" i="8"/>
  <c r="E97" i="10"/>
  <c r="T97" i="10" s="1"/>
  <c r="E97" i="8"/>
  <c r="E118" i="10"/>
  <c r="E118" i="8"/>
  <c r="E113" i="10"/>
  <c r="T113" i="10" s="1"/>
  <c r="E113" i="8"/>
  <c r="E112" i="10"/>
  <c r="T112" i="10" s="1"/>
  <c r="E112" i="8"/>
  <c r="E111" i="8"/>
  <c r="E111" i="10"/>
  <c r="T111" i="10" s="1"/>
  <c r="E110" i="10"/>
  <c r="E110" i="8"/>
  <c r="E26" i="10"/>
  <c r="T26" i="10" s="1"/>
  <c r="E26" i="8"/>
  <c r="E40" i="10"/>
  <c r="T40" i="10" s="1"/>
  <c r="E40" i="8"/>
  <c r="E29" i="10"/>
  <c r="T29" i="10" s="1"/>
  <c r="E29" i="8"/>
  <c r="E27" i="10"/>
  <c r="T27" i="10" s="1"/>
  <c r="E27" i="8"/>
  <c r="E36" i="10"/>
  <c r="T36" i="10" s="1"/>
  <c r="E36" i="8"/>
  <c r="E42" i="10"/>
  <c r="T42" i="10" s="1"/>
  <c r="E42" i="8"/>
  <c r="C207" i="3"/>
  <c r="E88" i="12" s="1"/>
  <c r="C124" i="3"/>
  <c r="E5" i="12" s="1"/>
  <c r="C138" i="3"/>
  <c r="C134" i="3"/>
  <c r="C127" i="3"/>
  <c r="C150" i="3"/>
  <c r="C140" i="3"/>
  <c r="C160" i="3"/>
  <c r="C130" i="3"/>
  <c r="C155" i="3"/>
  <c r="C153" i="3"/>
  <c r="C152" i="3"/>
  <c r="C177" i="3"/>
  <c r="C175" i="3"/>
  <c r="C174" i="3"/>
  <c r="T53" i="6" s="1"/>
  <c r="E55" i="15" s="1"/>
  <c r="C173" i="3"/>
  <c r="T52" i="6" s="1"/>
  <c r="E54" i="15" s="1"/>
  <c r="C172" i="3"/>
  <c r="E53" i="12" s="1"/>
  <c r="C171" i="3"/>
  <c r="T50" i="6" s="1"/>
  <c r="E52" i="15" s="1"/>
  <c r="C169" i="3"/>
  <c r="C168" i="3"/>
  <c r="E49" i="12" s="1"/>
  <c r="C167" i="3"/>
  <c r="T46" i="6" s="1"/>
  <c r="E48" i="15" s="1"/>
  <c r="C166" i="3"/>
  <c r="E47" i="12" s="1"/>
  <c r="C164" i="3"/>
  <c r="E45" i="12" s="1"/>
  <c r="C163" i="3"/>
  <c r="T42" i="6" s="1"/>
  <c r="E44" i="15" s="1"/>
  <c r="C183" i="3"/>
  <c r="E64" i="12" s="1"/>
  <c r="C181" i="3"/>
  <c r="T60" i="6" s="1"/>
  <c r="E62" i="15" s="1"/>
  <c r="C180" i="3"/>
  <c r="C179" i="3"/>
  <c r="T58" i="6" s="1"/>
  <c r="E60" i="15" s="1"/>
  <c r="C190" i="3"/>
  <c r="E71" i="12" s="1"/>
  <c r="C189" i="3"/>
  <c r="E70" i="12" s="1"/>
  <c r="C188" i="3"/>
  <c r="C186" i="3"/>
  <c r="C185" i="3"/>
  <c r="C198" i="3"/>
  <c r="C194" i="3"/>
  <c r="C214" i="3"/>
  <c r="C213" i="3"/>
  <c r="C203" i="3"/>
  <c r="C147" i="3"/>
  <c r="C191" i="3"/>
  <c r="C215" i="3"/>
  <c r="C212" i="3"/>
  <c r="C208" i="3"/>
  <c r="C141" i="3"/>
  <c r="C162" i="3"/>
  <c r="C178" i="3"/>
  <c r="C192" i="3"/>
  <c r="C184" i="3"/>
  <c r="C197" i="3"/>
  <c r="C196" i="3"/>
  <c r="C210" i="3"/>
  <c r="C209" i="3"/>
  <c r="C205" i="3"/>
  <c r="C204" i="3"/>
  <c r="C132" i="3"/>
  <c r="E38" i="10"/>
  <c r="T38" i="10" s="1"/>
  <c r="E38" i="8"/>
  <c r="E22" i="8"/>
  <c r="E6" i="10"/>
  <c r="T6" i="10" s="1"/>
  <c r="E20" i="8"/>
  <c r="E20" i="10"/>
  <c r="T20" i="10" s="1"/>
  <c r="E6" i="8"/>
  <c r="E22" i="10"/>
  <c r="T22" i="10" s="1"/>
  <c r="C136" i="3"/>
  <c r="T15" i="6" s="1"/>
  <c r="E17" i="15" s="1"/>
  <c r="C135" i="3"/>
  <c r="C128" i="3"/>
  <c r="C149" i="3"/>
  <c r="E46" i="8"/>
  <c r="E46" i="10"/>
  <c r="T46" i="10" s="1"/>
  <c r="E14" i="8"/>
  <c r="E14" i="10"/>
  <c r="T14" i="10" s="1"/>
  <c r="E7" i="8"/>
  <c r="E7" i="10"/>
  <c r="T7" i="10" s="1"/>
  <c r="E96" i="10"/>
  <c r="T96" i="10" s="1"/>
  <c r="E94" i="8"/>
  <c r="E93" i="10"/>
  <c r="T93" i="10" s="1"/>
  <c r="E91" i="8"/>
  <c r="E90" i="8"/>
  <c r="E95" i="10"/>
  <c r="T95" i="10" s="1"/>
  <c r="E93" i="8"/>
  <c r="E92" i="10"/>
  <c r="T92" i="10" s="1"/>
  <c r="E90" i="10"/>
  <c r="T90" i="10" s="1"/>
  <c r="E75" i="8"/>
  <c r="E75" i="10"/>
  <c r="T75" i="10" s="1"/>
  <c r="E96" i="8"/>
  <c r="E95" i="8"/>
  <c r="AL31" i="12"/>
  <c r="AL27" i="15"/>
  <c r="T41" i="12"/>
  <c r="AL50" i="15"/>
  <c r="T50" i="12"/>
  <c r="T79" i="12"/>
  <c r="AL79" i="12"/>
  <c r="T77" i="12"/>
  <c r="T94" i="12"/>
  <c r="AL94" i="12"/>
  <c r="AL109" i="12"/>
  <c r="AL108" i="12"/>
  <c r="E94" i="10"/>
  <c r="T94" i="10" s="1"/>
  <c r="E92" i="8"/>
  <c r="E91" i="10"/>
  <c r="T91" i="10" s="1"/>
  <c r="E89" i="8"/>
  <c r="E89" i="10"/>
  <c r="T89" i="10" s="1"/>
  <c r="E88" i="8"/>
  <c r="E88" i="10"/>
  <c r="T88" i="10" s="1"/>
  <c r="E87" i="8"/>
  <c r="E87" i="10"/>
  <c r="T87" i="10" s="1"/>
  <c r="E86" i="8"/>
  <c r="E86" i="10"/>
  <c r="T86" i="10" s="1"/>
  <c r="E85" i="8"/>
  <c r="E85" i="10"/>
  <c r="T85" i="10" s="1"/>
  <c r="E84" i="8"/>
  <c r="E84" i="10"/>
  <c r="T84" i="10" s="1"/>
  <c r="C144" i="3"/>
  <c r="C158" i="3"/>
  <c r="C156" i="3"/>
  <c r="E28" i="8"/>
  <c r="E28" i="10"/>
  <c r="T28" i="10" s="1"/>
  <c r="E48" i="8"/>
  <c r="E48" i="10"/>
  <c r="T48" i="10" s="1"/>
  <c r="E61" i="8"/>
  <c r="E61" i="10"/>
  <c r="T61" i="10" s="1"/>
  <c r="E60" i="8"/>
  <c r="E60" i="10"/>
  <c r="T60" i="10" s="1"/>
  <c r="E59" i="8"/>
  <c r="E59" i="10"/>
  <c r="T59" i="10" s="1"/>
  <c r="E73" i="8"/>
  <c r="E73" i="10"/>
  <c r="T73" i="10" s="1"/>
  <c r="E71" i="8"/>
  <c r="E71" i="10"/>
  <c r="T71" i="10" s="1"/>
  <c r="E70" i="8"/>
  <c r="E70" i="10"/>
  <c r="T70" i="10" s="1"/>
  <c r="C137" i="3"/>
  <c r="C131" i="3"/>
  <c r="C151" i="3"/>
  <c r="C148" i="3"/>
  <c r="C143" i="3"/>
  <c r="C201" i="3"/>
  <c r="T80" i="6" s="1"/>
  <c r="E82" i="15" s="1"/>
  <c r="C228" i="3"/>
  <c r="T107" i="6" s="1"/>
  <c r="F109" i="10" s="1"/>
  <c r="C227" i="3"/>
  <c r="C226" i="3"/>
  <c r="T105" i="6" s="1"/>
  <c r="E107" i="15" s="1"/>
  <c r="C225" i="3"/>
  <c r="T104" i="6" s="1"/>
  <c r="E106" i="15" s="1"/>
  <c r="C220" i="3"/>
  <c r="T99" i="6" s="1"/>
  <c r="E101" i="15" s="1"/>
  <c r="E17" i="10"/>
  <c r="T17" i="10" s="1"/>
  <c r="E43" i="8"/>
  <c r="C126" i="3"/>
  <c r="C146" i="3"/>
  <c r="T25" i="6" s="1"/>
  <c r="E27" i="15" s="1"/>
  <c r="U27" i="15" s="1"/>
  <c r="E10" i="8"/>
  <c r="E10" i="10"/>
  <c r="T10" i="10" s="1"/>
  <c r="E30" i="8"/>
  <c r="E30" i="10"/>
  <c r="T30" i="10" s="1"/>
  <c r="E25" i="8"/>
  <c r="E25" i="10"/>
  <c r="T25" i="10" s="1"/>
  <c r="C129" i="3"/>
  <c r="T8" i="6" s="1"/>
  <c r="E10" i="15" s="1"/>
  <c r="C145" i="3"/>
  <c r="T24" i="6" s="1"/>
  <c r="E26" i="15" s="1"/>
  <c r="U26" i="15" s="1"/>
  <c r="C142" i="3"/>
  <c r="T21" i="6" s="1"/>
  <c r="E23" i="15" s="1"/>
  <c r="U23" i="15" s="1"/>
  <c r="C161" i="3"/>
  <c r="T40" i="6" s="1"/>
  <c r="E42" i="15" s="1"/>
  <c r="U42" i="15" s="1"/>
  <c r="C159" i="3"/>
  <c r="T38" i="6" s="1"/>
  <c r="E40" i="15" s="1"/>
  <c r="U40" i="15" s="1"/>
  <c r="C200" i="3"/>
  <c r="T79" i="6" s="1"/>
  <c r="E81" i="15" s="1"/>
  <c r="C221" i="3"/>
  <c r="T100" i="6" s="1"/>
  <c r="E102" i="15" s="1"/>
  <c r="C216" i="3"/>
  <c r="T95" i="6" s="1"/>
  <c r="E97" i="15" s="1"/>
  <c r="C139" i="3"/>
  <c r="T18" i="6" s="1"/>
  <c r="E20" i="15" s="1"/>
  <c r="U20" i="15" s="1"/>
  <c r="C157" i="3"/>
  <c r="E65" i="8"/>
  <c r="E80" i="8"/>
  <c r="T18" i="12"/>
  <c r="T5" i="12"/>
  <c r="T27" i="12"/>
  <c r="AL21" i="15"/>
  <c r="AL41" i="15"/>
  <c r="AL11" i="12"/>
  <c r="AL10" i="12"/>
  <c r="T49" i="12"/>
  <c r="AL80" i="12"/>
  <c r="T90" i="12"/>
  <c r="AL90" i="12"/>
  <c r="T86" i="12"/>
  <c r="T109" i="12"/>
  <c r="E17" i="8"/>
  <c r="E9" i="10"/>
  <c r="T9" i="10" s="1"/>
  <c r="C202" i="3"/>
  <c r="T81" i="6" s="1"/>
  <c r="E83" i="15" s="1"/>
  <c r="C224" i="3"/>
  <c r="T103" i="6" s="1"/>
  <c r="E105" i="15" s="1"/>
  <c r="C223" i="3"/>
  <c r="T102" i="6" s="1"/>
  <c r="E104" i="15" s="1"/>
  <c r="C222" i="3"/>
  <c r="T101" i="6" s="1"/>
  <c r="E103" i="15" s="1"/>
  <c r="C219" i="3"/>
  <c r="T98" i="6" s="1"/>
  <c r="E100" i="15" s="1"/>
  <c r="C218" i="3"/>
  <c r="T97" i="6" s="1"/>
  <c r="E99" i="15" s="1"/>
  <c r="C217" i="3"/>
  <c r="T96" i="6" s="1"/>
  <c r="E98" i="15" s="1"/>
  <c r="C125" i="3"/>
  <c r="E9" i="8"/>
  <c r="E43" i="10"/>
  <c r="T43" i="10" s="1"/>
  <c r="E35" i="8"/>
  <c r="E35" i="10"/>
  <c r="T35" i="10" s="1"/>
  <c r="E58" i="8"/>
  <c r="E58" i="10"/>
  <c r="T58" i="10" s="1"/>
  <c r="E57" i="8"/>
  <c r="E57" i="10"/>
  <c r="T57" i="10" s="1"/>
  <c r="E53" i="8"/>
  <c r="E53" i="10"/>
  <c r="T53" i="10" s="1"/>
  <c r="E50" i="8"/>
  <c r="E50" i="10"/>
  <c r="T50" i="10" s="1"/>
  <c r="E49" i="8"/>
  <c r="E49" i="10"/>
  <c r="T49" i="10" s="1"/>
  <c r="E47" i="8"/>
  <c r="E47" i="10"/>
  <c r="T47" i="10" s="1"/>
  <c r="E45" i="8"/>
  <c r="E45" i="10"/>
  <c r="T45" i="10" s="1"/>
  <c r="E64" i="8"/>
  <c r="E64" i="10"/>
  <c r="T64" i="10" s="1"/>
  <c r="E63" i="8"/>
  <c r="E63" i="10"/>
  <c r="T63" i="10" s="1"/>
  <c r="E62" i="8"/>
  <c r="E62" i="10"/>
  <c r="T62" i="10" s="1"/>
  <c r="E74" i="8"/>
  <c r="E74" i="10"/>
  <c r="T74" i="10" s="1"/>
  <c r="E72" i="8"/>
  <c r="E72" i="10"/>
  <c r="T72" i="10" s="1"/>
  <c r="E69" i="8"/>
  <c r="E69" i="10"/>
  <c r="T69" i="10" s="1"/>
  <c r="E68" i="8"/>
  <c r="E68" i="10"/>
  <c r="T68" i="10" s="1"/>
  <c r="E67" i="8"/>
  <c r="E67" i="10"/>
  <c r="T67" i="10" s="1"/>
  <c r="E66" i="8"/>
  <c r="E66" i="10"/>
  <c r="T66" i="10" s="1"/>
  <c r="E65" i="10"/>
  <c r="T65" i="10" s="1"/>
  <c r="E80" i="10"/>
  <c r="T80" i="10" s="1"/>
  <c r="AL18" i="12"/>
  <c r="T12" i="12"/>
  <c r="AL12" i="12"/>
  <c r="AL21" i="12"/>
  <c r="AL41" i="12"/>
  <c r="T11" i="12"/>
  <c r="AL50" i="12"/>
  <c r="T80" i="12"/>
  <c r="AL96" i="12"/>
  <c r="AL84" i="12"/>
  <c r="T108" i="12"/>
  <c r="T32" i="12"/>
  <c r="AL32" i="12"/>
  <c r="AL32" i="15"/>
  <c r="T29" i="12"/>
  <c r="AL29" i="12"/>
  <c r="AL29" i="15"/>
  <c r="AL5" i="12"/>
  <c r="T31" i="12"/>
  <c r="AL31" i="15"/>
  <c r="AL27" i="12"/>
  <c r="T21" i="12"/>
  <c r="T10" i="12"/>
  <c r="T71" i="12"/>
  <c r="AL71" i="12"/>
  <c r="T67" i="12"/>
  <c r="AL77" i="12"/>
  <c r="T76" i="12"/>
  <c r="AL76" i="12"/>
  <c r="T96" i="12"/>
  <c r="T89" i="12"/>
  <c r="AL89" i="12"/>
  <c r="T84" i="12"/>
  <c r="AL49" i="12"/>
  <c r="AL49" i="15"/>
  <c r="AL48" i="15"/>
  <c r="T48" i="12"/>
  <c r="AL48" i="12"/>
  <c r="AL47" i="15"/>
  <c r="T47" i="12"/>
  <c r="AL47" i="12"/>
  <c r="AL45" i="15"/>
  <c r="T45" i="12"/>
  <c r="AL45" i="12"/>
  <c r="T44" i="12"/>
  <c r="AL44" i="12"/>
  <c r="AL44" i="15"/>
  <c r="T64" i="12"/>
  <c r="AL64" i="12"/>
  <c r="T63" i="12"/>
  <c r="AL63" i="12"/>
  <c r="T62" i="12"/>
  <c r="AL62" i="12"/>
  <c r="AL62" i="15"/>
  <c r="AL61" i="15"/>
  <c r="T61" i="12"/>
  <c r="AL61" i="12"/>
  <c r="T60" i="12"/>
  <c r="AL60" i="12"/>
  <c r="AL60" i="15"/>
  <c r="AL67" i="12"/>
  <c r="AL86" i="12"/>
  <c r="T85" i="12"/>
  <c r="AL85" i="12"/>
  <c r="T81" i="12"/>
  <c r="AL81" i="12"/>
  <c r="AE54" i="3"/>
  <c r="AE53" i="3"/>
  <c r="AE52" i="3"/>
  <c r="AE51" i="3"/>
  <c r="AE50" i="3"/>
  <c r="AE49" i="3"/>
  <c r="AE48" i="3"/>
  <c r="AE47" i="3"/>
  <c r="AE46" i="3"/>
  <c r="AE45" i="3"/>
  <c r="AE44" i="3"/>
  <c r="AE43" i="3"/>
  <c r="AE42" i="3"/>
  <c r="AE41" i="3"/>
  <c r="AE61" i="3"/>
  <c r="AE60" i="3"/>
  <c r="AE59" i="3"/>
  <c r="AE58" i="3"/>
  <c r="AE57" i="3"/>
  <c r="AE56" i="3"/>
  <c r="AE71" i="3"/>
  <c r="AE70" i="3"/>
  <c r="AE69" i="3"/>
  <c r="AE68" i="3"/>
  <c r="C133" i="3"/>
  <c r="C154" i="3"/>
  <c r="C176" i="3"/>
  <c r="C170" i="3"/>
  <c r="C165" i="3"/>
  <c r="C182" i="3"/>
  <c r="C187" i="3"/>
  <c r="C199" i="3"/>
  <c r="C195" i="3"/>
  <c r="C193" i="3"/>
  <c r="C211" i="3"/>
  <c r="C206" i="3"/>
  <c r="T28" i="6"/>
  <c r="E30" i="15" s="1"/>
  <c r="U30" i="15" s="1"/>
  <c r="F82" i="8"/>
  <c r="F109" i="8"/>
  <c r="E117" i="8"/>
  <c r="E117" i="10"/>
  <c r="E116" i="10"/>
  <c r="E116" i="8"/>
  <c r="E115" i="10"/>
  <c r="E115" i="8"/>
  <c r="E114" i="10"/>
  <c r="E114" i="8"/>
  <c r="E15" i="10"/>
  <c r="T15" i="10" s="1"/>
  <c r="E15" i="8"/>
  <c r="T118" i="10"/>
  <c r="T110" i="10"/>
  <c r="E50" i="12"/>
  <c r="T48" i="6"/>
  <c r="E50" i="15" s="1"/>
  <c r="U50" i="15" s="1"/>
  <c r="E61" i="12"/>
  <c r="T59" i="6"/>
  <c r="E61" i="15" s="1"/>
  <c r="T63" i="15" l="1"/>
  <c r="T64" i="15"/>
  <c r="T62" i="15"/>
  <c r="D9" i="14"/>
  <c r="Q10" i="15" s="1"/>
  <c r="F9" i="14"/>
  <c r="AI10" i="15" s="1"/>
  <c r="C10" i="14"/>
  <c r="E9" i="14"/>
  <c r="R10" i="15" s="1"/>
  <c r="G9" i="14"/>
  <c r="AJ10" i="15" s="1"/>
  <c r="R132" i="5"/>
  <c r="D5" i="20" s="1"/>
  <c r="R122" i="5"/>
  <c r="Q132" i="5"/>
  <c r="C5" i="20" s="1"/>
  <c r="P15" i="15"/>
  <c r="AH15" i="15"/>
  <c r="A15" i="14"/>
  <c r="U55" i="15"/>
  <c r="U54" i="15"/>
  <c r="U52" i="15"/>
  <c r="U48" i="15"/>
  <c r="U44" i="15"/>
  <c r="AL64" i="15"/>
  <c r="AL63" i="15"/>
  <c r="F106" i="10"/>
  <c r="T51" i="6"/>
  <c r="E53" i="15" s="1"/>
  <c r="U53" i="15" s="1"/>
  <c r="F101" i="10"/>
  <c r="E62" i="12"/>
  <c r="E52" i="12"/>
  <c r="T69" i="6"/>
  <c r="E71" i="15" s="1"/>
  <c r="E48" i="12"/>
  <c r="U48" i="12" s="1"/>
  <c r="E82" i="12"/>
  <c r="T47" i="6"/>
  <c r="E49" i="15" s="1"/>
  <c r="U49" i="15" s="1"/>
  <c r="E60" i="12"/>
  <c r="U60" i="12" s="1"/>
  <c r="F101" i="8"/>
  <c r="E101" i="12"/>
  <c r="U101" i="12" s="1"/>
  <c r="F82" i="10"/>
  <c r="U82" i="10" s="1"/>
  <c r="F106" i="8"/>
  <c r="E106" i="12"/>
  <c r="U106" i="12" s="1"/>
  <c r="T86" i="6"/>
  <c r="E88" i="15" s="1"/>
  <c r="T62" i="6"/>
  <c r="E64" i="15" s="1"/>
  <c r="U64" i="15" s="1"/>
  <c r="T43" i="6"/>
  <c r="E45" i="15" s="1"/>
  <c r="U45" i="15" s="1"/>
  <c r="E44" i="12"/>
  <c r="U44" i="12" s="1"/>
  <c r="E54" i="12"/>
  <c r="U54" i="12" s="1"/>
  <c r="T68" i="6"/>
  <c r="E70" i="15" s="1"/>
  <c r="T45" i="6"/>
  <c r="E47" i="15" s="1"/>
  <c r="U47" i="15" s="1"/>
  <c r="E107" i="12"/>
  <c r="U107" i="12" s="1"/>
  <c r="E27" i="12"/>
  <c r="AM27" i="12" s="1"/>
  <c r="F107" i="10"/>
  <c r="U107" i="10" s="1"/>
  <c r="T129" i="10"/>
  <c r="F107" i="8"/>
  <c r="E10" i="12"/>
  <c r="U10" i="12" s="1"/>
  <c r="E26" i="12"/>
  <c r="U26" i="12" s="1"/>
  <c r="F10" i="8"/>
  <c r="F10" i="10"/>
  <c r="U10" i="10" s="1"/>
  <c r="E23" i="12"/>
  <c r="AM23" i="12" s="1"/>
  <c r="E42" i="12"/>
  <c r="U42" i="12" s="1"/>
  <c r="E40" i="12"/>
  <c r="E83" i="12"/>
  <c r="E81" i="12"/>
  <c r="E105" i="12"/>
  <c r="E104" i="12"/>
  <c r="E103" i="12"/>
  <c r="E102" i="12"/>
  <c r="E100" i="12"/>
  <c r="E99" i="12"/>
  <c r="E98" i="12"/>
  <c r="E97" i="12"/>
  <c r="T16" i="6"/>
  <c r="E18" i="15" s="1"/>
  <c r="AM18" i="15" s="1"/>
  <c r="T10" i="6"/>
  <c r="E12" i="15" s="1"/>
  <c r="AM12" i="15" s="1"/>
  <c r="T36" i="6"/>
  <c r="E38" i="15" s="1"/>
  <c r="U38" i="15" s="1"/>
  <c r="T27" i="6"/>
  <c r="E29" i="15" s="1"/>
  <c r="U29" i="15" s="1"/>
  <c r="T22" i="6"/>
  <c r="E24" i="15" s="1"/>
  <c r="U24" i="15" s="1"/>
  <c r="T128" i="10"/>
  <c r="E20" i="12"/>
  <c r="F97" i="8"/>
  <c r="F97" i="10"/>
  <c r="U97" i="10" s="1"/>
  <c r="D131" i="3"/>
  <c r="AF3" i="3"/>
  <c r="AF11" i="3"/>
  <c r="AF4" i="3"/>
  <c r="AF17" i="3"/>
  <c r="AF37" i="3"/>
  <c r="S8" i="4"/>
  <c r="S40" i="4"/>
  <c r="S33" i="4"/>
  <c r="S61" i="4"/>
  <c r="S71" i="4"/>
  <c r="AF7" i="3"/>
  <c r="S6" i="4"/>
  <c r="S53" i="4"/>
  <c r="AF8" i="3"/>
  <c r="AF18" i="3"/>
  <c r="S7" i="4"/>
  <c r="S21" i="4"/>
  <c r="AF5" i="3"/>
  <c r="AF33" i="3"/>
  <c r="AF54" i="3"/>
  <c r="AF49" i="3"/>
  <c r="AF44" i="3"/>
  <c r="AF58" i="3"/>
  <c r="AF70" i="3"/>
  <c r="AF65" i="3"/>
  <c r="AF74" i="3"/>
  <c r="AF40" i="3"/>
  <c r="S24" i="4"/>
  <c r="S32" i="4"/>
  <c r="S46" i="4"/>
  <c r="S56" i="4"/>
  <c r="S64" i="4"/>
  <c r="S74" i="4"/>
  <c r="D142" i="3"/>
  <c r="T127" i="10"/>
  <c r="S16" i="4"/>
  <c r="S18" i="4"/>
  <c r="S36" i="4"/>
  <c r="S50" i="4"/>
  <c r="S59" i="4"/>
  <c r="S63" i="4"/>
  <c r="S13" i="4"/>
  <c r="S3" i="4"/>
  <c r="S31" i="4"/>
  <c r="AF12" i="3"/>
  <c r="AF23" i="3"/>
  <c r="S14" i="4"/>
  <c r="S4" i="4"/>
  <c r="S20" i="4"/>
  <c r="AF27" i="3"/>
  <c r="AF32" i="3"/>
  <c r="AF53" i="3"/>
  <c r="AF48" i="3"/>
  <c r="AF45" i="3"/>
  <c r="AF61" i="3"/>
  <c r="AF57" i="3"/>
  <c r="AF68" i="3"/>
  <c r="AF63" i="3"/>
  <c r="AF75" i="3"/>
  <c r="AF24" i="3"/>
  <c r="S26" i="4"/>
  <c r="S39" i="4"/>
  <c r="S54" i="4"/>
  <c r="S45" i="4"/>
  <c r="S57" i="4"/>
  <c r="S65" i="4"/>
  <c r="S75" i="4"/>
  <c r="C48" i="2"/>
  <c r="D145" i="3"/>
  <c r="D157" i="3"/>
  <c r="S47" i="4"/>
  <c r="S69" i="4"/>
  <c r="AF38" i="3"/>
  <c r="S5" i="4"/>
  <c r="S34" i="4"/>
  <c r="AF9" i="3"/>
  <c r="AF21" i="3"/>
  <c r="S11" i="4"/>
  <c r="S23" i="4"/>
  <c r="AF10" i="3"/>
  <c r="AF36" i="3"/>
  <c r="AF55" i="3"/>
  <c r="AF50" i="3"/>
  <c r="AF43" i="3"/>
  <c r="AF60" i="3"/>
  <c r="AF69" i="3"/>
  <c r="AF64" i="3"/>
  <c r="AF76" i="3"/>
  <c r="AF14" i="3"/>
  <c r="S25" i="4"/>
  <c r="S38" i="4"/>
  <c r="S51" i="4"/>
  <c r="S44" i="4"/>
  <c r="S70" i="4"/>
  <c r="S62" i="4"/>
  <c r="S72" i="4"/>
  <c r="D137" i="3"/>
  <c r="U16" i="6" s="1"/>
  <c r="F18" i="15" s="1"/>
  <c r="AF16" i="3"/>
  <c r="AF6" i="3"/>
  <c r="AF29" i="3"/>
  <c r="AF39" i="3"/>
  <c r="S15" i="4"/>
  <c r="S19" i="4"/>
  <c r="S37" i="4"/>
  <c r="S30" i="4"/>
  <c r="S60" i="4"/>
  <c r="S66" i="4"/>
  <c r="AF25" i="3"/>
  <c r="S12" i="4"/>
  <c r="S22" i="4"/>
  <c r="AF13" i="3"/>
  <c r="AF26" i="3"/>
  <c r="AF35" i="3"/>
  <c r="S9" i="4"/>
  <c r="S27" i="4"/>
  <c r="AF15" i="3"/>
  <c r="AF22" i="3"/>
  <c r="AF31" i="3"/>
  <c r="AF52" i="3"/>
  <c r="AF47" i="3"/>
  <c r="AF42" i="3"/>
  <c r="AF59" i="3"/>
  <c r="AF71" i="3"/>
  <c r="AF66" i="3"/>
  <c r="AF77" i="3"/>
  <c r="AF73" i="3"/>
  <c r="S2" i="4"/>
  <c r="S17" i="4"/>
  <c r="S55" i="4"/>
  <c r="S49" i="4"/>
  <c r="S43" i="4"/>
  <c r="S68" i="4"/>
  <c r="S77" i="4"/>
  <c r="S73" i="4"/>
  <c r="S42" i="4"/>
  <c r="S58" i="4"/>
  <c r="AF20" i="3"/>
  <c r="S29" i="4"/>
  <c r="S52" i="4"/>
  <c r="AF28" i="3"/>
  <c r="AF34" i="3"/>
  <c r="S28" i="4"/>
  <c r="AF2" i="3"/>
  <c r="AF19" i="3"/>
  <c r="AF30" i="3"/>
  <c r="AF51" i="3"/>
  <c r="AF46" i="3"/>
  <c r="AF41" i="3"/>
  <c r="AF56" i="3"/>
  <c r="AF67" i="3"/>
  <c r="AF62" i="3"/>
  <c r="AF72" i="3"/>
  <c r="S10" i="4"/>
  <c r="S35" i="4"/>
  <c r="S48" i="4"/>
  <c r="S41" i="4"/>
  <c r="S67" i="4"/>
  <c r="S76" i="4"/>
  <c r="D124" i="3"/>
  <c r="D139" i="3"/>
  <c r="AM10" i="15"/>
  <c r="U10" i="15"/>
  <c r="AM17" i="15"/>
  <c r="U17" i="15"/>
  <c r="T132" i="10"/>
  <c r="T35" i="6"/>
  <c r="E37" i="15" s="1"/>
  <c r="U37" i="15" s="1"/>
  <c r="T14" i="6"/>
  <c r="E16" i="15" s="1"/>
  <c r="T130" i="10"/>
  <c r="T37" i="6"/>
  <c r="E39" i="15" s="1"/>
  <c r="U39" i="15" s="1"/>
  <c r="T131" i="10"/>
  <c r="T7" i="6"/>
  <c r="E9" i="15" s="1"/>
  <c r="T23" i="6"/>
  <c r="E25" i="15" s="1"/>
  <c r="U25" i="15" s="1"/>
  <c r="D148" i="3"/>
  <c r="U27" i="6" s="1"/>
  <c r="F29" i="15" s="1"/>
  <c r="V29" i="15" s="1"/>
  <c r="D156" i="3"/>
  <c r="U35" i="6" s="1"/>
  <c r="F37" i="15" s="1"/>
  <c r="V37" i="15" s="1"/>
  <c r="D159" i="3"/>
  <c r="D202" i="3"/>
  <c r="U81" i="6" s="1"/>
  <c r="F83" i="15" s="1"/>
  <c r="D201" i="3"/>
  <c r="U80" i="6" s="1"/>
  <c r="F82" i="15" s="1"/>
  <c r="D200" i="3"/>
  <c r="U79" i="6" s="1"/>
  <c r="F81" i="15" s="1"/>
  <c r="D125" i="3"/>
  <c r="D207" i="3"/>
  <c r="T3" i="6"/>
  <c r="E5" i="15" s="1"/>
  <c r="D138" i="3"/>
  <c r="E19" i="12"/>
  <c r="T17" i="6"/>
  <c r="E19" i="15" s="1"/>
  <c r="D134" i="3"/>
  <c r="E15" i="12"/>
  <c r="T13" i="6"/>
  <c r="E15" i="15" s="1"/>
  <c r="D127" i="3"/>
  <c r="E8" i="12"/>
  <c r="T6" i="6"/>
  <c r="E8" i="15" s="1"/>
  <c r="D150" i="3"/>
  <c r="E31" i="12"/>
  <c r="T29" i="6"/>
  <c r="E31" i="15" s="1"/>
  <c r="D140" i="3"/>
  <c r="E21" i="12"/>
  <c r="T19" i="6"/>
  <c r="E21" i="15" s="1"/>
  <c r="D160" i="3"/>
  <c r="E41" i="12"/>
  <c r="T39" i="6"/>
  <c r="E41" i="15" s="1"/>
  <c r="D130" i="3"/>
  <c r="E11" i="12"/>
  <c r="T9" i="6"/>
  <c r="E11" i="15" s="1"/>
  <c r="D155" i="3"/>
  <c r="E36" i="12"/>
  <c r="T34" i="6"/>
  <c r="E36" i="15" s="1"/>
  <c r="D153" i="3"/>
  <c r="E34" i="12"/>
  <c r="T32" i="6"/>
  <c r="E34" i="15" s="1"/>
  <c r="D152" i="3"/>
  <c r="E33" i="12"/>
  <c r="T31" i="6"/>
  <c r="E33" i="15" s="1"/>
  <c r="D177" i="3"/>
  <c r="E58" i="12"/>
  <c r="T56" i="6"/>
  <c r="E58" i="15" s="1"/>
  <c r="E56" i="12"/>
  <c r="T54" i="6"/>
  <c r="E56" i="15" s="1"/>
  <c r="E55" i="12"/>
  <c r="D189" i="3"/>
  <c r="D188" i="3"/>
  <c r="E69" i="12"/>
  <c r="T67" i="6"/>
  <c r="E69" i="15" s="1"/>
  <c r="D186" i="3"/>
  <c r="E67" i="12"/>
  <c r="T65" i="6"/>
  <c r="E67" i="15" s="1"/>
  <c r="D185" i="3"/>
  <c r="E66" i="12"/>
  <c r="T64" i="6"/>
  <c r="E66" i="15" s="1"/>
  <c r="D198" i="3"/>
  <c r="E79" i="12"/>
  <c r="T77" i="6"/>
  <c r="E79" i="15" s="1"/>
  <c r="D194" i="3"/>
  <c r="E75" i="12"/>
  <c r="T73" i="6"/>
  <c r="E75" i="15" s="1"/>
  <c r="E95" i="12"/>
  <c r="D214" i="3"/>
  <c r="T93" i="6"/>
  <c r="E95" i="15" s="1"/>
  <c r="E94" i="12"/>
  <c r="D213" i="3"/>
  <c r="T92" i="6"/>
  <c r="E94" i="15" s="1"/>
  <c r="D203" i="3"/>
  <c r="E84" i="12"/>
  <c r="T82" i="6"/>
  <c r="E84" i="15" s="1"/>
  <c r="D147" i="3"/>
  <c r="E28" i="12"/>
  <c r="T26" i="6"/>
  <c r="E28" i="15" s="1"/>
  <c r="T70" i="6"/>
  <c r="E72" i="15" s="1"/>
  <c r="E72" i="12"/>
  <c r="T94" i="6"/>
  <c r="E96" i="15" s="1"/>
  <c r="D215" i="3"/>
  <c r="E96" i="12"/>
  <c r="T91" i="6"/>
  <c r="E93" i="15" s="1"/>
  <c r="D212" i="3"/>
  <c r="E93" i="12"/>
  <c r="T87" i="6"/>
  <c r="E89" i="15" s="1"/>
  <c r="D208" i="3"/>
  <c r="E89" i="12"/>
  <c r="D141" i="3"/>
  <c r="E22" i="12"/>
  <c r="T20" i="6"/>
  <c r="E22" i="15" s="1"/>
  <c r="T41" i="6"/>
  <c r="E43" i="15" s="1"/>
  <c r="D162" i="3"/>
  <c r="E43" i="12"/>
  <c r="T57" i="6"/>
  <c r="E59" i="15" s="1"/>
  <c r="E59" i="12"/>
  <c r="T71" i="6"/>
  <c r="E73" i="15" s="1"/>
  <c r="E73" i="12"/>
  <c r="T63" i="6"/>
  <c r="E65" i="15" s="1"/>
  <c r="E65" i="12"/>
  <c r="D184" i="3"/>
  <c r="T76" i="6"/>
  <c r="E78" i="15" s="1"/>
  <c r="D197" i="3"/>
  <c r="E78" i="12"/>
  <c r="T75" i="6"/>
  <c r="E77" i="15" s="1"/>
  <c r="D196" i="3"/>
  <c r="E77" i="12"/>
  <c r="T89" i="6"/>
  <c r="E91" i="15" s="1"/>
  <c r="D210" i="3"/>
  <c r="E91" i="12"/>
  <c r="T88" i="6"/>
  <c r="E90" i="15" s="1"/>
  <c r="E90" i="12"/>
  <c r="D209" i="3"/>
  <c r="T84" i="6"/>
  <c r="E86" i="15" s="1"/>
  <c r="D205" i="3"/>
  <c r="E86" i="12"/>
  <c r="T83" i="6"/>
  <c r="E85" i="15" s="1"/>
  <c r="D204" i="3"/>
  <c r="E85" i="12"/>
  <c r="D132" i="3"/>
  <c r="E13" i="12"/>
  <c r="T11" i="6"/>
  <c r="E13" i="15" s="1"/>
  <c r="E17" i="12"/>
  <c r="E16" i="12"/>
  <c r="E9" i="12"/>
  <c r="E30" i="12"/>
  <c r="E25" i="12"/>
  <c r="E39" i="12"/>
  <c r="E37" i="12"/>
  <c r="E18" i="12"/>
  <c r="E12" i="12"/>
  <c r="E32" i="12"/>
  <c r="T30" i="6"/>
  <c r="E32" i="15" s="1"/>
  <c r="U32" i="15" s="1"/>
  <c r="E29" i="12"/>
  <c r="E24" i="12"/>
  <c r="E108" i="12"/>
  <c r="T106" i="6"/>
  <c r="E108" i="15" s="1"/>
  <c r="E7" i="12"/>
  <c r="T5" i="6"/>
  <c r="E7" i="15" s="1"/>
  <c r="F27" i="10"/>
  <c r="U27" i="10" s="1"/>
  <c r="F27" i="8"/>
  <c r="F26" i="10"/>
  <c r="U26" i="10" s="1"/>
  <c r="F26" i="8"/>
  <c r="F23" i="10"/>
  <c r="U23" i="10" s="1"/>
  <c r="F23" i="8"/>
  <c r="F42" i="10"/>
  <c r="U42" i="10" s="1"/>
  <c r="F42" i="8"/>
  <c r="F40" i="10"/>
  <c r="U40" i="10" s="1"/>
  <c r="F40" i="8"/>
  <c r="F81" i="10"/>
  <c r="U81" i="10" s="1"/>
  <c r="F81" i="8"/>
  <c r="F102" i="10"/>
  <c r="U102" i="10" s="1"/>
  <c r="F102" i="8"/>
  <c r="F20" i="10"/>
  <c r="U20" i="10" s="1"/>
  <c r="F20" i="8"/>
  <c r="E38" i="12"/>
  <c r="F83" i="10"/>
  <c r="U83" i="10" s="1"/>
  <c r="F83" i="8"/>
  <c r="F105" i="10"/>
  <c r="U105" i="10" s="1"/>
  <c r="F105" i="8"/>
  <c r="F104" i="10"/>
  <c r="U104" i="10" s="1"/>
  <c r="F104" i="8"/>
  <c r="F103" i="10"/>
  <c r="U103" i="10" s="1"/>
  <c r="F103" i="8"/>
  <c r="F100" i="10"/>
  <c r="U100" i="10" s="1"/>
  <c r="F100" i="8"/>
  <c r="F99" i="10"/>
  <c r="U99" i="10" s="1"/>
  <c r="F99" i="8"/>
  <c r="F98" i="10"/>
  <c r="U98" i="10" s="1"/>
  <c r="F98" i="8"/>
  <c r="E6" i="12"/>
  <c r="T4" i="6"/>
  <c r="E6" i="15" s="1"/>
  <c r="U109" i="10"/>
  <c r="T117" i="10"/>
  <c r="T116" i="10"/>
  <c r="T115" i="10"/>
  <c r="T114" i="10"/>
  <c r="D133" i="3"/>
  <c r="F14" i="12" s="1"/>
  <c r="E14" i="12"/>
  <c r="U14" i="12" s="1"/>
  <c r="T12" i="6"/>
  <c r="E14" i="15" s="1"/>
  <c r="D154" i="3"/>
  <c r="E35" i="12"/>
  <c r="AM35" i="12" s="1"/>
  <c r="T33" i="6"/>
  <c r="E35" i="15" s="1"/>
  <c r="D176" i="3"/>
  <c r="E57" i="12"/>
  <c r="T55" i="6"/>
  <c r="E57" i="15" s="1"/>
  <c r="U57" i="15" s="1"/>
  <c r="D175" i="3"/>
  <c r="D174" i="3"/>
  <c r="D173" i="3"/>
  <c r="D172" i="3"/>
  <c r="D171" i="3"/>
  <c r="D170" i="3"/>
  <c r="E51" i="12"/>
  <c r="T49" i="6"/>
  <c r="E51" i="15" s="1"/>
  <c r="U51" i="15" s="1"/>
  <c r="D169" i="3"/>
  <c r="D168" i="3"/>
  <c r="D167" i="3"/>
  <c r="D166" i="3"/>
  <c r="D165" i="3"/>
  <c r="E46" i="12"/>
  <c r="T44" i="6"/>
  <c r="E46" i="15" s="1"/>
  <c r="U46" i="15" s="1"/>
  <c r="D164" i="3"/>
  <c r="D178" i="3"/>
  <c r="D193" i="3"/>
  <c r="E74" i="12"/>
  <c r="D192" i="3"/>
  <c r="D211" i="3"/>
  <c r="E92" i="12"/>
  <c r="D206" i="3"/>
  <c r="D135" i="3"/>
  <c r="D149" i="3"/>
  <c r="D144" i="3"/>
  <c r="D151" i="3"/>
  <c r="D143" i="3"/>
  <c r="D146" i="3"/>
  <c r="D129" i="3"/>
  <c r="D163" i="3"/>
  <c r="D183" i="3"/>
  <c r="D182" i="3"/>
  <c r="E63" i="12"/>
  <c r="T61" i="6"/>
  <c r="E63" i="15" s="1"/>
  <c r="U63" i="15" s="1"/>
  <c r="D181" i="3"/>
  <c r="D180" i="3"/>
  <c r="D179" i="3"/>
  <c r="D190" i="3"/>
  <c r="D187" i="3"/>
  <c r="E68" i="12"/>
  <c r="T66" i="6"/>
  <c r="E68" i="15" s="1"/>
  <c r="D191" i="3"/>
  <c r="T78" i="6"/>
  <c r="E80" i="15" s="1"/>
  <c r="D199" i="3"/>
  <c r="E80" i="12"/>
  <c r="T74" i="6"/>
  <c r="E76" i="15" s="1"/>
  <c r="E76" i="12"/>
  <c r="D195" i="3"/>
  <c r="T72" i="6"/>
  <c r="E74" i="15" s="1"/>
  <c r="T90" i="6"/>
  <c r="E92" i="15" s="1"/>
  <c r="T85" i="6"/>
  <c r="E87" i="15" s="1"/>
  <c r="E87" i="12"/>
  <c r="D136" i="3"/>
  <c r="D128" i="3"/>
  <c r="D158" i="3"/>
  <c r="D126" i="3"/>
  <c r="D161" i="3"/>
  <c r="T126" i="10"/>
  <c r="F17" i="10"/>
  <c r="U17" i="10" s="1"/>
  <c r="F17" i="8"/>
  <c r="F30" i="10"/>
  <c r="U30" i="10" s="1"/>
  <c r="F30" i="8"/>
  <c r="AM26" i="15"/>
  <c r="AM23" i="15"/>
  <c r="AM42" i="15"/>
  <c r="AM40" i="15"/>
  <c r="AM27" i="15"/>
  <c r="AM107" i="12"/>
  <c r="AM20" i="15"/>
  <c r="U88" i="12"/>
  <c r="AM88" i="12"/>
  <c r="U5" i="12"/>
  <c r="AM5" i="12"/>
  <c r="U33" i="6"/>
  <c r="F35" i="15" s="1"/>
  <c r="V35" i="15" s="1"/>
  <c r="F35" i="12"/>
  <c r="AM55" i="15"/>
  <c r="F55" i="10"/>
  <c r="U55" i="10" s="1"/>
  <c r="F55" i="8"/>
  <c r="AM54" i="15"/>
  <c r="F54" i="10"/>
  <c r="U54" i="10" s="1"/>
  <c r="F54" i="8"/>
  <c r="U53" i="12"/>
  <c r="AM53" i="12"/>
  <c r="AM52" i="15"/>
  <c r="F52" i="10"/>
  <c r="U52" i="10" s="1"/>
  <c r="F52" i="8"/>
  <c r="AM50" i="15"/>
  <c r="U50" i="12"/>
  <c r="AM50" i="12"/>
  <c r="F50" i="10"/>
  <c r="U50" i="10" s="1"/>
  <c r="F50" i="8"/>
  <c r="U49" i="12"/>
  <c r="AM49" i="12"/>
  <c r="AM48" i="15"/>
  <c r="F48" i="10"/>
  <c r="U48" i="10" s="1"/>
  <c r="F48" i="8"/>
  <c r="AM47" i="15"/>
  <c r="U47" i="12"/>
  <c r="AM47" i="12"/>
  <c r="U45" i="12"/>
  <c r="AM45" i="12"/>
  <c r="AM44" i="15"/>
  <c r="F44" i="10"/>
  <c r="U44" i="10" s="1"/>
  <c r="F44" i="8"/>
  <c r="U64" i="12"/>
  <c r="AM64" i="12"/>
  <c r="AM62" i="15"/>
  <c r="F62" i="10"/>
  <c r="U62" i="10" s="1"/>
  <c r="F62" i="8"/>
  <c r="AM61" i="15"/>
  <c r="U61" i="12"/>
  <c r="AM61" i="12"/>
  <c r="F61" i="10"/>
  <c r="U61" i="10" s="1"/>
  <c r="F61" i="8"/>
  <c r="AM60" i="15"/>
  <c r="F60" i="10"/>
  <c r="U60" i="10" s="1"/>
  <c r="F60" i="8"/>
  <c r="U71" i="12"/>
  <c r="AM71" i="12"/>
  <c r="U70" i="12"/>
  <c r="AM70" i="12"/>
  <c r="T67" i="15" l="1"/>
  <c r="T69" i="15"/>
  <c r="T73" i="15"/>
  <c r="U61" i="15"/>
  <c r="T72" i="15"/>
  <c r="T65" i="15"/>
  <c r="T74" i="15"/>
  <c r="T71" i="15"/>
  <c r="T68" i="15"/>
  <c r="U60" i="15"/>
  <c r="U62" i="15"/>
  <c r="T70" i="15"/>
  <c r="T66" i="15"/>
  <c r="AL74" i="15"/>
  <c r="AL69" i="15"/>
  <c r="AL71" i="15"/>
  <c r="AL70" i="15"/>
  <c r="AL72" i="15"/>
  <c r="AL66" i="15"/>
  <c r="AL67" i="15"/>
  <c r="AL68" i="15"/>
  <c r="AL65" i="15"/>
  <c r="AL73" i="15"/>
  <c r="D10" i="14"/>
  <c r="Q11" i="15" s="1"/>
  <c r="F10" i="14"/>
  <c r="AI11" i="15" s="1"/>
  <c r="C11" i="14"/>
  <c r="E10" i="14"/>
  <c r="R11" i="15" s="1"/>
  <c r="G10" i="14"/>
  <c r="AJ11" i="15" s="1"/>
  <c r="AH16" i="15"/>
  <c r="P16" i="15"/>
  <c r="A16" i="14"/>
  <c r="F88" i="10"/>
  <c r="U88" i="10" s="1"/>
  <c r="AM82" i="12"/>
  <c r="U106" i="10"/>
  <c r="F71" i="8"/>
  <c r="U82" i="12"/>
  <c r="U101" i="10"/>
  <c r="F88" i="8"/>
  <c r="F53" i="10"/>
  <c r="U53" i="10" s="1"/>
  <c r="F53" i="8"/>
  <c r="AM53" i="15"/>
  <c r="U52" i="12"/>
  <c r="AM52" i="12"/>
  <c r="F45" i="10"/>
  <c r="U45" i="10" s="1"/>
  <c r="F64" i="10"/>
  <c r="U64" i="10" s="1"/>
  <c r="U62" i="12"/>
  <c r="AM62" i="12"/>
  <c r="F47" i="10"/>
  <c r="U47" i="10" s="1"/>
  <c r="AM106" i="12"/>
  <c r="F71" i="10"/>
  <c r="U71" i="10" s="1"/>
  <c r="F47" i="8"/>
  <c r="AM48" i="12"/>
  <c r="AM71" i="15"/>
  <c r="AM60" i="12"/>
  <c r="AM49" i="15"/>
  <c r="AM64" i="15"/>
  <c r="AM45" i="15"/>
  <c r="F49" i="8"/>
  <c r="F64" i="8"/>
  <c r="F45" i="8"/>
  <c r="F49" i="10"/>
  <c r="U49" i="10" s="1"/>
  <c r="AM101" i="12"/>
  <c r="AM44" i="12"/>
  <c r="AM54" i="12"/>
  <c r="U12" i="15"/>
  <c r="AM70" i="15"/>
  <c r="U12" i="6"/>
  <c r="F14" i="15" s="1"/>
  <c r="AN14" i="15" s="1"/>
  <c r="F70" i="8"/>
  <c r="U35" i="12"/>
  <c r="F14" i="10"/>
  <c r="U14" i="10" s="1"/>
  <c r="U27" i="12"/>
  <c r="U18" i="15"/>
  <c r="AM42" i="12"/>
  <c r="F70" i="10"/>
  <c r="U70" i="10" s="1"/>
  <c r="AM26" i="12"/>
  <c r="U23" i="12"/>
  <c r="F14" i="8"/>
  <c r="AM14" i="12"/>
  <c r="F35" i="10"/>
  <c r="U35" i="10" s="1"/>
  <c r="AM10" i="12"/>
  <c r="U40" i="12"/>
  <c r="AM40" i="12"/>
  <c r="U83" i="12"/>
  <c r="AM83" i="12"/>
  <c r="U81" i="12"/>
  <c r="AM81" i="12"/>
  <c r="U105" i="12"/>
  <c r="AM105" i="12"/>
  <c r="U104" i="12"/>
  <c r="AM104" i="12"/>
  <c r="U103" i="12"/>
  <c r="AM103" i="12"/>
  <c r="U102" i="12"/>
  <c r="AM102" i="12"/>
  <c r="U100" i="12"/>
  <c r="AM100" i="12"/>
  <c r="U99" i="12"/>
  <c r="AM99" i="12"/>
  <c r="U98" i="12"/>
  <c r="AM98" i="12"/>
  <c r="U97" i="12"/>
  <c r="AM97" i="12"/>
  <c r="U20" i="12"/>
  <c r="AM20" i="12"/>
  <c r="F18" i="8"/>
  <c r="F12" i="10"/>
  <c r="U12" i="10" s="1"/>
  <c r="F38" i="10"/>
  <c r="U38" i="10" s="1"/>
  <c r="F29" i="10"/>
  <c r="U29" i="10" s="1"/>
  <c r="F29" i="8"/>
  <c r="F24" i="8"/>
  <c r="F18" i="10"/>
  <c r="U18" i="10" s="1"/>
  <c r="F12" i="8"/>
  <c r="F38" i="8"/>
  <c r="F24" i="10"/>
  <c r="U24" i="10" s="1"/>
  <c r="U10" i="6"/>
  <c r="F12" i="15" s="1"/>
  <c r="AN12" i="15" s="1"/>
  <c r="F37" i="10"/>
  <c r="U37" i="10" s="1"/>
  <c r="F37" i="8"/>
  <c r="F18" i="12"/>
  <c r="F12" i="12"/>
  <c r="F26" i="12"/>
  <c r="F23" i="12"/>
  <c r="F83" i="12"/>
  <c r="F81" i="12"/>
  <c r="G37" i="8"/>
  <c r="G83" i="10"/>
  <c r="G82" i="10"/>
  <c r="G81" i="10"/>
  <c r="U24" i="6"/>
  <c r="F26" i="15" s="1"/>
  <c r="V26" i="15" s="1"/>
  <c r="U38" i="6"/>
  <c r="F40" i="15" s="1"/>
  <c r="V40" i="15" s="1"/>
  <c r="E148" i="3"/>
  <c r="G29" i="12" s="1"/>
  <c r="E145" i="3"/>
  <c r="G26" i="12" s="1"/>
  <c r="E142" i="3"/>
  <c r="G23" i="12" s="1"/>
  <c r="E159" i="3"/>
  <c r="G40" i="12" s="1"/>
  <c r="E157" i="3"/>
  <c r="G38" i="12" s="1"/>
  <c r="U18" i="6"/>
  <c r="F20" i="15" s="1"/>
  <c r="V20" i="15" s="1"/>
  <c r="AG26" i="3"/>
  <c r="T7" i="4"/>
  <c r="T17" i="4"/>
  <c r="T34" i="4"/>
  <c r="T54" i="4"/>
  <c r="T48" i="4"/>
  <c r="T44" i="4"/>
  <c r="T57" i="4"/>
  <c r="T68" i="4"/>
  <c r="AG2" i="3"/>
  <c r="AG62" i="3"/>
  <c r="AG18" i="3"/>
  <c r="T9" i="4"/>
  <c r="T28" i="4"/>
  <c r="F40" i="12"/>
  <c r="F20" i="12"/>
  <c r="G29" i="8"/>
  <c r="G29" i="10"/>
  <c r="V29" i="10" s="1"/>
  <c r="G18" i="10"/>
  <c r="V18" i="10" s="1"/>
  <c r="G83" i="8"/>
  <c r="G82" i="8"/>
  <c r="U21" i="6"/>
  <c r="F23" i="15" s="1"/>
  <c r="V23" i="15" s="1"/>
  <c r="E125" i="3"/>
  <c r="G6" i="12" s="1"/>
  <c r="E156" i="3"/>
  <c r="G37" i="12" s="1"/>
  <c r="E137" i="3"/>
  <c r="G18" i="12" s="1"/>
  <c r="E139" i="3"/>
  <c r="G20" i="12" s="1"/>
  <c r="AG21" i="3"/>
  <c r="T14" i="4"/>
  <c r="T23" i="4"/>
  <c r="T39" i="4"/>
  <c r="T31" i="4"/>
  <c r="T49" i="4"/>
  <c r="T45" i="4"/>
  <c r="T41" i="4"/>
  <c r="T56" i="4"/>
  <c r="T67" i="4"/>
  <c r="AG13" i="3"/>
  <c r="AG12" i="3"/>
  <c r="AG20" i="3"/>
  <c r="T16" i="4"/>
  <c r="T21" i="4"/>
  <c r="F82" i="12"/>
  <c r="F38" i="12"/>
  <c r="G18" i="8"/>
  <c r="G37" i="10"/>
  <c r="V37" i="10" s="1"/>
  <c r="G81" i="8"/>
  <c r="U36" i="6"/>
  <c r="F38" i="15" s="1"/>
  <c r="V38" i="15" s="1"/>
  <c r="E131" i="3"/>
  <c r="G12" i="12" s="1"/>
  <c r="AG5" i="3"/>
  <c r="T4" i="4"/>
  <c r="T38" i="4"/>
  <c r="T52" i="4"/>
  <c r="T46" i="4"/>
  <c r="T43" i="4"/>
  <c r="T70" i="4"/>
  <c r="T65" i="4"/>
  <c r="AG64" i="3"/>
  <c r="AG27" i="3"/>
  <c r="AG36" i="3"/>
  <c r="T29" i="4"/>
  <c r="AG8" i="3"/>
  <c r="AG28" i="3"/>
  <c r="AG23" i="3"/>
  <c r="AG40" i="3"/>
  <c r="AG35" i="3"/>
  <c r="T11" i="4"/>
  <c r="T37" i="4"/>
  <c r="T35" i="4"/>
  <c r="T32" i="4"/>
  <c r="T55" i="4"/>
  <c r="T51" i="4"/>
  <c r="AG3" i="3"/>
  <c r="AG16" i="3"/>
  <c r="AG15" i="3"/>
  <c r="AG14" i="3"/>
  <c r="AG11" i="3"/>
  <c r="AG10" i="3"/>
  <c r="AG4" i="3"/>
  <c r="AG29" i="3"/>
  <c r="AG24" i="3"/>
  <c r="AG19" i="3"/>
  <c r="AG38" i="3"/>
  <c r="AG37" i="3"/>
  <c r="T2" i="4"/>
  <c r="T15" i="4"/>
  <c r="T13" i="4"/>
  <c r="T12" i="4"/>
  <c r="T10" i="4"/>
  <c r="T6" i="4"/>
  <c r="T5" i="4"/>
  <c r="T3" i="4"/>
  <c r="T26" i="4"/>
  <c r="T25" i="4"/>
  <c r="T24" i="4"/>
  <c r="T22" i="4"/>
  <c r="AG7" i="3"/>
  <c r="AG6" i="3"/>
  <c r="AG25" i="3"/>
  <c r="AG17" i="3"/>
  <c r="AG34" i="3"/>
  <c r="AG33" i="3"/>
  <c r="AG32" i="3"/>
  <c r="AG31" i="3"/>
  <c r="AG30" i="3"/>
  <c r="AG55" i="3"/>
  <c r="AG54" i="3"/>
  <c r="AG53" i="3"/>
  <c r="AG52" i="3"/>
  <c r="AG51" i="3"/>
  <c r="AG50" i="3"/>
  <c r="AG49" i="3"/>
  <c r="AG48" i="3"/>
  <c r="AG47" i="3"/>
  <c r="AG46" i="3"/>
  <c r="AG45" i="3"/>
  <c r="AG44" i="3"/>
  <c r="AG43" i="3"/>
  <c r="AG42" i="3"/>
  <c r="AG41" i="3"/>
  <c r="AG61" i="3"/>
  <c r="AG60" i="3"/>
  <c r="AG59" i="3"/>
  <c r="AG58" i="3"/>
  <c r="AG57" i="3"/>
  <c r="AG56" i="3"/>
  <c r="AG71" i="3"/>
  <c r="AG70" i="3"/>
  <c r="AG69" i="3"/>
  <c r="AG68" i="3"/>
  <c r="AG67" i="3"/>
  <c r="AG66" i="3"/>
  <c r="AG65" i="3"/>
  <c r="AG63" i="3"/>
  <c r="AG9" i="3"/>
  <c r="AG22" i="3"/>
  <c r="AG39" i="3"/>
  <c r="T8" i="4"/>
  <c r="T27" i="4"/>
  <c r="T20" i="4"/>
  <c r="T19" i="4"/>
  <c r="T18" i="4"/>
  <c r="T40" i="4"/>
  <c r="T36" i="4"/>
  <c r="T33" i="4"/>
  <c r="T30" i="4"/>
  <c r="T53" i="4"/>
  <c r="T50" i="4"/>
  <c r="T47" i="4"/>
  <c r="T42" i="4"/>
  <c r="T61" i="4"/>
  <c r="T60" i="4"/>
  <c r="T59" i="4"/>
  <c r="T58" i="4"/>
  <c r="T71" i="4"/>
  <c r="T69" i="4"/>
  <c r="T66" i="4"/>
  <c r="T64" i="4"/>
  <c r="T63" i="4"/>
  <c r="T62" i="4"/>
  <c r="C49" i="2"/>
  <c r="U86" i="6"/>
  <c r="F88" i="15" s="1"/>
  <c r="F88" i="12"/>
  <c r="U3" i="6"/>
  <c r="F5" i="15" s="1"/>
  <c r="F5" i="12"/>
  <c r="E124" i="3"/>
  <c r="F5" i="10"/>
  <c r="F5" i="8"/>
  <c r="U17" i="6"/>
  <c r="F19" i="15" s="1"/>
  <c r="F19" i="12"/>
  <c r="E138" i="3"/>
  <c r="U19" i="12"/>
  <c r="AM19" i="12"/>
  <c r="F19" i="10"/>
  <c r="U19" i="10" s="1"/>
  <c r="F19" i="8"/>
  <c r="U13" i="6"/>
  <c r="F15" i="15" s="1"/>
  <c r="F15" i="12"/>
  <c r="E134" i="3"/>
  <c r="U15" i="12"/>
  <c r="AM15" i="12"/>
  <c r="F15" i="10"/>
  <c r="U15" i="10" s="1"/>
  <c r="F15" i="8"/>
  <c r="E133" i="3"/>
  <c r="U6" i="6"/>
  <c r="F8" i="15" s="1"/>
  <c r="F8" i="12"/>
  <c r="E127" i="3"/>
  <c r="U8" i="12"/>
  <c r="AM8" i="12"/>
  <c r="F8" i="10"/>
  <c r="U8" i="10" s="1"/>
  <c r="F8" i="8"/>
  <c r="U29" i="6"/>
  <c r="F31" i="15" s="1"/>
  <c r="V31" i="15" s="1"/>
  <c r="F31" i="12"/>
  <c r="E150" i="3"/>
  <c r="U31" i="12"/>
  <c r="AM31" i="12"/>
  <c r="F31" i="10"/>
  <c r="U31" i="10" s="1"/>
  <c r="F31" i="8"/>
  <c r="U19" i="6"/>
  <c r="F21" i="15" s="1"/>
  <c r="V21" i="15" s="1"/>
  <c r="F21" i="12"/>
  <c r="E140" i="3"/>
  <c r="U21" i="12"/>
  <c r="AM21" i="12"/>
  <c r="F21" i="10"/>
  <c r="U21" i="10" s="1"/>
  <c r="F21" i="8"/>
  <c r="U39" i="6"/>
  <c r="F41" i="15" s="1"/>
  <c r="V41" i="15" s="1"/>
  <c r="F41" i="12"/>
  <c r="E160" i="3"/>
  <c r="U41" i="12"/>
  <c r="AM41" i="12"/>
  <c r="F41" i="10"/>
  <c r="U41" i="10" s="1"/>
  <c r="F41" i="8"/>
  <c r="U9" i="6"/>
  <c r="F11" i="15" s="1"/>
  <c r="F11" i="12"/>
  <c r="E130" i="3"/>
  <c r="U11" i="12"/>
  <c r="AM11" i="12"/>
  <c r="F11" i="10"/>
  <c r="U11" i="10" s="1"/>
  <c r="F11" i="8"/>
  <c r="U34" i="6"/>
  <c r="F36" i="15" s="1"/>
  <c r="V36" i="15" s="1"/>
  <c r="F36" i="12"/>
  <c r="E155" i="3"/>
  <c r="U36" i="12"/>
  <c r="AM36" i="12"/>
  <c r="F36" i="10"/>
  <c r="U36" i="10" s="1"/>
  <c r="F36" i="8"/>
  <c r="E154" i="3"/>
  <c r="U32" i="6"/>
  <c r="F34" i="15" s="1"/>
  <c r="V34" i="15" s="1"/>
  <c r="F34" i="12"/>
  <c r="E153" i="3"/>
  <c r="U34" i="12"/>
  <c r="AM34" i="12"/>
  <c r="F34" i="10"/>
  <c r="U34" i="10" s="1"/>
  <c r="F34" i="8"/>
  <c r="U31" i="6"/>
  <c r="F33" i="15" s="1"/>
  <c r="V33" i="15" s="1"/>
  <c r="F33" i="12"/>
  <c r="E152" i="3"/>
  <c r="U33" i="12"/>
  <c r="AM33" i="12"/>
  <c r="F33" i="10"/>
  <c r="U33" i="10" s="1"/>
  <c r="F33" i="8"/>
  <c r="U56" i="6"/>
  <c r="F58" i="15" s="1"/>
  <c r="V58" i="15" s="1"/>
  <c r="F58" i="12"/>
  <c r="E177" i="3"/>
  <c r="U58" i="12"/>
  <c r="AM58" i="12"/>
  <c r="F58" i="10"/>
  <c r="U58" i="10" s="1"/>
  <c r="F58" i="8"/>
  <c r="U56" i="12"/>
  <c r="AM56" i="12"/>
  <c r="F56" i="10"/>
  <c r="U56" i="10" s="1"/>
  <c r="F56" i="8"/>
  <c r="U55" i="12"/>
  <c r="AM55" i="12"/>
  <c r="U68" i="6"/>
  <c r="F70" i="15" s="1"/>
  <c r="F70" i="12"/>
  <c r="E189" i="3"/>
  <c r="U67" i="6"/>
  <c r="F69" i="15" s="1"/>
  <c r="F69" i="12"/>
  <c r="E188" i="3"/>
  <c r="U69" i="12"/>
  <c r="AM69" i="12"/>
  <c r="F69" i="10"/>
  <c r="U69" i="10" s="1"/>
  <c r="F69" i="8"/>
  <c r="U65" i="6"/>
  <c r="F67" i="15" s="1"/>
  <c r="F67" i="12"/>
  <c r="E186" i="3"/>
  <c r="U67" i="12"/>
  <c r="AM67" i="12"/>
  <c r="F67" i="10"/>
  <c r="U67" i="10" s="1"/>
  <c r="F67" i="8"/>
  <c r="U64" i="6"/>
  <c r="F66" i="15" s="1"/>
  <c r="F66" i="12"/>
  <c r="E185" i="3"/>
  <c r="U66" i="12"/>
  <c r="AM66" i="12"/>
  <c r="F66" i="10"/>
  <c r="U66" i="10" s="1"/>
  <c r="F66" i="8"/>
  <c r="U77" i="6"/>
  <c r="F79" i="15" s="1"/>
  <c r="E198" i="3"/>
  <c r="F79" i="12"/>
  <c r="U79" i="12"/>
  <c r="AM79" i="12"/>
  <c r="F79" i="10"/>
  <c r="U79" i="10" s="1"/>
  <c r="F79" i="8"/>
  <c r="U73" i="6"/>
  <c r="F75" i="15" s="1"/>
  <c r="F75" i="12"/>
  <c r="E194" i="3"/>
  <c r="U75" i="12"/>
  <c r="AM75" i="12"/>
  <c r="F75" i="10"/>
  <c r="U75" i="10" s="1"/>
  <c r="F75" i="8"/>
  <c r="U95" i="12"/>
  <c r="AM95" i="12"/>
  <c r="U93" i="6"/>
  <c r="F95" i="15" s="1"/>
  <c r="F95" i="12"/>
  <c r="F95" i="10"/>
  <c r="U95" i="10" s="1"/>
  <c r="F95" i="8"/>
  <c r="U94" i="12"/>
  <c r="AM94" i="12"/>
  <c r="U92" i="6"/>
  <c r="F94" i="15" s="1"/>
  <c r="F94" i="12"/>
  <c r="F94" i="10"/>
  <c r="U94" i="10" s="1"/>
  <c r="F94" i="8"/>
  <c r="U82" i="6"/>
  <c r="F84" i="15" s="1"/>
  <c r="F84" i="12"/>
  <c r="U84" i="12"/>
  <c r="AM84" i="12"/>
  <c r="F84" i="10"/>
  <c r="U84" i="10" s="1"/>
  <c r="F84" i="8"/>
  <c r="U26" i="6"/>
  <c r="F28" i="15" s="1"/>
  <c r="V28" i="15" s="1"/>
  <c r="F28" i="12"/>
  <c r="E147" i="3"/>
  <c r="U28" i="12"/>
  <c r="AM28" i="12"/>
  <c r="F28" i="10"/>
  <c r="U28" i="10" s="1"/>
  <c r="F28" i="8"/>
  <c r="F72" i="10"/>
  <c r="U72" i="10" s="1"/>
  <c r="F72" i="8"/>
  <c r="U70" i="6"/>
  <c r="F72" i="15" s="1"/>
  <c r="F72" i="12"/>
  <c r="E191" i="3"/>
  <c r="U72" i="12"/>
  <c r="AM72" i="12"/>
  <c r="F80" i="10"/>
  <c r="U80" i="10" s="1"/>
  <c r="F80" i="8"/>
  <c r="U78" i="6"/>
  <c r="F80" i="15" s="1"/>
  <c r="F80" i="12"/>
  <c r="E199" i="3"/>
  <c r="F59" i="8"/>
  <c r="F59" i="12"/>
  <c r="F74" i="8"/>
  <c r="F74" i="12"/>
  <c r="U80" i="12"/>
  <c r="AM80" i="12"/>
  <c r="F76" i="10"/>
  <c r="U76" i="10" s="1"/>
  <c r="F76" i="8"/>
  <c r="U76" i="12"/>
  <c r="AM76" i="12"/>
  <c r="U74" i="6"/>
  <c r="F76" i="15" s="1"/>
  <c r="E195" i="3"/>
  <c r="F76" i="12"/>
  <c r="F96" i="10"/>
  <c r="U96" i="10" s="1"/>
  <c r="F96" i="8"/>
  <c r="U94" i="6"/>
  <c r="F96" i="15" s="1"/>
  <c r="F96" i="12"/>
  <c r="U96" i="12"/>
  <c r="AM96" i="12"/>
  <c r="F93" i="10"/>
  <c r="U93" i="10" s="1"/>
  <c r="F93" i="8"/>
  <c r="U91" i="6"/>
  <c r="F93" i="15" s="1"/>
  <c r="F93" i="12"/>
  <c r="U93" i="12"/>
  <c r="AM93" i="12"/>
  <c r="F89" i="10"/>
  <c r="U89" i="10" s="1"/>
  <c r="F89" i="8"/>
  <c r="U87" i="6"/>
  <c r="F89" i="15" s="1"/>
  <c r="F89" i="12"/>
  <c r="U89" i="12"/>
  <c r="AM89" i="12"/>
  <c r="U20" i="6"/>
  <c r="F22" i="15" s="1"/>
  <c r="V22" i="15" s="1"/>
  <c r="F22" i="12"/>
  <c r="E141" i="3"/>
  <c r="U22" i="12"/>
  <c r="AM22" i="12"/>
  <c r="F22" i="10"/>
  <c r="U22" i="10" s="1"/>
  <c r="F22" i="8"/>
  <c r="F43" i="10"/>
  <c r="U43" i="10" s="1"/>
  <c r="F43" i="8"/>
  <c r="U41" i="6"/>
  <c r="F43" i="15" s="1"/>
  <c r="V43" i="15" s="1"/>
  <c r="F43" i="12"/>
  <c r="E162" i="3"/>
  <c r="U43" i="12"/>
  <c r="AM43" i="12"/>
  <c r="F59" i="10"/>
  <c r="U59" i="10" s="1"/>
  <c r="U57" i="6"/>
  <c r="F59" i="15" s="1"/>
  <c r="E178" i="3"/>
  <c r="U59" i="12"/>
  <c r="AM59" i="12"/>
  <c r="F74" i="10"/>
  <c r="U74" i="10" s="1"/>
  <c r="U72" i="6"/>
  <c r="F74" i="15" s="1"/>
  <c r="E193" i="3"/>
  <c r="U74" i="12"/>
  <c r="AM74" i="12"/>
  <c r="F73" i="10"/>
  <c r="U73" i="10" s="1"/>
  <c r="F73" i="8"/>
  <c r="U71" i="6"/>
  <c r="F73" i="15" s="1"/>
  <c r="F73" i="12"/>
  <c r="E192" i="3"/>
  <c r="U73" i="12"/>
  <c r="AM73" i="12"/>
  <c r="F65" i="10"/>
  <c r="U65" i="10" s="1"/>
  <c r="F65" i="8"/>
  <c r="U65" i="12"/>
  <c r="AM65" i="12"/>
  <c r="U63" i="6"/>
  <c r="F65" i="15" s="1"/>
  <c r="F65" i="12"/>
  <c r="E184" i="3"/>
  <c r="F78" i="10"/>
  <c r="U78" i="10" s="1"/>
  <c r="F78" i="8"/>
  <c r="U76" i="6"/>
  <c r="F78" i="15" s="1"/>
  <c r="F78" i="12"/>
  <c r="E197" i="3"/>
  <c r="U78" i="12"/>
  <c r="AM78" i="12"/>
  <c r="F77" i="10"/>
  <c r="U77" i="10" s="1"/>
  <c r="F77" i="8"/>
  <c r="U75" i="6"/>
  <c r="F77" i="15" s="1"/>
  <c r="E196" i="3"/>
  <c r="F77" i="12"/>
  <c r="U77" i="12"/>
  <c r="AM77" i="12"/>
  <c r="F92" i="10"/>
  <c r="U92" i="10" s="1"/>
  <c r="F92" i="8"/>
  <c r="U90" i="6"/>
  <c r="F92" i="15" s="1"/>
  <c r="F92" i="12"/>
  <c r="U92" i="12"/>
  <c r="AM92" i="12"/>
  <c r="F91" i="10"/>
  <c r="U91" i="10" s="1"/>
  <c r="F91" i="8"/>
  <c r="U89" i="6"/>
  <c r="F91" i="15" s="1"/>
  <c r="F91" i="12"/>
  <c r="U91" i="12"/>
  <c r="AM91" i="12"/>
  <c r="F90" i="10"/>
  <c r="U90" i="10" s="1"/>
  <c r="F90" i="8"/>
  <c r="U90" i="12"/>
  <c r="AM90" i="12"/>
  <c r="U88" i="6"/>
  <c r="F90" i="15" s="1"/>
  <c r="F90" i="12"/>
  <c r="F86" i="10"/>
  <c r="U86" i="10" s="1"/>
  <c r="F86" i="8"/>
  <c r="U84" i="6"/>
  <c r="F86" i="15" s="1"/>
  <c r="F86" i="12"/>
  <c r="U86" i="12"/>
  <c r="AM86" i="12"/>
  <c r="F85" i="10"/>
  <c r="U85" i="10" s="1"/>
  <c r="F85" i="8"/>
  <c r="U83" i="6"/>
  <c r="F85" i="15" s="1"/>
  <c r="F85" i="12"/>
  <c r="U85" i="12"/>
  <c r="AM85" i="12"/>
  <c r="U11" i="6"/>
  <c r="F13" i="15" s="1"/>
  <c r="F13" i="12"/>
  <c r="E132" i="3"/>
  <c r="U13" i="12"/>
  <c r="AM13" i="12"/>
  <c r="F13" i="10"/>
  <c r="U13" i="10" s="1"/>
  <c r="F13" i="8"/>
  <c r="E135" i="3"/>
  <c r="F16" i="12"/>
  <c r="U14" i="6"/>
  <c r="F16" i="15" s="1"/>
  <c r="E149" i="3"/>
  <c r="F30" i="12"/>
  <c r="U28" i="6"/>
  <c r="F30" i="15" s="1"/>
  <c r="V30" i="15" s="1"/>
  <c r="E144" i="3"/>
  <c r="F25" i="12"/>
  <c r="U23" i="6"/>
  <c r="F25" i="15" s="1"/>
  <c r="V25" i="15" s="1"/>
  <c r="E151" i="3"/>
  <c r="F32" i="12"/>
  <c r="U30" i="6"/>
  <c r="F32" i="15" s="1"/>
  <c r="V32" i="15" s="1"/>
  <c r="E143" i="3"/>
  <c r="F24" i="12"/>
  <c r="U22" i="6"/>
  <c r="F24" i="15" s="1"/>
  <c r="V24" i="15" s="1"/>
  <c r="E126" i="3"/>
  <c r="F7" i="12"/>
  <c r="U5" i="6"/>
  <c r="F7" i="15" s="1"/>
  <c r="E146" i="3"/>
  <c r="F27" i="12"/>
  <c r="U25" i="6"/>
  <c r="F27" i="15" s="1"/>
  <c r="V27" i="15" s="1"/>
  <c r="E129" i="3"/>
  <c r="F10" i="12"/>
  <c r="U8" i="6"/>
  <c r="F10" i="15" s="1"/>
  <c r="E161" i="3"/>
  <c r="F42" i="12"/>
  <c r="U40" i="6"/>
  <c r="F42" i="15" s="1"/>
  <c r="V42" i="15" s="1"/>
  <c r="T133" i="10"/>
  <c r="AM16" i="15"/>
  <c r="U16" i="15"/>
  <c r="AM9" i="15"/>
  <c r="U9" i="15"/>
  <c r="V18" i="15"/>
  <c r="AN18" i="15"/>
  <c r="U5" i="15"/>
  <c r="AM5" i="15"/>
  <c r="AM19" i="15"/>
  <c r="U19" i="15"/>
  <c r="AM15" i="15"/>
  <c r="U15" i="15"/>
  <c r="AM8" i="15"/>
  <c r="U8" i="15"/>
  <c r="AM31" i="15"/>
  <c r="U31" i="15"/>
  <c r="AM21" i="15"/>
  <c r="U21" i="15"/>
  <c r="AM41" i="15"/>
  <c r="U41" i="15"/>
  <c r="AM11" i="15"/>
  <c r="U11" i="15"/>
  <c r="AM36" i="15"/>
  <c r="U36" i="15"/>
  <c r="AM34" i="15"/>
  <c r="U34" i="15"/>
  <c r="AM33" i="15"/>
  <c r="U33" i="15"/>
  <c r="AM58" i="15"/>
  <c r="U58" i="15"/>
  <c r="AM56" i="15"/>
  <c r="U56" i="15"/>
  <c r="AM69" i="15"/>
  <c r="U69" i="15"/>
  <c r="AM67" i="15"/>
  <c r="U67" i="15"/>
  <c r="AM66" i="15"/>
  <c r="U66" i="15"/>
  <c r="AM28" i="15"/>
  <c r="U28" i="15"/>
  <c r="AM22" i="15"/>
  <c r="U22" i="15"/>
  <c r="AM43" i="15"/>
  <c r="U43" i="15"/>
  <c r="AM59" i="15"/>
  <c r="U59" i="15"/>
  <c r="U65" i="15"/>
  <c r="AM13" i="15"/>
  <c r="U13" i="15"/>
  <c r="U7" i="15"/>
  <c r="AM7" i="15"/>
  <c r="U6" i="15"/>
  <c r="AM6" i="15"/>
  <c r="AM14" i="15"/>
  <c r="U14" i="15"/>
  <c r="AM35" i="15"/>
  <c r="U35" i="15"/>
  <c r="AM74" i="15"/>
  <c r="U74" i="15"/>
  <c r="F16" i="10"/>
  <c r="U16" i="10" s="1"/>
  <c r="F16" i="8"/>
  <c r="F39" i="10"/>
  <c r="U39" i="10" s="1"/>
  <c r="F39" i="8"/>
  <c r="U4" i="6"/>
  <c r="F6" i="15" s="1"/>
  <c r="F37" i="12"/>
  <c r="F29" i="12"/>
  <c r="F9" i="10"/>
  <c r="U9" i="10" s="1"/>
  <c r="F9" i="8"/>
  <c r="F25" i="10"/>
  <c r="U25" i="10" s="1"/>
  <c r="F25" i="8"/>
  <c r="F6" i="12"/>
  <c r="AM17" i="12"/>
  <c r="U17" i="12"/>
  <c r="U16" i="12"/>
  <c r="AM16" i="12"/>
  <c r="AM9" i="12"/>
  <c r="U9" i="12"/>
  <c r="AM30" i="15"/>
  <c r="AM30" i="12"/>
  <c r="U30" i="12"/>
  <c r="AM25" i="15"/>
  <c r="AM25" i="12"/>
  <c r="U25" i="12"/>
  <c r="AM39" i="15"/>
  <c r="AM39" i="12"/>
  <c r="U39" i="12"/>
  <c r="AM37" i="15"/>
  <c r="AM37" i="12"/>
  <c r="U37" i="12"/>
  <c r="AM18" i="12"/>
  <c r="U18" i="12"/>
  <c r="AM12" i="12"/>
  <c r="U12" i="12"/>
  <c r="AM32" i="15"/>
  <c r="AM32" i="12"/>
  <c r="U32" i="12"/>
  <c r="F32" i="10"/>
  <c r="U32" i="10" s="1"/>
  <c r="F32" i="8"/>
  <c r="AM29" i="15"/>
  <c r="AM29" i="12"/>
  <c r="U29" i="12"/>
  <c r="AM24" i="12"/>
  <c r="U24" i="12"/>
  <c r="AM24" i="15"/>
  <c r="AM108" i="12"/>
  <c r="U108" i="12"/>
  <c r="F108" i="10"/>
  <c r="U108" i="10" s="1"/>
  <c r="F108" i="8"/>
  <c r="AM7" i="12"/>
  <c r="U7" i="12"/>
  <c r="F7" i="10"/>
  <c r="U7" i="10" s="1"/>
  <c r="F7" i="8"/>
  <c r="AM38" i="15"/>
  <c r="AM38" i="12"/>
  <c r="U38" i="12"/>
  <c r="AM6" i="12"/>
  <c r="U6" i="12"/>
  <c r="F6" i="10"/>
  <c r="U6" i="10" s="1"/>
  <c r="F6" i="8"/>
  <c r="F35" i="8"/>
  <c r="U55" i="6"/>
  <c r="F57" i="15" s="1"/>
  <c r="F57" i="12"/>
  <c r="E176" i="3"/>
  <c r="AM57" i="15"/>
  <c r="U57" i="12"/>
  <c r="AM57" i="12"/>
  <c r="F57" i="10"/>
  <c r="U57" i="10" s="1"/>
  <c r="F57" i="8"/>
  <c r="U54" i="6"/>
  <c r="F56" i="15" s="1"/>
  <c r="F56" i="12"/>
  <c r="E175" i="3"/>
  <c r="U53" i="6"/>
  <c r="F55" i="15" s="1"/>
  <c r="V55" i="15" s="1"/>
  <c r="F55" i="12"/>
  <c r="E174" i="3"/>
  <c r="U52" i="6"/>
  <c r="F54" i="15" s="1"/>
  <c r="V54" i="15" s="1"/>
  <c r="F54" i="12"/>
  <c r="E173" i="3"/>
  <c r="U51" i="6"/>
  <c r="F53" i="15" s="1"/>
  <c r="V53" i="15" s="1"/>
  <c r="F53" i="12"/>
  <c r="E172" i="3"/>
  <c r="U50" i="6"/>
  <c r="F52" i="15" s="1"/>
  <c r="V52" i="15" s="1"/>
  <c r="F52" i="12"/>
  <c r="E171" i="3"/>
  <c r="U49" i="6"/>
  <c r="F51" i="15" s="1"/>
  <c r="V51" i="15" s="1"/>
  <c r="F51" i="12"/>
  <c r="E170" i="3"/>
  <c r="AM51" i="15"/>
  <c r="U51" i="12"/>
  <c r="AM51" i="12"/>
  <c r="F51" i="10"/>
  <c r="U51" i="10" s="1"/>
  <c r="F51" i="8"/>
  <c r="U48" i="6"/>
  <c r="F50" i="15" s="1"/>
  <c r="V50" i="15" s="1"/>
  <c r="F50" i="12"/>
  <c r="E169" i="3"/>
  <c r="U47" i="6"/>
  <c r="F49" i="15" s="1"/>
  <c r="V49" i="15" s="1"/>
  <c r="F49" i="12"/>
  <c r="E168" i="3"/>
  <c r="U46" i="6"/>
  <c r="F48" i="15" s="1"/>
  <c r="V48" i="15" s="1"/>
  <c r="F48" i="12"/>
  <c r="E167" i="3"/>
  <c r="U45" i="6"/>
  <c r="F47" i="15" s="1"/>
  <c r="V47" i="15" s="1"/>
  <c r="F47" i="12"/>
  <c r="E166" i="3"/>
  <c r="U44" i="6"/>
  <c r="F46" i="15" s="1"/>
  <c r="V46" i="15" s="1"/>
  <c r="F46" i="12"/>
  <c r="E165" i="3"/>
  <c r="U46" i="12"/>
  <c r="AM46" i="12"/>
  <c r="AM46" i="15"/>
  <c r="F46" i="10"/>
  <c r="U46" i="10" s="1"/>
  <c r="F46" i="8"/>
  <c r="U43" i="6"/>
  <c r="F45" i="15" s="1"/>
  <c r="V45" i="15" s="1"/>
  <c r="F45" i="12"/>
  <c r="E164" i="3"/>
  <c r="U42" i="6"/>
  <c r="F44" i="15" s="1"/>
  <c r="V44" i="15" s="1"/>
  <c r="F44" i="12"/>
  <c r="E163" i="3"/>
  <c r="U62" i="6"/>
  <c r="F64" i="15" s="1"/>
  <c r="V64" i="15" s="1"/>
  <c r="F64" i="12"/>
  <c r="E183" i="3"/>
  <c r="U61" i="6"/>
  <c r="F63" i="15" s="1"/>
  <c r="V63" i="15" s="1"/>
  <c r="F63" i="12"/>
  <c r="E182" i="3"/>
  <c r="AM63" i="15"/>
  <c r="U63" i="12"/>
  <c r="AM63" i="12"/>
  <c r="F63" i="10"/>
  <c r="U63" i="10" s="1"/>
  <c r="F63" i="8"/>
  <c r="U60" i="6"/>
  <c r="F62" i="15" s="1"/>
  <c r="V62" i="15" s="1"/>
  <c r="F62" i="12"/>
  <c r="E181" i="3"/>
  <c r="U59" i="6"/>
  <c r="F61" i="15" s="1"/>
  <c r="V61" i="15" s="1"/>
  <c r="F61" i="12"/>
  <c r="E180" i="3"/>
  <c r="U58" i="6"/>
  <c r="F60" i="15" s="1"/>
  <c r="V60" i="15" s="1"/>
  <c r="F60" i="12"/>
  <c r="E179" i="3"/>
  <c r="U69" i="6"/>
  <c r="F71" i="15" s="1"/>
  <c r="F71" i="12"/>
  <c r="E190" i="3"/>
  <c r="U66" i="6"/>
  <c r="F68" i="15" s="1"/>
  <c r="F68" i="12"/>
  <c r="E187" i="3"/>
  <c r="U68" i="12"/>
  <c r="AM68" i="12"/>
  <c r="AM68" i="15"/>
  <c r="F68" i="10"/>
  <c r="U68" i="10" s="1"/>
  <c r="F68" i="8"/>
  <c r="F87" i="10"/>
  <c r="U87" i="10" s="1"/>
  <c r="F87" i="8"/>
  <c r="U85" i="6"/>
  <c r="F87" i="15" s="1"/>
  <c r="F87" i="12"/>
  <c r="U87" i="12"/>
  <c r="AM87" i="12"/>
  <c r="E136" i="3"/>
  <c r="F17" i="12"/>
  <c r="U15" i="6"/>
  <c r="F17" i="15" s="1"/>
  <c r="E128" i="3"/>
  <c r="F9" i="12"/>
  <c r="U7" i="6"/>
  <c r="F9" i="15" s="1"/>
  <c r="E158" i="3"/>
  <c r="F39" i="12"/>
  <c r="U37" i="6"/>
  <c r="F39" i="15" s="1"/>
  <c r="U132" i="10"/>
  <c r="AN29" i="15"/>
  <c r="V14" i="12"/>
  <c r="AN14" i="12"/>
  <c r="G35" i="10"/>
  <c r="V35" i="10" s="1"/>
  <c r="G35" i="8"/>
  <c r="V35" i="12"/>
  <c r="AN35" i="12"/>
  <c r="AN35" i="15"/>
  <c r="U68" i="15" l="1"/>
  <c r="U70" i="15"/>
  <c r="U71" i="15"/>
  <c r="T78" i="15"/>
  <c r="T76" i="15"/>
  <c r="T80" i="15"/>
  <c r="T79" i="15"/>
  <c r="T75" i="15"/>
  <c r="T77" i="15"/>
  <c r="AL79" i="15"/>
  <c r="AL75" i="15"/>
  <c r="AL78" i="15"/>
  <c r="AL76" i="15"/>
  <c r="AL80" i="15"/>
  <c r="AL77" i="15"/>
  <c r="D11" i="14"/>
  <c r="Q12" i="15" s="1"/>
  <c r="C12" i="14"/>
  <c r="F11" i="14"/>
  <c r="AI12" i="15" s="1"/>
  <c r="E11" i="14"/>
  <c r="R12" i="15" s="1"/>
  <c r="G11" i="14"/>
  <c r="AJ12" i="15" s="1"/>
  <c r="P17" i="15"/>
  <c r="AH17" i="15"/>
  <c r="A17" i="14"/>
  <c r="V59" i="15"/>
  <c r="G12" i="8"/>
  <c r="V12" i="15"/>
  <c r="V14" i="15"/>
  <c r="AM72" i="15"/>
  <c r="U72" i="15"/>
  <c r="AM73" i="15"/>
  <c r="U73" i="15"/>
  <c r="AM65" i="15"/>
  <c r="G12" i="10"/>
  <c r="V12" i="10" s="1"/>
  <c r="G14" i="8"/>
  <c r="G14" i="10"/>
  <c r="V14" i="10" s="1"/>
  <c r="AN18" i="12"/>
  <c r="V18" i="12"/>
  <c r="AN12" i="12"/>
  <c r="V12" i="12"/>
  <c r="AN5" i="15"/>
  <c r="V5" i="15"/>
  <c r="V19" i="15"/>
  <c r="AN19" i="15"/>
  <c r="V15" i="15"/>
  <c r="AN15" i="15"/>
  <c r="AN8" i="15"/>
  <c r="V8" i="15"/>
  <c r="V11" i="15"/>
  <c r="AN11" i="15"/>
  <c r="G38" i="10"/>
  <c r="V38" i="10" s="1"/>
  <c r="G26" i="10"/>
  <c r="V26" i="10" s="1"/>
  <c r="G40" i="10"/>
  <c r="V40" i="10" s="1"/>
  <c r="AH14" i="3"/>
  <c r="AH29" i="3"/>
  <c r="AH21" i="3"/>
  <c r="U9" i="4"/>
  <c r="U38" i="4"/>
  <c r="U30" i="4"/>
  <c r="AH5" i="3"/>
  <c r="AH17" i="3"/>
  <c r="U2" i="4"/>
  <c r="U8" i="4"/>
  <c r="U28" i="4"/>
  <c r="AH16" i="3"/>
  <c r="AH23" i="3"/>
  <c r="AH39" i="3"/>
  <c r="AH33" i="3"/>
  <c r="AH55" i="3"/>
  <c r="AH52" i="3"/>
  <c r="V75" i="12"/>
  <c r="G95" i="10"/>
  <c r="V94" i="12"/>
  <c r="G84" i="8"/>
  <c r="G38" i="8"/>
  <c r="G26" i="8"/>
  <c r="G40" i="8"/>
  <c r="U54" i="4"/>
  <c r="AH40" i="3"/>
  <c r="U11" i="4"/>
  <c r="U29" i="4"/>
  <c r="U18" i="4"/>
  <c r="AH8" i="3"/>
  <c r="AH37" i="3"/>
  <c r="AH35" i="3"/>
  <c r="AH31" i="3"/>
  <c r="AH54" i="3"/>
  <c r="AH51" i="3"/>
  <c r="G75" i="8"/>
  <c r="V73" i="6"/>
  <c r="G75" i="15" s="1"/>
  <c r="G94" i="10"/>
  <c r="AN94" i="12"/>
  <c r="G28" i="10"/>
  <c r="V28" i="10" s="1"/>
  <c r="V26" i="12"/>
  <c r="AN26" i="12"/>
  <c r="AN26" i="15"/>
  <c r="AN23" i="15"/>
  <c r="V23" i="12"/>
  <c r="AN23" i="12"/>
  <c r="AN40" i="15"/>
  <c r="V40" i="12"/>
  <c r="AN40" i="12"/>
  <c r="V83" i="12"/>
  <c r="AN83" i="12"/>
  <c r="V82" i="12"/>
  <c r="AN82" i="12"/>
  <c r="V81" i="12"/>
  <c r="AN81" i="12"/>
  <c r="V20" i="12"/>
  <c r="AN20" i="12"/>
  <c r="AN20" i="15"/>
  <c r="V38" i="12"/>
  <c r="AN38" i="12"/>
  <c r="AN38" i="15"/>
  <c r="V83" i="10"/>
  <c r="V82" i="10"/>
  <c r="V81" i="10"/>
  <c r="G23" i="8"/>
  <c r="G23" i="10"/>
  <c r="V23" i="10" s="1"/>
  <c r="G20" i="10"/>
  <c r="V20" i="10" s="1"/>
  <c r="G20" i="8"/>
  <c r="V10" i="6"/>
  <c r="G12" i="15" s="1"/>
  <c r="V16" i="6"/>
  <c r="G18" i="15" s="1"/>
  <c r="V38" i="6"/>
  <c r="G40" i="15" s="1"/>
  <c r="V4" i="6"/>
  <c r="G6" i="15" s="1"/>
  <c r="V27" i="6"/>
  <c r="G29" i="15" s="1"/>
  <c r="V21" i="6"/>
  <c r="G23" i="15" s="1"/>
  <c r="V18" i="6"/>
  <c r="G20" i="15" s="1"/>
  <c r="F137" i="3"/>
  <c r="F139" i="3"/>
  <c r="V35" i="6"/>
  <c r="G37" i="15" s="1"/>
  <c r="V24" i="6"/>
  <c r="G26" i="15" s="1"/>
  <c r="V36" i="6"/>
  <c r="G38" i="15" s="1"/>
  <c r="F148" i="3"/>
  <c r="F145" i="3"/>
  <c r="F159" i="3"/>
  <c r="F125" i="3"/>
  <c r="F157" i="3"/>
  <c r="W37" i="12"/>
  <c r="AO37" i="12"/>
  <c r="W18" i="12"/>
  <c r="AO18" i="12"/>
  <c r="W12" i="12"/>
  <c r="AO12" i="12"/>
  <c r="W29" i="12"/>
  <c r="AO29" i="12"/>
  <c r="W26" i="12"/>
  <c r="AO26" i="12"/>
  <c r="W23" i="12"/>
  <c r="AO23" i="12"/>
  <c r="W40" i="12"/>
  <c r="AO40" i="12"/>
  <c r="W6" i="12"/>
  <c r="AO6" i="12"/>
  <c r="W20" i="12"/>
  <c r="AO20" i="12"/>
  <c r="W38" i="12"/>
  <c r="AO38" i="12"/>
  <c r="AH2" i="3"/>
  <c r="AH13" i="3"/>
  <c r="AH12" i="3"/>
  <c r="AH27" i="3"/>
  <c r="AH24" i="3"/>
  <c r="AH19" i="3"/>
  <c r="AH18" i="3"/>
  <c r="AH34" i="3"/>
  <c r="U13" i="4"/>
  <c r="U12" i="4"/>
  <c r="U3" i="4"/>
  <c r="U27" i="4"/>
  <c r="U26" i="4"/>
  <c r="U25" i="4"/>
  <c r="U24" i="4"/>
  <c r="U22" i="4"/>
  <c r="U20" i="4"/>
  <c r="U19" i="4"/>
  <c r="U40" i="4"/>
  <c r="U39" i="4"/>
  <c r="U35" i="4"/>
  <c r="U32" i="4"/>
  <c r="U55" i="4"/>
  <c r="U53" i="4"/>
  <c r="U51" i="4"/>
  <c r="U50" i="4"/>
  <c r="U49" i="4"/>
  <c r="U47" i="4"/>
  <c r="U42" i="4"/>
  <c r="U61" i="4"/>
  <c r="U60" i="4"/>
  <c r="U58" i="4"/>
  <c r="AH9" i="3"/>
  <c r="AH4" i="3"/>
  <c r="AH26" i="3"/>
  <c r="U10" i="4"/>
  <c r="U23" i="4"/>
  <c r="U36" i="4"/>
  <c r="U33" i="4"/>
  <c r="AH7" i="3"/>
  <c r="AH22" i="3"/>
  <c r="AH36" i="3"/>
  <c r="U16" i="4"/>
  <c r="U4" i="4"/>
  <c r="U21" i="4"/>
  <c r="AH11" i="3"/>
  <c r="AH28" i="3"/>
  <c r="AH20" i="3"/>
  <c r="AH32" i="3"/>
  <c r="AH30" i="3"/>
  <c r="AH53" i="3"/>
  <c r="AH50" i="3"/>
  <c r="V95" i="12"/>
  <c r="AN84" i="12"/>
  <c r="F156" i="3"/>
  <c r="F142" i="3"/>
  <c r="AH49" i="3"/>
  <c r="AH48" i="3"/>
  <c r="AH47" i="3"/>
  <c r="AH46" i="3"/>
  <c r="AH45" i="3"/>
  <c r="AH44" i="3"/>
  <c r="AH43" i="3"/>
  <c r="AH42" i="3"/>
  <c r="AH41" i="3"/>
  <c r="AH61" i="3"/>
  <c r="AH60" i="3"/>
  <c r="AH59" i="3"/>
  <c r="AH58" i="3"/>
  <c r="AH57" i="3"/>
  <c r="AH56" i="3"/>
  <c r="AH3" i="3"/>
  <c r="AH15" i="3"/>
  <c r="AH10" i="3"/>
  <c r="AH6" i="3"/>
  <c r="AH25" i="3"/>
  <c r="AH38" i="3"/>
  <c r="U15" i="4"/>
  <c r="U14" i="4"/>
  <c r="U7" i="4"/>
  <c r="U6" i="4"/>
  <c r="U5" i="4"/>
  <c r="U17" i="4"/>
  <c r="U37" i="4"/>
  <c r="U34" i="4"/>
  <c r="U31" i="4"/>
  <c r="U52" i="4"/>
  <c r="U48" i="4"/>
  <c r="U46" i="4"/>
  <c r="U45" i="4"/>
  <c r="U44" i="4"/>
  <c r="U43" i="4"/>
  <c r="U41" i="4"/>
  <c r="U59" i="4"/>
  <c r="U57" i="4"/>
  <c r="U56" i="4"/>
  <c r="C50" i="2"/>
  <c r="G88" i="10"/>
  <c r="G88" i="8"/>
  <c r="V88" i="12"/>
  <c r="AN88" i="12"/>
  <c r="G5" i="10"/>
  <c r="G5" i="8"/>
  <c r="V5" i="12"/>
  <c r="AN5" i="12"/>
  <c r="V3" i="6"/>
  <c r="G5" i="15" s="1"/>
  <c r="G5" i="12"/>
  <c r="F124" i="3"/>
  <c r="U5" i="10"/>
  <c r="E120" i="10"/>
  <c r="G19" i="10"/>
  <c r="V19" i="10" s="1"/>
  <c r="G19" i="8"/>
  <c r="V19" i="12"/>
  <c r="AN19" i="12"/>
  <c r="V17" i="6"/>
  <c r="G19" i="15" s="1"/>
  <c r="G19" i="12"/>
  <c r="F138" i="3"/>
  <c r="G15" i="10"/>
  <c r="V15" i="10" s="1"/>
  <c r="G15" i="8"/>
  <c r="V15" i="12"/>
  <c r="AN15" i="12"/>
  <c r="V13" i="6"/>
  <c r="G15" i="15" s="1"/>
  <c r="G15" i="12"/>
  <c r="F134" i="3"/>
  <c r="V12" i="6"/>
  <c r="G14" i="15" s="1"/>
  <c r="G14" i="12"/>
  <c r="F133" i="3"/>
  <c r="G8" i="10"/>
  <c r="V8" i="10" s="1"/>
  <c r="G8" i="8"/>
  <c r="V8" i="12"/>
  <c r="AN8" i="12"/>
  <c r="V6" i="6"/>
  <c r="G8" i="15" s="1"/>
  <c r="G8" i="12"/>
  <c r="F127" i="3"/>
  <c r="G31" i="10"/>
  <c r="V31" i="10" s="1"/>
  <c r="G31" i="8"/>
  <c r="V31" i="12"/>
  <c r="AN31" i="12"/>
  <c r="AN31" i="15"/>
  <c r="V29" i="6"/>
  <c r="G31" i="15" s="1"/>
  <c r="W31" i="15" s="1"/>
  <c r="G31" i="12"/>
  <c r="F150" i="3"/>
  <c r="G21" i="10"/>
  <c r="V21" i="10" s="1"/>
  <c r="G21" i="8"/>
  <c r="AN21" i="15"/>
  <c r="V21" i="12"/>
  <c r="AN21" i="12"/>
  <c r="V19" i="6"/>
  <c r="G21" i="15" s="1"/>
  <c r="W21" i="15" s="1"/>
  <c r="G21" i="12"/>
  <c r="F140" i="3"/>
  <c r="G41" i="10"/>
  <c r="V41" i="10" s="1"/>
  <c r="G41" i="8"/>
  <c r="V41" i="12"/>
  <c r="AN41" i="12"/>
  <c r="AN41" i="15"/>
  <c r="V39" i="6"/>
  <c r="G41" i="15" s="1"/>
  <c r="W41" i="15" s="1"/>
  <c r="G41" i="12"/>
  <c r="F160" i="3"/>
  <c r="G11" i="10"/>
  <c r="V11" i="10" s="1"/>
  <c r="G11" i="8"/>
  <c r="V11" i="12"/>
  <c r="AN11" i="12"/>
  <c r="V9" i="6"/>
  <c r="G11" i="15" s="1"/>
  <c r="G11" i="12"/>
  <c r="F130" i="3"/>
  <c r="G36" i="10"/>
  <c r="V36" i="10" s="1"/>
  <c r="G36" i="8"/>
  <c r="V36" i="12"/>
  <c r="AN36" i="12"/>
  <c r="AN36" i="15"/>
  <c r="V34" i="6"/>
  <c r="G36" i="15" s="1"/>
  <c r="W36" i="15" s="1"/>
  <c r="G36" i="12"/>
  <c r="F155" i="3"/>
  <c r="V33" i="6"/>
  <c r="G35" i="15" s="1"/>
  <c r="W35" i="15" s="1"/>
  <c r="G35" i="12"/>
  <c r="F154" i="3"/>
  <c r="G34" i="10"/>
  <c r="V34" i="10" s="1"/>
  <c r="G34" i="8"/>
  <c r="V34" i="12"/>
  <c r="AN34" i="12"/>
  <c r="AN34" i="15"/>
  <c r="V32" i="6"/>
  <c r="G34" i="15" s="1"/>
  <c r="W34" i="15" s="1"/>
  <c r="G34" i="12"/>
  <c r="F153" i="3"/>
  <c r="G33" i="10"/>
  <c r="V33" i="10" s="1"/>
  <c r="G33" i="8"/>
  <c r="V33" i="12"/>
  <c r="AN33" i="12"/>
  <c r="AN33" i="15"/>
  <c r="V31" i="6"/>
  <c r="G33" i="15" s="1"/>
  <c r="W33" i="15" s="1"/>
  <c r="G33" i="12"/>
  <c r="F152" i="3"/>
  <c r="G58" i="10"/>
  <c r="V58" i="10" s="1"/>
  <c r="G58" i="8"/>
  <c r="V58" i="12"/>
  <c r="AN58" i="12"/>
  <c r="AN58" i="15"/>
  <c r="V56" i="6"/>
  <c r="G58" i="15" s="1"/>
  <c r="W58" i="15" s="1"/>
  <c r="G58" i="12"/>
  <c r="F177" i="3"/>
  <c r="G70" i="10"/>
  <c r="V70" i="10" s="1"/>
  <c r="G70" i="8"/>
  <c r="V70" i="12"/>
  <c r="AN70" i="12"/>
  <c r="V68" i="6"/>
  <c r="G70" i="15" s="1"/>
  <c r="G70" i="12"/>
  <c r="F189" i="3"/>
  <c r="G69" i="10"/>
  <c r="V69" i="10" s="1"/>
  <c r="G69" i="8"/>
  <c r="V69" i="12"/>
  <c r="AN69" i="12"/>
  <c r="V67" i="6"/>
  <c r="G69" i="15" s="1"/>
  <c r="G69" i="12"/>
  <c r="F188" i="3"/>
  <c r="G67" i="10"/>
  <c r="V67" i="10" s="1"/>
  <c r="G67" i="8"/>
  <c r="V67" i="12"/>
  <c r="AN67" i="12"/>
  <c r="V65" i="6"/>
  <c r="G67" i="15" s="1"/>
  <c r="G67" i="12"/>
  <c r="F186" i="3"/>
  <c r="G66" i="10"/>
  <c r="V66" i="10" s="1"/>
  <c r="G66" i="8"/>
  <c r="V66" i="12"/>
  <c r="AN66" i="12"/>
  <c r="V64" i="6"/>
  <c r="G66" i="15" s="1"/>
  <c r="G66" i="12"/>
  <c r="F185" i="3"/>
  <c r="G79" i="10"/>
  <c r="V79" i="10" s="1"/>
  <c r="G79" i="8"/>
  <c r="V77" i="6"/>
  <c r="G79" i="15" s="1"/>
  <c r="G79" i="12"/>
  <c r="V79" i="12"/>
  <c r="AN79" i="12"/>
  <c r="G75" i="10"/>
  <c r="V75" i="10" s="1"/>
  <c r="AN75" i="12"/>
  <c r="G75" i="12"/>
  <c r="G95" i="8"/>
  <c r="AN95" i="12"/>
  <c r="G94" i="8"/>
  <c r="G84" i="10"/>
  <c r="V84" i="12"/>
  <c r="F131" i="3"/>
  <c r="V13" i="15"/>
  <c r="AN13" i="15"/>
  <c r="V16" i="15"/>
  <c r="AN16" i="15"/>
  <c r="AN7" i="15"/>
  <c r="V7" i="15"/>
  <c r="V10" i="15"/>
  <c r="AN10" i="15"/>
  <c r="V6" i="12"/>
  <c r="AN6" i="12"/>
  <c r="U126" i="10"/>
  <c r="G57" i="10"/>
  <c r="V57" i="10" s="1"/>
  <c r="G57" i="8"/>
  <c r="V57" i="12"/>
  <c r="AN57" i="12"/>
  <c r="V55" i="6"/>
  <c r="G57" i="15" s="1"/>
  <c r="W57" i="15" s="1"/>
  <c r="G57" i="12"/>
  <c r="F176" i="3"/>
  <c r="G56" i="10"/>
  <c r="V56" i="10" s="1"/>
  <c r="G56" i="8"/>
  <c r="V56" i="12"/>
  <c r="AN56" i="12"/>
  <c r="V54" i="6"/>
  <c r="G56" i="15" s="1"/>
  <c r="W56" i="15" s="1"/>
  <c r="G56" i="12"/>
  <c r="F175" i="3"/>
  <c r="G55" i="10"/>
  <c r="V55" i="10" s="1"/>
  <c r="G55" i="8"/>
  <c r="G28" i="8"/>
  <c r="V28" i="12"/>
  <c r="AN28" i="12"/>
  <c r="AN28" i="15"/>
  <c r="V26" i="6"/>
  <c r="G28" i="15" s="1"/>
  <c r="W28" i="15" s="1"/>
  <c r="G28" i="12"/>
  <c r="F147" i="3"/>
  <c r="G72" i="10"/>
  <c r="V72" i="10" s="1"/>
  <c r="G72" i="8"/>
  <c r="V72" i="12"/>
  <c r="AN72" i="12"/>
  <c r="V70" i="6"/>
  <c r="G72" i="15" s="1"/>
  <c r="G72" i="12"/>
  <c r="F191" i="3"/>
  <c r="G80" i="10"/>
  <c r="V80" i="10" s="1"/>
  <c r="G80" i="8"/>
  <c r="V80" i="12"/>
  <c r="AN80" i="12"/>
  <c r="V78" i="6"/>
  <c r="G80" i="15" s="1"/>
  <c r="G80" i="12"/>
  <c r="G76" i="10"/>
  <c r="V76" i="10" s="1"/>
  <c r="G76" i="8"/>
  <c r="V74" i="6"/>
  <c r="G76" i="15" s="1"/>
  <c r="G76" i="12"/>
  <c r="V76" i="12"/>
  <c r="AN76" i="12"/>
  <c r="G96" i="10"/>
  <c r="G96" i="8"/>
  <c r="V96" i="12"/>
  <c r="AN96" i="12"/>
  <c r="G93" i="10"/>
  <c r="G93" i="8"/>
  <c r="V93" i="12"/>
  <c r="AN93" i="12"/>
  <c r="G89" i="10"/>
  <c r="G89" i="8"/>
  <c r="V89" i="12"/>
  <c r="AN89" i="12"/>
  <c r="G22" i="10"/>
  <c r="V22" i="10" s="1"/>
  <c r="G22" i="8"/>
  <c r="V22" i="12"/>
  <c r="AN22" i="12"/>
  <c r="AN22" i="15"/>
  <c r="V20" i="6"/>
  <c r="G22" i="15" s="1"/>
  <c r="W22" i="15" s="1"/>
  <c r="G22" i="12"/>
  <c r="F141" i="3"/>
  <c r="G43" i="10"/>
  <c r="V43" i="10" s="1"/>
  <c r="G43" i="8"/>
  <c r="AN43" i="15"/>
  <c r="V43" i="12"/>
  <c r="AN43" i="12"/>
  <c r="V41" i="6"/>
  <c r="G43" i="15" s="1"/>
  <c r="W43" i="15" s="1"/>
  <c r="G43" i="12"/>
  <c r="F162" i="3"/>
  <c r="G59" i="10"/>
  <c r="V59" i="10" s="1"/>
  <c r="G59" i="8"/>
  <c r="AN59" i="15"/>
  <c r="V59" i="12"/>
  <c r="AN59" i="12"/>
  <c r="V57" i="6"/>
  <c r="G59" i="15" s="1"/>
  <c r="G59" i="12"/>
  <c r="F178" i="3"/>
  <c r="G74" i="10"/>
  <c r="V74" i="10" s="1"/>
  <c r="G74" i="8"/>
  <c r="V74" i="12"/>
  <c r="AN74" i="12"/>
  <c r="V72" i="6"/>
  <c r="G74" i="15" s="1"/>
  <c r="G74" i="12"/>
  <c r="F193" i="3"/>
  <c r="G73" i="10"/>
  <c r="V73" i="10" s="1"/>
  <c r="G73" i="8"/>
  <c r="V73" i="12"/>
  <c r="AN73" i="12"/>
  <c r="V71" i="6"/>
  <c r="G73" i="15" s="1"/>
  <c r="G73" i="12"/>
  <c r="F192" i="3"/>
  <c r="G65" i="10"/>
  <c r="V65" i="10" s="1"/>
  <c r="G65" i="8"/>
  <c r="V65" i="12"/>
  <c r="AN65" i="12"/>
  <c r="V63" i="6"/>
  <c r="G65" i="15" s="1"/>
  <c r="F184" i="3"/>
  <c r="G65" i="12"/>
  <c r="G78" i="10"/>
  <c r="V78" i="10" s="1"/>
  <c r="G78" i="8"/>
  <c r="V78" i="12"/>
  <c r="AN78" i="12"/>
  <c r="V76" i="6"/>
  <c r="G78" i="15" s="1"/>
  <c r="G78" i="12"/>
  <c r="G77" i="10"/>
  <c r="V77" i="10" s="1"/>
  <c r="G77" i="8"/>
  <c r="V75" i="6"/>
  <c r="G77" i="15" s="1"/>
  <c r="G77" i="12"/>
  <c r="V77" i="12"/>
  <c r="AN77" i="12"/>
  <c r="G92" i="10"/>
  <c r="G92" i="8"/>
  <c r="V92" i="12"/>
  <c r="AN92" i="12"/>
  <c r="G91" i="10"/>
  <c r="U125" i="10"/>
  <c r="U127" i="10"/>
  <c r="U131" i="10"/>
  <c r="U128" i="10"/>
  <c r="U129" i="10"/>
  <c r="G91" i="8"/>
  <c r="V91" i="12"/>
  <c r="AN91" i="12"/>
  <c r="G90" i="10"/>
  <c r="G90" i="8"/>
  <c r="V90" i="12"/>
  <c r="AN90" i="12"/>
  <c r="G86" i="10"/>
  <c r="G86" i="8"/>
  <c r="V86" i="12"/>
  <c r="AN86" i="12"/>
  <c r="G85" i="10"/>
  <c r="G85" i="8"/>
  <c r="V85" i="12"/>
  <c r="AN85" i="12"/>
  <c r="G13" i="10"/>
  <c r="V13" i="10" s="1"/>
  <c r="G13" i="8"/>
  <c r="V13" i="12"/>
  <c r="AN13" i="12"/>
  <c r="V11" i="6"/>
  <c r="G13" i="15" s="1"/>
  <c r="G13" i="12"/>
  <c r="F132" i="3"/>
  <c r="V14" i="6"/>
  <c r="G16" i="15" s="1"/>
  <c r="G16" i="12"/>
  <c r="F135" i="3"/>
  <c r="V16" i="12"/>
  <c r="AN16" i="12"/>
  <c r="G16" i="10"/>
  <c r="V16" i="10" s="1"/>
  <c r="G16" i="8"/>
  <c r="V28" i="6"/>
  <c r="G30" i="15" s="1"/>
  <c r="W30" i="15" s="1"/>
  <c r="G30" i="12"/>
  <c r="F149" i="3"/>
  <c r="AN30" i="15"/>
  <c r="V30" i="12"/>
  <c r="AN30" i="12"/>
  <c r="G30" i="10"/>
  <c r="V30" i="10" s="1"/>
  <c r="G30" i="8"/>
  <c r="V23" i="6"/>
  <c r="G25" i="15" s="1"/>
  <c r="W25" i="15" s="1"/>
  <c r="G25" i="12"/>
  <c r="F144" i="3"/>
  <c r="AN25" i="15"/>
  <c r="V25" i="12"/>
  <c r="AN25" i="12"/>
  <c r="G25" i="10"/>
  <c r="V25" i="10" s="1"/>
  <c r="G25" i="8"/>
  <c r="V37" i="6"/>
  <c r="G39" i="15" s="1"/>
  <c r="W39" i="15" s="1"/>
  <c r="G39" i="12"/>
  <c r="F158" i="3"/>
  <c r="V39" i="12"/>
  <c r="AN39" i="12"/>
  <c r="G39" i="10"/>
  <c r="V39" i="10" s="1"/>
  <c r="G39" i="8"/>
  <c r="V30" i="6"/>
  <c r="G32" i="15" s="1"/>
  <c r="W32" i="15" s="1"/>
  <c r="G32" i="12"/>
  <c r="F151" i="3"/>
  <c r="AN32" i="15"/>
  <c r="V32" i="12"/>
  <c r="AN32" i="12"/>
  <c r="G32" i="10"/>
  <c r="V32" i="10" s="1"/>
  <c r="G32" i="8"/>
  <c r="V22" i="6"/>
  <c r="G24" i="15" s="1"/>
  <c r="W24" i="15" s="1"/>
  <c r="G24" i="12"/>
  <c r="F143" i="3"/>
  <c r="AN24" i="15"/>
  <c r="V24" i="12"/>
  <c r="AN24" i="12"/>
  <c r="G24" i="10"/>
  <c r="V24" i="10" s="1"/>
  <c r="G24" i="8"/>
  <c r="V5" i="6"/>
  <c r="G7" i="15" s="1"/>
  <c r="G7" i="12"/>
  <c r="F126" i="3"/>
  <c r="V7" i="12"/>
  <c r="AN7" i="12"/>
  <c r="G7" i="10"/>
  <c r="V7" i="10" s="1"/>
  <c r="G7" i="8"/>
  <c r="V25" i="6"/>
  <c r="G27" i="15" s="1"/>
  <c r="W27" i="15" s="1"/>
  <c r="G27" i="12"/>
  <c r="F146" i="3"/>
  <c r="AN27" i="15"/>
  <c r="V27" i="12"/>
  <c r="AN27" i="12"/>
  <c r="G27" i="10"/>
  <c r="V27" i="10" s="1"/>
  <c r="G27" i="8"/>
  <c r="V8" i="6"/>
  <c r="G10" i="15" s="1"/>
  <c r="G10" i="12"/>
  <c r="F129" i="3"/>
  <c r="V10" i="12"/>
  <c r="AN10" i="12"/>
  <c r="G10" i="10"/>
  <c r="V10" i="10" s="1"/>
  <c r="G10" i="8"/>
  <c r="V40" i="6"/>
  <c r="G42" i="15" s="1"/>
  <c r="W42" i="15" s="1"/>
  <c r="G42" i="12"/>
  <c r="F161" i="3"/>
  <c r="V42" i="12"/>
  <c r="AN42" i="12"/>
  <c r="AN42" i="15"/>
  <c r="G42" i="10"/>
  <c r="V42" i="10" s="1"/>
  <c r="G42" i="8"/>
  <c r="E120" i="8"/>
  <c r="U130" i="10"/>
  <c r="AN6" i="15"/>
  <c r="V6" i="15"/>
  <c r="AN57" i="15"/>
  <c r="V57" i="15"/>
  <c r="AN56" i="15"/>
  <c r="V56" i="15"/>
  <c r="V17" i="15"/>
  <c r="AN17" i="15"/>
  <c r="AN9" i="15"/>
  <c r="V9" i="15"/>
  <c r="AN39" i="15"/>
  <c r="V39" i="15"/>
  <c r="G6" i="10"/>
  <c r="V6" i="10" s="1"/>
  <c r="G6" i="8"/>
  <c r="AN37" i="15"/>
  <c r="AN37" i="12"/>
  <c r="V37" i="12"/>
  <c r="AN29" i="12"/>
  <c r="V29" i="12"/>
  <c r="V55" i="12"/>
  <c r="AN55" i="12"/>
  <c r="AN55" i="15"/>
  <c r="V53" i="6"/>
  <c r="G55" i="15" s="1"/>
  <c r="W55" i="15" s="1"/>
  <c r="G55" i="12"/>
  <c r="F174" i="3"/>
  <c r="G54" i="10"/>
  <c r="V54" i="10" s="1"/>
  <c r="G54" i="8"/>
  <c r="V54" i="12"/>
  <c r="AN54" i="12"/>
  <c r="G87" i="10"/>
  <c r="G87" i="8"/>
  <c r="V87" i="12"/>
  <c r="AN87" i="12"/>
  <c r="V15" i="6"/>
  <c r="G17" i="15" s="1"/>
  <c r="G17" i="12"/>
  <c r="F136" i="3"/>
  <c r="V17" i="12"/>
  <c r="AN17" i="12"/>
  <c r="G17" i="10"/>
  <c r="V17" i="10" s="1"/>
  <c r="G17" i="8"/>
  <c r="F128" i="3"/>
  <c r="V9" i="12"/>
  <c r="AN9" i="12"/>
  <c r="G9" i="10"/>
  <c r="V9" i="10" s="1"/>
  <c r="G9" i="8"/>
  <c r="AN54" i="15"/>
  <c r="V52" i="6"/>
  <c r="G54" i="15" s="1"/>
  <c r="W54" i="15" s="1"/>
  <c r="G54" i="12"/>
  <c r="F173" i="3"/>
  <c r="G53" i="10"/>
  <c r="V53" i="10" s="1"/>
  <c r="G53" i="8"/>
  <c r="V53" i="12"/>
  <c r="AN53" i="12"/>
  <c r="AN53" i="15"/>
  <c r="V51" i="6"/>
  <c r="G53" i="15" s="1"/>
  <c r="W53" i="15" s="1"/>
  <c r="G53" i="12"/>
  <c r="F172" i="3"/>
  <c r="G52" i="10"/>
  <c r="V52" i="10" s="1"/>
  <c r="G52" i="8"/>
  <c r="V52" i="12"/>
  <c r="AN52" i="12"/>
  <c r="AN52" i="15"/>
  <c r="V50" i="6"/>
  <c r="G52" i="15" s="1"/>
  <c r="W52" i="15" s="1"/>
  <c r="G52" i="12"/>
  <c r="F171" i="3"/>
  <c r="G51" i="10"/>
  <c r="V51" i="10" s="1"/>
  <c r="G51" i="8"/>
  <c r="V51" i="12"/>
  <c r="AN51" i="12"/>
  <c r="AN51" i="15"/>
  <c r="V49" i="6"/>
  <c r="G51" i="15" s="1"/>
  <c r="W51" i="15" s="1"/>
  <c r="G51" i="12"/>
  <c r="F170" i="3"/>
  <c r="G50" i="10"/>
  <c r="V50" i="10" s="1"/>
  <c r="G50" i="8"/>
  <c r="AN50" i="15"/>
  <c r="V50" i="12"/>
  <c r="AN50" i="12"/>
  <c r="V48" i="6"/>
  <c r="G50" i="15" s="1"/>
  <c r="W50" i="15" s="1"/>
  <c r="G50" i="12"/>
  <c r="F169" i="3"/>
  <c r="G49" i="10"/>
  <c r="V49" i="10" s="1"/>
  <c r="G49" i="8"/>
  <c r="AN49" i="15"/>
  <c r="V49" i="12"/>
  <c r="AN49" i="12"/>
  <c r="V47" i="6"/>
  <c r="G49" i="15" s="1"/>
  <c r="W49" i="15" s="1"/>
  <c r="G49" i="12"/>
  <c r="F168" i="3"/>
  <c r="G48" i="10"/>
  <c r="V48" i="10" s="1"/>
  <c r="G48" i="8"/>
  <c r="V48" i="12"/>
  <c r="AN48" i="12"/>
  <c r="AN48" i="15"/>
  <c r="V46" i="6"/>
  <c r="G48" i="15" s="1"/>
  <c r="W48" i="15" s="1"/>
  <c r="G48" i="12"/>
  <c r="F167" i="3"/>
  <c r="G47" i="10"/>
  <c r="V47" i="10" s="1"/>
  <c r="G47" i="8"/>
  <c r="V47" i="12"/>
  <c r="AN47" i="12"/>
  <c r="AN47" i="15"/>
  <c r="V45" i="6"/>
  <c r="G47" i="15" s="1"/>
  <c r="W47" i="15" s="1"/>
  <c r="G47" i="12"/>
  <c r="F166" i="3"/>
  <c r="G46" i="10"/>
  <c r="V46" i="10" s="1"/>
  <c r="G46" i="8"/>
  <c r="V46" i="12"/>
  <c r="AN46" i="12"/>
  <c r="AN46" i="15"/>
  <c r="V44" i="6"/>
  <c r="G46" i="15" s="1"/>
  <c r="W46" i="15" s="1"/>
  <c r="G46" i="12"/>
  <c r="F165" i="3"/>
  <c r="G45" i="10"/>
  <c r="V45" i="10" s="1"/>
  <c r="G45" i="8"/>
  <c r="AN45" i="15"/>
  <c r="V45" i="12"/>
  <c r="AN45" i="12"/>
  <c r="V43" i="6"/>
  <c r="G45" i="15" s="1"/>
  <c r="W45" i="15" s="1"/>
  <c r="G45" i="12"/>
  <c r="F164" i="3"/>
  <c r="G44" i="10"/>
  <c r="V44" i="10" s="1"/>
  <c r="G44" i="8"/>
  <c r="AN44" i="15"/>
  <c r="V44" i="12"/>
  <c r="AN44" i="12"/>
  <c r="V42" i="6"/>
  <c r="G44" i="15" s="1"/>
  <c r="W44" i="15" s="1"/>
  <c r="G44" i="12"/>
  <c r="F163" i="3"/>
  <c r="G64" i="10"/>
  <c r="V64" i="10" s="1"/>
  <c r="G64" i="8"/>
  <c r="V64" i="12"/>
  <c r="AN64" i="12"/>
  <c r="AN64" i="15"/>
  <c r="V62" i="6"/>
  <c r="G64" i="15" s="1"/>
  <c r="G64" i="12"/>
  <c r="F183" i="3"/>
  <c r="G63" i="10"/>
  <c r="V63" i="10" s="1"/>
  <c r="G63" i="8"/>
  <c r="V63" i="12"/>
  <c r="AN63" i="12"/>
  <c r="AN63" i="15"/>
  <c r="V61" i="6"/>
  <c r="G63" i="15" s="1"/>
  <c r="G63" i="12"/>
  <c r="F182" i="3"/>
  <c r="G62" i="10"/>
  <c r="V62" i="10" s="1"/>
  <c r="G62" i="8"/>
  <c r="AN62" i="15"/>
  <c r="V62" i="12"/>
  <c r="AN62" i="12"/>
  <c r="V60" i="6"/>
  <c r="G62" i="15" s="1"/>
  <c r="G62" i="12"/>
  <c r="F181" i="3"/>
  <c r="G61" i="10"/>
  <c r="V61" i="10" s="1"/>
  <c r="G61" i="8"/>
  <c r="V61" i="12"/>
  <c r="AN61" i="12"/>
  <c r="AN61" i="15"/>
  <c r="V59" i="6"/>
  <c r="G61" i="15" s="1"/>
  <c r="G61" i="12"/>
  <c r="F180" i="3"/>
  <c r="G60" i="10"/>
  <c r="V60" i="10" s="1"/>
  <c r="G60" i="8"/>
  <c r="AN60" i="15"/>
  <c r="V60" i="12"/>
  <c r="AN60" i="12"/>
  <c r="V58" i="6"/>
  <c r="G60" i="15" s="1"/>
  <c r="G60" i="12"/>
  <c r="F179" i="3"/>
  <c r="G71" i="10"/>
  <c r="V71" i="10" s="1"/>
  <c r="G71" i="8"/>
  <c r="V71" i="12"/>
  <c r="AN71" i="12"/>
  <c r="V69" i="6"/>
  <c r="G71" i="15" s="1"/>
  <c r="G71" i="12"/>
  <c r="F190" i="3"/>
  <c r="G68" i="10"/>
  <c r="V68" i="10" s="1"/>
  <c r="G68" i="8"/>
  <c r="V68" i="12"/>
  <c r="AN68" i="12"/>
  <c r="V66" i="6"/>
  <c r="G68" i="15" s="1"/>
  <c r="G68" i="12"/>
  <c r="F187" i="3"/>
  <c r="V7" i="6"/>
  <c r="G9" i="15" s="1"/>
  <c r="G9" i="12"/>
  <c r="V71" i="15" l="1"/>
  <c r="U77" i="15"/>
  <c r="U78" i="15"/>
  <c r="U76" i="15"/>
  <c r="U79" i="15"/>
  <c r="V65" i="15"/>
  <c r="V73" i="15"/>
  <c r="V74" i="15"/>
  <c r="U80" i="15"/>
  <c r="V72" i="15"/>
  <c r="V68" i="15"/>
  <c r="U75" i="15"/>
  <c r="V66" i="15"/>
  <c r="V67" i="15"/>
  <c r="V69" i="15"/>
  <c r="V70" i="15"/>
  <c r="T94" i="15"/>
  <c r="T88" i="15"/>
  <c r="T93" i="15"/>
  <c r="T87" i="15"/>
  <c r="T95" i="15"/>
  <c r="T92" i="15"/>
  <c r="T86" i="15"/>
  <c r="T83" i="15"/>
  <c r="T90" i="15"/>
  <c r="T85" i="15"/>
  <c r="T82" i="15"/>
  <c r="T81" i="15"/>
  <c r="T96" i="15"/>
  <c r="T84" i="15"/>
  <c r="T89" i="15"/>
  <c r="T91" i="15"/>
  <c r="D12" i="14"/>
  <c r="Q13" i="15" s="1"/>
  <c r="F12" i="14"/>
  <c r="AI13" i="15" s="1"/>
  <c r="E12" i="14"/>
  <c r="R13" i="15" s="1"/>
  <c r="G12" i="14"/>
  <c r="AJ13" i="15" s="1"/>
  <c r="AM83" i="15" s="1"/>
  <c r="C13" i="14"/>
  <c r="AM76" i="15"/>
  <c r="AM77" i="15"/>
  <c r="AM78" i="15"/>
  <c r="AM75" i="15"/>
  <c r="AM80" i="15"/>
  <c r="AM79" i="15"/>
  <c r="AL94" i="15"/>
  <c r="AL86" i="15"/>
  <c r="AL96" i="15"/>
  <c r="AL85" i="15"/>
  <c r="AL90" i="15"/>
  <c r="AL87" i="15"/>
  <c r="AL89" i="15"/>
  <c r="AL83" i="15"/>
  <c r="AL92" i="15"/>
  <c r="AL95" i="15"/>
  <c r="AL91" i="15"/>
  <c r="AL93" i="15"/>
  <c r="AL84" i="15"/>
  <c r="AL81" i="15"/>
  <c r="AL82" i="15"/>
  <c r="AL88" i="15"/>
  <c r="AH18" i="15"/>
  <c r="P18" i="15"/>
  <c r="A18" i="14"/>
  <c r="AN70" i="15"/>
  <c r="AN69" i="15"/>
  <c r="AN67" i="15"/>
  <c r="AN66" i="15"/>
  <c r="W59" i="15"/>
  <c r="AN65" i="15"/>
  <c r="AN74" i="15"/>
  <c r="AN72" i="15"/>
  <c r="AN73" i="15"/>
  <c r="W64" i="15"/>
  <c r="W63" i="15"/>
  <c r="W62" i="15"/>
  <c r="W61" i="15"/>
  <c r="W60" i="15"/>
  <c r="AN71" i="15"/>
  <c r="AN68" i="15"/>
  <c r="W18" i="15"/>
  <c r="AO20" i="15"/>
  <c r="W37" i="15"/>
  <c r="AO38" i="15"/>
  <c r="H18" i="12"/>
  <c r="AO26" i="15"/>
  <c r="AO12" i="15"/>
  <c r="W12" i="15"/>
  <c r="AO18" i="15"/>
  <c r="AO40" i="15"/>
  <c r="W40" i="15"/>
  <c r="AO6" i="15"/>
  <c r="W6" i="15"/>
  <c r="AO29" i="15"/>
  <c r="W29" i="15"/>
  <c r="AO23" i="15"/>
  <c r="W23" i="15"/>
  <c r="W20" i="15"/>
  <c r="AO37" i="15"/>
  <c r="W26" i="15"/>
  <c r="W38" i="15"/>
  <c r="H29" i="12"/>
  <c r="H26" i="12"/>
  <c r="H40" i="12"/>
  <c r="H6" i="12"/>
  <c r="H20" i="12"/>
  <c r="H38" i="12"/>
  <c r="G148" i="3"/>
  <c r="I29" i="12" s="1"/>
  <c r="G139" i="3"/>
  <c r="H37" i="10"/>
  <c r="W37" i="10" s="1"/>
  <c r="H12" i="10"/>
  <c r="W12" i="10" s="1"/>
  <c r="H12" i="8"/>
  <c r="H18" i="10"/>
  <c r="W18" i="10" s="1"/>
  <c r="H18" i="8"/>
  <c r="H40" i="8"/>
  <c r="H6" i="10"/>
  <c r="W6" i="10" s="1"/>
  <c r="H26" i="10"/>
  <c r="W26" i="10" s="1"/>
  <c r="H26" i="8"/>
  <c r="H29" i="8"/>
  <c r="H23" i="10"/>
  <c r="W23" i="10" s="1"/>
  <c r="H20" i="10"/>
  <c r="W20" i="10" s="1"/>
  <c r="H38" i="10"/>
  <c r="W38" i="10" s="1"/>
  <c r="W24" i="6"/>
  <c r="H26" i="15" s="1"/>
  <c r="W38" i="6"/>
  <c r="H40" i="15" s="1"/>
  <c r="W36" i="6"/>
  <c r="H38" i="15" s="1"/>
  <c r="X38" i="15" s="1"/>
  <c r="W16" i="6"/>
  <c r="H18" i="15" s="1"/>
  <c r="W27" i="6"/>
  <c r="H29" i="15" s="1"/>
  <c r="X29" i="15" s="1"/>
  <c r="H37" i="8"/>
  <c r="H40" i="10"/>
  <c r="W40" i="10" s="1"/>
  <c r="H6" i="8"/>
  <c r="H29" i="10"/>
  <c r="W29" i="10" s="1"/>
  <c r="H23" i="8"/>
  <c r="H20" i="8"/>
  <c r="H38" i="8"/>
  <c r="W18" i="6"/>
  <c r="H20" i="15" s="1"/>
  <c r="W4" i="6"/>
  <c r="H6" i="15" s="1"/>
  <c r="X27" i="6"/>
  <c r="I29" i="15" s="1"/>
  <c r="Y29" i="15" s="1"/>
  <c r="AI14" i="3"/>
  <c r="AI7" i="3"/>
  <c r="AI22" i="3"/>
  <c r="AI40" i="3"/>
  <c r="AI38" i="3"/>
  <c r="AI36" i="3"/>
  <c r="V11" i="4"/>
  <c r="V10" i="4"/>
  <c r="V6" i="4"/>
  <c r="V29" i="4"/>
  <c r="V28" i="4"/>
  <c r="V21" i="4"/>
  <c r="V18" i="4"/>
  <c r="V17" i="4"/>
  <c r="V37" i="4"/>
  <c r="V36" i="4"/>
  <c r="V33" i="4"/>
  <c r="V30" i="4"/>
  <c r="V54" i="4"/>
  <c r="V52" i="4"/>
  <c r="V46" i="4"/>
  <c r="V45" i="4"/>
  <c r="V44" i="4"/>
  <c r="V43" i="4"/>
  <c r="V41" i="4"/>
  <c r="AI16" i="3"/>
  <c r="AI15" i="3"/>
  <c r="AI5" i="3"/>
  <c r="AI24" i="3"/>
  <c r="AI19" i="3"/>
  <c r="AI17" i="3"/>
  <c r="AI39" i="3"/>
  <c r="AI37" i="3"/>
  <c r="AI34" i="3"/>
  <c r="V2" i="4"/>
  <c r="V15" i="4"/>
  <c r="V14" i="4"/>
  <c r="V8" i="4"/>
  <c r="V25" i="4"/>
  <c r="V24" i="4"/>
  <c r="V34" i="4"/>
  <c r="V31" i="4"/>
  <c r="V53" i="4"/>
  <c r="V50" i="4"/>
  <c r="V48" i="4"/>
  <c r="AI2" i="3"/>
  <c r="AI11" i="3"/>
  <c r="AI10" i="3"/>
  <c r="AI9" i="3"/>
  <c r="AI8" i="3"/>
  <c r="AI6" i="3"/>
  <c r="AI28" i="3"/>
  <c r="AI27" i="3"/>
  <c r="AI25" i="3"/>
  <c r="AI23" i="3"/>
  <c r="AI20" i="3"/>
  <c r="AI33" i="3"/>
  <c r="V16" i="4"/>
  <c r="V9" i="4"/>
  <c r="V7" i="4"/>
  <c r="V5" i="4"/>
  <c r="V27" i="4"/>
  <c r="V26" i="4"/>
  <c r="V23" i="4"/>
  <c r="V22" i="4"/>
  <c r="AO5" i="15"/>
  <c r="W5" i="15"/>
  <c r="W19" i="15"/>
  <c r="AO19" i="15"/>
  <c r="W15" i="15"/>
  <c r="AO15" i="15"/>
  <c r="AO14" i="15"/>
  <c r="W14" i="15"/>
  <c r="W8" i="15"/>
  <c r="AO8" i="15"/>
  <c r="W11" i="15"/>
  <c r="AO11" i="15"/>
  <c r="V20" i="4"/>
  <c r="AI3" i="3"/>
  <c r="AI13" i="3"/>
  <c r="AI12" i="3"/>
  <c r="AI29" i="3"/>
  <c r="AI26" i="3"/>
  <c r="AI21" i="3"/>
  <c r="AI18" i="3"/>
  <c r="AI32" i="3"/>
  <c r="AI31" i="3"/>
  <c r="AI30" i="3"/>
  <c r="AI55" i="3"/>
  <c r="AI54" i="3"/>
  <c r="AI53" i="3"/>
  <c r="AI52" i="3"/>
  <c r="AI51" i="3"/>
  <c r="AI50" i="3"/>
  <c r="AI49" i="3"/>
  <c r="AI48" i="3"/>
  <c r="AI47" i="3"/>
  <c r="AI46" i="3"/>
  <c r="AI45" i="3"/>
  <c r="AI44" i="3"/>
  <c r="AI43" i="3"/>
  <c r="AI42" i="3"/>
  <c r="AI41" i="3"/>
  <c r="AI4" i="3"/>
  <c r="AI35" i="3"/>
  <c r="V13" i="4"/>
  <c r="V12" i="4"/>
  <c r="V4" i="4"/>
  <c r="V3" i="4"/>
  <c r="V19" i="4"/>
  <c r="V40" i="4"/>
  <c r="V39" i="4"/>
  <c r="V38" i="4"/>
  <c r="V35" i="4"/>
  <c r="V32" i="4"/>
  <c r="V55" i="4"/>
  <c r="V51" i="4"/>
  <c r="V49" i="4"/>
  <c r="V47" i="4"/>
  <c r="V42" i="4"/>
  <c r="C51" i="2"/>
  <c r="W37" i="4" s="1"/>
  <c r="V88" i="10"/>
  <c r="V5" i="10"/>
  <c r="H5" i="10"/>
  <c r="H5" i="8"/>
  <c r="W5" i="12"/>
  <c r="AO5" i="12"/>
  <c r="W3" i="6"/>
  <c r="H5" i="15" s="1"/>
  <c r="H5" i="12"/>
  <c r="G124" i="3"/>
  <c r="T119" i="10"/>
  <c r="U124" i="10"/>
  <c r="F110" i="10"/>
  <c r="F111" i="10"/>
  <c r="F112" i="10"/>
  <c r="F113" i="10"/>
  <c r="F114" i="10"/>
  <c r="F115" i="10"/>
  <c r="F116" i="10"/>
  <c r="F117" i="10"/>
  <c r="F118" i="10"/>
  <c r="H19" i="10"/>
  <c r="W19" i="10" s="1"/>
  <c r="H19" i="8"/>
  <c r="W19" i="12"/>
  <c r="AO19" i="12"/>
  <c r="W17" i="6"/>
  <c r="H19" i="15" s="1"/>
  <c r="H19" i="12"/>
  <c r="G138" i="3"/>
  <c r="H15" i="10"/>
  <c r="W15" i="10" s="1"/>
  <c r="H15" i="8"/>
  <c r="W15" i="12"/>
  <c r="AO15" i="12"/>
  <c r="W13" i="6"/>
  <c r="H15" i="15" s="1"/>
  <c r="H15" i="12"/>
  <c r="G134" i="3"/>
  <c r="H14" i="10"/>
  <c r="W14" i="10" s="1"/>
  <c r="H14" i="8"/>
  <c r="W14" i="12"/>
  <c r="AO14" i="12"/>
  <c r="W12" i="6"/>
  <c r="H14" i="15" s="1"/>
  <c r="H14" i="12"/>
  <c r="G133" i="3"/>
  <c r="H8" i="10"/>
  <c r="W8" i="10" s="1"/>
  <c r="H8" i="8"/>
  <c r="W8" i="12"/>
  <c r="AO8" i="12"/>
  <c r="W6" i="6"/>
  <c r="H8" i="15" s="1"/>
  <c r="H8" i="12"/>
  <c r="G127" i="3"/>
  <c r="H31" i="10"/>
  <c r="W31" i="10" s="1"/>
  <c r="H31" i="8"/>
  <c r="W31" i="12"/>
  <c r="AO31" i="12"/>
  <c r="AO31" i="15"/>
  <c r="W29" i="6"/>
  <c r="H31" i="15" s="1"/>
  <c r="X31" i="15" s="1"/>
  <c r="H31" i="12"/>
  <c r="G150" i="3"/>
  <c r="H21" i="10"/>
  <c r="W21" i="10" s="1"/>
  <c r="H21" i="8"/>
  <c r="W21" i="12"/>
  <c r="AO21" i="12"/>
  <c r="AO21" i="15"/>
  <c r="W19" i="6"/>
  <c r="H21" i="15" s="1"/>
  <c r="X21" i="15" s="1"/>
  <c r="H21" i="12"/>
  <c r="G140" i="3"/>
  <c r="H41" i="10"/>
  <c r="W41" i="10" s="1"/>
  <c r="H41" i="8"/>
  <c r="AO41" i="15"/>
  <c r="W41" i="12"/>
  <c r="AO41" i="12"/>
  <c r="W39" i="6"/>
  <c r="H41" i="15" s="1"/>
  <c r="X41" i="15" s="1"/>
  <c r="H41" i="12"/>
  <c r="G160" i="3"/>
  <c r="H11" i="10"/>
  <c r="W11" i="10" s="1"/>
  <c r="H11" i="8"/>
  <c r="W11" i="12"/>
  <c r="AO11" i="12"/>
  <c r="W9" i="6"/>
  <c r="H11" i="15" s="1"/>
  <c r="H11" i="12"/>
  <c r="G130" i="3"/>
  <c r="H36" i="10"/>
  <c r="W36" i="10" s="1"/>
  <c r="H36" i="8"/>
  <c r="W36" i="12"/>
  <c r="AO36" i="12"/>
  <c r="AO36" i="15"/>
  <c r="W34" i="6"/>
  <c r="H36" i="15" s="1"/>
  <c r="X36" i="15" s="1"/>
  <c r="H36" i="12"/>
  <c r="G155" i="3"/>
  <c r="H35" i="10"/>
  <c r="W35" i="10" s="1"/>
  <c r="H35" i="8"/>
  <c r="AO35" i="15"/>
  <c r="W35" i="12"/>
  <c r="AO35" i="12"/>
  <c r="W33" i="6"/>
  <c r="H35" i="15" s="1"/>
  <c r="X35" i="15" s="1"/>
  <c r="H35" i="12"/>
  <c r="G154" i="3"/>
  <c r="H34" i="10"/>
  <c r="W34" i="10" s="1"/>
  <c r="H34" i="8"/>
  <c r="W34" i="12"/>
  <c r="AO34" i="12"/>
  <c r="AO34" i="15"/>
  <c r="W32" i="6"/>
  <c r="H34" i="15" s="1"/>
  <c r="X34" i="15" s="1"/>
  <c r="H34" i="12"/>
  <c r="G153" i="3"/>
  <c r="H33" i="10"/>
  <c r="W33" i="10" s="1"/>
  <c r="H33" i="8"/>
  <c r="AO33" i="15"/>
  <c r="W33" i="12"/>
  <c r="AO33" i="12"/>
  <c r="W31" i="6"/>
  <c r="H33" i="15" s="1"/>
  <c r="X33" i="15" s="1"/>
  <c r="H33" i="12"/>
  <c r="G152" i="3"/>
  <c r="H58" i="10"/>
  <c r="W58" i="10" s="1"/>
  <c r="H58" i="8"/>
  <c r="W58" i="12"/>
  <c r="AO58" i="12"/>
  <c r="AO58" i="15"/>
  <c r="W56" i="6"/>
  <c r="H58" i="15" s="1"/>
  <c r="X58" i="15" s="1"/>
  <c r="H58" i="12"/>
  <c r="G177" i="3"/>
  <c r="H57" i="10"/>
  <c r="W57" i="10" s="1"/>
  <c r="H57" i="8"/>
  <c r="AO57" i="15"/>
  <c r="W57" i="12"/>
  <c r="AO57" i="12"/>
  <c r="W55" i="6"/>
  <c r="H57" i="15" s="1"/>
  <c r="X57" i="15" s="1"/>
  <c r="H57" i="12"/>
  <c r="G176" i="3"/>
  <c r="H56" i="10"/>
  <c r="W56" i="10" s="1"/>
  <c r="H56" i="8"/>
  <c r="W56" i="12"/>
  <c r="AO56" i="12"/>
  <c r="AO56" i="15"/>
  <c r="W54" i="6"/>
  <c r="H56" i="15" s="1"/>
  <c r="X56" i="15" s="1"/>
  <c r="H56" i="12"/>
  <c r="G175" i="3"/>
  <c r="H70" i="10"/>
  <c r="W70" i="10" s="1"/>
  <c r="H70" i="8"/>
  <c r="W70" i="12"/>
  <c r="AO70" i="12"/>
  <c r="W68" i="6"/>
  <c r="H70" i="15" s="1"/>
  <c r="H70" i="12"/>
  <c r="H69" i="10"/>
  <c r="W69" i="10" s="1"/>
  <c r="H69" i="8"/>
  <c r="W69" i="12"/>
  <c r="AO69" i="12"/>
  <c r="W67" i="6"/>
  <c r="H69" i="15" s="1"/>
  <c r="H69" i="12"/>
  <c r="H67" i="10"/>
  <c r="W67" i="10" s="1"/>
  <c r="H67" i="8"/>
  <c r="W67" i="12"/>
  <c r="AO67" i="12"/>
  <c r="W65" i="6"/>
  <c r="H67" i="15" s="1"/>
  <c r="H67" i="12"/>
  <c r="H66" i="10"/>
  <c r="W66" i="10" s="1"/>
  <c r="H66" i="8"/>
  <c r="W66" i="12"/>
  <c r="AO66" i="12"/>
  <c r="W64" i="6"/>
  <c r="H66" i="15" s="1"/>
  <c r="H66" i="12"/>
  <c r="H79" i="10"/>
  <c r="H79" i="8"/>
  <c r="W79" i="12"/>
  <c r="AO79" i="12"/>
  <c r="H75" i="10"/>
  <c r="H75" i="8"/>
  <c r="W75" i="12"/>
  <c r="AO75" i="12"/>
  <c r="V95" i="10"/>
  <c r="V94" i="10"/>
  <c r="V84" i="10"/>
  <c r="H28" i="10"/>
  <c r="W28" i="10" s="1"/>
  <c r="H28" i="8"/>
  <c r="W28" i="12"/>
  <c r="AO28" i="12"/>
  <c r="AO28" i="15"/>
  <c r="W26" i="6"/>
  <c r="H28" i="15" s="1"/>
  <c r="X28" i="15" s="1"/>
  <c r="H28" i="12"/>
  <c r="G147" i="3"/>
  <c r="H72" i="10"/>
  <c r="W72" i="10" s="1"/>
  <c r="H72" i="8"/>
  <c r="W72" i="12"/>
  <c r="AO72" i="12"/>
  <c r="W70" i="6"/>
  <c r="H72" i="15" s="1"/>
  <c r="H72" i="12"/>
  <c r="H80" i="10"/>
  <c r="H80" i="8"/>
  <c r="W80" i="12"/>
  <c r="AO80" i="12"/>
  <c r="H76" i="10"/>
  <c r="H76" i="8"/>
  <c r="W76" i="12"/>
  <c r="AO76" i="12"/>
  <c r="V96" i="10"/>
  <c r="V93" i="10"/>
  <c r="V89" i="10"/>
  <c r="H22" i="10"/>
  <c r="W22" i="10" s="1"/>
  <c r="H22" i="8"/>
  <c r="AO22" i="15"/>
  <c r="W22" i="12"/>
  <c r="AO22" i="12"/>
  <c r="W20" i="6"/>
  <c r="H22" i="15" s="1"/>
  <c r="X22" i="15" s="1"/>
  <c r="H22" i="12"/>
  <c r="G141" i="3"/>
  <c r="H43" i="10"/>
  <c r="W43" i="10" s="1"/>
  <c r="H43" i="8"/>
  <c r="W43" i="12"/>
  <c r="AO43" i="12"/>
  <c r="AO43" i="15"/>
  <c r="W41" i="6"/>
  <c r="H43" i="15" s="1"/>
  <c r="X43" i="15" s="1"/>
  <c r="H43" i="12"/>
  <c r="G162" i="3"/>
  <c r="H59" i="10"/>
  <c r="W59" i="10" s="1"/>
  <c r="H59" i="8"/>
  <c r="W59" i="12"/>
  <c r="AO59" i="12"/>
  <c r="AO59" i="15"/>
  <c r="W57" i="6"/>
  <c r="H59" i="15" s="1"/>
  <c r="H59" i="12"/>
  <c r="G178" i="3"/>
  <c r="H74" i="10"/>
  <c r="W74" i="10" s="1"/>
  <c r="H74" i="8"/>
  <c r="V87" i="10"/>
  <c r="H13" i="10"/>
  <c r="W13" i="10" s="1"/>
  <c r="H13" i="8"/>
  <c r="W13" i="12"/>
  <c r="AO13" i="12"/>
  <c r="W11" i="6"/>
  <c r="H13" i="15" s="1"/>
  <c r="H13" i="12"/>
  <c r="G132" i="3"/>
  <c r="H16" i="10"/>
  <c r="W16" i="10" s="1"/>
  <c r="H16" i="8"/>
  <c r="W16" i="12"/>
  <c r="AO16" i="12"/>
  <c r="W14" i="6"/>
  <c r="H16" i="15" s="1"/>
  <c r="H16" i="12"/>
  <c r="G135" i="3"/>
  <c r="H9" i="10"/>
  <c r="W9" i="10" s="1"/>
  <c r="H9" i="8"/>
  <c r="W9" i="12"/>
  <c r="AO9" i="12"/>
  <c r="H30" i="10"/>
  <c r="W30" i="10" s="1"/>
  <c r="H30" i="8"/>
  <c r="W30" i="12"/>
  <c r="H42" i="10"/>
  <c r="W42" i="10" s="1"/>
  <c r="H42" i="8"/>
  <c r="W42" i="12"/>
  <c r="AO42" i="12"/>
  <c r="AO42" i="15"/>
  <c r="W40" i="6"/>
  <c r="H42" i="15" s="1"/>
  <c r="X42" i="15" s="1"/>
  <c r="H42" i="12"/>
  <c r="G161" i="3"/>
  <c r="G156" i="3"/>
  <c r="H37" i="12"/>
  <c r="W35" i="6"/>
  <c r="H37" i="15" s="1"/>
  <c r="X37" i="15" s="1"/>
  <c r="H12" i="12"/>
  <c r="W10" i="6"/>
  <c r="H12" i="15" s="1"/>
  <c r="G142" i="3"/>
  <c r="H23" i="12"/>
  <c r="W21" i="6"/>
  <c r="H23" i="15" s="1"/>
  <c r="X23" i="15" s="1"/>
  <c r="F118" i="8"/>
  <c r="F117" i="8"/>
  <c r="F116" i="8"/>
  <c r="F115" i="8"/>
  <c r="F114" i="8"/>
  <c r="F113" i="8"/>
  <c r="F111" i="8"/>
  <c r="F110" i="8"/>
  <c r="G137" i="3"/>
  <c r="G125" i="3"/>
  <c r="G157" i="3"/>
  <c r="G131" i="3"/>
  <c r="F112" i="8"/>
  <c r="G145" i="3"/>
  <c r="G159" i="3"/>
  <c r="W13" i="15"/>
  <c r="AO13" i="15"/>
  <c r="W16" i="15"/>
  <c r="AO16" i="15"/>
  <c r="W7" i="15"/>
  <c r="AO7" i="15"/>
  <c r="W10" i="15"/>
  <c r="AO10" i="15"/>
  <c r="W74" i="12"/>
  <c r="W72" i="6"/>
  <c r="H74" i="15" s="1"/>
  <c r="H73" i="8"/>
  <c r="H65" i="10"/>
  <c r="W65" i="10" s="1"/>
  <c r="H65" i="12"/>
  <c r="H78" i="8"/>
  <c r="AO78" i="12"/>
  <c r="AO77" i="12"/>
  <c r="V86" i="10"/>
  <c r="H74" i="12"/>
  <c r="W73" i="12"/>
  <c r="W71" i="6"/>
  <c r="H73" i="15" s="1"/>
  <c r="W63" i="6"/>
  <c r="H65" i="15" s="1"/>
  <c r="AO65" i="12"/>
  <c r="W78" i="12"/>
  <c r="H77" i="10"/>
  <c r="V90" i="10"/>
  <c r="H78" i="10"/>
  <c r="W77" i="12"/>
  <c r="V91" i="10"/>
  <c r="V85" i="10"/>
  <c r="AO74" i="12"/>
  <c r="H73" i="10"/>
  <c r="W73" i="10" s="1"/>
  <c r="AO73" i="12"/>
  <c r="H73" i="12"/>
  <c r="H65" i="8"/>
  <c r="W65" i="12"/>
  <c r="H77" i="8"/>
  <c r="V92" i="10"/>
  <c r="AO30" i="12"/>
  <c r="AO30" i="15"/>
  <c r="W28" i="6"/>
  <c r="H30" i="15" s="1"/>
  <c r="X30" i="15" s="1"/>
  <c r="H30" i="12"/>
  <c r="G149" i="3"/>
  <c r="H25" i="10"/>
  <c r="W25" i="10" s="1"/>
  <c r="H25" i="8"/>
  <c r="W25" i="12"/>
  <c r="AO25" i="12"/>
  <c r="AO25" i="15"/>
  <c r="W23" i="6"/>
  <c r="H25" i="15" s="1"/>
  <c r="X25" i="15" s="1"/>
  <c r="H25" i="12"/>
  <c r="G144" i="3"/>
  <c r="H39" i="10"/>
  <c r="W39" i="10" s="1"/>
  <c r="H39" i="8"/>
  <c r="W39" i="12"/>
  <c r="AO39" i="12"/>
  <c r="AO39" i="15"/>
  <c r="W37" i="6"/>
  <c r="H39" i="15" s="1"/>
  <c r="X39" i="15" s="1"/>
  <c r="H39" i="12"/>
  <c r="G158" i="3"/>
  <c r="H32" i="10"/>
  <c r="W32" i="10" s="1"/>
  <c r="H32" i="8"/>
  <c r="W32" i="12"/>
  <c r="AO32" i="12"/>
  <c r="AO32" i="15"/>
  <c r="W30" i="6"/>
  <c r="H32" i="15" s="1"/>
  <c r="X32" i="15" s="1"/>
  <c r="H32" i="12"/>
  <c r="G151" i="3"/>
  <c r="H24" i="10"/>
  <c r="W24" i="10" s="1"/>
  <c r="H24" i="8"/>
  <c r="W24" i="12"/>
  <c r="AO24" i="12"/>
  <c r="AO24" i="15"/>
  <c r="W22" i="6"/>
  <c r="H24" i="15" s="1"/>
  <c r="X24" i="15" s="1"/>
  <c r="H24" i="12"/>
  <c r="G143" i="3"/>
  <c r="H7" i="10"/>
  <c r="W7" i="10" s="1"/>
  <c r="H7" i="8"/>
  <c r="W7" i="12"/>
  <c r="AO7" i="12"/>
  <c r="W5" i="6"/>
  <c r="H7" i="15" s="1"/>
  <c r="H7" i="12"/>
  <c r="G126" i="3"/>
  <c r="H27" i="10"/>
  <c r="W27" i="10" s="1"/>
  <c r="H27" i="8"/>
  <c r="W27" i="12"/>
  <c r="AO27" i="12"/>
  <c r="AO27" i="15"/>
  <c r="W25" i="6"/>
  <c r="H27" i="15" s="1"/>
  <c r="X27" i="15" s="1"/>
  <c r="H27" i="12"/>
  <c r="G146" i="3"/>
  <c r="H10" i="10"/>
  <c r="W10" i="10" s="1"/>
  <c r="H10" i="8"/>
  <c r="W10" i="12"/>
  <c r="AO10" i="12"/>
  <c r="W8" i="6"/>
  <c r="H10" i="15" s="1"/>
  <c r="H10" i="12"/>
  <c r="G129" i="3"/>
  <c r="V125" i="10"/>
  <c r="V126" i="10"/>
  <c r="V130" i="10"/>
  <c r="W17" i="15"/>
  <c r="AO17" i="15"/>
  <c r="AO9" i="15"/>
  <c r="W9" i="15"/>
  <c r="X5" i="15"/>
  <c r="AP5" i="15"/>
  <c r="F120" i="10"/>
  <c r="G103" i="10" s="1"/>
  <c r="H55" i="10"/>
  <c r="W55" i="10" s="1"/>
  <c r="H55" i="8"/>
  <c r="AO55" i="15"/>
  <c r="W55" i="12"/>
  <c r="AO55" i="12"/>
  <c r="W53" i="6"/>
  <c r="H55" i="15" s="1"/>
  <c r="X55" i="15" s="1"/>
  <c r="H55" i="12"/>
  <c r="G174" i="3"/>
  <c r="H17" i="10"/>
  <c r="W17" i="10" s="1"/>
  <c r="H17" i="8"/>
  <c r="W17" i="12"/>
  <c r="AO17" i="12"/>
  <c r="W15" i="6"/>
  <c r="H17" i="15" s="1"/>
  <c r="H17" i="12"/>
  <c r="G136" i="3"/>
  <c r="W7" i="6"/>
  <c r="H9" i="15" s="1"/>
  <c r="H9" i="12"/>
  <c r="G128" i="3"/>
  <c r="V128" i="10"/>
  <c r="V129" i="10"/>
  <c r="V127" i="10"/>
  <c r="H54" i="10"/>
  <c r="W54" i="10" s="1"/>
  <c r="H54" i="8"/>
  <c r="W54" i="12"/>
  <c r="AO54" i="12"/>
  <c r="AO54" i="15"/>
  <c r="W52" i="6"/>
  <c r="H54" i="15" s="1"/>
  <c r="X54" i="15" s="1"/>
  <c r="H54" i="12"/>
  <c r="G173" i="3"/>
  <c r="H53" i="10"/>
  <c r="W53" i="10" s="1"/>
  <c r="H53" i="8"/>
  <c r="AO53" i="15"/>
  <c r="W53" i="12"/>
  <c r="AO53" i="12"/>
  <c r="W51" i="6"/>
  <c r="H53" i="15" s="1"/>
  <c r="X53" i="15" s="1"/>
  <c r="H53" i="12"/>
  <c r="G172" i="3"/>
  <c r="H52" i="10"/>
  <c r="W52" i="10" s="1"/>
  <c r="H52" i="8"/>
  <c r="AO52" i="15"/>
  <c r="W52" i="12"/>
  <c r="AO52" i="12"/>
  <c r="W50" i="6"/>
  <c r="H52" i="15" s="1"/>
  <c r="X52" i="15" s="1"/>
  <c r="H52" i="12"/>
  <c r="G171" i="3"/>
  <c r="H51" i="10"/>
  <c r="W51" i="10" s="1"/>
  <c r="H51" i="8"/>
  <c r="AO51" i="15"/>
  <c r="W51" i="12"/>
  <c r="AO51" i="12"/>
  <c r="W49" i="6"/>
  <c r="H51" i="15" s="1"/>
  <c r="X51" i="15" s="1"/>
  <c r="H51" i="12"/>
  <c r="G170" i="3"/>
  <c r="H50" i="10"/>
  <c r="W50" i="10" s="1"/>
  <c r="H50" i="8"/>
  <c r="W50" i="12"/>
  <c r="AO50" i="12"/>
  <c r="AO50" i="15"/>
  <c r="W48" i="6"/>
  <c r="H50" i="15" s="1"/>
  <c r="X50" i="15" s="1"/>
  <c r="H50" i="12"/>
  <c r="G169" i="3"/>
  <c r="H49" i="10"/>
  <c r="W49" i="10" s="1"/>
  <c r="H49" i="8"/>
  <c r="W49" i="12"/>
  <c r="AO49" i="12"/>
  <c r="AO49" i="15"/>
  <c r="W47" i="6"/>
  <c r="H49" i="15" s="1"/>
  <c r="X49" i="15" s="1"/>
  <c r="H49" i="12"/>
  <c r="G168" i="3"/>
  <c r="H48" i="10"/>
  <c r="W48" i="10" s="1"/>
  <c r="H48" i="8"/>
  <c r="AO48" i="15"/>
  <c r="W48" i="12"/>
  <c r="AO48" i="12"/>
  <c r="W46" i="6"/>
  <c r="H48" i="15" s="1"/>
  <c r="X48" i="15" s="1"/>
  <c r="H48" i="12"/>
  <c r="G167" i="3"/>
  <c r="H47" i="10"/>
  <c r="W47" i="10" s="1"/>
  <c r="H47" i="8"/>
  <c r="W47" i="12"/>
  <c r="AO47" i="12"/>
  <c r="AO47" i="15"/>
  <c r="W45" i="6"/>
  <c r="H47" i="15" s="1"/>
  <c r="X47" i="15" s="1"/>
  <c r="H47" i="12"/>
  <c r="G166" i="3"/>
  <c r="H46" i="10"/>
  <c r="W46" i="10" s="1"/>
  <c r="H46" i="8"/>
  <c r="W46" i="12"/>
  <c r="AO46" i="12"/>
  <c r="AO46" i="15"/>
  <c r="W44" i="6"/>
  <c r="H46" i="15" s="1"/>
  <c r="X46" i="15" s="1"/>
  <c r="H46" i="12"/>
  <c r="G165" i="3"/>
  <c r="H45" i="10"/>
  <c r="W45" i="10" s="1"/>
  <c r="H45" i="8"/>
  <c r="AO45" i="15"/>
  <c r="W45" i="12"/>
  <c r="AO45" i="12"/>
  <c r="W43" i="6"/>
  <c r="H45" i="15" s="1"/>
  <c r="X45" i="15" s="1"/>
  <c r="H45" i="12"/>
  <c r="G164" i="3"/>
  <c r="H44" i="10"/>
  <c r="W44" i="10" s="1"/>
  <c r="H44" i="8"/>
  <c r="W44" i="12"/>
  <c r="AO44" i="12"/>
  <c r="AO44" i="15"/>
  <c r="W42" i="6"/>
  <c r="H44" i="15" s="1"/>
  <c r="X44" i="15" s="1"/>
  <c r="H44" i="12"/>
  <c r="G163" i="3"/>
  <c r="H64" i="10"/>
  <c r="W64" i="10" s="1"/>
  <c r="H64" i="8"/>
  <c r="AO64" i="15"/>
  <c r="W64" i="12"/>
  <c r="AO64" i="12"/>
  <c r="W62" i="6"/>
  <c r="H64" i="15" s="1"/>
  <c r="H64" i="12"/>
  <c r="G183" i="3"/>
  <c r="H63" i="10"/>
  <c r="W63" i="10" s="1"/>
  <c r="H63" i="8"/>
  <c r="AO63" i="15"/>
  <c r="W63" i="12"/>
  <c r="AO63" i="12"/>
  <c r="W61" i="6"/>
  <c r="H63" i="15" s="1"/>
  <c r="H63" i="12"/>
  <c r="G182" i="3"/>
  <c r="H62" i="10"/>
  <c r="W62" i="10" s="1"/>
  <c r="H62" i="8"/>
  <c r="W62" i="12"/>
  <c r="AO62" i="12"/>
  <c r="AO62" i="15"/>
  <c r="W60" i="6"/>
  <c r="H62" i="15" s="1"/>
  <c r="H62" i="12"/>
  <c r="G181" i="3"/>
  <c r="H61" i="10"/>
  <c r="W61" i="10" s="1"/>
  <c r="H61" i="8"/>
  <c r="W61" i="12"/>
  <c r="AO61" i="12"/>
  <c r="AO61" i="15"/>
  <c r="W59" i="6"/>
  <c r="H61" i="15" s="1"/>
  <c r="H61" i="12"/>
  <c r="G180" i="3"/>
  <c r="H60" i="10"/>
  <c r="W60" i="10" s="1"/>
  <c r="H60" i="8"/>
  <c r="W60" i="12"/>
  <c r="AO60" i="12"/>
  <c r="AO60" i="15"/>
  <c r="W58" i="6"/>
  <c r="H60" i="15" s="1"/>
  <c r="H60" i="12"/>
  <c r="G179" i="3"/>
  <c r="H71" i="10"/>
  <c r="W71" i="10" s="1"/>
  <c r="H71" i="8"/>
  <c r="W71" i="12"/>
  <c r="AO71" i="12"/>
  <c r="W69" i="6"/>
  <c r="H71" i="15" s="1"/>
  <c r="H71" i="12"/>
  <c r="H68" i="10"/>
  <c r="W68" i="10" s="1"/>
  <c r="H68" i="8"/>
  <c r="W68" i="12"/>
  <c r="AO68" i="12"/>
  <c r="W66" i="6"/>
  <c r="H68" i="15" s="1"/>
  <c r="H68" i="12"/>
  <c r="F120" i="8"/>
  <c r="AJ21" i="3"/>
  <c r="W10" i="4"/>
  <c r="AJ40" i="3"/>
  <c r="AJ28" i="3"/>
  <c r="V124" i="10"/>
  <c r="W68" i="15" l="1"/>
  <c r="W71" i="15"/>
  <c r="W65" i="15"/>
  <c r="W72" i="15"/>
  <c r="W73" i="15"/>
  <c r="W74" i="15"/>
  <c r="W66" i="15"/>
  <c r="W67" i="15"/>
  <c r="W69" i="15"/>
  <c r="W70" i="15"/>
  <c r="U92" i="15"/>
  <c r="U85" i="15"/>
  <c r="U86" i="15"/>
  <c r="U90" i="15"/>
  <c r="U91" i="15"/>
  <c r="U89" i="15"/>
  <c r="U93" i="15"/>
  <c r="U96" i="15"/>
  <c r="U84" i="15"/>
  <c r="U95" i="15"/>
  <c r="V77" i="15"/>
  <c r="V78" i="15"/>
  <c r="V76" i="15"/>
  <c r="V80" i="15"/>
  <c r="U94" i="15"/>
  <c r="V75" i="15"/>
  <c r="V79" i="15"/>
  <c r="U82" i="15"/>
  <c r="T106" i="15"/>
  <c r="T99" i="15"/>
  <c r="T103" i="15"/>
  <c r="T107" i="15"/>
  <c r="T98" i="15"/>
  <c r="T100" i="15"/>
  <c r="T104" i="15"/>
  <c r="T108" i="15"/>
  <c r="T102" i="15"/>
  <c r="T97" i="15"/>
  <c r="T101" i="15"/>
  <c r="T105" i="15"/>
  <c r="T109" i="15"/>
  <c r="U83" i="15"/>
  <c r="U81" i="15"/>
  <c r="U87" i="15"/>
  <c r="U88" i="15"/>
  <c r="AN76" i="15"/>
  <c r="AN80" i="15"/>
  <c r="AN77" i="15"/>
  <c r="AN78" i="15"/>
  <c r="AN75" i="15"/>
  <c r="AN79" i="15"/>
  <c r="AM85" i="15"/>
  <c r="AM86" i="15"/>
  <c r="AM90" i="15"/>
  <c r="AM91" i="15"/>
  <c r="AM89" i="15"/>
  <c r="AM93" i="15"/>
  <c r="AM96" i="15"/>
  <c r="AM87" i="15"/>
  <c r="AM84" i="15"/>
  <c r="AM95" i="15"/>
  <c r="AM92" i="15"/>
  <c r="AM94" i="15"/>
  <c r="AL99" i="15"/>
  <c r="AL103" i="15"/>
  <c r="AL107" i="15"/>
  <c r="AL102" i="15"/>
  <c r="AL100" i="15"/>
  <c r="AL104" i="15"/>
  <c r="AL108" i="15"/>
  <c r="AL98" i="15"/>
  <c r="AL106" i="15"/>
  <c r="AL97" i="15"/>
  <c r="AL101" i="15"/>
  <c r="AL105" i="15"/>
  <c r="AL109" i="15"/>
  <c r="AM82" i="15"/>
  <c r="AM88" i="15"/>
  <c r="AM81" i="15"/>
  <c r="C14" i="14"/>
  <c r="E13" i="14"/>
  <c r="R14" i="15" s="1"/>
  <c r="G13" i="14"/>
  <c r="AJ14" i="15" s="1"/>
  <c r="AN81" i="15" s="1"/>
  <c r="D13" i="14"/>
  <c r="Q14" i="15" s="1"/>
  <c r="F13" i="14"/>
  <c r="AI14" i="15" s="1"/>
  <c r="P19" i="15"/>
  <c r="AH19" i="15"/>
  <c r="A19" i="14"/>
  <c r="AO69" i="15"/>
  <c r="AO74" i="15"/>
  <c r="AO73" i="15"/>
  <c r="AO70" i="15"/>
  <c r="AO67" i="15"/>
  <c r="AO66" i="15"/>
  <c r="AO72" i="15"/>
  <c r="X59" i="15"/>
  <c r="AO65" i="15"/>
  <c r="X64" i="15"/>
  <c r="X63" i="15"/>
  <c r="X62" i="15"/>
  <c r="X61" i="15"/>
  <c r="X60" i="15"/>
  <c r="AO71" i="15"/>
  <c r="AO68" i="15"/>
  <c r="W32" i="4"/>
  <c r="C52" i="2"/>
  <c r="W23" i="4"/>
  <c r="W20" i="4"/>
  <c r="AJ23" i="3"/>
  <c r="W3" i="4"/>
  <c r="AJ39" i="3"/>
  <c r="W22" i="4"/>
  <c r="AJ26" i="3"/>
  <c r="AJ33" i="3"/>
  <c r="W6" i="4"/>
  <c r="AJ18" i="3"/>
  <c r="AJ16" i="3"/>
  <c r="W30" i="4"/>
  <c r="W24" i="4"/>
  <c r="AJ7" i="3"/>
  <c r="AJ5" i="3"/>
  <c r="W12" i="4"/>
  <c r="AJ22" i="3"/>
  <c r="W35" i="4"/>
  <c r="W33" i="4"/>
  <c r="W11" i="4"/>
  <c r="AJ13" i="3"/>
  <c r="AJ9" i="3"/>
  <c r="W14" i="4"/>
  <c r="AJ24" i="3"/>
  <c r="AJ34" i="3"/>
  <c r="AJ37" i="3"/>
  <c r="W17" i="4"/>
  <c r="AJ17" i="3"/>
  <c r="AJ30" i="3"/>
  <c r="W25" i="4"/>
  <c r="AJ35" i="3"/>
  <c r="AJ4" i="3"/>
  <c r="AJ2" i="3"/>
  <c r="W18" i="4"/>
  <c r="AJ19" i="3"/>
  <c r="AJ31" i="3"/>
  <c r="W29" i="4"/>
  <c r="AJ38" i="3"/>
  <c r="AJ12" i="3"/>
  <c r="W36" i="4"/>
  <c r="AJ29" i="3"/>
  <c r="W21" i="4"/>
  <c r="AJ32" i="3"/>
  <c r="AJ14" i="3"/>
  <c r="G98" i="10"/>
  <c r="G107" i="10"/>
  <c r="G105" i="10"/>
  <c r="G99" i="10"/>
  <c r="U119" i="10"/>
  <c r="G100" i="10"/>
  <c r="G108" i="10"/>
  <c r="G106" i="10"/>
  <c r="G109" i="10"/>
  <c r="G104" i="10"/>
  <c r="AP26" i="12"/>
  <c r="X26" i="12"/>
  <c r="AP40" i="12"/>
  <c r="X40" i="12"/>
  <c r="AP6" i="12"/>
  <c r="X6" i="12"/>
  <c r="AP20" i="12"/>
  <c r="X20" i="12"/>
  <c r="X18" i="12"/>
  <c r="X29" i="12"/>
  <c r="AP29" i="12"/>
  <c r="AP29" i="15"/>
  <c r="H139" i="3"/>
  <c r="AP26" i="15"/>
  <c r="X26" i="15"/>
  <c r="AP40" i="15"/>
  <c r="X40" i="15"/>
  <c r="X18" i="15"/>
  <c r="AP18" i="15"/>
  <c r="AP20" i="15"/>
  <c r="X20" i="15"/>
  <c r="AP6" i="15"/>
  <c r="X6" i="15"/>
  <c r="AP18" i="12"/>
  <c r="I20" i="12"/>
  <c r="Y20" i="12" s="1"/>
  <c r="X38" i="12"/>
  <c r="AP38" i="12"/>
  <c r="AP38" i="15"/>
  <c r="J29" i="8"/>
  <c r="J29" i="10"/>
  <c r="Y29" i="10" s="1"/>
  <c r="X18" i="6"/>
  <c r="I20" i="15" s="1"/>
  <c r="Y20" i="15" s="1"/>
  <c r="I26" i="10"/>
  <c r="X26" i="10" s="1"/>
  <c r="I26" i="8"/>
  <c r="I20" i="10"/>
  <c r="X20" i="10" s="1"/>
  <c r="I20" i="8"/>
  <c r="I40" i="10"/>
  <c r="X40" i="10" s="1"/>
  <c r="I40" i="8"/>
  <c r="I38" i="10"/>
  <c r="X38" i="10" s="1"/>
  <c r="I38" i="8"/>
  <c r="I18" i="10"/>
  <c r="X18" i="10" s="1"/>
  <c r="I18" i="8"/>
  <c r="I6" i="10"/>
  <c r="X6" i="10" s="1"/>
  <c r="I6" i="8"/>
  <c r="I29" i="10"/>
  <c r="X29" i="10" s="1"/>
  <c r="I29" i="8"/>
  <c r="Y29" i="12"/>
  <c r="AQ29" i="12"/>
  <c r="AQ29" i="15"/>
  <c r="AJ15" i="3"/>
  <c r="AJ8" i="3"/>
  <c r="AJ25" i="3"/>
  <c r="AJ20" i="3"/>
  <c r="W2" i="4"/>
  <c r="W16" i="4"/>
  <c r="W15" i="4"/>
  <c r="W9" i="4"/>
  <c r="W8" i="4"/>
  <c r="W5" i="4"/>
  <c r="W19" i="4"/>
  <c r="W40" i="4"/>
  <c r="W39" i="4"/>
  <c r="W38" i="4"/>
  <c r="W34" i="4"/>
  <c r="W31" i="4"/>
  <c r="AJ3" i="3"/>
  <c r="AJ11" i="3"/>
  <c r="AJ10" i="3"/>
  <c r="AJ6" i="3"/>
  <c r="AJ27" i="3"/>
  <c r="AJ36" i="3"/>
  <c r="W13" i="4"/>
  <c r="W7" i="4"/>
  <c r="W4" i="4"/>
  <c r="W28" i="4"/>
  <c r="W27" i="4"/>
  <c r="W26" i="4"/>
  <c r="T134" i="10"/>
  <c r="U133" i="10" s="1"/>
  <c r="X19" i="15"/>
  <c r="AP19" i="15"/>
  <c r="X15" i="15"/>
  <c r="AP15" i="15"/>
  <c r="X14" i="15"/>
  <c r="AP14" i="15"/>
  <c r="X8" i="15"/>
  <c r="AP8" i="15"/>
  <c r="AP11" i="15"/>
  <c r="X11" i="15"/>
  <c r="AP13" i="15"/>
  <c r="X13" i="15"/>
  <c r="X16" i="15"/>
  <c r="AP16" i="15"/>
  <c r="X12" i="15"/>
  <c r="AP12" i="15"/>
  <c r="G101" i="10"/>
  <c r="G102" i="10"/>
  <c r="G97" i="10"/>
  <c r="W5" i="10"/>
  <c r="W124" i="10" s="1"/>
  <c r="G120" i="10"/>
  <c r="I5" i="10"/>
  <c r="X5" i="10" s="1"/>
  <c r="I5" i="8"/>
  <c r="X5" i="12"/>
  <c r="AP5" i="12"/>
  <c r="X3" i="6"/>
  <c r="I5" i="15" s="1"/>
  <c r="I5" i="12"/>
  <c r="AQ5" i="12" s="1"/>
  <c r="H124" i="3"/>
  <c r="Y3" i="6" s="1"/>
  <c r="J5" i="15" s="1"/>
  <c r="I19" i="10"/>
  <c r="X19" i="10" s="1"/>
  <c r="I19" i="8"/>
  <c r="X19" i="12"/>
  <c r="AP19" i="12"/>
  <c r="X17" i="6"/>
  <c r="I19" i="15" s="1"/>
  <c r="I19" i="12"/>
  <c r="H138" i="3"/>
  <c r="Y17" i="6" s="1"/>
  <c r="J19" i="15" s="1"/>
  <c r="I15" i="10"/>
  <c r="X15" i="10" s="1"/>
  <c r="I15" i="8"/>
  <c r="X15" i="12"/>
  <c r="AP15" i="12"/>
  <c r="X13" i="6"/>
  <c r="I15" i="15" s="1"/>
  <c r="I15" i="12"/>
  <c r="Y15" i="12" s="1"/>
  <c r="H134" i="3"/>
  <c r="I14" i="10"/>
  <c r="X14" i="10" s="1"/>
  <c r="I14" i="8"/>
  <c r="X14" i="12"/>
  <c r="AP14" i="12"/>
  <c r="X12" i="6"/>
  <c r="I14" i="15" s="1"/>
  <c r="I14" i="12"/>
  <c r="H133" i="3"/>
  <c r="I8" i="10"/>
  <c r="X8" i="10" s="1"/>
  <c r="I8" i="8"/>
  <c r="X8" i="12"/>
  <c r="AP8" i="12"/>
  <c r="X6" i="6"/>
  <c r="I8" i="15" s="1"/>
  <c r="I8" i="12"/>
  <c r="H127" i="3"/>
  <c r="I31" i="10"/>
  <c r="X31" i="10" s="1"/>
  <c r="I31" i="8"/>
  <c r="X31" i="12"/>
  <c r="AP31" i="12"/>
  <c r="AP31" i="15"/>
  <c r="X29" i="6"/>
  <c r="I31" i="15" s="1"/>
  <c r="Y31" i="15" s="1"/>
  <c r="I31" i="12"/>
  <c r="H150" i="3"/>
  <c r="I21" i="10"/>
  <c r="X21" i="10" s="1"/>
  <c r="I21" i="8"/>
  <c r="AP21" i="15"/>
  <c r="X21" i="12"/>
  <c r="AP21" i="12"/>
  <c r="X19" i="6"/>
  <c r="I21" i="15" s="1"/>
  <c r="Y21" i="15" s="1"/>
  <c r="I21" i="12"/>
  <c r="H140" i="3"/>
  <c r="I41" i="10"/>
  <c r="X41" i="10" s="1"/>
  <c r="I41" i="8"/>
  <c r="X41" i="12"/>
  <c r="AP41" i="12"/>
  <c r="AP41" i="15"/>
  <c r="X39" i="6"/>
  <c r="I41" i="15" s="1"/>
  <c r="Y41" i="15" s="1"/>
  <c r="I41" i="12"/>
  <c r="H160" i="3"/>
  <c r="I11" i="10"/>
  <c r="X11" i="10" s="1"/>
  <c r="I11" i="8"/>
  <c r="X11" i="12"/>
  <c r="AP11" i="12"/>
  <c r="X9" i="6"/>
  <c r="I11" i="15" s="1"/>
  <c r="Y11" i="15" s="1"/>
  <c r="I11" i="12"/>
  <c r="H130" i="3"/>
  <c r="I36" i="10"/>
  <c r="X36" i="10" s="1"/>
  <c r="I36" i="8"/>
  <c r="AP36" i="15"/>
  <c r="X36" i="12"/>
  <c r="AP36" i="12"/>
  <c r="X34" i="6"/>
  <c r="I36" i="15" s="1"/>
  <c r="Y36" i="15" s="1"/>
  <c r="I36" i="12"/>
  <c r="H155" i="3"/>
  <c r="I35" i="10"/>
  <c r="X35" i="10" s="1"/>
  <c r="I35" i="8"/>
  <c r="X35" i="12"/>
  <c r="AP35" i="12"/>
  <c r="AP35" i="15"/>
  <c r="X33" i="6"/>
  <c r="I35" i="15" s="1"/>
  <c r="Y35" i="15" s="1"/>
  <c r="I35" i="12"/>
  <c r="H154" i="3"/>
  <c r="I34" i="10"/>
  <c r="X34" i="10" s="1"/>
  <c r="I34" i="8"/>
  <c r="AP34" i="15"/>
  <c r="X34" i="12"/>
  <c r="AP34" i="12"/>
  <c r="X32" i="6"/>
  <c r="I34" i="15" s="1"/>
  <c r="Y34" i="15" s="1"/>
  <c r="I34" i="12"/>
  <c r="H153" i="3"/>
  <c r="I33" i="10"/>
  <c r="X33" i="10" s="1"/>
  <c r="I33" i="8"/>
  <c r="X33" i="12"/>
  <c r="AP33" i="12"/>
  <c r="AP33" i="15"/>
  <c r="X31" i="6"/>
  <c r="I33" i="15" s="1"/>
  <c r="Y33" i="15" s="1"/>
  <c r="I33" i="12"/>
  <c r="H152" i="3"/>
  <c r="I58" i="10"/>
  <c r="X58" i="10" s="1"/>
  <c r="I58" i="8"/>
  <c r="X58" i="12"/>
  <c r="AP58" i="12"/>
  <c r="AP58" i="15"/>
  <c r="X56" i="6"/>
  <c r="I58" i="15" s="1"/>
  <c r="Y58" i="15" s="1"/>
  <c r="I58" i="12"/>
  <c r="H177" i="3"/>
  <c r="I57" i="10"/>
  <c r="X57" i="10" s="1"/>
  <c r="I57" i="8"/>
  <c r="X57" i="12"/>
  <c r="AP57" i="12"/>
  <c r="AP57" i="15"/>
  <c r="X55" i="6"/>
  <c r="I57" i="15" s="1"/>
  <c r="Y57" i="15" s="1"/>
  <c r="I57" i="12"/>
  <c r="H176" i="3"/>
  <c r="I56" i="10"/>
  <c r="X56" i="10" s="1"/>
  <c r="I56" i="8"/>
  <c r="AP56" i="15"/>
  <c r="X56" i="12"/>
  <c r="AP56" i="12"/>
  <c r="X54" i="6"/>
  <c r="I56" i="15" s="1"/>
  <c r="Y56" i="15" s="1"/>
  <c r="I56" i="12"/>
  <c r="H175" i="3"/>
  <c r="I70" i="10"/>
  <c r="I70" i="8"/>
  <c r="X70" i="12"/>
  <c r="AP70" i="12"/>
  <c r="I69" i="10"/>
  <c r="X69" i="10" s="1"/>
  <c r="I69" i="8"/>
  <c r="X69" i="12"/>
  <c r="AP69" i="12"/>
  <c r="I67" i="10"/>
  <c r="I67" i="8"/>
  <c r="X67" i="12"/>
  <c r="AP67" i="12"/>
  <c r="I66" i="10"/>
  <c r="I66" i="8"/>
  <c r="X66" i="12"/>
  <c r="AP66" i="12"/>
  <c r="W79" i="10"/>
  <c r="W75" i="10"/>
  <c r="I28" i="10"/>
  <c r="X28" i="10" s="1"/>
  <c r="I28" i="8"/>
  <c r="X28" i="12"/>
  <c r="AP28" i="12"/>
  <c r="AP28" i="15"/>
  <c r="X26" i="6"/>
  <c r="I28" i="15" s="1"/>
  <c r="Y28" i="15" s="1"/>
  <c r="I28" i="12"/>
  <c r="H147" i="3"/>
  <c r="I72" i="10"/>
  <c r="I72" i="8"/>
  <c r="AP72" i="15"/>
  <c r="X72" i="12"/>
  <c r="AP72" i="12"/>
  <c r="W80" i="10"/>
  <c r="W76" i="10"/>
  <c r="I22" i="10"/>
  <c r="X22" i="10" s="1"/>
  <c r="I22" i="8"/>
  <c r="X22" i="12"/>
  <c r="AP22" i="12"/>
  <c r="AP22" i="15"/>
  <c r="X20" i="6"/>
  <c r="I22" i="15" s="1"/>
  <c r="Y22" i="15" s="1"/>
  <c r="AP43" i="12"/>
  <c r="I43" i="12"/>
  <c r="H162" i="3"/>
  <c r="I59" i="10"/>
  <c r="X59" i="10" s="1"/>
  <c r="X59" i="12"/>
  <c r="AP59" i="12"/>
  <c r="AP59" i="15"/>
  <c r="I59" i="12"/>
  <c r="I13" i="10"/>
  <c r="X13" i="10" s="1"/>
  <c r="X13" i="12"/>
  <c r="AP13" i="12"/>
  <c r="I13" i="12"/>
  <c r="H132" i="3"/>
  <c r="I16" i="8"/>
  <c r="AP16" i="12"/>
  <c r="I16" i="12"/>
  <c r="H135" i="3"/>
  <c r="I42" i="8"/>
  <c r="AP42" i="12"/>
  <c r="X40" i="6"/>
  <c r="I42" i="15" s="1"/>
  <c r="Y42" i="15" s="1"/>
  <c r="X35" i="6"/>
  <c r="I37" i="15" s="1"/>
  <c r="Y37" i="15" s="1"/>
  <c r="H156" i="3"/>
  <c r="AP37" i="12"/>
  <c r="I37" i="10"/>
  <c r="X37" i="10" s="1"/>
  <c r="X10" i="6"/>
  <c r="I12" i="15" s="1"/>
  <c r="X12" i="12"/>
  <c r="I12" i="10"/>
  <c r="X12" i="10" s="1"/>
  <c r="X21" i="6"/>
  <c r="I23" i="15" s="1"/>
  <c r="Y23" i="15" s="1"/>
  <c r="H142" i="3"/>
  <c r="AP23" i="15"/>
  <c r="AP23" i="12"/>
  <c r="I23" i="8"/>
  <c r="I18" i="12"/>
  <c r="H145" i="3"/>
  <c r="X24" i="6"/>
  <c r="I26" i="15" s="1"/>
  <c r="Y26" i="15" s="1"/>
  <c r="I6" i="12"/>
  <c r="X38" i="6"/>
  <c r="I40" i="15" s="1"/>
  <c r="Y40" i="15" s="1"/>
  <c r="I40" i="12"/>
  <c r="H157" i="3"/>
  <c r="H148" i="3"/>
  <c r="I22" i="12"/>
  <c r="H141" i="3"/>
  <c r="I43" i="10"/>
  <c r="X43" i="10" s="1"/>
  <c r="I43" i="8"/>
  <c r="AP43" i="15"/>
  <c r="X43" i="12"/>
  <c r="X41" i="6"/>
  <c r="I43" i="15" s="1"/>
  <c r="Y43" i="15" s="1"/>
  <c r="I59" i="8"/>
  <c r="X57" i="6"/>
  <c r="I59" i="15" s="1"/>
  <c r="I13" i="8"/>
  <c r="X11" i="6"/>
  <c r="I13" i="15" s="1"/>
  <c r="I16" i="10"/>
  <c r="X16" i="10" s="1"/>
  <c r="X16" i="12"/>
  <c r="X14" i="6"/>
  <c r="I16" i="15" s="1"/>
  <c r="I42" i="10"/>
  <c r="X42" i="10" s="1"/>
  <c r="X42" i="12"/>
  <c r="AP42" i="15"/>
  <c r="I42" i="12"/>
  <c r="H161" i="3"/>
  <c r="I37" i="12"/>
  <c r="X37" i="12"/>
  <c r="AP37" i="15"/>
  <c r="I37" i="8"/>
  <c r="I12" i="12"/>
  <c r="H131" i="3"/>
  <c r="AP12" i="12"/>
  <c r="I12" i="8"/>
  <c r="I23" i="12"/>
  <c r="X23" i="12"/>
  <c r="I23" i="10"/>
  <c r="X23" i="10" s="1"/>
  <c r="H137" i="3"/>
  <c r="X16" i="6"/>
  <c r="I18" i="15" s="1"/>
  <c r="I26" i="12"/>
  <c r="H125" i="3"/>
  <c r="X4" i="6"/>
  <c r="I6" i="15" s="1"/>
  <c r="H159" i="3"/>
  <c r="X36" i="6"/>
  <c r="I38" i="15" s="1"/>
  <c r="Y38" i="15" s="1"/>
  <c r="I38" i="12"/>
  <c r="X7" i="15"/>
  <c r="AP7" i="15"/>
  <c r="AP10" i="15"/>
  <c r="X10" i="15"/>
  <c r="I74" i="10"/>
  <c r="I74" i="8"/>
  <c r="X74" i="12"/>
  <c r="AP74" i="12"/>
  <c r="I73" i="10"/>
  <c r="I73" i="8"/>
  <c r="X73" i="12"/>
  <c r="AP73" i="12"/>
  <c r="I65" i="10"/>
  <c r="X65" i="10" s="1"/>
  <c r="I65" i="8"/>
  <c r="X65" i="12"/>
  <c r="AP65" i="12"/>
  <c r="W78" i="10"/>
  <c r="W77" i="10"/>
  <c r="I30" i="10"/>
  <c r="X30" i="10" s="1"/>
  <c r="I30" i="8"/>
  <c r="X30" i="12"/>
  <c r="AP30" i="12"/>
  <c r="AP30" i="15"/>
  <c r="X28" i="6"/>
  <c r="I30" i="15" s="1"/>
  <c r="Y30" i="15" s="1"/>
  <c r="I30" i="12"/>
  <c r="H149" i="3"/>
  <c r="I25" i="10"/>
  <c r="X25" i="10" s="1"/>
  <c r="I25" i="8"/>
  <c r="X25" i="12"/>
  <c r="AP25" i="12"/>
  <c r="AP25" i="15"/>
  <c r="X23" i="6"/>
  <c r="I25" i="15" s="1"/>
  <c r="Y25" i="15" s="1"/>
  <c r="I25" i="12"/>
  <c r="H144" i="3"/>
  <c r="I39" i="10"/>
  <c r="X39" i="10" s="1"/>
  <c r="I39" i="8"/>
  <c r="X39" i="12"/>
  <c r="AP39" i="12"/>
  <c r="AP39" i="15"/>
  <c r="X37" i="6"/>
  <c r="I39" i="15" s="1"/>
  <c r="Y39" i="15" s="1"/>
  <c r="I39" i="12"/>
  <c r="H158" i="3"/>
  <c r="I32" i="10"/>
  <c r="X32" i="10" s="1"/>
  <c r="I32" i="8"/>
  <c r="X32" i="12"/>
  <c r="AP32" i="12"/>
  <c r="AP32" i="15"/>
  <c r="X30" i="6"/>
  <c r="I32" i="15" s="1"/>
  <c r="Y32" i="15" s="1"/>
  <c r="I32" i="12"/>
  <c r="H151" i="3"/>
  <c r="I24" i="10"/>
  <c r="X24" i="10" s="1"/>
  <c r="I24" i="8"/>
  <c r="AP24" i="15"/>
  <c r="X24" i="12"/>
  <c r="AP24" i="12"/>
  <c r="X22" i="6"/>
  <c r="I24" i="15" s="1"/>
  <c r="Y24" i="15" s="1"/>
  <c r="I24" i="12"/>
  <c r="H143" i="3"/>
  <c r="I7" i="10"/>
  <c r="X7" i="10" s="1"/>
  <c r="I7" i="8"/>
  <c r="X7" i="12"/>
  <c r="AP7" i="12"/>
  <c r="X5" i="6"/>
  <c r="I7" i="15" s="1"/>
  <c r="I7" i="12"/>
  <c r="H126" i="3"/>
  <c r="I27" i="10"/>
  <c r="X27" i="10" s="1"/>
  <c r="I27" i="8"/>
  <c r="X27" i="12"/>
  <c r="AP27" i="12"/>
  <c r="AP27" i="15"/>
  <c r="X25" i="6"/>
  <c r="I27" i="15" s="1"/>
  <c r="Y27" i="15" s="1"/>
  <c r="I27" i="12"/>
  <c r="W125" i="10"/>
  <c r="W128" i="10"/>
  <c r="G118" i="8"/>
  <c r="G116" i="8"/>
  <c r="G115" i="8"/>
  <c r="G113" i="8"/>
  <c r="G112" i="8"/>
  <c r="G110" i="8"/>
  <c r="H146" i="3"/>
  <c r="I10" i="10"/>
  <c r="X10" i="10" s="1"/>
  <c r="I10" i="8"/>
  <c r="X10" i="12"/>
  <c r="AP10" i="12"/>
  <c r="X8" i="6"/>
  <c r="I10" i="15" s="1"/>
  <c r="I10" i="12"/>
  <c r="H129" i="3"/>
  <c r="W126" i="10"/>
  <c r="V131" i="10"/>
  <c r="G117" i="8"/>
  <c r="G114" i="8"/>
  <c r="G111" i="8"/>
  <c r="X17" i="15"/>
  <c r="AP17" i="15"/>
  <c r="AP9" i="15"/>
  <c r="X9" i="15"/>
  <c r="AQ11" i="15"/>
  <c r="I55" i="10"/>
  <c r="X55" i="10" s="1"/>
  <c r="X55" i="12"/>
  <c r="AP55" i="15"/>
  <c r="X9" i="12"/>
  <c r="X7" i="6"/>
  <c r="I9" i="15" s="1"/>
  <c r="I55" i="8"/>
  <c r="AP55" i="12"/>
  <c r="X17" i="12"/>
  <c r="H136" i="3"/>
  <c r="I9" i="10"/>
  <c r="X9" i="10" s="1"/>
  <c r="AP9" i="12"/>
  <c r="X53" i="6"/>
  <c r="I55" i="15" s="1"/>
  <c r="I55" i="12"/>
  <c r="H174" i="3"/>
  <c r="I47" i="10"/>
  <c r="X47" i="10" s="1"/>
  <c r="I47" i="8"/>
  <c r="AP47" i="15"/>
  <c r="X47" i="12"/>
  <c r="AP47" i="12"/>
  <c r="X45" i="6"/>
  <c r="I47" i="15" s="1"/>
  <c r="Y47" i="15" s="1"/>
  <c r="I47" i="12"/>
  <c r="H166" i="3"/>
  <c r="I46" i="10"/>
  <c r="X46" i="10" s="1"/>
  <c r="I46" i="8"/>
  <c r="AP46" i="15"/>
  <c r="X46" i="12"/>
  <c r="AP46" i="12"/>
  <c r="X44" i="6"/>
  <c r="I46" i="15" s="1"/>
  <c r="Y46" i="15" s="1"/>
  <c r="I46" i="12"/>
  <c r="H165" i="3"/>
  <c r="I45" i="10"/>
  <c r="X45" i="10" s="1"/>
  <c r="I45" i="8"/>
  <c r="X45" i="12"/>
  <c r="AP45" i="12"/>
  <c r="AP45" i="15"/>
  <c r="X43" i="6"/>
  <c r="I45" i="15" s="1"/>
  <c r="Y45" i="15" s="1"/>
  <c r="I45" i="12"/>
  <c r="H164" i="3"/>
  <c r="I44" i="10"/>
  <c r="X44" i="10" s="1"/>
  <c r="I44" i="8"/>
  <c r="X44" i="12"/>
  <c r="AP44" i="12"/>
  <c r="AP44" i="15"/>
  <c r="X42" i="6"/>
  <c r="I44" i="15" s="1"/>
  <c r="Y44" i="15" s="1"/>
  <c r="I44" i="12"/>
  <c r="H163" i="3"/>
  <c r="I64" i="10"/>
  <c r="X64" i="10" s="1"/>
  <c r="I64" i="8"/>
  <c r="X64" i="12"/>
  <c r="AP64" i="12"/>
  <c r="AP64" i="15"/>
  <c r="X62" i="6"/>
  <c r="I64" i="15" s="1"/>
  <c r="I64" i="12"/>
  <c r="I63" i="10"/>
  <c r="X63" i="10" s="1"/>
  <c r="I63" i="8"/>
  <c r="X63" i="12"/>
  <c r="AP63" i="12"/>
  <c r="AP63" i="15"/>
  <c r="X61" i="6"/>
  <c r="I63" i="15" s="1"/>
  <c r="I63" i="12"/>
  <c r="I62" i="10"/>
  <c r="X62" i="10" s="1"/>
  <c r="I62" i="8"/>
  <c r="X62" i="12"/>
  <c r="AP62" i="12"/>
  <c r="AP62" i="15"/>
  <c r="X60" i="6"/>
  <c r="I62" i="15" s="1"/>
  <c r="I62" i="12"/>
  <c r="I61" i="10"/>
  <c r="X61" i="10" s="1"/>
  <c r="I61" i="8"/>
  <c r="X61" i="12"/>
  <c r="I17" i="8"/>
  <c r="AP17" i="12"/>
  <c r="AP61" i="12"/>
  <c r="I17" i="10"/>
  <c r="X17" i="10" s="1"/>
  <c r="I17" i="12"/>
  <c r="I9" i="12"/>
  <c r="X15" i="6"/>
  <c r="I17" i="15" s="1"/>
  <c r="I9" i="8"/>
  <c r="H128" i="3"/>
  <c r="G109" i="8"/>
  <c r="G108" i="8"/>
  <c r="G107" i="8"/>
  <c r="G106" i="8"/>
  <c r="G105" i="8"/>
  <c r="G104" i="8"/>
  <c r="G103" i="8"/>
  <c r="G102" i="8"/>
  <c r="G101" i="8"/>
  <c r="G100" i="8"/>
  <c r="G99" i="8"/>
  <c r="G98" i="8"/>
  <c r="G97" i="8"/>
  <c r="G110" i="10"/>
  <c r="G111" i="10"/>
  <c r="G112" i="10"/>
  <c r="G113" i="10"/>
  <c r="G114" i="10"/>
  <c r="G115" i="10"/>
  <c r="G116" i="10"/>
  <c r="G117" i="10"/>
  <c r="G118" i="10"/>
  <c r="W127" i="10"/>
  <c r="W129" i="10"/>
  <c r="AQ20" i="15"/>
  <c r="I54" i="10"/>
  <c r="X54" i="10" s="1"/>
  <c r="I54" i="8"/>
  <c r="X54" i="12"/>
  <c r="AP54" i="12"/>
  <c r="AP54" i="15"/>
  <c r="X52" i="6"/>
  <c r="I54" i="15" s="1"/>
  <c r="Y54" i="15" s="1"/>
  <c r="I54" i="12"/>
  <c r="H173" i="3"/>
  <c r="I53" i="10"/>
  <c r="X53" i="10" s="1"/>
  <c r="I53" i="8"/>
  <c r="X53" i="12"/>
  <c r="AP53" i="12"/>
  <c r="AP53" i="15"/>
  <c r="X51" i="6"/>
  <c r="I53" i="15" s="1"/>
  <c r="Y53" i="15" s="1"/>
  <c r="I53" i="12"/>
  <c r="H172" i="3"/>
  <c r="I52" i="10"/>
  <c r="X52" i="10" s="1"/>
  <c r="I52" i="8"/>
  <c r="X52" i="12"/>
  <c r="AP52" i="12"/>
  <c r="AP52" i="15"/>
  <c r="X50" i="6"/>
  <c r="I52" i="15" s="1"/>
  <c r="Y52" i="15" s="1"/>
  <c r="I52" i="12"/>
  <c r="H171" i="3"/>
  <c r="I51" i="10"/>
  <c r="X51" i="10" s="1"/>
  <c r="I51" i="8"/>
  <c r="X51" i="12"/>
  <c r="AP51" i="12"/>
  <c r="AP51" i="15"/>
  <c r="X49" i="6"/>
  <c r="I51" i="15" s="1"/>
  <c r="Y51" i="15" s="1"/>
  <c r="I51" i="12"/>
  <c r="H170" i="3"/>
  <c r="I50" i="10"/>
  <c r="X50" i="10" s="1"/>
  <c r="I50" i="8"/>
  <c r="X50" i="12"/>
  <c r="AP50" i="12"/>
  <c r="AP50" i="15"/>
  <c r="X48" i="6"/>
  <c r="I50" i="15" s="1"/>
  <c r="Y50" i="15" s="1"/>
  <c r="I50" i="12"/>
  <c r="H169" i="3"/>
  <c r="I49" i="10"/>
  <c r="X49" i="10" s="1"/>
  <c r="I49" i="8"/>
  <c r="AP49" i="15"/>
  <c r="X49" i="12"/>
  <c r="AP49" i="12"/>
  <c r="X47" i="6"/>
  <c r="I49" i="15" s="1"/>
  <c r="Y49" i="15" s="1"/>
  <c r="I49" i="12"/>
  <c r="H168" i="3"/>
  <c r="I48" i="10"/>
  <c r="X48" i="10" s="1"/>
  <c r="I48" i="8"/>
  <c r="X48" i="12"/>
  <c r="AP48" i="12"/>
  <c r="AP48" i="15"/>
  <c r="X46" i="6"/>
  <c r="I48" i="15" s="1"/>
  <c r="Y48" i="15" s="1"/>
  <c r="I48" i="12"/>
  <c r="H167" i="3"/>
  <c r="G120" i="8"/>
  <c r="AP61" i="15"/>
  <c r="X59" i="6"/>
  <c r="I61" i="15" s="1"/>
  <c r="I61" i="12"/>
  <c r="I60" i="10"/>
  <c r="X60" i="10" s="1"/>
  <c r="I60" i="8"/>
  <c r="X60" i="12"/>
  <c r="AP60" i="12"/>
  <c r="AP60" i="15"/>
  <c r="X58" i="6"/>
  <c r="I60" i="15" s="1"/>
  <c r="I60" i="12"/>
  <c r="I71" i="10"/>
  <c r="I71" i="8"/>
  <c r="X71" i="12"/>
  <c r="AP71" i="12"/>
  <c r="I68" i="10"/>
  <c r="I68" i="8"/>
  <c r="X68" i="12"/>
  <c r="AP68" i="12"/>
  <c r="J20" i="10"/>
  <c r="Y20" i="10" s="1"/>
  <c r="J20" i="8"/>
  <c r="AK16" i="3"/>
  <c r="AK10" i="3"/>
  <c r="AK9" i="3"/>
  <c r="AK29" i="3"/>
  <c r="AK28" i="3"/>
  <c r="AK23" i="3"/>
  <c r="AK17" i="3"/>
  <c r="X7" i="4"/>
  <c r="X4" i="4"/>
  <c r="X20" i="4"/>
  <c r="X18" i="4"/>
  <c r="X17" i="4"/>
  <c r="AK12" i="3"/>
  <c r="AK22" i="3"/>
  <c r="AK18" i="3"/>
  <c r="X12" i="4"/>
  <c r="X6" i="4"/>
  <c r="X5" i="4"/>
  <c r="X3" i="4"/>
  <c r="X29" i="4"/>
  <c r="AK3" i="3"/>
  <c r="AK15" i="3"/>
  <c r="AK13" i="3"/>
  <c r="AK7" i="3"/>
  <c r="AK6" i="3"/>
  <c r="AK26" i="3"/>
  <c r="AK25" i="3"/>
  <c r="AK20" i="3"/>
  <c r="AK19" i="3"/>
  <c r="X14" i="4"/>
  <c r="X13" i="4"/>
  <c r="X11" i="4"/>
  <c r="X9" i="4"/>
  <c r="X8" i="4"/>
  <c r="X28" i="4"/>
  <c r="X24" i="4"/>
  <c r="X23" i="4"/>
  <c r="X22" i="4"/>
  <c r="X21" i="4"/>
  <c r="X19" i="4"/>
  <c r="AK2" i="3"/>
  <c r="AK14" i="3"/>
  <c r="AK4" i="3"/>
  <c r="AK27" i="3"/>
  <c r="AK24" i="3"/>
  <c r="AK11" i="3"/>
  <c r="AK8" i="3"/>
  <c r="AK5" i="3"/>
  <c r="AK21" i="3"/>
  <c r="X2" i="4"/>
  <c r="X16" i="4"/>
  <c r="X15" i="4"/>
  <c r="X10" i="4"/>
  <c r="X27" i="4"/>
  <c r="X26" i="4"/>
  <c r="X25" i="4"/>
  <c r="C53" i="2"/>
  <c r="J5" i="10"/>
  <c r="J5" i="8"/>
  <c r="Y5" i="12"/>
  <c r="Y19" i="12"/>
  <c r="AQ19" i="12"/>
  <c r="I138" i="3"/>
  <c r="J15" i="10"/>
  <c r="Y15" i="10" s="1"/>
  <c r="Y13" i="6"/>
  <c r="J15" i="15" s="1"/>
  <c r="J15" i="12"/>
  <c r="I134" i="3"/>
  <c r="J14" i="10"/>
  <c r="Y14" i="10" s="1"/>
  <c r="X67" i="10"/>
  <c r="E14" i="14" l="1"/>
  <c r="R15" i="15" s="1"/>
  <c r="F14" i="14"/>
  <c r="AI15" i="15" s="1"/>
  <c r="G14" i="14"/>
  <c r="AJ15" i="15" s="1"/>
  <c r="D14" i="14"/>
  <c r="Q15" i="15" s="1"/>
  <c r="C15" i="14"/>
  <c r="X68" i="15"/>
  <c r="X71" i="15"/>
  <c r="X65" i="15"/>
  <c r="X73" i="15"/>
  <c r="X74" i="15"/>
  <c r="X69" i="15"/>
  <c r="X70" i="15"/>
  <c r="X72" i="15"/>
  <c r="X66" i="15"/>
  <c r="X67" i="15"/>
  <c r="U105" i="15"/>
  <c r="U102" i="15"/>
  <c r="T113" i="15"/>
  <c r="T114" i="15"/>
  <c r="T111" i="15"/>
  <c r="V87" i="15"/>
  <c r="V95" i="15"/>
  <c r="V92" i="15"/>
  <c r="V91" i="15"/>
  <c r="T112" i="15"/>
  <c r="U98" i="15"/>
  <c r="T110" i="15"/>
  <c r="V88" i="15"/>
  <c r="U100" i="15"/>
  <c r="T115" i="15"/>
  <c r="U101" i="15"/>
  <c r="U103" i="15"/>
  <c r="T118" i="15"/>
  <c r="W78" i="15"/>
  <c r="W76" i="15"/>
  <c r="W80" i="15"/>
  <c r="U97" i="15"/>
  <c r="U99" i="15"/>
  <c r="U107" i="15"/>
  <c r="U104" i="15"/>
  <c r="W77" i="15"/>
  <c r="W79" i="15"/>
  <c r="W75" i="15"/>
  <c r="V82" i="15"/>
  <c r="V94" i="15"/>
  <c r="V90" i="15"/>
  <c r="V83" i="15"/>
  <c r="V84" i="15"/>
  <c r="V96" i="15"/>
  <c r="V86" i="15"/>
  <c r="U108" i="15"/>
  <c r="V81" i="15"/>
  <c r="U106" i="15"/>
  <c r="T116" i="15"/>
  <c r="T117" i="15"/>
  <c r="U109" i="15"/>
  <c r="V89" i="15"/>
  <c r="V93" i="15"/>
  <c r="V85" i="15"/>
  <c r="AO78" i="15"/>
  <c r="AO77" i="15"/>
  <c r="AO76" i="15"/>
  <c r="AO79" i="15"/>
  <c r="AO80" i="15"/>
  <c r="AO75" i="15"/>
  <c r="AM98" i="15"/>
  <c r="AL116" i="15"/>
  <c r="AL114" i="15"/>
  <c r="AM104" i="15"/>
  <c r="AL111" i="15"/>
  <c r="AL110" i="15"/>
  <c r="AL112" i="15"/>
  <c r="AN91" i="15"/>
  <c r="AL118" i="15"/>
  <c r="AN87" i="15"/>
  <c r="AN89" i="15"/>
  <c r="AN93" i="15"/>
  <c r="AN96" i="15"/>
  <c r="AM107" i="15"/>
  <c r="AL117" i="15"/>
  <c r="AN85" i="15"/>
  <c r="AN86" i="15"/>
  <c r="AN90" i="15"/>
  <c r="AL115" i="15"/>
  <c r="AN92" i="15"/>
  <c r="AN84" i="15"/>
  <c r="AN94" i="15"/>
  <c r="AN88" i="15"/>
  <c r="AN95" i="15"/>
  <c r="AM105" i="15"/>
  <c r="AM106" i="15"/>
  <c r="AM99" i="15"/>
  <c r="AM100" i="15"/>
  <c r="AM101" i="15"/>
  <c r="AM102" i="15"/>
  <c r="AM97" i="15"/>
  <c r="AM103" i="15"/>
  <c r="AL113" i="15"/>
  <c r="AM108" i="15"/>
  <c r="AN82" i="15"/>
  <c r="AN83" i="15"/>
  <c r="P20" i="15"/>
  <c r="AH20" i="15"/>
  <c r="A20" i="14"/>
  <c r="AP70" i="15"/>
  <c r="AP69" i="15"/>
  <c r="AP66" i="15"/>
  <c r="AP67" i="15"/>
  <c r="Y59" i="15"/>
  <c r="AP74" i="15"/>
  <c r="AP73" i="15"/>
  <c r="AP65" i="15"/>
  <c r="Y64" i="15"/>
  <c r="Y63" i="15"/>
  <c r="Y62" i="15"/>
  <c r="AP71" i="15"/>
  <c r="AP68" i="15"/>
  <c r="Y61" i="15"/>
  <c r="Y60" i="15"/>
  <c r="J15" i="8"/>
  <c r="J19" i="10"/>
  <c r="Y19" i="10" s="1"/>
  <c r="J19" i="12"/>
  <c r="J5" i="12"/>
  <c r="AQ20" i="12"/>
  <c r="AQ15" i="12"/>
  <c r="J19" i="8"/>
  <c r="I124" i="3"/>
  <c r="Z3" i="6" s="1"/>
  <c r="K5" i="15" s="1"/>
  <c r="Y5" i="15"/>
  <c r="Y14" i="15"/>
  <c r="AQ5" i="15"/>
  <c r="Y19" i="15"/>
  <c r="Y15" i="15"/>
  <c r="AQ14" i="15"/>
  <c r="AQ15" i="15"/>
  <c r="AQ19" i="15"/>
  <c r="AQ8" i="15"/>
  <c r="Y8" i="15"/>
  <c r="J14" i="8"/>
  <c r="Y14" i="12"/>
  <c r="AQ14" i="12"/>
  <c r="Y12" i="6"/>
  <c r="J14" i="15" s="1"/>
  <c r="J14" i="12"/>
  <c r="Z14" i="12" s="1"/>
  <c r="I133" i="3"/>
  <c r="J133" i="3" s="1"/>
  <c r="J8" i="10"/>
  <c r="Y8" i="10" s="1"/>
  <c r="J8" i="8"/>
  <c r="Y8" i="12"/>
  <c r="AQ8" i="12"/>
  <c r="Y6" i="6"/>
  <c r="J8" i="15" s="1"/>
  <c r="J8" i="12"/>
  <c r="AR8" i="12" s="1"/>
  <c r="I127" i="3"/>
  <c r="K8" i="12" s="1"/>
  <c r="J31" i="10"/>
  <c r="Y31" i="10" s="1"/>
  <c r="J31" i="8"/>
  <c r="Y31" i="12"/>
  <c r="AQ31" i="12"/>
  <c r="AQ31" i="15"/>
  <c r="Y29" i="6"/>
  <c r="J31" i="15" s="1"/>
  <c r="Z31" i="15" s="1"/>
  <c r="J31" i="12"/>
  <c r="Z31" i="12" s="1"/>
  <c r="I150" i="3"/>
  <c r="K31" i="12" s="1"/>
  <c r="J21" i="10"/>
  <c r="Y21" i="10" s="1"/>
  <c r="J21" i="8"/>
  <c r="Y21" i="12"/>
  <c r="AQ21" i="12"/>
  <c r="AQ21" i="15"/>
  <c r="Y19" i="6"/>
  <c r="J21" i="15" s="1"/>
  <c r="Z21" i="15" s="1"/>
  <c r="J21" i="12"/>
  <c r="Z21" i="12" s="1"/>
  <c r="I140" i="3"/>
  <c r="K21" i="12" s="1"/>
  <c r="J41" i="10"/>
  <c r="Y41" i="10" s="1"/>
  <c r="J41" i="8"/>
  <c r="Y41" i="12"/>
  <c r="AQ41" i="12"/>
  <c r="AQ41" i="15"/>
  <c r="Y39" i="6"/>
  <c r="J41" i="15" s="1"/>
  <c r="Z41" i="15" s="1"/>
  <c r="J41" i="12"/>
  <c r="Z41" i="12" s="1"/>
  <c r="I160" i="3"/>
  <c r="K41" i="12" s="1"/>
  <c r="J11" i="10"/>
  <c r="Y11" i="10" s="1"/>
  <c r="J11" i="8"/>
  <c r="Y11" i="12"/>
  <c r="AQ11" i="12"/>
  <c r="Y9" i="6"/>
  <c r="J11" i="15" s="1"/>
  <c r="J11" i="12"/>
  <c r="Z11" i="12" s="1"/>
  <c r="I130" i="3"/>
  <c r="J130" i="3" s="1"/>
  <c r="J36" i="10"/>
  <c r="Y36" i="10" s="1"/>
  <c r="J36" i="8"/>
  <c r="Y36" i="12"/>
  <c r="AQ36" i="12"/>
  <c r="AQ36" i="15"/>
  <c r="Y34" i="6"/>
  <c r="J36" i="15" s="1"/>
  <c r="Z36" i="15" s="1"/>
  <c r="J36" i="12"/>
  <c r="AR36" i="12" s="1"/>
  <c r="I155" i="3"/>
  <c r="Z34" i="6" s="1"/>
  <c r="K36" i="15" s="1"/>
  <c r="AA36" i="15" s="1"/>
  <c r="J35" i="10"/>
  <c r="Y35" i="10" s="1"/>
  <c r="J35" i="8"/>
  <c r="AQ35" i="15"/>
  <c r="Y35" i="12"/>
  <c r="AQ35" i="12"/>
  <c r="Y33" i="6"/>
  <c r="J35" i="15" s="1"/>
  <c r="Z35" i="15" s="1"/>
  <c r="J35" i="12"/>
  <c r="AR35" i="12" s="1"/>
  <c r="I154" i="3"/>
  <c r="Z33" i="6" s="1"/>
  <c r="K35" i="15" s="1"/>
  <c r="AA35" i="15" s="1"/>
  <c r="J34" i="10"/>
  <c r="Y34" i="10" s="1"/>
  <c r="J34" i="8"/>
  <c r="Y34" i="12"/>
  <c r="AQ34" i="12"/>
  <c r="AQ34" i="15"/>
  <c r="Y32" i="6"/>
  <c r="J34" i="15" s="1"/>
  <c r="Z34" i="15" s="1"/>
  <c r="J34" i="12"/>
  <c r="Z34" i="12" s="1"/>
  <c r="I153" i="3"/>
  <c r="J33" i="10"/>
  <c r="Y33" i="10" s="1"/>
  <c r="J33" i="8"/>
  <c r="Y33" i="12"/>
  <c r="AQ33" i="12"/>
  <c r="AQ33" i="15"/>
  <c r="Y31" i="6"/>
  <c r="J33" i="15" s="1"/>
  <c r="Z33" i="15" s="1"/>
  <c r="J33" i="12"/>
  <c r="I152" i="3"/>
  <c r="J58" i="10"/>
  <c r="Y58" i="10" s="1"/>
  <c r="J58" i="8"/>
  <c r="Y58" i="12"/>
  <c r="AQ58" i="12"/>
  <c r="AQ58" i="15"/>
  <c r="Y56" i="6"/>
  <c r="J58" i="15" s="1"/>
  <c r="Z58" i="15" s="1"/>
  <c r="J58" i="12"/>
  <c r="J57" i="10"/>
  <c r="Y57" i="10" s="1"/>
  <c r="J57" i="8"/>
  <c r="AQ57" i="15"/>
  <c r="Y57" i="12"/>
  <c r="AQ57" i="12"/>
  <c r="Y55" i="6"/>
  <c r="J57" i="15" s="1"/>
  <c r="Z57" i="15" s="1"/>
  <c r="J57" i="12"/>
  <c r="J56" i="10"/>
  <c r="Y56" i="10" s="1"/>
  <c r="J56" i="8"/>
  <c r="AQ56" i="15"/>
  <c r="Y56" i="12"/>
  <c r="AQ56" i="12"/>
  <c r="Y54" i="6"/>
  <c r="J56" i="15" s="1"/>
  <c r="Z56" i="15" s="1"/>
  <c r="J56" i="12"/>
  <c r="X70" i="10"/>
  <c r="X68" i="10"/>
  <c r="X66" i="10"/>
  <c r="J28" i="10"/>
  <c r="Y28" i="10" s="1"/>
  <c r="J28" i="8"/>
  <c r="Y28" i="12"/>
  <c r="AQ28" i="12"/>
  <c r="AQ28" i="15"/>
  <c r="Y26" i="6"/>
  <c r="J28" i="15" s="1"/>
  <c r="Z28" i="15" s="1"/>
  <c r="J28" i="12"/>
  <c r="I147" i="3"/>
  <c r="X72" i="10"/>
  <c r="J22" i="10"/>
  <c r="Y22" i="10" s="1"/>
  <c r="J22" i="8"/>
  <c r="AQ22" i="15"/>
  <c r="Y22" i="12"/>
  <c r="AQ22" i="12"/>
  <c r="Y20" i="6"/>
  <c r="J22" i="15" s="1"/>
  <c r="Z22" i="15" s="1"/>
  <c r="J22" i="12"/>
  <c r="I141" i="3"/>
  <c r="J43" i="10"/>
  <c r="Y43" i="10" s="1"/>
  <c r="J43" i="8"/>
  <c r="Y43" i="12"/>
  <c r="AQ43" i="12"/>
  <c r="AQ43" i="15"/>
  <c r="Y41" i="6"/>
  <c r="J43" i="15" s="1"/>
  <c r="Z43" i="15" s="1"/>
  <c r="J43" i="12"/>
  <c r="I162" i="3"/>
  <c r="J59" i="10"/>
  <c r="J59" i="8"/>
  <c r="AQ59" i="15"/>
  <c r="Y59" i="12"/>
  <c r="AQ59" i="12"/>
  <c r="X74" i="10"/>
  <c r="X73" i="10"/>
  <c r="I139" i="3"/>
  <c r="J20" i="12"/>
  <c r="Y18" i="6"/>
  <c r="J20" i="15" s="1"/>
  <c r="Z20" i="15" s="1"/>
  <c r="Y13" i="15"/>
  <c r="AQ13" i="15"/>
  <c r="AQ16" i="15"/>
  <c r="Y16" i="15"/>
  <c r="AQ12" i="15"/>
  <c r="Y12" i="15"/>
  <c r="AQ18" i="15"/>
  <c r="Y18" i="15"/>
  <c r="AQ6" i="15"/>
  <c r="Y6" i="15"/>
  <c r="V119" i="10"/>
  <c r="J13" i="10"/>
  <c r="Y13" i="10" s="1"/>
  <c r="J13" i="8"/>
  <c r="Y13" i="12"/>
  <c r="AQ13" i="12"/>
  <c r="Y11" i="6"/>
  <c r="J13" i="15" s="1"/>
  <c r="J13" i="12"/>
  <c r="I132" i="3"/>
  <c r="J16" i="10"/>
  <c r="Y16" i="10" s="1"/>
  <c r="J16" i="8"/>
  <c r="Y16" i="12"/>
  <c r="AQ16" i="12"/>
  <c r="Y14" i="6"/>
  <c r="J16" i="15" s="1"/>
  <c r="J16" i="12"/>
  <c r="I135" i="3"/>
  <c r="J30" i="10"/>
  <c r="Y30" i="10" s="1"/>
  <c r="J30" i="8"/>
  <c r="Y30" i="12"/>
  <c r="AQ30" i="12"/>
  <c r="AQ30" i="15"/>
  <c r="Y28" i="6"/>
  <c r="J30" i="15" s="1"/>
  <c r="Z30" i="15" s="1"/>
  <c r="J30" i="12"/>
  <c r="I149" i="3"/>
  <c r="J25" i="10"/>
  <c r="Y25" i="10" s="1"/>
  <c r="J25" i="8"/>
  <c r="Y25" i="12"/>
  <c r="AQ25" i="12"/>
  <c r="AQ25" i="15"/>
  <c r="Y23" i="6"/>
  <c r="J25" i="15" s="1"/>
  <c r="Z25" i="15" s="1"/>
  <c r="J25" i="12"/>
  <c r="I144" i="3"/>
  <c r="K25" i="12" s="1"/>
  <c r="J39" i="10"/>
  <c r="Y39" i="10" s="1"/>
  <c r="J39" i="8"/>
  <c r="AQ39" i="15"/>
  <c r="Y39" i="12"/>
  <c r="AQ39" i="12"/>
  <c r="Y37" i="6"/>
  <c r="J39" i="15" s="1"/>
  <c r="Z39" i="15" s="1"/>
  <c r="J39" i="12"/>
  <c r="Z39" i="12" s="1"/>
  <c r="I158" i="3"/>
  <c r="Z37" i="6" s="1"/>
  <c r="K39" i="15" s="1"/>
  <c r="AA39" i="15" s="1"/>
  <c r="J32" i="10"/>
  <c r="Y32" i="10" s="1"/>
  <c r="J32" i="8"/>
  <c r="Y32" i="12"/>
  <c r="AQ32" i="12"/>
  <c r="AQ32" i="15"/>
  <c r="Y30" i="6"/>
  <c r="J32" i="15" s="1"/>
  <c r="Z32" i="15" s="1"/>
  <c r="J32" i="12"/>
  <c r="I151" i="3"/>
  <c r="Z30" i="6" s="1"/>
  <c r="K32" i="15" s="1"/>
  <c r="AA32" i="15" s="1"/>
  <c r="J24" i="10"/>
  <c r="Y24" i="10" s="1"/>
  <c r="J24" i="8"/>
  <c r="Y24" i="12"/>
  <c r="AQ24" i="12"/>
  <c r="AQ24" i="15"/>
  <c r="Y22" i="6"/>
  <c r="J24" i="15" s="1"/>
  <c r="Z24" i="15" s="1"/>
  <c r="J24" i="12"/>
  <c r="I143" i="3"/>
  <c r="J7" i="10"/>
  <c r="Y7" i="10" s="1"/>
  <c r="J7" i="8"/>
  <c r="Y7" i="12"/>
  <c r="AQ7" i="12"/>
  <c r="Y5" i="6"/>
  <c r="J7" i="15" s="1"/>
  <c r="AR7" i="15" s="1"/>
  <c r="J7" i="12"/>
  <c r="I126" i="3"/>
  <c r="J27" i="10"/>
  <c r="Y27" i="10" s="1"/>
  <c r="J27" i="8"/>
  <c r="Y27" i="12"/>
  <c r="AQ27" i="12"/>
  <c r="AQ27" i="15"/>
  <c r="Y25" i="6"/>
  <c r="J27" i="15" s="1"/>
  <c r="Z27" i="15" s="1"/>
  <c r="J27" i="12"/>
  <c r="I146" i="3"/>
  <c r="J10" i="10"/>
  <c r="Y10" i="10" s="1"/>
  <c r="J10" i="8"/>
  <c r="Y10" i="12"/>
  <c r="AQ10" i="12"/>
  <c r="Y8" i="6"/>
  <c r="J10" i="15" s="1"/>
  <c r="Z10" i="15" s="1"/>
  <c r="J10" i="12"/>
  <c r="I129" i="3"/>
  <c r="J12" i="12"/>
  <c r="I131" i="3"/>
  <c r="J23" i="8"/>
  <c r="AQ23" i="15"/>
  <c r="AQ23" i="12"/>
  <c r="J23" i="12"/>
  <c r="I142" i="3"/>
  <c r="Y16" i="6"/>
  <c r="J18" i="15" s="1"/>
  <c r="AR18" i="15" s="1"/>
  <c r="AQ18" i="12"/>
  <c r="J18" i="10"/>
  <c r="Y18" i="10" s="1"/>
  <c r="Y24" i="6"/>
  <c r="J26" i="15" s="1"/>
  <c r="Z26" i="15" s="1"/>
  <c r="J26" i="12"/>
  <c r="AQ26" i="15"/>
  <c r="AQ26" i="12"/>
  <c r="J26" i="10"/>
  <c r="Y26" i="10" s="1"/>
  <c r="Y4" i="6"/>
  <c r="J6" i="15" s="1"/>
  <c r="AR6" i="15" s="1"/>
  <c r="I125" i="3"/>
  <c r="Y6" i="12"/>
  <c r="J6" i="10"/>
  <c r="Y6" i="10" s="1"/>
  <c r="J40" i="10"/>
  <c r="Y40" i="10" s="1"/>
  <c r="Y38" i="6"/>
  <c r="J40" i="15" s="1"/>
  <c r="Z40" i="15" s="1"/>
  <c r="I159" i="3"/>
  <c r="Y40" i="12"/>
  <c r="J38" i="10"/>
  <c r="Y38" i="10" s="1"/>
  <c r="Y36" i="6"/>
  <c r="J38" i="15" s="1"/>
  <c r="Z38" i="15" s="1"/>
  <c r="J38" i="12"/>
  <c r="Y38" i="12"/>
  <c r="I148" i="3"/>
  <c r="J29" i="12"/>
  <c r="J42" i="10"/>
  <c r="Y42" i="10" s="1"/>
  <c r="J42" i="8"/>
  <c r="Y42" i="12"/>
  <c r="AQ42" i="12"/>
  <c r="AQ42" i="15"/>
  <c r="Y40" i="6"/>
  <c r="J42" i="15" s="1"/>
  <c r="Z42" i="15" s="1"/>
  <c r="J42" i="12"/>
  <c r="I161" i="3"/>
  <c r="J37" i="10"/>
  <c r="Y37" i="10" s="1"/>
  <c r="J37" i="8"/>
  <c r="Y37" i="12"/>
  <c r="AQ37" i="12"/>
  <c r="AQ37" i="15"/>
  <c r="Y35" i="6"/>
  <c r="J37" i="15" s="1"/>
  <c r="Z37" i="15" s="1"/>
  <c r="J37" i="12"/>
  <c r="I156" i="3"/>
  <c r="J12" i="10"/>
  <c r="Y12" i="10" s="1"/>
  <c r="J12" i="8"/>
  <c r="Y12" i="12"/>
  <c r="AQ12" i="12"/>
  <c r="Y10" i="6"/>
  <c r="J12" i="15" s="1"/>
  <c r="AR12" i="15" s="1"/>
  <c r="J23" i="10"/>
  <c r="Y23" i="10" s="1"/>
  <c r="Y23" i="12"/>
  <c r="Y21" i="6"/>
  <c r="J23" i="15" s="1"/>
  <c r="Z23" i="15" s="1"/>
  <c r="J18" i="12"/>
  <c r="I137" i="3"/>
  <c r="Y18" i="12"/>
  <c r="J18" i="8"/>
  <c r="I145" i="3"/>
  <c r="Y26" i="12"/>
  <c r="J26" i="8"/>
  <c r="J6" i="12"/>
  <c r="AQ6" i="12"/>
  <c r="J6" i="8"/>
  <c r="J40" i="8"/>
  <c r="J40" i="12"/>
  <c r="AQ40" i="15"/>
  <c r="AQ40" i="12"/>
  <c r="J38" i="8"/>
  <c r="I157" i="3"/>
  <c r="AQ38" i="15"/>
  <c r="AQ38" i="12"/>
  <c r="Y27" i="6"/>
  <c r="J29" i="15" s="1"/>
  <c r="Z29" i="15" s="1"/>
  <c r="AQ7" i="15"/>
  <c r="Y7" i="15"/>
  <c r="AQ10" i="15"/>
  <c r="Y10" i="15"/>
  <c r="U134" i="10"/>
  <c r="X125" i="10"/>
  <c r="X126" i="10"/>
  <c r="J55" i="10"/>
  <c r="Y55" i="10" s="1"/>
  <c r="J55" i="8"/>
  <c r="Y55" i="12"/>
  <c r="AQ55" i="12"/>
  <c r="Y53" i="6"/>
  <c r="J55" i="15" s="1"/>
  <c r="Z55" i="15" s="1"/>
  <c r="J55" i="12"/>
  <c r="J17" i="10"/>
  <c r="Y17" i="10" s="1"/>
  <c r="J17" i="8"/>
  <c r="Y17" i="12"/>
  <c r="AQ17" i="12"/>
  <c r="Y15" i="6"/>
  <c r="J17" i="15" s="1"/>
  <c r="J17" i="12"/>
  <c r="I136" i="3"/>
  <c r="J9" i="10"/>
  <c r="Y9" i="10" s="1"/>
  <c r="J9" i="8"/>
  <c r="Y9" i="12"/>
  <c r="AQ9" i="12"/>
  <c r="Y7" i="6"/>
  <c r="J9" i="15" s="1"/>
  <c r="J9" i="12"/>
  <c r="I128" i="3"/>
  <c r="W130" i="10"/>
  <c r="Y9" i="15"/>
  <c r="AQ9" i="15"/>
  <c r="AQ55" i="15"/>
  <c r="Y55" i="15"/>
  <c r="AQ17" i="15"/>
  <c r="Y17" i="15"/>
  <c r="AR5" i="15"/>
  <c r="Z5" i="15"/>
  <c r="Z19" i="15"/>
  <c r="AR19" i="15"/>
  <c r="Z15" i="15"/>
  <c r="AR15" i="15"/>
  <c r="J54" i="10"/>
  <c r="Y54" i="10" s="1"/>
  <c r="J54" i="8"/>
  <c r="AQ54" i="15"/>
  <c r="Y54" i="12"/>
  <c r="AQ54" i="12"/>
  <c r="Y52" i="6"/>
  <c r="J54" i="15" s="1"/>
  <c r="Z54" i="15" s="1"/>
  <c r="J54" i="12"/>
  <c r="J53" i="10"/>
  <c r="Y53" i="10" s="1"/>
  <c r="J53" i="8"/>
  <c r="AQ53" i="15"/>
  <c r="Y53" i="12"/>
  <c r="AQ53" i="12"/>
  <c r="Y51" i="6"/>
  <c r="J53" i="15" s="1"/>
  <c r="Z53" i="15" s="1"/>
  <c r="J53" i="12"/>
  <c r="J52" i="10"/>
  <c r="Y52" i="10" s="1"/>
  <c r="J52" i="8"/>
  <c r="AQ52" i="15"/>
  <c r="Y52" i="12"/>
  <c r="AQ52" i="12"/>
  <c r="Y50" i="6"/>
  <c r="J52" i="15" s="1"/>
  <c r="Z52" i="15" s="1"/>
  <c r="J52" i="12"/>
  <c r="J51" i="10"/>
  <c r="Y51" i="10" s="1"/>
  <c r="J51" i="8"/>
  <c r="AQ51" i="15"/>
  <c r="Y51" i="12"/>
  <c r="AQ51" i="12"/>
  <c r="Y49" i="6"/>
  <c r="J51" i="15" s="1"/>
  <c r="Z51" i="15" s="1"/>
  <c r="J51" i="12"/>
  <c r="J50" i="10"/>
  <c r="Y50" i="10" s="1"/>
  <c r="J50" i="8"/>
  <c r="AQ50" i="15"/>
  <c r="Y50" i="12"/>
  <c r="AQ50" i="12"/>
  <c r="Y48" i="6"/>
  <c r="J50" i="15" s="1"/>
  <c r="Z50" i="15" s="1"/>
  <c r="J50" i="12"/>
  <c r="J49" i="10"/>
  <c r="Y49" i="10" s="1"/>
  <c r="J49" i="8"/>
  <c r="Y49" i="12"/>
  <c r="AQ49" i="12"/>
  <c r="AQ49" i="15"/>
  <c r="Y47" i="6"/>
  <c r="J49" i="15" s="1"/>
  <c r="Z49" i="15" s="1"/>
  <c r="J49" i="12"/>
  <c r="J48" i="10"/>
  <c r="Y48" i="10" s="1"/>
  <c r="J48" i="8"/>
  <c r="Y48" i="12"/>
  <c r="AQ48" i="12"/>
  <c r="AQ48" i="15"/>
  <c r="Y46" i="6"/>
  <c r="J48" i="15" s="1"/>
  <c r="J48" i="12"/>
  <c r="J47" i="10"/>
  <c r="Y47" i="10" s="1"/>
  <c r="J47" i="8"/>
  <c r="Y47" i="12"/>
  <c r="AQ47" i="12"/>
  <c r="AQ47" i="15"/>
  <c r="Y45" i="6"/>
  <c r="J47" i="15" s="1"/>
  <c r="J47" i="12"/>
  <c r="J46" i="10"/>
  <c r="Y46" i="10" s="1"/>
  <c r="J46" i="8"/>
  <c r="Y46" i="12"/>
  <c r="AQ46" i="12"/>
  <c r="AQ46" i="15"/>
  <c r="Y44" i="6"/>
  <c r="J46" i="15" s="1"/>
  <c r="J46" i="12"/>
  <c r="J45" i="10"/>
  <c r="Y45" i="10" s="1"/>
  <c r="J45" i="8"/>
  <c r="Y45" i="12"/>
  <c r="AQ45" i="12"/>
  <c r="AQ45" i="15"/>
  <c r="Y43" i="6"/>
  <c r="J45" i="15" s="1"/>
  <c r="Z45" i="15" s="1"/>
  <c r="J45" i="12"/>
  <c r="J44" i="10"/>
  <c r="Y44" i="10" s="1"/>
  <c r="J44" i="8"/>
  <c r="AQ44" i="15"/>
  <c r="Y44" i="12"/>
  <c r="AQ44" i="12"/>
  <c r="Y42" i="6"/>
  <c r="J44" i="15" s="1"/>
  <c r="Z44" i="15" s="1"/>
  <c r="J44" i="12"/>
  <c r="J64" i="10"/>
  <c r="J64" i="8"/>
  <c r="Y64" i="12"/>
  <c r="AQ64" i="12"/>
  <c r="AQ64" i="15"/>
  <c r="J63" i="10"/>
  <c r="J63" i="8"/>
  <c r="Y63" i="12"/>
  <c r="AQ63" i="12"/>
  <c r="AQ63" i="15"/>
  <c r="J62" i="10"/>
  <c r="Y62" i="10" s="1"/>
  <c r="J62" i="8"/>
  <c r="Y62" i="12"/>
  <c r="AQ62" i="12"/>
  <c r="AQ62" i="15"/>
  <c r="J61" i="10"/>
  <c r="J61" i="8"/>
  <c r="AQ61" i="15"/>
  <c r="Y61" i="12"/>
  <c r="AQ61" i="12"/>
  <c r="J60" i="10"/>
  <c r="J60" i="8"/>
  <c r="AQ60" i="15"/>
  <c r="Y60" i="12"/>
  <c r="AQ60" i="12"/>
  <c r="X71" i="10"/>
  <c r="H120" i="8"/>
  <c r="X127" i="10"/>
  <c r="X128" i="10"/>
  <c r="H120" i="10"/>
  <c r="H92" i="10" s="1"/>
  <c r="AL3" i="3"/>
  <c r="AL11" i="3"/>
  <c r="AL6" i="3"/>
  <c r="AL4" i="3"/>
  <c r="Y15" i="4"/>
  <c r="Y14" i="4"/>
  <c r="Y13" i="4"/>
  <c r="Y6" i="4"/>
  <c r="Y3" i="4"/>
  <c r="AL13" i="3"/>
  <c r="AL7" i="3"/>
  <c r="Y11" i="4"/>
  <c r="Y10" i="4"/>
  <c r="AL9" i="3"/>
  <c r="AL8" i="3"/>
  <c r="AL5" i="3"/>
  <c r="Y2" i="4"/>
  <c r="Y16" i="4"/>
  <c r="Y12" i="4"/>
  <c r="Y7" i="4"/>
  <c r="Y5" i="4"/>
  <c r="Y4" i="4"/>
  <c r="AL2" i="3"/>
  <c r="AL15" i="3"/>
  <c r="AL10" i="3"/>
  <c r="AL16" i="3"/>
  <c r="AL14" i="3"/>
  <c r="AL12" i="3"/>
  <c r="Y9" i="4"/>
  <c r="Y8" i="4"/>
  <c r="X124" i="10"/>
  <c r="Y5" i="10"/>
  <c r="K5" i="10"/>
  <c r="K5" i="8"/>
  <c r="K19" i="10"/>
  <c r="Z19" i="10" s="1"/>
  <c r="K19" i="8"/>
  <c r="Z17" i="6"/>
  <c r="K19" i="15" s="1"/>
  <c r="K19" i="12"/>
  <c r="J138" i="3"/>
  <c r="K15" i="10"/>
  <c r="Z15" i="10" s="1"/>
  <c r="K15" i="8"/>
  <c r="Z15" i="12"/>
  <c r="AR15" i="12"/>
  <c r="Z13" i="6"/>
  <c r="K15" i="15" s="1"/>
  <c r="K15" i="12"/>
  <c r="J134" i="3"/>
  <c r="K14" i="10"/>
  <c r="Z14" i="10" s="1"/>
  <c r="K8" i="10"/>
  <c r="Z8" i="10" s="1"/>
  <c r="K41" i="10"/>
  <c r="Z41" i="10" s="1"/>
  <c r="AR41" i="12"/>
  <c r="K11" i="12"/>
  <c r="Z35" i="12"/>
  <c r="Z25" i="12"/>
  <c r="AR25" i="12"/>
  <c r="AR39" i="12"/>
  <c r="Z32" i="12"/>
  <c r="AR32" i="12"/>
  <c r="C16" i="14" l="1"/>
  <c r="F15" i="14"/>
  <c r="AI16" i="15" s="1"/>
  <c r="E15" i="14"/>
  <c r="R16" i="15" s="1"/>
  <c r="G15" i="14"/>
  <c r="AJ16" i="15" s="1"/>
  <c r="D15" i="14"/>
  <c r="Q16" i="15" s="1"/>
  <c r="AH21" i="15"/>
  <c r="P21" i="15"/>
  <c r="Z5" i="12"/>
  <c r="AR5" i="12"/>
  <c r="J124" i="3"/>
  <c r="Z19" i="12"/>
  <c r="AR19" i="12"/>
  <c r="K5" i="12"/>
  <c r="Z6" i="15"/>
  <c r="Z23" i="6"/>
  <c r="K25" i="15" s="1"/>
  <c r="AA25" i="15" s="1"/>
  <c r="Z12" i="15"/>
  <c r="K39" i="12"/>
  <c r="K35" i="8"/>
  <c r="AR11" i="12"/>
  <c r="K21" i="8"/>
  <c r="K11" i="8"/>
  <c r="Z36" i="12"/>
  <c r="K34" i="10"/>
  <c r="Z34" i="10" s="1"/>
  <c r="AR36" i="15"/>
  <c r="AR41" i="15"/>
  <c r="K31" i="8"/>
  <c r="K35" i="10"/>
  <c r="Z35" i="10" s="1"/>
  <c r="K11" i="10"/>
  <c r="Z11" i="10" s="1"/>
  <c r="AR31" i="15"/>
  <c r="K32" i="12"/>
  <c r="AA32" i="12" s="1"/>
  <c r="J144" i="3"/>
  <c r="AR35" i="15"/>
  <c r="K36" i="8"/>
  <c r="K31" i="10"/>
  <c r="Z31" i="10" s="1"/>
  <c r="AR21" i="15"/>
  <c r="K21" i="10"/>
  <c r="Z21" i="10" s="1"/>
  <c r="K34" i="8"/>
  <c r="K36" i="10"/>
  <c r="Z36" i="10" s="1"/>
  <c r="K41" i="8"/>
  <c r="K8" i="8"/>
  <c r="K36" i="12"/>
  <c r="AA36" i="12" s="1"/>
  <c r="K35" i="12"/>
  <c r="AS35" i="12" s="1"/>
  <c r="Z6" i="6"/>
  <c r="K8" i="15" s="1"/>
  <c r="AS8" i="15" s="1"/>
  <c r="Z8" i="12"/>
  <c r="Z19" i="6"/>
  <c r="K21" i="15" s="1"/>
  <c r="AA21" i="15" s="1"/>
  <c r="AR14" i="12"/>
  <c r="AR10" i="15"/>
  <c r="H88" i="10"/>
  <c r="Z9" i="6"/>
  <c r="K11" i="15" s="1"/>
  <c r="AS11" i="15" s="1"/>
  <c r="Z29" i="6"/>
  <c r="K31" i="15" s="1"/>
  <c r="AA31" i="15" s="1"/>
  <c r="AR31" i="12"/>
  <c r="AR21" i="12"/>
  <c r="Z39" i="6"/>
  <c r="K41" i="15" s="1"/>
  <c r="AA41" i="15" s="1"/>
  <c r="K14" i="8"/>
  <c r="H83" i="10"/>
  <c r="J140" i="3"/>
  <c r="AA19" i="6" s="1"/>
  <c r="L21" i="15" s="1"/>
  <c r="AB21" i="15" s="1"/>
  <c r="J150" i="3"/>
  <c r="AA29" i="6" s="1"/>
  <c r="L31" i="15" s="1"/>
  <c r="AB31" i="15" s="1"/>
  <c r="J127" i="3"/>
  <c r="L8" i="12" s="1"/>
  <c r="K14" i="12"/>
  <c r="AA14" i="12" s="1"/>
  <c r="H90" i="10"/>
  <c r="Z18" i="15"/>
  <c r="W119" i="10"/>
  <c r="AR39" i="15"/>
  <c r="AR32" i="15"/>
  <c r="Z12" i="6"/>
  <c r="K14" i="15" s="1"/>
  <c r="AA14" i="15" s="1"/>
  <c r="H91" i="10"/>
  <c r="H86" i="10"/>
  <c r="K32" i="8"/>
  <c r="K39" i="10"/>
  <c r="Z39" i="10" s="1"/>
  <c r="H82" i="10"/>
  <c r="Z7" i="15"/>
  <c r="K39" i="8"/>
  <c r="K32" i="10"/>
  <c r="Z32" i="10" s="1"/>
  <c r="H81" i="10"/>
  <c r="H87" i="10"/>
  <c r="Z8" i="15"/>
  <c r="Z13" i="15"/>
  <c r="AR16" i="15"/>
  <c r="Z14" i="15"/>
  <c r="AR11" i="15"/>
  <c r="Z16" i="15"/>
  <c r="AR14" i="15"/>
  <c r="AR8" i="15"/>
  <c r="Z11" i="15"/>
  <c r="AR13" i="15"/>
  <c r="AR34" i="12"/>
  <c r="AR34" i="15"/>
  <c r="Z32" i="6"/>
  <c r="K34" i="15" s="1"/>
  <c r="AA34" i="15" s="1"/>
  <c r="K34" i="12"/>
  <c r="AA34" i="12" s="1"/>
  <c r="K33" i="10"/>
  <c r="Z33" i="10" s="1"/>
  <c r="K33" i="8"/>
  <c r="AR33" i="15"/>
  <c r="Z33" i="12"/>
  <c r="AR33" i="12"/>
  <c r="Z31" i="6"/>
  <c r="K33" i="15" s="1"/>
  <c r="AA33" i="15" s="1"/>
  <c r="K33" i="12"/>
  <c r="K58" i="10"/>
  <c r="Z58" i="10" s="1"/>
  <c r="K58" i="8"/>
  <c r="AR58" i="15"/>
  <c r="Z58" i="12"/>
  <c r="AR58" i="12"/>
  <c r="K57" i="10"/>
  <c r="K57" i="8"/>
  <c r="Z57" i="12"/>
  <c r="AR57" i="12"/>
  <c r="AR57" i="15"/>
  <c r="K56" i="10"/>
  <c r="K56" i="8"/>
  <c r="Z56" i="12"/>
  <c r="AR56" i="12"/>
  <c r="AR56" i="15"/>
  <c r="Z48" i="12"/>
  <c r="AR48" i="12"/>
  <c r="AR47" i="12"/>
  <c r="K46" i="10"/>
  <c r="K46" i="8"/>
  <c r="Z46" i="12"/>
  <c r="AR46" i="12"/>
  <c r="K28" i="10"/>
  <c r="Z28" i="10" s="1"/>
  <c r="K28" i="8"/>
  <c r="Z28" i="12"/>
  <c r="AR28" i="12"/>
  <c r="AR28" i="15"/>
  <c r="Z26" i="6"/>
  <c r="K28" i="15" s="1"/>
  <c r="AA28" i="15" s="1"/>
  <c r="K28" i="12"/>
  <c r="AS28" i="12" s="1"/>
  <c r="J147" i="3"/>
  <c r="AA26" i="6" s="1"/>
  <c r="L28" i="15" s="1"/>
  <c r="AB28" i="15" s="1"/>
  <c r="K22" i="10"/>
  <c r="Z22" i="10" s="1"/>
  <c r="K22" i="8"/>
  <c r="Z22" i="12"/>
  <c r="AR22" i="12"/>
  <c r="AR22" i="15"/>
  <c r="Z20" i="6"/>
  <c r="K22" i="15" s="1"/>
  <c r="AA22" i="15" s="1"/>
  <c r="K22" i="12"/>
  <c r="AS22" i="12" s="1"/>
  <c r="J141" i="3"/>
  <c r="AA20" i="6" s="1"/>
  <c r="L22" i="15" s="1"/>
  <c r="AB22" i="15" s="1"/>
  <c r="K43" i="10"/>
  <c r="Z43" i="10" s="1"/>
  <c r="K43" i="8"/>
  <c r="Z43" i="12"/>
  <c r="AR43" i="12"/>
  <c r="AR43" i="15"/>
  <c r="Z41" i="6"/>
  <c r="K43" i="15" s="1"/>
  <c r="AA43" i="15" s="1"/>
  <c r="K43" i="12"/>
  <c r="AA43" i="12" s="1"/>
  <c r="Y59" i="10"/>
  <c r="K13" i="10"/>
  <c r="Z13" i="10" s="1"/>
  <c r="K13" i="8"/>
  <c r="Z13" i="12"/>
  <c r="AR13" i="12"/>
  <c r="Z11" i="6"/>
  <c r="K13" i="15" s="1"/>
  <c r="K13" i="12"/>
  <c r="AS13" i="12" s="1"/>
  <c r="J132" i="3"/>
  <c r="L13" i="12" s="1"/>
  <c r="K17" i="10"/>
  <c r="Z17" i="10" s="1"/>
  <c r="K17" i="8"/>
  <c r="Z17" i="12"/>
  <c r="AR17" i="12"/>
  <c r="Z15" i="6"/>
  <c r="K17" i="15" s="1"/>
  <c r="K17" i="12"/>
  <c r="AS17" i="12" s="1"/>
  <c r="J136" i="3"/>
  <c r="L17" i="12" s="1"/>
  <c r="K16" i="10"/>
  <c r="Z16" i="10" s="1"/>
  <c r="K16" i="8"/>
  <c r="Z16" i="12"/>
  <c r="AR16" i="12"/>
  <c r="Z14" i="6"/>
  <c r="K16" i="15" s="1"/>
  <c r="K16" i="12"/>
  <c r="AA16" i="12" s="1"/>
  <c r="J135" i="3"/>
  <c r="K135" i="3" s="1"/>
  <c r="K9" i="10"/>
  <c r="Z9" i="10" s="1"/>
  <c r="K9" i="8"/>
  <c r="Z9" i="12"/>
  <c r="AR9" i="12"/>
  <c r="Z7" i="6"/>
  <c r="K9" i="15" s="1"/>
  <c r="K9" i="12"/>
  <c r="AA9" i="12" s="1"/>
  <c r="J128" i="3"/>
  <c r="K128" i="3" s="1"/>
  <c r="K30" i="10"/>
  <c r="Z30" i="10" s="1"/>
  <c r="K30" i="8"/>
  <c r="Z30" i="12"/>
  <c r="AR30" i="12"/>
  <c r="AR30" i="15"/>
  <c r="Z28" i="6"/>
  <c r="K30" i="15" s="1"/>
  <c r="AA30" i="15" s="1"/>
  <c r="K30" i="12"/>
  <c r="AA30" i="12" s="1"/>
  <c r="J149" i="3"/>
  <c r="AA28" i="6" s="1"/>
  <c r="L30" i="15" s="1"/>
  <c r="AB30" i="15" s="1"/>
  <c r="K25" i="10"/>
  <c r="Z25" i="10" s="1"/>
  <c r="K25" i="8"/>
  <c r="AR25" i="15"/>
  <c r="Z18" i="6"/>
  <c r="K20" i="15" s="1"/>
  <c r="AA20" i="15" s="1"/>
  <c r="K20" i="12"/>
  <c r="AA20" i="12" s="1"/>
  <c r="J139" i="3"/>
  <c r="AR20" i="15"/>
  <c r="Z20" i="12"/>
  <c r="AR20" i="12"/>
  <c r="K20" i="10"/>
  <c r="Z20" i="10" s="1"/>
  <c r="K20" i="8"/>
  <c r="I120" i="10"/>
  <c r="V133" i="10"/>
  <c r="Y126" i="10"/>
  <c r="K55" i="10"/>
  <c r="Z55" i="10" s="1"/>
  <c r="K55" i="8"/>
  <c r="Z55" i="12"/>
  <c r="AR55" i="12"/>
  <c r="AR55" i="15"/>
  <c r="J151" i="3"/>
  <c r="AA30" i="6" s="1"/>
  <c r="L32" i="15" s="1"/>
  <c r="AB32" i="15" s="1"/>
  <c r="K24" i="10"/>
  <c r="Z24" i="10" s="1"/>
  <c r="K24" i="8"/>
  <c r="AR24" i="15"/>
  <c r="Z24" i="12"/>
  <c r="AR24" i="12"/>
  <c r="Z22" i="6"/>
  <c r="K24" i="15" s="1"/>
  <c r="AA24" i="15" s="1"/>
  <c r="K24" i="12"/>
  <c r="AA24" i="12" s="1"/>
  <c r="J143" i="3"/>
  <c r="AA22" i="6" s="1"/>
  <c r="L24" i="15" s="1"/>
  <c r="AB24" i="15" s="1"/>
  <c r="K7" i="10"/>
  <c r="Z7" i="10" s="1"/>
  <c r="K7" i="8"/>
  <c r="Z7" i="12"/>
  <c r="AR7" i="12"/>
  <c r="Z5" i="6"/>
  <c r="K7" i="15" s="1"/>
  <c r="K7" i="12"/>
  <c r="AA7" i="12" s="1"/>
  <c r="J126" i="3"/>
  <c r="AA5" i="6" s="1"/>
  <c r="L7" i="15" s="1"/>
  <c r="K27" i="10"/>
  <c r="Z27" i="10" s="1"/>
  <c r="K27" i="8"/>
  <c r="Z27" i="12"/>
  <c r="AR27" i="12"/>
  <c r="AR27" i="15"/>
  <c r="Z25" i="6"/>
  <c r="K27" i="15" s="1"/>
  <c r="AA27" i="15" s="1"/>
  <c r="K27" i="12"/>
  <c r="J146" i="3"/>
  <c r="K10" i="10"/>
  <c r="Z10" i="10" s="1"/>
  <c r="K10" i="8"/>
  <c r="Z10" i="12"/>
  <c r="AR10" i="12"/>
  <c r="Z8" i="6"/>
  <c r="K10" i="15" s="1"/>
  <c r="AS10" i="15" s="1"/>
  <c r="K10" i="12"/>
  <c r="J129" i="3"/>
  <c r="K42" i="10"/>
  <c r="Z42" i="10" s="1"/>
  <c r="K42" i="8"/>
  <c r="AR42" i="15"/>
  <c r="Z42" i="12"/>
  <c r="AR42" i="12"/>
  <c r="Z40" i="6"/>
  <c r="K42" i="15" s="1"/>
  <c r="AA42" i="15" s="1"/>
  <c r="K42" i="12"/>
  <c r="K37" i="10"/>
  <c r="Z37" i="10" s="1"/>
  <c r="K37" i="8"/>
  <c r="AR37" i="15"/>
  <c r="Z37" i="12"/>
  <c r="AR37" i="12"/>
  <c r="Z35" i="6"/>
  <c r="K37" i="15" s="1"/>
  <c r="AA37" i="15" s="1"/>
  <c r="K37" i="12"/>
  <c r="K12" i="10"/>
  <c r="Z12" i="10" s="1"/>
  <c r="K12" i="8"/>
  <c r="Z12" i="12"/>
  <c r="AR12" i="12"/>
  <c r="Z10" i="6"/>
  <c r="K12" i="15" s="1"/>
  <c r="K12" i="12"/>
  <c r="J131" i="3"/>
  <c r="K23" i="10"/>
  <c r="Z23" i="10" s="1"/>
  <c r="K23" i="8"/>
  <c r="Z23" i="12"/>
  <c r="AR23" i="12"/>
  <c r="AR23" i="15"/>
  <c r="Y125" i="10"/>
  <c r="Z21" i="6"/>
  <c r="K23" i="15" s="1"/>
  <c r="AA23" i="15" s="1"/>
  <c r="K23" i="12"/>
  <c r="J142" i="3"/>
  <c r="K18" i="10"/>
  <c r="Z18" i="10" s="1"/>
  <c r="K18" i="8"/>
  <c r="Z18" i="12"/>
  <c r="AR18" i="12"/>
  <c r="Z16" i="6"/>
  <c r="K18" i="15" s="1"/>
  <c r="K18" i="12"/>
  <c r="J137" i="3"/>
  <c r="K26" i="10"/>
  <c r="Z26" i="10" s="1"/>
  <c r="K26" i="8"/>
  <c r="Z26" i="12"/>
  <c r="AR26" i="12"/>
  <c r="AR26" i="15"/>
  <c r="Z24" i="6"/>
  <c r="K26" i="15" s="1"/>
  <c r="AA26" i="15" s="1"/>
  <c r="K26" i="12"/>
  <c r="J145" i="3"/>
  <c r="K6" i="10"/>
  <c r="Z6" i="10" s="1"/>
  <c r="K6" i="8"/>
  <c r="Z6" i="12"/>
  <c r="AR6" i="12"/>
  <c r="Z4" i="6"/>
  <c r="K6" i="15" s="1"/>
  <c r="K6" i="12"/>
  <c r="J125" i="3"/>
  <c r="K40" i="10"/>
  <c r="Z40" i="10" s="1"/>
  <c r="K40" i="8"/>
  <c r="AR40" i="15"/>
  <c r="Z40" i="12"/>
  <c r="AR40" i="12"/>
  <c r="Z38" i="6"/>
  <c r="K40" i="15" s="1"/>
  <c r="AA40" i="15" s="1"/>
  <c r="K40" i="12"/>
  <c r="K38" i="10"/>
  <c r="Z38" i="10" s="1"/>
  <c r="K38" i="8"/>
  <c r="AR38" i="15"/>
  <c r="Z38" i="12"/>
  <c r="AR38" i="12"/>
  <c r="Z36" i="6"/>
  <c r="K38" i="15" s="1"/>
  <c r="AA38" i="15" s="1"/>
  <c r="K38" i="12"/>
  <c r="Z27" i="6"/>
  <c r="K29" i="15" s="1"/>
  <c r="AA29" i="15" s="1"/>
  <c r="K29" i="12"/>
  <c r="J148" i="3"/>
  <c r="AR29" i="15"/>
  <c r="Z29" i="12"/>
  <c r="AR29" i="12"/>
  <c r="K29" i="10"/>
  <c r="Z29" i="10" s="1"/>
  <c r="K29" i="8"/>
  <c r="Z17" i="15"/>
  <c r="AR17" i="15"/>
  <c r="AR9" i="15"/>
  <c r="Z9" i="15"/>
  <c r="H107" i="10"/>
  <c r="H94" i="10"/>
  <c r="V132" i="10"/>
  <c r="H99" i="10"/>
  <c r="H108" i="10"/>
  <c r="H118" i="10"/>
  <c r="H117" i="10"/>
  <c r="H116" i="10"/>
  <c r="H115" i="10"/>
  <c r="H114" i="10"/>
  <c r="H113" i="10"/>
  <c r="H112" i="10"/>
  <c r="H111" i="10"/>
  <c r="H110" i="10"/>
  <c r="H98" i="10"/>
  <c r="H100" i="10"/>
  <c r="H103" i="10"/>
  <c r="H97" i="10"/>
  <c r="H102" i="10"/>
  <c r="H101" i="10"/>
  <c r="H105" i="10"/>
  <c r="H106" i="10"/>
  <c r="H109" i="10"/>
  <c r="H104" i="10"/>
  <c r="H84" i="10"/>
  <c r="H89" i="10"/>
  <c r="H93" i="10"/>
  <c r="H96" i="10"/>
  <c r="H95" i="10"/>
  <c r="H85" i="10"/>
  <c r="H96" i="8"/>
  <c r="H93" i="8"/>
  <c r="H89" i="8"/>
  <c r="H92" i="8"/>
  <c r="H91" i="8"/>
  <c r="H90" i="8"/>
  <c r="H87" i="8"/>
  <c r="H86" i="8"/>
  <c r="H85" i="8"/>
  <c r="H110" i="8"/>
  <c r="H111" i="8"/>
  <c r="H112" i="8"/>
  <c r="H113" i="8"/>
  <c r="H114" i="8"/>
  <c r="H115" i="8"/>
  <c r="H116" i="8"/>
  <c r="H117" i="8"/>
  <c r="H118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V134" i="10"/>
  <c r="X129" i="10"/>
  <c r="AR48" i="15"/>
  <c r="Z48" i="15"/>
  <c r="AR47" i="15"/>
  <c r="Z47" i="15"/>
  <c r="AR46" i="15"/>
  <c r="Z46" i="15"/>
  <c r="AS5" i="15"/>
  <c r="AA5" i="15"/>
  <c r="AS19" i="15"/>
  <c r="AA19" i="15"/>
  <c r="AA15" i="15"/>
  <c r="AS15" i="15"/>
  <c r="AA8" i="15"/>
  <c r="H94" i="8"/>
  <c r="I120" i="8"/>
  <c r="H81" i="8"/>
  <c r="K54" i="10"/>
  <c r="K54" i="8"/>
  <c r="Z54" i="12"/>
  <c r="AR54" i="12"/>
  <c r="AR54" i="15"/>
  <c r="K53" i="10"/>
  <c r="K53" i="8"/>
  <c r="Z53" i="12"/>
  <c r="AR53" i="12"/>
  <c r="AR53" i="15"/>
  <c r="K52" i="10"/>
  <c r="K52" i="8"/>
  <c r="Z52" i="12"/>
  <c r="AR52" i="12"/>
  <c r="AR52" i="15"/>
  <c r="K51" i="10"/>
  <c r="K51" i="8"/>
  <c r="AR51" i="15"/>
  <c r="Z51" i="12"/>
  <c r="AR51" i="12"/>
  <c r="K50" i="10"/>
  <c r="K50" i="8"/>
  <c r="Z50" i="12"/>
  <c r="AR50" i="12"/>
  <c r="AR50" i="15"/>
  <c r="K49" i="10"/>
  <c r="K49" i="8"/>
  <c r="Z49" i="12"/>
  <c r="AR49" i="12"/>
  <c r="AR49" i="15"/>
  <c r="K48" i="10"/>
  <c r="K48" i="8"/>
  <c r="K47" i="10"/>
  <c r="K47" i="8"/>
  <c r="Z47" i="12"/>
  <c r="H88" i="8"/>
  <c r="K45" i="10"/>
  <c r="K45" i="8"/>
  <c r="AR45" i="15"/>
  <c r="Z45" i="12"/>
  <c r="AR45" i="12"/>
  <c r="K44" i="10"/>
  <c r="K44" i="8"/>
  <c r="AR44" i="15"/>
  <c r="Z44" i="12"/>
  <c r="AR44" i="12"/>
  <c r="Y64" i="10"/>
  <c r="Y63" i="10"/>
  <c r="Y61" i="10"/>
  <c r="Y60" i="10"/>
  <c r="H82" i="8"/>
  <c r="H95" i="8"/>
  <c r="H84" i="8"/>
  <c r="H83" i="8"/>
  <c r="Y127" i="10"/>
  <c r="Y124" i="10"/>
  <c r="Z5" i="10"/>
  <c r="L5" i="10"/>
  <c r="L5" i="8"/>
  <c r="AS5" i="12"/>
  <c r="AA3" i="6"/>
  <c r="L5" i="15" s="1"/>
  <c r="L5" i="12"/>
  <c r="K124" i="3"/>
  <c r="L19" i="10"/>
  <c r="AA19" i="10" s="1"/>
  <c r="L19" i="8"/>
  <c r="AA19" i="12"/>
  <c r="AS19" i="12"/>
  <c r="AA17" i="6"/>
  <c r="L19" i="15" s="1"/>
  <c r="L19" i="12"/>
  <c r="K138" i="3"/>
  <c r="L15" i="10"/>
  <c r="AA15" i="10" s="1"/>
  <c r="L15" i="8"/>
  <c r="AA15" i="12"/>
  <c r="AS15" i="12"/>
  <c r="AA13" i="6"/>
  <c r="L15" i="15" s="1"/>
  <c r="L15" i="12"/>
  <c r="K134" i="3"/>
  <c r="AA12" i="6"/>
  <c r="L14" i="15" s="1"/>
  <c r="L14" i="12"/>
  <c r="K133" i="3"/>
  <c r="AA8" i="12"/>
  <c r="AS8" i="12"/>
  <c r="AA31" i="12"/>
  <c r="AS31" i="12"/>
  <c r="L21" i="10"/>
  <c r="AA21" i="10" s="1"/>
  <c r="L21" i="8"/>
  <c r="AS21" i="15"/>
  <c r="AA21" i="12"/>
  <c r="AS21" i="12"/>
  <c r="AA41" i="12"/>
  <c r="AS41" i="12"/>
  <c r="AA11" i="12"/>
  <c r="AS11" i="12"/>
  <c r="AA9" i="6"/>
  <c r="L11" i="15" s="1"/>
  <c r="L11" i="12"/>
  <c r="K130" i="3"/>
  <c r="L36" i="10"/>
  <c r="L36" i="8"/>
  <c r="AS36" i="15"/>
  <c r="L35" i="10"/>
  <c r="L35" i="8"/>
  <c r="AS35" i="15"/>
  <c r="L34" i="10"/>
  <c r="L34" i="8"/>
  <c r="AS34" i="15"/>
  <c r="AA33" i="12"/>
  <c r="AS33" i="12"/>
  <c r="L28" i="8"/>
  <c r="AA22" i="12"/>
  <c r="L22" i="12"/>
  <c r="L25" i="10"/>
  <c r="AA25" i="10" s="1"/>
  <c r="L25" i="8"/>
  <c r="AA25" i="12"/>
  <c r="AS25" i="12"/>
  <c r="AS25" i="15"/>
  <c r="AA23" i="6"/>
  <c r="L25" i="15" s="1"/>
  <c r="AB25" i="15" s="1"/>
  <c r="L25" i="12"/>
  <c r="L39" i="10"/>
  <c r="L39" i="8"/>
  <c r="AS39" i="15"/>
  <c r="AA39" i="12"/>
  <c r="AS39" i="12"/>
  <c r="L32" i="10"/>
  <c r="AA32" i="10" s="1"/>
  <c r="L32" i="8"/>
  <c r="AS32" i="15"/>
  <c r="E16" i="14" l="1"/>
  <c r="R17" i="15" s="1"/>
  <c r="G16" i="14"/>
  <c r="AJ17" i="15" s="1"/>
  <c r="D16" i="14"/>
  <c r="Q17" i="15" s="1"/>
  <c r="F16" i="14"/>
  <c r="AI17" i="15" s="1"/>
  <c r="C17" i="14"/>
  <c r="AA5" i="12"/>
  <c r="L8" i="10"/>
  <c r="AA8" i="10" s="1"/>
  <c r="L41" i="10"/>
  <c r="L41" i="8"/>
  <c r="AS41" i="15"/>
  <c r="Z56" i="10"/>
  <c r="Z46" i="10"/>
  <c r="AA13" i="12"/>
  <c r="AA17" i="12"/>
  <c r="L16" i="10"/>
  <c r="AA16" i="10" s="1"/>
  <c r="L9" i="10"/>
  <c r="AA9" i="10" s="1"/>
  <c r="L9" i="8"/>
  <c r="L30" i="8"/>
  <c r="Z57" i="10"/>
  <c r="L13" i="10"/>
  <c r="AA13" i="10" s="1"/>
  <c r="L16" i="12"/>
  <c r="L30" i="10"/>
  <c r="AA30" i="10" s="1"/>
  <c r="AS30" i="15"/>
  <c r="AS20" i="15"/>
  <c r="AA18" i="6"/>
  <c r="L20" i="15" s="1"/>
  <c r="AB20" i="15" s="1"/>
  <c r="L20" i="12"/>
  <c r="L32" i="12"/>
  <c r="L8" i="8"/>
  <c r="L20" i="8"/>
  <c r="L20" i="10"/>
  <c r="AA20" i="10" s="1"/>
  <c r="L24" i="12"/>
  <c r="L28" i="12"/>
  <c r="AS14" i="12"/>
  <c r="AS33" i="15"/>
  <c r="L33" i="8"/>
  <c r="L33" i="10"/>
  <c r="AS20" i="12"/>
  <c r="AS34" i="12"/>
  <c r="AS9" i="12"/>
  <c r="AS32" i="12"/>
  <c r="AS30" i="12"/>
  <c r="L16" i="8"/>
  <c r="L28" i="10"/>
  <c r="AA28" i="10" s="1"/>
  <c r="L14" i="10"/>
  <c r="AA14" i="10" s="1"/>
  <c r="L11" i="8"/>
  <c r="AS22" i="15"/>
  <c r="L11" i="10"/>
  <c r="AA11" i="10" s="1"/>
  <c r="AS24" i="15"/>
  <c r="L24" i="8"/>
  <c r="AS43" i="12"/>
  <c r="L22" i="8"/>
  <c r="AA35" i="12"/>
  <c r="L31" i="10"/>
  <c r="AA31" i="10" s="1"/>
  <c r="AA11" i="15"/>
  <c r="K136" i="3"/>
  <c r="L22" i="10"/>
  <c r="AA22" i="10" s="1"/>
  <c r="K127" i="3"/>
  <c r="L31" i="8"/>
  <c r="L24" i="10"/>
  <c r="AA24" i="10" s="1"/>
  <c r="L7" i="12"/>
  <c r="L43" i="8"/>
  <c r="L31" i="12"/>
  <c r="AB31" i="12" s="1"/>
  <c r="AA15" i="6"/>
  <c r="L17" i="15" s="1"/>
  <c r="AT17" i="15" s="1"/>
  <c r="L43" i="10"/>
  <c r="AA43" i="10" s="1"/>
  <c r="AA6" i="6"/>
  <c r="L8" i="15" s="1"/>
  <c r="AS43" i="15"/>
  <c r="AS7" i="12"/>
  <c r="AS28" i="15"/>
  <c r="AS36" i="12"/>
  <c r="AS31" i="15"/>
  <c r="AS14" i="15"/>
  <c r="AA28" i="12"/>
  <c r="L14" i="8"/>
  <c r="AA14" i="6"/>
  <c r="L16" i="15" s="1"/>
  <c r="AT16" i="15" s="1"/>
  <c r="L9" i="12"/>
  <c r="L21" i="12"/>
  <c r="AA11" i="6"/>
  <c r="L13" i="15" s="1"/>
  <c r="AT13" i="15" s="1"/>
  <c r="L7" i="8"/>
  <c r="L7" i="10"/>
  <c r="AA7" i="10" s="1"/>
  <c r="L13" i="8"/>
  <c r="L30" i="12"/>
  <c r="AT30" i="12" s="1"/>
  <c r="L17" i="10"/>
  <c r="AA17" i="10" s="1"/>
  <c r="AA10" i="15"/>
  <c r="AS24" i="12"/>
  <c r="AA7" i="6"/>
  <c r="L9" i="15" s="1"/>
  <c r="AB9" i="15" s="1"/>
  <c r="AS16" i="12"/>
  <c r="L17" i="8"/>
  <c r="K132" i="3"/>
  <c r="AB11" i="6" s="1"/>
  <c r="M13" i="15" s="1"/>
  <c r="I77" i="10"/>
  <c r="I78" i="10"/>
  <c r="I76" i="10"/>
  <c r="I80" i="10"/>
  <c r="I75" i="10"/>
  <c r="I79" i="10"/>
  <c r="AS13" i="15"/>
  <c r="AA13" i="15"/>
  <c r="AA17" i="15"/>
  <c r="AS17" i="15"/>
  <c r="AA16" i="15"/>
  <c r="AS16" i="15"/>
  <c r="AS9" i="15"/>
  <c r="AA9" i="15"/>
  <c r="AA7" i="15"/>
  <c r="AS7" i="15"/>
  <c r="AS12" i="15"/>
  <c r="AA12" i="15"/>
  <c r="AA18" i="15"/>
  <c r="AS18" i="15"/>
  <c r="AA6" i="15"/>
  <c r="AS6" i="15"/>
  <c r="Z126" i="10"/>
  <c r="Z125" i="10"/>
  <c r="J120" i="10"/>
  <c r="K126" i="3"/>
  <c r="L27" i="10"/>
  <c r="AA27" i="10" s="1"/>
  <c r="L27" i="8"/>
  <c r="AA27" i="12"/>
  <c r="AS27" i="12"/>
  <c r="AS27" i="15"/>
  <c r="AA25" i="6"/>
  <c r="L27" i="15" s="1"/>
  <c r="AB27" i="15" s="1"/>
  <c r="L27" i="12"/>
  <c r="L10" i="10"/>
  <c r="AA10" i="10" s="1"/>
  <c r="L10" i="8"/>
  <c r="AA10" i="12"/>
  <c r="AS10" i="12"/>
  <c r="AA8" i="6"/>
  <c r="L10" i="15" s="1"/>
  <c r="L10" i="12"/>
  <c r="K129" i="3"/>
  <c r="L42" i="10"/>
  <c r="L42" i="8"/>
  <c r="AA42" i="12"/>
  <c r="AS42" i="12"/>
  <c r="AS42" i="15"/>
  <c r="L37" i="10"/>
  <c r="L37" i="8"/>
  <c r="AS37" i="15"/>
  <c r="AA37" i="12"/>
  <c r="AS37" i="12"/>
  <c r="L12" i="10"/>
  <c r="AA12" i="10" s="1"/>
  <c r="L12" i="8"/>
  <c r="AA12" i="12"/>
  <c r="AS12" i="12"/>
  <c r="AA10" i="6"/>
  <c r="L12" i="15" s="1"/>
  <c r="L12" i="12"/>
  <c r="K131" i="3"/>
  <c r="L23" i="10"/>
  <c r="AA23" i="10" s="1"/>
  <c r="L23" i="8"/>
  <c r="AS23" i="15"/>
  <c r="AA23" i="12"/>
  <c r="AS23" i="12"/>
  <c r="AA21" i="6"/>
  <c r="L23" i="15" s="1"/>
  <c r="AB23" i="15" s="1"/>
  <c r="L23" i="12"/>
  <c r="L18" i="10"/>
  <c r="AA18" i="10" s="1"/>
  <c r="L18" i="8"/>
  <c r="AA18" i="12"/>
  <c r="AS18" i="12"/>
  <c r="AA16" i="6"/>
  <c r="L18" i="15" s="1"/>
  <c r="L18" i="12"/>
  <c r="K137" i="3"/>
  <c r="L26" i="10"/>
  <c r="AA26" i="10" s="1"/>
  <c r="L26" i="8"/>
  <c r="AA26" i="12"/>
  <c r="AS26" i="12"/>
  <c r="AS26" i="15"/>
  <c r="AA24" i="6"/>
  <c r="L26" i="15" s="1"/>
  <c r="AB26" i="15" s="1"/>
  <c r="L26" i="12"/>
  <c r="L6" i="10"/>
  <c r="AA6" i="10" s="1"/>
  <c r="L6" i="8"/>
  <c r="AA6" i="12"/>
  <c r="AS6" i="12"/>
  <c r="AA4" i="6"/>
  <c r="L6" i="15" s="1"/>
  <c r="L6" i="12"/>
  <c r="K125" i="3"/>
  <c r="L40" i="10"/>
  <c r="L40" i="8"/>
  <c r="AS40" i="15"/>
  <c r="AA40" i="12"/>
  <c r="AS40" i="12"/>
  <c r="L38" i="10"/>
  <c r="L38" i="8"/>
  <c r="AA38" i="12"/>
  <c r="AS38" i="12"/>
  <c r="AS38" i="15"/>
  <c r="L29" i="10"/>
  <c r="AA29" i="10" s="1"/>
  <c r="L29" i="8"/>
  <c r="AA29" i="12"/>
  <c r="AS29" i="12"/>
  <c r="AS29" i="15"/>
  <c r="AA27" i="6"/>
  <c r="L29" i="15" s="1"/>
  <c r="AB29" i="15" s="1"/>
  <c r="L29" i="12"/>
  <c r="I86" i="10"/>
  <c r="I91" i="10"/>
  <c r="I92" i="10"/>
  <c r="I87" i="10"/>
  <c r="I90" i="10"/>
  <c r="I88" i="10"/>
  <c r="I83" i="10"/>
  <c r="I81" i="10"/>
  <c r="I82" i="10"/>
  <c r="W132" i="10"/>
  <c r="W133" i="10"/>
  <c r="W131" i="10"/>
  <c r="W134" i="10"/>
  <c r="X130" i="10" s="1"/>
  <c r="I99" i="10"/>
  <c r="I108" i="10"/>
  <c r="I118" i="10"/>
  <c r="I117" i="10"/>
  <c r="I116" i="10"/>
  <c r="I115" i="10"/>
  <c r="I114" i="10"/>
  <c r="I112" i="10"/>
  <c r="I111" i="10"/>
  <c r="I110" i="10"/>
  <c r="I98" i="10"/>
  <c r="I100" i="10"/>
  <c r="I103" i="10"/>
  <c r="I97" i="10"/>
  <c r="I102" i="10"/>
  <c r="I101" i="10"/>
  <c r="I105" i="10"/>
  <c r="I106" i="10"/>
  <c r="I109" i="10"/>
  <c r="I104" i="10"/>
  <c r="I107" i="10"/>
  <c r="I84" i="10"/>
  <c r="I89" i="10"/>
  <c r="I93" i="10"/>
  <c r="I96" i="10"/>
  <c r="I94" i="10"/>
  <c r="I95" i="10"/>
  <c r="I85" i="10"/>
  <c r="I113" i="10"/>
  <c r="AT5" i="15"/>
  <c r="AB5" i="15"/>
  <c r="AB19" i="15"/>
  <c r="AT19" i="15"/>
  <c r="AB15" i="15"/>
  <c r="AT15" i="15"/>
  <c r="AB14" i="15"/>
  <c r="AT14" i="15"/>
  <c r="AB11" i="15"/>
  <c r="AT11" i="15"/>
  <c r="AT7" i="15"/>
  <c r="AB7" i="15"/>
  <c r="Y128" i="10"/>
  <c r="I83" i="8"/>
  <c r="I82" i="8"/>
  <c r="I92" i="8"/>
  <c r="I87" i="8"/>
  <c r="I91" i="8"/>
  <c r="I81" i="8"/>
  <c r="I88" i="8"/>
  <c r="I95" i="8"/>
  <c r="I94" i="8"/>
  <c r="I84" i="8"/>
  <c r="I96" i="8"/>
  <c r="I93" i="8"/>
  <c r="I89" i="8"/>
  <c r="I90" i="8"/>
  <c r="X119" i="10"/>
  <c r="Z54" i="10"/>
  <c r="Z53" i="10"/>
  <c r="Z52" i="10"/>
  <c r="Z51" i="10"/>
  <c r="Z50" i="10"/>
  <c r="Z49" i="10"/>
  <c r="Z48" i="10"/>
  <c r="Z47" i="10"/>
  <c r="Z45" i="10"/>
  <c r="Z44" i="10"/>
  <c r="I77" i="8"/>
  <c r="I85" i="8"/>
  <c r="I114" i="8"/>
  <c r="I117" i="8"/>
  <c r="I100" i="8"/>
  <c r="I103" i="8"/>
  <c r="I75" i="8"/>
  <c r="I76" i="8"/>
  <c r="I80" i="8"/>
  <c r="I110" i="8"/>
  <c r="I111" i="8"/>
  <c r="I113" i="8"/>
  <c r="I116" i="8"/>
  <c r="I97" i="8"/>
  <c r="I99" i="8"/>
  <c r="I102" i="8"/>
  <c r="I104" i="8"/>
  <c r="I106" i="8"/>
  <c r="I109" i="8"/>
  <c r="I79" i="8"/>
  <c r="I78" i="8"/>
  <c r="I86" i="8"/>
  <c r="I112" i="8"/>
  <c r="I115" i="8"/>
  <c r="I118" i="8"/>
  <c r="I98" i="8"/>
  <c r="I101" i="8"/>
  <c r="I105" i="8"/>
  <c r="I107" i="8"/>
  <c r="I108" i="8"/>
  <c r="J120" i="8"/>
  <c r="Z124" i="10"/>
  <c r="AA5" i="10"/>
  <c r="M5" i="10"/>
  <c r="M5" i="8"/>
  <c r="AB5" i="12"/>
  <c r="AT5" i="12"/>
  <c r="AB3" i="6"/>
  <c r="M5" i="15" s="1"/>
  <c r="M5" i="12"/>
  <c r="M19" i="10"/>
  <c r="AB19" i="10" s="1"/>
  <c r="M19" i="8"/>
  <c r="AB19" i="12"/>
  <c r="AT19" i="12"/>
  <c r="AB17" i="6"/>
  <c r="M19" i="15" s="1"/>
  <c r="M19" i="12"/>
  <c r="M15" i="10"/>
  <c r="AB15" i="10" s="1"/>
  <c r="M15" i="8"/>
  <c r="AB15" i="12"/>
  <c r="AT15" i="12"/>
  <c r="AB13" i="6"/>
  <c r="M15" i="15" s="1"/>
  <c r="M15" i="12"/>
  <c r="M14" i="10"/>
  <c r="AB14" i="10" s="1"/>
  <c r="M14" i="8"/>
  <c r="AB14" i="12"/>
  <c r="AT14" i="12"/>
  <c r="AB12" i="6"/>
  <c r="M14" i="15" s="1"/>
  <c r="M14" i="12"/>
  <c r="AB8" i="12"/>
  <c r="AT8" i="12"/>
  <c r="M31" i="10"/>
  <c r="M31" i="8"/>
  <c r="N31" i="8" s="1"/>
  <c r="O31" i="8" s="1"/>
  <c r="AT31" i="15"/>
  <c r="M21" i="10"/>
  <c r="M21" i="8"/>
  <c r="N21" i="8" s="1"/>
  <c r="O21" i="8" s="1"/>
  <c r="AT21" i="15"/>
  <c r="M11" i="10"/>
  <c r="AB11" i="10" s="1"/>
  <c r="M11" i="8"/>
  <c r="AB11" i="12"/>
  <c r="AT11" i="12"/>
  <c r="AB9" i="6"/>
  <c r="M11" i="15" s="1"/>
  <c r="M11" i="12"/>
  <c r="AA36" i="10"/>
  <c r="AA35" i="10"/>
  <c r="AA34" i="10"/>
  <c r="M28" i="10"/>
  <c r="M28" i="8"/>
  <c r="N28" i="8" s="1"/>
  <c r="O28" i="8" s="1"/>
  <c r="AT28" i="15"/>
  <c r="M22" i="10"/>
  <c r="M22" i="8"/>
  <c r="N22" i="8" s="1"/>
  <c r="O22" i="8" s="1"/>
  <c r="AB22" i="12"/>
  <c r="AT22" i="12"/>
  <c r="AT22" i="15"/>
  <c r="AB13" i="12"/>
  <c r="AT13" i="12"/>
  <c r="AB17" i="12"/>
  <c r="AT17" i="12"/>
  <c r="AB14" i="6"/>
  <c r="M16" i="15" s="1"/>
  <c r="M16" i="12"/>
  <c r="AB9" i="12"/>
  <c r="AT9" i="12"/>
  <c r="AB7" i="6"/>
  <c r="M9" i="15" s="1"/>
  <c r="M9" i="12"/>
  <c r="M30" i="10"/>
  <c r="M30" i="8"/>
  <c r="N30" i="8" s="1"/>
  <c r="O30" i="8" s="1"/>
  <c r="AT30" i="15"/>
  <c r="M25" i="10"/>
  <c r="M25" i="8"/>
  <c r="N25" i="8" s="1"/>
  <c r="O25" i="8" s="1"/>
  <c r="AB25" i="12"/>
  <c r="AT25" i="12"/>
  <c r="AT25" i="15"/>
  <c r="AA39" i="10"/>
  <c r="M32" i="10"/>
  <c r="M32" i="8"/>
  <c r="N32" i="8" s="1"/>
  <c r="O32" i="8" s="1"/>
  <c r="AT32" i="15"/>
  <c r="M24" i="10"/>
  <c r="M24" i="8"/>
  <c r="N24" i="8" s="1"/>
  <c r="O24" i="8" s="1"/>
  <c r="AT24" i="15"/>
  <c r="M7" i="10"/>
  <c r="AB7" i="10" s="1"/>
  <c r="M7" i="8"/>
  <c r="C18" i="14" l="1"/>
  <c r="E17" i="14"/>
  <c r="R18" i="15" s="1"/>
  <c r="G17" i="14"/>
  <c r="AJ18" i="15" s="1"/>
  <c r="D17" i="14"/>
  <c r="Q18" i="15" s="1"/>
  <c r="F17" i="14"/>
  <c r="AI18" i="15" s="1"/>
  <c r="AT8" i="15"/>
  <c r="AB8" i="15"/>
  <c r="AB16" i="15"/>
  <c r="AB10" i="15"/>
  <c r="AT10" i="15"/>
  <c r="AB15" i="6"/>
  <c r="M17" i="15" s="1"/>
  <c r="AT20" i="15"/>
  <c r="AB6" i="6"/>
  <c r="M8" i="15" s="1"/>
  <c r="M8" i="12"/>
  <c r="AB21" i="12"/>
  <c r="AT28" i="12"/>
  <c r="M17" i="12"/>
  <c r="AB16" i="12"/>
  <c r="AT16" i="12"/>
  <c r="AT7" i="12"/>
  <c r="M20" i="10"/>
  <c r="AB20" i="12"/>
  <c r="AT21" i="12"/>
  <c r="AA41" i="10"/>
  <c r="AA33" i="10"/>
  <c r="AB28" i="12"/>
  <c r="AT20" i="12"/>
  <c r="AB32" i="12"/>
  <c r="AT32" i="12"/>
  <c r="AB24" i="12"/>
  <c r="AT24" i="12"/>
  <c r="AB7" i="12"/>
  <c r="M20" i="8"/>
  <c r="N20" i="8" s="1"/>
  <c r="O20" i="8" s="1"/>
  <c r="M8" i="8"/>
  <c r="M8" i="10"/>
  <c r="AB8" i="10" s="1"/>
  <c r="M9" i="8"/>
  <c r="AT9" i="15"/>
  <c r="M9" i="10"/>
  <c r="AB9" i="10" s="1"/>
  <c r="M13" i="8"/>
  <c r="M13" i="10"/>
  <c r="AB13" i="10" s="1"/>
  <c r="M16" i="8"/>
  <c r="M16" i="10"/>
  <c r="AB16" i="10" s="1"/>
  <c r="M17" i="10"/>
  <c r="AB17" i="10" s="1"/>
  <c r="AB13" i="15"/>
  <c r="AB17" i="15"/>
  <c r="AT31" i="12"/>
  <c r="M17" i="8"/>
  <c r="AB30" i="12"/>
  <c r="M13" i="12"/>
  <c r="AC13" i="12" s="1"/>
  <c r="J68" i="10"/>
  <c r="J71" i="10"/>
  <c r="J72" i="10"/>
  <c r="AB12" i="15"/>
  <c r="AT12" i="15"/>
  <c r="AT18" i="15"/>
  <c r="AB18" i="15"/>
  <c r="AT6" i="15"/>
  <c r="AB6" i="15"/>
  <c r="J74" i="10"/>
  <c r="J66" i="10"/>
  <c r="J67" i="10"/>
  <c r="J69" i="10"/>
  <c r="J70" i="10"/>
  <c r="J73" i="10"/>
  <c r="J65" i="10"/>
  <c r="X134" i="10"/>
  <c r="Y129" i="10" s="1"/>
  <c r="Y119" i="10"/>
  <c r="K120" i="10"/>
  <c r="AB5" i="6"/>
  <c r="M7" i="15" s="1"/>
  <c r="M7" i="12"/>
  <c r="M27" i="10"/>
  <c r="K120" i="8"/>
  <c r="J77" i="10"/>
  <c r="J78" i="10"/>
  <c r="J76" i="10"/>
  <c r="J80" i="10"/>
  <c r="J75" i="10"/>
  <c r="J79" i="10"/>
  <c r="J86" i="10"/>
  <c r="J91" i="10"/>
  <c r="J92" i="10"/>
  <c r="J87" i="10"/>
  <c r="J90" i="10"/>
  <c r="J83" i="10"/>
  <c r="J81" i="10"/>
  <c r="J82" i="10"/>
  <c r="M27" i="8"/>
  <c r="N27" i="8" s="1"/>
  <c r="O27" i="8" s="1"/>
  <c r="AB27" i="12"/>
  <c r="AT27" i="12"/>
  <c r="AT27" i="15"/>
  <c r="M10" i="10"/>
  <c r="AB10" i="10" s="1"/>
  <c r="M10" i="8"/>
  <c r="AB10" i="12"/>
  <c r="AT10" i="12"/>
  <c r="AB8" i="6"/>
  <c r="M10" i="15" s="1"/>
  <c r="M10" i="12"/>
  <c r="AU10" i="12" s="1"/>
  <c r="AA42" i="10"/>
  <c r="AA37" i="10"/>
  <c r="M12" i="10"/>
  <c r="AB12" i="10" s="1"/>
  <c r="M12" i="8"/>
  <c r="AB12" i="12"/>
  <c r="AT12" i="12"/>
  <c r="AB10" i="6"/>
  <c r="M12" i="15" s="1"/>
  <c r="M12" i="12"/>
  <c r="M23" i="10"/>
  <c r="AB23" i="10" s="1"/>
  <c r="M23" i="8"/>
  <c r="N23" i="8" s="1"/>
  <c r="O23" i="8" s="1"/>
  <c r="R23" i="8" s="1"/>
  <c r="AB23" i="12"/>
  <c r="AT23" i="12"/>
  <c r="AT23" i="15"/>
  <c r="M18" i="10"/>
  <c r="AB18" i="10" s="1"/>
  <c r="M18" i="8"/>
  <c r="AB18" i="12"/>
  <c r="AT18" i="12"/>
  <c r="AB16" i="6"/>
  <c r="M18" i="15" s="1"/>
  <c r="M18" i="12"/>
  <c r="M26" i="10"/>
  <c r="AB26" i="10" s="1"/>
  <c r="M26" i="8"/>
  <c r="N26" i="8" s="1"/>
  <c r="O26" i="8" s="1"/>
  <c r="Q26" i="8" s="1"/>
  <c r="AB26" i="12"/>
  <c r="AT26" i="12"/>
  <c r="AT26" i="15"/>
  <c r="M6" i="10"/>
  <c r="AB6" i="10" s="1"/>
  <c r="M6" i="8"/>
  <c r="AB6" i="12"/>
  <c r="AT6" i="12"/>
  <c r="AB4" i="6"/>
  <c r="M6" i="15" s="1"/>
  <c r="M6" i="12"/>
  <c r="AA40" i="10"/>
  <c r="AA38" i="10"/>
  <c r="M29" i="10"/>
  <c r="M29" i="8"/>
  <c r="N29" i="8" s="1"/>
  <c r="O29" i="8" s="1"/>
  <c r="AB29" i="12"/>
  <c r="AT29" i="12"/>
  <c r="AT29" i="15"/>
  <c r="AA125" i="10"/>
  <c r="J88" i="10"/>
  <c r="J105" i="8"/>
  <c r="J107" i="8"/>
  <c r="J109" i="8"/>
  <c r="X133" i="10"/>
  <c r="X132" i="10"/>
  <c r="X131" i="10"/>
  <c r="J99" i="10"/>
  <c r="J108" i="10"/>
  <c r="J118" i="10"/>
  <c r="J117" i="10"/>
  <c r="J116" i="10"/>
  <c r="J115" i="10"/>
  <c r="J114" i="10"/>
  <c r="J112" i="10"/>
  <c r="J111" i="10"/>
  <c r="J110" i="10"/>
  <c r="J98" i="10"/>
  <c r="J100" i="10"/>
  <c r="J103" i="10"/>
  <c r="J97" i="10"/>
  <c r="J102" i="10"/>
  <c r="J101" i="10"/>
  <c r="J105" i="10"/>
  <c r="J106" i="10"/>
  <c r="J109" i="10"/>
  <c r="J104" i="10"/>
  <c r="J107" i="10"/>
  <c r="J84" i="10"/>
  <c r="J89" i="10"/>
  <c r="J93" i="10"/>
  <c r="J96" i="10"/>
  <c r="J94" i="10"/>
  <c r="J95" i="10"/>
  <c r="J85" i="10"/>
  <c r="J113" i="10"/>
  <c r="J104" i="8"/>
  <c r="J106" i="8"/>
  <c r="J108" i="8"/>
  <c r="AC5" i="15"/>
  <c r="AU5" i="15"/>
  <c r="AU19" i="15"/>
  <c r="AC19" i="15"/>
  <c r="AC15" i="15"/>
  <c r="AU15" i="15"/>
  <c r="AU14" i="15"/>
  <c r="AC14" i="15"/>
  <c r="AU8" i="15"/>
  <c r="AC8" i="15"/>
  <c r="AU11" i="15"/>
  <c r="AC11" i="15"/>
  <c r="AU13" i="15"/>
  <c r="AC13" i="15"/>
  <c r="AC16" i="15"/>
  <c r="AU16" i="15"/>
  <c r="AC9" i="15"/>
  <c r="AU9" i="15"/>
  <c r="J110" i="8"/>
  <c r="J78" i="8"/>
  <c r="J113" i="8"/>
  <c r="J97" i="8"/>
  <c r="J85" i="8"/>
  <c r="J76" i="8"/>
  <c r="J80" i="8"/>
  <c r="J112" i="8"/>
  <c r="J116" i="8"/>
  <c r="J100" i="8"/>
  <c r="J102" i="8"/>
  <c r="J86" i="8"/>
  <c r="J75" i="8"/>
  <c r="J111" i="8"/>
  <c r="J115" i="8"/>
  <c r="J118" i="8"/>
  <c r="J99" i="8"/>
  <c r="J65" i="8"/>
  <c r="J71" i="8"/>
  <c r="J70" i="8"/>
  <c r="J69" i="8"/>
  <c r="J68" i="8"/>
  <c r="J67" i="8"/>
  <c r="J66" i="8"/>
  <c r="J72" i="8"/>
  <c r="J74" i="8"/>
  <c r="J73" i="8"/>
  <c r="J87" i="8"/>
  <c r="J90" i="8"/>
  <c r="J91" i="8"/>
  <c r="J92" i="8"/>
  <c r="J89" i="8"/>
  <c r="J93" i="8"/>
  <c r="J96" i="8"/>
  <c r="J84" i="8"/>
  <c r="J94" i="8"/>
  <c r="J95" i="8"/>
  <c r="J88" i="8"/>
  <c r="J81" i="8"/>
  <c r="J82" i="8"/>
  <c r="J83" i="8"/>
  <c r="Z127" i="10"/>
  <c r="J79" i="8"/>
  <c r="J77" i="8"/>
  <c r="J114" i="8"/>
  <c r="J117" i="8"/>
  <c r="J98" i="8"/>
  <c r="J101" i="8"/>
  <c r="J103" i="8"/>
  <c r="AA124" i="10"/>
  <c r="AB5" i="10"/>
  <c r="N5" i="10"/>
  <c r="N5" i="8"/>
  <c r="AC5" i="12"/>
  <c r="AU5" i="12"/>
  <c r="N19" i="10"/>
  <c r="N19" i="8"/>
  <c r="O19" i="8" s="1"/>
  <c r="AC19" i="12"/>
  <c r="AU19" i="12"/>
  <c r="N15" i="10"/>
  <c r="N15" i="8"/>
  <c r="O15" i="8" s="1"/>
  <c r="AC15" i="12"/>
  <c r="AU15" i="12"/>
  <c r="N14" i="10"/>
  <c r="N14" i="8"/>
  <c r="O14" i="8" s="1"/>
  <c r="AC14" i="12"/>
  <c r="AU14" i="12"/>
  <c r="N8" i="10"/>
  <c r="N8" i="8"/>
  <c r="O8" i="8" s="1"/>
  <c r="AC8" i="12"/>
  <c r="AU8" i="12"/>
  <c r="AB31" i="10"/>
  <c r="N31" i="10"/>
  <c r="O31" i="10" s="1"/>
  <c r="R31" i="8"/>
  <c r="Q31" i="8"/>
  <c r="J30" i="14"/>
  <c r="AB21" i="10"/>
  <c r="N21" i="10"/>
  <c r="O21" i="10" s="1"/>
  <c r="R21" i="8"/>
  <c r="Q21" i="8"/>
  <c r="J20" i="14"/>
  <c r="N11" i="10"/>
  <c r="N11" i="8"/>
  <c r="O11" i="8" s="1"/>
  <c r="R11" i="8" s="1"/>
  <c r="AC11" i="12"/>
  <c r="AU11" i="12"/>
  <c r="AB28" i="10"/>
  <c r="N28" i="10"/>
  <c r="O28" i="10" s="1"/>
  <c r="R28" i="8"/>
  <c r="Q28" i="8"/>
  <c r="J27" i="14"/>
  <c r="AB22" i="10"/>
  <c r="N22" i="10"/>
  <c r="O22" i="10" s="1"/>
  <c r="R22" i="8"/>
  <c r="Q22" i="8"/>
  <c r="J21" i="14"/>
  <c r="N13" i="10"/>
  <c r="N13" i="8"/>
  <c r="O13" i="8" s="1"/>
  <c r="N17" i="10"/>
  <c r="N17" i="8"/>
  <c r="O17" i="8" s="1"/>
  <c r="AC17" i="12"/>
  <c r="AU17" i="12"/>
  <c r="N16" i="10"/>
  <c r="N16" i="8"/>
  <c r="O16" i="8" s="1"/>
  <c r="AC16" i="12"/>
  <c r="AU16" i="12"/>
  <c r="N9" i="10"/>
  <c r="N9" i="8"/>
  <c r="O9" i="8" s="1"/>
  <c r="AC9" i="12"/>
  <c r="AU9" i="12"/>
  <c r="AB30" i="10"/>
  <c r="N30" i="10"/>
  <c r="O30" i="10" s="1"/>
  <c r="R30" i="8"/>
  <c r="Q30" i="8"/>
  <c r="J29" i="14"/>
  <c r="AB25" i="10"/>
  <c r="N25" i="10"/>
  <c r="O25" i="10" s="1"/>
  <c r="R25" i="8"/>
  <c r="Q25" i="8"/>
  <c r="J24" i="14"/>
  <c r="AB32" i="10"/>
  <c r="N32" i="10"/>
  <c r="O32" i="10" s="1"/>
  <c r="R32" i="8"/>
  <c r="Q32" i="8"/>
  <c r="J31" i="14"/>
  <c r="AB24" i="10"/>
  <c r="N24" i="10"/>
  <c r="O24" i="10" s="1"/>
  <c r="R24" i="8"/>
  <c r="Q24" i="8"/>
  <c r="J23" i="14"/>
  <c r="AB20" i="10"/>
  <c r="N20" i="10"/>
  <c r="O20" i="10" s="1"/>
  <c r="R20" i="8"/>
  <c r="Q20" i="8"/>
  <c r="J19" i="14"/>
  <c r="E18" i="14" l="1"/>
  <c r="R19" i="15" s="1"/>
  <c r="G18" i="14"/>
  <c r="AJ19" i="15" s="1"/>
  <c r="D18" i="14"/>
  <c r="Q19" i="15" s="1"/>
  <c r="F18" i="14"/>
  <c r="AI19" i="15" s="1"/>
  <c r="C19" i="14"/>
  <c r="AC17" i="15"/>
  <c r="AU17" i="15"/>
  <c r="AC12" i="12"/>
  <c r="AU12" i="12"/>
  <c r="N12" i="8"/>
  <c r="O12" i="8" s="1"/>
  <c r="N12" i="10"/>
  <c r="AU13" i="12"/>
  <c r="J25" i="14"/>
  <c r="AA126" i="10"/>
  <c r="N26" i="10"/>
  <c r="O26" i="10" s="1"/>
  <c r="R26" i="8"/>
  <c r="AC10" i="12"/>
  <c r="N23" i="10"/>
  <c r="O23" i="10" s="1"/>
  <c r="N23" i="15" s="1"/>
  <c r="N18" i="8"/>
  <c r="O18" i="8" s="1"/>
  <c r="R18" i="8" s="1"/>
  <c r="N18" i="10"/>
  <c r="AC18" i="10" s="1"/>
  <c r="J22" i="14"/>
  <c r="Q23" i="8"/>
  <c r="AU18" i="12"/>
  <c r="N6" i="10"/>
  <c r="AC6" i="10" s="1"/>
  <c r="AU6" i="12"/>
  <c r="AB29" i="10"/>
  <c r="AC6" i="12"/>
  <c r="AC18" i="12"/>
  <c r="N6" i="8"/>
  <c r="O6" i="8" s="1"/>
  <c r="J5" i="14" s="1"/>
  <c r="N29" i="10"/>
  <c r="O29" i="10" s="1"/>
  <c r="C29" i="10" s="1"/>
  <c r="AU7" i="15"/>
  <c r="AC7" i="15"/>
  <c r="AU10" i="15"/>
  <c r="AC10" i="15"/>
  <c r="AU12" i="15"/>
  <c r="AC12" i="15"/>
  <c r="AC18" i="15"/>
  <c r="AU18" i="15"/>
  <c r="AU6" i="15"/>
  <c r="AC6" i="15"/>
  <c r="Y132" i="10"/>
  <c r="Y131" i="10"/>
  <c r="Y130" i="10"/>
  <c r="Y133" i="10"/>
  <c r="K99" i="10"/>
  <c r="K108" i="10"/>
  <c r="K118" i="10"/>
  <c r="K117" i="10"/>
  <c r="K116" i="10"/>
  <c r="K115" i="10"/>
  <c r="K114" i="10"/>
  <c r="K112" i="10"/>
  <c r="K111" i="10"/>
  <c r="K110" i="10"/>
  <c r="K98" i="10"/>
  <c r="K100" i="10"/>
  <c r="K103" i="10"/>
  <c r="K97" i="10"/>
  <c r="K77" i="10"/>
  <c r="K78" i="10"/>
  <c r="K76" i="10"/>
  <c r="K80" i="10"/>
  <c r="K75" i="10"/>
  <c r="K79" i="10"/>
  <c r="Z119" i="10"/>
  <c r="K59" i="10"/>
  <c r="K60" i="10"/>
  <c r="K61" i="10"/>
  <c r="K64" i="10"/>
  <c r="K62" i="10"/>
  <c r="L120" i="10"/>
  <c r="K92" i="10"/>
  <c r="K90" i="10"/>
  <c r="K83" i="10"/>
  <c r="K82" i="10"/>
  <c r="K87" i="10"/>
  <c r="K63" i="10"/>
  <c r="K86" i="10"/>
  <c r="K88" i="10"/>
  <c r="N7" i="10"/>
  <c r="N7" i="8"/>
  <c r="O7" i="8" s="1"/>
  <c r="AC7" i="12"/>
  <c r="AU7" i="12"/>
  <c r="AB27" i="10"/>
  <c r="N27" i="10"/>
  <c r="O27" i="10" s="1"/>
  <c r="R27" i="8"/>
  <c r="Q27" i="8"/>
  <c r="J26" i="14"/>
  <c r="N10" i="10"/>
  <c r="N10" i="8"/>
  <c r="O10" i="8" s="1"/>
  <c r="K91" i="10"/>
  <c r="K81" i="10"/>
  <c r="R29" i="8"/>
  <c r="Q29" i="8"/>
  <c r="J28" i="14"/>
  <c r="K64" i="8"/>
  <c r="K63" i="8"/>
  <c r="K62" i="8"/>
  <c r="K61" i="8"/>
  <c r="K60" i="8"/>
  <c r="K59" i="8"/>
  <c r="K66" i="10"/>
  <c r="K67" i="10"/>
  <c r="K68" i="10"/>
  <c r="K69" i="10"/>
  <c r="K70" i="10"/>
  <c r="K71" i="10"/>
  <c r="K73" i="10"/>
  <c r="K74" i="10"/>
  <c r="K72" i="10"/>
  <c r="K65" i="10"/>
  <c r="L120" i="8"/>
  <c r="K102" i="10"/>
  <c r="K101" i="10"/>
  <c r="K105" i="10"/>
  <c r="K107" i="8"/>
  <c r="K105" i="8"/>
  <c r="K102" i="8"/>
  <c r="K99" i="8"/>
  <c r="K106" i="8"/>
  <c r="K78" i="8"/>
  <c r="K76" i="8"/>
  <c r="K109" i="10"/>
  <c r="K107" i="10"/>
  <c r="K93" i="10"/>
  <c r="K94" i="10"/>
  <c r="K85" i="10"/>
  <c r="K108" i="8"/>
  <c r="K104" i="8"/>
  <c r="K100" i="8"/>
  <c r="K109" i="8"/>
  <c r="K113" i="8"/>
  <c r="K80" i="8"/>
  <c r="K106" i="10"/>
  <c r="K104" i="10"/>
  <c r="K84" i="10"/>
  <c r="K89" i="10"/>
  <c r="K96" i="10"/>
  <c r="K95" i="10"/>
  <c r="K113" i="10"/>
  <c r="K65" i="8"/>
  <c r="K71" i="8"/>
  <c r="K70" i="8"/>
  <c r="K69" i="8"/>
  <c r="K68" i="8"/>
  <c r="K67" i="8"/>
  <c r="K66" i="8"/>
  <c r="K72" i="8"/>
  <c r="K74" i="8"/>
  <c r="K73" i="8"/>
  <c r="K87" i="8"/>
  <c r="K90" i="8"/>
  <c r="K91" i="8"/>
  <c r="K92" i="8"/>
  <c r="K89" i="8"/>
  <c r="K93" i="8"/>
  <c r="K96" i="8"/>
  <c r="K97" i="8"/>
  <c r="K117" i="8"/>
  <c r="K116" i="8"/>
  <c r="K114" i="8"/>
  <c r="K112" i="8"/>
  <c r="K111" i="8"/>
  <c r="K110" i="8"/>
  <c r="K86" i="8"/>
  <c r="K103" i="8"/>
  <c r="K101" i="8"/>
  <c r="K98" i="8"/>
  <c r="K118" i="8"/>
  <c r="K115" i="8"/>
  <c r="K85" i="8"/>
  <c r="K77" i="8"/>
  <c r="K75" i="8"/>
  <c r="K79" i="8"/>
  <c r="K84" i="8"/>
  <c r="K94" i="8"/>
  <c r="K95" i="8"/>
  <c r="K88" i="8"/>
  <c r="K81" i="8"/>
  <c r="K82" i="8"/>
  <c r="K83" i="8"/>
  <c r="Y134" i="10"/>
  <c r="AB124" i="10"/>
  <c r="O5" i="10"/>
  <c r="AC5" i="10"/>
  <c r="O5" i="8"/>
  <c r="AC19" i="10"/>
  <c r="O19" i="10"/>
  <c r="R19" i="8"/>
  <c r="Q19" i="8"/>
  <c r="J18" i="14"/>
  <c r="AC15" i="10"/>
  <c r="O15" i="10"/>
  <c r="R15" i="8"/>
  <c r="Q15" i="8"/>
  <c r="J14" i="14"/>
  <c r="AC14" i="10"/>
  <c r="O14" i="10"/>
  <c r="R14" i="8"/>
  <c r="Q14" i="8"/>
  <c r="J13" i="14"/>
  <c r="O8" i="10"/>
  <c r="AC8" i="10"/>
  <c r="R8" i="8"/>
  <c r="Q8" i="8"/>
  <c r="J7" i="14"/>
  <c r="Q31" i="10"/>
  <c r="R31" i="10"/>
  <c r="C31" i="10"/>
  <c r="P31" i="10"/>
  <c r="N31" i="12"/>
  <c r="N31" i="15"/>
  <c r="Q21" i="10"/>
  <c r="R21" i="10"/>
  <c r="C21" i="10"/>
  <c r="P21" i="10"/>
  <c r="N21" i="12"/>
  <c r="N21" i="15"/>
  <c r="AC11" i="10"/>
  <c r="O11" i="10"/>
  <c r="Q11" i="8"/>
  <c r="J10" i="14"/>
  <c r="Q28" i="10"/>
  <c r="R28" i="10"/>
  <c r="C28" i="10"/>
  <c r="P28" i="10"/>
  <c r="N28" i="12"/>
  <c r="N28" i="15"/>
  <c r="Q22" i="10"/>
  <c r="R22" i="10"/>
  <c r="C22" i="10"/>
  <c r="P22" i="10"/>
  <c r="N22" i="12"/>
  <c r="N22" i="15"/>
  <c r="AC13" i="10"/>
  <c r="O13" i="10"/>
  <c r="R13" i="8"/>
  <c r="Q13" i="8"/>
  <c r="J12" i="14"/>
  <c r="AC17" i="10"/>
  <c r="O17" i="10"/>
  <c r="R17" i="8"/>
  <c r="Q17" i="8"/>
  <c r="J16" i="14"/>
  <c r="O16" i="10"/>
  <c r="AC16" i="10"/>
  <c r="R16" i="8"/>
  <c r="Q16" i="8"/>
  <c r="J15" i="14"/>
  <c r="O9" i="10"/>
  <c r="AC9" i="10"/>
  <c r="R9" i="8"/>
  <c r="Q9" i="8"/>
  <c r="J8" i="14"/>
  <c r="Q30" i="10"/>
  <c r="R30" i="10"/>
  <c r="C30" i="10"/>
  <c r="P30" i="10"/>
  <c r="N30" i="12"/>
  <c r="N30" i="15"/>
  <c r="Q25" i="10"/>
  <c r="R25" i="10"/>
  <c r="C25" i="10"/>
  <c r="P25" i="10"/>
  <c r="N25" i="12"/>
  <c r="N25" i="15"/>
  <c r="Q32" i="10"/>
  <c r="R32" i="10"/>
  <c r="C32" i="10"/>
  <c r="P32" i="10"/>
  <c r="N32" i="12"/>
  <c r="N32" i="15"/>
  <c r="Q24" i="10"/>
  <c r="R24" i="10"/>
  <c r="C24" i="10"/>
  <c r="P24" i="10"/>
  <c r="N24" i="12"/>
  <c r="N24" i="15"/>
  <c r="AC12" i="10"/>
  <c r="O12" i="10"/>
  <c r="R12" i="8"/>
  <c r="Q12" i="8"/>
  <c r="J11" i="14"/>
  <c r="Q20" i="10"/>
  <c r="R20" i="10"/>
  <c r="C20" i="10"/>
  <c r="P20" i="10"/>
  <c r="N20" i="12"/>
  <c r="N20" i="15"/>
  <c r="F19" i="14" l="1"/>
  <c r="AI20" i="15" s="1"/>
  <c r="C20" i="14"/>
  <c r="D19" i="14"/>
  <c r="Q20" i="15" s="1"/>
  <c r="E19" i="14"/>
  <c r="R20" i="15" s="1"/>
  <c r="G19" i="14"/>
  <c r="AJ20" i="15" s="1"/>
  <c r="Q23" i="10"/>
  <c r="P23" i="10"/>
  <c r="Q26" i="10"/>
  <c r="N26" i="12"/>
  <c r="R23" i="10"/>
  <c r="N23" i="12"/>
  <c r="C26" i="10"/>
  <c r="N26" i="15"/>
  <c r="R26" i="10"/>
  <c r="Z134" i="10"/>
  <c r="AA127" i="10" s="1"/>
  <c r="C23" i="10"/>
  <c r="P26" i="10"/>
  <c r="Q18" i="8"/>
  <c r="Q6" i="8"/>
  <c r="R6" i="8"/>
  <c r="O6" i="10"/>
  <c r="O18" i="10"/>
  <c r="P18" i="10" s="1"/>
  <c r="J17" i="14"/>
  <c r="N29" i="15"/>
  <c r="N29" i="12"/>
  <c r="AD29" i="12" s="1"/>
  <c r="P29" i="10"/>
  <c r="Y10" i="8"/>
  <c r="Z10" i="8"/>
  <c r="R29" i="10"/>
  <c r="Q29" i="10"/>
  <c r="L59" i="8"/>
  <c r="L60" i="8"/>
  <c r="L63" i="8"/>
  <c r="L62" i="8"/>
  <c r="L64" i="8"/>
  <c r="L61" i="8"/>
  <c r="L97" i="8"/>
  <c r="L117" i="8"/>
  <c r="L116" i="8"/>
  <c r="L114" i="8"/>
  <c r="L112" i="8"/>
  <c r="L111" i="8"/>
  <c r="L110" i="8"/>
  <c r="L86" i="8"/>
  <c r="AA119" i="10"/>
  <c r="L79" i="10"/>
  <c r="L75" i="10"/>
  <c r="L80" i="10"/>
  <c r="L76" i="10"/>
  <c r="L78" i="10"/>
  <c r="L77" i="10"/>
  <c r="L97" i="10"/>
  <c r="L103" i="10"/>
  <c r="L100" i="10"/>
  <c r="L98" i="10"/>
  <c r="L110" i="10"/>
  <c r="L111" i="10"/>
  <c r="L112" i="10"/>
  <c r="L114" i="10"/>
  <c r="L115" i="10"/>
  <c r="L116" i="10"/>
  <c r="L117" i="10"/>
  <c r="L118" i="10"/>
  <c r="L108" i="10"/>
  <c r="L99" i="10"/>
  <c r="L44" i="10"/>
  <c r="L45" i="10"/>
  <c r="L46" i="10"/>
  <c r="L47" i="10"/>
  <c r="L48" i="10"/>
  <c r="L49" i="10"/>
  <c r="L50" i="10"/>
  <c r="L51" i="10"/>
  <c r="L52" i="10"/>
  <c r="L53" i="10"/>
  <c r="L54" i="10"/>
  <c r="L55" i="10"/>
  <c r="L56" i="10"/>
  <c r="L57" i="10"/>
  <c r="L58" i="10"/>
  <c r="M120" i="10"/>
  <c r="O7" i="10"/>
  <c r="Q7" i="8"/>
  <c r="R27" i="10"/>
  <c r="P27" i="10"/>
  <c r="O10" i="10"/>
  <c r="L115" i="8"/>
  <c r="L78" i="8"/>
  <c r="L79" i="8"/>
  <c r="L95" i="8"/>
  <c r="L70" i="10"/>
  <c r="L73" i="10"/>
  <c r="L86" i="10"/>
  <c r="L90" i="10"/>
  <c r="L60" i="10"/>
  <c r="L62" i="10"/>
  <c r="M120" i="8"/>
  <c r="R7" i="8"/>
  <c r="Q27" i="10"/>
  <c r="N27" i="12"/>
  <c r="L113" i="8"/>
  <c r="L76" i="8"/>
  <c r="L94" i="8"/>
  <c r="L82" i="8"/>
  <c r="L68" i="10"/>
  <c r="L74" i="10"/>
  <c r="L91" i="10"/>
  <c r="L88" i="10"/>
  <c r="L82" i="10"/>
  <c r="L64" i="10"/>
  <c r="AC7" i="10"/>
  <c r="J6" i="14"/>
  <c r="C27" i="10"/>
  <c r="N27" i="15"/>
  <c r="AC10" i="10"/>
  <c r="L85" i="8"/>
  <c r="L75" i="8"/>
  <c r="L81" i="8"/>
  <c r="L66" i="10"/>
  <c r="L69" i="10"/>
  <c r="L71" i="10"/>
  <c r="L65" i="10"/>
  <c r="L87" i="10"/>
  <c r="L81" i="10"/>
  <c r="L61" i="10"/>
  <c r="R10" i="8"/>
  <c r="Q10" i="8"/>
  <c r="J9" i="14"/>
  <c r="L65" i="8"/>
  <c r="L68" i="8"/>
  <c r="L96" i="8"/>
  <c r="L93" i="8"/>
  <c r="L89" i="8"/>
  <c r="L92" i="8"/>
  <c r="L91" i="8"/>
  <c r="L90" i="8"/>
  <c r="L87" i="8"/>
  <c r="L73" i="8"/>
  <c r="L74" i="8"/>
  <c r="L72" i="8"/>
  <c r="L66" i="8"/>
  <c r="L67" i="8"/>
  <c r="L71" i="8"/>
  <c r="L70" i="8"/>
  <c r="L57" i="8"/>
  <c r="L55" i="8"/>
  <c r="L46" i="8"/>
  <c r="L45" i="8"/>
  <c r="L58" i="8"/>
  <c r="L56" i="8"/>
  <c r="L54" i="8"/>
  <c r="L53" i="8"/>
  <c r="L51" i="8"/>
  <c r="L50" i="8"/>
  <c r="L49" i="8"/>
  <c r="L48" i="8"/>
  <c r="L47" i="8"/>
  <c r="L44" i="8"/>
  <c r="L52" i="8"/>
  <c r="AB125" i="10"/>
  <c r="T20" i="8"/>
  <c r="S20" i="8"/>
  <c r="L98" i="8"/>
  <c r="L118" i="8"/>
  <c r="L77" i="8"/>
  <c r="L80" i="8"/>
  <c r="L84" i="8"/>
  <c r="L88" i="8"/>
  <c r="L83" i="8"/>
  <c r="L67" i="10"/>
  <c r="L72" i="10"/>
  <c r="L92" i="10"/>
  <c r="L83" i="10"/>
  <c r="L59" i="10"/>
  <c r="L63" i="10"/>
  <c r="L107" i="8"/>
  <c r="L108" i="8"/>
  <c r="L105" i="8"/>
  <c r="L104" i="8"/>
  <c r="L102" i="8"/>
  <c r="L100" i="8"/>
  <c r="L99" i="8"/>
  <c r="L109" i="8"/>
  <c r="L106" i="8"/>
  <c r="L105" i="10"/>
  <c r="L101" i="10"/>
  <c r="L102" i="10"/>
  <c r="L106" i="10"/>
  <c r="L109" i="10"/>
  <c r="L104" i="10"/>
  <c r="L107" i="10"/>
  <c r="L84" i="10"/>
  <c r="L89" i="10"/>
  <c r="L93" i="10"/>
  <c r="L96" i="10"/>
  <c r="L94" i="10"/>
  <c r="L95" i="10"/>
  <c r="L85" i="10"/>
  <c r="L113" i="10"/>
  <c r="L103" i="8"/>
  <c r="L101" i="8"/>
  <c r="L69" i="8"/>
  <c r="Z130" i="10"/>
  <c r="AA130" i="10" s="1"/>
  <c r="Z131" i="10"/>
  <c r="AA131" i="10" s="1"/>
  <c r="Z132" i="10"/>
  <c r="AA132" i="10" s="1"/>
  <c r="Z133" i="10"/>
  <c r="AA133" i="10" s="1"/>
  <c r="Z128" i="10"/>
  <c r="AA128" i="10" s="1"/>
  <c r="Z129" i="10"/>
  <c r="AA129" i="10" s="1"/>
  <c r="Q5" i="10"/>
  <c r="R5" i="10"/>
  <c r="C5" i="10"/>
  <c r="P5" i="10"/>
  <c r="N5" i="12"/>
  <c r="N5" i="15"/>
  <c r="R5" i="8"/>
  <c r="Q5" i="8"/>
  <c r="J4" i="14"/>
  <c r="Q19" i="10"/>
  <c r="R19" i="10"/>
  <c r="C19" i="10"/>
  <c r="P19" i="10"/>
  <c r="N19" i="12"/>
  <c r="N19" i="15"/>
  <c r="Q15" i="10"/>
  <c r="R15" i="10"/>
  <c r="C15" i="10"/>
  <c r="P15" i="10"/>
  <c r="N15" i="12"/>
  <c r="N15" i="15"/>
  <c r="Q14" i="10"/>
  <c r="R14" i="10"/>
  <c r="C14" i="10"/>
  <c r="P14" i="10"/>
  <c r="N14" i="12"/>
  <c r="N14" i="15"/>
  <c r="Q8" i="10"/>
  <c r="R8" i="10"/>
  <c r="C8" i="10"/>
  <c r="P8" i="10"/>
  <c r="N8" i="12"/>
  <c r="N8" i="15"/>
  <c r="AD8" i="15" s="1"/>
  <c r="AD31" i="12"/>
  <c r="AV31" i="12"/>
  <c r="AV31" i="15"/>
  <c r="AD31" i="15"/>
  <c r="AD21" i="12"/>
  <c r="AV21" i="12"/>
  <c r="AV21" i="15"/>
  <c r="AD21" i="15"/>
  <c r="Q11" i="10"/>
  <c r="R11" i="10"/>
  <c r="C11" i="10"/>
  <c r="P11" i="10"/>
  <c r="N11" i="12"/>
  <c r="N11" i="15"/>
  <c r="AD28" i="12"/>
  <c r="AV28" i="12"/>
  <c r="AV28" i="15"/>
  <c r="AD28" i="15"/>
  <c r="AD22" i="12"/>
  <c r="AV22" i="12"/>
  <c r="AD22" i="15"/>
  <c r="AV22" i="15"/>
  <c r="Q13" i="10"/>
  <c r="R13" i="10"/>
  <c r="C13" i="10"/>
  <c r="P13" i="10"/>
  <c r="N13" i="12"/>
  <c r="N13" i="15"/>
  <c r="Q17" i="10"/>
  <c r="R17" i="10"/>
  <c r="C17" i="10"/>
  <c r="P17" i="10"/>
  <c r="N17" i="12"/>
  <c r="N17" i="15"/>
  <c r="Q16" i="10"/>
  <c r="R16" i="10"/>
  <c r="C16" i="10"/>
  <c r="P16" i="10"/>
  <c r="N16" i="12"/>
  <c r="N16" i="15"/>
  <c r="Q9" i="10"/>
  <c r="R9" i="10"/>
  <c r="C9" i="10"/>
  <c r="P9" i="10"/>
  <c r="N9" i="12"/>
  <c r="N9" i="15"/>
  <c r="AD30" i="12"/>
  <c r="AV30" i="12"/>
  <c r="AV30" i="15"/>
  <c r="AD30" i="15"/>
  <c r="AD25" i="12"/>
  <c r="AV25" i="12"/>
  <c r="AV25" i="15"/>
  <c r="AD25" i="15"/>
  <c r="AD32" i="12"/>
  <c r="AV32" i="12"/>
  <c r="AV32" i="15"/>
  <c r="AD32" i="15"/>
  <c r="AD24" i="12"/>
  <c r="AV24" i="12"/>
  <c r="AV24" i="15"/>
  <c r="AD24" i="15"/>
  <c r="Q12" i="10"/>
  <c r="R12" i="10"/>
  <c r="C12" i="10"/>
  <c r="P12" i="10"/>
  <c r="N12" i="12"/>
  <c r="N12" i="15"/>
  <c r="AV23" i="15"/>
  <c r="AD23" i="15"/>
  <c r="AD20" i="12"/>
  <c r="AV20" i="12"/>
  <c r="AV20" i="15"/>
  <c r="AD20" i="15"/>
  <c r="D20" i="14" l="1"/>
  <c r="Q21" i="15" s="1"/>
  <c r="F20" i="14"/>
  <c r="AI21" i="15" s="1"/>
  <c r="C21" i="14"/>
  <c r="E20" i="14"/>
  <c r="R21" i="15" s="1"/>
  <c r="G20" i="14"/>
  <c r="AJ21" i="15" s="1"/>
  <c r="AV26" i="12"/>
  <c r="AD26" i="15"/>
  <c r="R6" i="10"/>
  <c r="P6" i="10"/>
  <c r="N6" i="12"/>
  <c r="AV29" i="15"/>
  <c r="AD23" i="12"/>
  <c r="AV23" i="12"/>
  <c r="C18" i="10"/>
  <c r="AD26" i="12"/>
  <c r="AV26" i="15"/>
  <c r="Q6" i="10"/>
  <c r="C6" i="10"/>
  <c r="N6" i="15"/>
  <c r="AD29" i="15"/>
  <c r="AV29" i="12"/>
  <c r="R18" i="10"/>
  <c r="Q18" i="10"/>
  <c r="N18" i="15"/>
  <c r="N18" i="12"/>
  <c r="Y9" i="8"/>
  <c r="Z9" i="8"/>
  <c r="M65" i="8"/>
  <c r="N65" i="8" s="1"/>
  <c r="O65" i="8" s="1"/>
  <c r="M68" i="8"/>
  <c r="N68" i="8" s="1"/>
  <c r="O68" i="8" s="1"/>
  <c r="M96" i="8"/>
  <c r="N96" i="8" s="1"/>
  <c r="O96" i="8" s="1"/>
  <c r="M93" i="8"/>
  <c r="N93" i="8" s="1"/>
  <c r="O93" i="8" s="1"/>
  <c r="M89" i="8"/>
  <c r="N89" i="8" s="1"/>
  <c r="O89" i="8" s="1"/>
  <c r="M92" i="8"/>
  <c r="N92" i="8" s="1"/>
  <c r="O92" i="8" s="1"/>
  <c r="M91" i="8"/>
  <c r="N91" i="8" s="1"/>
  <c r="O91" i="8" s="1"/>
  <c r="M85" i="10"/>
  <c r="N85" i="10" s="1"/>
  <c r="O85" i="10" s="1"/>
  <c r="M67" i="10"/>
  <c r="N67" i="10" s="1"/>
  <c r="O67" i="10" s="1"/>
  <c r="M70" i="10"/>
  <c r="N70" i="10" s="1"/>
  <c r="O70" i="10" s="1"/>
  <c r="M73" i="10"/>
  <c r="N73" i="10" s="1"/>
  <c r="O73" i="10" s="1"/>
  <c r="M72" i="10"/>
  <c r="N72" i="10" s="1"/>
  <c r="O72" i="10" s="1"/>
  <c r="M86" i="10"/>
  <c r="N86" i="10" s="1"/>
  <c r="O86" i="10" s="1"/>
  <c r="M63" i="10"/>
  <c r="N63" i="10" s="1"/>
  <c r="O63" i="10" s="1"/>
  <c r="M105" i="10"/>
  <c r="N105" i="10" s="1"/>
  <c r="O105" i="10" s="1"/>
  <c r="M101" i="10"/>
  <c r="N101" i="10" s="1"/>
  <c r="O101" i="10" s="1"/>
  <c r="M102" i="10"/>
  <c r="N102" i="10" s="1"/>
  <c r="O102" i="10" s="1"/>
  <c r="M79" i="10"/>
  <c r="N79" i="10" s="1"/>
  <c r="O79" i="10" s="1"/>
  <c r="M75" i="10"/>
  <c r="N75" i="10" s="1"/>
  <c r="O75" i="10" s="1"/>
  <c r="M80" i="10"/>
  <c r="N80" i="10" s="1"/>
  <c r="O80" i="10" s="1"/>
  <c r="M76" i="10"/>
  <c r="N76" i="10" s="1"/>
  <c r="O76" i="10" s="1"/>
  <c r="M78" i="10"/>
  <c r="N78" i="10" s="1"/>
  <c r="O78" i="10" s="1"/>
  <c r="M77" i="10"/>
  <c r="N77" i="10" s="1"/>
  <c r="O77" i="10" s="1"/>
  <c r="M97" i="10"/>
  <c r="N97" i="10" s="1"/>
  <c r="O97" i="10" s="1"/>
  <c r="M103" i="10"/>
  <c r="N103" i="10" s="1"/>
  <c r="O103" i="10" s="1"/>
  <c r="M100" i="10"/>
  <c r="N100" i="10" s="1"/>
  <c r="O100" i="10" s="1"/>
  <c r="M98" i="10"/>
  <c r="N98" i="10" s="1"/>
  <c r="O98" i="10" s="1"/>
  <c r="M110" i="10"/>
  <c r="N110" i="10" s="1"/>
  <c r="O110" i="10" s="1"/>
  <c r="M112" i="10"/>
  <c r="N112" i="10" s="1"/>
  <c r="O112" i="10" s="1"/>
  <c r="M114" i="10"/>
  <c r="N114" i="10" s="1"/>
  <c r="O114" i="10" s="1"/>
  <c r="M116" i="10"/>
  <c r="N116" i="10" s="1"/>
  <c r="O116" i="10" s="1"/>
  <c r="M118" i="10"/>
  <c r="N118" i="10" s="1"/>
  <c r="O118" i="10" s="1"/>
  <c r="M99" i="10"/>
  <c r="N99" i="10" s="1"/>
  <c r="O99" i="10" s="1"/>
  <c r="M44" i="10"/>
  <c r="N44" i="10" s="1"/>
  <c r="O44" i="10" s="1"/>
  <c r="M46" i="10"/>
  <c r="N46" i="10" s="1"/>
  <c r="O46" i="10" s="1"/>
  <c r="M48" i="10"/>
  <c r="N48" i="10" s="1"/>
  <c r="O48" i="10" s="1"/>
  <c r="M50" i="10"/>
  <c r="N50" i="10" s="1"/>
  <c r="O50" i="10" s="1"/>
  <c r="M90" i="8"/>
  <c r="N90" i="8" s="1"/>
  <c r="O90" i="8" s="1"/>
  <c r="M87" i="8"/>
  <c r="N87" i="8" s="1"/>
  <c r="O87" i="8" s="1"/>
  <c r="M73" i="8"/>
  <c r="N73" i="8" s="1"/>
  <c r="O73" i="8" s="1"/>
  <c r="M74" i="8"/>
  <c r="N74" i="8" s="1"/>
  <c r="O74" i="8" s="1"/>
  <c r="M72" i="8"/>
  <c r="N72" i="8" s="1"/>
  <c r="O72" i="8" s="1"/>
  <c r="M66" i="8"/>
  <c r="N66" i="8" s="1"/>
  <c r="O66" i="8" s="1"/>
  <c r="M67" i="8"/>
  <c r="N67" i="8" s="1"/>
  <c r="O67" i="8" s="1"/>
  <c r="M71" i="8"/>
  <c r="N71" i="8" s="1"/>
  <c r="O71" i="8" s="1"/>
  <c r="M70" i="8"/>
  <c r="N70" i="8" s="1"/>
  <c r="O70" i="8" s="1"/>
  <c r="M57" i="8"/>
  <c r="N57" i="8" s="1"/>
  <c r="O57" i="8" s="1"/>
  <c r="M55" i="8"/>
  <c r="N55" i="8" s="1"/>
  <c r="O55" i="8" s="1"/>
  <c r="M46" i="8"/>
  <c r="N46" i="8" s="1"/>
  <c r="O46" i="8" s="1"/>
  <c r="M45" i="8"/>
  <c r="N45" i="8" s="1"/>
  <c r="O45" i="8" s="1"/>
  <c r="M58" i="8"/>
  <c r="N58" i="8" s="1"/>
  <c r="O58" i="8" s="1"/>
  <c r="M56" i="8"/>
  <c r="N56" i="8" s="1"/>
  <c r="O56" i="8" s="1"/>
  <c r="M54" i="8"/>
  <c r="N54" i="8" s="1"/>
  <c r="O54" i="8" s="1"/>
  <c r="M53" i="8"/>
  <c r="N53" i="8" s="1"/>
  <c r="O53" i="8" s="1"/>
  <c r="M51" i="8"/>
  <c r="N51" i="8" s="1"/>
  <c r="O51" i="8" s="1"/>
  <c r="M50" i="8"/>
  <c r="N50" i="8" s="1"/>
  <c r="O50" i="8" s="1"/>
  <c r="M49" i="8"/>
  <c r="N49" i="8" s="1"/>
  <c r="O49" i="8" s="1"/>
  <c r="M48" i="8"/>
  <c r="N48" i="8" s="1"/>
  <c r="O48" i="8" s="1"/>
  <c r="M47" i="8"/>
  <c r="N47" i="8" s="1"/>
  <c r="O47" i="8" s="1"/>
  <c r="M44" i="8"/>
  <c r="N44" i="8" s="1"/>
  <c r="O44" i="8" s="1"/>
  <c r="M52" i="8"/>
  <c r="N52" i="8" s="1"/>
  <c r="O52" i="8" s="1"/>
  <c r="M98" i="8"/>
  <c r="N98" i="8" s="1"/>
  <c r="O98" i="8" s="1"/>
  <c r="M118" i="8"/>
  <c r="N118" i="8" s="1"/>
  <c r="O118" i="8" s="1"/>
  <c r="M115" i="8"/>
  <c r="N115" i="8" s="1"/>
  <c r="O115" i="8" s="1"/>
  <c r="M113" i="8"/>
  <c r="N113" i="8" s="1"/>
  <c r="O113" i="8" s="1"/>
  <c r="M85" i="8"/>
  <c r="N85" i="8" s="1"/>
  <c r="O85" i="8" s="1"/>
  <c r="M77" i="8"/>
  <c r="N77" i="8" s="1"/>
  <c r="O77" i="8" s="1"/>
  <c r="M78" i="8"/>
  <c r="N78" i="8" s="1"/>
  <c r="O78" i="8" s="1"/>
  <c r="M80" i="8"/>
  <c r="N80" i="8" s="1"/>
  <c r="O80" i="8" s="1"/>
  <c r="M76" i="8"/>
  <c r="N76" i="8" s="1"/>
  <c r="O76" i="8" s="1"/>
  <c r="M75" i="8"/>
  <c r="N75" i="8" s="1"/>
  <c r="O75" i="8" s="1"/>
  <c r="M79" i="8"/>
  <c r="N79" i="8" s="1"/>
  <c r="O79" i="8" s="1"/>
  <c r="M84" i="8"/>
  <c r="N84" i="8" s="1"/>
  <c r="O84" i="8" s="1"/>
  <c r="M94" i="8"/>
  <c r="N94" i="8" s="1"/>
  <c r="O94" i="8" s="1"/>
  <c r="M95" i="8"/>
  <c r="N95" i="8" s="1"/>
  <c r="O95" i="8" s="1"/>
  <c r="M88" i="8"/>
  <c r="N88" i="8" s="1"/>
  <c r="O88" i="8" s="1"/>
  <c r="N7" i="15"/>
  <c r="AV27" i="15"/>
  <c r="R10" i="10"/>
  <c r="N10" i="15"/>
  <c r="M52" i="10"/>
  <c r="N52" i="10" s="1"/>
  <c r="O52" i="10" s="1"/>
  <c r="M58" i="10"/>
  <c r="N58" i="10" s="1"/>
  <c r="O58" i="10" s="1"/>
  <c r="M81" i="8"/>
  <c r="N81" i="8" s="1"/>
  <c r="O81" i="8" s="1"/>
  <c r="M82" i="8"/>
  <c r="N82" i="8" s="1"/>
  <c r="O82" i="8" s="1"/>
  <c r="M83" i="8"/>
  <c r="N83" i="8" s="1"/>
  <c r="O83" i="8" s="1"/>
  <c r="M106" i="10"/>
  <c r="N106" i="10" s="1"/>
  <c r="O106" i="10" s="1"/>
  <c r="M109" i="10"/>
  <c r="N109" i="10" s="1"/>
  <c r="O109" i="10" s="1"/>
  <c r="M104" i="10"/>
  <c r="N104" i="10" s="1"/>
  <c r="O104" i="10" s="1"/>
  <c r="M107" i="10"/>
  <c r="N107" i="10" s="1"/>
  <c r="O107" i="10" s="1"/>
  <c r="M66" i="10"/>
  <c r="N66" i="10" s="1"/>
  <c r="O66" i="10" s="1"/>
  <c r="M68" i="10"/>
  <c r="N68" i="10" s="1"/>
  <c r="O68" i="10" s="1"/>
  <c r="M69" i="10"/>
  <c r="N69" i="10" s="1"/>
  <c r="O69" i="10" s="1"/>
  <c r="M71" i="10"/>
  <c r="N71" i="10" s="1"/>
  <c r="O71" i="10" s="1"/>
  <c r="M74" i="10"/>
  <c r="N74" i="10" s="1"/>
  <c r="O74" i="10" s="1"/>
  <c r="M65" i="10"/>
  <c r="N65" i="10" s="1"/>
  <c r="O65" i="10" s="1"/>
  <c r="M91" i="10"/>
  <c r="N91" i="10" s="1"/>
  <c r="O91" i="10" s="1"/>
  <c r="M64" i="10"/>
  <c r="N64" i="10" s="1"/>
  <c r="O64" i="10" s="1"/>
  <c r="M92" i="10"/>
  <c r="N92" i="10" s="1"/>
  <c r="O92" i="10" s="1"/>
  <c r="M87" i="10"/>
  <c r="N87" i="10" s="1"/>
  <c r="O87" i="10" s="1"/>
  <c r="M90" i="10"/>
  <c r="N90" i="10" s="1"/>
  <c r="O90" i="10" s="1"/>
  <c r="M88" i="10"/>
  <c r="N88" i="10" s="1"/>
  <c r="O88" i="10" s="1"/>
  <c r="M83" i="10"/>
  <c r="N83" i="10" s="1"/>
  <c r="O83" i="10" s="1"/>
  <c r="M81" i="10"/>
  <c r="N81" i="10" s="1"/>
  <c r="O81" i="10" s="1"/>
  <c r="M82" i="10"/>
  <c r="N82" i="10" s="1"/>
  <c r="O82" i="10" s="1"/>
  <c r="M59" i="10"/>
  <c r="N59" i="10" s="1"/>
  <c r="O59" i="10" s="1"/>
  <c r="M60" i="10"/>
  <c r="N60" i="10" s="1"/>
  <c r="O60" i="10" s="1"/>
  <c r="M61" i="10"/>
  <c r="N61" i="10" s="1"/>
  <c r="O61" i="10" s="1"/>
  <c r="M62" i="10"/>
  <c r="N62" i="10" s="1"/>
  <c r="O62" i="10" s="1"/>
  <c r="M111" i="10"/>
  <c r="N111" i="10" s="1"/>
  <c r="O111" i="10" s="1"/>
  <c r="M115" i="10"/>
  <c r="N115" i="10" s="1"/>
  <c r="O115" i="10" s="1"/>
  <c r="M117" i="10"/>
  <c r="N117" i="10" s="1"/>
  <c r="O117" i="10" s="1"/>
  <c r="M108" i="10"/>
  <c r="N108" i="10" s="1"/>
  <c r="O108" i="10" s="1"/>
  <c r="M45" i="10"/>
  <c r="N45" i="10" s="1"/>
  <c r="O45" i="10" s="1"/>
  <c r="M47" i="10"/>
  <c r="N47" i="10" s="1"/>
  <c r="O47" i="10" s="1"/>
  <c r="M49" i="10"/>
  <c r="N49" i="10" s="1"/>
  <c r="O49" i="10" s="1"/>
  <c r="M38" i="10"/>
  <c r="N38" i="10" s="1"/>
  <c r="O38" i="10" s="1"/>
  <c r="M33" i="10"/>
  <c r="N33" i="10" s="1"/>
  <c r="O33" i="10" s="1"/>
  <c r="M34" i="10"/>
  <c r="N34" i="10" s="1"/>
  <c r="O34" i="10" s="1"/>
  <c r="M41" i="10"/>
  <c r="N41" i="10" s="1"/>
  <c r="O41" i="10" s="1"/>
  <c r="M43" i="10"/>
  <c r="N43" i="10" s="1"/>
  <c r="O43" i="10" s="1"/>
  <c r="M35" i="10"/>
  <c r="N35" i="10" s="1"/>
  <c r="O35" i="10" s="1"/>
  <c r="M36" i="10"/>
  <c r="N36" i="10" s="1"/>
  <c r="O36" i="10" s="1"/>
  <c r="M40" i="10"/>
  <c r="N40" i="10" s="1"/>
  <c r="O40" i="10" s="1"/>
  <c r="M37" i="10"/>
  <c r="N37" i="10" s="1"/>
  <c r="O37" i="10" s="1"/>
  <c r="M42" i="10"/>
  <c r="N42" i="10" s="1"/>
  <c r="O42" i="10" s="1"/>
  <c r="M39" i="10"/>
  <c r="N39" i="10" s="1"/>
  <c r="O39" i="10" s="1"/>
  <c r="AB119" i="10"/>
  <c r="AB134" i="10"/>
  <c r="M106" i="8"/>
  <c r="N106" i="8" s="1"/>
  <c r="O106" i="8" s="1"/>
  <c r="J105" i="14" s="1"/>
  <c r="M111" i="8"/>
  <c r="N111" i="8" s="1"/>
  <c r="O111" i="8" s="1"/>
  <c r="Q111" i="8" s="1"/>
  <c r="M114" i="8"/>
  <c r="N114" i="8" s="1"/>
  <c r="O114" i="8" s="1"/>
  <c r="R114" i="8" s="1"/>
  <c r="M116" i="8"/>
  <c r="N116" i="8" s="1"/>
  <c r="O116" i="8" s="1"/>
  <c r="M109" i="8"/>
  <c r="N109" i="8" s="1"/>
  <c r="O109" i="8" s="1"/>
  <c r="M110" i="8"/>
  <c r="N110" i="8" s="1"/>
  <c r="O110" i="8" s="1"/>
  <c r="M112" i="8"/>
  <c r="N112" i="8" s="1"/>
  <c r="O112" i="8" s="1"/>
  <c r="M117" i="8"/>
  <c r="N117" i="8" s="1"/>
  <c r="O117" i="8" s="1"/>
  <c r="M97" i="8"/>
  <c r="N97" i="8" s="1"/>
  <c r="O97" i="8" s="1"/>
  <c r="M99" i="8"/>
  <c r="N99" i="8" s="1"/>
  <c r="O99" i="8" s="1"/>
  <c r="M100" i="8"/>
  <c r="N100" i="8" s="1"/>
  <c r="O100" i="8" s="1"/>
  <c r="M102" i="8"/>
  <c r="N102" i="8" s="1"/>
  <c r="O102" i="8" s="1"/>
  <c r="M104" i="8"/>
  <c r="N104" i="8" s="1"/>
  <c r="O104" i="8" s="1"/>
  <c r="M105" i="8"/>
  <c r="N105" i="8" s="1"/>
  <c r="O105" i="8" s="1"/>
  <c r="M107" i="8"/>
  <c r="N107" i="8" s="1"/>
  <c r="O107" i="8" s="1"/>
  <c r="M108" i="8"/>
  <c r="N108" i="8" s="1"/>
  <c r="O108" i="8" s="1"/>
  <c r="M59" i="8"/>
  <c r="N59" i="8" s="1"/>
  <c r="O59" i="8" s="1"/>
  <c r="M86" i="8"/>
  <c r="N86" i="8" s="1"/>
  <c r="O86" i="8" s="1"/>
  <c r="M60" i="8"/>
  <c r="N60" i="8" s="1"/>
  <c r="O60" i="8" s="1"/>
  <c r="M61" i="8"/>
  <c r="N61" i="8" s="1"/>
  <c r="O61" i="8" s="1"/>
  <c r="M62" i="8"/>
  <c r="N62" i="8" s="1"/>
  <c r="O62" i="8" s="1"/>
  <c r="M63" i="8"/>
  <c r="N63" i="8" s="1"/>
  <c r="O63" i="8" s="1"/>
  <c r="M64" i="8"/>
  <c r="N64" i="8" s="1"/>
  <c r="O64" i="8" s="1"/>
  <c r="M35" i="8"/>
  <c r="N35" i="8" s="1"/>
  <c r="O35" i="8" s="1"/>
  <c r="M41" i="8"/>
  <c r="N41" i="8" s="1"/>
  <c r="O41" i="8" s="1"/>
  <c r="M40" i="8"/>
  <c r="N40" i="8" s="1"/>
  <c r="O40" i="8" s="1"/>
  <c r="M37" i="8"/>
  <c r="N37" i="8" s="1"/>
  <c r="O37" i="8" s="1"/>
  <c r="M36" i="8"/>
  <c r="N36" i="8" s="1"/>
  <c r="O36" i="8" s="1"/>
  <c r="M42" i="8"/>
  <c r="N42" i="8" s="1"/>
  <c r="O42" i="8" s="1"/>
  <c r="M38" i="8"/>
  <c r="N38" i="8" s="1"/>
  <c r="O38" i="8" s="1"/>
  <c r="M39" i="8"/>
  <c r="N39" i="8" s="1"/>
  <c r="O39" i="8" s="1"/>
  <c r="M43" i="8"/>
  <c r="N43" i="8" s="1"/>
  <c r="O43" i="8" s="1"/>
  <c r="M33" i="8"/>
  <c r="N33" i="8" s="1"/>
  <c r="O33" i="8" s="1"/>
  <c r="M34" i="8"/>
  <c r="N34" i="8" s="1"/>
  <c r="O34" i="8" s="1"/>
  <c r="Q7" i="10"/>
  <c r="C7" i="10"/>
  <c r="P7" i="10"/>
  <c r="N7" i="12"/>
  <c r="AV7" i="12" s="1"/>
  <c r="AD27" i="12"/>
  <c r="AA134" i="10"/>
  <c r="AB133" i="10" s="1"/>
  <c r="M54" i="10"/>
  <c r="N54" i="10" s="1"/>
  <c r="O54" i="10" s="1"/>
  <c r="N54" i="15" s="1"/>
  <c r="M56" i="10"/>
  <c r="N56" i="10" s="1"/>
  <c r="O56" i="10" s="1"/>
  <c r="Q56" i="10" s="1"/>
  <c r="R7" i="10"/>
  <c r="AV27" i="12"/>
  <c r="AD27" i="15"/>
  <c r="Q10" i="10"/>
  <c r="C10" i="10"/>
  <c r="P10" i="10"/>
  <c r="N10" i="12"/>
  <c r="L120" i="12" s="1"/>
  <c r="M51" i="10"/>
  <c r="N51" i="10" s="1"/>
  <c r="O51" i="10" s="1"/>
  <c r="N51" i="15" s="1"/>
  <c r="M53" i="10"/>
  <c r="N53" i="10" s="1"/>
  <c r="O53" i="10" s="1"/>
  <c r="Q53" i="10" s="1"/>
  <c r="M55" i="10"/>
  <c r="N55" i="10" s="1"/>
  <c r="O55" i="10" s="1"/>
  <c r="R55" i="10" s="1"/>
  <c r="M57" i="10"/>
  <c r="N57" i="10" s="1"/>
  <c r="O57" i="10" s="1"/>
  <c r="M84" i="10"/>
  <c r="N84" i="10" s="1"/>
  <c r="O84" i="10" s="1"/>
  <c r="C84" i="10" s="1"/>
  <c r="M89" i="10"/>
  <c r="N89" i="10" s="1"/>
  <c r="O89" i="10" s="1"/>
  <c r="Q89" i="10" s="1"/>
  <c r="M93" i="10"/>
  <c r="N93" i="10" s="1"/>
  <c r="O93" i="10" s="1"/>
  <c r="N93" i="15" s="1"/>
  <c r="M96" i="10"/>
  <c r="N96" i="10" s="1"/>
  <c r="O96" i="10" s="1"/>
  <c r="N96" i="15" s="1"/>
  <c r="M94" i="10"/>
  <c r="N94" i="10" s="1"/>
  <c r="O94" i="10" s="1"/>
  <c r="C94" i="10" s="1"/>
  <c r="M95" i="10"/>
  <c r="N95" i="10" s="1"/>
  <c r="O95" i="10" s="1"/>
  <c r="Q95" i="10" s="1"/>
  <c r="M113" i="10"/>
  <c r="N113" i="10" s="1"/>
  <c r="O113" i="10" s="1"/>
  <c r="N113" i="12" s="1"/>
  <c r="AV5" i="15"/>
  <c r="AD5" i="15"/>
  <c r="M69" i="8"/>
  <c r="N69" i="8" s="1"/>
  <c r="O69" i="8" s="1"/>
  <c r="M101" i="8"/>
  <c r="N101" i="8" s="1"/>
  <c r="O101" i="8" s="1"/>
  <c r="R101" i="8" s="1"/>
  <c r="M103" i="8"/>
  <c r="N103" i="8" s="1"/>
  <c r="O103" i="8" s="1"/>
  <c r="N89" i="15"/>
  <c r="N89" i="12"/>
  <c r="N113" i="15"/>
  <c r="AV5" i="12"/>
  <c r="AD5" i="12"/>
  <c r="T5" i="8"/>
  <c r="S5" i="8"/>
  <c r="AD19" i="12"/>
  <c r="AV19" i="12"/>
  <c r="AV19" i="15"/>
  <c r="AD19" i="15"/>
  <c r="AD15" i="12"/>
  <c r="AV15" i="12"/>
  <c r="AV15" i="15"/>
  <c r="AD15" i="15"/>
  <c r="AD14" i="12"/>
  <c r="AV14" i="12"/>
  <c r="AV14" i="15"/>
  <c r="AD14" i="15"/>
  <c r="AD8" i="12"/>
  <c r="AV8" i="12"/>
  <c r="AV8" i="15"/>
  <c r="AD11" i="12"/>
  <c r="AV11" i="12"/>
  <c r="AV11" i="15"/>
  <c r="AD11" i="15"/>
  <c r="AD13" i="12"/>
  <c r="AV13" i="12"/>
  <c r="AV13" i="15"/>
  <c r="AD13" i="15"/>
  <c r="AD17" i="12"/>
  <c r="AV17" i="12"/>
  <c r="AD17" i="15"/>
  <c r="AV17" i="15"/>
  <c r="AD16" i="12"/>
  <c r="AV16" i="12"/>
  <c r="AV16" i="15"/>
  <c r="AD16" i="15"/>
  <c r="AD9" i="12"/>
  <c r="AV9" i="12"/>
  <c r="AV9" i="15"/>
  <c r="AD9" i="15"/>
  <c r="AD12" i="12"/>
  <c r="AV12" i="12"/>
  <c r="AV12" i="15"/>
  <c r="AD12" i="15"/>
  <c r="AD18" i="12"/>
  <c r="AV18" i="12"/>
  <c r="AV18" i="15"/>
  <c r="AD18" i="15"/>
  <c r="AD6" i="12"/>
  <c r="AV6" i="12"/>
  <c r="AD6" i="15"/>
  <c r="AV6" i="15"/>
  <c r="N53" i="15"/>
  <c r="Q55" i="10"/>
  <c r="Q57" i="10"/>
  <c r="R57" i="10"/>
  <c r="C57" i="10"/>
  <c r="P57" i="10"/>
  <c r="N57" i="12"/>
  <c r="N57" i="15"/>
  <c r="AC126" i="10" l="1"/>
  <c r="AC125" i="10"/>
  <c r="AD125" i="10" s="1"/>
  <c r="C22" i="14"/>
  <c r="E21" i="14"/>
  <c r="R22" i="15" s="1"/>
  <c r="G21" i="14"/>
  <c r="AJ22" i="15" s="1"/>
  <c r="D21" i="14"/>
  <c r="Q22" i="15" s="1"/>
  <c r="F21" i="14"/>
  <c r="AI22" i="15" s="1"/>
  <c r="Q114" i="8"/>
  <c r="P53" i="10"/>
  <c r="Q113" i="10"/>
  <c r="N55" i="12"/>
  <c r="R113" i="10"/>
  <c r="P55" i="10"/>
  <c r="R53" i="10"/>
  <c r="C113" i="10"/>
  <c r="N53" i="12"/>
  <c r="AD53" i="12" s="1"/>
  <c r="N55" i="15"/>
  <c r="P113" i="10"/>
  <c r="C53" i="10"/>
  <c r="C55" i="10"/>
  <c r="C95" i="10"/>
  <c r="N95" i="12"/>
  <c r="R89" i="10"/>
  <c r="C89" i="10"/>
  <c r="N95" i="15"/>
  <c r="P89" i="10"/>
  <c r="N84" i="15"/>
  <c r="AV84" i="15" s="1"/>
  <c r="P54" i="10"/>
  <c r="P95" i="10"/>
  <c r="N84" i="12"/>
  <c r="AD84" i="12" s="1"/>
  <c r="N56" i="15"/>
  <c r="AD56" i="15" s="1"/>
  <c r="P56" i="10"/>
  <c r="Q101" i="8"/>
  <c r="R94" i="10"/>
  <c r="P94" i="10"/>
  <c r="C56" i="10"/>
  <c r="R56" i="10"/>
  <c r="N94" i="12"/>
  <c r="AV94" i="12" s="1"/>
  <c r="Q84" i="10"/>
  <c r="N56" i="12"/>
  <c r="AB129" i="10"/>
  <c r="AC129" i="10" s="1"/>
  <c r="AD129" i="10" s="1"/>
  <c r="AB127" i="10"/>
  <c r="AC127" i="10" s="1"/>
  <c r="AD127" i="10" s="1"/>
  <c r="R95" i="10"/>
  <c r="N94" i="15"/>
  <c r="AV94" i="15" s="1"/>
  <c r="R84" i="10"/>
  <c r="R93" i="10"/>
  <c r="P84" i="10"/>
  <c r="C54" i="10"/>
  <c r="Q54" i="10"/>
  <c r="N54" i="12"/>
  <c r="AD54" i="12" s="1"/>
  <c r="AB128" i="10"/>
  <c r="Q106" i="8"/>
  <c r="Q93" i="10"/>
  <c r="R54" i="10"/>
  <c r="AB126" i="10"/>
  <c r="AD126" i="10" s="1"/>
  <c r="R96" i="10"/>
  <c r="P93" i="10"/>
  <c r="Q94" i="10"/>
  <c r="C96" i="10"/>
  <c r="N93" i="12"/>
  <c r="AD93" i="12" s="1"/>
  <c r="C93" i="10"/>
  <c r="P96" i="10"/>
  <c r="AB131" i="10"/>
  <c r="AC131" i="10" s="1"/>
  <c r="AD131" i="10" s="1"/>
  <c r="AB132" i="10"/>
  <c r="N96" i="12"/>
  <c r="AD96" i="12" s="1"/>
  <c r="Q96" i="10"/>
  <c r="AB130" i="10"/>
  <c r="AC130" i="10" s="1"/>
  <c r="AD130" i="10" s="1"/>
  <c r="J110" i="14"/>
  <c r="J100" i="14"/>
  <c r="R111" i="8"/>
  <c r="R106" i="8"/>
  <c r="Q65" i="8"/>
  <c r="J67" i="14"/>
  <c r="Q96" i="8"/>
  <c r="C101" i="10"/>
  <c r="Q101" i="10"/>
  <c r="N102" i="12"/>
  <c r="AD102" i="12" s="1"/>
  <c r="R102" i="10"/>
  <c r="N79" i="15"/>
  <c r="AV79" i="15" s="1"/>
  <c r="R79" i="10"/>
  <c r="N75" i="15"/>
  <c r="AV75" i="15" s="1"/>
  <c r="C75" i="10"/>
  <c r="N80" i="15"/>
  <c r="AD80" i="15" s="1"/>
  <c r="C80" i="10"/>
  <c r="N76" i="15"/>
  <c r="AD76" i="15" s="1"/>
  <c r="C76" i="10"/>
  <c r="N78" i="12"/>
  <c r="AV78" i="12" s="1"/>
  <c r="R78" i="10"/>
  <c r="N77" i="12"/>
  <c r="AV77" i="12" s="1"/>
  <c r="R77" i="10"/>
  <c r="C97" i="10"/>
  <c r="N97" i="12"/>
  <c r="N103" i="12"/>
  <c r="AD103" i="12" s="1"/>
  <c r="N99" i="12"/>
  <c r="AD99" i="12" s="1"/>
  <c r="R44" i="10"/>
  <c r="N46" i="12"/>
  <c r="AV46" i="12" s="1"/>
  <c r="C50" i="10"/>
  <c r="Q50" i="10"/>
  <c r="R103" i="10"/>
  <c r="N100" i="15"/>
  <c r="C100" i="10"/>
  <c r="N98" i="15"/>
  <c r="AV98" i="15" s="1"/>
  <c r="C98" i="10"/>
  <c r="Q98" i="10"/>
  <c r="N110" i="12"/>
  <c r="AD110" i="12" s="1"/>
  <c r="C112" i="10"/>
  <c r="N112" i="12"/>
  <c r="AD112" i="12" s="1"/>
  <c r="R114" i="10"/>
  <c r="J64" i="14"/>
  <c r="Q68" i="8"/>
  <c r="P102" i="10"/>
  <c r="Q102" i="10"/>
  <c r="N79" i="12"/>
  <c r="AD79" i="12" s="1"/>
  <c r="Q79" i="10"/>
  <c r="P75" i="10"/>
  <c r="Q75" i="10"/>
  <c r="P80" i="10"/>
  <c r="R80" i="10"/>
  <c r="N76" i="12"/>
  <c r="AD76" i="12" s="1"/>
  <c r="N78" i="15"/>
  <c r="AV78" i="15" s="1"/>
  <c r="P77" i="10"/>
  <c r="Q97" i="10"/>
  <c r="N103" i="15"/>
  <c r="AV103" i="15" s="1"/>
  <c r="C99" i="10"/>
  <c r="N44" i="12"/>
  <c r="AD44" i="12" s="1"/>
  <c r="N46" i="15"/>
  <c r="AD46" i="15" s="1"/>
  <c r="P50" i="10"/>
  <c r="R50" i="10"/>
  <c r="Q103" i="10"/>
  <c r="N100" i="12"/>
  <c r="AD100" i="12" s="1"/>
  <c r="Q100" i="10"/>
  <c r="N98" i="12"/>
  <c r="R98" i="10"/>
  <c r="R110" i="10"/>
  <c r="P110" i="10"/>
  <c r="Q112" i="10"/>
  <c r="R112" i="10"/>
  <c r="P112" i="10"/>
  <c r="N112" i="15"/>
  <c r="AV112" i="15" s="1"/>
  <c r="C114" i="10"/>
  <c r="R65" i="8"/>
  <c r="R68" i="8"/>
  <c r="J95" i="14"/>
  <c r="R96" i="8"/>
  <c r="R101" i="10"/>
  <c r="N102" i="15"/>
  <c r="AD102" i="15" s="1"/>
  <c r="C102" i="10"/>
  <c r="P79" i="10"/>
  <c r="C79" i="10"/>
  <c r="N75" i="12"/>
  <c r="AV75" i="12" s="1"/>
  <c r="R75" i="10"/>
  <c r="N80" i="12"/>
  <c r="AD80" i="12" s="1"/>
  <c r="Q80" i="10"/>
  <c r="P76" i="10"/>
  <c r="R76" i="10"/>
  <c r="Q76" i="10"/>
  <c r="P78" i="10"/>
  <c r="C78" i="10"/>
  <c r="Q78" i="10"/>
  <c r="N77" i="15"/>
  <c r="AV77" i="15" s="1"/>
  <c r="C77" i="10"/>
  <c r="Q77" i="10"/>
  <c r="R97" i="10"/>
  <c r="P97" i="10"/>
  <c r="N97" i="15"/>
  <c r="AV97" i="15" s="1"/>
  <c r="P103" i="10"/>
  <c r="Q99" i="10"/>
  <c r="C44" i="10"/>
  <c r="Q44" i="10"/>
  <c r="C46" i="10"/>
  <c r="N50" i="15"/>
  <c r="C103" i="10"/>
  <c r="P100" i="10"/>
  <c r="R100" i="10"/>
  <c r="P98" i="10"/>
  <c r="Q110" i="10"/>
  <c r="C110" i="10"/>
  <c r="N110" i="15"/>
  <c r="AV110" i="15" s="1"/>
  <c r="Q114" i="10"/>
  <c r="P114" i="10"/>
  <c r="N114" i="12"/>
  <c r="AD114" i="12" s="1"/>
  <c r="N114" i="15"/>
  <c r="AV114" i="15" s="1"/>
  <c r="Q116" i="10"/>
  <c r="R116" i="10"/>
  <c r="C116" i="10"/>
  <c r="P116" i="10"/>
  <c r="N116" i="12"/>
  <c r="AD116" i="12" s="1"/>
  <c r="N116" i="15"/>
  <c r="Q118" i="10"/>
  <c r="R118" i="10"/>
  <c r="C118" i="10"/>
  <c r="P118" i="10"/>
  <c r="N118" i="12"/>
  <c r="AD118" i="12" s="1"/>
  <c r="N118" i="15"/>
  <c r="N99" i="15"/>
  <c r="AV99" i="15" s="1"/>
  <c r="P99" i="10"/>
  <c r="R99" i="10"/>
  <c r="N44" i="15"/>
  <c r="AV44" i="15" s="1"/>
  <c r="P44" i="10"/>
  <c r="P46" i="10"/>
  <c r="R46" i="10"/>
  <c r="Q46" i="10"/>
  <c r="N48" i="15"/>
  <c r="AV48" i="15" s="1"/>
  <c r="N48" i="12"/>
  <c r="P48" i="10"/>
  <c r="C48" i="10"/>
  <c r="M120" i="12"/>
  <c r="AD7" i="12"/>
  <c r="AD10" i="12"/>
  <c r="AV10" i="12"/>
  <c r="Q51" i="10"/>
  <c r="R51" i="10"/>
  <c r="C51" i="10"/>
  <c r="P51" i="10"/>
  <c r="N51" i="12"/>
  <c r="Q115" i="10"/>
  <c r="R115" i="10"/>
  <c r="C115" i="10"/>
  <c r="P115" i="10"/>
  <c r="N115" i="12"/>
  <c r="N115" i="15"/>
  <c r="Q117" i="10"/>
  <c r="R117" i="10"/>
  <c r="C117" i="10"/>
  <c r="P117" i="10"/>
  <c r="N117" i="12"/>
  <c r="N117" i="15"/>
  <c r="N108" i="15"/>
  <c r="N108" i="12"/>
  <c r="P108" i="10"/>
  <c r="C108" i="10"/>
  <c r="R108" i="10"/>
  <c r="Q108" i="10"/>
  <c r="N45" i="15"/>
  <c r="N45" i="12"/>
  <c r="P45" i="10"/>
  <c r="C45" i="10"/>
  <c r="R45" i="10"/>
  <c r="Q45" i="10"/>
  <c r="N47" i="15"/>
  <c r="N47" i="12"/>
  <c r="P47" i="10"/>
  <c r="C47" i="10"/>
  <c r="R47" i="10"/>
  <c r="Q47" i="10"/>
  <c r="N49" i="15"/>
  <c r="N49" i="12"/>
  <c r="P49" i="10"/>
  <c r="C49" i="10"/>
  <c r="R49" i="10"/>
  <c r="Q49" i="10"/>
  <c r="J92" i="14"/>
  <c r="Q93" i="8"/>
  <c r="R93" i="8"/>
  <c r="J88" i="14"/>
  <c r="Q89" i="8"/>
  <c r="R89" i="8"/>
  <c r="N67" i="12"/>
  <c r="N68" i="12"/>
  <c r="R68" i="10"/>
  <c r="N69" i="15"/>
  <c r="R69" i="10"/>
  <c r="N70" i="15"/>
  <c r="P70" i="10"/>
  <c r="R70" i="10"/>
  <c r="N71" i="12"/>
  <c r="N91" i="15"/>
  <c r="N92" i="15"/>
  <c r="P92" i="10"/>
  <c r="N87" i="15"/>
  <c r="C87" i="10"/>
  <c r="Q87" i="10"/>
  <c r="N90" i="12"/>
  <c r="C90" i="10"/>
  <c r="Q90" i="10"/>
  <c r="Q57" i="8"/>
  <c r="N104" i="15"/>
  <c r="N107" i="12"/>
  <c r="P71" i="10"/>
  <c r="C71" i="10"/>
  <c r="R71" i="10"/>
  <c r="Q71" i="10"/>
  <c r="N73" i="15"/>
  <c r="N73" i="12"/>
  <c r="C73" i="10"/>
  <c r="Q73" i="10"/>
  <c r="N74" i="12"/>
  <c r="P74" i="10"/>
  <c r="C74" i="10"/>
  <c r="R74" i="10"/>
  <c r="N72" i="15"/>
  <c r="C72" i="10"/>
  <c r="R65" i="10"/>
  <c r="P65" i="10"/>
  <c r="N65" i="15"/>
  <c r="N86" i="12"/>
  <c r="C86" i="10"/>
  <c r="P88" i="10"/>
  <c r="R88" i="10"/>
  <c r="N83" i="15"/>
  <c r="P83" i="10"/>
  <c r="C59" i="10"/>
  <c r="N59" i="12"/>
  <c r="R60" i="10"/>
  <c r="N60" i="15"/>
  <c r="C61" i="10"/>
  <c r="N61" i="15"/>
  <c r="C63" i="10"/>
  <c r="N63" i="15"/>
  <c r="N62" i="15"/>
  <c r="R62" i="10"/>
  <c r="N105" i="15"/>
  <c r="C105" i="10"/>
  <c r="Q105" i="10"/>
  <c r="P101" i="10"/>
  <c r="N111" i="12"/>
  <c r="J91" i="14"/>
  <c r="Q92" i="8"/>
  <c r="R92" i="8"/>
  <c r="J90" i="14"/>
  <c r="Q91" i="8"/>
  <c r="R91" i="8"/>
  <c r="J89" i="14"/>
  <c r="Q90" i="8"/>
  <c r="R90" i="8"/>
  <c r="J86" i="14"/>
  <c r="Q87" i="8"/>
  <c r="R87" i="8"/>
  <c r="Q73" i="8"/>
  <c r="R73" i="8"/>
  <c r="J72" i="14"/>
  <c r="Q74" i="8"/>
  <c r="R74" i="8"/>
  <c r="J73" i="14"/>
  <c r="Q72" i="8"/>
  <c r="R72" i="8"/>
  <c r="J71" i="14"/>
  <c r="Q66" i="8"/>
  <c r="R66" i="8"/>
  <c r="J65" i="14"/>
  <c r="Q67" i="8"/>
  <c r="R67" i="8"/>
  <c r="J66" i="14"/>
  <c r="R71" i="8"/>
  <c r="Q71" i="8"/>
  <c r="J70" i="14"/>
  <c r="Q70" i="8"/>
  <c r="R70" i="8"/>
  <c r="J69" i="14"/>
  <c r="J56" i="14"/>
  <c r="R57" i="8"/>
  <c r="J54" i="14"/>
  <c r="R55" i="8"/>
  <c r="Q55" i="8"/>
  <c r="J45" i="14"/>
  <c r="Q46" i="8"/>
  <c r="R46" i="8"/>
  <c r="J44" i="14"/>
  <c r="Q45" i="8"/>
  <c r="R45" i="8"/>
  <c r="J57" i="14"/>
  <c r="R58" i="8"/>
  <c r="Q58" i="8"/>
  <c r="J55" i="14"/>
  <c r="R56" i="8"/>
  <c r="Q56" i="8"/>
  <c r="J53" i="14"/>
  <c r="Q54" i="8"/>
  <c r="R54" i="8"/>
  <c r="J52" i="14"/>
  <c r="Q53" i="8"/>
  <c r="R53" i="8"/>
  <c r="J50" i="14"/>
  <c r="Q51" i="8"/>
  <c r="R51" i="8"/>
  <c r="J49" i="14"/>
  <c r="Q50" i="8"/>
  <c r="R50" i="8"/>
  <c r="J48" i="14"/>
  <c r="Q49" i="8"/>
  <c r="R49" i="8"/>
  <c r="J47" i="14"/>
  <c r="Q48" i="8"/>
  <c r="R48" i="8"/>
  <c r="J46" i="14"/>
  <c r="Q47" i="8"/>
  <c r="R47" i="8"/>
  <c r="J79" i="14"/>
  <c r="R80" i="8"/>
  <c r="Q80" i="8"/>
  <c r="J75" i="14"/>
  <c r="R76" i="8"/>
  <c r="Q76" i="8"/>
  <c r="J74" i="14"/>
  <c r="R75" i="8"/>
  <c r="Q75" i="8"/>
  <c r="J78" i="14"/>
  <c r="R79" i="8"/>
  <c r="Q79" i="8"/>
  <c r="Q84" i="8"/>
  <c r="R84" i="8"/>
  <c r="J83" i="14"/>
  <c r="R94" i="8"/>
  <c r="Q94" i="8"/>
  <c r="J93" i="14"/>
  <c r="Q95" i="8"/>
  <c r="R95" i="8"/>
  <c r="J94" i="14"/>
  <c r="R88" i="8"/>
  <c r="Q88" i="8"/>
  <c r="J87" i="14"/>
  <c r="Q81" i="8"/>
  <c r="R81" i="8"/>
  <c r="J80" i="14"/>
  <c r="R82" i="8"/>
  <c r="Q82" i="8"/>
  <c r="J81" i="14"/>
  <c r="R83" i="8"/>
  <c r="Q83" i="8"/>
  <c r="J82" i="14"/>
  <c r="Q106" i="10"/>
  <c r="R106" i="10"/>
  <c r="C106" i="10"/>
  <c r="P106" i="10"/>
  <c r="N106" i="12"/>
  <c r="N106" i="15"/>
  <c r="Q109" i="10"/>
  <c r="R109" i="10"/>
  <c r="C109" i="10"/>
  <c r="P109" i="10"/>
  <c r="N109" i="12"/>
  <c r="N109" i="15"/>
  <c r="Q104" i="10"/>
  <c r="R104" i="10"/>
  <c r="N85" i="15"/>
  <c r="N85" i="12"/>
  <c r="P85" i="10"/>
  <c r="C85" i="10"/>
  <c r="R85" i="10"/>
  <c r="Q85" i="10"/>
  <c r="N66" i="15"/>
  <c r="N66" i="12"/>
  <c r="P66" i="10"/>
  <c r="C66" i="10"/>
  <c r="R66" i="10"/>
  <c r="Q66" i="10"/>
  <c r="N67" i="15"/>
  <c r="P67" i="10"/>
  <c r="C67" i="10"/>
  <c r="R67" i="10"/>
  <c r="Q67" i="10"/>
  <c r="N68" i="15"/>
  <c r="P68" i="10"/>
  <c r="C68" i="10"/>
  <c r="Q68" i="10"/>
  <c r="N69" i="12"/>
  <c r="P69" i="10"/>
  <c r="C69" i="10"/>
  <c r="Q69" i="10"/>
  <c r="N70" i="12"/>
  <c r="C70" i="10"/>
  <c r="Q70" i="10"/>
  <c r="N71" i="15"/>
  <c r="N91" i="12"/>
  <c r="P91" i="10"/>
  <c r="C91" i="10"/>
  <c r="R91" i="10"/>
  <c r="Q91" i="10"/>
  <c r="N92" i="12"/>
  <c r="C92" i="10"/>
  <c r="R92" i="10"/>
  <c r="Q92" i="10"/>
  <c r="N87" i="12"/>
  <c r="P87" i="10"/>
  <c r="R87" i="10"/>
  <c r="N90" i="15"/>
  <c r="P90" i="10"/>
  <c r="R90" i="10"/>
  <c r="N88" i="15"/>
  <c r="C104" i="10"/>
  <c r="P104" i="10"/>
  <c r="N104" i="12"/>
  <c r="Q107" i="10"/>
  <c r="R107" i="10"/>
  <c r="C107" i="10"/>
  <c r="P107" i="10"/>
  <c r="N107" i="15"/>
  <c r="P73" i="10"/>
  <c r="R73" i="10"/>
  <c r="N74" i="15"/>
  <c r="Q74" i="10"/>
  <c r="N72" i="12"/>
  <c r="P72" i="10"/>
  <c r="R72" i="10"/>
  <c r="Q72" i="10"/>
  <c r="Q65" i="10"/>
  <c r="C65" i="10"/>
  <c r="N65" i="12"/>
  <c r="N86" i="15"/>
  <c r="P86" i="10"/>
  <c r="R86" i="10"/>
  <c r="Q86" i="10"/>
  <c r="N88" i="12"/>
  <c r="C88" i="10"/>
  <c r="Q88" i="10"/>
  <c r="N83" i="12"/>
  <c r="C83" i="10"/>
  <c r="R83" i="10"/>
  <c r="Q83" i="10"/>
  <c r="N81" i="15"/>
  <c r="N81" i="12"/>
  <c r="P81" i="10"/>
  <c r="C81" i="10"/>
  <c r="R81" i="10"/>
  <c r="Q81" i="10"/>
  <c r="N82" i="15"/>
  <c r="P82" i="10"/>
  <c r="C82" i="10"/>
  <c r="R82" i="10"/>
  <c r="Q82" i="10"/>
  <c r="Q59" i="10"/>
  <c r="P59" i="10"/>
  <c r="Q60" i="10"/>
  <c r="C60" i="10"/>
  <c r="P60" i="10"/>
  <c r="Q61" i="10"/>
  <c r="P61" i="10"/>
  <c r="N61" i="12"/>
  <c r="R63" i="10"/>
  <c r="N63" i="12"/>
  <c r="R64" i="10"/>
  <c r="P64" i="10"/>
  <c r="N64" i="12"/>
  <c r="N62" i="12"/>
  <c r="C62" i="10"/>
  <c r="Q62" i="10"/>
  <c r="N105" i="12"/>
  <c r="R105" i="10"/>
  <c r="N101" i="12"/>
  <c r="Q111" i="10"/>
  <c r="C111" i="10"/>
  <c r="N111" i="15"/>
  <c r="N82" i="12"/>
  <c r="R59" i="10"/>
  <c r="N59" i="15"/>
  <c r="N60" i="12"/>
  <c r="R61" i="10"/>
  <c r="Q63" i="10"/>
  <c r="P63" i="10"/>
  <c r="Q64" i="10"/>
  <c r="C64" i="10"/>
  <c r="N64" i="15"/>
  <c r="P62" i="10"/>
  <c r="P105" i="10"/>
  <c r="N101" i="15"/>
  <c r="R111" i="10"/>
  <c r="P111" i="10"/>
  <c r="R48" i="10"/>
  <c r="Q48" i="10"/>
  <c r="N50" i="12"/>
  <c r="J43" i="14"/>
  <c r="Q44" i="8"/>
  <c r="R44" i="8"/>
  <c r="J51" i="14"/>
  <c r="Q52" i="8"/>
  <c r="R52" i="8"/>
  <c r="R69" i="8"/>
  <c r="Q69" i="8"/>
  <c r="J68" i="14"/>
  <c r="J97" i="14"/>
  <c r="Q98" i="8"/>
  <c r="R98" i="8"/>
  <c r="Q118" i="8"/>
  <c r="R118" i="8"/>
  <c r="J117" i="14"/>
  <c r="R115" i="8"/>
  <c r="Q115" i="8"/>
  <c r="J114" i="14"/>
  <c r="Q113" i="8"/>
  <c r="R113" i="8"/>
  <c r="J112" i="14"/>
  <c r="Q85" i="8"/>
  <c r="R85" i="8"/>
  <c r="J84" i="14"/>
  <c r="J76" i="14"/>
  <c r="Q77" i="8"/>
  <c r="R77" i="8"/>
  <c r="J77" i="14"/>
  <c r="R78" i="8"/>
  <c r="Q78" i="8"/>
  <c r="N38" i="15"/>
  <c r="N38" i="12"/>
  <c r="P38" i="10"/>
  <c r="C38" i="10"/>
  <c r="R38" i="10"/>
  <c r="Q38" i="10"/>
  <c r="N33" i="15"/>
  <c r="N33" i="12"/>
  <c r="P33" i="10"/>
  <c r="C33" i="10"/>
  <c r="R33" i="10"/>
  <c r="Q33" i="10"/>
  <c r="N34" i="15"/>
  <c r="N34" i="12"/>
  <c r="P34" i="10"/>
  <c r="C34" i="10"/>
  <c r="R34" i="10"/>
  <c r="Q34" i="10"/>
  <c r="N41" i="15"/>
  <c r="N41" i="12"/>
  <c r="P41" i="10"/>
  <c r="C41" i="10"/>
  <c r="R41" i="10"/>
  <c r="Q41" i="10"/>
  <c r="N43" i="15"/>
  <c r="N43" i="12"/>
  <c r="P43" i="10"/>
  <c r="C43" i="10"/>
  <c r="R43" i="10"/>
  <c r="Q43" i="10"/>
  <c r="N35" i="15"/>
  <c r="N35" i="12"/>
  <c r="P35" i="10"/>
  <c r="C35" i="10"/>
  <c r="R35" i="10"/>
  <c r="Q35" i="10"/>
  <c r="N36" i="15"/>
  <c r="N36" i="12"/>
  <c r="P36" i="10"/>
  <c r="C36" i="10"/>
  <c r="R36" i="10"/>
  <c r="Q36" i="10"/>
  <c r="N40" i="15"/>
  <c r="N40" i="12"/>
  <c r="P40" i="10"/>
  <c r="C40" i="10"/>
  <c r="R40" i="10"/>
  <c r="Q40" i="10"/>
  <c r="N37" i="15"/>
  <c r="N37" i="12"/>
  <c r="P37" i="10"/>
  <c r="C37" i="10"/>
  <c r="R37" i="10"/>
  <c r="Q37" i="10"/>
  <c r="N42" i="15"/>
  <c r="N42" i="12"/>
  <c r="P42" i="10"/>
  <c r="C42" i="10"/>
  <c r="R42" i="10"/>
  <c r="Q42" i="10"/>
  <c r="N39" i="15"/>
  <c r="N39" i="12"/>
  <c r="P39" i="10"/>
  <c r="C39" i="10"/>
  <c r="R39" i="10"/>
  <c r="Q39" i="10"/>
  <c r="M120" i="15"/>
  <c r="L120" i="15"/>
  <c r="AV10" i="15"/>
  <c r="Q58" i="10"/>
  <c r="R58" i="10"/>
  <c r="C58" i="10"/>
  <c r="N58" i="12"/>
  <c r="J113" i="14"/>
  <c r="R116" i="8"/>
  <c r="Q116" i="8"/>
  <c r="J115" i="14"/>
  <c r="J102" i="14"/>
  <c r="Q103" i="8"/>
  <c r="R103" i="8"/>
  <c r="J108" i="14"/>
  <c r="Q109" i="8"/>
  <c r="R109" i="8"/>
  <c r="R110" i="8"/>
  <c r="Q110" i="8"/>
  <c r="J109" i="14"/>
  <c r="Q112" i="8"/>
  <c r="R112" i="8"/>
  <c r="J111" i="14"/>
  <c r="Q117" i="8"/>
  <c r="R117" i="8"/>
  <c r="J116" i="14"/>
  <c r="J96" i="14"/>
  <c r="R97" i="8"/>
  <c r="Q97" i="8"/>
  <c r="J98" i="14"/>
  <c r="R99" i="8"/>
  <c r="Q99" i="8"/>
  <c r="J99" i="14"/>
  <c r="R100" i="8"/>
  <c r="Q100" i="8"/>
  <c r="J101" i="14"/>
  <c r="R102" i="8"/>
  <c r="Q102" i="8"/>
  <c r="J103" i="14"/>
  <c r="Q104" i="8"/>
  <c r="R104" i="8"/>
  <c r="J104" i="14"/>
  <c r="Q105" i="8"/>
  <c r="R105" i="8"/>
  <c r="J106" i="14"/>
  <c r="Q107" i="8"/>
  <c r="R107" i="8"/>
  <c r="J107" i="14"/>
  <c r="R108" i="8"/>
  <c r="Q108" i="8"/>
  <c r="R59" i="8"/>
  <c r="Q59" i="8"/>
  <c r="J58" i="14"/>
  <c r="R86" i="8"/>
  <c r="Q86" i="8"/>
  <c r="J85" i="14"/>
  <c r="R60" i="8"/>
  <c r="Q60" i="8"/>
  <c r="J59" i="14"/>
  <c r="R61" i="8"/>
  <c r="Q61" i="8"/>
  <c r="J60" i="14"/>
  <c r="R62" i="8"/>
  <c r="Q62" i="8"/>
  <c r="J61" i="14"/>
  <c r="R63" i="8"/>
  <c r="Q63" i="8"/>
  <c r="J62" i="14"/>
  <c r="R64" i="8"/>
  <c r="Q64" i="8"/>
  <c r="J63" i="14"/>
  <c r="J34" i="14"/>
  <c r="R35" i="8"/>
  <c r="Q35" i="8"/>
  <c r="J40" i="14"/>
  <c r="R41" i="8"/>
  <c r="Q41" i="8"/>
  <c r="J39" i="14"/>
  <c r="R40" i="8"/>
  <c r="Q40" i="8"/>
  <c r="J36" i="14"/>
  <c r="R37" i="8"/>
  <c r="Q37" i="8"/>
  <c r="J35" i="14"/>
  <c r="R36" i="8"/>
  <c r="Q36" i="8"/>
  <c r="J41" i="14"/>
  <c r="R42" i="8"/>
  <c r="Q42" i="8"/>
  <c r="J37" i="14"/>
  <c r="R38" i="8"/>
  <c r="Q38" i="8"/>
  <c r="J38" i="14"/>
  <c r="R39" i="8"/>
  <c r="Q39" i="8"/>
  <c r="J42" i="14"/>
  <c r="R43" i="8"/>
  <c r="Q43" i="8"/>
  <c r="J32" i="14"/>
  <c r="R33" i="8"/>
  <c r="Q33" i="8"/>
  <c r="J33" i="14"/>
  <c r="R34" i="8"/>
  <c r="Q34" i="8"/>
  <c r="AD7" i="15"/>
  <c r="AV7" i="15"/>
  <c r="AD10" i="15"/>
  <c r="Q52" i="10"/>
  <c r="R52" i="10"/>
  <c r="C52" i="10"/>
  <c r="P52" i="10"/>
  <c r="N52" i="12"/>
  <c r="N52" i="15"/>
  <c r="P58" i="10"/>
  <c r="N58" i="15"/>
  <c r="AD89" i="15"/>
  <c r="AV89" i="15"/>
  <c r="AD89" i="12"/>
  <c r="AV89" i="12"/>
  <c r="AV93" i="15"/>
  <c r="AD93" i="15"/>
  <c r="AV96" i="15"/>
  <c r="AD96" i="15"/>
  <c r="AV95" i="15"/>
  <c r="AD95" i="15"/>
  <c r="AD95" i="12"/>
  <c r="AV95" i="12"/>
  <c r="AD113" i="15"/>
  <c r="AV113" i="15"/>
  <c r="AD113" i="12"/>
  <c r="AV113" i="12"/>
  <c r="AV76" i="15"/>
  <c r="AV76" i="12"/>
  <c r="AD97" i="12"/>
  <c r="AV97" i="12"/>
  <c r="AV100" i="15"/>
  <c r="AD100" i="15"/>
  <c r="AD98" i="12"/>
  <c r="AV98" i="12"/>
  <c r="AD114" i="15"/>
  <c r="AD116" i="15"/>
  <c r="AV116" i="15"/>
  <c r="AV118" i="15"/>
  <c r="AD118" i="15"/>
  <c r="AD44" i="15"/>
  <c r="AC128" i="10"/>
  <c r="AD128" i="10" s="1"/>
  <c r="AC133" i="10"/>
  <c r="AD133" i="10" s="1"/>
  <c r="AV51" i="15"/>
  <c r="AD51" i="15"/>
  <c r="AV53" i="12"/>
  <c r="AV53" i="15"/>
  <c r="AD53" i="15"/>
  <c r="AV54" i="15"/>
  <c r="AD54" i="15"/>
  <c r="AD55" i="12"/>
  <c r="AV55" i="12"/>
  <c r="AV55" i="15"/>
  <c r="AD55" i="15"/>
  <c r="AD56" i="12"/>
  <c r="AV56" i="12"/>
  <c r="AD57" i="12"/>
  <c r="AV57" i="12"/>
  <c r="AV57" i="15"/>
  <c r="AD57" i="15"/>
  <c r="AC132" i="10"/>
  <c r="AD132" i="10" s="1"/>
  <c r="T137" i="10" l="1"/>
  <c r="E22" i="14"/>
  <c r="R23" i="15" s="1"/>
  <c r="G22" i="14"/>
  <c r="AJ23" i="15" s="1"/>
  <c r="D22" i="14"/>
  <c r="Q23" i="15" s="1"/>
  <c r="F22" i="14"/>
  <c r="AI23" i="15" s="1"/>
  <c r="C23" i="14"/>
  <c r="AD78" i="15"/>
  <c r="AD112" i="15"/>
  <c r="AD94" i="12"/>
  <c r="AV46" i="15"/>
  <c r="AD75" i="12"/>
  <c r="AD84" i="15"/>
  <c r="AV54" i="12"/>
  <c r="AV99" i="12"/>
  <c r="AD98" i="15"/>
  <c r="AD94" i="15"/>
  <c r="AD77" i="15"/>
  <c r="Z18" i="8"/>
  <c r="AD46" i="12"/>
  <c r="AD78" i="12"/>
  <c r="AD79" i="15"/>
  <c r="AD77" i="12"/>
  <c r="AV84" i="12"/>
  <c r="AV112" i="12"/>
  <c r="AV100" i="12"/>
  <c r="AV116" i="12"/>
  <c r="AD110" i="15"/>
  <c r="AV80" i="12"/>
  <c r="AV102" i="15"/>
  <c r="AV93" i="12"/>
  <c r="AV56" i="15"/>
  <c r="AD99" i="15"/>
  <c r="AD103" i="15"/>
  <c r="AV80" i="15"/>
  <c r="AV102" i="12"/>
  <c r="AD97" i="15"/>
  <c r="AV96" i="12"/>
  <c r="AV44" i="12"/>
  <c r="AV114" i="12"/>
  <c r="AV103" i="12"/>
  <c r="J125" i="10"/>
  <c r="AV79" i="12"/>
  <c r="Z13" i="8"/>
  <c r="AD75" i="15"/>
  <c r="Y12" i="8"/>
  <c r="Y14" i="8"/>
  <c r="AV118" i="12"/>
  <c r="AV110" i="12"/>
  <c r="Y11" i="8"/>
  <c r="Y17" i="8"/>
  <c r="Z11" i="8"/>
  <c r="Y13" i="8"/>
  <c r="Z17" i="8"/>
  <c r="Z16" i="8"/>
  <c r="Z14" i="8"/>
  <c r="Y18" i="8"/>
  <c r="Y16" i="8"/>
  <c r="Y15" i="8"/>
  <c r="Z12" i="8"/>
  <c r="Z15" i="8"/>
  <c r="AC119" i="15"/>
  <c r="AD48" i="15"/>
  <c r="AD48" i="12"/>
  <c r="AV48" i="12"/>
  <c r="AV50" i="15"/>
  <c r="AD50" i="15"/>
  <c r="AT119" i="12"/>
  <c r="AB119" i="12"/>
  <c r="AD51" i="12"/>
  <c r="AV51" i="12"/>
  <c r="T59" i="8"/>
  <c r="T33" i="8"/>
  <c r="S33" i="8"/>
  <c r="S59" i="8"/>
  <c r="AV67" i="12"/>
  <c r="AD67" i="12"/>
  <c r="AV68" i="12"/>
  <c r="AD68" i="12"/>
  <c r="AD69" i="15"/>
  <c r="AV69" i="15"/>
  <c r="AV70" i="15"/>
  <c r="AD70" i="15"/>
  <c r="AV104" i="15"/>
  <c r="AD104" i="15"/>
  <c r="AV107" i="12"/>
  <c r="AD107" i="12"/>
  <c r="AV66" i="15"/>
  <c r="AD66" i="15"/>
  <c r="AV66" i="12"/>
  <c r="AD66" i="12"/>
  <c r="AD67" i="15"/>
  <c r="AV67" i="15"/>
  <c r="AD68" i="15"/>
  <c r="AV68" i="15"/>
  <c r="AV69" i="12"/>
  <c r="AD69" i="12"/>
  <c r="AD104" i="12"/>
  <c r="AV104" i="12"/>
  <c r="AV107" i="15"/>
  <c r="AD107" i="15"/>
  <c r="AU119" i="15"/>
  <c r="AD115" i="12"/>
  <c r="AV115" i="12"/>
  <c r="AD115" i="15"/>
  <c r="AV115" i="15"/>
  <c r="AD50" i="12"/>
  <c r="J120" i="12"/>
  <c r="G120" i="12"/>
  <c r="J120" i="15"/>
  <c r="S110" i="8"/>
  <c r="AD117" i="12"/>
  <c r="AV117" i="12"/>
  <c r="AV117" i="15"/>
  <c r="AD117" i="15"/>
  <c r="AV108" i="15"/>
  <c r="AD108" i="15"/>
  <c r="AD108" i="12"/>
  <c r="AV108" i="12"/>
  <c r="AV45" i="15"/>
  <c r="AD45" i="15"/>
  <c r="AD45" i="12"/>
  <c r="AV45" i="12"/>
  <c r="AV47" i="15"/>
  <c r="AD47" i="15"/>
  <c r="AD47" i="12"/>
  <c r="AV47" i="12"/>
  <c r="AD49" i="15"/>
  <c r="AV49" i="15"/>
  <c r="AD49" i="12"/>
  <c r="AV49" i="12"/>
  <c r="AD106" i="12"/>
  <c r="AV106" i="12"/>
  <c r="AV106" i="15"/>
  <c r="AD106" i="15"/>
  <c r="AD109" i="12"/>
  <c r="AV109" i="12"/>
  <c r="AD109" i="15"/>
  <c r="AV109" i="15"/>
  <c r="AV85" i="15"/>
  <c r="AD85" i="15"/>
  <c r="AD85" i="12"/>
  <c r="AV85" i="12"/>
  <c r="K120" i="15"/>
  <c r="AD70" i="12"/>
  <c r="AV70" i="12"/>
  <c r="AV71" i="15"/>
  <c r="AD71" i="15"/>
  <c r="AD71" i="12"/>
  <c r="AV71" i="12"/>
  <c r="AV91" i="15"/>
  <c r="AD91" i="15"/>
  <c r="AD91" i="12"/>
  <c r="AV91" i="12"/>
  <c r="AD92" i="15"/>
  <c r="AV92" i="15"/>
  <c r="AD92" i="12"/>
  <c r="AV92" i="12"/>
  <c r="AV87" i="15"/>
  <c r="AD87" i="15"/>
  <c r="AD87" i="12"/>
  <c r="AV87" i="12"/>
  <c r="AV90" i="15"/>
  <c r="AD90" i="15"/>
  <c r="AD90" i="12"/>
  <c r="AV90" i="12"/>
  <c r="AV88" i="15"/>
  <c r="AD88" i="15"/>
  <c r="AD59" i="12"/>
  <c r="AV59" i="12"/>
  <c r="AV59" i="15"/>
  <c r="AD59" i="15"/>
  <c r="AD60" i="12"/>
  <c r="AV60" i="12"/>
  <c r="AD60" i="15"/>
  <c r="AV60" i="15"/>
  <c r="AD61" i="12"/>
  <c r="AV61" i="12"/>
  <c r="S65" i="8"/>
  <c r="T75" i="8"/>
  <c r="AD61" i="15"/>
  <c r="AV63" i="12"/>
  <c r="AD64" i="12"/>
  <c r="AD64" i="15"/>
  <c r="AD62" i="15"/>
  <c r="AD62" i="12"/>
  <c r="T44" i="8"/>
  <c r="AD111" i="12"/>
  <c r="AD111" i="15"/>
  <c r="K120" i="12"/>
  <c r="F120" i="12"/>
  <c r="I120" i="15"/>
  <c r="S97" i="8"/>
  <c r="S44" i="8"/>
  <c r="F120" i="15"/>
  <c r="E120" i="15"/>
  <c r="AD101" i="12"/>
  <c r="AV101" i="12"/>
  <c r="G120" i="15"/>
  <c r="H120" i="15"/>
  <c r="D120" i="15"/>
  <c r="AV73" i="15"/>
  <c r="AD73" i="15"/>
  <c r="AD73" i="12"/>
  <c r="AV73" i="12"/>
  <c r="AV74" i="15"/>
  <c r="AD74" i="15"/>
  <c r="AD74" i="12"/>
  <c r="AV74" i="12"/>
  <c r="AV72" i="15"/>
  <c r="AD72" i="15"/>
  <c r="AD72" i="12"/>
  <c r="AV72" i="12"/>
  <c r="AD65" i="12"/>
  <c r="AV65" i="12"/>
  <c r="AV65" i="15"/>
  <c r="AD65" i="15"/>
  <c r="AD86" i="15"/>
  <c r="AV86" i="15"/>
  <c r="AD86" i="12"/>
  <c r="AV86" i="12"/>
  <c r="AD88" i="12"/>
  <c r="AV88" i="12"/>
  <c r="AV83" i="15"/>
  <c r="AD83" i="15"/>
  <c r="AD83" i="12"/>
  <c r="AV83" i="12"/>
  <c r="AV81" i="15"/>
  <c r="AD81" i="15"/>
  <c r="AD81" i="12"/>
  <c r="AV81" i="12"/>
  <c r="AV82" i="15"/>
  <c r="AD82" i="15"/>
  <c r="AD82" i="12"/>
  <c r="AV82" i="12"/>
  <c r="AD105" i="15"/>
  <c r="AV105" i="15"/>
  <c r="AD105" i="12"/>
  <c r="AV105" i="12"/>
  <c r="AV101" i="15"/>
  <c r="AD101" i="15"/>
  <c r="AD63" i="12"/>
  <c r="AV63" i="15"/>
  <c r="AD63" i="15"/>
  <c r="AV64" i="12"/>
  <c r="AV64" i="15"/>
  <c r="AV62" i="15"/>
  <c r="T65" i="8"/>
  <c r="AV111" i="12"/>
  <c r="AV111" i="15"/>
  <c r="H120" i="12"/>
  <c r="E120" i="12"/>
  <c r="T81" i="8"/>
  <c r="R119" i="8"/>
  <c r="R120" i="8" s="1"/>
  <c r="Q122" i="10" a="1"/>
  <c r="Q122" i="10" s="1"/>
  <c r="AV61" i="15"/>
  <c r="AV62" i="12"/>
  <c r="S75" i="8"/>
  <c r="AV50" i="12"/>
  <c r="I120" i="12"/>
  <c r="D120" i="12"/>
  <c r="S81" i="8"/>
  <c r="Q119" i="8"/>
  <c r="AV38" i="15"/>
  <c r="AD38" i="15"/>
  <c r="AD38" i="12"/>
  <c r="AV38" i="12"/>
  <c r="AD33" i="15"/>
  <c r="AV33" i="15"/>
  <c r="AD33" i="12"/>
  <c r="AV33" i="12"/>
  <c r="AV34" i="15"/>
  <c r="AD34" i="15"/>
  <c r="AD34" i="12"/>
  <c r="AV34" i="12"/>
  <c r="AV41" i="15"/>
  <c r="AD41" i="15"/>
  <c r="AD41" i="12"/>
  <c r="AV41" i="12"/>
  <c r="AV43" i="15"/>
  <c r="AD43" i="15"/>
  <c r="AD43" i="12"/>
  <c r="AV43" i="12"/>
  <c r="AV35" i="15"/>
  <c r="AD35" i="15"/>
  <c r="AD35" i="12"/>
  <c r="AV35" i="12"/>
  <c r="AV36" i="15"/>
  <c r="AD36" i="15"/>
  <c r="AD36" i="12"/>
  <c r="AV36" i="12"/>
  <c r="AV40" i="15"/>
  <c r="AD40" i="15"/>
  <c r="AD40" i="12"/>
  <c r="AV40" i="12"/>
  <c r="AV37" i="15"/>
  <c r="AD37" i="15"/>
  <c r="AD37" i="12"/>
  <c r="AV37" i="12"/>
  <c r="AV42" i="15"/>
  <c r="AD42" i="15"/>
  <c r="AD42" i="12"/>
  <c r="AV42" i="12"/>
  <c r="AV39" i="15"/>
  <c r="AD39" i="15"/>
  <c r="AD39" i="12"/>
  <c r="AV39" i="12"/>
  <c r="AT119" i="15"/>
  <c r="AB119" i="15"/>
  <c r="AD52" i="12"/>
  <c r="AV52" i="12"/>
  <c r="AV52" i="15"/>
  <c r="AD52" i="15"/>
  <c r="AD58" i="12"/>
  <c r="AV58" i="12"/>
  <c r="AD58" i="15"/>
  <c r="AV58" i="15"/>
  <c r="T110" i="8"/>
  <c r="T97" i="8"/>
  <c r="C119" i="10"/>
  <c r="R119" i="10"/>
  <c r="J133" i="10" s="1"/>
  <c r="Q119" i="10"/>
  <c r="J128" i="10" s="1"/>
  <c r="P119" i="10" a="1"/>
  <c r="P119" i="10" s="1"/>
  <c r="P122" i="10" s="1" a="1"/>
  <c r="P122" i="10" s="1"/>
  <c r="G23" i="14" l="1"/>
  <c r="AJ24" i="15" s="1"/>
  <c r="D23" i="14"/>
  <c r="Q24" i="15" s="1"/>
  <c r="F23" i="14"/>
  <c r="AI24" i="15" s="1"/>
  <c r="C24" i="14"/>
  <c r="E23" i="14"/>
  <c r="R24" i="15" s="1"/>
  <c r="M131" i="10"/>
  <c r="J126" i="10"/>
  <c r="J127" i="10" s="1"/>
  <c r="R132" i="8"/>
  <c r="D4" i="20" s="1"/>
  <c r="R122" i="8"/>
  <c r="AL123" i="12" s="1"/>
  <c r="V8" i="13" s="1"/>
  <c r="Q120" i="8"/>
  <c r="Q132" i="8" s="1"/>
  <c r="J131" i="10"/>
  <c r="P127" i="10"/>
  <c r="P128" i="10" s="1"/>
  <c r="AA119" i="15"/>
  <c r="T119" i="15"/>
  <c r="Z119" i="15"/>
  <c r="AO119" i="15"/>
  <c r="Y119" i="15"/>
  <c r="V119" i="15"/>
  <c r="U119" i="15"/>
  <c r="AA119" i="12"/>
  <c r="AQ119" i="12"/>
  <c r="AN119" i="12"/>
  <c r="Z119" i="12"/>
  <c r="AM119" i="12"/>
  <c r="Y119" i="12"/>
  <c r="V119" i="12"/>
  <c r="AN119" i="15"/>
  <c r="AL119" i="15"/>
  <c r="AM119" i="15"/>
  <c r="AP119" i="15"/>
  <c r="W119" i="15"/>
  <c r="X119" i="15"/>
  <c r="AS119" i="12"/>
  <c r="AS119" i="15"/>
  <c r="AP119" i="12"/>
  <c r="AL119" i="12"/>
  <c r="AR119" i="12"/>
  <c r="T119" i="12"/>
  <c r="W119" i="12"/>
  <c r="AQ119" i="15"/>
  <c r="AO119" i="12"/>
  <c r="AR119" i="15"/>
  <c r="X119" i="12"/>
  <c r="U119" i="12"/>
  <c r="E24" i="14" l="1"/>
  <c r="R25" i="15" s="1"/>
  <c r="G24" i="14"/>
  <c r="AJ25" i="15" s="1"/>
  <c r="D24" i="14"/>
  <c r="F24" i="14"/>
  <c r="C4" i="20"/>
  <c r="T123" i="12"/>
  <c r="D8" i="13" s="1"/>
  <c r="C42" i="16"/>
  <c r="D8" i="18"/>
  <c r="D31" i="13"/>
  <c r="M126" i="10"/>
  <c r="C3" i="20" s="1"/>
  <c r="AO124" i="12"/>
  <c r="AT124" i="12"/>
  <c r="AU124" i="12"/>
  <c r="V8" i="18"/>
  <c r="V8" i="19"/>
  <c r="AR124" i="12"/>
  <c r="AP124" i="12"/>
  <c r="AL124" i="12"/>
  <c r="J132" i="10"/>
  <c r="M132" i="10" s="1"/>
  <c r="D3" i="20" s="1"/>
  <c r="AQ124" i="12"/>
  <c r="AS124" i="12"/>
  <c r="AM124" i="12"/>
  <c r="AN124" i="12"/>
  <c r="L8" i="14" l="1"/>
  <c r="L20" i="14"/>
  <c r="L33" i="14"/>
  <c r="L32" i="14"/>
  <c r="L42" i="14"/>
  <c r="L38" i="14"/>
  <c r="L37" i="14"/>
  <c r="L41" i="14"/>
  <c r="L35" i="14"/>
  <c r="L36" i="14"/>
  <c r="L39" i="14"/>
  <c r="L40" i="14"/>
  <c r="L34" i="14"/>
  <c r="L63" i="14"/>
  <c r="L62" i="14"/>
  <c r="L61" i="14"/>
  <c r="L60" i="14"/>
  <c r="L59" i="14"/>
  <c r="L85" i="14"/>
  <c r="L96" i="14"/>
  <c r="L116" i="14"/>
  <c r="L111" i="14"/>
  <c r="L109" i="14"/>
  <c r="L108" i="14"/>
  <c r="L102" i="14"/>
  <c r="L115" i="14"/>
  <c r="L113" i="14"/>
  <c r="L10" i="14"/>
  <c r="L17" i="14"/>
  <c r="Q25" i="15"/>
  <c r="L29" i="14"/>
  <c r="L27" i="14"/>
  <c r="L78" i="14"/>
  <c r="L49" i="14"/>
  <c r="L46" i="14"/>
  <c r="L47" i="14"/>
  <c r="L48" i="14"/>
  <c r="L81" i="14"/>
  <c r="L80" i="14"/>
  <c r="L87" i="14"/>
  <c r="L94" i="14"/>
  <c r="L93" i="14"/>
  <c r="L83" i="14"/>
  <c r="L74" i="14"/>
  <c r="N74" i="14" s="1"/>
  <c r="L75" i="14"/>
  <c r="L79" i="14"/>
  <c r="L77" i="14"/>
  <c r="L76" i="14"/>
  <c r="L84" i="14"/>
  <c r="L112" i="14"/>
  <c r="L114" i="14"/>
  <c r="L117" i="14"/>
  <c r="L97" i="14"/>
  <c r="L68" i="14"/>
  <c r="L51" i="14"/>
  <c r="L43" i="14"/>
  <c r="N43" i="14" s="1"/>
  <c r="L50" i="14"/>
  <c r="L52" i="14"/>
  <c r="L53" i="14"/>
  <c r="L55" i="14"/>
  <c r="L57" i="14"/>
  <c r="L44" i="14"/>
  <c r="L45" i="14"/>
  <c r="L54" i="14"/>
  <c r="L56" i="14"/>
  <c r="L69" i="14"/>
  <c r="L70" i="14"/>
  <c r="L66" i="14"/>
  <c r="L65" i="14"/>
  <c r="L71" i="14"/>
  <c r="L73" i="14"/>
  <c r="L72" i="14"/>
  <c r="L86" i="14"/>
  <c r="L89" i="14"/>
  <c r="L90" i="14"/>
  <c r="L91" i="14"/>
  <c r="L5" i="14"/>
  <c r="L15" i="14"/>
  <c r="L12" i="14"/>
  <c r="L13" i="14"/>
  <c r="L18" i="14"/>
  <c r="L24" i="14"/>
  <c r="L25" i="14"/>
  <c r="L31" i="14"/>
  <c r="L21" i="14"/>
  <c r="L82" i="14"/>
  <c r="L30" i="14"/>
  <c r="L22" i="14"/>
  <c r="L88" i="14"/>
  <c r="L92" i="14"/>
  <c r="L58" i="14"/>
  <c r="N58" i="14" s="1"/>
  <c r="L107" i="14"/>
  <c r="L106" i="14"/>
  <c r="L104" i="14"/>
  <c r="L103" i="14"/>
  <c r="L101" i="14"/>
  <c r="L99" i="14"/>
  <c r="L98" i="14"/>
  <c r="L9" i="14"/>
  <c r="L6" i="14"/>
  <c r="L4" i="14"/>
  <c r="L26" i="14"/>
  <c r="L7" i="14"/>
  <c r="L14" i="14"/>
  <c r="L28" i="14"/>
  <c r="L11" i="14"/>
  <c r="L16" i="14"/>
  <c r="L19" i="14"/>
  <c r="L23" i="14"/>
  <c r="L100" i="14"/>
  <c r="L110" i="14"/>
  <c r="L105" i="14"/>
  <c r="L64" i="14"/>
  <c r="L95" i="14"/>
  <c r="L67" i="14"/>
  <c r="M33" i="14"/>
  <c r="M32" i="14"/>
  <c r="M42" i="14"/>
  <c r="M38" i="14"/>
  <c r="M37" i="14"/>
  <c r="M41" i="14"/>
  <c r="M35" i="14"/>
  <c r="M36" i="14"/>
  <c r="M39" i="14"/>
  <c r="M40" i="14"/>
  <c r="M34" i="14"/>
  <c r="M63" i="14"/>
  <c r="M62" i="14"/>
  <c r="M61" i="14"/>
  <c r="M60" i="14"/>
  <c r="M59" i="14"/>
  <c r="M85" i="14"/>
  <c r="M96" i="14"/>
  <c r="M116" i="14"/>
  <c r="M111" i="14"/>
  <c r="M109" i="14"/>
  <c r="M108" i="14"/>
  <c r="M102" i="14"/>
  <c r="M115" i="14"/>
  <c r="M113" i="14"/>
  <c r="M95" i="14"/>
  <c r="M110" i="14"/>
  <c r="M100" i="14"/>
  <c r="M78" i="14"/>
  <c r="M46" i="14"/>
  <c r="M47" i="14"/>
  <c r="M48" i="14"/>
  <c r="M49" i="14"/>
  <c r="M81" i="14"/>
  <c r="M80" i="14"/>
  <c r="O80" i="14" s="1"/>
  <c r="M87" i="14"/>
  <c r="M94" i="14"/>
  <c r="M93" i="14"/>
  <c r="M83" i="14"/>
  <c r="M74" i="14"/>
  <c r="O74" i="14" s="1"/>
  <c r="M75" i="14"/>
  <c r="M79" i="14"/>
  <c r="M77" i="14"/>
  <c r="M76" i="14"/>
  <c r="M84" i="14"/>
  <c r="M112" i="14"/>
  <c r="M114" i="14"/>
  <c r="M117" i="14"/>
  <c r="M97" i="14"/>
  <c r="M68" i="14"/>
  <c r="M51" i="14"/>
  <c r="M43" i="14"/>
  <c r="O43" i="14" s="1"/>
  <c r="M50" i="14"/>
  <c r="M52" i="14"/>
  <c r="M53" i="14"/>
  <c r="M55" i="14"/>
  <c r="M57" i="14"/>
  <c r="M44" i="14"/>
  <c r="M45" i="14"/>
  <c r="M54" i="14"/>
  <c r="M56" i="14"/>
  <c r="M69" i="14"/>
  <c r="M70" i="14"/>
  <c r="M66" i="14"/>
  <c r="M65" i="14"/>
  <c r="M71" i="14"/>
  <c r="M73" i="14"/>
  <c r="M72" i="14"/>
  <c r="M86" i="14"/>
  <c r="M89" i="14"/>
  <c r="M90" i="14"/>
  <c r="M91" i="14"/>
  <c r="M88" i="14"/>
  <c r="M67" i="14"/>
  <c r="M105" i="14"/>
  <c r="M92" i="14"/>
  <c r="M82" i="14"/>
  <c r="M58" i="14"/>
  <c r="O58" i="14" s="1"/>
  <c r="M107" i="14"/>
  <c r="M106" i="14"/>
  <c r="M104" i="14"/>
  <c r="M103" i="14"/>
  <c r="M101" i="14"/>
  <c r="M99" i="14"/>
  <c r="M98" i="14"/>
  <c r="M6" i="14"/>
  <c r="M9" i="14"/>
  <c r="M4" i="14"/>
  <c r="M26" i="14"/>
  <c r="M8" i="14"/>
  <c r="M15" i="14"/>
  <c r="M16" i="14"/>
  <c r="M12" i="14"/>
  <c r="M10" i="14"/>
  <c r="M13" i="14"/>
  <c r="M18" i="14"/>
  <c r="M17" i="14"/>
  <c r="M7" i="14"/>
  <c r="M14" i="14"/>
  <c r="M28" i="14"/>
  <c r="M5" i="14"/>
  <c r="M11" i="14"/>
  <c r="M23" i="14"/>
  <c r="M24" i="14"/>
  <c r="M20" i="14"/>
  <c r="M29" i="14"/>
  <c r="M30" i="14"/>
  <c r="M19" i="14"/>
  <c r="O19" i="14" s="1"/>
  <c r="M22" i="14"/>
  <c r="M27" i="14"/>
  <c r="M31" i="14"/>
  <c r="M21" i="14"/>
  <c r="M25" i="14"/>
  <c r="AI25" i="15"/>
  <c r="M64" i="14"/>
  <c r="W16" i="13"/>
  <c r="W16" i="18"/>
  <c r="V16" i="18"/>
  <c r="V16" i="13"/>
  <c r="C41" i="16"/>
  <c r="AO125" i="12"/>
  <c r="Y16" i="19"/>
  <c r="Y16" i="18"/>
  <c r="AF8" i="13"/>
  <c r="AF8" i="18"/>
  <c r="AF8" i="19"/>
  <c r="V31" i="19"/>
  <c r="AT125" i="12"/>
  <c r="AE16" i="18"/>
  <c r="V31" i="13"/>
  <c r="AU125" i="12"/>
  <c r="AE16" i="13"/>
  <c r="V31" i="18"/>
  <c r="V20" i="18" s="1"/>
  <c r="AM125" i="12"/>
  <c r="AQ125" i="12"/>
  <c r="AE16" i="19"/>
  <c r="Z16" i="18"/>
  <c r="AR125" i="12"/>
  <c r="AA16" i="18"/>
  <c r="V16" i="19"/>
  <c r="AA16" i="13"/>
  <c r="AP125" i="12"/>
  <c r="AA16" i="19"/>
  <c r="Z16" i="19"/>
  <c r="Z16" i="13"/>
  <c r="AL125" i="12"/>
  <c r="Y16" i="13"/>
  <c r="AN125" i="12"/>
  <c r="X16" i="19"/>
  <c r="X16" i="18"/>
  <c r="X16" i="13"/>
  <c r="AB16" i="19"/>
  <c r="AB16" i="18"/>
  <c r="AB16" i="13"/>
  <c r="W16" i="19"/>
  <c r="AS125" i="12"/>
  <c r="AC16" i="19"/>
  <c r="AC16" i="18"/>
  <c r="AC16" i="13"/>
  <c r="AD16" i="19"/>
  <c r="AD16" i="18"/>
  <c r="AD16" i="13"/>
  <c r="N4" i="14" l="1"/>
  <c r="L118" i="14"/>
  <c r="L119" i="14" s="1"/>
  <c r="M118" i="14"/>
  <c r="M119" i="14" s="1"/>
  <c r="O4" i="14"/>
  <c r="N32" i="14"/>
  <c r="N109" i="14"/>
  <c r="N80" i="14"/>
  <c r="N19" i="14"/>
  <c r="N64" i="14"/>
  <c r="O32" i="14"/>
  <c r="O96" i="14"/>
  <c r="O109" i="14"/>
  <c r="O64" i="14"/>
  <c r="N96" i="14"/>
  <c r="W20" i="18"/>
  <c r="AB124" i="12"/>
  <c r="Y124" i="12"/>
  <c r="AA124" i="12"/>
  <c r="Z124" i="12"/>
  <c r="V124" i="12"/>
  <c r="W124" i="12"/>
  <c r="T124" i="12"/>
  <c r="D16" i="18" s="1"/>
  <c r="U124" i="12"/>
  <c r="AC124" i="12"/>
  <c r="X124" i="12"/>
  <c r="D8" i="19"/>
  <c r="Y30" i="13"/>
  <c r="Y9" i="13"/>
  <c r="Y9" i="18"/>
  <c r="Y30" i="18"/>
  <c r="Y9" i="19"/>
  <c r="Y30" i="19"/>
  <c r="W20" i="19"/>
  <c r="V20" i="19"/>
  <c r="AA30" i="13"/>
  <c r="AA9" i="13"/>
  <c r="AA9" i="18"/>
  <c r="AA30" i="18"/>
  <c r="AA9" i="19"/>
  <c r="AA30" i="19"/>
  <c r="W9" i="13"/>
  <c r="W30" i="13"/>
  <c r="W9" i="18"/>
  <c r="W30" i="18"/>
  <c r="W9" i="19"/>
  <c r="W30" i="19"/>
  <c r="AD30" i="13"/>
  <c r="AD9" i="13"/>
  <c r="AD9" i="18"/>
  <c r="AD30" i="18"/>
  <c r="AD9" i="19"/>
  <c r="AD30" i="19"/>
  <c r="AE9" i="13"/>
  <c r="AE30" i="13"/>
  <c r="AE9" i="18"/>
  <c r="AE30" i="18"/>
  <c r="AE9" i="19"/>
  <c r="AE30" i="19"/>
  <c r="W20" i="13"/>
  <c r="V20" i="13"/>
  <c r="AB9" i="18"/>
  <c r="AB30" i="19"/>
  <c r="Z30" i="13"/>
  <c r="Z9" i="13"/>
  <c r="Z9" i="18"/>
  <c r="Z30" i="18"/>
  <c r="Z9" i="19"/>
  <c r="Z30" i="19"/>
  <c r="V30" i="13"/>
  <c r="V9" i="13"/>
  <c r="V9" i="18"/>
  <c r="V30" i="18"/>
  <c r="V9" i="19"/>
  <c r="V30" i="19"/>
  <c r="AB9" i="13"/>
  <c r="AB30" i="13"/>
  <c r="AB30" i="18"/>
  <c r="AB9" i="19"/>
  <c r="AF16" i="13"/>
  <c r="X30" i="13"/>
  <c r="X9" i="13"/>
  <c r="X9" i="18"/>
  <c r="X30" i="18"/>
  <c r="X9" i="19"/>
  <c r="X30" i="19"/>
  <c r="AP128" i="12"/>
  <c r="AN128" i="12"/>
  <c r="AU128" i="12"/>
  <c r="AO128" i="12"/>
  <c r="AM128" i="12"/>
  <c r="AC9" i="13"/>
  <c r="AS128" i="12"/>
  <c r="AC30" i="13"/>
  <c r="AC9" i="18"/>
  <c r="AC30" i="18"/>
  <c r="AC9" i="19"/>
  <c r="AC30" i="19"/>
  <c r="AT128" i="12"/>
  <c r="AL128" i="12"/>
  <c r="AQ128" i="12"/>
  <c r="AR128" i="12"/>
  <c r="L121" i="14" l="1"/>
  <c r="B41" i="16" s="1"/>
  <c r="I41" i="16" s="1"/>
  <c r="L123" i="14"/>
  <c r="T123" i="15" s="1"/>
  <c r="M121" i="14"/>
  <c r="B42" i="16" s="1"/>
  <c r="I42" i="16" s="1"/>
  <c r="M123" i="14"/>
  <c r="AL123" i="15" s="1"/>
  <c r="E16" i="18"/>
  <c r="D16" i="13"/>
  <c r="D16" i="19"/>
  <c r="T125" i="12"/>
  <c r="W125" i="12"/>
  <c r="G16" i="19"/>
  <c r="G16" i="13"/>
  <c r="G16" i="18"/>
  <c r="N8" i="13"/>
  <c r="D31" i="18"/>
  <c r="N8" i="18"/>
  <c r="F16" i="13"/>
  <c r="F16" i="19"/>
  <c r="V125" i="12"/>
  <c r="F16" i="18"/>
  <c r="N8" i="19"/>
  <c r="D31" i="19"/>
  <c r="Z125" i="12"/>
  <c r="J16" i="19"/>
  <c r="J16" i="18"/>
  <c r="J16" i="13"/>
  <c r="H16" i="19"/>
  <c r="X125" i="12"/>
  <c r="H16" i="18"/>
  <c r="H16" i="13"/>
  <c r="AA125" i="12"/>
  <c r="K16" i="19"/>
  <c r="K16" i="18"/>
  <c r="K16" i="13"/>
  <c r="M16" i="19"/>
  <c r="M16" i="18"/>
  <c r="AC125" i="12"/>
  <c r="M16" i="13"/>
  <c r="I16" i="18"/>
  <c r="Y125" i="12"/>
  <c r="I16" i="13"/>
  <c r="I16" i="19"/>
  <c r="E16" i="19"/>
  <c r="E16" i="13"/>
  <c r="U125" i="12"/>
  <c r="AB125" i="12"/>
  <c r="L16" i="19"/>
  <c r="L16" i="18"/>
  <c r="L16" i="13"/>
  <c r="Z22" i="13"/>
  <c r="Y32" i="13"/>
  <c r="Y32" i="18"/>
  <c r="Z22" i="18"/>
  <c r="Y32" i="19"/>
  <c r="Z22" i="19"/>
  <c r="V32" i="18"/>
  <c r="V21" i="18" s="1"/>
  <c r="V32" i="19"/>
  <c r="V21" i="19" s="1"/>
  <c r="AB32" i="13"/>
  <c r="AB32" i="18"/>
  <c r="W22" i="13"/>
  <c r="V19" i="18"/>
  <c r="W22" i="19"/>
  <c r="AC22" i="18"/>
  <c r="V32" i="13"/>
  <c r="V19" i="13"/>
  <c r="W22" i="18"/>
  <c r="V19" i="19"/>
  <c r="AC22" i="13"/>
  <c r="AB22" i="13"/>
  <c r="AA32" i="13"/>
  <c r="AA32" i="18"/>
  <c r="AB22" i="18"/>
  <c r="AA32" i="19"/>
  <c r="AB22" i="19"/>
  <c r="Z32" i="13"/>
  <c r="Z19" i="13"/>
  <c r="AA22" i="13"/>
  <c r="Z32" i="18"/>
  <c r="Z19" i="18"/>
  <c r="AA22" i="18"/>
  <c r="Z32" i="19"/>
  <c r="Z19" i="19"/>
  <c r="AA22" i="19"/>
  <c r="W32" i="13"/>
  <c r="X23" i="13" s="1"/>
  <c r="W32" i="18"/>
  <c r="X22" i="18"/>
  <c r="W32" i="19"/>
  <c r="X22" i="19"/>
  <c r="X22" i="13"/>
  <c r="AB32" i="19"/>
  <c r="AB19" i="19"/>
  <c r="AB19" i="13"/>
  <c r="AC22" i="19"/>
  <c r="W19" i="13"/>
  <c r="AB19" i="18"/>
  <c r="W19" i="18"/>
  <c r="W19" i="19"/>
  <c r="AE22" i="13"/>
  <c r="AD32" i="13"/>
  <c r="AD32" i="18"/>
  <c r="AE22" i="18"/>
  <c r="AD32" i="19"/>
  <c r="AE22" i="19"/>
  <c r="AE32" i="13"/>
  <c r="AE19" i="13"/>
  <c r="AE32" i="18"/>
  <c r="AE19" i="18"/>
  <c r="AE32" i="19"/>
  <c r="AE19" i="19"/>
  <c r="AA19" i="19"/>
  <c r="AA19" i="13"/>
  <c r="AA19" i="18"/>
  <c r="Y19" i="13"/>
  <c r="Y22" i="13"/>
  <c r="X32" i="13"/>
  <c r="X19" i="13"/>
  <c r="X19" i="19"/>
  <c r="Y19" i="18"/>
  <c r="Y19" i="19"/>
  <c r="X32" i="18"/>
  <c r="X19" i="18"/>
  <c r="Y22" i="18"/>
  <c r="X32" i="19"/>
  <c r="Y22" i="19"/>
  <c r="AD22" i="13"/>
  <c r="AC19" i="13"/>
  <c r="AC32" i="13"/>
  <c r="AC32" i="18"/>
  <c r="AC19" i="18"/>
  <c r="AD22" i="18"/>
  <c r="AC32" i="19"/>
  <c r="AC19" i="19"/>
  <c r="AD22" i="19"/>
  <c r="AD19" i="13"/>
  <c r="AD19" i="18"/>
  <c r="AD19" i="19"/>
  <c r="AF9" i="13"/>
  <c r="AG9" i="13" s="1"/>
  <c r="AF9" i="18"/>
  <c r="AG9" i="18" s="1"/>
  <c r="AF9" i="19"/>
  <c r="AG9" i="19" s="1"/>
  <c r="AL130" i="12"/>
  <c r="V124" i="15" l="1"/>
  <c r="X124" i="15"/>
  <c r="AB124" i="15"/>
  <c r="Z124" i="15"/>
  <c r="AC124" i="15"/>
  <c r="M15" i="16" s="1"/>
  <c r="U124" i="15"/>
  <c r="W124" i="15"/>
  <c r="G15" i="16" s="1"/>
  <c r="AA124" i="15"/>
  <c r="K15" i="16" s="1"/>
  <c r="D7" i="16"/>
  <c r="Y124" i="15"/>
  <c r="I15" i="16" s="1"/>
  <c r="T124" i="15"/>
  <c r="D15" i="16" s="1"/>
  <c r="V7" i="16"/>
  <c r="AU124" i="15"/>
  <c r="AS124" i="15"/>
  <c r="AT124" i="15"/>
  <c r="AD15" i="16" s="1"/>
  <c r="AP124" i="15"/>
  <c r="Z15" i="16" s="1"/>
  <c r="AM124" i="15"/>
  <c r="AL124" i="15"/>
  <c r="V15" i="16" s="1"/>
  <c r="AR124" i="15"/>
  <c r="AO124" i="15"/>
  <c r="AQ124" i="15"/>
  <c r="AA15" i="16" s="1"/>
  <c r="AN124" i="15"/>
  <c r="X15" i="16" s="1"/>
  <c r="V21" i="13"/>
  <c r="V25" i="13" s="1"/>
  <c r="W23" i="13"/>
  <c r="H30" i="13"/>
  <c r="H30" i="19"/>
  <c r="X128" i="12"/>
  <c r="H9" i="18"/>
  <c r="H30" i="18"/>
  <c r="H9" i="13"/>
  <c r="H9" i="19"/>
  <c r="F9" i="13"/>
  <c r="V128" i="12"/>
  <c r="F9" i="19"/>
  <c r="F9" i="18"/>
  <c r="F30" i="19"/>
  <c r="F30" i="13"/>
  <c r="F30" i="18"/>
  <c r="G30" i="19"/>
  <c r="G30" i="13"/>
  <c r="G9" i="18"/>
  <c r="G30" i="18"/>
  <c r="G9" i="13"/>
  <c r="G9" i="19"/>
  <c r="W128" i="12"/>
  <c r="I9" i="13"/>
  <c r="I30" i="13"/>
  <c r="I9" i="18"/>
  <c r="Y128" i="12"/>
  <c r="I30" i="18"/>
  <c r="I9" i="19"/>
  <c r="I30" i="19"/>
  <c r="D30" i="19"/>
  <c r="T128" i="12"/>
  <c r="D9" i="13"/>
  <c r="D30" i="13"/>
  <c r="D32" i="13" s="1"/>
  <c r="D9" i="18"/>
  <c r="D9" i="19"/>
  <c r="D30" i="18"/>
  <c r="L30" i="18"/>
  <c r="L30" i="19"/>
  <c r="L9" i="18"/>
  <c r="AB128" i="12"/>
  <c r="L9" i="13"/>
  <c r="L9" i="19"/>
  <c r="L30" i="13"/>
  <c r="K30" i="18"/>
  <c r="K9" i="19"/>
  <c r="K30" i="13"/>
  <c r="K30" i="19"/>
  <c r="K9" i="13"/>
  <c r="AA128" i="12"/>
  <c r="K9" i="18"/>
  <c r="J30" i="19"/>
  <c r="J9" i="13"/>
  <c r="Z128" i="12"/>
  <c r="J30" i="18"/>
  <c r="J30" i="13"/>
  <c r="J9" i="18"/>
  <c r="J9" i="19"/>
  <c r="E20" i="18"/>
  <c r="D20" i="18"/>
  <c r="E9" i="19"/>
  <c r="U128" i="12"/>
  <c r="E9" i="13"/>
  <c r="E9" i="18"/>
  <c r="E30" i="19"/>
  <c r="E30" i="13"/>
  <c r="E30" i="18"/>
  <c r="D20" i="19"/>
  <c r="E20" i="19"/>
  <c r="N16" i="13"/>
  <c r="M30" i="19"/>
  <c r="M9" i="13"/>
  <c r="M30" i="13"/>
  <c r="M9" i="18"/>
  <c r="AC128" i="12"/>
  <c r="M30" i="18"/>
  <c r="M9" i="19"/>
  <c r="D20" i="13"/>
  <c r="E20" i="13"/>
  <c r="Y23" i="13"/>
  <c r="Y21" i="19"/>
  <c r="Y21" i="13"/>
  <c r="Z23" i="13"/>
  <c r="Y21" i="18"/>
  <c r="X21" i="19"/>
  <c r="AC23" i="19"/>
  <c r="W21" i="18"/>
  <c r="W23" i="18"/>
  <c r="W23" i="19"/>
  <c r="AE21" i="13"/>
  <c r="X21" i="13"/>
  <c r="X23" i="19"/>
  <c r="Z23" i="19"/>
  <c r="X23" i="18"/>
  <c r="AA23" i="19"/>
  <c r="Z21" i="19"/>
  <c r="Z23" i="18"/>
  <c r="Y23" i="18"/>
  <c r="X21" i="18"/>
  <c r="Y23" i="19"/>
  <c r="AC23" i="13"/>
  <c r="AC23" i="18"/>
  <c r="W21" i="13"/>
  <c r="W21" i="19"/>
  <c r="AE21" i="18"/>
  <c r="AE23" i="13"/>
  <c r="AE23" i="18"/>
  <c r="AE23" i="19"/>
  <c r="AE21" i="19"/>
  <c r="AA21" i="19"/>
  <c r="AB23" i="13"/>
  <c r="AA21" i="13"/>
  <c r="AA21" i="18"/>
  <c r="AA23" i="13"/>
  <c r="AB21" i="18"/>
  <c r="AA23" i="18"/>
  <c r="AB23" i="19"/>
  <c r="AB23" i="18"/>
  <c r="Z21" i="13"/>
  <c r="Z21" i="18"/>
  <c r="AB21" i="13"/>
  <c r="AB21" i="19"/>
  <c r="AD23" i="13"/>
  <c r="AC21" i="13"/>
  <c r="AD23" i="18"/>
  <c r="AC21" i="18"/>
  <c r="AD23" i="19"/>
  <c r="AC21" i="19"/>
  <c r="AD21" i="13"/>
  <c r="AD21" i="18"/>
  <c r="AD21" i="19"/>
  <c r="E15" i="16" l="1"/>
  <c r="U125" i="15"/>
  <c r="D30" i="16"/>
  <c r="N7" i="16"/>
  <c r="AF7" i="16"/>
  <c r="V30" i="16"/>
  <c r="AC15" i="16"/>
  <c r="Y15" i="16"/>
  <c r="X125" i="15"/>
  <c r="Z125" i="15"/>
  <c r="V125" i="15"/>
  <c r="W125" i="15"/>
  <c r="Y125" i="15"/>
  <c r="AB125" i="15"/>
  <c r="AC125" i="15"/>
  <c r="AA125" i="15"/>
  <c r="F15" i="16"/>
  <c r="H15" i="16"/>
  <c r="L15" i="16"/>
  <c r="J15" i="16"/>
  <c r="T125" i="15"/>
  <c r="AM125" i="15"/>
  <c r="AR125" i="15"/>
  <c r="AO125" i="15"/>
  <c r="AU125" i="15"/>
  <c r="AP125" i="15"/>
  <c r="AN125" i="15"/>
  <c r="AL125" i="15"/>
  <c r="AQ125" i="15"/>
  <c r="AT125" i="15"/>
  <c r="AS125" i="15"/>
  <c r="AE15" i="16"/>
  <c r="W15" i="16"/>
  <c r="AB15" i="16"/>
  <c r="V26" i="13"/>
  <c r="E19" i="13"/>
  <c r="F22" i="13"/>
  <c r="E32" i="13"/>
  <c r="E23" i="13"/>
  <c r="D19" i="13"/>
  <c r="E22" i="13"/>
  <c r="G32" i="13"/>
  <c r="H22" i="13"/>
  <c r="G19" i="13"/>
  <c r="N9" i="13"/>
  <c r="O9" i="13" s="1"/>
  <c r="J32" i="13"/>
  <c r="K22" i="13"/>
  <c r="J19" i="13"/>
  <c r="K32" i="19"/>
  <c r="K19" i="19"/>
  <c r="L22" i="19"/>
  <c r="T130" i="12"/>
  <c r="G22" i="18"/>
  <c r="F32" i="18"/>
  <c r="F19" i="18"/>
  <c r="M32" i="19"/>
  <c r="M19" i="19"/>
  <c r="J32" i="18"/>
  <c r="K22" i="18"/>
  <c r="J19" i="18"/>
  <c r="L22" i="13"/>
  <c r="K19" i="13"/>
  <c r="K32" i="13"/>
  <c r="L19" i="19"/>
  <c r="M22" i="19"/>
  <c r="L32" i="19"/>
  <c r="D32" i="19"/>
  <c r="D19" i="19"/>
  <c r="E22" i="19"/>
  <c r="F19" i="13"/>
  <c r="G22" i="13"/>
  <c r="F32" i="13"/>
  <c r="H32" i="18"/>
  <c r="H19" i="18"/>
  <c r="I22" i="18"/>
  <c r="E32" i="19"/>
  <c r="E19" i="19"/>
  <c r="F22" i="19"/>
  <c r="L32" i="18"/>
  <c r="L19" i="18"/>
  <c r="M22" i="18"/>
  <c r="I19" i="19"/>
  <c r="I32" i="19"/>
  <c r="J22" i="19"/>
  <c r="F19" i="19"/>
  <c r="F32" i="19"/>
  <c r="G22" i="19"/>
  <c r="G32" i="19"/>
  <c r="H22" i="19"/>
  <c r="G19" i="19"/>
  <c r="K32" i="18"/>
  <c r="K19" i="18"/>
  <c r="L22" i="18"/>
  <c r="D19" i="18"/>
  <c r="D32" i="18"/>
  <c r="E22" i="18"/>
  <c r="M32" i="13"/>
  <c r="M19" i="13"/>
  <c r="J22" i="13"/>
  <c r="I32" i="13"/>
  <c r="I19" i="13"/>
  <c r="M32" i="18"/>
  <c r="M19" i="18"/>
  <c r="K22" i="19"/>
  <c r="J32" i="19"/>
  <c r="J19" i="19"/>
  <c r="L32" i="13"/>
  <c r="L19" i="13"/>
  <c r="M22" i="13"/>
  <c r="N9" i="19"/>
  <c r="O9" i="19" s="1"/>
  <c r="I32" i="18"/>
  <c r="I19" i="18"/>
  <c r="J22" i="18"/>
  <c r="H22" i="18"/>
  <c r="G32" i="18"/>
  <c r="G19" i="18"/>
  <c r="H32" i="19"/>
  <c r="H19" i="19"/>
  <c r="I22" i="19"/>
  <c r="E32" i="18"/>
  <c r="E19" i="18"/>
  <c r="F22" i="18"/>
  <c r="N9" i="18"/>
  <c r="O9" i="18" s="1"/>
  <c r="H19" i="13"/>
  <c r="H32" i="13"/>
  <c r="I22" i="13"/>
  <c r="AA25" i="19"/>
  <c r="AA26" i="19" s="1"/>
  <c r="Y25" i="18"/>
  <c r="Y26" i="18" s="1"/>
  <c r="X25" i="19"/>
  <c r="X26" i="19" s="1"/>
  <c r="W25" i="18"/>
  <c r="W26" i="18" s="1"/>
  <c r="Y25" i="13"/>
  <c r="Y26" i="13" s="1"/>
  <c r="X25" i="18"/>
  <c r="X26" i="18" s="1"/>
  <c r="W25" i="13"/>
  <c r="W26" i="13" s="1"/>
  <c r="X25" i="13"/>
  <c r="X26" i="13" s="1"/>
  <c r="Y25" i="19"/>
  <c r="Y26" i="19" s="1"/>
  <c r="W25" i="19"/>
  <c r="W26" i="19" s="1"/>
  <c r="D18" i="13"/>
  <c r="Z25" i="19"/>
  <c r="Z26" i="19" s="1"/>
  <c r="AE25" i="13"/>
  <c r="AE26" i="13" s="1"/>
  <c r="AE25" i="18"/>
  <c r="AE26" i="18" s="1"/>
  <c r="AE25" i="19"/>
  <c r="AE26" i="19" s="1"/>
  <c r="Z25" i="13"/>
  <c r="Z26" i="13" s="1"/>
  <c r="AB25" i="13"/>
  <c r="AB26" i="13" s="1"/>
  <c r="AB25" i="18"/>
  <c r="AB26" i="18" s="1"/>
  <c r="AB25" i="19"/>
  <c r="AB26" i="19" s="1"/>
  <c r="AA25" i="13"/>
  <c r="AA26" i="13" s="1"/>
  <c r="Z25" i="18"/>
  <c r="Z26" i="18" s="1"/>
  <c r="AA25" i="18"/>
  <c r="AA26" i="18" s="1"/>
  <c r="AC25" i="13"/>
  <c r="AC26" i="13" s="1"/>
  <c r="AC25" i="18"/>
  <c r="AC26" i="18" s="1"/>
  <c r="AD25" i="13"/>
  <c r="AD26" i="13" s="1"/>
  <c r="AD25" i="18"/>
  <c r="AD26" i="18" s="1"/>
  <c r="AC25" i="19"/>
  <c r="AC26" i="19" s="1"/>
  <c r="AD25" i="19"/>
  <c r="AD26" i="19" s="1"/>
  <c r="C39" i="16"/>
  <c r="V18" i="19"/>
  <c r="Z24" i="16"/>
  <c r="Z25" i="16" s="1"/>
  <c r="AD24" i="16"/>
  <c r="AD25" i="16" s="1"/>
  <c r="AE24" i="16"/>
  <c r="AE25" i="16" s="1"/>
  <c r="AA24" i="16"/>
  <c r="AA25" i="16" s="1"/>
  <c r="U128" i="15" l="1"/>
  <c r="E29" i="16"/>
  <c r="E8" i="16"/>
  <c r="E19" i="16"/>
  <c r="D19" i="16"/>
  <c r="V19" i="16"/>
  <c r="W19" i="16"/>
  <c r="X128" i="15"/>
  <c r="H29" i="16"/>
  <c r="H8" i="16"/>
  <c r="Z128" i="15"/>
  <c r="J29" i="16"/>
  <c r="J8" i="16"/>
  <c r="V128" i="15"/>
  <c r="F8" i="16"/>
  <c r="F29" i="16"/>
  <c r="W128" i="15"/>
  <c r="G29" i="16"/>
  <c r="G8" i="16"/>
  <c r="Y128" i="15"/>
  <c r="I29" i="16"/>
  <c r="I8" i="16"/>
  <c r="AB128" i="15"/>
  <c r="L8" i="16"/>
  <c r="L29" i="16"/>
  <c r="AC128" i="15"/>
  <c r="M29" i="16"/>
  <c r="M8" i="16"/>
  <c r="AA128" i="15"/>
  <c r="K29" i="16"/>
  <c r="K8" i="16"/>
  <c r="D29" i="16"/>
  <c r="D8" i="16"/>
  <c r="N8" i="16" s="1"/>
  <c r="O8" i="16" s="1"/>
  <c r="T128" i="15"/>
  <c r="T130" i="15" s="1"/>
  <c r="W29" i="16"/>
  <c r="W8" i="16"/>
  <c r="AM128" i="15"/>
  <c r="AR128" i="15"/>
  <c r="AB29" i="16"/>
  <c r="AB8" i="16"/>
  <c r="Y29" i="16"/>
  <c r="AO128" i="15"/>
  <c r="Y8" i="16"/>
  <c r="AE8" i="16"/>
  <c r="AU128" i="15"/>
  <c r="AE29" i="16"/>
  <c r="Z8" i="16"/>
  <c r="Z29" i="16"/>
  <c r="AP128" i="15"/>
  <c r="AN128" i="15"/>
  <c r="X8" i="16"/>
  <c r="X29" i="16"/>
  <c r="AL128" i="15"/>
  <c r="AL130" i="15" s="1"/>
  <c r="V8" i="16"/>
  <c r="V29" i="16"/>
  <c r="AQ128" i="15"/>
  <c r="AA29" i="16"/>
  <c r="AA8" i="16"/>
  <c r="AD29" i="16"/>
  <c r="AD8" i="16"/>
  <c r="AT128" i="15"/>
  <c r="AC29" i="16"/>
  <c r="AC8" i="16"/>
  <c r="AS128" i="15"/>
  <c r="AC24" i="16"/>
  <c r="AC25" i="16" s="1"/>
  <c r="V27" i="13"/>
  <c r="H23" i="18"/>
  <c r="G21" i="18"/>
  <c r="L21" i="13"/>
  <c r="M23" i="13"/>
  <c r="L23" i="18"/>
  <c r="K21" i="18"/>
  <c r="I21" i="19"/>
  <c r="J23" i="19"/>
  <c r="D21" i="19"/>
  <c r="E23" i="19"/>
  <c r="M23" i="19"/>
  <c r="L21" i="19"/>
  <c r="K23" i="18"/>
  <c r="J21" i="18"/>
  <c r="H23" i="13"/>
  <c r="G21" i="13"/>
  <c r="E21" i="18"/>
  <c r="F23" i="18"/>
  <c r="J21" i="19"/>
  <c r="K23" i="19"/>
  <c r="M21" i="13"/>
  <c r="H21" i="18"/>
  <c r="H25" i="18" s="1"/>
  <c r="H26" i="18" s="1"/>
  <c r="I23" i="18"/>
  <c r="K21" i="19"/>
  <c r="L23" i="19"/>
  <c r="H23" i="19"/>
  <c r="G21" i="19"/>
  <c r="F21" i="13"/>
  <c r="G23" i="13"/>
  <c r="M21" i="19"/>
  <c r="N19" i="13"/>
  <c r="J23" i="18"/>
  <c r="I21" i="18"/>
  <c r="D21" i="18"/>
  <c r="E23" i="18"/>
  <c r="L21" i="18"/>
  <c r="M23" i="18"/>
  <c r="K21" i="13"/>
  <c r="L23" i="13"/>
  <c r="D21" i="13"/>
  <c r="D25" i="13" s="1"/>
  <c r="I23" i="13"/>
  <c r="H21" i="13"/>
  <c r="M21" i="18"/>
  <c r="F21" i="19"/>
  <c r="G23" i="19"/>
  <c r="F21" i="18"/>
  <c r="G23" i="18"/>
  <c r="K23" i="13"/>
  <c r="J21" i="13"/>
  <c r="F23" i="13"/>
  <c r="E21" i="13"/>
  <c r="I23" i="19"/>
  <c r="H21" i="19"/>
  <c r="H25" i="19" s="1"/>
  <c r="H26" i="19" s="1"/>
  <c r="J23" i="13"/>
  <c r="I21" i="13"/>
  <c r="I25" i="13" s="1"/>
  <c r="I26" i="13" s="1"/>
  <c r="F23" i="19"/>
  <c r="E21" i="19"/>
  <c r="D17" i="16"/>
  <c r="I37" i="16"/>
  <c r="V25" i="19"/>
  <c r="V26" i="19" s="1"/>
  <c r="V25" i="18"/>
  <c r="V26" i="18" s="1"/>
  <c r="E18" i="16" l="1"/>
  <c r="F21" i="16"/>
  <c r="E31" i="16"/>
  <c r="I21" i="16"/>
  <c r="H18" i="16"/>
  <c r="H31" i="16"/>
  <c r="J18" i="16"/>
  <c r="J31" i="16"/>
  <c r="K21" i="16"/>
  <c r="G21" i="16"/>
  <c r="F18" i="16"/>
  <c r="F31" i="16"/>
  <c r="H21" i="16"/>
  <c r="G18" i="16"/>
  <c r="G31" i="16"/>
  <c r="J21" i="16"/>
  <c r="I18" i="16"/>
  <c r="I31" i="16"/>
  <c r="L18" i="16"/>
  <c r="M21" i="16"/>
  <c r="L31" i="16"/>
  <c r="M18" i="16"/>
  <c r="M31" i="16"/>
  <c r="M20" i="16" s="1"/>
  <c r="K31" i="16"/>
  <c r="K18" i="16"/>
  <c r="L21" i="16"/>
  <c r="D18" i="16"/>
  <c r="E21" i="16"/>
  <c r="D31" i="16"/>
  <c r="W18" i="16"/>
  <c r="W31" i="16"/>
  <c r="X21" i="16"/>
  <c r="AB18" i="16"/>
  <c r="AB31" i="16"/>
  <c r="AC21" i="16"/>
  <c r="Y18" i="16"/>
  <c r="Y31" i="16"/>
  <c r="Z21" i="16"/>
  <c r="AE18" i="16"/>
  <c r="AE31" i="16"/>
  <c r="AA21" i="16"/>
  <c r="Z31" i="16"/>
  <c r="Z18" i="16"/>
  <c r="X18" i="16"/>
  <c r="Y21" i="16"/>
  <c r="X31" i="16"/>
  <c r="V18" i="16"/>
  <c r="W21" i="16"/>
  <c r="V31" i="16"/>
  <c r="AA18" i="16"/>
  <c r="AB21" i="16"/>
  <c r="AA31" i="16"/>
  <c r="AE21" i="16"/>
  <c r="AD31" i="16"/>
  <c r="AD18" i="16"/>
  <c r="AC18" i="16"/>
  <c r="AC31" i="16"/>
  <c r="AD21" i="16"/>
  <c r="AF8" i="16"/>
  <c r="AG8" i="16" s="1"/>
  <c r="G25" i="13"/>
  <c r="G26" i="13" s="1"/>
  <c r="F25" i="19"/>
  <c r="F26" i="19" s="1"/>
  <c r="L25" i="19"/>
  <c r="L26" i="19" s="1"/>
  <c r="M25" i="18"/>
  <c r="M26" i="18" s="1"/>
  <c r="D26" i="13"/>
  <c r="J25" i="13"/>
  <c r="J26" i="13" s="1"/>
  <c r="V27" i="18"/>
  <c r="K25" i="18"/>
  <c r="K26" i="18" s="1"/>
  <c r="F25" i="13"/>
  <c r="F26" i="13" s="1"/>
  <c r="L25" i="18"/>
  <c r="L26" i="18" s="1"/>
  <c r="I25" i="19"/>
  <c r="I26" i="19" s="1"/>
  <c r="G25" i="19"/>
  <c r="G26" i="19" s="1"/>
  <c r="L25" i="13"/>
  <c r="L26" i="13" s="1"/>
  <c r="H25" i="13"/>
  <c r="H26" i="13" s="1"/>
  <c r="J25" i="19"/>
  <c r="J26" i="19" s="1"/>
  <c r="I25" i="18"/>
  <c r="I26" i="18" s="1"/>
  <c r="G25" i="18"/>
  <c r="G26" i="18" s="1"/>
  <c r="E25" i="18"/>
  <c r="E26" i="18" s="1"/>
  <c r="K25" i="19"/>
  <c r="K26" i="19" s="1"/>
  <c r="D18" i="18"/>
  <c r="E25" i="13"/>
  <c r="E26" i="13" s="1"/>
  <c r="K25" i="13"/>
  <c r="K26" i="13" s="1"/>
  <c r="M25" i="19"/>
  <c r="M26" i="19" s="1"/>
  <c r="J25" i="18"/>
  <c r="J26" i="18" s="1"/>
  <c r="D18" i="19"/>
  <c r="D25" i="19" s="1"/>
  <c r="D26" i="19" s="1"/>
  <c r="F25" i="18"/>
  <c r="F26" i="18" s="1"/>
  <c r="E25" i="19"/>
  <c r="E26" i="19" s="1"/>
  <c r="M25" i="13"/>
  <c r="M26" i="13" s="1"/>
  <c r="V27" i="19"/>
  <c r="F22" i="16" l="1"/>
  <c r="E20" i="16"/>
  <c r="E24" i="16" s="1"/>
  <c r="E25" i="16" s="1"/>
  <c r="I22" i="16"/>
  <c r="H20" i="16"/>
  <c r="H24" i="16" s="1"/>
  <c r="H25" i="16" s="1"/>
  <c r="J20" i="16"/>
  <c r="J24" i="16" s="1"/>
  <c r="J25" i="16" s="1"/>
  <c r="K22" i="16"/>
  <c r="F20" i="16"/>
  <c r="F24" i="16" s="1"/>
  <c r="F25" i="16" s="1"/>
  <c r="G22" i="16"/>
  <c r="G20" i="16"/>
  <c r="G24" i="16" s="1"/>
  <c r="G25" i="16" s="1"/>
  <c r="H22" i="16"/>
  <c r="I20" i="16"/>
  <c r="J22" i="16"/>
  <c r="L20" i="16"/>
  <c r="M22" i="16"/>
  <c r="K20" i="16"/>
  <c r="L22" i="16"/>
  <c r="E22" i="16"/>
  <c r="D20" i="16"/>
  <c r="D24" i="16" s="1"/>
  <c r="D25" i="16" s="1"/>
  <c r="W20" i="16"/>
  <c r="X22" i="16"/>
  <c r="AB20" i="16"/>
  <c r="AB24" i="16" s="1"/>
  <c r="AB25" i="16" s="1"/>
  <c r="AC22" i="16"/>
  <c r="Y20" i="16"/>
  <c r="Z22" i="16"/>
  <c r="Z20" i="16"/>
  <c r="AA22" i="16"/>
  <c r="X20" i="16"/>
  <c r="X24" i="16" s="1"/>
  <c r="X25" i="16" s="1"/>
  <c r="Y22" i="16"/>
  <c r="W22" i="16"/>
  <c r="V20" i="16"/>
  <c r="AA20" i="16"/>
  <c r="AB22" i="16"/>
  <c r="AD20" i="16"/>
  <c r="AE22" i="16"/>
  <c r="AC20" i="16"/>
  <c r="AD22" i="16"/>
  <c r="V14" i="16"/>
  <c r="V16" i="16"/>
  <c r="AE20" i="16"/>
  <c r="M24" i="16"/>
  <c r="M25" i="16" s="1"/>
  <c r="N25" i="13"/>
  <c r="D27" i="13"/>
  <c r="D25" i="18"/>
  <c r="D27" i="19"/>
  <c r="V24" i="16" l="1"/>
  <c r="V25" i="16" s="1"/>
  <c r="V26" i="16" s="1"/>
  <c r="V17" i="16"/>
  <c r="B39" i="16"/>
  <c r="I38" i="16" s="1"/>
  <c r="I24" i="16"/>
  <c r="I25" i="16" s="1"/>
  <c r="L24" i="16"/>
  <c r="L25" i="16" s="1"/>
  <c r="K24" i="16"/>
  <c r="K25" i="16" s="1"/>
  <c r="W24" i="16"/>
  <c r="W25" i="16" s="1"/>
  <c r="D26" i="16"/>
  <c r="Y24" i="16"/>
  <c r="Y25" i="16" s="1"/>
  <c r="D26" i="18"/>
  <c r="D27" i="18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<sst xmlns="http://schemas.openxmlformats.org/spreadsheetml/2006/main" count="709" uniqueCount="153">
  <si>
    <t>Year</t>
  </si>
  <si>
    <t>Premium</t>
  </si>
  <si>
    <t>Exposure measure</t>
  </si>
  <si>
    <t>Estimate</t>
  </si>
  <si>
    <t>Number of risks</t>
  </si>
  <si>
    <t>Inflation + superimposed inflation</t>
  </si>
  <si>
    <t>Source : Statbel &amp; Plan Bureau</t>
  </si>
  <si>
    <t>Stabel</t>
  </si>
  <si>
    <t>Historical CPI</t>
  </si>
  <si>
    <t>Accident year</t>
  </si>
  <si>
    <t>Claims Index</t>
  </si>
  <si>
    <t>CPI</t>
  </si>
  <si>
    <t>Plan Bureau</t>
  </si>
  <si>
    <t>CPI forecast</t>
  </si>
  <si>
    <t>SI</t>
  </si>
  <si>
    <t>CPI+ SI</t>
  </si>
  <si>
    <t>Average premium</t>
  </si>
  <si>
    <t>Premium index</t>
  </si>
  <si>
    <t>=</t>
  </si>
  <si>
    <t xml:space="preserve">indexed Premium </t>
  </si>
  <si>
    <t>Step1: Burning Cost without indexation</t>
  </si>
  <si>
    <t>Step 0:premium indexation</t>
  </si>
  <si>
    <t>Paiement incremental</t>
  </si>
  <si>
    <t>Indexed Incremental</t>
  </si>
  <si>
    <t>Origine</t>
  </si>
  <si>
    <t>Destination</t>
  </si>
  <si>
    <t>Accumulated indexed paiements</t>
  </si>
  <si>
    <t>Years</t>
  </si>
  <si>
    <t>Indexed loss Reserves</t>
  </si>
  <si>
    <t>Non Indexed incurred loss</t>
  </si>
  <si>
    <t xml:space="preserve"> Indexed incurred loss</t>
  </si>
  <si>
    <t>ultimate</t>
  </si>
  <si>
    <t>Factor</t>
  </si>
  <si>
    <t>Seuil</t>
  </si>
  <si>
    <t>XL1</t>
  </si>
  <si>
    <t>XL2</t>
  </si>
  <si>
    <t>Layer1</t>
  </si>
  <si>
    <t>XS</t>
  </si>
  <si>
    <t>Layer2</t>
  </si>
  <si>
    <t>BC XL1</t>
  </si>
  <si>
    <t>-</t>
  </si>
  <si>
    <t>BC XL2</t>
  </si>
  <si>
    <t>Total=</t>
  </si>
  <si>
    <t>BC</t>
  </si>
  <si>
    <t>Prime=</t>
  </si>
  <si>
    <t>Step 2:claims index</t>
  </si>
  <si>
    <t>Step 3: BC  with index</t>
  </si>
  <si>
    <t>Step 4: XL pure premium</t>
  </si>
  <si>
    <t>Number of Losses &gt;Seuil</t>
  </si>
  <si>
    <t>Number of claim</t>
  </si>
  <si>
    <t>Ultime</t>
  </si>
  <si>
    <t>Lambda_A=</t>
  </si>
  <si>
    <t>LN(Xi/A)</t>
  </si>
  <si>
    <t>Seuil A</t>
  </si>
  <si>
    <t>alpha=</t>
  </si>
  <si>
    <t>Pareto</t>
  </si>
  <si>
    <t>A =</t>
  </si>
  <si>
    <t>Alpha =</t>
  </si>
  <si>
    <t>E(X)</t>
  </si>
  <si>
    <t>Threshold</t>
  </si>
  <si>
    <t>P(X &gt; P1=</t>
  </si>
  <si>
    <t>Lamdba&gt;A=</t>
  </si>
  <si>
    <t>&gt;P1</t>
  </si>
  <si>
    <t>P1=</t>
  </si>
  <si>
    <t>P2=</t>
  </si>
  <si>
    <t>&gt;P2</t>
  </si>
  <si>
    <t>)=</t>
  </si>
  <si>
    <t>Lamdba _&gt;P1=</t>
  </si>
  <si>
    <t>Lamdba_Obs _&gt;P1=</t>
  </si>
  <si>
    <t>E(Y_P)=</t>
  </si>
  <si>
    <t xml:space="preserve">Pure Premium= </t>
  </si>
  <si>
    <t>P(X &gt; P2=</t>
  </si>
  <si>
    <t>Lamdba _&gt;P2=</t>
  </si>
  <si>
    <t>Lamdba_Obs _&gt;P2=</t>
  </si>
  <si>
    <t>Treaty 1</t>
  </si>
  <si>
    <t>Treaty2</t>
  </si>
  <si>
    <t>Step 7:Payment patterns</t>
  </si>
  <si>
    <t>Ultimate</t>
  </si>
  <si>
    <t>payment patterns=</t>
  </si>
  <si>
    <t>Layer1=</t>
  </si>
  <si>
    <t>xs</t>
  </si>
  <si>
    <t>L1 Payment Pattern</t>
  </si>
  <si>
    <t>Xs</t>
  </si>
  <si>
    <t>XL1 premium development</t>
  </si>
  <si>
    <t>Pure Premium=</t>
  </si>
  <si>
    <t>Loss Payment dev</t>
  </si>
  <si>
    <t>O/S loss reserve dev</t>
  </si>
  <si>
    <t>XL2 premium development</t>
  </si>
  <si>
    <t xml:space="preserve"> Indexed cum paid</t>
  </si>
  <si>
    <t>Step8:Commercial premium</t>
  </si>
  <si>
    <t>Commercial Premium XL1</t>
  </si>
  <si>
    <t>Costs</t>
  </si>
  <si>
    <t>Brokerage</t>
  </si>
  <si>
    <t>Capital</t>
  </si>
  <si>
    <t>Pure premium</t>
  </si>
  <si>
    <t>Loss reserve</t>
  </si>
  <si>
    <t>Interest rate</t>
  </si>
  <si>
    <t>Development year</t>
  </si>
  <si>
    <t>Total</t>
  </si>
  <si>
    <t>P&amp;L</t>
  </si>
  <si>
    <t>XL commercial premium</t>
  </si>
  <si>
    <t>XL loss payments</t>
  </si>
  <si>
    <t>O/S loss reserve variation</t>
  </si>
  <si>
    <t>Variation de Capital</t>
  </si>
  <si>
    <t>Interests on loss reserve</t>
  </si>
  <si>
    <t>Interest on capital</t>
  </si>
  <si>
    <t>Total - discounted</t>
  </si>
  <si>
    <t>NPV treaty</t>
  </si>
  <si>
    <t>Balance sheet items</t>
  </si>
  <si>
    <t>O/S loss reserve</t>
  </si>
  <si>
    <t>Expense Ratio</t>
  </si>
  <si>
    <t>CoC</t>
  </si>
  <si>
    <t>ponderation=</t>
  </si>
  <si>
    <t>Durée Moyenne=</t>
  </si>
  <si>
    <t>Brokerage+expense</t>
  </si>
  <si>
    <t>Stability Index</t>
  </si>
  <si>
    <t>Stability index</t>
  </si>
  <si>
    <t>P1</t>
  </si>
  <si>
    <t>L1</t>
  </si>
  <si>
    <t>P2</t>
  </si>
  <si>
    <t>L2</t>
  </si>
  <si>
    <t>Step 9:Payment patterns</t>
  </si>
  <si>
    <t>Step 9:Stability clause</t>
  </si>
  <si>
    <t>Année</t>
  </si>
  <si>
    <t>Com.Premium XL1</t>
  </si>
  <si>
    <t>With Stability</t>
  </si>
  <si>
    <t>Without</t>
  </si>
  <si>
    <t>Com.Premium XL2</t>
  </si>
  <si>
    <t>L'ajout de stability clause fait baisser la prime commerciale de:</t>
  </si>
  <si>
    <t>CoC 8%</t>
  </si>
  <si>
    <t>CoC 12%</t>
  </si>
  <si>
    <t>CoC élévé fait augmenter la prime commerciale</t>
  </si>
  <si>
    <t>SI original(1,5%)</t>
  </si>
  <si>
    <t>SI Inflation  1%</t>
  </si>
  <si>
    <t>SI Inflation  2%</t>
  </si>
  <si>
    <t>SI  élévé fait augmenter la prime commerciale</t>
  </si>
  <si>
    <t>Unlimited Reinstatements Prepaid</t>
  </si>
  <si>
    <t>Layer2=</t>
  </si>
  <si>
    <t>2 reinstatement Prepaid</t>
  </si>
  <si>
    <t>La stability clause entraine la rareté de donnée extreme car la priorité est revue a la hausse</t>
  </si>
  <si>
    <t>Prime de base</t>
  </si>
  <si>
    <t>Layer 1</t>
  </si>
  <si>
    <t>Layer 2</t>
  </si>
  <si>
    <t>Annee</t>
  </si>
  <si>
    <t>Somme de reassurance</t>
  </si>
  <si>
    <t>Prime ==</t>
  </si>
  <si>
    <t>CoC original (10%)</t>
  </si>
  <si>
    <t>Commercial Premium XL2</t>
  </si>
  <si>
    <t>Discount rate</t>
  </si>
  <si>
    <t>Discount factor</t>
  </si>
  <si>
    <t>BC_avec_indexation</t>
  </si>
  <si>
    <t>Prime avec</t>
  </si>
  <si>
    <t>BC_sans_indexation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</si>
</sst>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43" formatCode="_-* #,##0.00_-;\-* #,##0.00_-;_-* &quot;-&quot;??_-;_-@_-"/>
    <numFmt numFmtId="164" formatCode="_ * #,##0.00_ ;_ * \-#,##0.00_ ;_ * &quot;-&quot;??_ ;_ @_ "/>
    <numFmt numFmtId="165" formatCode="_ * #,##0_ ;_ * \-#,##0_ ;_ * &quot;-&quot;??_ ;_ @_ "/>
    <numFmt numFmtId="166" formatCode="0.0%"/>
    <numFmt numFmtId="167" formatCode="_-* #,##0_-;\-* #,##0_-;_-* &quot;-&quot;??_-;_-@_-"/>
    <numFmt numFmtId="168" formatCode="0.000"/>
    <numFmt numFmtId="169" formatCode="_-* #,##0.00\ _€_-;\-* #,##0.00\ _€_-;_-* &quot;-&quot;??\ _€_-;_-@_-"/>
    <numFmt numFmtId="170" formatCode="_-* #,##0\ _€_-;\-* #,##0\ _€_-;_-* &quot;-&quot;??\ _€_-;_-@_-"/>
    <numFmt numFmtId="171" formatCode="_-* #,##0\ _F_B_-;\-* #,##0\ _F_B_-;_-* &quot;-&quot;??\ _F_B_-;_-@_-"/>
    <numFmt numFmtId="172" formatCode="_-* #,##0.00\ _F_C_F_A_-;\-* #,##0.00\ _F_C_F_A_-;_-* &quot;-&quot;??\ _F_C_F_A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0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sz val="11"/>
      <color rgb="FF00B0F0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3" fillId="2" borderId="0" applyNumberFormat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97">
    <xf numFmtId="0" fontId="0" fillId="0" borderId="0" xfId="0"/>
    <xf numFmtId="10" fontId="0" fillId="0" borderId="0" xfId="1" applyNumberFormat="1" applyFont="1"/>
    <xf numFmtId="165" fontId="0" fillId="0" borderId="0" xfId="3" applyNumberFormat="1" applyFont="1"/>
    <xf numFmtId="0" fontId="2" fillId="0" borderId="3" xfId="0" applyFont="1" applyBorder="1"/>
    <xf numFmtId="0" fontId="2" fillId="0" borderId="4" xfId="0" applyFont="1" applyBorder="1"/>
    <xf numFmtId="0" fontId="5" fillId="3" borderId="5" xfId="3" applyNumberFormat="1" applyFont="1" applyFill="1" applyBorder="1"/>
    <xf numFmtId="165" fontId="0" fillId="3" borderId="6" xfId="3" applyNumberFormat="1" applyFont="1" applyFill="1" applyBorder="1"/>
    <xf numFmtId="9" fontId="0" fillId="0" borderId="0" xfId="1" applyFont="1"/>
    <xf numFmtId="0" fontId="0" fillId="3" borderId="1" xfId="3" applyNumberFormat="1" applyFont="1" applyFill="1" applyBorder="1"/>
    <xf numFmtId="165" fontId="5" fillId="3" borderId="2" xfId="3" applyNumberFormat="1" applyFont="1" applyFill="1" applyBorder="1"/>
    <xf numFmtId="166" fontId="0" fillId="0" borderId="0" xfId="1" applyNumberFormat="1" applyFont="1"/>
    <xf numFmtId="0" fontId="0" fillId="0" borderId="0" xfId="3" applyNumberFormat="1" applyFont="1"/>
    <xf numFmtId="14" fontId="0" fillId="0" borderId="0" xfId="3" applyNumberFormat="1" applyFont="1"/>
    <xf numFmtId="167" fontId="0" fillId="0" borderId="0" xfId="4" applyNumberFormat="1" applyFont="1"/>
    <xf numFmtId="165" fontId="2" fillId="0" borderId="0" xfId="0" applyNumberFormat="1" applyFont="1"/>
    <xf numFmtId="0" fontId="6" fillId="0" borderId="0" xfId="0" applyFont="1"/>
    <xf numFmtId="0" fontId="7" fillId="0" borderId="0" xfId="0" applyFont="1"/>
    <xf numFmtId="9" fontId="6" fillId="0" borderId="0" xfId="0" applyNumberFormat="1" applyFont="1"/>
    <xf numFmtId="10" fontId="6" fillId="0" borderId="0" xfId="0" applyNumberFormat="1" applyFont="1"/>
    <xf numFmtId="167" fontId="0" fillId="3" borderId="7" xfId="0" applyNumberFormat="1" applyFill="1" applyBorder="1"/>
    <xf numFmtId="0" fontId="0" fillId="3" borderId="8" xfId="0" applyFill="1" applyBorder="1"/>
    <xf numFmtId="165" fontId="2" fillId="0" borderId="9" xfId="0" applyNumberFormat="1" applyFont="1" applyBorder="1"/>
    <xf numFmtId="167" fontId="0" fillId="0" borderId="0" xfId="4" applyNumberFormat="1" applyFont="1" applyFill="1"/>
    <xf numFmtId="0" fontId="9" fillId="0" borderId="0" xfId="0" applyFont="1"/>
    <xf numFmtId="10" fontId="0" fillId="0" borderId="0" xfId="0" applyNumberFormat="1"/>
    <xf numFmtId="0" fontId="11" fillId="0" borderId="0" xfId="0" applyFont="1"/>
    <xf numFmtId="0" fontId="10" fillId="0" borderId="0" xfId="0" applyFont="1"/>
    <xf numFmtId="166" fontId="0" fillId="0" borderId="0" xfId="0" applyNumberFormat="1"/>
    <xf numFmtId="0" fontId="10" fillId="4" borderId="0" xfId="0" applyFont="1" applyFill="1"/>
    <xf numFmtId="168" fontId="0" fillId="0" borderId="0" xfId="0" applyNumberFormat="1"/>
    <xf numFmtId="2" fontId="0" fillId="0" borderId="0" xfId="0" applyNumberFormat="1"/>
    <xf numFmtId="169" fontId="0" fillId="0" borderId="0" xfId="0" applyNumberFormat="1"/>
    <xf numFmtId="170" fontId="0" fillId="0" borderId="0" xfId="0" applyNumberFormat="1"/>
    <xf numFmtId="0" fontId="0" fillId="4" borderId="0" xfId="0" applyFill="1"/>
    <xf numFmtId="0" fontId="8" fillId="0" borderId="0" xfId="0" applyFont="1"/>
    <xf numFmtId="0" fontId="0" fillId="4" borderId="13" xfId="3" applyNumberFormat="1" applyFont="1" applyFill="1" applyBorder="1" applyAlignment="1">
      <alignment horizontal="center"/>
    </xf>
    <xf numFmtId="167" fontId="0" fillId="0" borderId="0" xfId="3" applyNumberFormat="1" applyFont="1"/>
    <xf numFmtId="0" fontId="12" fillId="4" borderId="0" xfId="0" applyFont="1" applyFill="1"/>
    <xf numFmtId="0" fontId="10" fillId="4" borderId="0" xfId="0" applyFont="1" applyFill="1" applyAlignment="1">
      <alignment horizontal="center"/>
    </xf>
    <xf numFmtId="0" fontId="12" fillId="0" borderId="0" xfId="0" applyFont="1"/>
    <xf numFmtId="10" fontId="0" fillId="0" borderId="0" xfId="1" applyNumberFormat="1" applyFont="1" applyBorder="1"/>
    <xf numFmtId="3" fontId="8" fillId="0" borderId="0" xfId="1" applyNumberFormat="1" applyFont="1"/>
    <xf numFmtId="165" fontId="8" fillId="0" borderId="0" xfId="3" applyNumberFormat="1" applyFont="1"/>
    <xf numFmtId="14" fontId="0" fillId="4" borderId="0" xfId="3" applyNumberFormat="1" applyFont="1" applyFill="1"/>
    <xf numFmtId="167" fontId="0" fillId="0" borderId="0" xfId="0" applyNumberFormat="1"/>
    <xf numFmtId="3" fontId="0" fillId="0" borderId="0" xfId="0" applyNumberFormat="1"/>
    <xf numFmtId="0" fontId="0" fillId="4" borderId="10" xfId="0" applyFill="1" applyBorder="1"/>
    <xf numFmtId="4" fontId="0" fillId="0" borderId="0" xfId="0" applyNumberFormat="1"/>
    <xf numFmtId="3" fontId="8" fillId="0" borderId="0" xfId="0" applyNumberFormat="1" applyFont="1"/>
    <xf numFmtId="1" fontId="13" fillId="0" borderId="0" xfId="0" applyNumberFormat="1" applyFont="1"/>
    <xf numFmtId="3" fontId="13" fillId="0" borderId="0" xfId="0" applyNumberFormat="1" applyFont="1"/>
    <xf numFmtId="3" fontId="0" fillId="4" borderId="10" xfId="0" applyNumberFormat="1" applyFill="1" applyBorder="1"/>
    <xf numFmtId="0" fontId="0" fillId="4" borderId="13" xfId="0" applyFill="1" applyBorder="1"/>
    <xf numFmtId="10" fontId="0" fillId="0" borderId="0" xfId="1" applyNumberFormat="1" applyFont="1" applyFill="1" applyBorder="1"/>
    <xf numFmtId="166" fontId="0" fillId="0" borderId="0" xfId="1" applyNumberFormat="1" applyFont="1" applyFill="1" applyBorder="1"/>
    <xf numFmtId="1" fontId="0" fillId="0" borderId="0" xfId="1" applyNumberFormat="1" applyFont="1" applyFill="1" applyBorder="1"/>
    <xf numFmtId="2" fontId="0" fillId="0" borderId="0" xfId="1" applyNumberFormat="1" applyFont="1" applyFill="1" applyBorder="1"/>
    <xf numFmtId="167" fontId="0" fillId="3" borderId="6" xfId="0" applyNumberFormat="1" applyFill="1" applyBorder="1"/>
    <xf numFmtId="165" fontId="2" fillId="0" borderId="15" xfId="0" applyNumberFormat="1" applyFont="1" applyBorder="1"/>
    <xf numFmtId="0" fontId="0" fillId="0" borderId="16" xfId="0" applyBorder="1"/>
    <xf numFmtId="0" fontId="0" fillId="0" borderId="11" xfId="0" applyBorder="1"/>
    <xf numFmtId="0" fontId="0" fillId="0" borderId="12" xfId="0" applyBorder="1"/>
    <xf numFmtId="2" fontId="8" fillId="0" borderId="10" xfId="0" applyNumberFormat="1" applyFont="1" applyBorder="1"/>
    <xf numFmtId="4" fontId="8" fillId="0" borderId="10" xfId="0" applyNumberFormat="1" applyFont="1" applyBorder="1"/>
    <xf numFmtId="171" fontId="0" fillId="0" borderId="0" xfId="4" applyNumberFormat="1" applyFont="1"/>
    <xf numFmtId="43" fontId="0" fillId="0" borderId="0" xfId="4" applyFont="1"/>
    <xf numFmtId="43" fontId="10" fillId="5" borderId="17" xfId="4" applyFont="1" applyFill="1" applyBorder="1"/>
    <xf numFmtId="43" fontId="0" fillId="0" borderId="0" xfId="4" applyFont="1" applyFill="1" applyBorder="1"/>
    <xf numFmtId="170" fontId="12" fillId="0" borderId="0" xfId="0" applyNumberFormat="1" applyFont="1"/>
    <xf numFmtId="2" fontId="0" fillId="0" borderId="0" xfId="1" applyNumberFormat="1" applyFont="1"/>
    <xf numFmtId="0" fontId="0" fillId="6" borderId="13" xfId="0" applyFill="1" applyBorder="1"/>
    <xf numFmtId="10" fontId="0" fillId="7" borderId="18" xfId="1" applyNumberFormat="1" applyFont="1" applyFill="1" applyBorder="1"/>
    <xf numFmtId="10" fontId="0" fillId="7" borderId="14" xfId="1" applyNumberFormat="1" applyFont="1" applyFill="1" applyBorder="1"/>
    <xf numFmtId="0" fontId="0" fillId="7" borderId="13" xfId="0" applyFill="1" applyBorder="1"/>
    <xf numFmtId="0" fontId="0" fillId="7" borderId="18" xfId="0" applyFill="1" applyBorder="1"/>
    <xf numFmtId="0" fontId="0" fillId="7" borderId="14" xfId="0" applyFill="1" applyBorder="1"/>
    <xf numFmtId="9" fontId="0" fillId="0" borderId="0" xfId="0" applyNumberFormat="1"/>
    <xf numFmtId="0" fontId="12" fillId="0" borderId="19" xfId="0" applyFont="1" applyBorder="1"/>
    <xf numFmtId="0" fontId="10" fillId="0" borderId="19" xfId="0" applyFont="1" applyBorder="1"/>
    <xf numFmtId="171" fontId="0" fillId="8" borderId="10" xfId="4" applyNumberFormat="1" applyFont="1" applyFill="1" applyBorder="1"/>
    <xf numFmtId="171" fontId="0" fillId="9" borderId="17" xfId="4" applyNumberFormat="1" applyFont="1" applyFill="1" applyBorder="1"/>
    <xf numFmtId="0" fontId="10" fillId="0" borderId="0" xfId="0" applyFont="1" applyAlignment="1">
      <alignment wrapText="1"/>
    </xf>
    <xf numFmtId="171" fontId="0" fillId="0" borderId="0" xfId="0" applyNumberFormat="1"/>
    <xf numFmtId="10" fontId="8" fillId="0" borderId="0" xfId="1" applyNumberFormat="1" applyFont="1"/>
    <xf numFmtId="41" fontId="0" fillId="0" borderId="0" xfId="5" applyFont="1"/>
    <xf numFmtId="172" fontId="0" fillId="0" borderId="0" xfId="0" applyNumberFormat="1"/>
    <xf numFmtId="41" fontId="0" fillId="0" borderId="0" xfId="0" applyNumberFormat="1"/>
    <xf numFmtId="0" fontId="0" fillId="4" borderId="0" xfId="0" applyFill="1" applyAlignment="1">
      <alignment horizontal="center"/>
    </xf>
    <xf numFmtId="0" fontId="4" fillId="3" borderId="5" xfId="2" applyFont="1" applyFill="1" applyBorder="1" applyAlignment="1">
      <alignment horizontal="center" vertical="center" wrapText="1"/>
    </xf>
    <xf numFmtId="0" fontId="4" fillId="3" borderId="0" xfId="2" applyFont="1" applyFill="1" applyBorder="1" applyAlignment="1">
      <alignment horizontal="center" vertical="center" wrapText="1"/>
    </xf>
    <xf numFmtId="0" fontId="0" fillId="4" borderId="13" xfId="3" applyNumberFormat="1" applyFont="1" applyFill="1" applyBorder="1" applyAlignment="1">
      <alignment horizontal="center"/>
    </xf>
    <xf numFmtId="0" fontId="0" fillId="4" borderId="14" xfId="3" applyNumberFormat="1" applyFont="1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8" xfId="0" applyFill="1" applyBorder="1" applyAlignment="1">
      <alignment horizontal="center"/>
    </xf>
  </cellXfs>
  <cellStyles count="6">
    <cellStyle name="Accent1" xfId="2" builtinId="29"/>
    <cellStyle name="Comma 2" xfId="3" xr:uid="{7D585318-DE77-4883-B2D9-76FCEB54F5F0}"/>
    <cellStyle name="Milliers" xfId="4" builtinId="3"/>
    <cellStyle name="Milliers [0]" xfId="5" builtinId="6"/>
    <cellStyle name="Normal" xfId="0" builtinId="0"/>
    <cellStyle name="Pourcentage" xfId="1" builtinId="5"/>
  </cellStyles>
  <dxfs count="6">
    <dxf>
      <numFmt numFmtId="173" formatCode="#,##0.00;[Red]#,##0.00"/>
    </dxf>
    <dxf>
      <numFmt numFmtId="174" formatCode="#,##0;[Red]#,##0"/>
    </dxf>
    <dxf>
      <numFmt numFmtId="173" formatCode="#,##0.00;[Red]#,##0.00"/>
    </dxf>
    <dxf>
      <numFmt numFmtId="174" formatCode="#,##0;[Red]#,##0"/>
    </dxf>
    <dxf>
      <numFmt numFmtId="173" formatCode="#,##0.00;[Red]#,##0.00"/>
    </dxf>
    <dxf>
      <numFmt numFmtId="174" formatCode="#,##0;[Red]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27CD383-F527-4101-B9C3-770544CF6E2B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7e172575-0a42-4b36-a55f-9ddf1d861a2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AF21F-85A3-4EF4-B35F-D4A2C0AC11A6}">
  <sheetPr codeName="Exports_UW"/>
  <dimension ref="A1:J516"/>
  <sheetViews>
    <sheetView zoomScaleNormal="100" workbookViewId="0">
      <selection activeCell="F31" sqref="F31"/>
    </sheetView>
  </sheetViews>
  <sheetFormatPr baseColWidth="10" defaultColWidth="8.77734375" defaultRowHeight="14.4" x14ac:dyDescent="0.3"/>
  <cols>
    <col min="2" max="2" width="26" bestFit="1" customWidth="1"/>
    <col min="3" max="3" width="13.21875" bestFit="1" customWidth="1"/>
    <col min="4" max="4" width="8.5546875" customWidth="1"/>
    <col min="5" max="5" width="28.109375" customWidth="1"/>
    <col min="7" max="7" width="32.21875" style="15" bestFit="1" customWidth="1"/>
    <col min="8" max="8" width="13.33203125" style="15" bestFit="1" customWidth="1"/>
    <col min="9" max="9" width="16" style="15" bestFit="1" customWidth="1"/>
    <col min="10" max="10" width="14.77734375" style="15" customWidth="1"/>
    <col min="11" max="11" width="9" bestFit="1" customWidth="1"/>
    <col min="12" max="12" width="13.77734375" bestFit="1" customWidth="1"/>
    <col min="13" max="13" width="8.5546875" bestFit="1" customWidth="1"/>
    <col min="14" max="15" width="8.5546875" customWidth="1"/>
    <col min="17" max="17" width="52.77734375" bestFit="1" customWidth="1"/>
  </cols>
  <sheetData>
    <row r="1" spans="1:10" x14ac:dyDescent="0.3">
      <c r="A1" s="34" t="s">
        <v>21</v>
      </c>
    </row>
    <row r="3" spans="1:10" ht="15" customHeight="1" x14ac:dyDescent="0.3">
      <c r="A3" s="88" t="s">
        <v>2</v>
      </c>
      <c r="B3" s="89"/>
      <c r="C3" s="89"/>
      <c r="D3" s="89"/>
      <c r="E3" s="89"/>
      <c r="F3" s="89"/>
    </row>
    <row r="4" spans="1:10" x14ac:dyDescent="0.3">
      <c r="A4" s="88"/>
      <c r="B4" s="89"/>
      <c r="C4" s="89"/>
      <c r="D4" s="89"/>
      <c r="E4" s="89"/>
      <c r="F4" s="89"/>
      <c r="G4"/>
      <c r="H4"/>
      <c r="I4"/>
      <c r="J4"/>
    </row>
    <row r="5" spans="1:10" x14ac:dyDescent="0.3">
      <c r="G5"/>
      <c r="H5"/>
      <c r="I5"/>
      <c r="J5"/>
    </row>
    <row r="6" spans="1:10" ht="15" thickBot="1" x14ac:dyDescent="0.35">
      <c r="B6" s="3" t="s">
        <v>0</v>
      </c>
      <c r="C6" s="4" t="s">
        <v>1</v>
      </c>
      <c r="D6" s="14"/>
      <c r="E6" s="21" t="s">
        <v>4</v>
      </c>
      <c r="G6" s="33" t="s">
        <v>16</v>
      </c>
      <c r="H6" s="33" t="s">
        <v>17</v>
      </c>
      <c r="I6" s="33" t="s">
        <v>19</v>
      </c>
      <c r="J6"/>
    </row>
    <row r="7" spans="1:10" ht="15" thickTop="1" x14ac:dyDescent="0.3">
      <c r="B7" s="5">
        <v>2016</v>
      </c>
      <c r="C7" s="6">
        <v>142145345</v>
      </c>
      <c r="D7" s="14"/>
      <c r="E7" s="19">
        <v>124123</v>
      </c>
      <c r="G7" s="30">
        <f>$C7/$E7</f>
        <v>1145.1974654173682</v>
      </c>
      <c r="H7" s="30">
        <f>$G7/$G$7*100</f>
        <v>100</v>
      </c>
      <c r="I7" s="32">
        <f>$C7*$H$18/$H7</f>
        <v>191650682.59332794</v>
      </c>
      <c r="J7"/>
    </row>
    <row r="8" spans="1:10" x14ac:dyDescent="0.3">
      <c r="B8" s="5">
        <f>B7+1</f>
        <v>2017</v>
      </c>
      <c r="C8" s="6">
        <v>143456190</v>
      </c>
      <c r="E8" s="19">
        <v>124487</v>
      </c>
      <c r="G8" s="30">
        <f t="shared" ref="G8:G18" si="0">$C8/$E8</f>
        <v>1152.3788829355676</v>
      </c>
      <c r="H8" s="30">
        <f>$G8/$G$7*100</f>
        <v>100.62708988930413</v>
      </c>
      <c r="I8" s="32">
        <f>$C8*$H$18/$H8</f>
        <v>192212712.58345041</v>
      </c>
      <c r="J8"/>
    </row>
    <row r="9" spans="1:10" x14ac:dyDescent="0.3">
      <c r="B9" s="5">
        <f>B8+1</f>
        <v>2018</v>
      </c>
      <c r="C9" s="6">
        <v>147788566.93800002</v>
      </c>
      <c r="E9" s="19">
        <v>125731.87</v>
      </c>
      <c r="G9" s="30">
        <f t="shared" si="0"/>
        <v>1175.4264605942792</v>
      </c>
      <c r="H9" s="30">
        <f t="shared" ref="H9:H18" si="1">$G9/$G$7*100</f>
        <v>102.63963168709023</v>
      </c>
      <c r="I9" s="32">
        <f>$C9*$H$18/$H9</f>
        <v>194134839.70928493</v>
      </c>
      <c r="J9"/>
    </row>
    <row r="10" spans="1:10" x14ac:dyDescent="0.3">
      <c r="B10" s="5">
        <f t="shared" ref="B10:B18" si="2">B9+1</f>
        <v>2019</v>
      </c>
      <c r="C10" s="6">
        <v>155266668.42506284</v>
      </c>
      <c r="E10" s="19">
        <v>128246.5074</v>
      </c>
      <c r="G10" s="30">
        <f t="shared" si="0"/>
        <v>1210.6892544121076</v>
      </c>
      <c r="H10" s="30">
        <f t="shared" si="1"/>
        <v>105.71882063770292</v>
      </c>
      <c r="I10" s="32">
        <f t="shared" ref="I10:I18" si="3">$C10*$H$18/$H10</f>
        <v>198017536.50347066</v>
      </c>
      <c r="J10"/>
    </row>
    <row r="11" spans="1:10" x14ac:dyDescent="0.3">
      <c r="B11" s="5">
        <f t="shared" si="2"/>
        <v>2020</v>
      </c>
      <c r="C11" s="6">
        <v>163123161.84737101</v>
      </c>
      <c r="E11" s="19">
        <v>132093.90262199999</v>
      </c>
      <c r="G11" s="30">
        <f t="shared" si="0"/>
        <v>1234.9030395003497</v>
      </c>
      <c r="H11" s="30">
        <f t="shared" si="1"/>
        <v>107.833197050457</v>
      </c>
      <c r="I11" s="32">
        <f t="shared" si="3"/>
        <v>203958062.5985747</v>
      </c>
      <c r="J11"/>
    </row>
    <row r="12" spans="1:10" x14ac:dyDescent="0.3">
      <c r="B12" s="5">
        <f t="shared" si="2"/>
        <v>2021</v>
      </c>
      <c r="C12" s="6">
        <v>168049481.33516163</v>
      </c>
      <c r="E12" s="19">
        <v>134735.78067444</v>
      </c>
      <c r="G12" s="30">
        <f t="shared" si="0"/>
        <v>1247.2520698953533</v>
      </c>
      <c r="H12" s="30">
        <f t="shared" si="1"/>
        <v>108.91152902096157</v>
      </c>
      <c r="I12" s="32">
        <f t="shared" si="3"/>
        <v>208037223.85054621</v>
      </c>
      <c r="J12"/>
    </row>
    <row r="13" spans="1:10" x14ac:dyDescent="0.3">
      <c r="B13" s="5">
        <f t="shared" si="2"/>
        <v>2022</v>
      </c>
      <c r="C13" s="6">
        <v>176552785.0907208</v>
      </c>
      <c r="E13" s="19">
        <v>138777.85409467321</v>
      </c>
      <c r="G13" s="30">
        <f t="shared" si="0"/>
        <v>1272.1971112932601</v>
      </c>
      <c r="H13" s="30">
        <f t="shared" si="1"/>
        <v>111.08975960138079</v>
      </c>
      <c r="I13" s="32">
        <f t="shared" si="3"/>
        <v>214278340.56606266</v>
      </c>
      <c r="J13"/>
    </row>
    <row r="14" spans="1:10" x14ac:dyDescent="0.3">
      <c r="B14" s="5">
        <f t="shared" si="2"/>
        <v>2023</v>
      </c>
      <c r="C14" s="6">
        <v>180101496.0710443</v>
      </c>
      <c r="E14" s="19">
        <v>140165.63263561996</v>
      </c>
      <c r="G14" s="30">
        <f t="shared" si="0"/>
        <v>1284.9190824061927</v>
      </c>
      <c r="H14" s="30">
        <f t="shared" si="1"/>
        <v>112.20065719739458</v>
      </c>
      <c r="I14" s="32">
        <f t="shared" si="3"/>
        <v>216421123.97172332</v>
      </c>
      <c r="J14"/>
    </row>
    <row r="15" spans="1:10" x14ac:dyDescent="0.3">
      <c r="B15" s="5">
        <f t="shared" si="2"/>
        <v>2024</v>
      </c>
      <c r="C15" s="6">
        <v>185540561.25238985</v>
      </c>
      <c r="E15" s="19">
        <v>141567.28896197616</v>
      </c>
      <c r="G15" s="30">
        <f t="shared" si="0"/>
        <v>1310.6174640543168</v>
      </c>
      <c r="H15" s="30">
        <f t="shared" si="1"/>
        <v>114.44467034134249</v>
      </c>
      <c r="I15" s="32">
        <f t="shared" si="3"/>
        <v>218585335.2114405</v>
      </c>
      <c r="J15"/>
    </row>
    <row r="16" spans="1:10" x14ac:dyDescent="0.3">
      <c r="B16" s="5">
        <f t="shared" si="2"/>
        <v>2025</v>
      </c>
      <c r="C16" s="6">
        <v>193036399.9269864</v>
      </c>
      <c r="E16" s="19">
        <v>144398.63474121568</v>
      </c>
      <c r="G16" s="30">
        <f t="shared" si="0"/>
        <v>1336.8298133354031</v>
      </c>
      <c r="H16" s="30">
        <f t="shared" si="1"/>
        <v>116.73356374816935</v>
      </c>
      <c r="I16" s="32">
        <f t="shared" si="3"/>
        <v>222957041.91566929</v>
      </c>
      <c r="J16"/>
    </row>
    <row r="17" spans="1:10" x14ac:dyDescent="0.3">
      <c r="B17" s="5">
        <f t="shared" si="2"/>
        <v>2026</v>
      </c>
      <c r="C17" s="6">
        <v>214463440.31888193</v>
      </c>
      <c r="D17" t="s">
        <v>3</v>
      </c>
      <c r="E17" s="19">
        <v>145842.62108862784</v>
      </c>
      <c r="F17" t="s">
        <v>3</v>
      </c>
      <c r="G17" s="30">
        <f t="shared" si="0"/>
        <v>1470.5127946689436</v>
      </c>
      <c r="H17" s="30">
        <f t="shared" si="1"/>
        <v>128.40692012298629</v>
      </c>
      <c r="I17" s="32">
        <f t="shared" si="3"/>
        <v>225186612.33482605</v>
      </c>
      <c r="J17"/>
    </row>
    <row r="18" spans="1:10" x14ac:dyDescent="0.3">
      <c r="B18" s="5">
        <f t="shared" si="2"/>
        <v>2027</v>
      </c>
      <c r="C18" s="6">
        <v>229690344.58152255</v>
      </c>
      <c r="D18" t="s">
        <v>3</v>
      </c>
      <c r="E18" s="19">
        <v>148759.47351040039</v>
      </c>
      <c r="F18" t="s">
        <v>3</v>
      </c>
      <c r="G18" s="30">
        <f t="shared" si="0"/>
        <v>1544.0384344023907</v>
      </c>
      <c r="H18" s="30">
        <f t="shared" si="1"/>
        <v>134.82726612913561</v>
      </c>
      <c r="I18" s="32">
        <f t="shared" si="3"/>
        <v>229690344.58152255</v>
      </c>
      <c r="J18"/>
    </row>
    <row r="19" spans="1:10" x14ac:dyDescent="0.3">
      <c r="B19" s="8"/>
      <c r="C19" s="9"/>
      <c r="E19" s="20"/>
      <c r="G19"/>
      <c r="H19"/>
      <c r="I19"/>
      <c r="J19"/>
    </row>
    <row r="20" spans="1:10" x14ac:dyDescent="0.3">
      <c r="G20" s="16"/>
    </row>
    <row r="21" spans="1:10" x14ac:dyDescent="0.3">
      <c r="B21" s="2"/>
      <c r="C21" s="2"/>
      <c r="H21" s="17"/>
    </row>
    <row r="22" spans="1:10" x14ac:dyDescent="0.3">
      <c r="H22" s="18"/>
    </row>
    <row r="23" spans="1:10" x14ac:dyDescent="0.3">
      <c r="B23" t="s">
        <v>36</v>
      </c>
      <c r="C23" s="45">
        <v>6000000</v>
      </c>
      <c r="D23" t="s">
        <v>37</v>
      </c>
      <c r="E23" s="45">
        <v>4000000</v>
      </c>
    </row>
    <row r="24" spans="1:10" x14ac:dyDescent="0.3">
      <c r="B24" t="s">
        <v>38</v>
      </c>
      <c r="C24" s="45">
        <v>20000000</v>
      </c>
      <c r="D24" t="s">
        <v>37</v>
      </c>
      <c r="E24" s="45">
        <v>10000000</v>
      </c>
      <c r="G24" s="16"/>
    </row>
    <row r="25" spans="1:10" x14ac:dyDescent="0.3">
      <c r="C25" s="10"/>
    </row>
    <row r="26" spans="1:10" x14ac:dyDescent="0.3">
      <c r="A26" s="34" t="s">
        <v>45</v>
      </c>
    </row>
    <row r="27" spans="1:10" x14ac:dyDescent="0.3">
      <c r="G27"/>
      <c r="H27"/>
      <c r="I27"/>
      <c r="J27"/>
    </row>
    <row r="28" spans="1:10" x14ac:dyDescent="0.3">
      <c r="B28" s="88" t="s">
        <v>5</v>
      </c>
      <c r="C28" s="89"/>
      <c r="D28" s="89"/>
      <c r="E28" s="89"/>
      <c r="F28" s="89"/>
      <c r="G28"/>
      <c r="H28"/>
      <c r="I28"/>
      <c r="J28"/>
    </row>
    <row r="29" spans="1:10" x14ac:dyDescent="0.3">
      <c r="B29" s="23"/>
      <c r="F29" s="28" t="s">
        <v>14</v>
      </c>
      <c r="G29"/>
      <c r="H29"/>
      <c r="I29"/>
      <c r="J29"/>
    </row>
    <row r="30" spans="1:10" x14ac:dyDescent="0.3">
      <c r="B30" s="23"/>
      <c r="F30" s="24">
        <v>1.4999999999999999E-2</v>
      </c>
      <c r="G30"/>
      <c r="H30"/>
      <c r="I30"/>
      <c r="J30"/>
    </row>
    <row r="31" spans="1:10" x14ac:dyDescent="0.3">
      <c r="B31" s="25"/>
      <c r="E31" s="28" t="s">
        <v>6</v>
      </c>
      <c r="G31"/>
      <c r="H31" t="s">
        <v>7</v>
      </c>
      <c r="I31" t="s">
        <v>8</v>
      </c>
      <c r="J31"/>
    </row>
    <row r="32" spans="1:10" x14ac:dyDescent="0.3">
      <c r="B32" s="37" t="s">
        <v>9</v>
      </c>
      <c r="C32" s="37" t="s">
        <v>10</v>
      </c>
      <c r="D32" s="33"/>
      <c r="E32" s="38" t="s">
        <v>11</v>
      </c>
      <c r="F32" s="28" t="s">
        <v>15</v>
      </c>
      <c r="G32"/>
      <c r="H32" t="s">
        <v>12</v>
      </c>
      <c r="I32" t="s">
        <v>13</v>
      </c>
      <c r="J32"/>
    </row>
    <row r="33" spans="2:10" x14ac:dyDescent="0.3">
      <c r="B33" s="39">
        <v>2016</v>
      </c>
      <c r="C33">
        <v>100</v>
      </c>
      <c r="E33" s="1">
        <v>1.9736100512709343E-2</v>
      </c>
      <c r="F33" s="24">
        <f>$E33+$F$30</f>
        <v>3.4736100512709339E-2</v>
      </c>
      <c r="G33"/>
      <c r="H33"/>
      <c r="I33"/>
      <c r="J33"/>
    </row>
    <row r="34" spans="2:10" x14ac:dyDescent="0.3">
      <c r="B34" s="39">
        <v>2017</v>
      </c>
      <c r="C34" s="30">
        <f>$C33*(1+$F34)</f>
        <v>103.62785902865113</v>
      </c>
      <c r="E34" s="1">
        <v>2.1278590286511277E-2</v>
      </c>
      <c r="F34" s="24">
        <f t="shared" ref="F34:F43" si="4">$E34+$F$30</f>
        <v>3.6278590286511272E-2</v>
      </c>
      <c r="G34"/>
      <c r="H34"/>
      <c r="I34"/>
      <c r="J34"/>
    </row>
    <row r="35" spans="2:10" x14ac:dyDescent="0.3">
      <c r="B35" s="39">
        <v>2018</v>
      </c>
      <c r="C35" s="30">
        <f>$C34*(1+$F35)</f>
        <v>107.30874928680601</v>
      </c>
      <c r="E35" s="1">
        <v>2.0520277005213156E-2</v>
      </c>
      <c r="F35" s="24">
        <f t="shared" si="4"/>
        <v>3.5520277005213152E-2</v>
      </c>
      <c r="G35"/>
      <c r="H35"/>
      <c r="I35"/>
      <c r="J35"/>
    </row>
    <row r="36" spans="2:10" x14ac:dyDescent="0.3">
      <c r="B36" s="39">
        <v>2019</v>
      </c>
      <c r="C36" s="30">
        <f t="shared" ref="C36:C53" si="5">$C35*(1+$F36)</f>
        <v>110.46522507032658</v>
      </c>
      <c r="E36" s="1">
        <v>1.4414896776815586E-2</v>
      </c>
      <c r="F36" s="24">
        <f t="shared" si="4"/>
        <v>2.9414896776815587E-2</v>
      </c>
      <c r="G36"/>
      <c r="H36"/>
      <c r="I36"/>
      <c r="J36"/>
    </row>
    <row r="37" spans="2:10" x14ac:dyDescent="0.3">
      <c r="B37" s="39">
        <v>2020</v>
      </c>
      <c r="C37" s="30">
        <f t="shared" si="5"/>
        <v>112.94114478733297</v>
      </c>
      <c r="E37" s="1">
        <v>7.413566943172749E-3</v>
      </c>
      <c r="F37" s="24">
        <f t="shared" si="4"/>
        <v>2.2413566943172748E-2</v>
      </c>
      <c r="G37"/>
      <c r="H37"/>
      <c r="I37"/>
      <c r="J37"/>
    </row>
    <row r="38" spans="2:10" x14ac:dyDescent="0.3">
      <c r="B38" s="39">
        <f>2021</f>
        <v>2021</v>
      </c>
      <c r="C38" s="30">
        <f t="shared" si="5"/>
        <v>117.3919803594555</v>
      </c>
      <c r="E38" s="40">
        <v>2.4408451016707952E-2</v>
      </c>
      <c r="F38" s="24">
        <f t="shared" si="4"/>
        <v>3.9408451016707952E-2</v>
      </c>
      <c r="G38"/>
      <c r="H38"/>
      <c r="I38"/>
      <c r="J38"/>
    </row>
    <row r="39" spans="2:10" x14ac:dyDescent="0.3">
      <c r="B39" s="39">
        <f>B38+1</f>
        <v>2022</v>
      </c>
      <c r="C39" s="30">
        <f t="shared" si="5"/>
        <v>130.3982217652586</v>
      </c>
      <c r="E39" s="40">
        <v>9.5793270255581778E-2</v>
      </c>
      <c r="F39" s="24">
        <f t="shared" si="4"/>
        <v>0.11079327025558178</v>
      </c>
      <c r="G39"/>
      <c r="H39"/>
      <c r="I39"/>
      <c r="J39"/>
    </row>
    <row r="40" spans="2:10" x14ac:dyDescent="0.3">
      <c r="B40" s="39">
        <f t="shared" ref="B40:B49" si="6">B39+1</f>
        <v>2023</v>
      </c>
      <c r="C40" s="30">
        <f t="shared" si="5"/>
        <v>137.71901546528935</v>
      </c>
      <c r="E40" s="40">
        <v>4.1141821574910344E-2</v>
      </c>
      <c r="F40" s="24">
        <f t="shared" si="4"/>
        <v>5.6141821574910343E-2</v>
      </c>
      <c r="G40"/>
      <c r="H40"/>
      <c r="I40"/>
      <c r="J40"/>
    </row>
    <row r="41" spans="2:10" x14ac:dyDescent="0.3">
      <c r="B41" s="39">
        <f t="shared" si="6"/>
        <v>2024</v>
      </c>
      <c r="C41" s="30">
        <f t="shared" si="5"/>
        <v>144.11485408416129</v>
      </c>
      <c r="E41" s="40">
        <v>3.1441216539802773E-2</v>
      </c>
      <c r="F41" s="24">
        <f t="shared" si="4"/>
        <v>4.6441216539802772E-2</v>
      </c>
      <c r="G41"/>
      <c r="H41"/>
      <c r="I41"/>
      <c r="J41"/>
    </row>
    <row r="42" spans="2:10" x14ac:dyDescent="0.3">
      <c r="B42" s="39">
        <f t="shared" si="6"/>
        <v>2025</v>
      </c>
      <c r="C42" s="30">
        <f t="shared" si="5"/>
        <v>149.83756205687413</v>
      </c>
      <c r="E42" s="40">
        <v>2.470935549343764E-2</v>
      </c>
      <c r="F42" s="24">
        <f t="shared" si="4"/>
        <v>3.970935549343764E-2</v>
      </c>
      <c r="G42"/>
      <c r="H42"/>
      <c r="I42"/>
      <c r="J42"/>
    </row>
    <row r="43" spans="2:10" x14ac:dyDescent="0.3">
      <c r="B43" s="39">
        <f t="shared" si="6"/>
        <v>2026</v>
      </c>
      <c r="C43" s="30">
        <f t="shared" si="5"/>
        <v>155.15598380113036</v>
      </c>
      <c r="E43" s="40">
        <v>2.0494582741792701E-2</v>
      </c>
      <c r="F43" s="24">
        <f t="shared" si="4"/>
        <v>3.54945827417927E-2</v>
      </c>
      <c r="G43"/>
      <c r="H43"/>
      <c r="I43"/>
      <c r="J43"/>
    </row>
    <row r="44" spans="2:10" x14ac:dyDescent="0.3">
      <c r="B44" s="39">
        <f t="shared" si="6"/>
        <v>2027</v>
      </c>
      <c r="C44" s="30">
        <f t="shared" si="5"/>
        <v>160.58644323416991</v>
      </c>
      <c r="E44" s="27">
        <v>0.02</v>
      </c>
      <c r="F44" s="24">
        <f t="shared" ref="F44:F53" si="7">E44+$F$30</f>
        <v>3.5000000000000003E-2</v>
      </c>
      <c r="G44" s="27"/>
      <c r="H44"/>
      <c r="I44"/>
      <c r="J44"/>
    </row>
    <row r="45" spans="2:10" x14ac:dyDescent="0.3">
      <c r="B45" s="39">
        <f t="shared" si="6"/>
        <v>2028</v>
      </c>
      <c r="C45" s="30">
        <f t="shared" si="5"/>
        <v>165.8857958608975</v>
      </c>
      <c r="E45" s="27">
        <v>1.7999999999999999E-2</v>
      </c>
      <c r="F45" s="24">
        <f t="shared" si="7"/>
        <v>3.3000000000000002E-2</v>
      </c>
      <c r="G45" s="27"/>
      <c r="H45"/>
      <c r="I45"/>
      <c r="J45"/>
    </row>
    <row r="46" spans="2:10" x14ac:dyDescent="0.3">
      <c r="B46" s="39">
        <f t="shared" si="6"/>
        <v>2029</v>
      </c>
      <c r="C46" s="30">
        <f t="shared" si="5"/>
        <v>171.36002712430709</v>
      </c>
      <c r="E46" s="27">
        <v>1.7999999999999999E-2</v>
      </c>
      <c r="F46" s="24">
        <f t="shared" si="7"/>
        <v>3.3000000000000002E-2</v>
      </c>
    </row>
    <row r="47" spans="2:10" x14ac:dyDescent="0.3">
      <c r="B47" s="39">
        <f t="shared" si="6"/>
        <v>2030</v>
      </c>
      <c r="C47" s="30">
        <f t="shared" si="5"/>
        <v>177.01490801940921</v>
      </c>
      <c r="E47" s="27">
        <v>1.7999999999999999E-2</v>
      </c>
      <c r="F47" s="24">
        <f t="shared" si="7"/>
        <v>3.3000000000000002E-2</v>
      </c>
    </row>
    <row r="48" spans="2:10" x14ac:dyDescent="0.3">
      <c r="B48" s="39">
        <f t="shared" si="6"/>
        <v>2031</v>
      </c>
      <c r="C48" s="30">
        <f t="shared" si="5"/>
        <v>182.85639998404969</v>
      </c>
      <c r="E48" s="27">
        <v>1.7999999999999999E-2</v>
      </c>
      <c r="F48" s="24">
        <f t="shared" si="7"/>
        <v>3.3000000000000002E-2</v>
      </c>
    </row>
    <row r="49" spans="2:6" x14ac:dyDescent="0.3">
      <c r="B49" s="39">
        <f t="shared" si="6"/>
        <v>2032</v>
      </c>
      <c r="C49" s="30">
        <f t="shared" si="5"/>
        <v>188.89066118352332</v>
      </c>
      <c r="E49" s="27">
        <v>1.7999999999999999E-2</v>
      </c>
      <c r="F49" s="24">
        <f t="shared" si="7"/>
        <v>3.3000000000000002E-2</v>
      </c>
    </row>
    <row r="50" spans="2:6" x14ac:dyDescent="0.3">
      <c r="B50" s="39">
        <v>2033</v>
      </c>
      <c r="C50" s="30">
        <f t="shared" si="5"/>
        <v>195.12405300257959</v>
      </c>
      <c r="E50" s="27">
        <v>1.7999999999999999E-2</v>
      </c>
      <c r="F50" s="24">
        <f t="shared" si="7"/>
        <v>3.3000000000000002E-2</v>
      </c>
    </row>
    <row r="51" spans="2:6" x14ac:dyDescent="0.3">
      <c r="B51" s="39">
        <v>2034</v>
      </c>
      <c r="C51" s="30">
        <f t="shared" si="5"/>
        <v>201.5631467516647</v>
      </c>
      <c r="E51" s="27">
        <v>1.7999999999999999E-2</v>
      </c>
      <c r="F51" s="24">
        <f t="shared" si="7"/>
        <v>3.3000000000000002E-2</v>
      </c>
    </row>
    <row r="52" spans="2:6" x14ac:dyDescent="0.3">
      <c r="B52" s="39">
        <v>2035</v>
      </c>
      <c r="C52" s="30">
        <f t="shared" si="5"/>
        <v>208.21473059446961</v>
      </c>
      <c r="E52" s="27">
        <v>1.7999999999999999E-2</v>
      </c>
      <c r="F52" s="24">
        <f t="shared" si="7"/>
        <v>3.3000000000000002E-2</v>
      </c>
    </row>
    <row r="53" spans="2:6" x14ac:dyDescent="0.3">
      <c r="B53" s="39">
        <v>2036</v>
      </c>
      <c r="C53" s="30">
        <f t="shared" si="5"/>
        <v>215.08581670408711</v>
      </c>
      <c r="E53" s="27">
        <v>1.7999999999999999E-2</v>
      </c>
      <c r="F53" s="24">
        <f t="shared" si="7"/>
        <v>3.3000000000000002E-2</v>
      </c>
    </row>
    <row r="54" spans="2:6" x14ac:dyDescent="0.3">
      <c r="C54" s="10"/>
    </row>
    <row r="55" spans="2:6" x14ac:dyDescent="0.3">
      <c r="C55" s="10"/>
    </row>
    <row r="56" spans="2:6" x14ac:dyDescent="0.3">
      <c r="C56" s="10"/>
    </row>
    <row r="57" spans="2:6" x14ac:dyDescent="0.3">
      <c r="C57" s="10"/>
    </row>
    <row r="58" spans="2:6" x14ac:dyDescent="0.3">
      <c r="C58" s="10"/>
    </row>
    <row r="59" spans="2:6" x14ac:dyDescent="0.3">
      <c r="C59" s="10"/>
    </row>
    <row r="60" spans="2:6" x14ac:dyDescent="0.3">
      <c r="C60" s="10"/>
    </row>
    <row r="61" spans="2:6" x14ac:dyDescent="0.3">
      <c r="C61" s="10"/>
    </row>
    <row r="62" spans="2:6" x14ac:dyDescent="0.3">
      <c r="C62" s="10"/>
    </row>
    <row r="63" spans="2:6" x14ac:dyDescent="0.3">
      <c r="C63" s="10"/>
    </row>
    <row r="64" spans="2:6" x14ac:dyDescent="0.3">
      <c r="C64" s="10"/>
    </row>
    <row r="65" spans="3:3" x14ac:dyDescent="0.3">
      <c r="C65" s="10"/>
    </row>
    <row r="66" spans="3:3" x14ac:dyDescent="0.3">
      <c r="C66" s="10"/>
    </row>
    <row r="67" spans="3:3" x14ac:dyDescent="0.3">
      <c r="C67" s="10"/>
    </row>
    <row r="68" spans="3:3" x14ac:dyDescent="0.3">
      <c r="C68" s="10"/>
    </row>
    <row r="69" spans="3:3" x14ac:dyDescent="0.3">
      <c r="C69" s="10"/>
    </row>
    <row r="70" spans="3:3" x14ac:dyDescent="0.3">
      <c r="C70" s="10"/>
    </row>
    <row r="71" spans="3:3" x14ac:dyDescent="0.3">
      <c r="C71" s="10"/>
    </row>
    <row r="72" spans="3:3" x14ac:dyDescent="0.3">
      <c r="C72" s="10"/>
    </row>
    <row r="73" spans="3:3" x14ac:dyDescent="0.3">
      <c r="C73" s="10"/>
    </row>
    <row r="74" spans="3:3" x14ac:dyDescent="0.3">
      <c r="C74" s="10"/>
    </row>
    <row r="75" spans="3:3" x14ac:dyDescent="0.3">
      <c r="C75" s="10"/>
    </row>
    <row r="76" spans="3:3" x14ac:dyDescent="0.3">
      <c r="C76" s="10"/>
    </row>
    <row r="77" spans="3:3" x14ac:dyDescent="0.3">
      <c r="C77" s="10"/>
    </row>
    <row r="78" spans="3:3" x14ac:dyDescent="0.3">
      <c r="C78" s="10"/>
    </row>
    <row r="79" spans="3:3" x14ac:dyDescent="0.3">
      <c r="C79" s="10"/>
    </row>
    <row r="80" spans="3:3" x14ac:dyDescent="0.3">
      <c r="C80" s="10"/>
    </row>
    <row r="81" spans="3:3" x14ac:dyDescent="0.3">
      <c r="C81" s="10"/>
    </row>
    <row r="82" spans="3:3" x14ac:dyDescent="0.3">
      <c r="C82" s="10"/>
    </row>
    <row r="83" spans="3:3" x14ac:dyDescent="0.3">
      <c r="C83" s="10"/>
    </row>
    <row r="84" spans="3:3" x14ac:dyDescent="0.3">
      <c r="C84" s="10"/>
    </row>
    <row r="85" spans="3:3" x14ac:dyDescent="0.3">
      <c r="C85" s="10"/>
    </row>
    <row r="86" spans="3:3" x14ac:dyDescent="0.3">
      <c r="C86" s="10"/>
    </row>
    <row r="87" spans="3:3" x14ac:dyDescent="0.3">
      <c r="C87" s="10"/>
    </row>
    <row r="88" spans="3:3" x14ac:dyDescent="0.3">
      <c r="C88" s="10"/>
    </row>
    <row r="89" spans="3:3" x14ac:dyDescent="0.3">
      <c r="C89" s="10"/>
    </row>
    <row r="90" spans="3:3" x14ac:dyDescent="0.3">
      <c r="C90" s="10"/>
    </row>
    <row r="91" spans="3:3" x14ac:dyDescent="0.3">
      <c r="C91" s="10"/>
    </row>
    <row r="92" spans="3:3" x14ac:dyDescent="0.3">
      <c r="C92" s="10"/>
    </row>
    <row r="93" spans="3:3" x14ac:dyDescent="0.3">
      <c r="C93" s="10"/>
    </row>
    <row r="94" spans="3:3" x14ac:dyDescent="0.3">
      <c r="C94" s="10"/>
    </row>
    <row r="95" spans="3:3" x14ac:dyDescent="0.3">
      <c r="C95" s="10"/>
    </row>
    <row r="96" spans="3:3" x14ac:dyDescent="0.3">
      <c r="C96" s="10"/>
    </row>
    <row r="97" spans="3:3" x14ac:dyDescent="0.3">
      <c r="C97" s="10"/>
    </row>
    <row r="98" spans="3:3" x14ac:dyDescent="0.3">
      <c r="C98" s="10"/>
    </row>
    <row r="99" spans="3:3" x14ac:dyDescent="0.3">
      <c r="C99" s="10"/>
    </row>
    <row r="100" spans="3:3" x14ac:dyDescent="0.3">
      <c r="C100" s="10"/>
    </row>
    <row r="101" spans="3:3" x14ac:dyDescent="0.3">
      <c r="C101" s="10"/>
    </row>
    <row r="102" spans="3:3" x14ac:dyDescent="0.3">
      <c r="C102" s="10"/>
    </row>
    <row r="103" spans="3:3" x14ac:dyDescent="0.3">
      <c r="C103" s="10"/>
    </row>
    <row r="104" spans="3:3" x14ac:dyDescent="0.3">
      <c r="C104" s="10"/>
    </row>
    <row r="105" spans="3:3" x14ac:dyDescent="0.3">
      <c r="C105" s="10"/>
    </row>
    <row r="106" spans="3:3" x14ac:dyDescent="0.3">
      <c r="C106" s="10"/>
    </row>
    <row r="107" spans="3:3" x14ac:dyDescent="0.3">
      <c r="C107" s="10"/>
    </row>
    <row r="108" spans="3:3" x14ac:dyDescent="0.3">
      <c r="C108" s="10"/>
    </row>
    <row r="109" spans="3:3" x14ac:dyDescent="0.3">
      <c r="C109" s="10"/>
    </row>
    <row r="110" spans="3:3" x14ac:dyDescent="0.3">
      <c r="C110" s="10"/>
    </row>
    <row r="111" spans="3:3" x14ac:dyDescent="0.3">
      <c r="C111" s="10"/>
    </row>
    <row r="112" spans="3:3" x14ac:dyDescent="0.3">
      <c r="C112" s="10"/>
    </row>
    <row r="113" spans="3:3" x14ac:dyDescent="0.3">
      <c r="C113" s="10"/>
    </row>
    <row r="114" spans="3:3" x14ac:dyDescent="0.3">
      <c r="C114" s="10"/>
    </row>
    <row r="115" spans="3:3" x14ac:dyDescent="0.3">
      <c r="C115" s="10"/>
    </row>
    <row r="116" spans="3:3" x14ac:dyDescent="0.3">
      <c r="C116" s="10"/>
    </row>
    <row r="117" spans="3:3" x14ac:dyDescent="0.3">
      <c r="C117" s="10"/>
    </row>
    <row r="118" spans="3:3" x14ac:dyDescent="0.3">
      <c r="C118" s="10"/>
    </row>
    <row r="119" spans="3:3" x14ac:dyDescent="0.3">
      <c r="C119" s="10"/>
    </row>
    <row r="120" spans="3:3" x14ac:dyDescent="0.3">
      <c r="C120" s="10"/>
    </row>
    <row r="121" spans="3:3" x14ac:dyDescent="0.3">
      <c r="C121" s="10"/>
    </row>
    <row r="122" spans="3:3" x14ac:dyDescent="0.3">
      <c r="C122" s="10"/>
    </row>
    <row r="123" spans="3:3" x14ac:dyDescent="0.3">
      <c r="C123" s="10"/>
    </row>
    <row r="124" spans="3:3" x14ac:dyDescent="0.3">
      <c r="C124" s="10"/>
    </row>
    <row r="125" spans="3:3" x14ac:dyDescent="0.3">
      <c r="C125" s="10"/>
    </row>
    <row r="126" spans="3:3" x14ac:dyDescent="0.3">
      <c r="C126" s="10"/>
    </row>
    <row r="127" spans="3:3" x14ac:dyDescent="0.3">
      <c r="C127" s="10"/>
    </row>
    <row r="128" spans="3:3" x14ac:dyDescent="0.3">
      <c r="C128" s="10"/>
    </row>
    <row r="129" spans="3:3" x14ac:dyDescent="0.3">
      <c r="C129" s="10"/>
    </row>
    <row r="130" spans="3:3" x14ac:dyDescent="0.3">
      <c r="C130" s="10"/>
    </row>
    <row r="131" spans="3:3" x14ac:dyDescent="0.3">
      <c r="C131" s="10"/>
    </row>
    <row r="132" spans="3:3" x14ac:dyDescent="0.3">
      <c r="C132" s="10"/>
    </row>
    <row r="133" spans="3:3" x14ac:dyDescent="0.3">
      <c r="C133" s="10"/>
    </row>
    <row r="134" spans="3:3" x14ac:dyDescent="0.3">
      <c r="C134" s="10"/>
    </row>
    <row r="135" spans="3:3" x14ac:dyDescent="0.3">
      <c r="C135" s="10"/>
    </row>
    <row r="136" spans="3:3" x14ac:dyDescent="0.3">
      <c r="C136" s="10"/>
    </row>
    <row r="137" spans="3:3" x14ac:dyDescent="0.3">
      <c r="C137" s="10"/>
    </row>
    <row r="138" spans="3:3" x14ac:dyDescent="0.3">
      <c r="C138" s="10"/>
    </row>
    <row r="139" spans="3:3" x14ac:dyDescent="0.3">
      <c r="C139" s="10"/>
    </row>
    <row r="140" spans="3:3" x14ac:dyDescent="0.3">
      <c r="C140" s="10"/>
    </row>
    <row r="141" spans="3:3" x14ac:dyDescent="0.3">
      <c r="C141" s="10"/>
    </row>
    <row r="142" spans="3:3" x14ac:dyDescent="0.3">
      <c r="C142" s="10"/>
    </row>
    <row r="143" spans="3:3" x14ac:dyDescent="0.3">
      <c r="C143" s="10"/>
    </row>
    <row r="144" spans="3:3" x14ac:dyDescent="0.3">
      <c r="C144" s="10"/>
    </row>
    <row r="145" spans="3:3" x14ac:dyDescent="0.3">
      <c r="C145" s="10"/>
    </row>
    <row r="146" spans="3:3" x14ac:dyDescent="0.3">
      <c r="C146" s="10"/>
    </row>
    <row r="147" spans="3:3" x14ac:dyDescent="0.3">
      <c r="C147" s="10"/>
    </row>
    <row r="148" spans="3:3" x14ac:dyDescent="0.3">
      <c r="C148" s="10"/>
    </row>
    <row r="149" spans="3:3" x14ac:dyDescent="0.3">
      <c r="C149" s="10"/>
    </row>
    <row r="150" spans="3:3" x14ac:dyDescent="0.3">
      <c r="C150" s="10"/>
    </row>
    <row r="151" spans="3:3" x14ac:dyDescent="0.3">
      <c r="C151" s="10"/>
    </row>
    <row r="152" spans="3:3" x14ac:dyDescent="0.3">
      <c r="C152" s="10"/>
    </row>
    <row r="153" spans="3:3" x14ac:dyDescent="0.3">
      <c r="C153" s="10"/>
    </row>
    <row r="154" spans="3:3" x14ac:dyDescent="0.3">
      <c r="C154" s="10"/>
    </row>
    <row r="155" spans="3:3" x14ac:dyDescent="0.3">
      <c r="C155" s="10"/>
    </row>
    <row r="156" spans="3:3" x14ac:dyDescent="0.3">
      <c r="C156" s="10"/>
    </row>
    <row r="157" spans="3:3" x14ac:dyDescent="0.3">
      <c r="C157" s="10"/>
    </row>
    <row r="158" spans="3:3" x14ac:dyDescent="0.3">
      <c r="C158" s="10"/>
    </row>
    <row r="159" spans="3:3" x14ac:dyDescent="0.3">
      <c r="C159" s="10"/>
    </row>
    <row r="160" spans="3:3" x14ac:dyDescent="0.3">
      <c r="C160" s="10"/>
    </row>
    <row r="161" spans="3:3" x14ac:dyDescent="0.3">
      <c r="C161" s="10"/>
    </row>
    <row r="162" spans="3:3" x14ac:dyDescent="0.3">
      <c r="C162" s="10"/>
    </row>
    <row r="163" spans="3:3" x14ac:dyDescent="0.3">
      <c r="C163" s="10"/>
    </row>
    <row r="164" spans="3:3" x14ac:dyDescent="0.3">
      <c r="C164" s="10"/>
    </row>
    <row r="165" spans="3:3" x14ac:dyDescent="0.3">
      <c r="C165" s="10"/>
    </row>
    <row r="166" spans="3:3" x14ac:dyDescent="0.3">
      <c r="C166" s="10"/>
    </row>
    <row r="167" spans="3:3" x14ac:dyDescent="0.3">
      <c r="C167" s="10"/>
    </row>
    <row r="168" spans="3:3" x14ac:dyDescent="0.3">
      <c r="C168" s="10"/>
    </row>
    <row r="169" spans="3:3" x14ac:dyDescent="0.3">
      <c r="C169" s="10"/>
    </row>
    <row r="170" spans="3:3" x14ac:dyDescent="0.3">
      <c r="C170" s="10"/>
    </row>
    <row r="171" spans="3:3" x14ac:dyDescent="0.3">
      <c r="C171" s="10"/>
    </row>
    <row r="172" spans="3:3" x14ac:dyDescent="0.3">
      <c r="C172" s="10"/>
    </row>
    <row r="173" spans="3:3" x14ac:dyDescent="0.3">
      <c r="C173" s="10"/>
    </row>
    <row r="174" spans="3:3" x14ac:dyDescent="0.3">
      <c r="C174" s="10"/>
    </row>
    <row r="175" spans="3:3" x14ac:dyDescent="0.3">
      <c r="C175" s="10"/>
    </row>
    <row r="176" spans="3:3" x14ac:dyDescent="0.3">
      <c r="C176" s="10"/>
    </row>
    <row r="177" spans="3:3" x14ac:dyDescent="0.3">
      <c r="C177" s="10"/>
    </row>
    <row r="178" spans="3:3" x14ac:dyDescent="0.3">
      <c r="C178" s="10"/>
    </row>
    <row r="179" spans="3:3" x14ac:dyDescent="0.3">
      <c r="C179" s="10"/>
    </row>
    <row r="180" spans="3:3" x14ac:dyDescent="0.3">
      <c r="C180" s="10"/>
    </row>
    <row r="181" spans="3:3" x14ac:dyDescent="0.3">
      <c r="C181" s="10"/>
    </row>
    <row r="182" spans="3:3" x14ac:dyDescent="0.3">
      <c r="C182" s="10"/>
    </row>
    <row r="183" spans="3:3" x14ac:dyDescent="0.3">
      <c r="C183" s="10"/>
    </row>
    <row r="184" spans="3:3" x14ac:dyDescent="0.3">
      <c r="C184" s="10"/>
    </row>
    <row r="185" spans="3:3" x14ac:dyDescent="0.3">
      <c r="C185" s="10"/>
    </row>
    <row r="186" spans="3:3" x14ac:dyDescent="0.3">
      <c r="C186" s="10"/>
    </row>
    <row r="187" spans="3:3" x14ac:dyDescent="0.3">
      <c r="C187" s="10"/>
    </row>
    <row r="188" spans="3:3" x14ac:dyDescent="0.3">
      <c r="C188" s="10"/>
    </row>
    <row r="189" spans="3:3" x14ac:dyDescent="0.3">
      <c r="C189" s="10"/>
    </row>
    <row r="190" spans="3:3" x14ac:dyDescent="0.3">
      <c r="C190" s="10"/>
    </row>
    <row r="191" spans="3:3" x14ac:dyDescent="0.3">
      <c r="C191" s="10"/>
    </row>
    <row r="192" spans="3:3" x14ac:dyDescent="0.3">
      <c r="C192" s="10"/>
    </row>
    <row r="193" spans="3:3" x14ac:dyDescent="0.3">
      <c r="C193" s="10"/>
    </row>
    <row r="194" spans="3:3" x14ac:dyDescent="0.3">
      <c r="C194" s="10"/>
    </row>
    <row r="195" spans="3:3" x14ac:dyDescent="0.3">
      <c r="C195" s="10"/>
    </row>
    <row r="196" spans="3:3" x14ac:dyDescent="0.3">
      <c r="C196" s="10"/>
    </row>
    <row r="197" spans="3:3" x14ac:dyDescent="0.3">
      <c r="C197" s="10"/>
    </row>
    <row r="198" spans="3:3" x14ac:dyDescent="0.3">
      <c r="C198" s="10"/>
    </row>
    <row r="199" spans="3:3" x14ac:dyDescent="0.3">
      <c r="C199" s="10"/>
    </row>
    <row r="200" spans="3:3" x14ac:dyDescent="0.3">
      <c r="C200" s="10"/>
    </row>
    <row r="201" spans="3:3" x14ac:dyDescent="0.3">
      <c r="C201" s="10"/>
    </row>
    <row r="202" spans="3:3" x14ac:dyDescent="0.3">
      <c r="C202" s="10"/>
    </row>
    <row r="203" spans="3:3" x14ac:dyDescent="0.3">
      <c r="C203" s="10"/>
    </row>
    <row r="204" spans="3:3" x14ac:dyDescent="0.3">
      <c r="C204" s="10"/>
    </row>
    <row r="205" spans="3:3" x14ac:dyDescent="0.3">
      <c r="C205" s="10"/>
    </row>
    <row r="206" spans="3:3" x14ac:dyDescent="0.3">
      <c r="C206" s="10"/>
    </row>
    <row r="207" spans="3:3" x14ac:dyDescent="0.3">
      <c r="C207" s="10"/>
    </row>
    <row r="208" spans="3:3" x14ac:dyDescent="0.3">
      <c r="C208" s="10"/>
    </row>
    <row r="209" spans="3:3" x14ac:dyDescent="0.3">
      <c r="C209" s="10"/>
    </row>
    <row r="210" spans="3:3" x14ac:dyDescent="0.3">
      <c r="C210" s="10"/>
    </row>
    <row r="211" spans="3:3" x14ac:dyDescent="0.3">
      <c r="C211" s="10"/>
    </row>
    <row r="212" spans="3:3" x14ac:dyDescent="0.3">
      <c r="C212" s="10"/>
    </row>
    <row r="213" spans="3:3" x14ac:dyDescent="0.3">
      <c r="C213" s="10"/>
    </row>
    <row r="214" spans="3:3" x14ac:dyDescent="0.3">
      <c r="C214" s="10"/>
    </row>
    <row r="215" spans="3:3" x14ac:dyDescent="0.3">
      <c r="C215" s="10"/>
    </row>
    <row r="216" spans="3:3" x14ac:dyDescent="0.3">
      <c r="C216" s="10"/>
    </row>
    <row r="217" spans="3:3" x14ac:dyDescent="0.3">
      <c r="C217" s="10"/>
    </row>
    <row r="218" spans="3:3" x14ac:dyDescent="0.3">
      <c r="C218" s="10"/>
    </row>
    <row r="219" spans="3:3" x14ac:dyDescent="0.3">
      <c r="C219" s="10"/>
    </row>
    <row r="220" spans="3:3" x14ac:dyDescent="0.3">
      <c r="C220" s="10"/>
    </row>
    <row r="221" spans="3:3" x14ac:dyDescent="0.3">
      <c r="C221" s="10"/>
    </row>
    <row r="222" spans="3:3" x14ac:dyDescent="0.3">
      <c r="C222" s="10"/>
    </row>
    <row r="223" spans="3:3" x14ac:dyDescent="0.3">
      <c r="C223" s="10"/>
    </row>
    <row r="224" spans="3:3" x14ac:dyDescent="0.3">
      <c r="C224" s="10"/>
    </row>
    <row r="225" spans="3:3" x14ac:dyDescent="0.3">
      <c r="C225" s="10"/>
    </row>
    <row r="226" spans="3:3" x14ac:dyDescent="0.3">
      <c r="C226" s="10"/>
    </row>
    <row r="227" spans="3:3" x14ac:dyDescent="0.3">
      <c r="C227" s="10"/>
    </row>
    <row r="228" spans="3:3" x14ac:dyDescent="0.3">
      <c r="C228" s="10"/>
    </row>
    <row r="229" spans="3:3" x14ac:dyDescent="0.3">
      <c r="C229" s="10"/>
    </row>
    <row r="230" spans="3:3" x14ac:dyDescent="0.3">
      <c r="C230" s="10"/>
    </row>
    <row r="231" spans="3:3" x14ac:dyDescent="0.3">
      <c r="C231" s="10"/>
    </row>
    <row r="232" spans="3:3" x14ac:dyDescent="0.3">
      <c r="C232" s="10"/>
    </row>
    <row r="233" spans="3:3" x14ac:dyDescent="0.3">
      <c r="C233" s="10"/>
    </row>
    <row r="234" spans="3:3" x14ac:dyDescent="0.3">
      <c r="C234" s="10"/>
    </row>
    <row r="235" spans="3:3" x14ac:dyDescent="0.3">
      <c r="C235" s="10"/>
    </row>
    <row r="236" spans="3:3" x14ac:dyDescent="0.3">
      <c r="C236" s="10"/>
    </row>
    <row r="237" spans="3:3" x14ac:dyDescent="0.3">
      <c r="C237" s="10"/>
    </row>
    <row r="238" spans="3:3" x14ac:dyDescent="0.3">
      <c r="C238" s="10"/>
    </row>
    <row r="239" spans="3:3" x14ac:dyDescent="0.3">
      <c r="C239" s="10"/>
    </row>
    <row r="240" spans="3:3" x14ac:dyDescent="0.3">
      <c r="C240" s="10"/>
    </row>
    <row r="241" spans="3:3" x14ac:dyDescent="0.3">
      <c r="C241" s="10"/>
    </row>
    <row r="242" spans="3:3" x14ac:dyDescent="0.3">
      <c r="C242" s="10"/>
    </row>
    <row r="243" spans="3:3" x14ac:dyDescent="0.3">
      <c r="C243" s="10"/>
    </row>
    <row r="244" spans="3:3" x14ac:dyDescent="0.3">
      <c r="C244" s="10"/>
    </row>
    <row r="245" spans="3:3" x14ac:dyDescent="0.3">
      <c r="C245" s="10"/>
    </row>
    <row r="246" spans="3:3" x14ac:dyDescent="0.3">
      <c r="C246" s="10"/>
    </row>
    <row r="247" spans="3:3" x14ac:dyDescent="0.3">
      <c r="C247" s="10"/>
    </row>
    <row r="248" spans="3:3" x14ac:dyDescent="0.3">
      <c r="C248" s="10"/>
    </row>
    <row r="249" spans="3:3" x14ac:dyDescent="0.3">
      <c r="C249" s="10"/>
    </row>
    <row r="250" spans="3:3" x14ac:dyDescent="0.3">
      <c r="C250" s="10"/>
    </row>
    <row r="251" spans="3:3" x14ac:dyDescent="0.3">
      <c r="C251" s="10"/>
    </row>
    <row r="252" spans="3:3" x14ac:dyDescent="0.3">
      <c r="C252" s="10"/>
    </row>
    <row r="253" spans="3:3" x14ac:dyDescent="0.3">
      <c r="C253" s="10"/>
    </row>
    <row r="254" spans="3:3" x14ac:dyDescent="0.3">
      <c r="C254" s="10"/>
    </row>
    <row r="255" spans="3:3" x14ac:dyDescent="0.3">
      <c r="C255" s="10"/>
    </row>
    <row r="256" spans="3:3" x14ac:dyDescent="0.3">
      <c r="C256" s="10"/>
    </row>
    <row r="257" spans="3:3" x14ac:dyDescent="0.3">
      <c r="C257" s="10"/>
    </row>
    <row r="258" spans="3:3" x14ac:dyDescent="0.3">
      <c r="C258" s="10"/>
    </row>
    <row r="259" spans="3:3" x14ac:dyDescent="0.3">
      <c r="C259" s="10"/>
    </row>
    <row r="260" spans="3:3" x14ac:dyDescent="0.3">
      <c r="C260" s="10"/>
    </row>
    <row r="261" spans="3:3" x14ac:dyDescent="0.3">
      <c r="C261" s="10"/>
    </row>
    <row r="262" spans="3:3" x14ac:dyDescent="0.3">
      <c r="C262" s="10"/>
    </row>
    <row r="263" spans="3:3" x14ac:dyDescent="0.3">
      <c r="C263" s="10"/>
    </row>
    <row r="264" spans="3:3" x14ac:dyDescent="0.3">
      <c r="C264" s="10"/>
    </row>
    <row r="265" spans="3:3" x14ac:dyDescent="0.3">
      <c r="C265" s="10"/>
    </row>
    <row r="266" spans="3:3" x14ac:dyDescent="0.3">
      <c r="C266" s="10"/>
    </row>
    <row r="267" spans="3:3" x14ac:dyDescent="0.3">
      <c r="C267" s="10"/>
    </row>
    <row r="268" spans="3:3" x14ac:dyDescent="0.3">
      <c r="C268" s="10"/>
    </row>
    <row r="269" spans="3:3" x14ac:dyDescent="0.3">
      <c r="C269" s="10"/>
    </row>
    <row r="270" spans="3:3" x14ac:dyDescent="0.3">
      <c r="C270" s="10"/>
    </row>
    <row r="271" spans="3:3" x14ac:dyDescent="0.3">
      <c r="C271" s="10"/>
    </row>
    <row r="272" spans="3:3" x14ac:dyDescent="0.3">
      <c r="C272" s="10"/>
    </row>
    <row r="273" spans="3:3" x14ac:dyDescent="0.3">
      <c r="C273" s="10"/>
    </row>
    <row r="274" spans="3:3" x14ac:dyDescent="0.3">
      <c r="C274" s="10"/>
    </row>
    <row r="275" spans="3:3" x14ac:dyDescent="0.3">
      <c r="C275" s="10"/>
    </row>
    <row r="276" spans="3:3" x14ac:dyDescent="0.3">
      <c r="C276" s="10"/>
    </row>
    <row r="277" spans="3:3" x14ac:dyDescent="0.3">
      <c r="C277" s="10"/>
    </row>
    <row r="278" spans="3:3" x14ac:dyDescent="0.3">
      <c r="C278" s="10"/>
    </row>
    <row r="279" spans="3:3" x14ac:dyDescent="0.3">
      <c r="C279" s="10"/>
    </row>
    <row r="280" spans="3:3" x14ac:dyDescent="0.3">
      <c r="C280" s="10"/>
    </row>
    <row r="281" spans="3:3" x14ac:dyDescent="0.3">
      <c r="C281" s="10"/>
    </row>
    <row r="282" spans="3:3" x14ac:dyDescent="0.3">
      <c r="C282" s="10"/>
    </row>
    <row r="283" spans="3:3" x14ac:dyDescent="0.3">
      <c r="C283" s="10"/>
    </row>
    <row r="284" spans="3:3" x14ac:dyDescent="0.3">
      <c r="C284" s="10"/>
    </row>
    <row r="285" spans="3:3" x14ac:dyDescent="0.3">
      <c r="C285" s="10"/>
    </row>
    <row r="286" spans="3:3" x14ac:dyDescent="0.3">
      <c r="C286" s="10"/>
    </row>
    <row r="287" spans="3:3" x14ac:dyDescent="0.3">
      <c r="C287" s="10"/>
    </row>
    <row r="288" spans="3:3" x14ac:dyDescent="0.3">
      <c r="C288" s="10"/>
    </row>
    <row r="289" spans="3:3" x14ac:dyDescent="0.3">
      <c r="C289" s="10"/>
    </row>
    <row r="290" spans="3:3" x14ac:dyDescent="0.3">
      <c r="C290" s="10"/>
    </row>
    <row r="291" spans="3:3" x14ac:dyDescent="0.3">
      <c r="C291" s="10"/>
    </row>
    <row r="292" spans="3:3" x14ac:dyDescent="0.3">
      <c r="C292" s="10"/>
    </row>
    <row r="293" spans="3:3" x14ac:dyDescent="0.3">
      <c r="C293" s="10"/>
    </row>
    <row r="294" spans="3:3" x14ac:dyDescent="0.3">
      <c r="C294" s="10"/>
    </row>
    <row r="295" spans="3:3" x14ac:dyDescent="0.3">
      <c r="C295" s="10"/>
    </row>
    <row r="296" spans="3:3" x14ac:dyDescent="0.3">
      <c r="C296" s="10"/>
    </row>
    <row r="297" spans="3:3" x14ac:dyDescent="0.3">
      <c r="C297" s="10"/>
    </row>
    <row r="298" spans="3:3" x14ac:dyDescent="0.3">
      <c r="C298" s="10"/>
    </row>
    <row r="299" spans="3:3" x14ac:dyDescent="0.3">
      <c r="C299" s="10"/>
    </row>
    <row r="300" spans="3:3" x14ac:dyDescent="0.3">
      <c r="C300" s="10"/>
    </row>
    <row r="301" spans="3:3" x14ac:dyDescent="0.3">
      <c r="C301" s="10"/>
    </row>
    <row r="302" spans="3:3" x14ac:dyDescent="0.3">
      <c r="C302" s="10"/>
    </row>
    <row r="303" spans="3:3" x14ac:dyDescent="0.3">
      <c r="C303" s="10"/>
    </row>
    <row r="304" spans="3:3" x14ac:dyDescent="0.3">
      <c r="C304" s="10"/>
    </row>
    <row r="305" spans="3:3" x14ac:dyDescent="0.3">
      <c r="C305" s="10"/>
    </row>
    <row r="306" spans="3:3" x14ac:dyDescent="0.3">
      <c r="C306" s="10"/>
    </row>
    <row r="307" spans="3:3" x14ac:dyDescent="0.3">
      <c r="C307" s="10"/>
    </row>
    <row r="308" spans="3:3" x14ac:dyDescent="0.3">
      <c r="C308" s="10"/>
    </row>
    <row r="309" spans="3:3" x14ac:dyDescent="0.3">
      <c r="C309" s="10"/>
    </row>
    <row r="310" spans="3:3" x14ac:dyDescent="0.3">
      <c r="C310" s="10"/>
    </row>
    <row r="311" spans="3:3" x14ac:dyDescent="0.3">
      <c r="C311" s="10"/>
    </row>
    <row r="312" spans="3:3" x14ac:dyDescent="0.3">
      <c r="C312" s="10"/>
    </row>
    <row r="313" spans="3:3" x14ac:dyDescent="0.3">
      <c r="C313" s="10"/>
    </row>
    <row r="314" spans="3:3" x14ac:dyDescent="0.3">
      <c r="C314" s="10"/>
    </row>
    <row r="315" spans="3:3" x14ac:dyDescent="0.3">
      <c r="C315" s="10"/>
    </row>
    <row r="316" spans="3:3" x14ac:dyDescent="0.3">
      <c r="C316" s="10"/>
    </row>
    <row r="317" spans="3:3" x14ac:dyDescent="0.3">
      <c r="C317" s="10"/>
    </row>
    <row r="318" spans="3:3" x14ac:dyDescent="0.3">
      <c r="C318" s="10"/>
    </row>
    <row r="319" spans="3:3" x14ac:dyDescent="0.3">
      <c r="C319" s="10"/>
    </row>
    <row r="320" spans="3:3" x14ac:dyDescent="0.3">
      <c r="C320" s="10"/>
    </row>
    <row r="321" spans="3:3" x14ac:dyDescent="0.3">
      <c r="C321" s="10"/>
    </row>
    <row r="322" spans="3:3" x14ac:dyDescent="0.3">
      <c r="C322" s="10"/>
    </row>
    <row r="323" spans="3:3" x14ac:dyDescent="0.3">
      <c r="C323" s="10"/>
    </row>
    <row r="324" spans="3:3" x14ac:dyDescent="0.3">
      <c r="C324" s="10"/>
    </row>
    <row r="325" spans="3:3" x14ac:dyDescent="0.3">
      <c r="C325" s="10"/>
    </row>
    <row r="326" spans="3:3" x14ac:dyDescent="0.3">
      <c r="C326" s="10"/>
    </row>
    <row r="327" spans="3:3" x14ac:dyDescent="0.3">
      <c r="C327" s="10"/>
    </row>
    <row r="328" spans="3:3" x14ac:dyDescent="0.3">
      <c r="C328" s="10"/>
    </row>
    <row r="329" spans="3:3" x14ac:dyDescent="0.3">
      <c r="C329" s="10"/>
    </row>
    <row r="330" spans="3:3" x14ac:dyDescent="0.3">
      <c r="C330" s="10"/>
    </row>
    <row r="331" spans="3:3" x14ac:dyDescent="0.3">
      <c r="C331" s="10"/>
    </row>
    <row r="332" spans="3:3" x14ac:dyDescent="0.3">
      <c r="C332" s="10"/>
    </row>
    <row r="333" spans="3:3" x14ac:dyDescent="0.3">
      <c r="C333" s="10"/>
    </row>
    <row r="334" spans="3:3" x14ac:dyDescent="0.3">
      <c r="C334" s="10"/>
    </row>
    <row r="335" spans="3:3" x14ac:dyDescent="0.3">
      <c r="C335" s="10"/>
    </row>
    <row r="336" spans="3:3" x14ac:dyDescent="0.3">
      <c r="C336" s="10"/>
    </row>
    <row r="337" spans="3:3" x14ac:dyDescent="0.3">
      <c r="C337" s="10"/>
    </row>
    <row r="338" spans="3:3" x14ac:dyDescent="0.3">
      <c r="C338" s="10"/>
    </row>
    <row r="339" spans="3:3" x14ac:dyDescent="0.3">
      <c r="C339" s="10"/>
    </row>
    <row r="340" spans="3:3" x14ac:dyDescent="0.3">
      <c r="C340" s="10"/>
    </row>
    <row r="341" spans="3:3" x14ac:dyDescent="0.3">
      <c r="C341" s="10"/>
    </row>
    <row r="342" spans="3:3" x14ac:dyDescent="0.3">
      <c r="C342" s="10"/>
    </row>
    <row r="343" spans="3:3" x14ac:dyDescent="0.3">
      <c r="C343" s="10"/>
    </row>
    <row r="344" spans="3:3" x14ac:dyDescent="0.3">
      <c r="C344" s="10"/>
    </row>
    <row r="345" spans="3:3" x14ac:dyDescent="0.3">
      <c r="C345" s="10"/>
    </row>
    <row r="346" spans="3:3" x14ac:dyDescent="0.3">
      <c r="C346" s="10"/>
    </row>
    <row r="347" spans="3:3" x14ac:dyDescent="0.3">
      <c r="C347" s="10"/>
    </row>
    <row r="348" spans="3:3" x14ac:dyDescent="0.3">
      <c r="C348" s="10"/>
    </row>
    <row r="349" spans="3:3" x14ac:dyDescent="0.3">
      <c r="C349" s="10"/>
    </row>
    <row r="350" spans="3:3" x14ac:dyDescent="0.3">
      <c r="C350" s="10"/>
    </row>
    <row r="351" spans="3:3" x14ac:dyDescent="0.3">
      <c r="C351" s="10"/>
    </row>
    <row r="352" spans="3:3" x14ac:dyDescent="0.3">
      <c r="C352" s="10"/>
    </row>
    <row r="353" spans="3:3" x14ac:dyDescent="0.3">
      <c r="C353" s="10"/>
    </row>
    <row r="354" spans="3:3" x14ac:dyDescent="0.3">
      <c r="C354" s="10"/>
    </row>
    <row r="355" spans="3:3" x14ac:dyDescent="0.3">
      <c r="C355" s="10"/>
    </row>
    <row r="356" spans="3:3" x14ac:dyDescent="0.3">
      <c r="C356" s="10"/>
    </row>
    <row r="357" spans="3:3" x14ac:dyDescent="0.3">
      <c r="C357" s="10"/>
    </row>
    <row r="358" spans="3:3" x14ac:dyDescent="0.3">
      <c r="C358" s="10"/>
    </row>
    <row r="359" spans="3:3" x14ac:dyDescent="0.3">
      <c r="C359" s="10"/>
    </row>
    <row r="360" spans="3:3" x14ac:dyDescent="0.3">
      <c r="C360" s="10"/>
    </row>
    <row r="361" spans="3:3" x14ac:dyDescent="0.3">
      <c r="C361" s="10"/>
    </row>
    <row r="362" spans="3:3" x14ac:dyDescent="0.3">
      <c r="C362" s="10"/>
    </row>
    <row r="363" spans="3:3" x14ac:dyDescent="0.3">
      <c r="C363" s="10"/>
    </row>
    <row r="364" spans="3:3" x14ac:dyDescent="0.3">
      <c r="C364" s="10"/>
    </row>
    <row r="365" spans="3:3" x14ac:dyDescent="0.3">
      <c r="C365" s="10"/>
    </row>
    <row r="366" spans="3:3" x14ac:dyDescent="0.3">
      <c r="C366" s="10"/>
    </row>
    <row r="367" spans="3:3" x14ac:dyDescent="0.3">
      <c r="C367" s="10"/>
    </row>
    <row r="368" spans="3:3" x14ac:dyDescent="0.3">
      <c r="C368" s="10"/>
    </row>
    <row r="369" spans="3:3" x14ac:dyDescent="0.3">
      <c r="C369" s="10"/>
    </row>
    <row r="370" spans="3:3" x14ac:dyDescent="0.3">
      <c r="C370" s="10"/>
    </row>
    <row r="371" spans="3:3" x14ac:dyDescent="0.3">
      <c r="C371" s="10"/>
    </row>
    <row r="372" spans="3:3" x14ac:dyDescent="0.3">
      <c r="C372" s="10"/>
    </row>
    <row r="373" spans="3:3" x14ac:dyDescent="0.3">
      <c r="C373" s="10"/>
    </row>
    <row r="374" spans="3:3" x14ac:dyDescent="0.3">
      <c r="C374" s="10"/>
    </row>
    <row r="375" spans="3:3" x14ac:dyDescent="0.3">
      <c r="C375" s="10"/>
    </row>
    <row r="376" spans="3:3" x14ac:dyDescent="0.3">
      <c r="C376" s="10"/>
    </row>
    <row r="377" spans="3:3" x14ac:dyDescent="0.3">
      <c r="C377" s="10"/>
    </row>
    <row r="378" spans="3:3" x14ac:dyDescent="0.3">
      <c r="C378" s="10"/>
    </row>
    <row r="379" spans="3:3" x14ac:dyDescent="0.3">
      <c r="C379" s="10"/>
    </row>
    <row r="380" spans="3:3" x14ac:dyDescent="0.3">
      <c r="C380" s="10"/>
    </row>
    <row r="381" spans="3:3" x14ac:dyDescent="0.3">
      <c r="C381" s="10"/>
    </row>
    <row r="382" spans="3:3" x14ac:dyDescent="0.3">
      <c r="C382" s="10"/>
    </row>
    <row r="383" spans="3:3" x14ac:dyDescent="0.3">
      <c r="C383" s="10"/>
    </row>
    <row r="384" spans="3:3" x14ac:dyDescent="0.3">
      <c r="C384" s="10"/>
    </row>
    <row r="385" spans="3:3" x14ac:dyDescent="0.3">
      <c r="C385" s="10"/>
    </row>
    <row r="386" spans="3:3" x14ac:dyDescent="0.3">
      <c r="C386" s="10"/>
    </row>
    <row r="387" spans="3:3" x14ac:dyDescent="0.3">
      <c r="C387" s="10"/>
    </row>
    <row r="388" spans="3:3" x14ac:dyDescent="0.3">
      <c r="C388" s="10"/>
    </row>
    <row r="389" spans="3:3" x14ac:dyDescent="0.3">
      <c r="C389" s="10"/>
    </row>
    <row r="390" spans="3:3" x14ac:dyDescent="0.3">
      <c r="C390" s="10"/>
    </row>
    <row r="391" spans="3:3" x14ac:dyDescent="0.3">
      <c r="C391" s="10"/>
    </row>
    <row r="392" spans="3:3" x14ac:dyDescent="0.3">
      <c r="C392" s="10"/>
    </row>
    <row r="393" spans="3:3" x14ac:dyDescent="0.3">
      <c r="C393" s="10"/>
    </row>
    <row r="394" spans="3:3" x14ac:dyDescent="0.3">
      <c r="C394" s="10"/>
    </row>
    <row r="395" spans="3:3" x14ac:dyDescent="0.3">
      <c r="C395" s="10"/>
    </row>
    <row r="396" spans="3:3" x14ac:dyDescent="0.3">
      <c r="C396" s="10"/>
    </row>
    <row r="397" spans="3:3" x14ac:dyDescent="0.3">
      <c r="C397" s="10"/>
    </row>
    <row r="398" spans="3:3" x14ac:dyDescent="0.3">
      <c r="C398" s="10"/>
    </row>
    <row r="399" spans="3:3" x14ac:dyDescent="0.3">
      <c r="C399" s="10"/>
    </row>
    <row r="400" spans="3:3" x14ac:dyDescent="0.3">
      <c r="C400" s="10"/>
    </row>
    <row r="401" spans="3:3" x14ac:dyDescent="0.3">
      <c r="C401" s="10"/>
    </row>
    <row r="402" spans="3:3" x14ac:dyDescent="0.3">
      <c r="C402" s="10"/>
    </row>
    <row r="403" spans="3:3" x14ac:dyDescent="0.3">
      <c r="C403" s="10"/>
    </row>
    <row r="404" spans="3:3" x14ac:dyDescent="0.3">
      <c r="C404" s="10"/>
    </row>
    <row r="405" spans="3:3" x14ac:dyDescent="0.3">
      <c r="C405" s="10"/>
    </row>
    <row r="406" spans="3:3" x14ac:dyDescent="0.3">
      <c r="C406" s="10"/>
    </row>
    <row r="407" spans="3:3" x14ac:dyDescent="0.3">
      <c r="C407" s="10"/>
    </row>
    <row r="408" spans="3:3" x14ac:dyDescent="0.3">
      <c r="C408" s="10"/>
    </row>
    <row r="409" spans="3:3" x14ac:dyDescent="0.3">
      <c r="C409" s="10"/>
    </row>
    <row r="410" spans="3:3" x14ac:dyDescent="0.3">
      <c r="C410" s="10"/>
    </row>
    <row r="411" spans="3:3" x14ac:dyDescent="0.3">
      <c r="C411" s="10"/>
    </row>
    <row r="412" spans="3:3" x14ac:dyDescent="0.3">
      <c r="C412" s="10"/>
    </row>
    <row r="413" spans="3:3" x14ac:dyDescent="0.3">
      <c r="C413" s="10"/>
    </row>
    <row r="414" spans="3:3" x14ac:dyDescent="0.3">
      <c r="C414" s="10"/>
    </row>
    <row r="415" spans="3:3" x14ac:dyDescent="0.3">
      <c r="C415" s="10"/>
    </row>
    <row r="416" spans="3:3" x14ac:dyDescent="0.3">
      <c r="C416" s="10"/>
    </row>
    <row r="417" spans="3:3" x14ac:dyDescent="0.3">
      <c r="C417" s="10"/>
    </row>
    <row r="418" spans="3:3" x14ac:dyDescent="0.3">
      <c r="C418" s="10"/>
    </row>
    <row r="419" spans="3:3" x14ac:dyDescent="0.3">
      <c r="C419" s="10"/>
    </row>
    <row r="420" spans="3:3" x14ac:dyDescent="0.3">
      <c r="C420" s="10"/>
    </row>
    <row r="421" spans="3:3" x14ac:dyDescent="0.3">
      <c r="C421" s="10"/>
    </row>
    <row r="422" spans="3:3" x14ac:dyDescent="0.3">
      <c r="C422" s="10"/>
    </row>
    <row r="423" spans="3:3" x14ac:dyDescent="0.3">
      <c r="C423" s="10"/>
    </row>
    <row r="424" spans="3:3" x14ac:dyDescent="0.3">
      <c r="C424" s="10"/>
    </row>
    <row r="425" spans="3:3" x14ac:dyDescent="0.3">
      <c r="C425" s="10"/>
    </row>
    <row r="426" spans="3:3" x14ac:dyDescent="0.3">
      <c r="C426" s="10"/>
    </row>
    <row r="427" spans="3:3" x14ac:dyDescent="0.3">
      <c r="C427" s="10"/>
    </row>
    <row r="428" spans="3:3" x14ac:dyDescent="0.3">
      <c r="C428" s="10"/>
    </row>
    <row r="429" spans="3:3" x14ac:dyDescent="0.3">
      <c r="C429" s="10"/>
    </row>
    <row r="430" spans="3:3" x14ac:dyDescent="0.3">
      <c r="C430" s="10"/>
    </row>
    <row r="431" spans="3:3" x14ac:dyDescent="0.3">
      <c r="C431" s="10"/>
    </row>
    <row r="432" spans="3:3" x14ac:dyDescent="0.3">
      <c r="C432" s="10"/>
    </row>
    <row r="433" spans="3:3" x14ac:dyDescent="0.3">
      <c r="C433" s="10"/>
    </row>
    <row r="434" spans="3:3" x14ac:dyDescent="0.3">
      <c r="C434" s="10"/>
    </row>
    <row r="435" spans="3:3" x14ac:dyDescent="0.3">
      <c r="C435" s="10"/>
    </row>
    <row r="436" spans="3:3" x14ac:dyDescent="0.3">
      <c r="C436" s="10"/>
    </row>
    <row r="437" spans="3:3" x14ac:dyDescent="0.3">
      <c r="C437" s="10"/>
    </row>
    <row r="438" spans="3:3" x14ac:dyDescent="0.3">
      <c r="C438" s="10"/>
    </row>
    <row r="439" spans="3:3" x14ac:dyDescent="0.3">
      <c r="C439" s="10"/>
    </row>
    <row r="440" spans="3:3" x14ac:dyDescent="0.3">
      <c r="C440" s="10"/>
    </row>
    <row r="441" spans="3:3" x14ac:dyDescent="0.3">
      <c r="C441" s="10"/>
    </row>
    <row r="442" spans="3:3" x14ac:dyDescent="0.3">
      <c r="C442" s="10"/>
    </row>
    <row r="443" spans="3:3" x14ac:dyDescent="0.3">
      <c r="C443" s="10"/>
    </row>
    <row r="444" spans="3:3" x14ac:dyDescent="0.3">
      <c r="C444" s="10"/>
    </row>
    <row r="445" spans="3:3" x14ac:dyDescent="0.3">
      <c r="C445" s="10"/>
    </row>
    <row r="446" spans="3:3" x14ac:dyDescent="0.3">
      <c r="C446" s="10"/>
    </row>
    <row r="447" spans="3:3" x14ac:dyDescent="0.3">
      <c r="C447" s="10"/>
    </row>
    <row r="448" spans="3:3" x14ac:dyDescent="0.3">
      <c r="C448" s="10"/>
    </row>
    <row r="449" spans="3:3" x14ac:dyDescent="0.3">
      <c r="C449" s="10"/>
    </row>
    <row r="450" spans="3:3" x14ac:dyDescent="0.3">
      <c r="C450" s="10"/>
    </row>
    <row r="451" spans="3:3" x14ac:dyDescent="0.3">
      <c r="C451" s="10"/>
    </row>
    <row r="452" spans="3:3" x14ac:dyDescent="0.3">
      <c r="C452" s="10"/>
    </row>
    <row r="453" spans="3:3" x14ac:dyDescent="0.3">
      <c r="C453" s="10"/>
    </row>
    <row r="454" spans="3:3" x14ac:dyDescent="0.3">
      <c r="C454" s="10"/>
    </row>
    <row r="455" spans="3:3" x14ac:dyDescent="0.3">
      <c r="C455" s="10"/>
    </row>
    <row r="456" spans="3:3" x14ac:dyDescent="0.3">
      <c r="C456" s="10"/>
    </row>
    <row r="457" spans="3:3" x14ac:dyDescent="0.3">
      <c r="C457" s="10"/>
    </row>
    <row r="458" spans="3:3" x14ac:dyDescent="0.3">
      <c r="C458" s="10"/>
    </row>
    <row r="459" spans="3:3" x14ac:dyDescent="0.3">
      <c r="C459" s="10"/>
    </row>
    <row r="460" spans="3:3" x14ac:dyDescent="0.3">
      <c r="C460" s="10"/>
    </row>
    <row r="461" spans="3:3" x14ac:dyDescent="0.3">
      <c r="C461" s="10"/>
    </row>
    <row r="462" spans="3:3" x14ac:dyDescent="0.3">
      <c r="C462" s="10"/>
    </row>
    <row r="463" spans="3:3" x14ac:dyDescent="0.3">
      <c r="C463" s="10"/>
    </row>
    <row r="464" spans="3:3" x14ac:dyDescent="0.3">
      <c r="C464" s="10"/>
    </row>
    <row r="465" spans="3:3" x14ac:dyDescent="0.3">
      <c r="C465" s="10"/>
    </row>
    <row r="466" spans="3:3" x14ac:dyDescent="0.3">
      <c r="C466" s="10"/>
    </row>
    <row r="467" spans="3:3" x14ac:dyDescent="0.3">
      <c r="C467" s="10"/>
    </row>
    <row r="468" spans="3:3" x14ac:dyDescent="0.3">
      <c r="C468" s="10"/>
    </row>
    <row r="469" spans="3:3" x14ac:dyDescent="0.3">
      <c r="C469" s="10"/>
    </row>
    <row r="470" spans="3:3" x14ac:dyDescent="0.3">
      <c r="C470" s="10"/>
    </row>
    <row r="471" spans="3:3" x14ac:dyDescent="0.3">
      <c r="C471" s="10"/>
    </row>
    <row r="472" spans="3:3" x14ac:dyDescent="0.3">
      <c r="C472" s="10"/>
    </row>
    <row r="473" spans="3:3" x14ac:dyDescent="0.3">
      <c r="C473" s="10"/>
    </row>
    <row r="474" spans="3:3" x14ac:dyDescent="0.3">
      <c r="C474" s="10"/>
    </row>
    <row r="475" spans="3:3" x14ac:dyDescent="0.3">
      <c r="C475" s="10"/>
    </row>
    <row r="476" spans="3:3" x14ac:dyDescent="0.3">
      <c r="C476" s="10"/>
    </row>
    <row r="477" spans="3:3" x14ac:dyDescent="0.3">
      <c r="C477" s="10"/>
    </row>
    <row r="478" spans="3:3" x14ac:dyDescent="0.3">
      <c r="C478" s="10"/>
    </row>
    <row r="479" spans="3:3" x14ac:dyDescent="0.3">
      <c r="C479" s="10"/>
    </row>
    <row r="480" spans="3:3" x14ac:dyDescent="0.3">
      <c r="C480" s="10"/>
    </row>
    <row r="481" spans="3:3" x14ac:dyDescent="0.3">
      <c r="C481" s="10"/>
    </row>
    <row r="482" spans="3:3" x14ac:dyDescent="0.3">
      <c r="C482" s="10"/>
    </row>
    <row r="483" spans="3:3" x14ac:dyDescent="0.3">
      <c r="C483" s="10"/>
    </row>
    <row r="484" spans="3:3" x14ac:dyDescent="0.3">
      <c r="C484" s="10"/>
    </row>
    <row r="485" spans="3:3" x14ac:dyDescent="0.3">
      <c r="C485" s="10"/>
    </row>
    <row r="486" spans="3:3" x14ac:dyDescent="0.3">
      <c r="C486" s="10"/>
    </row>
    <row r="487" spans="3:3" x14ac:dyDescent="0.3">
      <c r="C487" s="10"/>
    </row>
    <row r="488" spans="3:3" x14ac:dyDescent="0.3">
      <c r="C488" s="10"/>
    </row>
    <row r="489" spans="3:3" x14ac:dyDescent="0.3">
      <c r="C489" s="10"/>
    </row>
    <row r="490" spans="3:3" x14ac:dyDescent="0.3">
      <c r="C490" s="10"/>
    </row>
    <row r="491" spans="3:3" x14ac:dyDescent="0.3">
      <c r="C491" s="10"/>
    </row>
    <row r="492" spans="3:3" x14ac:dyDescent="0.3">
      <c r="C492" s="10"/>
    </row>
    <row r="493" spans="3:3" x14ac:dyDescent="0.3">
      <c r="C493" s="10"/>
    </row>
    <row r="494" spans="3:3" x14ac:dyDescent="0.3">
      <c r="C494" s="10"/>
    </row>
    <row r="495" spans="3:3" x14ac:dyDescent="0.3">
      <c r="C495" s="10"/>
    </row>
    <row r="496" spans="3:3" x14ac:dyDescent="0.3">
      <c r="C496" s="10"/>
    </row>
    <row r="497" spans="3:3" x14ac:dyDescent="0.3">
      <c r="C497" s="10"/>
    </row>
    <row r="498" spans="3:3" x14ac:dyDescent="0.3">
      <c r="C498" s="10"/>
    </row>
    <row r="499" spans="3:3" x14ac:dyDescent="0.3">
      <c r="C499" s="10"/>
    </row>
    <row r="500" spans="3:3" x14ac:dyDescent="0.3">
      <c r="C500" s="10"/>
    </row>
    <row r="501" spans="3:3" x14ac:dyDescent="0.3">
      <c r="C501" s="10"/>
    </row>
    <row r="502" spans="3:3" x14ac:dyDescent="0.3">
      <c r="C502" s="10"/>
    </row>
    <row r="503" spans="3:3" x14ac:dyDescent="0.3">
      <c r="C503" s="10"/>
    </row>
    <row r="504" spans="3:3" x14ac:dyDescent="0.3">
      <c r="C504" s="10"/>
    </row>
    <row r="505" spans="3:3" x14ac:dyDescent="0.3">
      <c r="C505" s="10"/>
    </row>
    <row r="506" spans="3:3" x14ac:dyDescent="0.3">
      <c r="C506" s="10"/>
    </row>
    <row r="507" spans="3:3" x14ac:dyDescent="0.3">
      <c r="C507" s="10"/>
    </row>
    <row r="508" spans="3:3" x14ac:dyDescent="0.3">
      <c r="C508" s="10"/>
    </row>
    <row r="509" spans="3:3" x14ac:dyDescent="0.3">
      <c r="C509" s="10"/>
    </row>
    <row r="510" spans="3:3" x14ac:dyDescent="0.3">
      <c r="C510" s="10"/>
    </row>
    <row r="511" spans="3:3" x14ac:dyDescent="0.3">
      <c r="C511" s="10"/>
    </row>
    <row r="512" spans="3:3" x14ac:dyDescent="0.3">
      <c r="C512" s="10"/>
    </row>
    <row r="513" spans="3:3" x14ac:dyDescent="0.3">
      <c r="C513" s="10"/>
    </row>
    <row r="514" spans="3:3" x14ac:dyDescent="0.3">
      <c r="C514" s="10"/>
    </row>
    <row r="515" spans="3:3" x14ac:dyDescent="0.3">
      <c r="C515" s="10"/>
    </row>
    <row r="516" spans="3:3" x14ac:dyDescent="0.3">
      <c r="C516" s="10"/>
    </row>
  </sheetData>
  <mergeCells count="2">
    <mergeCell ref="A3:F4"/>
    <mergeCell ref="B28:F28"/>
  </mergeCells>
  <pageMargins left="0.7" right="0.7" top="0.75" bottom="0.75" header="0.3" footer="0.3"/>
  <pageSetup paperSize="9" scale="93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2701C-B12D-4D7E-A057-87CA265218FE}">
  <sheetPr codeName="Sheet4"/>
  <dimension ref="A1:BX26950"/>
  <sheetViews>
    <sheetView workbookViewId="0">
      <selection activeCell="D116" sqref="D116"/>
    </sheetView>
  </sheetViews>
  <sheetFormatPr baseColWidth="10" defaultColWidth="10.77734375" defaultRowHeight="14.4" x14ac:dyDescent="0.3"/>
  <cols>
    <col min="1" max="1" width="10.77734375" style="11"/>
    <col min="2" max="2" width="13.77734375" style="13" bestFit="1" customWidth="1"/>
    <col min="3" max="4" width="12.44140625" style="13" bestFit="1" customWidth="1"/>
    <col min="5" max="5" width="13.5546875" style="13" bestFit="1" customWidth="1"/>
    <col min="6" max="9" width="12.44140625" style="13" bestFit="1" customWidth="1"/>
    <col min="10" max="10" width="12.6640625" style="13" bestFit="1" customWidth="1"/>
    <col min="11" max="11" width="12.44140625" style="13" bestFit="1" customWidth="1"/>
    <col min="12" max="20" width="10.77734375" style="11"/>
    <col min="21" max="22" width="10.77734375" style="2"/>
    <col min="23" max="23" width="12" style="2" bestFit="1" customWidth="1"/>
    <col min="26" max="26" width="14.77734375" style="2" bestFit="1" customWidth="1"/>
    <col min="27" max="28" width="10.77734375" style="2"/>
    <col min="29" max="30" width="12" style="2" bestFit="1" customWidth="1"/>
    <col min="31" max="31" width="10.77734375" style="2"/>
    <col min="32" max="32" width="12.5546875" style="10" bestFit="1" customWidth="1"/>
    <col min="33" max="33" width="11" style="2" bestFit="1" customWidth="1"/>
    <col min="34" max="35" width="10.77734375" style="2"/>
    <col min="36" max="36" width="11" style="2" bestFit="1" customWidth="1"/>
    <col min="37" max="16384" width="10.77734375" style="2"/>
  </cols>
  <sheetData>
    <row r="1" spans="1:76" ht="15" thickBot="1" x14ac:dyDescent="0.35">
      <c r="A1" s="12">
        <v>42374</v>
      </c>
      <c r="B1" s="13">
        <v>1075.2577049597912</v>
      </c>
      <c r="C1" s="13">
        <v>178338.2389240069</v>
      </c>
      <c r="D1" s="13">
        <v>178725.72139856391</v>
      </c>
      <c r="E1" s="13">
        <v>193644.101602929</v>
      </c>
      <c r="F1" s="13">
        <v>407131.61803175451</v>
      </c>
      <c r="G1" s="13">
        <v>407204.67774419306</v>
      </c>
      <c r="H1" s="13">
        <v>446327.87881267577</v>
      </c>
      <c r="I1" s="13">
        <v>450203.64388325397</v>
      </c>
      <c r="J1" s="13">
        <v>464546.43983810645</v>
      </c>
      <c r="K1" s="13">
        <v>464581.88482809189</v>
      </c>
      <c r="N1" s="90" t="s">
        <v>22</v>
      </c>
      <c r="O1" s="91"/>
      <c r="P1" s="11">
        <v>1</v>
      </c>
      <c r="Q1" s="11">
        <v>2</v>
      </c>
      <c r="R1" s="11">
        <v>3</v>
      </c>
      <c r="S1" s="11">
        <v>4</v>
      </c>
      <c r="T1" s="11">
        <v>5</v>
      </c>
      <c r="U1" s="11">
        <v>6</v>
      </c>
      <c r="V1" s="11">
        <v>7</v>
      </c>
      <c r="W1" s="11">
        <v>8</v>
      </c>
      <c r="X1" s="11">
        <v>9</v>
      </c>
      <c r="Y1" s="11">
        <v>10</v>
      </c>
      <c r="AA1" s="90" t="s">
        <v>23</v>
      </c>
      <c r="AB1" s="91"/>
      <c r="AC1" s="2">
        <v>1</v>
      </c>
      <c r="AD1" s="2">
        <v>2</v>
      </c>
      <c r="AE1" s="2">
        <v>3</v>
      </c>
      <c r="AF1" s="2">
        <v>4</v>
      </c>
      <c r="AG1" s="2">
        <v>5</v>
      </c>
      <c r="AH1" s="2">
        <v>6</v>
      </c>
      <c r="AI1" s="2">
        <v>7</v>
      </c>
      <c r="AJ1" s="2">
        <v>8</v>
      </c>
      <c r="AK1" s="2">
        <v>9</v>
      </c>
      <c r="AL1" s="2">
        <v>10</v>
      </c>
      <c r="AM1" s="10"/>
      <c r="AY1" s="35" t="s">
        <v>24</v>
      </c>
      <c r="AZ1" s="2">
        <v>1</v>
      </c>
      <c r="BA1" s="2">
        <v>2</v>
      </c>
      <c r="BB1" s="2">
        <v>3</v>
      </c>
      <c r="BC1" s="2">
        <v>4</v>
      </c>
      <c r="BD1" s="2">
        <v>5</v>
      </c>
      <c r="BE1" s="2">
        <v>6</v>
      </c>
      <c r="BF1" s="2">
        <v>7</v>
      </c>
      <c r="BG1" s="2">
        <v>8</v>
      </c>
      <c r="BH1" s="2">
        <v>9</v>
      </c>
      <c r="BI1" s="2">
        <v>10</v>
      </c>
      <c r="BN1" s="35" t="s">
        <v>25</v>
      </c>
      <c r="BO1" s="2">
        <v>1</v>
      </c>
      <c r="BP1" s="2">
        <v>2</v>
      </c>
      <c r="BQ1" s="2">
        <v>3</v>
      </c>
      <c r="BR1" s="2">
        <v>4</v>
      </c>
      <c r="BS1" s="2">
        <v>5</v>
      </c>
      <c r="BT1" s="2">
        <v>6</v>
      </c>
      <c r="BU1" s="2">
        <v>7</v>
      </c>
      <c r="BV1" s="2">
        <v>8</v>
      </c>
      <c r="BW1" s="2">
        <v>9</v>
      </c>
      <c r="BX1" s="2">
        <v>10</v>
      </c>
    </row>
    <row r="2" spans="1:76" x14ac:dyDescent="0.3">
      <c r="A2" s="12">
        <v>42415</v>
      </c>
      <c r="B2" s="13">
        <v>133391.10834774273</v>
      </c>
      <c r="C2" s="13">
        <v>254564.44410696512</v>
      </c>
      <c r="D2" s="13">
        <v>511692.04493857303</v>
      </c>
      <c r="E2" s="13">
        <v>809383.32828138408</v>
      </c>
      <c r="F2" s="13">
        <v>1017876.75848856</v>
      </c>
      <c r="G2" s="13">
        <v>1018292.4200219095</v>
      </c>
      <c r="H2" s="13">
        <v>1059163.7395997841</v>
      </c>
      <c r="I2" s="13">
        <v>1073359.4219254453</v>
      </c>
      <c r="J2" s="13">
        <v>1073779.2569335839</v>
      </c>
      <c r="K2" s="13">
        <v>1073830.069426456</v>
      </c>
      <c r="O2" s="11">
        <f>YEAR($A1)</f>
        <v>2016</v>
      </c>
      <c r="P2" s="36">
        <f>$B1</f>
        <v>1075.2577049597912</v>
      </c>
      <c r="Q2" s="36">
        <f>C1-B1</f>
        <v>177262.9812190471</v>
      </c>
      <c r="R2" s="36">
        <f t="shared" ref="R2:Y2" si="0">D1-C1</f>
        <v>387.48247455700766</v>
      </c>
      <c r="S2" s="36">
        <f t="shared" si="0"/>
        <v>14918.380204365094</v>
      </c>
      <c r="T2" s="36">
        <f t="shared" si="0"/>
        <v>213487.5164288255</v>
      </c>
      <c r="U2" s="36">
        <f t="shared" si="0"/>
        <v>73.059712438553106</v>
      </c>
      <c r="V2" s="36">
        <f t="shared" si="0"/>
        <v>39123.201068482711</v>
      </c>
      <c r="W2" s="36">
        <f t="shared" si="0"/>
        <v>3875.7650705781998</v>
      </c>
      <c r="X2" s="36">
        <f t="shared" si="0"/>
        <v>14342.795954852481</v>
      </c>
      <c r="Y2" s="36">
        <f t="shared" si="0"/>
        <v>35.444989985437132</v>
      </c>
      <c r="Z2" s="10"/>
      <c r="AA2" s="41">
        <f>P2*(Exposure!C44/Exposure!C33)</f>
        <v>1726.7181039962932</v>
      </c>
      <c r="AB2" s="2">
        <f>$O2</f>
        <v>2016</v>
      </c>
      <c r="AC2" s="42">
        <f>AA2</f>
        <v>1726.7181039962932</v>
      </c>
      <c r="AD2" s="2">
        <f>Q2*VLOOKUP(BP2,Exposure!$B$33:$C$53,2,FALSE)/VLOOKUP(BA2,Exposure!$B$33:$C$53,2,FALSE)</f>
        <v>283759.70508149662</v>
      </c>
      <c r="AE2" s="2">
        <f>R2*VLOOKUP(BQ2,Exposure!$B$33:$C$53,2,FALSE)/VLOOKUP(BB2,Exposure!$B$33:$C$53,2,FALSE)</f>
        <v>618.76601667229068</v>
      </c>
      <c r="AF2" s="2">
        <f>S2*VLOOKUP(BR2,Exposure!$B$33:$C$53,2,FALSE)/VLOOKUP(BC2,Exposure!$B$33:$C$53,2,FALSE)</f>
        <v>23905.945948084918</v>
      </c>
      <c r="AG2" s="2">
        <f>T2*VLOOKUP(BS2,Exposure!$B$33:$C$53,2,FALSE)/VLOOKUP(BD2,Exposure!$B$33:$C$53,2,FALSE)</f>
        <v>345645.14791503153</v>
      </c>
      <c r="AH2" s="2">
        <f>U2*VLOOKUP(BT2,Exposure!$B$33:$C$53,2,FALSE)/VLOOKUP(BE2,Exposure!$B$33:$C$53,2,FALSE)</f>
        <v>117.55741189593803</v>
      </c>
      <c r="AI2" s="2">
        <f>V2*VLOOKUP(BU2,Exposure!$B$33:$C$53,2,FALSE)/VLOOKUP(BF2,Exposure!$B$33:$C$53,2,FALSE)</f>
        <v>58542.804154642683</v>
      </c>
      <c r="AJ2" s="2">
        <f>W2*VLOOKUP(BV2,Exposure!$B$33:$C$53,2,FALSE)/VLOOKUP(BG2,Exposure!$B$33:$C$53,2,FALSE)</f>
        <v>5672.5020946205213</v>
      </c>
      <c r="AK2" s="2">
        <f>X2*VLOOKUP(BW2,Exposure!$B$33:$C$53,2,FALSE)/VLOOKUP(BH2,Exposure!$B$33:$C$53,2,FALSE)</f>
        <v>20722.231685895807</v>
      </c>
      <c r="AL2" s="2">
        <f>Y2*VLOOKUP(BX2,Exposure!$B$33:$C$53,2,FALSE)/VLOOKUP(BI2,Exposure!$B$33:$C$53,2,FALSE)</f>
        <v>50.879862929111098</v>
      </c>
      <c r="AM2" s="10"/>
      <c r="AY2" s="10"/>
      <c r="AZ2" s="2">
        <f>$O2</f>
        <v>2016</v>
      </c>
      <c r="BA2" s="2">
        <f>$AZ2+BA$1-1</f>
        <v>2017</v>
      </c>
      <c r="BB2" s="2">
        <f t="shared" ref="BB2:BI17" si="1">$AZ2+BB$1-1</f>
        <v>2018</v>
      </c>
      <c r="BC2" s="2">
        <f t="shared" si="1"/>
        <v>2019</v>
      </c>
      <c r="BD2" s="2">
        <f t="shared" si="1"/>
        <v>2020</v>
      </c>
      <c r="BE2" s="2">
        <f t="shared" si="1"/>
        <v>2021</v>
      </c>
      <c r="BF2" s="2">
        <f t="shared" si="1"/>
        <v>2022</v>
      </c>
      <c r="BG2" s="2">
        <f t="shared" si="1"/>
        <v>2023</v>
      </c>
      <c r="BH2" s="2">
        <f t="shared" si="1"/>
        <v>2024</v>
      </c>
      <c r="BI2" s="2">
        <f t="shared" si="1"/>
        <v>2025</v>
      </c>
      <c r="BN2" s="10"/>
      <c r="BO2" s="2">
        <v>2027</v>
      </c>
      <c r="BP2" s="2">
        <f>$BO2+BP$1-1</f>
        <v>2028</v>
      </c>
      <c r="BQ2" s="2">
        <f t="shared" ref="BQ2:BX17" si="2">$BO2+BQ$1-1</f>
        <v>2029</v>
      </c>
      <c r="BR2" s="2">
        <f t="shared" si="2"/>
        <v>2030</v>
      </c>
      <c r="BS2" s="2">
        <f t="shared" si="2"/>
        <v>2031</v>
      </c>
      <c r="BT2" s="2">
        <f t="shared" si="2"/>
        <v>2032</v>
      </c>
      <c r="BU2" s="2">
        <f t="shared" si="2"/>
        <v>2033</v>
      </c>
      <c r="BV2" s="2">
        <f t="shared" si="2"/>
        <v>2034</v>
      </c>
      <c r="BW2" s="2">
        <f t="shared" si="2"/>
        <v>2035</v>
      </c>
      <c r="BX2" s="2">
        <f t="shared" si="2"/>
        <v>2036</v>
      </c>
    </row>
    <row r="3" spans="1:76" x14ac:dyDescent="0.3">
      <c r="A3" s="12">
        <v>42427</v>
      </c>
      <c r="B3" s="13">
        <v>895.77971268629506</v>
      </c>
      <c r="C3" s="13">
        <v>22122.990505689231</v>
      </c>
      <c r="D3" s="13">
        <v>44450.822496342393</v>
      </c>
      <c r="E3" s="13">
        <v>539532.6369092376</v>
      </c>
      <c r="F3" s="13">
        <v>548998.53316851356</v>
      </c>
      <c r="G3" s="13">
        <v>553903.93663420167</v>
      </c>
      <c r="H3" s="13">
        <v>553908.13283964468</v>
      </c>
      <c r="I3" s="13">
        <v>564465.27850423357</v>
      </c>
      <c r="J3" s="13">
        <v>571130.47994591109</v>
      </c>
      <c r="K3" s="13">
        <v>574135.59920469229</v>
      </c>
      <c r="O3" s="11">
        <f t="shared" ref="O3:O66" si="3">YEAR($A2)</f>
        <v>2016</v>
      </c>
      <c r="P3" s="36">
        <f t="shared" ref="P3:P66" si="4">$B2</f>
        <v>133391.10834774273</v>
      </c>
      <c r="Q3" s="36">
        <f t="shared" ref="Q3:Q15" si="5">C2-B2</f>
        <v>121173.33575922239</v>
      </c>
      <c r="R3" s="36">
        <f t="shared" ref="R3:R16" si="6">D2-C2</f>
        <v>257127.60083160791</v>
      </c>
      <c r="S3" s="36">
        <f t="shared" ref="S3:S16" si="7">E2-D2</f>
        <v>297691.28334281105</v>
      </c>
      <c r="T3" s="36">
        <f t="shared" ref="T3:T16" si="8">F2-E2</f>
        <v>208493.4302071759</v>
      </c>
      <c r="U3" s="36">
        <f t="shared" ref="U3:U16" si="9">G2-F2</f>
        <v>415.66153334954288</v>
      </c>
      <c r="V3" s="36">
        <f t="shared" ref="V3:V16" si="10">H2-G2</f>
        <v>40871.319577874616</v>
      </c>
      <c r="W3" s="36">
        <f t="shared" ref="W3:W16" si="11">I2-H2</f>
        <v>14195.682325661182</v>
      </c>
      <c r="X3" s="36">
        <f t="shared" ref="X3:X16" si="12">J2-I2</f>
        <v>419.8350081385579</v>
      </c>
      <c r="Y3" s="36">
        <f t="shared" ref="Y3:Y16" si="13">K2-J2</f>
        <v>50.812492872122675</v>
      </c>
      <c r="Z3" s="10"/>
      <c r="AA3" s="10"/>
      <c r="AB3" s="2">
        <f t="shared" ref="AB3:AB66" si="14">$O3</f>
        <v>2016</v>
      </c>
      <c r="AC3" s="2">
        <f>P3*VLOOKUP(BO3,Exposure!$B$33:$C$53,2,FALSE)/VLOOKUP(AZ3,Exposure!$B$33:$C$53,2,FALSE)</f>
        <v>214208.03648627794</v>
      </c>
      <c r="AD3" s="2">
        <f>Q3*VLOOKUP(BP3,Exposure!$B$33:$C$53,2,FALSE)/VLOOKUP(BA3,Exposure!$B$33:$C$53,2,FALSE)</f>
        <v>193972.31041877292</v>
      </c>
      <c r="AE3" s="2">
        <f>R3*VLOOKUP(BQ3,Exposure!$B$33:$C$53,2,FALSE)/VLOOKUP(BB3,Exposure!$B$33:$C$53,2,FALSE)</f>
        <v>410603.91576411604</v>
      </c>
      <c r="AF3" s="2">
        <f>S3*VLOOKUP(BR3,Exposure!$B$33:$C$53,2,FALSE)/VLOOKUP(BC3,Exposure!$B$33:$C$53,2,FALSE)</f>
        <v>477035.14934731112</v>
      </c>
      <c r="AG3" s="2">
        <f>T3*VLOOKUP(BS3,Exposure!$B$33:$C$53,2,FALSE)/VLOOKUP(BD3,Exposure!$B$33:$C$53,2,FALSE)</f>
        <v>337559.51508901105</v>
      </c>
      <c r="AH3" s="2">
        <f>U3*VLOOKUP(BT3,Exposure!$B$33:$C$53,2,FALSE)/VLOOKUP(BE3,Exposure!$B$33:$C$53,2,FALSE)</f>
        <v>668.82406807125835</v>
      </c>
      <c r="AI3" s="2">
        <f>V3*VLOOKUP(BU3,Exposure!$B$33:$C$53,2,FALSE)/VLOOKUP(BF3,Exposure!$B$33:$C$53,2,FALSE)</f>
        <v>61158.637131992793</v>
      </c>
      <c r="AJ3" s="2">
        <f>W3*VLOOKUP(BV3,Exposure!$B$33:$C$53,2,FALSE)/VLOOKUP(BG3,Exposure!$B$33:$C$53,2,FALSE)</f>
        <v>20776.552825186482</v>
      </c>
      <c r="AK3" s="2">
        <f>X3*VLOOKUP(BW3,Exposure!$B$33:$C$53,2,FALSE)/VLOOKUP(BH3,Exposure!$B$33:$C$53,2,FALSE)</f>
        <v>606.57059724493786</v>
      </c>
      <c r="AL3" s="2">
        <f>Y3*VLOOKUP(BX3,Exposure!$B$33:$C$53,2,FALSE)/VLOOKUP(BI3,Exposure!$B$33:$C$53,2,FALSE)</f>
        <v>72.939297584291666</v>
      </c>
      <c r="AM3" s="10"/>
      <c r="AY3" s="10"/>
      <c r="AZ3" s="2">
        <f t="shared" ref="AZ3:AZ66" si="15">$O3</f>
        <v>2016</v>
      </c>
      <c r="BA3" s="2">
        <f t="shared" ref="BA3:BH18" si="16">$AZ3+BA$1-1</f>
        <v>2017</v>
      </c>
      <c r="BB3" s="2">
        <f t="shared" si="1"/>
        <v>2018</v>
      </c>
      <c r="BC3" s="2">
        <f t="shared" si="1"/>
        <v>2019</v>
      </c>
      <c r="BD3" s="2">
        <f t="shared" si="1"/>
        <v>2020</v>
      </c>
      <c r="BE3" s="2">
        <f t="shared" si="1"/>
        <v>2021</v>
      </c>
      <c r="BF3" s="2">
        <f t="shared" si="1"/>
        <v>2022</v>
      </c>
      <c r="BG3" s="2">
        <f t="shared" si="1"/>
        <v>2023</v>
      </c>
      <c r="BH3" s="2">
        <f t="shared" si="1"/>
        <v>2024</v>
      </c>
      <c r="BI3" s="2">
        <f t="shared" si="1"/>
        <v>2025</v>
      </c>
      <c r="BN3" s="10"/>
      <c r="BO3" s="2">
        <v>2027</v>
      </c>
      <c r="BP3" s="2">
        <f t="shared" ref="BP3:BW18" si="17">$BO3+BP$1-1</f>
        <v>2028</v>
      </c>
      <c r="BQ3" s="2">
        <f t="shared" si="2"/>
        <v>2029</v>
      </c>
      <c r="BR3" s="2">
        <f t="shared" si="2"/>
        <v>2030</v>
      </c>
      <c r="BS3" s="2">
        <f t="shared" si="2"/>
        <v>2031</v>
      </c>
      <c r="BT3" s="2">
        <f t="shared" si="2"/>
        <v>2032</v>
      </c>
      <c r="BU3" s="2">
        <f t="shared" si="2"/>
        <v>2033</v>
      </c>
      <c r="BV3" s="2">
        <f t="shared" si="2"/>
        <v>2034</v>
      </c>
      <c r="BW3" s="2">
        <f t="shared" si="2"/>
        <v>2035</v>
      </c>
      <c r="BX3" s="2">
        <f t="shared" si="2"/>
        <v>2036</v>
      </c>
    </row>
    <row r="4" spans="1:76" x14ac:dyDescent="0.3">
      <c r="A4" s="12">
        <v>42443</v>
      </c>
      <c r="B4" s="13">
        <v>39582.689017946686</v>
      </c>
      <c r="C4" s="13">
        <v>807040.04445273615</v>
      </c>
      <c r="D4" s="13">
        <v>2147508.0745379645</v>
      </c>
      <c r="E4" s="13">
        <v>2306274.5341644394</v>
      </c>
      <c r="F4" s="13">
        <v>2366505.8705501501</v>
      </c>
      <c r="G4" s="13">
        <v>2505548.07767036</v>
      </c>
      <c r="H4" s="13">
        <v>2537192.4764743578</v>
      </c>
      <c r="I4" s="13">
        <v>2539172.8937593461</v>
      </c>
      <c r="J4" s="13">
        <v>2658962.7373580714</v>
      </c>
      <c r="K4" s="13">
        <v>2663885.8120668582</v>
      </c>
      <c r="O4" s="11">
        <f t="shared" si="3"/>
        <v>2016</v>
      </c>
      <c r="P4" s="36">
        <f t="shared" si="4"/>
        <v>895.77971268629506</v>
      </c>
      <c r="Q4" s="36">
        <f t="shared" si="5"/>
        <v>21227.210793002938</v>
      </c>
      <c r="R4" s="36">
        <f t="shared" si="6"/>
        <v>22327.831990653161</v>
      </c>
      <c r="S4" s="36">
        <f t="shared" si="7"/>
        <v>495081.81441289518</v>
      </c>
      <c r="T4" s="36">
        <f t="shared" si="8"/>
        <v>9465.8962592759635</v>
      </c>
      <c r="U4" s="36">
        <f t="shared" si="9"/>
        <v>4905.4034656881122</v>
      </c>
      <c r="V4" s="36">
        <f t="shared" si="10"/>
        <v>4.1962054430041462</v>
      </c>
      <c r="W4" s="36">
        <f t="shared" si="11"/>
        <v>10557.145664588897</v>
      </c>
      <c r="X4" s="36">
        <f t="shared" si="12"/>
        <v>6665.2014416775201</v>
      </c>
      <c r="Y4" s="36">
        <f t="shared" si="13"/>
        <v>3005.1192587811965</v>
      </c>
      <c r="AA4" s="10"/>
      <c r="AB4" s="2">
        <f t="shared" si="14"/>
        <v>2016</v>
      </c>
      <c r="AC4" s="2">
        <f>P4*VLOOKUP(BO4,Exposure!$B$33:$C$53,2,FALSE)/VLOOKUP(AZ4,Exposure!$B$33:$C$53,2,FALSE)</f>
        <v>1438.5007798161876</v>
      </c>
      <c r="AD4" s="2">
        <f>Q4*VLOOKUP(BP4,Exposure!$B$33:$C$53,2,FALSE)/VLOOKUP(BA4,Exposure!$B$33:$C$53,2,FALSE)</f>
        <v>33980.17472628432</v>
      </c>
      <c r="AE4" s="2">
        <f>R4*VLOOKUP(BQ4,Exposure!$B$33:$C$53,2,FALSE)/VLOOKUP(BB4,Exposure!$B$33:$C$53,2,FALSE)</f>
        <v>35655.04137336665</v>
      </c>
      <c r="AF4" s="2">
        <f>S4*VLOOKUP(BR4,Exposure!$B$33:$C$53,2,FALSE)/VLOOKUP(BC4,Exposure!$B$33:$C$53,2,FALSE)</f>
        <v>793343.4416540385</v>
      </c>
      <c r="AG4" s="2">
        <f>T4*VLOOKUP(BS4,Exposure!$B$33:$C$53,2,FALSE)/VLOOKUP(BD4,Exposure!$B$33:$C$53,2,FALSE)</f>
        <v>15325.678837884563</v>
      </c>
      <c r="AH4" s="2">
        <f>U4*VLOOKUP(BT4,Exposure!$B$33:$C$53,2,FALSE)/VLOOKUP(BE4,Exposure!$B$33:$C$53,2,FALSE)</f>
        <v>7893.0852104936075</v>
      </c>
      <c r="AI4" s="2">
        <f>V4*VLOOKUP(BU4,Exposure!$B$33:$C$53,2,FALSE)/VLOOKUP(BF4,Exposure!$B$33:$C$53,2,FALSE)</f>
        <v>6.2790780593957294</v>
      </c>
      <c r="AJ4" s="2">
        <f>W4*VLOOKUP(BV4,Exposure!$B$33:$C$53,2,FALSE)/VLOOKUP(BG4,Exposure!$B$33:$C$53,2,FALSE)</f>
        <v>15451.254089211494</v>
      </c>
      <c r="AK4" s="2">
        <f>X4*VLOOKUP(BW4,Exposure!$B$33:$C$53,2,FALSE)/VLOOKUP(BH4,Exposure!$B$33:$C$53,2,FALSE)</f>
        <v>9629.77155516739</v>
      </c>
      <c r="AL4" s="2">
        <f>Y4*VLOOKUP(BX4,Exposure!$B$33:$C$53,2,FALSE)/VLOOKUP(BI4,Exposure!$B$33:$C$53,2,FALSE)</f>
        <v>4313.728288123074</v>
      </c>
      <c r="AM4" s="10"/>
      <c r="AY4" s="10"/>
      <c r="AZ4" s="2">
        <f t="shared" si="15"/>
        <v>2016</v>
      </c>
      <c r="BA4" s="2">
        <f t="shared" si="16"/>
        <v>2017</v>
      </c>
      <c r="BB4" s="2">
        <f t="shared" si="1"/>
        <v>2018</v>
      </c>
      <c r="BC4" s="2">
        <f t="shared" si="1"/>
        <v>2019</v>
      </c>
      <c r="BD4" s="2">
        <f t="shared" si="1"/>
        <v>2020</v>
      </c>
      <c r="BE4" s="2">
        <f t="shared" si="1"/>
        <v>2021</v>
      </c>
      <c r="BF4" s="2">
        <f t="shared" si="1"/>
        <v>2022</v>
      </c>
      <c r="BG4" s="2">
        <f t="shared" si="1"/>
        <v>2023</v>
      </c>
      <c r="BH4" s="2">
        <f t="shared" si="1"/>
        <v>2024</v>
      </c>
      <c r="BI4" s="2">
        <f t="shared" si="1"/>
        <v>2025</v>
      </c>
      <c r="BN4" s="10"/>
      <c r="BO4" s="2">
        <v>2027</v>
      </c>
      <c r="BP4" s="2">
        <f t="shared" si="17"/>
        <v>2028</v>
      </c>
      <c r="BQ4" s="2">
        <f t="shared" si="2"/>
        <v>2029</v>
      </c>
      <c r="BR4" s="2">
        <f t="shared" si="2"/>
        <v>2030</v>
      </c>
      <c r="BS4" s="2">
        <f t="shared" si="2"/>
        <v>2031</v>
      </c>
      <c r="BT4" s="2">
        <f t="shared" si="2"/>
        <v>2032</v>
      </c>
      <c r="BU4" s="2">
        <f t="shared" si="2"/>
        <v>2033</v>
      </c>
      <c r="BV4" s="2">
        <f t="shared" si="2"/>
        <v>2034</v>
      </c>
      <c r="BW4" s="2">
        <f t="shared" si="2"/>
        <v>2035</v>
      </c>
      <c r="BX4" s="2">
        <f t="shared" si="2"/>
        <v>2036</v>
      </c>
    </row>
    <row r="5" spans="1:76" x14ac:dyDescent="0.3">
      <c r="A5" s="12">
        <v>42500</v>
      </c>
      <c r="B5" s="13">
        <v>31450.464612050564</v>
      </c>
      <c r="C5" s="13">
        <v>44049.749649269732</v>
      </c>
      <c r="D5" s="13">
        <v>408949.0726539304</v>
      </c>
      <c r="E5" s="13">
        <v>414693.51341277029</v>
      </c>
      <c r="F5" s="13">
        <v>428592.53580548428</v>
      </c>
      <c r="G5" s="13">
        <v>942353.7291126108</v>
      </c>
      <c r="H5" s="13">
        <v>949031.5570444793</v>
      </c>
      <c r="I5" s="13">
        <v>949377.71762181481</v>
      </c>
      <c r="J5" s="13">
        <v>950321.19971163839</v>
      </c>
      <c r="K5" s="13">
        <v>952171.9</v>
      </c>
      <c r="O5" s="11">
        <f t="shared" si="3"/>
        <v>2016</v>
      </c>
      <c r="P5" s="36">
        <f t="shared" si="4"/>
        <v>39582.689017946686</v>
      </c>
      <c r="Q5" s="36">
        <f t="shared" si="5"/>
        <v>767457.35543478944</v>
      </c>
      <c r="R5" s="36">
        <f t="shared" si="6"/>
        <v>1340468.0300852284</v>
      </c>
      <c r="S5" s="36">
        <f t="shared" si="7"/>
        <v>158766.45962647488</v>
      </c>
      <c r="T5" s="36">
        <f t="shared" si="8"/>
        <v>60231.336385710631</v>
      </c>
      <c r="U5" s="36">
        <f t="shared" si="9"/>
        <v>139042.20712020993</v>
      </c>
      <c r="V5" s="36">
        <f t="shared" si="10"/>
        <v>31644.398803997785</v>
      </c>
      <c r="W5" s="36">
        <f t="shared" si="11"/>
        <v>1980.4172849883325</v>
      </c>
      <c r="X5" s="36">
        <f t="shared" si="12"/>
        <v>119789.84359872527</v>
      </c>
      <c r="Y5" s="36">
        <f t="shared" si="13"/>
        <v>4923.0747087867931</v>
      </c>
      <c r="AA5" s="10"/>
      <c r="AB5" s="2">
        <f t="shared" si="14"/>
        <v>2016</v>
      </c>
      <c r="AC5" s="2">
        <f>P5*VLOOKUP(BO5,Exposure!$B$33:$C$53,2,FALSE)/VLOOKUP(AZ5,Exposure!$B$33:$C$53,2,FALSE)</f>
        <v>63564.432430362962</v>
      </c>
      <c r="AD5" s="2">
        <f>Q5*VLOOKUP(BP5,Exposure!$B$33:$C$53,2,FALSE)/VLOOKUP(BA5,Exposure!$B$33:$C$53,2,FALSE)</f>
        <v>1228533.2862121649</v>
      </c>
      <c r="AE5" s="2">
        <f>R5*VLOOKUP(BQ5,Exposure!$B$33:$C$53,2,FALSE)/VLOOKUP(BB5,Exposure!$B$33:$C$53,2,FALSE)</f>
        <v>2140576.9755152105</v>
      </c>
      <c r="AF5" s="2">
        <f>S5*VLOOKUP(BR5,Exposure!$B$33:$C$53,2,FALSE)/VLOOKUP(BC5,Exposure!$B$33:$C$53,2,FALSE)</f>
        <v>254415.18115276139</v>
      </c>
      <c r="AG5" s="2">
        <f>T5*VLOOKUP(BS5,Exposure!$B$33:$C$53,2,FALSE)/VLOOKUP(BD5,Exposure!$B$33:$C$53,2,FALSE)</f>
        <v>97517.032950728506</v>
      </c>
      <c r="AH5" s="2">
        <f>U5*VLOOKUP(BT5,Exposure!$B$33:$C$53,2,FALSE)/VLOOKUP(BE5,Exposure!$B$33:$C$53,2,FALSE)</f>
        <v>223727.16053458583</v>
      </c>
      <c r="AI5" s="2">
        <f>V5*VLOOKUP(BU5,Exposure!$B$33:$C$53,2,FALSE)/VLOOKUP(BF5,Exposure!$B$33:$C$53,2,FALSE)</f>
        <v>47351.745030552986</v>
      </c>
      <c r="AJ5" s="2">
        <f>W5*VLOOKUP(BV5,Exposure!$B$33:$C$53,2,FALSE)/VLOOKUP(BG5,Exposure!$B$33:$C$53,2,FALSE)</f>
        <v>2898.5041644031039</v>
      </c>
      <c r="AK5" s="2">
        <f>X5*VLOOKUP(BW5,Exposure!$B$33:$C$53,2,FALSE)/VLOOKUP(BH5,Exposure!$B$33:$C$53,2,FALSE)</f>
        <v>173070.36232570728</v>
      </c>
      <c r="AL5" s="2">
        <f>Y5*VLOOKUP(BX5,Exposure!$B$33:$C$53,2,FALSE)/VLOOKUP(BI5,Exposure!$B$33:$C$53,2,FALSE)</f>
        <v>7066.8764887720254</v>
      </c>
      <c r="AM5" s="10"/>
      <c r="AY5" s="10"/>
      <c r="AZ5" s="2">
        <f t="shared" si="15"/>
        <v>2016</v>
      </c>
      <c r="BA5" s="2">
        <f t="shared" si="16"/>
        <v>2017</v>
      </c>
      <c r="BB5" s="2">
        <f t="shared" si="1"/>
        <v>2018</v>
      </c>
      <c r="BC5" s="2">
        <f t="shared" si="1"/>
        <v>2019</v>
      </c>
      <c r="BD5" s="2">
        <f t="shared" si="1"/>
        <v>2020</v>
      </c>
      <c r="BE5" s="2">
        <f t="shared" si="1"/>
        <v>2021</v>
      </c>
      <c r="BF5" s="2">
        <f t="shared" si="1"/>
        <v>2022</v>
      </c>
      <c r="BG5" s="2">
        <f t="shared" si="1"/>
        <v>2023</v>
      </c>
      <c r="BH5" s="2">
        <f t="shared" si="1"/>
        <v>2024</v>
      </c>
      <c r="BI5" s="2">
        <f t="shared" si="1"/>
        <v>2025</v>
      </c>
      <c r="BN5" s="10"/>
      <c r="BO5" s="2">
        <v>2027</v>
      </c>
      <c r="BP5" s="2">
        <f t="shared" si="17"/>
        <v>2028</v>
      </c>
      <c r="BQ5" s="2">
        <f t="shared" si="2"/>
        <v>2029</v>
      </c>
      <c r="BR5" s="2">
        <f t="shared" si="2"/>
        <v>2030</v>
      </c>
      <c r="BS5" s="2">
        <f t="shared" si="2"/>
        <v>2031</v>
      </c>
      <c r="BT5" s="2">
        <f t="shared" si="2"/>
        <v>2032</v>
      </c>
      <c r="BU5" s="2">
        <f t="shared" si="2"/>
        <v>2033</v>
      </c>
      <c r="BV5" s="2">
        <f t="shared" si="2"/>
        <v>2034</v>
      </c>
      <c r="BW5" s="2">
        <f t="shared" si="2"/>
        <v>2035</v>
      </c>
      <c r="BX5" s="2">
        <f t="shared" si="2"/>
        <v>2036</v>
      </c>
    </row>
    <row r="6" spans="1:76" x14ac:dyDescent="0.3">
      <c r="A6" s="12">
        <v>42513</v>
      </c>
      <c r="B6" s="13">
        <v>227513.44882847168</v>
      </c>
      <c r="C6" s="13">
        <v>328297.69213282934</v>
      </c>
      <c r="D6" s="13">
        <v>351684.06032243965</v>
      </c>
      <c r="E6" s="13">
        <v>521237.25582719466</v>
      </c>
      <c r="F6" s="13">
        <v>1849971.5862842912</v>
      </c>
      <c r="G6" s="13">
        <v>1876628.3617331451</v>
      </c>
      <c r="H6" s="13">
        <v>1877682.1723796781</v>
      </c>
      <c r="I6" s="13">
        <v>1877698.7861318742</v>
      </c>
      <c r="J6" s="13">
        <v>1877715.0667225916</v>
      </c>
      <c r="K6" s="13">
        <v>1877715.1106083412</v>
      </c>
      <c r="O6" s="11">
        <f t="shared" si="3"/>
        <v>2016</v>
      </c>
      <c r="P6" s="36">
        <f t="shared" si="4"/>
        <v>31450.464612050564</v>
      </c>
      <c r="Q6" s="36">
        <f t="shared" si="5"/>
        <v>12599.285037219168</v>
      </c>
      <c r="R6" s="36">
        <f t="shared" si="6"/>
        <v>364899.32300466066</v>
      </c>
      <c r="S6" s="36">
        <f t="shared" si="7"/>
        <v>5744.4407588398899</v>
      </c>
      <c r="T6" s="36">
        <f t="shared" si="8"/>
        <v>13899.022392713989</v>
      </c>
      <c r="U6" s="36">
        <f t="shared" si="9"/>
        <v>513761.19330712652</v>
      </c>
      <c r="V6" s="36">
        <f t="shared" si="10"/>
        <v>6677.8279318684945</v>
      </c>
      <c r="W6" s="36">
        <f t="shared" si="11"/>
        <v>346.16057733551133</v>
      </c>
      <c r="X6" s="36">
        <f t="shared" si="12"/>
        <v>943.48208982357755</v>
      </c>
      <c r="Y6" s="36">
        <f t="shared" si="13"/>
        <v>1850.7002883616369</v>
      </c>
      <c r="Z6" s="1"/>
      <c r="AA6" s="10"/>
      <c r="AB6" s="2">
        <f t="shared" si="14"/>
        <v>2016</v>
      </c>
      <c r="AC6" s="2">
        <f>P6*VLOOKUP(BO6,Exposure!$B$33:$C$53,2,FALSE)/VLOOKUP(AZ6,Exposure!$B$33:$C$53,2,FALSE)</f>
        <v>50505.182501113275</v>
      </c>
      <c r="AD6" s="2">
        <f>Q6*VLOOKUP(BP6,Exposure!$B$33:$C$53,2,FALSE)/VLOOKUP(BA6,Exposure!$B$33:$C$53,2,FALSE)</f>
        <v>20168.731123737125</v>
      </c>
      <c r="AE6" s="2">
        <f>R6*VLOOKUP(BQ6,Exposure!$B$33:$C$53,2,FALSE)/VLOOKUP(BB6,Exposure!$B$33:$C$53,2,FALSE)</f>
        <v>582703.25861870917</v>
      </c>
      <c r="AF6" s="2">
        <f>S6*VLOOKUP(BR6,Exposure!$B$33:$C$53,2,FALSE)/VLOOKUP(BC6,Exposure!$B$33:$C$53,2,FALSE)</f>
        <v>9205.1743152799427</v>
      </c>
      <c r="AG6" s="2">
        <f>T6*VLOOKUP(BS6,Exposure!$B$33:$C$53,2,FALSE)/VLOOKUP(BD6,Exposure!$B$33:$C$53,2,FALSE)</f>
        <v>22503.094003651535</v>
      </c>
      <c r="AH6" s="2">
        <f>U6*VLOOKUP(BT6,Exposure!$B$33:$C$53,2,FALSE)/VLOOKUP(BE6,Exposure!$B$33:$C$53,2,FALSE)</f>
        <v>826672.24112811778</v>
      </c>
      <c r="AI6" s="2">
        <f>V6*VLOOKUP(BU6,Exposure!$B$33:$C$53,2,FALSE)/VLOOKUP(BF6,Exposure!$B$33:$C$53,2,FALSE)</f>
        <v>9992.5047572018975</v>
      </c>
      <c r="AJ6" s="2">
        <f>W6*VLOOKUP(BV6,Exposure!$B$33:$C$53,2,FALSE)/VLOOKUP(BG6,Exposure!$B$33:$C$53,2,FALSE)</f>
        <v>506.63457775519942</v>
      </c>
      <c r="AK6" s="2">
        <f>X6*VLOOKUP(BW6,Exposure!$B$33:$C$53,2,FALSE)/VLOOKUP(BH6,Exposure!$B$33:$C$53,2,FALSE)</f>
        <v>1363.1271419017005</v>
      </c>
      <c r="AL6" s="2">
        <f>Y6*VLOOKUP(BX6,Exposure!$B$33:$C$53,2,FALSE)/VLOOKUP(BI6,Exposure!$B$33:$C$53,2,FALSE)</f>
        <v>2656.60611086064</v>
      </c>
      <c r="AM6" s="10"/>
      <c r="AY6" s="10"/>
      <c r="AZ6" s="2">
        <f t="shared" si="15"/>
        <v>2016</v>
      </c>
      <c r="BA6" s="2">
        <f t="shared" si="16"/>
        <v>2017</v>
      </c>
      <c r="BB6" s="2">
        <f t="shared" si="1"/>
        <v>2018</v>
      </c>
      <c r="BC6" s="2">
        <f t="shared" si="1"/>
        <v>2019</v>
      </c>
      <c r="BD6" s="2">
        <f t="shared" si="1"/>
        <v>2020</v>
      </c>
      <c r="BE6" s="2">
        <f t="shared" si="1"/>
        <v>2021</v>
      </c>
      <c r="BF6" s="2">
        <f t="shared" si="1"/>
        <v>2022</v>
      </c>
      <c r="BG6" s="2">
        <f t="shared" si="1"/>
        <v>2023</v>
      </c>
      <c r="BH6" s="2">
        <f t="shared" si="1"/>
        <v>2024</v>
      </c>
      <c r="BI6" s="2">
        <f t="shared" si="1"/>
        <v>2025</v>
      </c>
      <c r="BN6" s="10"/>
      <c r="BO6" s="2">
        <v>2027</v>
      </c>
      <c r="BP6" s="2">
        <f t="shared" si="17"/>
        <v>2028</v>
      </c>
      <c r="BQ6" s="2">
        <f t="shared" si="2"/>
        <v>2029</v>
      </c>
      <c r="BR6" s="2">
        <f t="shared" si="2"/>
        <v>2030</v>
      </c>
      <c r="BS6" s="2">
        <f t="shared" si="2"/>
        <v>2031</v>
      </c>
      <c r="BT6" s="2">
        <f t="shared" si="2"/>
        <v>2032</v>
      </c>
      <c r="BU6" s="2">
        <f t="shared" si="2"/>
        <v>2033</v>
      </c>
      <c r="BV6" s="2">
        <f t="shared" si="2"/>
        <v>2034</v>
      </c>
      <c r="BW6" s="2">
        <f t="shared" si="2"/>
        <v>2035</v>
      </c>
      <c r="BX6" s="2">
        <f t="shared" si="2"/>
        <v>2036</v>
      </c>
    </row>
    <row r="7" spans="1:76" x14ac:dyDescent="0.3">
      <c r="A7" s="12">
        <v>42516</v>
      </c>
      <c r="B7" s="13">
        <v>162919.32465724647</v>
      </c>
      <c r="C7" s="13">
        <v>4294009.8845865829</v>
      </c>
      <c r="D7" s="13">
        <v>4413502.0693140691</v>
      </c>
      <c r="E7" s="13">
        <v>6709541.1712487517</v>
      </c>
      <c r="F7" s="13">
        <v>6886454.5140486527</v>
      </c>
      <c r="G7" s="13">
        <v>7344043.0527291633</v>
      </c>
      <c r="H7" s="13">
        <v>8021732.7144583557</v>
      </c>
      <c r="I7" s="13">
        <v>8035665.4826837368</v>
      </c>
      <c r="J7" s="13">
        <v>8044842.7984329956</v>
      </c>
      <c r="K7" s="13">
        <v>8049749.9326589331</v>
      </c>
      <c r="O7" s="11">
        <f t="shared" si="3"/>
        <v>2016</v>
      </c>
      <c r="P7" s="36">
        <f t="shared" si="4"/>
        <v>227513.44882847168</v>
      </c>
      <c r="Q7" s="36">
        <f t="shared" si="5"/>
        <v>100784.24330435766</v>
      </c>
      <c r="R7" s="36">
        <f t="shared" si="6"/>
        <v>23386.368189610308</v>
      </c>
      <c r="S7" s="36">
        <f t="shared" si="7"/>
        <v>169553.19550475501</v>
      </c>
      <c r="T7" s="36">
        <f t="shared" si="8"/>
        <v>1328734.3304570965</v>
      </c>
      <c r="U7" s="36">
        <f t="shared" si="9"/>
        <v>26656.775448853849</v>
      </c>
      <c r="V7" s="36">
        <f t="shared" si="10"/>
        <v>1053.8106465330347</v>
      </c>
      <c r="W7" s="36">
        <f t="shared" si="11"/>
        <v>16.613752196077257</v>
      </c>
      <c r="X7" s="36">
        <f t="shared" si="12"/>
        <v>16.280590717447922</v>
      </c>
      <c r="Y7" s="36">
        <f t="shared" si="13"/>
        <v>4.3885749531909823E-2</v>
      </c>
      <c r="Z7" s="10"/>
      <c r="AA7" s="10"/>
      <c r="AB7" s="2">
        <f t="shared" si="14"/>
        <v>2016</v>
      </c>
      <c r="AC7" s="2">
        <f>P7*VLOOKUP(BO7,Exposure!$B$33:$C$53,2,FALSE)/VLOOKUP(AZ7,Exposure!$B$33:$C$53,2,FALSE)</f>
        <v>365355.75535303587</v>
      </c>
      <c r="AD7" s="2">
        <f>Q7*VLOOKUP(BP7,Exposure!$B$33:$C$53,2,FALSE)/VLOOKUP(BA7,Exposure!$B$33:$C$53,2,FALSE)</f>
        <v>161333.78193367197</v>
      </c>
      <c r="AE7" s="2">
        <f>R7*VLOOKUP(BQ7,Exposure!$B$33:$C$53,2,FALSE)/VLOOKUP(BB7,Exposure!$B$33:$C$53,2,FALSE)</f>
        <v>37345.404861627532</v>
      </c>
      <c r="AF7" s="2">
        <f>S7*VLOOKUP(BR7,Exposure!$B$33:$C$53,2,FALSE)/VLOOKUP(BC7,Exposure!$B$33:$C$53,2,FALSE)</f>
        <v>271700.37708757084</v>
      </c>
      <c r="AG7" s="2">
        <f>T7*VLOOKUP(BS7,Exposure!$B$33:$C$53,2,FALSE)/VLOOKUP(BD7,Exposure!$B$33:$C$53,2,FALSE)</f>
        <v>2151276.0177887939</v>
      </c>
      <c r="AH7" s="2">
        <f>U7*VLOOKUP(BT7,Exposure!$B$33:$C$53,2,FALSE)/VLOOKUP(BE7,Exposure!$B$33:$C$53,2,FALSE)</f>
        <v>42892.333225292139</v>
      </c>
      <c r="AI7" s="2">
        <f>V7*VLOOKUP(BU7,Exposure!$B$33:$C$53,2,FALSE)/VLOOKUP(BF7,Exposure!$B$33:$C$53,2,FALSE)</f>
        <v>1576.8911697197543</v>
      </c>
      <c r="AJ7" s="2">
        <f>W7*VLOOKUP(BV7,Exposure!$B$33:$C$53,2,FALSE)/VLOOKUP(BG7,Exposure!$B$33:$C$53,2,FALSE)</f>
        <v>24.315597673131219</v>
      </c>
      <c r="AK7" s="2">
        <f>X7*VLOOKUP(BW7,Exposure!$B$33:$C$53,2,FALSE)/VLOOKUP(BH7,Exposure!$B$33:$C$53,2,FALSE)</f>
        <v>23.521925145707787</v>
      </c>
      <c r="AL7" s="2">
        <f>Y7*VLOOKUP(BX7,Exposure!$B$33:$C$53,2,FALSE)/VLOOKUP(BI7,Exposure!$B$33:$C$53,2,FALSE)</f>
        <v>6.2996235057261388E-2</v>
      </c>
      <c r="AM7" s="10"/>
      <c r="AY7" s="10"/>
      <c r="AZ7" s="2">
        <f t="shared" si="15"/>
        <v>2016</v>
      </c>
      <c r="BA7" s="2">
        <f t="shared" si="16"/>
        <v>2017</v>
      </c>
      <c r="BB7" s="2">
        <f t="shared" si="1"/>
        <v>2018</v>
      </c>
      <c r="BC7" s="2">
        <f t="shared" si="1"/>
        <v>2019</v>
      </c>
      <c r="BD7" s="2">
        <f t="shared" si="1"/>
        <v>2020</v>
      </c>
      <c r="BE7" s="2">
        <f t="shared" si="1"/>
        <v>2021</v>
      </c>
      <c r="BF7" s="2">
        <f t="shared" si="1"/>
        <v>2022</v>
      </c>
      <c r="BG7" s="2">
        <f t="shared" si="1"/>
        <v>2023</v>
      </c>
      <c r="BH7" s="2">
        <f t="shared" si="1"/>
        <v>2024</v>
      </c>
      <c r="BI7" s="2">
        <f t="shared" si="1"/>
        <v>2025</v>
      </c>
      <c r="BN7" s="10"/>
      <c r="BO7" s="2">
        <v>2027</v>
      </c>
      <c r="BP7" s="2">
        <f t="shared" si="17"/>
        <v>2028</v>
      </c>
      <c r="BQ7" s="2">
        <f t="shared" si="2"/>
        <v>2029</v>
      </c>
      <c r="BR7" s="2">
        <f t="shared" si="2"/>
        <v>2030</v>
      </c>
      <c r="BS7" s="2">
        <f t="shared" si="2"/>
        <v>2031</v>
      </c>
      <c r="BT7" s="2">
        <f t="shared" si="2"/>
        <v>2032</v>
      </c>
      <c r="BU7" s="2">
        <f t="shared" si="2"/>
        <v>2033</v>
      </c>
      <c r="BV7" s="2">
        <f t="shared" si="2"/>
        <v>2034</v>
      </c>
      <c r="BW7" s="2">
        <f t="shared" si="2"/>
        <v>2035</v>
      </c>
      <c r="BX7" s="2">
        <f t="shared" si="2"/>
        <v>2036</v>
      </c>
    </row>
    <row r="8" spans="1:76" x14ac:dyDescent="0.3">
      <c r="A8" s="12">
        <v>42539</v>
      </c>
      <c r="B8" s="13">
        <v>190882.50719020722</v>
      </c>
      <c r="C8" s="13">
        <v>606855.10178190004</v>
      </c>
      <c r="D8" s="13">
        <v>634156.62424138782</v>
      </c>
      <c r="E8" s="13">
        <v>638305.44770372647</v>
      </c>
      <c r="F8" s="13">
        <v>689075.99462860217</v>
      </c>
      <c r="G8" s="13">
        <v>731494.29669195868</v>
      </c>
      <c r="H8" s="13">
        <v>732498.61257556337</v>
      </c>
      <c r="I8" s="13">
        <v>735429.08648602653</v>
      </c>
      <c r="J8" s="13">
        <v>735871.91248082952</v>
      </c>
      <c r="K8" s="13">
        <v>795241.17663066019</v>
      </c>
      <c r="O8" s="11">
        <f t="shared" si="3"/>
        <v>2016</v>
      </c>
      <c r="P8" s="36">
        <f t="shared" si="4"/>
        <v>162919.32465724647</v>
      </c>
      <c r="Q8" s="36">
        <f t="shared" si="5"/>
        <v>4131090.5599293364</v>
      </c>
      <c r="R8" s="36">
        <f t="shared" si="6"/>
        <v>119492.18472748622</v>
      </c>
      <c r="S8" s="36">
        <f t="shared" si="7"/>
        <v>2296039.1019346826</v>
      </c>
      <c r="T8" s="36">
        <f t="shared" si="8"/>
        <v>176913.34279990103</v>
      </c>
      <c r="U8" s="36">
        <f t="shared" si="9"/>
        <v>457588.5386805106</v>
      </c>
      <c r="V8" s="36">
        <f t="shared" si="10"/>
        <v>677689.66172919236</v>
      </c>
      <c r="W8" s="36">
        <f t="shared" si="11"/>
        <v>13932.768225381151</v>
      </c>
      <c r="X8" s="36">
        <f t="shared" si="12"/>
        <v>9177.3157492587343</v>
      </c>
      <c r="Y8" s="36">
        <f t="shared" si="13"/>
        <v>4907.1342259375378</v>
      </c>
      <c r="Z8" s="10"/>
      <c r="AA8" s="10"/>
      <c r="AB8" s="2">
        <f t="shared" si="14"/>
        <v>2016</v>
      </c>
      <c r="AC8" s="2">
        <f>P8*VLOOKUP(BO8,Exposure!$B$33:$C$53,2,FALSE)/VLOOKUP(AZ8,Exposure!$B$33:$C$53,2,FALSE)</f>
        <v>261626.34880820208</v>
      </c>
      <c r="AD8" s="2">
        <f>Q8*VLOOKUP(BP8,Exposure!$B$33:$C$53,2,FALSE)/VLOOKUP(BA8,Exposure!$B$33:$C$53,2,FALSE)</f>
        <v>6612982.760918078</v>
      </c>
      <c r="AE8" s="2">
        <f>R8*VLOOKUP(BQ8,Exposure!$B$33:$C$53,2,FALSE)/VLOOKUP(BB8,Exposure!$B$33:$C$53,2,FALSE)</f>
        <v>190815.60592340605</v>
      </c>
      <c r="AF8" s="2">
        <f>S8*VLOOKUP(BR8,Exposure!$B$33:$C$53,2,FALSE)/VLOOKUP(BC8,Exposure!$B$33:$C$53,2,FALSE)</f>
        <v>3679285.9488511714</v>
      </c>
      <c r="AG8" s="2">
        <f>T8*VLOOKUP(BS8,Exposure!$B$33:$C$53,2,FALSE)/VLOOKUP(BD8,Exposure!$B$33:$C$53,2,FALSE)</f>
        <v>286430.04313838173</v>
      </c>
      <c r="AH8" s="2">
        <f>U8*VLOOKUP(BT8,Exposure!$B$33:$C$53,2,FALSE)/VLOOKUP(BE8,Exposure!$B$33:$C$53,2,FALSE)</f>
        <v>736287.10714906955</v>
      </c>
      <c r="AI8" s="2">
        <f>V8*VLOOKUP(BU8,Exposure!$B$33:$C$53,2,FALSE)/VLOOKUP(BF8,Exposure!$B$33:$C$53,2,FALSE)</f>
        <v>1014074.8216075562</v>
      </c>
      <c r="AJ8" s="2">
        <f>W8*VLOOKUP(BV8,Exposure!$B$33:$C$53,2,FALSE)/VLOOKUP(BG8,Exposure!$B$33:$C$53,2,FALSE)</f>
        <v>20391.756337941893</v>
      </c>
      <c r="AK8" s="2">
        <f>X8*VLOOKUP(BW8,Exposure!$B$33:$C$53,2,FALSE)/VLOOKUP(BH8,Exposure!$B$33:$C$53,2,FALSE)</f>
        <v>13259.232287022796</v>
      </c>
      <c r="AL8" s="2">
        <f>Y8*VLOOKUP(BX8,Exposure!$B$33:$C$53,2,FALSE)/VLOOKUP(BI8,Exposure!$B$33:$C$53,2,FALSE)</f>
        <v>7043.9945643384972</v>
      </c>
      <c r="AM8" s="10"/>
      <c r="AY8" s="10"/>
      <c r="AZ8" s="2">
        <f t="shared" si="15"/>
        <v>2016</v>
      </c>
      <c r="BA8" s="2">
        <f t="shared" si="16"/>
        <v>2017</v>
      </c>
      <c r="BB8" s="2">
        <f t="shared" si="1"/>
        <v>2018</v>
      </c>
      <c r="BC8" s="2">
        <f t="shared" si="1"/>
        <v>2019</v>
      </c>
      <c r="BD8" s="2">
        <f t="shared" si="1"/>
        <v>2020</v>
      </c>
      <c r="BE8" s="2">
        <f t="shared" si="1"/>
        <v>2021</v>
      </c>
      <c r="BF8" s="2">
        <f t="shared" si="1"/>
        <v>2022</v>
      </c>
      <c r="BG8" s="2">
        <f t="shared" si="1"/>
        <v>2023</v>
      </c>
      <c r="BH8" s="2">
        <f t="shared" si="1"/>
        <v>2024</v>
      </c>
      <c r="BI8" s="2">
        <f t="shared" si="1"/>
        <v>2025</v>
      </c>
      <c r="BN8" s="10"/>
      <c r="BO8" s="2">
        <v>2027</v>
      </c>
      <c r="BP8" s="2">
        <f t="shared" si="17"/>
        <v>2028</v>
      </c>
      <c r="BQ8" s="2">
        <f t="shared" si="2"/>
        <v>2029</v>
      </c>
      <c r="BR8" s="2">
        <f t="shared" si="2"/>
        <v>2030</v>
      </c>
      <c r="BS8" s="2">
        <f t="shared" si="2"/>
        <v>2031</v>
      </c>
      <c r="BT8" s="2">
        <f t="shared" si="2"/>
        <v>2032</v>
      </c>
      <c r="BU8" s="2">
        <f t="shared" si="2"/>
        <v>2033</v>
      </c>
      <c r="BV8" s="2">
        <f t="shared" si="2"/>
        <v>2034</v>
      </c>
      <c r="BW8" s="2">
        <f t="shared" si="2"/>
        <v>2035</v>
      </c>
      <c r="BX8" s="2">
        <f t="shared" si="2"/>
        <v>2036</v>
      </c>
    </row>
    <row r="9" spans="1:76" x14ac:dyDescent="0.3">
      <c r="A9" s="12">
        <v>42562</v>
      </c>
      <c r="B9" s="13">
        <v>704.26175648639946</v>
      </c>
      <c r="C9" s="13">
        <v>216262.10929999361</v>
      </c>
      <c r="D9" s="13">
        <v>247957.85712287441</v>
      </c>
      <c r="E9" s="13">
        <v>413708.57548781368</v>
      </c>
      <c r="F9" s="13">
        <v>598681.15326202742</v>
      </c>
      <c r="G9" s="13">
        <v>598688.61084310466</v>
      </c>
      <c r="H9" s="13">
        <v>601319.53161824355</v>
      </c>
      <c r="I9" s="13">
        <v>601779.27105886489</v>
      </c>
      <c r="J9" s="13">
        <v>601801.62793965486</v>
      </c>
      <c r="K9" s="13">
        <v>601802.76751985773</v>
      </c>
      <c r="O9" s="11">
        <f t="shared" si="3"/>
        <v>2016</v>
      </c>
      <c r="P9" s="36">
        <f t="shared" si="4"/>
        <v>190882.50719020722</v>
      </c>
      <c r="Q9" s="36">
        <f t="shared" si="5"/>
        <v>415972.59459169279</v>
      </c>
      <c r="R9" s="36">
        <f t="shared" si="6"/>
        <v>27301.52245948778</v>
      </c>
      <c r="S9" s="36">
        <f t="shared" si="7"/>
        <v>4148.8234623386525</v>
      </c>
      <c r="T9" s="36">
        <f t="shared" si="8"/>
        <v>50770.5469248757</v>
      </c>
      <c r="U9" s="36">
        <f t="shared" si="9"/>
        <v>42418.302063356503</v>
      </c>
      <c r="V9" s="36">
        <f t="shared" si="10"/>
        <v>1004.3158836046932</v>
      </c>
      <c r="W9" s="36">
        <f t="shared" si="11"/>
        <v>2930.473910463159</v>
      </c>
      <c r="X9" s="36">
        <f t="shared" si="12"/>
        <v>442.82599480298813</v>
      </c>
      <c r="Y9" s="36">
        <f t="shared" si="13"/>
        <v>59369.264149830677</v>
      </c>
      <c r="AA9" s="10"/>
      <c r="AB9" s="2">
        <f t="shared" si="14"/>
        <v>2016</v>
      </c>
      <c r="AC9" s="2">
        <f>P9*VLOOKUP(BO9,Exposure!$B$33:$C$53,2,FALSE)/VLOOKUP(AZ9,Exposure!$B$33:$C$53,2,FALSE)</f>
        <v>306531.4290529624</v>
      </c>
      <c r="AD9" s="2">
        <f>Q9*VLOOKUP(BP9,Exposure!$B$33:$C$53,2,FALSE)/VLOOKUP(BA9,Exposure!$B$33:$C$53,2,FALSE)</f>
        <v>665882.18223332346</v>
      </c>
      <c r="AE9" s="2">
        <f>R9*VLOOKUP(BQ9,Exposure!$B$33:$C$53,2,FALSE)/VLOOKUP(BB9,Exposure!$B$33:$C$53,2,FALSE)</f>
        <v>43597.466751650325</v>
      </c>
      <c r="AF9" s="2">
        <f>S9*VLOOKUP(BR9,Exposure!$B$33:$C$53,2,FALSE)/VLOOKUP(BC9,Exposure!$B$33:$C$53,2,FALSE)</f>
        <v>6648.2787058741123</v>
      </c>
      <c r="AG9" s="2">
        <f>T9*VLOOKUP(BS9,Exposure!$B$33:$C$53,2,FALSE)/VLOOKUP(BD9,Exposure!$B$33:$C$53,2,FALSE)</f>
        <v>82199.622231430229</v>
      </c>
      <c r="AH9" s="2">
        <f>U9*VLOOKUP(BT9,Exposure!$B$33:$C$53,2,FALSE)/VLOOKUP(BE9,Exposure!$B$33:$C$53,2,FALSE)</f>
        <v>68253.564668520819</v>
      </c>
      <c r="AI9" s="2">
        <f>V9*VLOOKUP(BU9,Exposure!$B$33:$C$53,2,FALSE)/VLOOKUP(BF9,Exposure!$B$33:$C$53,2,FALSE)</f>
        <v>1502.8286663033703</v>
      </c>
      <c r="AJ9" s="2">
        <f>W9*VLOOKUP(BV9,Exposure!$B$33:$C$53,2,FALSE)/VLOOKUP(BG9,Exposure!$B$33:$C$53,2,FALSE)</f>
        <v>4288.99045546462</v>
      </c>
      <c r="AK9" s="2">
        <f>X9*VLOOKUP(BW9,Exposure!$B$33:$C$53,2,FALSE)/VLOOKUP(BH9,Exposure!$B$33:$C$53,2,FALSE)</f>
        <v>639.78759021111614</v>
      </c>
      <c r="AL9" s="2">
        <f>Y9*VLOOKUP(BX9,Exposure!$B$33:$C$53,2,FALSE)/VLOOKUP(BI9,Exposure!$B$33:$C$53,2,FALSE)</f>
        <v>85222.199904320878</v>
      </c>
      <c r="AM9" s="10"/>
      <c r="AY9" s="10"/>
      <c r="AZ9" s="2">
        <f t="shared" si="15"/>
        <v>2016</v>
      </c>
      <c r="BA9" s="2">
        <f t="shared" si="16"/>
        <v>2017</v>
      </c>
      <c r="BB9" s="2">
        <f t="shared" si="1"/>
        <v>2018</v>
      </c>
      <c r="BC9" s="2">
        <f t="shared" si="1"/>
        <v>2019</v>
      </c>
      <c r="BD9" s="2">
        <f t="shared" si="1"/>
        <v>2020</v>
      </c>
      <c r="BE9" s="2">
        <f t="shared" si="1"/>
        <v>2021</v>
      </c>
      <c r="BF9" s="2">
        <f t="shared" si="1"/>
        <v>2022</v>
      </c>
      <c r="BG9" s="2">
        <f t="shared" si="1"/>
        <v>2023</v>
      </c>
      <c r="BH9" s="2">
        <f t="shared" si="1"/>
        <v>2024</v>
      </c>
      <c r="BI9" s="2">
        <f t="shared" si="1"/>
        <v>2025</v>
      </c>
      <c r="BN9" s="10"/>
      <c r="BO9" s="2">
        <v>2027</v>
      </c>
      <c r="BP9" s="2">
        <f t="shared" si="17"/>
        <v>2028</v>
      </c>
      <c r="BQ9" s="2">
        <f t="shared" si="2"/>
        <v>2029</v>
      </c>
      <c r="BR9" s="2">
        <f t="shared" si="2"/>
        <v>2030</v>
      </c>
      <c r="BS9" s="2">
        <f t="shared" si="2"/>
        <v>2031</v>
      </c>
      <c r="BT9" s="2">
        <f t="shared" si="2"/>
        <v>2032</v>
      </c>
      <c r="BU9" s="2">
        <f t="shared" si="2"/>
        <v>2033</v>
      </c>
      <c r="BV9" s="2">
        <f t="shared" si="2"/>
        <v>2034</v>
      </c>
      <c r="BW9" s="2">
        <f t="shared" si="2"/>
        <v>2035</v>
      </c>
      <c r="BX9" s="2">
        <f t="shared" si="2"/>
        <v>2036</v>
      </c>
    </row>
    <row r="10" spans="1:76" x14ac:dyDescent="0.3">
      <c r="A10" s="12">
        <v>42598</v>
      </c>
      <c r="B10" s="13">
        <v>746652.24347398174</v>
      </c>
      <c r="C10" s="13">
        <v>750549.28659458784</v>
      </c>
      <c r="D10" s="13">
        <v>1150922.8115651575</v>
      </c>
      <c r="E10" s="13">
        <v>1162892.830415017</v>
      </c>
      <c r="F10" s="13">
        <v>2120677.988305287</v>
      </c>
      <c r="G10" s="13">
        <v>2263720.6749404161</v>
      </c>
      <c r="H10" s="13">
        <v>2281562.4288859586</v>
      </c>
      <c r="I10" s="13">
        <v>2294593.8263273155</v>
      </c>
      <c r="J10" s="13">
        <v>2296186.9153013281</v>
      </c>
      <c r="K10" s="13">
        <v>2296192.7066759779</v>
      </c>
      <c r="O10" s="11">
        <f t="shared" si="3"/>
        <v>2016</v>
      </c>
      <c r="P10" s="36">
        <f t="shared" si="4"/>
        <v>704.26175648639946</v>
      </c>
      <c r="Q10" s="36">
        <f t="shared" si="5"/>
        <v>215557.8475435072</v>
      </c>
      <c r="R10" s="36">
        <f t="shared" si="6"/>
        <v>31695.747822880803</v>
      </c>
      <c r="S10" s="36">
        <f t="shared" si="7"/>
        <v>165750.71836493927</v>
      </c>
      <c r="T10" s="36">
        <f t="shared" si="8"/>
        <v>184972.57777421374</v>
      </c>
      <c r="U10" s="36">
        <f t="shared" si="9"/>
        <v>7.4575810772366822</v>
      </c>
      <c r="V10" s="36">
        <f t="shared" si="10"/>
        <v>2630.9207751388894</v>
      </c>
      <c r="W10" s="36">
        <f t="shared" si="11"/>
        <v>459.73944062134251</v>
      </c>
      <c r="X10" s="36">
        <f t="shared" si="12"/>
        <v>22.35688078997191</v>
      </c>
      <c r="Y10" s="36">
        <f t="shared" si="13"/>
        <v>1.1395802028710023</v>
      </c>
      <c r="AA10" s="10"/>
      <c r="AB10" s="2">
        <f t="shared" si="14"/>
        <v>2016</v>
      </c>
      <c r="AC10" s="2">
        <f>P10*VLOOKUP(BO10,Exposure!$B$33:$C$53,2,FALSE)/VLOOKUP(AZ10,Exposure!$B$33:$C$53,2,FALSE)</f>
        <v>1130.9489057999997</v>
      </c>
      <c r="AD10" s="2">
        <f>Q10*VLOOKUP(BP10,Exposure!$B$33:$C$53,2,FALSE)/VLOOKUP(BA10,Exposure!$B$33:$C$53,2,FALSE)</f>
        <v>345061.5059405049</v>
      </c>
      <c r="AE10" s="2">
        <f>R10*VLOOKUP(BQ10,Exposure!$B$33:$C$53,2,FALSE)/VLOOKUP(BB10,Exposure!$B$33:$C$53,2,FALSE)</f>
        <v>50614.551401931778</v>
      </c>
      <c r="AF10" s="2">
        <f>S10*VLOOKUP(BR10,Exposure!$B$33:$C$53,2,FALSE)/VLOOKUP(BC10,Exposure!$B$33:$C$53,2,FALSE)</f>
        <v>265607.10075810266</v>
      </c>
      <c r="AG10" s="2">
        <f>T10*VLOOKUP(BS10,Exposure!$B$33:$C$53,2,FALSE)/VLOOKUP(BD10,Exposure!$B$33:$C$53,2,FALSE)</f>
        <v>299478.27898549743</v>
      </c>
      <c r="AH10" s="2">
        <f>U10*VLOOKUP(BT10,Exposure!$B$33:$C$53,2,FALSE)/VLOOKUP(BE10,Exposure!$B$33:$C$53,2,FALSE)</f>
        <v>11.999690406411188</v>
      </c>
      <c r="AI10" s="2">
        <f>V10*VLOOKUP(BU10,Exposure!$B$33:$C$53,2,FALSE)/VLOOKUP(BF10,Exposure!$B$33:$C$53,2,FALSE)</f>
        <v>3936.8322498900789</v>
      </c>
      <c r="AJ10" s="2">
        <f>W10*VLOOKUP(BV10,Exposure!$B$33:$C$53,2,FALSE)/VLOOKUP(BG10,Exposure!$B$33:$C$53,2,FALSE)</f>
        <v>672.86661921311475</v>
      </c>
      <c r="AK10" s="2">
        <f>X10*VLOOKUP(BW10,Exposure!$B$33:$C$53,2,FALSE)/VLOOKUP(BH10,Exposure!$B$33:$C$53,2,FALSE)</f>
        <v>32.300847405349302</v>
      </c>
      <c r="AL10" s="2">
        <f>Y10*VLOOKUP(BX10,Exposure!$B$33:$C$53,2,FALSE)/VLOOKUP(BI10,Exposure!$B$33:$C$53,2,FALSE)</f>
        <v>1.635821720999991</v>
      </c>
      <c r="AM10" s="10"/>
      <c r="AY10" s="10"/>
      <c r="AZ10" s="2">
        <f t="shared" si="15"/>
        <v>2016</v>
      </c>
      <c r="BA10" s="2">
        <f t="shared" si="16"/>
        <v>2017</v>
      </c>
      <c r="BB10" s="2">
        <f t="shared" si="1"/>
        <v>2018</v>
      </c>
      <c r="BC10" s="2">
        <f t="shared" si="1"/>
        <v>2019</v>
      </c>
      <c r="BD10" s="2">
        <f t="shared" si="1"/>
        <v>2020</v>
      </c>
      <c r="BE10" s="2">
        <f t="shared" si="1"/>
        <v>2021</v>
      </c>
      <c r="BF10" s="2">
        <f t="shared" si="1"/>
        <v>2022</v>
      </c>
      <c r="BG10" s="2">
        <f t="shared" si="1"/>
        <v>2023</v>
      </c>
      <c r="BH10" s="2">
        <f t="shared" si="1"/>
        <v>2024</v>
      </c>
      <c r="BI10" s="2">
        <f t="shared" si="1"/>
        <v>2025</v>
      </c>
      <c r="BN10" s="10"/>
      <c r="BO10" s="2">
        <v>2027</v>
      </c>
      <c r="BP10" s="2">
        <f t="shared" si="17"/>
        <v>2028</v>
      </c>
      <c r="BQ10" s="2">
        <f t="shared" si="2"/>
        <v>2029</v>
      </c>
      <c r="BR10" s="2">
        <f t="shared" si="2"/>
        <v>2030</v>
      </c>
      <c r="BS10" s="2">
        <f t="shared" si="2"/>
        <v>2031</v>
      </c>
      <c r="BT10" s="2">
        <f t="shared" si="2"/>
        <v>2032</v>
      </c>
      <c r="BU10" s="2">
        <f t="shared" si="2"/>
        <v>2033</v>
      </c>
      <c r="BV10" s="2">
        <f t="shared" si="2"/>
        <v>2034</v>
      </c>
      <c r="BW10" s="2">
        <f t="shared" si="2"/>
        <v>2035</v>
      </c>
      <c r="BX10" s="2">
        <f t="shared" si="2"/>
        <v>2036</v>
      </c>
    </row>
    <row r="11" spans="1:76" x14ac:dyDescent="0.3">
      <c r="A11" s="12">
        <v>42618</v>
      </c>
      <c r="B11" s="13">
        <v>22115.28261741986</v>
      </c>
      <c r="C11" s="13">
        <v>223882.25039605467</v>
      </c>
      <c r="D11" s="13">
        <v>1902460.6430558595</v>
      </c>
      <c r="E11" s="13">
        <v>1933629.7181369213</v>
      </c>
      <c r="F11" s="13">
        <v>2145163.9069746514</v>
      </c>
      <c r="G11" s="13">
        <v>2152022.026856761</v>
      </c>
      <c r="H11" s="13">
        <v>2161925.8854570836</v>
      </c>
      <c r="I11" s="13">
        <v>2161925.9488756042</v>
      </c>
      <c r="J11" s="13">
        <v>2162166.1202388308</v>
      </c>
      <c r="K11" s="13">
        <v>2162166.9287262848</v>
      </c>
      <c r="O11" s="11">
        <f t="shared" si="3"/>
        <v>2016</v>
      </c>
      <c r="P11" s="36">
        <f t="shared" si="4"/>
        <v>746652.24347398174</v>
      </c>
      <c r="Q11" s="36">
        <f t="shared" si="5"/>
        <v>3897.0431206061039</v>
      </c>
      <c r="R11" s="36">
        <f t="shared" si="6"/>
        <v>400373.52497056965</v>
      </c>
      <c r="S11" s="36">
        <f t="shared" si="7"/>
        <v>11970.01884985948</v>
      </c>
      <c r="T11" s="36">
        <f t="shared" si="8"/>
        <v>957785.15789027</v>
      </c>
      <c r="U11" s="36">
        <f t="shared" si="9"/>
        <v>143042.68663512915</v>
      </c>
      <c r="V11" s="36">
        <f t="shared" si="10"/>
        <v>17841.753945542499</v>
      </c>
      <c r="W11" s="36">
        <f t="shared" si="11"/>
        <v>13031.397441356909</v>
      </c>
      <c r="X11" s="36">
        <f t="shared" si="12"/>
        <v>1593.0889740125276</v>
      </c>
      <c r="Y11" s="36">
        <f t="shared" si="13"/>
        <v>5.7913746498525143</v>
      </c>
      <c r="AA11" s="10"/>
      <c r="AB11" s="2">
        <f t="shared" si="14"/>
        <v>2016</v>
      </c>
      <c r="AC11" s="2">
        <f>P11*VLOOKUP(BO11,Exposure!$B$33:$C$53,2,FALSE)/VLOOKUP(AZ11,Exposure!$B$33:$C$53,2,FALSE)</f>
        <v>1199022.2811230018</v>
      </c>
      <c r="AD11" s="2">
        <f>Q11*VLOOKUP(BP11,Exposure!$B$33:$C$53,2,FALSE)/VLOOKUP(BA11,Exposure!$B$33:$C$53,2,FALSE)</f>
        <v>6238.3234163628149</v>
      </c>
      <c r="AE11" s="2">
        <f>R11*VLOOKUP(BQ11,Exposure!$B$33:$C$53,2,FALSE)/VLOOKUP(BB11,Exposure!$B$33:$C$53,2,FALSE)</f>
        <v>639351.57715277607</v>
      </c>
      <c r="AF11" s="2">
        <f>S11*VLOOKUP(BR11,Exposure!$B$33:$C$53,2,FALSE)/VLOOKUP(BC11,Exposure!$B$33:$C$53,2,FALSE)</f>
        <v>19181.34674825957</v>
      </c>
      <c r="AG11" s="2">
        <f>T11*VLOOKUP(BS11,Exposure!$B$33:$C$53,2,FALSE)/VLOOKUP(BD11,Exposure!$B$33:$C$53,2,FALSE)</f>
        <v>1550693.9146026089</v>
      </c>
      <c r="AH11" s="2">
        <f>U11*VLOOKUP(BT11,Exposure!$B$33:$C$53,2,FALSE)/VLOOKUP(BE11,Exposure!$B$33:$C$53,2,FALSE)</f>
        <v>230164.16941977898</v>
      </c>
      <c r="AI11" s="2">
        <f>V11*VLOOKUP(BU11,Exposure!$B$33:$C$53,2,FALSE)/VLOOKUP(BF11,Exposure!$B$33:$C$53,2,FALSE)</f>
        <v>26697.874368226541</v>
      </c>
      <c r="AJ11" s="2">
        <f>W11*VLOOKUP(BV11,Exposure!$B$33:$C$53,2,FALSE)/VLOOKUP(BG11,Exposure!$B$33:$C$53,2,FALSE)</f>
        <v>19072.525794475419</v>
      </c>
      <c r="AK11" s="2">
        <f>X11*VLOOKUP(BW11,Exposure!$B$33:$C$53,2,FALSE)/VLOOKUP(BH11,Exposure!$B$33:$C$53,2,FALSE)</f>
        <v>2301.6683023064857</v>
      </c>
      <c r="AL11" s="2">
        <f>Y11*VLOOKUP(BX11,Exposure!$B$33:$C$53,2,FALSE)/VLOOKUP(BI11,Exposure!$B$33:$C$53,2,FALSE)</f>
        <v>8.31328626349422</v>
      </c>
      <c r="AM11" s="10"/>
      <c r="AY11" s="10"/>
      <c r="AZ11" s="2">
        <f t="shared" si="15"/>
        <v>2016</v>
      </c>
      <c r="BA11" s="2">
        <f t="shared" si="16"/>
        <v>2017</v>
      </c>
      <c r="BB11" s="2">
        <f t="shared" si="1"/>
        <v>2018</v>
      </c>
      <c r="BC11" s="2">
        <f t="shared" si="1"/>
        <v>2019</v>
      </c>
      <c r="BD11" s="2">
        <f t="shared" si="1"/>
        <v>2020</v>
      </c>
      <c r="BE11" s="2">
        <f t="shared" si="1"/>
        <v>2021</v>
      </c>
      <c r="BF11" s="2">
        <f t="shared" si="1"/>
        <v>2022</v>
      </c>
      <c r="BG11" s="2">
        <f t="shared" si="1"/>
        <v>2023</v>
      </c>
      <c r="BH11" s="2">
        <f t="shared" si="1"/>
        <v>2024</v>
      </c>
      <c r="BI11" s="2">
        <f t="shared" si="1"/>
        <v>2025</v>
      </c>
      <c r="BN11" s="10"/>
      <c r="BO11" s="2">
        <v>2027</v>
      </c>
      <c r="BP11" s="2">
        <f t="shared" si="17"/>
        <v>2028</v>
      </c>
      <c r="BQ11" s="2">
        <f t="shared" si="2"/>
        <v>2029</v>
      </c>
      <c r="BR11" s="2">
        <f t="shared" si="2"/>
        <v>2030</v>
      </c>
      <c r="BS11" s="2">
        <f t="shared" si="2"/>
        <v>2031</v>
      </c>
      <c r="BT11" s="2">
        <f t="shared" si="2"/>
        <v>2032</v>
      </c>
      <c r="BU11" s="2">
        <f t="shared" si="2"/>
        <v>2033</v>
      </c>
      <c r="BV11" s="2">
        <f t="shared" si="2"/>
        <v>2034</v>
      </c>
      <c r="BW11" s="2">
        <f t="shared" si="2"/>
        <v>2035</v>
      </c>
      <c r="BX11" s="2">
        <f t="shared" si="2"/>
        <v>2036</v>
      </c>
    </row>
    <row r="12" spans="1:76" x14ac:dyDescent="0.3">
      <c r="A12" s="12">
        <v>42630</v>
      </c>
      <c r="B12" s="13">
        <v>5220.8083167428849</v>
      </c>
      <c r="C12" s="13">
        <v>359287.75387019676</v>
      </c>
      <c r="D12" s="13">
        <v>369384.15273134783</v>
      </c>
      <c r="E12" s="13">
        <v>1107719.5626341954</v>
      </c>
      <c r="F12" s="13">
        <v>1168827.6475231764</v>
      </c>
      <c r="G12" s="13">
        <v>1177317.743933365</v>
      </c>
      <c r="H12" s="13">
        <v>1177319.3679647057</v>
      </c>
      <c r="I12" s="13">
        <v>1177319.9571143996</v>
      </c>
      <c r="J12" s="13">
        <v>1177321.5048495086</v>
      </c>
      <c r="K12" s="13">
        <v>1177322.1100014048</v>
      </c>
      <c r="O12" s="11">
        <f t="shared" si="3"/>
        <v>2016</v>
      </c>
      <c r="P12" s="36">
        <f t="shared" si="4"/>
        <v>22115.28261741986</v>
      </c>
      <c r="Q12" s="36">
        <f t="shared" si="5"/>
        <v>201766.9677786348</v>
      </c>
      <c r="R12" s="36">
        <f t="shared" si="6"/>
        <v>1678578.3926598048</v>
      </c>
      <c r="S12" s="36">
        <f t="shared" si="7"/>
        <v>31169.075081061805</v>
      </c>
      <c r="T12" s="36">
        <f t="shared" si="8"/>
        <v>211534.18883773009</v>
      </c>
      <c r="U12" s="36">
        <f t="shared" si="9"/>
        <v>6858.119882109575</v>
      </c>
      <c r="V12" s="36">
        <f t="shared" si="10"/>
        <v>9903.8586003226228</v>
      </c>
      <c r="W12" s="36">
        <f t="shared" si="11"/>
        <v>6.3418520614504814E-2</v>
      </c>
      <c r="X12" s="36">
        <f t="shared" si="12"/>
        <v>240.17136322660372</v>
      </c>
      <c r="Y12" s="36">
        <f t="shared" si="13"/>
        <v>0.80848745396360755</v>
      </c>
      <c r="AA12" s="10"/>
      <c r="AB12" s="2">
        <f t="shared" si="14"/>
        <v>2016</v>
      </c>
      <c r="AC12" s="2">
        <f>P12*VLOOKUP(BO12,Exposure!$B$33:$C$53,2,FALSE)/VLOOKUP(AZ12,Exposure!$B$33:$C$53,2,FALSE)</f>
        <v>35514.14576649919</v>
      </c>
      <c r="AD12" s="2">
        <f>Q12*VLOOKUP(BP12,Exposure!$B$33:$C$53,2,FALSE)/VLOOKUP(BA12,Exposure!$B$33:$C$53,2,FALSE)</f>
        <v>322985.28930473229</v>
      </c>
      <c r="AE12" s="2">
        <f>R12*VLOOKUP(BQ12,Exposure!$B$33:$C$53,2,FALSE)/VLOOKUP(BB12,Exposure!$B$33:$C$53,2,FALSE)</f>
        <v>2680501.2714077588</v>
      </c>
      <c r="AF12" s="2">
        <f>S12*VLOOKUP(BR12,Exposure!$B$33:$C$53,2,FALSE)/VLOOKUP(BC12,Exposure!$B$33:$C$53,2,FALSE)</f>
        <v>49946.858434512971</v>
      </c>
      <c r="AG12" s="2">
        <f>T12*VLOOKUP(BS12,Exposure!$B$33:$C$53,2,FALSE)/VLOOKUP(BD12,Exposure!$B$33:$C$53,2,FALSE)</f>
        <v>342482.62949032645</v>
      </c>
      <c r="AH12" s="2">
        <f>U12*VLOOKUP(BT12,Exposure!$B$33:$C$53,2,FALSE)/VLOOKUP(BE12,Exposure!$B$33:$C$53,2,FALSE)</f>
        <v>11035.121777832772</v>
      </c>
      <c r="AI12" s="2">
        <f>V12*VLOOKUP(BU12,Exposure!$B$33:$C$53,2,FALSE)/VLOOKUP(BF12,Exposure!$B$33:$C$53,2,FALSE)</f>
        <v>14819.841898904386</v>
      </c>
      <c r="AJ12" s="2">
        <f>W12*VLOOKUP(BV12,Exposure!$B$33:$C$53,2,FALSE)/VLOOKUP(BG12,Exposure!$B$33:$C$53,2,FALSE)</f>
        <v>9.2818239617873888E-2</v>
      </c>
      <c r="AK12" s="2">
        <f>X12*VLOOKUP(BW12,Exposure!$B$33:$C$53,2,FALSE)/VLOOKUP(BH12,Exposure!$B$33:$C$53,2,FALSE)</f>
        <v>346.99556828146393</v>
      </c>
      <c r="AL12" s="2">
        <f>Y12*VLOOKUP(BX12,Exposure!$B$33:$C$53,2,FALSE)/VLOOKUP(BI12,Exposure!$B$33:$C$53,2,FALSE)</f>
        <v>1.1605513460287429</v>
      </c>
      <c r="AM12" s="10"/>
      <c r="AY12" s="10"/>
      <c r="AZ12" s="2">
        <f t="shared" si="15"/>
        <v>2016</v>
      </c>
      <c r="BA12" s="2">
        <f t="shared" si="16"/>
        <v>2017</v>
      </c>
      <c r="BB12" s="2">
        <f t="shared" si="1"/>
        <v>2018</v>
      </c>
      <c r="BC12" s="2">
        <f t="shared" si="1"/>
        <v>2019</v>
      </c>
      <c r="BD12" s="2">
        <f t="shared" si="1"/>
        <v>2020</v>
      </c>
      <c r="BE12" s="2">
        <f t="shared" si="1"/>
        <v>2021</v>
      </c>
      <c r="BF12" s="2">
        <f t="shared" si="1"/>
        <v>2022</v>
      </c>
      <c r="BG12" s="2">
        <f t="shared" si="1"/>
        <v>2023</v>
      </c>
      <c r="BH12" s="2">
        <f t="shared" si="1"/>
        <v>2024</v>
      </c>
      <c r="BI12" s="2">
        <f t="shared" si="1"/>
        <v>2025</v>
      </c>
      <c r="BN12" s="10"/>
      <c r="BO12" s="2">
        <v>2027</v>
      </c>
      <c r="BP12" s="2">
        <f t="shared" si="17"/>
        <v>2028</v>
      </c>
      <c r="BQ12" s="2">
        <f t="shared" si="2"/>
        <v>2029</v>
      </c>
      <c r="BR12" s="2">
        <f t="shared" si="2"/>
        <v>2030</v>
      </c>
      <c r="BS12" s="2">
        <f t="shared" si="2"/>
        <v>2031</v>
      </c>
      <c r="BT12" s="2">
        <f t="shared" si="2"/>
        <v>2032</v>
      </c>
      <c r="BU12" s="2">
        <f t="shared" si="2"/>
        <v>2033</v>
      </c>
      <c r="BV12" s="2">
        <f t="shared" si="2"/>
        <v>2034</v>
      </c>
      <c r="BW12" s="2">
        <f t="shared" si="2"/>
        <v>2035</v>
      </c>
      <c r="BX12" s="2">
        <f t="shared" si="2"/>
        <v>2036</v>
      </c>
    </row>
    <row r="13" spans="1:76" x14ac:dyDescent="0.3">
      <c r="A13" s="12">
        <v>42673</v>
      </c>
      <c r="B13" s="13">
        <v>48508.147991370308</v>
      </c>
      <c r="C13" s="13">
        <v>58558.077340896285</v>
      </c>
      <c r="D13" s="13">
        <v>778959.71352361841</v>
      </c>
      <c r="E13" s="13">
        <v>828568.29462248331</v>
      </c>
      <c r="F13" s="13">
        <v>828631.10691450024</v>
      </c>
      <c r="G13" s="13">
        <v>830826.08968551445</v>
      </c>
      <c r="H13" s="13">
        <v>831209.68601348682</v>
      </c>
      <c r="I13" s="13">
        <v>831230.88141869311</v>
      </c>
      <c r="J13" s="13">
        <v>831251.15272625093</v>
      </c>
      <c r="K13" s="13">
        <v>831284.8</v>
      </c>
      <c r="O13" s="11">
        <f t="shared" si="3"/>
        <v>2016</v>
      </c>
      <c r="P13" s="36">
        <f t="shared" si="4"/>
        <v>5220.8083167428849</v>
      </c>
      <c r="Q13" s="36">
        <f t="shared" si="5"/>
        <v>354066.94555345387</v>
      </c>
      <c r="R13" s="36">
        <f t="shared" si="6"/>
        <v>10096.398861151072</v>
      </c>
      <c r="S13" s="36">
        <f t="shared" si="7"/>
        <v>738335.4099028476</v>
      </c>
      <c r="T13" s="36">
        <f t="shared" si="8"/>
        <v>61108.084888980957</v>
      </c>
      <c r="U13" s="36">
        <f t="shared" si="9"/>
        <v>8490.0964101885911</v>
      </c>
      <c r="V13" s="36">
        <f t="shared" si="10"/>
        <v>1.6240313407033682</v>
      </c>
      <c r="W13" s="36">
        <f t="shared" si="11"/>
        <v>0.58914969395846128</v>
      </c>
      <c r="X13" s="36">
        <f t="shared" si="12"/>
        <v>1.5477351089939475</v>
      </c>
      <c r="Y13" s="36">
        <f t="shared" si="13"/>
        <v>0.60515189613215625</v>
      </c>
      <c r="AA13" s="10"/>
      <c r="AB13" s="2">
        <f t="shared" si="14"/>
        <v>2016</v>
      </c>
      <c r="AC13" s="2">
        <f>P13*VLOOKUP(BO13,Exposure!$B$33:$C$53,2,FALSE)/VLOOKUP(AZ13,Exposure!$B$33:$C$53,2,FALSE)</f>
        <v>8383.9103839311338</v>
      </c>
      <c r="AD13" s="2">
        <f>Q13*VLOOKUP(BP13,Exposure!$B$33:$C$53,2,FALSE)/VLOOKUP(BA13,Exposure!$B$33:$C$53,2,FALSE)</f>
        <v>566784.62337944028</v>
      </c>
      <c r="AE13" s="2">
        <f>R13*VLOOKUP(BQ13,Exposure!$B$33:$C$53,2,FALSE)/VLOOKUP(BB13,Exposure!$B$33:$C$53,2,FALSE)</f>
        <v>16122.815652995365</v>
      </c>
      <c r="AF13" s="2">
        <f>S13*VLOOKUP(BR13,Exposure!$B$33:$C$53,2,FALSE)/VLOOKUP(BC13,Exposure!$B$33:$C$53,2,FALSE)</f>
        <v>1183144.9633875168</v>
      </c>
      <c r="AG13" s="2">
        <f>T13*VLOOKUP(BS13,Exposure!$B$33:$C$53,2,FALSE)/VLOOKUP(BD13,Exposure!$B$33:$C$53,2,FALSE)</f>
        <v>98936.525158827644</v>
      </c>
      <c r="AH13" s="2">
        <f>U13*VLOOKUP(BT13,Exposure!$B$33:$C$53,2,FALSE)/VLOOKUP(BE13,Exposure!$B$33:$C$53,2,FALSE)</f>
        <v>13661.068835552773</v>
      </c>
      <c r="AI13" s="2">
        <f>V13*VLOOKUP(BU13,Exposure!$B$33:$C$53,2,FALSE)/VLOOKUP(BF13,Exposure!$B$33:$C$53,2,FALSE)</f>
        <v>2.4301525980293799</v>
      </c>
      <c r="AJ13" s="2">
        <f>W13*VLOOKUP(BV13,Exposure!$B$33:$C$53,2,FALSE)/VLOOKUP(BG13,Exposure!$B$33:$C$53,2,FALSE)</f>
        <v>0.86226920676743879</v>
      </c>
      <c r="AK13" s="2">
        <f>X13*VLOOKUP(BW13,Exposure!$B$33:$C$53,2,FALSE)/VLOOKUP(BH13,Exposure!$B$33:$C$53,2,FALSE)</f>
        <v>2.2361417967545543</v>
      </c>
      <c r="AL13" s="2">
        <f>Y13*VLOOKUP(BX13,Exposure!$B$33:$C$53,2,FALSE)/VLOOKUP(BI13,Exposure!$B$33:$C$53,2,FALSE)</f>
        <v>0.86867129992549397</v>
      </c>
      <c r="AM13" s="10"/>
      <c r="AY13" s="10"/>
      <c r="AZ13" s="2">
        <f t="shared" si="15"/>
        <v>2016</v>
      </c>
      <c r="BA13" s="2">
        <f t="shared" si="16"/>
        <v>2017</v>
      </c>
      <c r="BB13" s="2">
        <f t="shared" si="1"/>
        <v>2018</v>
      </c>
      <c r="BC13" s="2">
        <f t="shared" si="1"/>
        <v>2019</v>
      </c>
      <c r="BD13" s="2">
        <f t="shared" si="1"/>
        <v>2020</v>
      </c>
      <c r="BE13" s="2">
        <f t="shared" si="1"/>
        <v>2021</v>
      </c>
      <c r="BF13" s="2">
        <f t="shared" si="1"/>
        <v>2022</v>
      </c>
      <c r="BG13" s="2">
        <f t="shared" si="1"/>
        <v>2023</v>
      </c>
      <c r="BH13" s="2">
        <f t="shared" si="1"/>
        <v>2024</v>
      </c>
      <c r="BI13" s="2">
        <f t="shared" si="1"/>
        <v>2025</v>
      </c>
      <c r="BN13" s="10"/>
      <c r="BO13" s="2">
        <v>2027</v>
      </c>
      <c r="BP13" s="2">
        <f t="shared" si="17"/>
        <v>2028</v>
      </c>
      <c r="BQ13" s="2">
        <f t="shared" si="2"/>
        <v>2029</v>
      </c>
      <c r="BR13" s="2">
        <f t="shared" si="2"/>
        <v>2030</v>
      </c>
      <c r="BS13" s="2">
        <f t="shared" si="2"/>
        <v>2031</v>
      </c>
      <c r="BT13" s="2">
        <f t="shared" si="2"/>
        <v>2032</v>
      </c>
      <c r="BU13" s="2">
        <f t="shared" si="2"/>
        <v>2033</v>
      </c>
      <c r="BV13" s="2">
        <f t="shared" si="2"/>
        <v>2034</v>
      </c>
      <c r="BW13" s="2">
        <f t="shared" si="2"/>
        <v>2035</v>
      </c>
      <c r="BX13" s="2">
        <f t="shared" si="2"/>
        <v>2036</v>
      </c>
    </row>
    <row r="14" spans="1:76" x14ac:dyDescent="0.3">
      <c r="A14" s="12">
        <v>42683</v>
      </c>
      <c r="B14" s="13">
        <v>1281489.3658696059</v>
      </c>
      <c r="C14" s="13">
        <v>1290805.4587307391</v>
      </c>
      <c r="D14" s="13">
        <v>1293569.0294141909</v>
      </c>
      <c r="E14" s="13">
        <v>1387890</v>
      </c>
      <c r="F14" s="13">
        <v>1772318.6674184839</v>
      </c>
      <c r="G14" s="13">
        <v>2235654.1241086908</v>
      </c>
      <c r="H14" s="13">
        <v>2285067.0886701825</v>
      </c>
      <c r="I14" s="13">
        <v>2344718.9478945131</v>
      </c>
      <c r="J14" s="13">
        <v>2346425.8695657882</v>
      </c>
      <c r="K14" s="13">
        <v>2346444.1894906061</v>
      </c>
      <c r="O14" s="11">
        <f t="shared" si="3"/>
        <v>2016</v>
      </c>
      <c r="P14" s="36">
        <f t="shared" si="4"/>
        <v>48508.147991370308</v>
      </c>
      <c r="Q14" s="36">
        <f t="shared" si="5"/>
        <v>10049.929349525977</v>
      </c>
      <c r="R14" s="36">
        <f t="shared" si="6"/>
        <v>720401.63618272217</v>
      </c>
      <c r="S14" s="36">
        <f t="shared" si="7"/>
        <v>49608.581098864903</v>
      </c>
      <c r="T14" s="36">
        <f t="shared" si="8"/>
        <v>62.812292016926222</v>
      </c>
      <c r="U14" s="36">
        <f t="shared" si="9"/>
        <v>2194.9827710142126</v>
      </c>
      <c r="V14" s="36">
        <f t="shared" si="10"/>
        <v>383.59632797236554</v>
      </c>
      <c r="W14" s="36">
        <f t="shared" si="11"/>
        <v>21.195405206293799</v>
      </c>
      <c r="X14" s="36">
        <f t="shared" si="12"/>
        <v>20.271307557821274</v>
      </c>
      <c r="Y14" s="36">
        <f t="shared" si="13"/>
        <v>33.647273749113083</v>
      </c>
      <c r="AA14" s="10"/>
      <c r="AB14" s="2">
        <f t="shared" si="14"/>
        <v>2016</v>
      </c>
      <c r="AC14" s="2">
        <f>P14*VLOOKUP(BO14,Exposure!$B$33:$C$53,2,FALSE)/VLOOKUP(AZ14,Exposure!$B$33:$C$53,2,FALSE)</f>
        <v>77897.509538109007</v>
      </c>
      <c r="AD14" s="2">
        <f>Q14*VLOOKUP(BP14,Exposure!$B$33:$C$53,2,FALSE)/VLOOKUP(BA14,Exposure!$B$33:$C$53,2,FALSE)</f>
        <v>16087.763890123177</v>
      </c>
      <c r="AE14" s="2">
        <f>R14*VLOOKUP(BQ14,Exposure!$B$33:$C$53,2,FALSE)/VLOOKUP(BB14,Exposure!$B$33:$C$53,2,FALSE)</f>
        <v>1150400.5473656645</v>
      </c>
      <c r="AF14" s="2">
        <f>S14*VLOOKUP(BR14,Exposure!$B$33:$C$53,2,FALSE)/VLOOKUP(BC14,Exposure!$B$33:$C$53,2,FALSE)</f>
        <v>79495.229513164391</v>
      </c>
      <c r="AG14" s="2">
        <f>T14*VLOOKUP(BS14,Exposure!$B$33:$C$53,2,FALSE)/VLOOKUP(BD14,Exposure!$B$33:$C$53,2,FALSE)</f>
        <v>101.69570721626131</v>
      </c>
      <c r="AH14" s="2">
        <f>U14*VLOOKUP(BT14,Exposure!$B$33:$C$53,2,FALSE)/VLOOKUP(BE14,Exposure!$B$33:$C$53,2,FALSE)</f>
        <v>3531.857505374483</v>
      </c>
      <c r="AI14" s="2">
        <f>V14*VLOOKUP(BU14,Exposure!$B$33:$C$53,2,FALSE)/VLOOKUP(BF14,Exposure!$B$33:$C$53,2,FALSE)</f>
        <v>574.00223114711525</v>
      </c>
      <c r="AJ14" s="2">
        <f>W14*VLOOKUP(BV14,Exposure!$B$33:$C$53,2,FALSE)/VLOOKUP(BG14,Exposure!$B$33:$C$53,2,FALSE)</f>
        <v>31.021225032892875</v>
      </c>
      <c r="AK14" s="2">
        <f>X14*VLOOKUP(BW14,Exposure!$B$33:$C$53,2,FALSE)/VLOOKUP(BH14,Exposure!$B$33:$C$53,2,FALSE)</f>
        <v>29.287646084591017</v>
      </c>
      <c r="AL14" s="2">
        <f>Y14*VLOOKUP(BX14,Exposure!$B$33:$C$53,2,FALSE)/VLOOKUP(BI14,Exposure!$B$33:$C$53,2,FALSE)</f>
        <v>48.299313302007654</v>
      </c>
      <c r="AM14" s="10"/>
      <c r="AY14" s="10"/>
      <c r="AZ14" s="2">
        <f t="shared" si="15"/>
        <v>2016</v>
      </c>
      <c r="BA14" s="2">
        <f t="shared" si="16"/>
        <v>2017</v>
      </c>
      <c r="BB14" s="2">
        <f t="shared" si="1"/>
        <v>2018</v>
      </c>
      <c r="BC14" s="2">
        <f t="shared" si="1"/>
        <v>2019</v>
      </c>
      <c r="BD14" s="2">
        <f t="shared" si="1"/>
        <v>2020</v>
      </c>
      <c r="BE14" s="2">
        <f t="shared" si="1"/>
        <v>2021</v>
      </c>
      <c r="BF14" s="2">
        <f t="shared" si="1"/>
        <v>2022</v>
      </c>
      <c r="BG14" s="2">
        <f t="shared" si="1"/>
        <v>2023</v>
      </c>
      <c r="BH14" s="2">
        <f t="shared" si="1"/>
        <v>2024</v>
      </c>
      <c r="BI14" s="2">
        <f t="shared" si="1"/>
        <v>2025</v>
      </c>
      <c r="BN14" s="10"/>
      <c r="BO14" s="2">
        <v>2027</v>
      </c>
      <c r="BP14" s="2">
        <f t="shared" si="17"/>
        <v>2028</v>
      </c>
      <c r="BQ14" s="2">
        <f t="shared" si="2"/>
        <v>2029</v>
      </c>
      <c r="BR14" s="2">
        <f t="shared" si="2"/>
        <v>2030</v>
      </c>
      <c r="BS14" s="2">
        <f t="shared" si="2"/>
        <v>2031</v>
      </c>
      <c r="BT14" s="2">
        <f t="shared" si="2"/>
        <v>2032</v>
      </c>
      <c r="BU14" s="2">
        <f t="shared" si="2"/>
        <v>2033</v>
      </c>
      <c r="BV14" s="2">
        <f t="shared" si="2"/>
        <v>2034</v>
      </c>
      <c r="BW14" s="2">
        <f t="shared" si="2"/>
        <v>2035</v>
      </c>
      <c r="BX14" s="2">
        <f t="shared" si="2"/>
        <v>2036</v>
      </c>
    </row>
    <row r="15" spans="1:76" x14ac:dyDescent="0.3">
      <c r="A15" s="12">
        <v>42721</v>
      </c>
      <c r="B15" s="13">
        <v>408506.28481003753</v>
      </c>
      <c r="C15" s="13">
        <v>841725.92094144132</v>
      </c>
      <c r="D15" s="13">
        <v>847014.84674173465</v>
      </c>
      <c r="E15" s="13">
        <v>882491.85351731989</v>
      </c>
      <c r="F15" s="13">
        <v>1036788.2249570172</v>
      </c>
      <c r="G15" s="13">
        <v>1162665.88217703</v>
      </c>
      <c r="H15" s="13">
        <v>1324549.6085240603</v>
      </c>
      <c r="I15" s="13">
        <v>1469476.3583590325</v>
      </c>
      <c r="J15" s="13">
        <v>2387942.8827201026</v>
      </c>
      <c r="K15" s="13">
        <v>2397781.7651496856</v>
      </c>
      <c r="O15" s="11">
        <f t="shared" si="3"/>
        <v>2016</v>
      </c>
      <c r="P15" s="36">
        <f t="shared" si="4"/>
        <v>1281489.3658696059</v>
      </c>
      <c r="Q15" s="36">
        <f t="shared" si="5"/>
        <v>9316.0928611331619</v>
      </c>
      <c r="R15" s="36">
        <f t="shared" si="6"/>
        <v>2763.5706834518351</v>
      </c>
      <c r="S15" s="36">
        <f t="shared" si="7"/>
        <v>94320.970585809089</v>
      </c>
      <c r="T15" s="36">
        <f t="shared" si="8"/>
        <v>384428.66741848388</v>
      </c>
      <c r="U15" s="36">
        <f t="shared" si="9"/>
        <v>463335.45669020689</v>
      </c>
      <c r="V15" s="36">
        <f t="shared" si="10"/>
        <v>49412.964561491739</v>
      </c>
      <c r="W15" s="36">
        <f t="shared" si="11"/>
        <v>59651.859224330634</v>
      </c>
      <c r="X15" s="36">
        <f t="shared" si="12"/>
        <v>1706.9216712750494</v>
      </c>
      <c r="Y15" s="36">
        <f t="shared" si="13"/>
        <v>18.319924817886204</v>
      </c>
      <c r="AA15" s="10"/>
      <c r="AB15" s="2">
        <f t="shared" si="14"/>
        <v>2016</v>
      </c>
      <c r="AC15" s="2">
        <f>P15*VLOOKUP(BO15,Exposure!$B$33:$C$53,2,FALSE)/VLOOKUP(AZ15,Exposure!$B$33:$C$53,2,FALSE)</f>
        <v>2057898.1930741186</v>
      </c>
      <c r="AD15" s="2">
        <f>Q15*VLOOKUP(BP15,Exposure!$B$33:$C$53,2,FALSE)/VLOOKUP(BA15,Exposure!$B$33:$C$53,2,FALSE)</f>
        <v>14913.05034253216</v>
      </c>
      <c r="AE15" s="2">
        <f>R15*VLOOKUP(BQ15,Exposure!$B$33:$C$53,2,FALSE)/VLOOKUP(BB15,Exposure!$B$33:$C$53,2,FALSE)</f>
        <v>4413.1121686130109</v>
      </c>
      <c r="AF15" s="2">
        <f>S15*VLOOKUP(BR15,Exposure!$B$33:$C$53,2,FALSE)/VLOOKUP(BC15,Exposure!$B$33:$C$53,2,FALSE)</f>
        <v>151144.56085088241</v>
      </c>
      <c r="AG15" s="2">
        <f>T15*VLOOKUP(BS15,Exposure!$B$33:$C$53,2,FALSE)/VLOOKUP(BD15,Exposure!$B$33:$C$53,2,FALSE)</f>
        <v>622405.96469227155</v>
      </c>
      <c r="AH15" s="2">
        <f>U15*VLOOKUP(BT15,Exposure!$B$33:$C$53,2,FALSE)/VLOOKUP(BE15,Exposure!$B$33:$C$53,2,FALSE)</f>
        <v>745534.23918734933</v>
      </c>
      <c r="AI15" s="2">
        <f>V15*VLOOKUP(BU15,Exposure!$B$33:$C$53,2,FALSE)/VLOOKUP(BF15,Exposure!$B$33:$C$53,2,FALSE)</f>
        <v>73940.102752842009</v>
      </c>
      <c r="AJ15" s="2">
        <f>W15*VLOOKUP(BV15,Exposure!$B$33:$C$53,2,FALSE)/VLOOKUP(BG15,Exposure!$B$33:$C$53,2,FALSE)</f>
        <v>87305.419765172715</v>
      </c>
      <c r="AK15" s="2">
        <f>X15*VLOOKUP(BW15,Exposure!$B$33:$C$53,2,FALSE)/VLOOKUP(BH15,Exposure!$B$33:$C$53,2,FALSE)</f>
        <v>2466.1318792498892</v>
      </c>
      <c r="AL15" s="2">
        <f>Y15*VLOOKUP(BX15,Exposure!$B$33:$C$53,2,FALSE)/VLOOKUP(BI15,Exposure!$B$33:$C$53,2,FALSE)</f>
        <v>26.297518041016176</v>
      </c>
      <c r="AM15" s="10"/>
      <c r="AY15" s="10"/>
      <c r="AZ15" s="2">
        <f t="shared" si="15"/>
        <v>2016</v>
      </c>
      <c r="BA15" s="2">
        <f t="shared" si="16"/>
        <v>2017</v>
      </c>
      <c r="BB15" s="2">
        <f t="shared" si="1"/>
        <v>2018</v>
      </c>
      <c r="BC15" s="2">
        <f t="shared" si="1"/>
        <v>2019</v>
      </c>
      <c r="BD15" s="2">
        <f t="shared" si="1"/>
        <v>2020</v>
      </c>
      <c r="BE15" s="2">
        <f t="shared" si="1"/>
        <v>2021</v>
      </c>
      <c r="BF15" s="2">
        <f t="shared" si="1"/>
        <v>2022</v>
      </c>
      <c r="BG15" s="2">
        <f t="shared" si="1"/>
        <v>2023</v>
      </c>
      <c r="BH15" s="2">
        <f t="shared" si="1"/>
        <v>2024</v>
      </c>
      <c r="BI15" s="2">
        <f t="shared" si="1"/>
        <v>2025</v>
      </c>
      <c r="BN15" s="10"/>
      <c r="BO15" s="2">
        <v>2027</v>
      </c>
      <c r="BP15" s="2">
        <f t="shared" si="17"/>
        <v>2028</v>
      </c>
      <c r="BQ15" s="2">
        <f t="shared" si="2"/>
        <v>2029</v>
      </c>
      <c r="BR15" s="2">
        <f t="shared" si="2"/>
        <v>2030</v>
      </c>
      <c r="BS15" s="2">
        <f t="shared" si="2"/>
        <v>2031</v>
      </c>
      <c r="BT15" s="2">
        <f t="shared" si="2"/>
        <v>2032</v>
      </c>
      <c r="BU15" s="2">
        <f t="shared" si="2"/>
        <v>2033</v>
      </c>
      <c r="BV15" s="2">
        <f t="shared" si="2"/>
        <v>2034</v>
      </c>
      <c r="BW15" s="2">
        <f t="shared" si="2"/>
        <v>2035</v>
      </c>
      <c r="BX15" s="2">
        <f t="shared" si="2"/>
        <v>2036</v>
      </c>
    </row>
    <row r="16" spans="1:76" x14ac:dyDescent="0.3">
      <c r="A16" s="12">
        <v>42761</v>
      </c>
      <c r="B16" s="13">
        <v>590333.3475396001</v>
      </c>
      <c r="C16" s="13">
        <v>604906.01259143569</v>
      </c>
      <c r="D16" s="13">
        <v>1968378.307742551</v>
      </c>
      <c r="E16" s="13">
        <v>2262788.9753625682</v>
      </c>
      <c r="F16" s="13">
        <v>2505929.7644529315</v>
      </c>
      <c r="G16" s="13">
        <v>2958402.5867953193</v>
      </c>
      <c r="H16" s="13">
        <v>2959750.0309470035</v>
      </c>
      <c r="I16" s="13">
        <v>2960125.9323849464</v>
      </c>
      <c r="J16" s="13">
        <v>2960133.4445210304</v>
      </c>
      <c r="O16" s="11">
        <f t="shared" si="3"/>
        <v>2016</v>
      </c>
      <c r="P16" s="36">
        <f t="shared" si="4"/>
        <v>408506.28481003753</v>
      </c>
      <c r="Q16" s="36">
        <f>C15-B15</f>
        <v>433219.63613140379</v>
      </c>
      <c r="R16" s="36">
        <f t="shared" si="6"/>
        <v>5288.9258002933348</v>
      </c>
      <c r="S16" s="36">
        <f t="shared" si="7"/>
        <v>35477.006775585236</v>
      </c>
      <c r="T16" s="36">
        <f t="shared" si="8"/>
        <v>154296.37143969734</v>
      </c>
      <c r="U16" s="36">
        <f t="shared" si="9"/>
        <v>125877.65722001274</v>
      </c>
      <c r="V16" s="36">
        <f t="shared" si="10"/>
        <v>161883.72634703037</v>
      </c>
      <c r="W16" s="36">
        <f t="shared" si="11"/>
        <v>144926.7498349722</v>
      </c>
      <c r="X16" s="36">
        <f t="shared" si="12"/>
        <v>918466.52436107001</v>
      </c>
      <c r="Y16" s="36">
        <f t="shared" si="13"/>
        <v>9838.8824295829982</v>
      </c>
      <c r="AA16" s="10"/>
      <c r="AB16" s="2">
        <f t="shared" si="14"/>
        <v>2016</v>
      </c>
      <c r="AC16" s="2">
        <f>P16*VLOOKUP(BO16,Exposure!$B$33:$C$53,2,FALSE)/VLOOKUP(AZ16,Exposure!$B$33:$C$53,2,FALSE)</f>
        <v>656005.71316448739</v>
      </c>
      <c r="AD16" s="2">
        <f>Q16*VLOOKUP(BP16,Exposure!$B$33:$C$53,2,FALSE)/VLOOKUP(BA16,Exposure!$B$33:$C$53,2,FALSE)</f>
        <v>693490.96657837008</v>
      </c>
      <c r="AE16" s="2">
        <f>R16*VLOOKUP(BQ16,Exposure!$B$33:$C$53,2,FALSE)/VLOOKUP(BB16,Exposure!$B$33:$C$53,2,FALSE)</f>
        <v>8445.8208172234063</v>
      </c>
      <c r="AF16" s="2">
        <f>S16*VLOOKUP(BR16,Exposure!$B$33:$C$53,2,FALSE)/VLOOKUP(BC16,Exposure!$B$33:$C$53,2,FALSE)</f>
        <v>56850.099994691584</v>
      </c>
      <c r="AG16" s="2">
        <f>T16*VLOOKUP(BS16,Exposure!$B$33:$C$53,2,FALSE)/VLOOKUP(BD16,Exposure!$B$33:$C$53,2,FALSE)</f>
        <v>249812.22799885392</v>
      </c>
      <c r="AH16" s="2">
        <f>U16*VLOOKUP(BT16,Exposure!$B$33:$C$53,2,FALSE)/VLOOKUP(BE16,Exposure!$B$33:$C$53,2,FALSE)</f>
        <v>202544.61870151042</v>
      </c>
      <c r="AI16" s="2">
        <f>V16*VLOOKUP(BU16,Exposure!$B$33:$C$53,2,FALSE)/VLOOKUP(BF16,Exposure!$B$33:$C$53,2,FALSE)</f>
        <v>242238.03340551944</v>
      </c>
      <c r="AJ16" s="2">
        <f>W16*VLOOKUP(BV16,Exposure!$B$33:$C$53,2,FALSE)/VLOOKUP(BG16,Exposure!$B$33:$C$53,2,FALSE)</f>
        <v>212112.2609433035</v>
      </c>
      <c r="AK16" s="2">
        <f>X16*VLOOKUP(BW16,Exposure!$B$33:$C$53,2,FALSE)/VLOOKUP(BH16,Exposure!$B$33:$C$53,2,FALSE)</f>
        <v>1326985.071352869</v>
      </c>
      <c r="AL16" s="2">
        <f>Y16*VLOOKUP(BX16,Exposure!$B$33:$C$53,2,FALSE)/VLOOKUP(BI16,Exposure!$B$33:$C$53,2,FALSE)</f>
        <v>14123.321507454189</v>
      </c>
      <c r="AM16" s="10"/>
      <c r="AY16" s="10"/>
      <c r="AZ16" s="2">
        <f t="shared" si="15"/>
        <v>2016</v>
      </c>
      <c r="BA16" s="2">
        <f t="shared" si="16"/>
        <v>2017</v>
      </c>
      <c r="BB16" s="2">
        <f t="shared" si="1"/>
        <v>2018</v>
      </c>
      <c r="BC16" s="2">
        <f t="shared" si="1"/>
        <v>2019</v>
      </c>
      <c r="BD16" s="2">
        <f t="shared" si="1"/>
        <v>2020</v>
      </c>
      <c r="BE16" s="2">
        <f t="shared" si="1"/>
        <v>2021</v>
      </c>
      <c r="BF16" s="2">
        <f t="shared" si="1"/>
        <v>2022</v>
      </c>
      <c r="BG16" s="2">
        <f t="shared" si="1"/>
        <v>2023</v>
      </c>
      <c r="BH16" s="2">
        <f t="shared" si="1"/>
        <v>2024</v>
      </c>
      <c r="BI16" s="2">
        <f t="shared" si="1"/>
        <v>2025</v>
      </c>
      <c r="BN16" s="10"/>
      <c r="BO16" s="2">
        <v>2027</v>
      </c>
      <c r="BP16" s="2">
        <f t="shared" si="17"/>
        <v>2028</v>
      </c>
      <c r="BQ16" s="2">
        <f t="shared" si="2"/>
        <v>2029</v>
      </c>
      <c r="BR16" s="2">
        <f t="shared" si="2"/>
        <v>2030</v>
      </c>
      <c r="BS16" s="2">
        <f t="shared" si="2"/>
        <v>2031</v>
      </c>
      <c r="BT16" s="2">
        <f t="shared" si="2"/>
        <v>2032</v>
      </c>
      <c r="BU16" s="2">
        <f t="shared" si="2"/>
        <v>2033</v>
      </c>
      <c r="BV16" s="2">
        <f t="shared" si="2"/>
        <v>2034</v>
      </c>
      <c r="BW16" s="2">
        <f t="shared" si="2"/>
        <v>2035</v>
      </c>
      <c r="BX16" s="2">
        <f t="shared" si="2"/>
        <v>2036</v>
      </c>
    </row>
    <row r="17" spans="1:76" x14ac:dyDescent="0.3">
      <c r="A17" s="12">
        <v>42775</v>
      </c>
      <c r="B17" s="13">
        <v>297429.68853720953</v>
      </c>
      <c r="C17" s="13">
        <v>324197.87240351894</v>
      </c>
      <c r="D17" s="13">
        <v>330954.09666907554</v>
      </c>
      <c r="E17" s="13">
        <v>1212830.969637485</v>
      </c>
      <c r="F17" s="13">
        <v>1215271.6847817323</v>
      </c>
      <c r="G17" s="13">
        <v>1231003.8009908558</v>
      </c>
      <c r="H17" s="13">
        <v>1233298.6200433436</v>
      </c>
      <c r="I17" s="13">
        <v>1250468.7063512327</v>
      </c>
      <c r="J17" s="13">
        <v>1277885.6642350082</v>
      </c>
      <c r="O17" s="11">
        <f t="shared" si="3"/>
        <v>2017</v>
      </c>
      <c r="P17" s="36">
        <f t="shared" si="4"/>
        <v>590333.3475396001</v>
      </c>
      <c r="Q17" s="36">
        <f t="shared" ref="Q17:Q29" si="18">C16-B16</f>
        <v>14572.665051835589</v>
      </c>
      <c r="R17" s="36">
        <f t="shared" ref="R17:R29" si="19">D16-C16</f>
        <v>1363472.2951511154</v>
      </c>
      <c r="S17" s="36">
        <f t="shared" ref="S17:S28" si="20">E16-D16</f>
        <v>294410.66762001719</v>
      </c>
      <c r="T17" s="36">
        <f t="shared" ref="T17:T29" si="21">F16-E16</f>
        <v>243140.78909036331</v>
      </c>
      <c r="U17" s="36">
        <f t="shared" ref="U17:U29" si="22">G16-F16</f>
        <v>452472.82234238787</v>
      </c>
      <c r="V17" s="36">
        <f t="shared" ref="V17:V29" si="23">H16-G16</f>
        <v>1347.4441516841762</v>
      </c>
      <c r="W17" s="36">
        <f t="shared" ref="W17:W29" si="24">I16-H16</f>
        <v>375.90143794286996</v>
      </c>
      <c r="X17" s="36">
        <f t="shared" ref="X17:X29" si="25">J16-I16</f>
        <v>7.5121360840275884</v>
      </c>
      <c r="AA17" s="10"/>
      <c r="AB17" s="2">
        <f t="shared" si="14"/>
        <v>2017</v>
      </c>
      <c r="AC17" s="2">
        <f>P17*VLOOKUP(BO17,Exposure!$B$33:$C$53,2,FALSE)/VLOOKUP(AZ17,Exposure!$B$33:$C$53,2,FALSE)</f>
        <v>914807.40307194053</v>
      </c>
      <c r="AD17" s="2">
        <f>Q17*VLOOKUP(BP17,Exposure!$B$33:$C$53,2,FALSE)/VLOOKUP(BA17,Exposure!$B$33:$C$53,2,FALSE)</f>
        <v>22527.502706018971</v>
      </c>
      <c r="AE17" s="2">
        <f>R17*VLOOKUP(BQ17,Exposure!$B$33:$C$53,2,FALSE)/VLOOKUP(BB17,Exposure!$B$33:$C$53,2,FALSE)</f>
        <v>2115096.8490906423</v>
      </c>
      <c r="AF17" s="2">
        <f>S17*VLOOKUP(BR17,Exposure!$B$33:$C$53,2,FALSE)/VLOOKUP(BC17,Exposure!$B$33:$C$53,2,FALSE)</f>
        <v>461435.70925212739</v>
      </c>
      <c r="AG17" s="2">
        <f>T17*VLOOKUP(BS17,Exposure!$B$33:$C$53,2,FALSE)/VLOOKUP(BD17,Exposure!$B$33:$C$53,2,FALSE)</f>
        <v>378729.86933356436</v>
      </c>
      <c r="AH17" s="2">
        <f>U17*VLOOKUP(BT17,Exposure!$B$33:$C$53,2,FALSE)/VLOOKUP(BE17,Exposure!$B$33:$C$53,2,FALSE)</f>
        <v>655437.54679175653</v>
      </c>
      <c r="AI17" s="2">
        <f>V17*VLOOKUP(BU17,Exposure!$B$33:$C$53,2,FALSE)/VLOOKUP(BF17,Exposure!$B$33:$C$53,2,FALSE)</f>
        <v>1909.0955826467193</v>
      </c>
      <c r="AJ17" s="2">
        <f>W17*VLOOKUP(BV17,Exposure!$B$33:$C$53,2,FALSE)/VLOOKUP(BG17,Exposure!$B$33:$C$53,2,FALSE)</f>
        <v>525.74647618206643</v>
      </c>
      <c r="AK17" s="2">
        <f>X17*VLOOKUP(BW17,Exposure!$B$33:$C$53,2,FALSE)/VLOOKUP(BH17,Exposure!$B$33:$C$53,2,FALSE)</f>
        <v>10.438887081805932</v>
      </c>
      <c r="AM17" s="10"/>
      <c r="AY17" s="10"/>
      <c r="AZ17" s="2">
        <f t="shared" si="15"/>
        <v>2017</v>
      </c>
      <c r="BA17" s="2">
        <f t="shared" si="16"/>
        <v>2018</v>
      </c>
      <c r="BB17" s="2">
        <f t="shared" si="1"/>
        <v>2019</v>
      </c>
      <c r="BC17" s="2">
        <f t="shared" si="1"/>
        <v>2020</v>
      </c>
      <c r="BD17" s="2">
        <f t="shared" si="1"/>
        <v>2021</v>
      </c>
      <c r="BE17" s="2">
        <f t="shared" si="1"/>
        <v>2022</v>
      </c>
      <c r="BF17" s="2">
        <f t="shared" si="1"/>
        <v>2023</v>
      </c>
      <c r="BG17" s="2">
        <f t="shared" si="1"/>
        <v>2024</v>
      </c>
      <c r="BH17" s="2">
        <f t="shared" si="1"/>
        <v>2025</v>
      </c>
      <c r="BI17" s="7"/>
      <c r="BN17" s="10"/>
      <c r="BO17" s="2">
        <v>2027</v>
      </c>
      <c r="BP17" s="2">
        <f t="shared" si="17"/>
        <v>2028</v>
      </c>
      <c r="BQ17" s="2">
        <f t="shared" si="2"/>
        <v>2029</v>
      </c>
      <c r="BR17" s="2">
        <f t="shared" si="2"/>
        <v>2030</v>
      </c>
      <c r="BS17" s="2">
        <f t="shared" si="2"/>
        <v>2031</v>
      </c>
      <c r="BT17" s="2">
        <f t="shared" si="2"/>
        <v>2032</v>
      </c>
      <c r="BU17" s="2">
        <f t="shared" si="2"/>
        <v>2033</v>
      </c>
      <c r="BV17" s="2">
        <f t="shared" si="2"/>
        <v>2034</v>
      </c>
      <c r="BW17" s="2">
        <f t="shared" si="2"/>
        <v>2035</v>
      </c>
      <c r="BX17" s="7"/>
    </row>
    <row r="18" spans="1:76" x14ac:dyDescent="0.3">
      <c r="A18" s="12">
        <v>42832</v>
      </c>
      <c r="B18" s="13">
        <v>92188.352025311237</v>
      </c>
      <c r="C18" s="13">
        <v>850262.73288585374</v>
      </c>
      <c r="D18" s="13">
        <v>1281096.0528547685</v>
      </c>
      <c r="E18" s="13">
        <v>1357000.0523502461</v>
      </c>
      <c r="F18" s="13">
        <v>1357180.3995396825</v>
      </c>
      <c r="G18" s="13">
        <v>1727536.6600574681</v>
      </c>
      <c r="H18" s="13">
        <v>1730782.0830681359</v>
      </c>
      <c r="I18" s="13">
        <v>1854340.6428887844</v>
      </c>
      <c r="J18" s="13">
        <v>1858893.6260253033</v>
      </c>
      <c r="O18" s="11">
        <f t="shared" si="3"/>
        <v>2017</v>
      </c>
      <c r="P18" s="36">
        <f t="shared" si="4"/>
        <v>297429.68853720953</v>
      </c>
      <c r="Q18" s="36">
        <f t="shared" si="18"/>
        <v>26768.183866309409</v>
      </c>
      <c r="R18" s="36">
        <f t="shared" si="19"/>
        <v>6756.2242655566079</v>
      </c>
      <c r="S18" s="36">
        <f t="shared" si="20"/>
        <v>881876.87296840944</v>
      </c>
      <c r="T18" s="36">
        <f t="shared" si="21"/>
        <v>2440.7151442472823</v>
      </c>
      <c r="U18" s="36">
        <f t="shared" si="22"/>
        <v>15732.116209123516</v>
      </c>
      <c r="V18" s="36">
        <f t="shared" si="23"/>
        <v>2294.8190524878446</v>
      </c>
      <c r="W18" s="36">
        <f t="shared" si="24"/>
        <v>17170.086307889083</v>
      </c>
      <c r="X18" s="36">
        <f t="shared" si="25"/>
        <v>27416.957883775467</v>
      </c>
      <c r="AA18" s="10"/>
      <c r="AB18" s="2">
        <f t="shared" si="14"/>
        <v>2017</v>
      </c>
      <c r="AC18" s="2">
        <f>P18*VLOOKUP(BO18,Exposure!$B$33:$C$53,2,FALSE)/VLOOKUP(AZ18,Exposure!$B$33:$C$53,2,FALSE)</f>
        <v>460910.57213902124</v>
      </c>
      <c r="AD18" s="2">
        <f>Q18*VLOOKUP(BP18,Exposure!$B$33:$C$53,2,FALSE)/VLOOKUP(BA18,Exposure!$B$33:$C$53,2,FALSE)</f>
        <v>41380.23706292086</v>
      </c>
      <c r="AE18" s="2">
        <f>R18*VLOOKUP(BQ18,Exposure!$B$33:$C$53,2,FALSE)/VLOOKUP(BB18,Exposure!$B$33:$C$53,2,FALSE)</f>
        <v>10480.644679505374</v>
      </c>
      <c r="AF18" s="2">
        <f>S18*VLOOKUP(BR18,Exposure!$B$33:$C$53,2,FALSE)/VLOOKUP(BC18,Exposure!$B$33:$C$53,2,FALSE)</f>
        <v>1382183.2056589476</v>
      </c>
      <c r="AG18" s="2">
        <f>T18*VLOOKUP(BS18,Exposure!$B$33:$C$53,2,FALSE)/VLOOKUP(BD18,Exposure!$B$33:$C$53,2,FALSE)</f>
        <v>3801.7961984884487</v>
      </c>
      <c r="AH18" s="2">
        <f>U18*VLOOKUP(BT18,Exposure!$B$33:$C$53,2,FALSE)/VLOOKUP(BE18,Exposure!$B$33:$C$53,2,FALSE)</f>
        <v>22789.036478633087</v>
      </c>
      <c r="AI18" s="2">
        <f>V18*VLOOKUP(BU18,Exposure!$B$33:$C$53,2,FALSE)/VLOOKUP(BF18,Exposure!$B$33:$C$53,2,FALSE)</f>
        <v>3251.3621515238365</v>
      </c>
      <c r="AJ18" s="2">
        <f>W18*VLOOKUP(BV18,Exposure!$B$33:$C$53,2,FALSE)/VLOOKUP(BG18,Exposure!$B$33:$C$53,2,FALSE)</f>
        <v>24014.572600508607</v>
      </c>
      <c r="AK18" s="2">
        <f>X18*VLOOKUP(BW18,Exposure!$B$33:$C$53,2,FALSE)/VLOOKUP(BH18,Exposure!$B$33:$C$53,2,FALSE)</f>
        <v>38098.687813162622</v>
      </c>
      <c r="AM18" s="10"/>
      <c r="AY18" s="10"/>
      <c r="AZ18" s="2">
        <f t="shared" si="15"/>
        <v>2017</v>
      </c>
      <c r="BA18" s="2">
        <f t="shared" si="16"/>
        <v>2018</v>
      </c>
      <c r="BB18" s="2">
        <f t="shared" si="16"/>
        <v>2019</v>
      </c>
      <c r="BC18" s="2">
        <f t="shared" si="16"/>
        <v>2020</v>
      </c>
      <c r="BD18" s="2">
        <f t="shared" si="16"/>
        <v>2021</v>
      </c>
      <c r="BE18" s="2">
        <f t="shared" si="16"/>
        <v>2022</v>
      </c>
      <c r="BF18" s="2">
        <f t="shared" si="16"/>
        <v>2023</v>
      </c>
      <c r="BG18" s="2">
        <f t="shared" si="16"/>
        <v>2024</v>
      </c>
      <c r="BH18" s="2">
        <f t="shared" si="16"/>
        <v>2025</v>
      </c>
      <c r="BI18" s="7"/>
      <c r="BN18" s="10"/>
      <c r="BO18" s="2">
        <v>2027</v>
      </c>
      <c r="BP18" s="2">
        <f t="shared" si="17"/>
        <v>2028</v>
      </c>
      <c r="BQ18" s="2">
        <f t="shared" si="17"/>
        <v>2029</v>
      </c>
      <c r="BR18" s="2">
        <f t="shared" si="17"/>
        <v>2030</v>
      </c>
      <c r="BS18" s="2">
        <f t="shared" si="17"/>
        <v>2031</v>
      </c>
      <c r="BT18" s="2">
        <f t="shared" si="17"/>
        <v>2032</v>
      </c>
      <c r="BU18" s="2">
        <f t="shared" si="17"/>
        <v>2033</v>
      </c>
      <c r="BV18" s="2">
        <f t="shared" si="17"/>
        <v>2034</v>
      </c>
      <c r="BW18" s="2">
        <f t="shared" si="17"/>
        <v>2035</v>
      </c>
      <c r="BX18" s="7"/>
    </row>
    <row r="19" spans="1:76" x14ac:dyDescent="0.3">
      <c r="A19" s="12">
        <v>42844</v>
      </c>
      <c r="B19" s="13">
        <v>36320.3045790818</v>
      </c>
      <c r="C19" s="13">
        <v>212686.51228288934</v>
      </c>
      <c r="D19" s="13">
        <v>497060.29524593434</v>
      </c>
      <c r="E19" s="13">
        <v>744519.85224594886</v>
      </c>
      <c r="F19" s="13">
        <v>1259933.8006785747</v>
      </c>
      <c r="G19" s="13">
        <v>1259933.9201800975</v>
      </c>
      <c r="H19" s="13">
        <v>1259933.9995157977</v>
      </c>
      <c r="I19" s="13">
        <v>1259933.9999057031</v>
      </c>
      <c r="J19" s="13">
        <v>1259933.9999606528</v>
      </c>
      <c r="O19" s="11">
        <f t="shared" si="3"/>
        <v>2017</v>
      </c>
      <c r="P19" s="36">
        <f t="shared" si="4"/>
        <v>92188.352025311237</v>
      </c>
      <c r="Q19" s="36">
        <f t="shared" si="18"/>
        <v>758074.38086054253</v>
      </c>
      <c r="R19" s="36">
        <f t="shared" si="19"/>
        <v>430833.31996891473</v>
      </c>
      <c r="S19" s="36">
        <f t="shared" si="20"/>
        <v>75903.999495477648</v>
      </c>
      <c r="T19" s="36">
        <f t="shared" si="21"/>
        <v>180.34718943643384</v>
      </c>
      <c r="U19" s="36">
        <f t="shared" si="22"/>
        <v>370356.26051778556</v>
      </c>
      <c r="V19" s="36">
        <f t="shared" si="23"/>
        <v>3245.423010667786</v>
      </c>
      <c r="W19" s="36">
        <f t="shared" si="24"/>
        <v>123558.55982064852</v>
      </c>
      <c r="X19" s="36">
        <f t="shared" si="25"/>
        <v>4552.9831365188584</v>
      </c>
      <c r="AA19" s="10"/>
      <c r="AB19" s="2">
        <f t="shared" si="14"/>
        <v>2017</v>
      </c>
      <c r="AC19" s="2">
        <f>P19*VLOOKUP(BO19,Exposure!$B$33:$C$53,2,FALSE)/VLOOKUP(AZ19,Exposure!$B$33:$C$53,2,FALSE)</f>
        <v>142859.2629253417</v>
      </c>
      <c r="AD19" s="2">
        <f>Q19*VLOOKUP(BP19,Exposure!$B$33:$C$53,2,FALSE)/VLOOKUP(BA19,Exposure!$B$33:$C$53,2,FALSE)</f>
        <v>1171887.4073790933</v>
      </c>
      <c r="AE19" s="2">
        <f>R19*VLOOKUP(BQ19,Exposure!$B$33:$C$53,2,FALSE)/VLOOKUP(BB19,Exposure!$B$33:$C$53,2,FALSE)</f>
        <v>668333.49000942963</v>
      </c>
      <c r="AF19" s="2">
        <f>S19*VLOOKUP(BR19,Exposure!$B$33:$C$53,2,FALSE)/VLOOKUP(BC19,Exposure!$B$33:$C$53,2,FALSE)</f>
        <v>118965.85176551355</v>
      </c>
      <c r="AG19" s="2">
        <f>T19*VLOOKUP(BS19,Exposure!$B$33:$C$53,2,FALSE)/VLOOKUP(BD19,Exposure!$B$33:$C$53,2,FALSE)</f>
        <v>280.9190006558357</v>
      </c>
      <c r="AH19" s="2">
        <f>U19*VLOOKUP(BT19,Exposure!$B$33:$C$53,2,FALSE)/VLOOKUP(BE19,Exposure!$B$33:$C$53,2,FALSE)</f>
        <v>536486.14203188464</v>
      </c>
      <c r="AI19" s="2">
        <f>V19*VLOOKUP(BU19,Exposure!$B$33:$C$53,2,FALSE)/VLOOKUP(BF19,Exposure!$B$33:$C$53,2,FALSE)</f>
        <v>4598.2037368611536</v>
      </c>
      <c r="AJ19" s="2">
        <f>W19*VLOOKUP(BV19,Exposure!$B$33:$C$53,2,FALSE)/VLOOKUP(BG19,Exposure!$B$33:$C$53,2,FALSE)</f>
        <v>172812.52709043853</v>
      </c>
      <c r="AK19" s="2">
        <f>X19*VLOOKUP(BW19,Exposure!$B$33:$C$53,2,FALSE)/VLOOKUP(BH19,Exposure!$B$33:$C$53,2,FALSE)</f>
        <v>6326.8391727543185</v>
      </c>
      <c r="AM19" s="10"/>
      <c r="AY19" s="10"/>
      <c r="AZ19" s="2">
        <f t="shared" si="15"/>
        <v>2017</v>
      </c>
      <c r="BA19" s="2">
        <f t="shared" ref="BA19:BH34" si="26">$AZ19+BA$1-1</f>
        <v>2018</v>
      </c>
      <c r="BB19" s="2">
        <f t="shared" si="26"/>
        <v>2019</v>
      </c>
      <c r="BC19" s="2">
        <f t="shared" si="26"/>
        <v>2020</v>
      </c>
      <c r="BD19" s="2">
        <f t="shared" si="26"/>
        <v>2021</v>
      </c>
      <c r="BE19" s="2">
        <f t="shared" si="26"/>
        <v>2022</v>
      </c>
      <c r="BF19" s="2">
        <f t="shared" si="26"/>
        <v>2023</v>
      </c>
      <c r="BG19" s="2">
        <f t="shared" si="26"/>
        <v>2024</v>
      </c>
      <c r="BH19" s="2">
        <f t="shared" si="26"/>
        <v>2025</v>
      </c>
      <c r="BI19" s="7"/>
      <c r="BN19" s="10"/>
      <c r="BO19" s="2">
        <v>2027</v>
      </c>
      <c r="BP19" s="2">
        <f t="shared" ref="BP19:BW34" si="27">$BO19+BP$1-1</f>
        <v>2028</v>
      </c>
      <c r="BQ19" s="2">
        <f t="shared" si="27"/>
        <v>2029</v>
      </c>
      <c r="BR19" s="2">
        <f t="shared" si="27"/>
        <v>2030</v>
      </c>
      <c r="BS19" s="2">
        <f t="shared" si="27"/>
        <v>2031</v>
      </c>
      <c r="BT19" s="2">
        <f t="shared" si="27"/>
        <v>2032</v>
      </c>
      <c r="BU19" s="2">
        <f t="shared" si="27"/>
        <v>2033</v>
      </c>
      <c r="BV19" s="2">
        <f t="shared" si="27"/>
        <v>2034</v>
      </c>
      <c r="BW19" s="2">
        <f t="shared" si="27"/>
        <v>2035</v>
      </c>
      <c r="BX19" s="7"/>
    </row>
    <row r="20" spans="1:76" x14ac:dyDescent="0.3">
      <c r="A20" s="12">
        <v>42844</v>
      </c>
      <c r="B20" s="13">
        <v>100859.95917349447</v>
      </c>
      <c r="C20" s="13">
        <v>1565441.6198001246</v>
      </c>
      <c r="D20" s="13">
        <v>1662022.0261050626</v>
      </c>
      <c r="E20" s="13">
        <v>2532525.5544789033</v>
      </c>
      <c r="F20" s="13">
        <v>2592835.1328043905</v>
      </c>
      <c r="G20" s="13">
        <v>2592972.1519807307</v>
      </c>
      <c r="H20" s="13">
        <v>2615002.3464909359</v>
      </c>
      <c r="I20" s="13">
        <v>2618178.6683070259</v>
      </c>
      <c r="J20" s="13">
        <v>2618827.0691840383</v>
      </c>
      <c r="O20" s="11">
        <f t="shared" si="3"/>
        <v>2017</v>
      </c>
      <c r="P20" s="36">
        <f t="shared" si="4"/>
        <v>36320.3045790818</v>
      </c>
      <c r="Q20" s="36">
        <f t="shared" si="18"/>
        <v>176366.20770380754</v>
      </c>
      <c r="R20" s="36">
        <f t="shared" si="19"/>
        <v>284373.782963045</v>
      </c>
      <c r="S20" s="36">
        <f t="shared" si="20"/>
        <v>247459.55700001452</v>
      </c>
      <c r="T20" s="36">
        <f t="shared" si="21"/>
        <v>515413.94843262585</v>
      </c>
      <c r="U20" s="36">
        <f t="shared" si="22"/>
        <v>0.11950152274221182</v>
      </c>
      <c r="V20" s="36">
        <f t="shared" si="23"/>
        <v>7.9335700254887342E-2</v>
      </c>
      <c r="W20" s="36">
        <f t="shared" si="24"/>
        <v>3.8990541361272335E-4</v>
      </c>
      <c r="X20" s="36">
        <f t="shared" si="25"/>
        <v>5.494966171681881E-5</v>
      </c>
      <c r="AA20" s="10"/>
      <c r="AB20" s="2">
        <f t="shared" si="14"/>
        <v>2017</v>
      </c>
      <c r="AC20" s="2">
        <f>P20*VLOOKUP(BO20,Exposure!$B$33:$C$53,2,FALSE)/VLOOKUP(AZ20,Exposure!$B$33:$C$53,2,FALSE)</f>
        <v>56283.595784063167</v>
      </c>
      <c r="AD20" s="2">
        <f>Q20*VLOOKUP(BP20,Exposure!$B$33:$C$53,2,FALSE)/VLOOKUP(BA20,Exposure!$B$33:$C$53,2,FALSE)</f>
        <v>272639.91913389746</v>
      </c>
      <c r="AE20" s="2">
        <f>R20*VLOOKUP(BQ20,Exposure!$B$33:$C$53,2,FALSE)/VLOOKUP(BB20,Exposure!$B$33:$C$53,2,FALSE)</f>
        <v>441137.0105928409</v>
      </c>
      <c r="AF20" s="2">
        <f>S20*VLOOKUP(BR20,Exposure!$B$33:$C$53,2,FALSE)/VLOOKUP(BC20,Exposure!$B$33:$C$53,2,FALSE)</f>
        <v>387848.29747709626</v>
      </c>
      <c r="AG20" s="2">
        <f>T20*VLOOKUP(BS20,Exposure!$B$33:$C$53,2,FALSE)/VLOOKUP(BD20,Exposure!$B$33:$C$53,2,FALSE)</f>
        <v>802837.96919832239</v>
      </c>
      <c r="AH20" s="2">
        <f>U20*VLOOKUP(BT20,Exposure!$B$33:$C$53,2,FALSE)/VLOOKUP(BE20,Exposure!$B$33:$C$53,2,FALSE)</f>
        <v>0.17310605419028949</v>
      </c>
      <c r="AI20" s="2">
        <f>V20*VLOOKUP(BU20,Exposure!$B$33:$C$53,2,FALSE)/VLOOKUP(BF20,Exposure!$B$33:$C$53,2,FALSE)</f>
        <v>0.11240498147064561</v>
      </c>
      <c r="AJ20" s="2">
        <f>W20*VLOOKUP(BV20,Exposure!$B$33:$C$53,2,FALSE)/VLOOKUP(BG20,Exposure!$B$33:$C$53,2,FALSE)</f>
        <v>5.4533283610996798E-4</v>
      </c>
      <c r="AK20" s="2">
        <f>X20*VLOOKUP(BW20,Exposure!$B$33:$C$53,2,FALSE)/VLOOKUP(BH20,Exposure!$B$33:$C$53,2,FALSE)</f>
        <v>7.6358216548410351E-5</v>
      </c>
      <c r="AM20" s="10"/>
      <c r="AY20" s="10"/>
      <c r="AZ20" s="2">
        <f t="shared" si="15"/>
        <v>2017</v>
      </c>
      <c r="BA20" s="2">
        <f t="shared" si="26"/>
        <v>2018</v>
      </c>
      <c r="BB20" s="2">
        <f t="shared" si="26"/>
        <v>2019</v>
      </c>
      <c r="BC20" s="2">
        <f t="shared" si="26"/>
        <v>2020</v>
      </c>
      <c r="BD20" s="2">
        <f t="shared" si="26"/>
        <v>2021</v>
      </c>
      <c r="BE20" s="2">
        <f t="shared" si="26"/>
        <v>2022</v>
      </c>
      <c r="BF20" s="2">
        <f t="shared" si="26"/>
        <v>2023</v>
      </c>
      <c r="BG20" s="2">
        <f t="shared" si="26"/>
        <v>2024</v>
      </c>
      <c r="BH20" s="2">
        <f t="shared" si="26"/>
        <v>2025</v>
      </c>
      <c r="BI20" s="7"/>
      <c r="BN20" s="10"/>
      <c r="BO20" s="2">
        <v>2027</v>
      </c>
      <c r="BP20" s="2">
        <f t="shared" si="27"/>
        <v>2028</v>
      </c>
      <c r="BQ20" s="2">
        <f t="shared" si="27"/>
        <v>2029</v>
      </c>
      <c r="BR20" s="2">
        <f t="shared" si="27"/>
        <v>2030</v>
      </c>
      <c r="BS20" s="2">
        <f t="shared" si="27"/>
        <v>2031</v>
      </c>
      <c r="BT20" s="2">
        <f t="shared" si="27"/>
        <v>2032</v>
      </c>
      <c r="BU20" s="2">
        <f t="shared" si="27"/>
        <v>2033</v>
      </c>
      <c r="BV20" s="2">
        <f t="shared" si="27"/>
        <v>2034</v>
      </c>
      <c r="BW20" s="2">
        <f t="shared" si="27"/>
        <v>2035</v>
      </c>
      <c r="BX20" s="7"/>
    </row>
    <row r="21" spans="1:76" x14ac:dyDescent="0.3">
      <c r="A21" s="12">
        <v>42884</v>
      </c>
      <c r="B21" s="13">
        <v>192663.34103790487</v>
      </c>
      <c r="C21" s="13">
        <v>249091.68545887157</v>
      </c>
      <c r="D21" s="13">
        <v>500853.75506386207</v>
      </c>
      <c r="E21" s="13">
        <v>590380.75355393533</v>
      </c>
      <c r="F21" s="13">
        <v>1060433.2063945495</v>
      </c>
      <c r="G21" s="13">
        <v>1060629.0065279843</v>
      </c>
      <c r="H21" s="13">
        <v>1064819.5011252887</v>
      </c>
      <c r="I21" s="13">
        <v>1065471.5650317231</v>
      </c>
      <c r="J21" s="13">
        <v>1067758.8</v>
      </c>
      <c r="O21" s="11">
        <f t="shared" si="3"/>
        <v>2017</v>
      </c>
      <c r="P21" s="36">
        <f t="shared" si="4"/>
        <v>100859.95917349447</v>
      </c>
      <c r="Q21" s="36">
        <f t="shared" si="18"/>
        <v>1464581.6606266301</v>
      </c>
      <c r="R21" s="36">
        <f t="shared" si="19"/>
        <v>96580.40630493802</v>
      </c>
      <c r="S21" s="36">
        <f t="shared" si="20"/>
        <v>870503.52837384073</v>
      </c>
      <c r="T21" s="36">
        <f t="shared" si="21"/>
        <v>60309.578325487208</v>
      </c>
      <c r="U21" s="36">
        <f t="shared" si="22"/>
        <v>137.01917634019628</v>
      </c>
      <c r="V21" s="36">
        <f t="shared" si="23"/>
        <v>22030.194510205183</v>
      </c>
      <c r="W21" s="36">
        <f t="shared" si="24"/>
        <v>3176.3218160900287</v>
      </c>
      <c r="X21" s="36">
        <f t="shared" si="25"/>
        <v>648.40087701240554</v>
      </c>
      <c r="AA21" s="10"/>
      <c r="AB21" s="2">
        <f t="shared" si="14"/>
        <v>2017</v>
      </c>
      <c r="AC21" s="2">
        <f>P21*VLOOKUP(BO21,Exposure!$B$33:$C$53,2,FALSE)/VLOOKUP(AZ21,Exposure!$B$33:$C$53,2,FALSE)</f>
        <v>156297.17973751607</v>
      </c>
      <c r="AD21" s="2">
        <f>Q21*VLOOKUP(BP21,Exposure!$B$33:$C$53,2,FALSE)/VLOOKUP(BA21,Exposure!$B$33:$C$53,2,FALSE)</f>
        <v>2264058.5785505506</v>
      </c>
      <c r="AE21" s="2">
        <f>R21*VLOOKUP(BQ21,Exposure!$B$33:$C$53,2,FALSE)/VLOOKUP(BB21,Exposure!$B$33:$C$53,2,FALSE)</f>
        <v>149821.09558509814</v>
      </c>
      <c r="AF21" s="2">
        <f>S21*VLOOKUP(BR21,Exposure!$B$33:$C$53,2,FALSE)/VLOOKUP(BC21,Exposure!$B$33:$C$53,2,FALSE)</f>
        <v>1364357.5359167862</v>
      </c>
      <c r="AG21" s="2">
        <f>T21*VLOOKUP(BS21,Exposure!$B$33:$C$53,2,FALSE)/VLOOKUP(BD21,Exposure!$B$33:$C$53,2,FALSE)</f>
        <v>93941.616313029503</v>
      </c>
      <c r="AH21" s="2">
        <f>U21*VLOOKUP(BT21,Exposure!$B$33:$C$53,2,FALSE)/VLOOKUP(BE21,Exposure!$B$33:$C$53,2,FALSE)</f>
        <v>198.48156258076349</v>
      </c>
      <c r="AI21" s="2">
        <f>V21*VLOOKUP(BU21,Exposure!$B$33:$C$53,2,FALSE)/VLOOKUP(BF21,Exposure!$B$33:$C$53,2,FALSE)</f>
        <v>31212.979752602409</v>
      </c>
      <c r="AJ21" s="2">
        <f>W21*VLOOKUP(BV21,Exposure!$B$33:$C$53,2,FALSE)/VLOOKUP(BG21,Exposure!$B$33:$C$53,2,FALSE)</f>
        <v>4442.4943175752205</v>
      </c>
      <c r="AK21" s="2">
        <f>X21*VLOOKUP(BW21,Exposure!$B$33:$C$53,2,FALSE)/VLOOKUP(BH21,Exposure!$B$33:$C$53,2,FALSE)</f>
        <v>901.01982487616249</v>
      </c>
      <c r="AM21" s="10"/>
      <c r="AY21" s="10"/>
      <c r="AZ21" s="2">
        <f t="shared" si="15"/>
        <v>2017</v>
      </c>
      <c r="BA21" s="2">
        <f t="shared" si="26"/>
        <v>2018</v>
      </c>
      <c r="BB21" s="2">
        <f t="shared" si="26"/>
        <v>2019</v>
      </c>
      <c r="BC21" s="2">
        <f t="shared" si="26"/>
        <v>2020</v>
      </c>
      <c r="BD21" s="2">
        <f t="shared" si="26"/>
        <v>2021</v>
      </c>
      <c r="BE21" s="2">
        <f t="shared" si="26"/>
        <v>2022</v>
      </c>
      <c r="BF21" s="2">
        <f t="shared" si="26"/>
        <v>2023</v>
      </c>
      <c r="BG21" s="2">
        <f t="shared" si="26"/>
        <v>2024</v>
      </c>
      <c r="BH21" s="2">
        <f t="shared" si="26"/>
        <v>2025</v>
      </c>
      <c r="BI21" s="7"/>
      <c r="BN21" s="10"/>
      <c r="BO21" s="2">
        <v>2027</v>
      </c>
      <c r="BP21" s="2">
        <f t="shared" si="27"/>
        <v>2028</v>
      </c>
      <c r="BQ21" s="2">
        <f t="shared" si="27"/>
        <v>2029</v>
      </c>
      <c r="BR21" s="2">
        <f t="shared" si="27"/>
        <v>2030</v>
      </c>
      <c r="BS21" s="2">
        <f t="shared" si="27"/>
        <v>2031</v>
      </c>
      <c r="BT21" s="2">
        <f t="shared" si="27"/>
        <v>2032</v>
      </c>
      <c r="BU21" s="2">
        <f t="shared" si="27"/>
        <v>2033</v>
      </c>
      <c r="BV21" s="2">
        <f t="shared" si="27"/>
        <v>2034</v>
      </c>
      <c r="BW21" s="2">
        <f t="shared" si="27"/>
        <v>2035</v>
      </c>
      <c r="BX21" s="7"/>
    </row>
    <row r="22" spans="1:76" x14ac:dyDescent="0.3">
      <c r="A22" s="12">
        <v>42920</v>
      </c>
      <c r="B22" s="13">
        <v>1056983.6309998429</v>
      </c>
      <c r="C22" s="13">
        <v>1167275.9366904411</v>
      </c>
      <c r="D22" s="13">
        <v>2062388.0982704053</v>
      </c>
      <c r="E22" s="13">
        <v>2166650.0627369247</v>
      </c>
      <c r="F22" s="13">
        <v>3798380.0763498265</v>
      </c>
      <c r="G22" s="13">
        <v>3883242.9212457086</v>
      </c>
      <c r="H22" s="13">
        <v>3883968.4960994953</v>
      </c>
      <c r="I22" s="13">
        <v>3883977.9614314358</v>
      </c>
      <c r="J22" s="13">
        <v>3884107.7640131465</v>
      </c>
      <c r="O22" s="11">
        <f t="shared" si="3"/>
        <v>2017</v>
      </c>
      <c r="P22" s="36">
        <f t="shared" si="4"/>
        <v>192663.34103790487</v>
      </c>
      <c r="Q22" s="36">
        <f t="shared" si="18"/>
        <v>56428.344420966692</v>
      </c>
      <c r="R22" s="36">
        <f t="shared" si="19"/>
        <v>251762.06960499051</v>
      </c>
      <c r="S22" s="36">
        <f t="shared" si="20"/>
        <v>89526.998490073252</v>
      </c>
      <c r="T22" s="36">
        <f t="shared" si="21"/>
        <v>470052.45284061413</v>
      </c>
      <c r="U22" s="36">
        <f t="shared" si="22"/>
        <v>195.80013343482278</v>
      </c>
      <c r="V22" s="36">
        <f t="shared" si="23"/>
        <v>4190.4945973043796</v>
      </c>
      <c r="W22" s="36">
        <f t="shared" si="24"/>
        <v>652.06390643445775</v>
      </c>
      <c r="X22" s="36">
        <f t="shared" si="25"/>
        <v>2287.2349682769272</v>
      </c>
      <c r="AA22" s="10"/>
      <c r="AB22" s="2">
        <f t="shared" si="14"/>
        <v>2017</v>
      </c>
      <c r="AC22" s="2">
        <f>P22*VLOOKUP(BO22,Exposure!$B$33:$C$53,2,FALSE)/VLOOKUP(AZ22,Exposure!$B$33:$C$53,2,FALSE)</f>
        <v>298559.8753934977</v>
      </c>
      <c r="AD22" s="2">
        <f>Q22*VLOOKUP(BP22,Exposure!$B$33:$C$53,2,FALSE)/VLOOKUP(BA22,Exposure!$B$33:$C$53,2,FALSE)</f>
        <v>87231.105437325445</v>
      </c>
      <c r="AE22" s="2">
        <f>R22*VLOOKUP(BQ22,Exposure!$B$33:$C$53,2,FALSE)/VLOOKUP(BB22,Exposure!$B$33:$C$53,2,FALSE)</f>
        <v>390547.84027205821</v>
      </c>
      <c r="AF22" s="2">
        <f>S22*VLOOKUP(BR22,Exposure!$B$33:$C$53,2,FALSE)/VLOOKUP(BC22,Exposure!$B$33:$C$53,2,FALSE)</f>
        <v>140317.44970192216</v>
      </c>
      <c r="AG22" s="2">
        <f>T22*VLOOKUP(BS22,Exposure!$B$33:$C$53,2,FALSE)/VLOOKUP(BD22,Exposure!$B$33:$C$53,2,FALSE)</f>
        <v>732180.33350251638</v>
      </c>
      <c r="AH22" s="2">
        <f>U22*VLOOKUP(BT22,Exposure!$B$33:$C$53,2,FALSE)/VLOOKUP(BE22,Exposure!$B$33:$C$53,2,FALSE)</f>
        <v>283.62976245876581</v>
      </c>
      <c r="AI22" s="2">
        <f>V22*VLOOKUP(BU22,Exposure!$B$33:$C$53,2,FALSE)/VLOOKUP(BF22,Exposure!$B$33:$C$53,2,FALSE)</f>
        <v>5937.206907476967</v>
      </c>
      <c r="AJ22" s="2">
        <f>W22*VLOOKUP(BV22,Exposure!$B$33:$C$53,2,FALSE)/VLOOKUP(BG22,Exposure!$B$33:$C$53,2,FALSE)</f>
        <v>911.9951839756759</v>
      </c>
      <c r="AK22" s="2">
        <f>X22*VLOOKUP(BW22,Exposure!$B$33:$C$53,2,FALSE)/VLOOKUP(BH22,Exposure!$B$33:$C$53,2,FALSE)</f>
        <v>3178.3486476192452</v>
      </c>
      <c r="AM22" s="10"/>
      <c r="AY22" s="10"/>
      <c r="AZ22" s="2">
        <f t="shared" si="15"/>
        <v>2017</v>
      </c>
      <c r="BA22" s="2">
        <f t="shared" si="26"/>
        <v>2018</v>
      </c>
      <c r="BB22" s="2">
        <f t="shared" si="26"/>
        <v>2019</v>
      </c>
      <c r="BC22" s="2">
        <f t="shared" si="26"/>
        <v>2020</v>
      </c>
      <c r="BD22" s="2">
        <f t="shared" si="26"/>
        <v>2021</v>
      </c>
      <c r="BE22" s="2">
        <f t="shared" si="26"/>
        <v>2022</v>
      </c>
      <c r="BF22" s="2">
        <f t="shared" si="26"/>
        <v>2023</v>
      </c>
      <c r="BG22" s="2">
        <f t="shared" si="26"/>
        <v>2024</v>
      </c>
      <c r="BH22" s="2">
        <f t="shared" si="26"/>
        <v>2025</v>
      </c>
      <c r="BI22" s="7"/>
      <c r="BN22" s="10"/>
      <c r="BO22" s="2">
        <v>2027</v>
      </c>
      <c r="BP22" s="2">
        <f t="shared" si="27"/>
        <v>2028</v>
      </c>
      <c r="BQ22" s="2">
        <f t="shared" si="27"/>
        <v>2029</v>
      </c>
      <c r="BR22" s="2">
        <f t="shared" si="27"/>
        <v>2030</v>
      </c>
      <c r="BS22" s="2">
        <f t="shared" si="27"/>
        <v>2031</v>
      </c>
      <c r="BT22" s="2">
        <f t="shared" si="27"/>
        <v>2032</v>
      </c>
      <c r="BU22" s="2">
        <f t="shared" si="27"/>
        <v>2033</v>
      </c>
      <c r="BV22" s="2">
        <f t="shared" si="27"/>
        <v>2034</v>
      </c>
      <c r="BW22" s="2">
        <f t="shared" si="27"/>
        <v>2035</v>
      </c>
      <c r="BX22" s="7"/>
    </row>
    <row r="23" spans="1:76" x14ac:dyDescent="0.3">
      <c r="A23" s="12">
        <v>42943</v>
      </c>
      <c r="B23" s="13">
        <v>321245.03383922431</v>
      </c>
      <c r="C23" s="13">
        <v>356845.43919214362</v>
      </c>
      <c r="D23" s="13">
        <v>397791.85094937769</v>
      </c>
      <c r="E23" s="13">
        <v>796518.89745725086</v>
      </c>
      <c r="F23" s="13">
        <v>1314135.2479258436</v>
      </c>
      <c r="G23" s="13">
        <v>1389441.9676995664</v>
      </c>
      <c r="H23" s="13">
        <v>1477040.4539540422</v>
      </c>
      <c r="I23" s="13">
        <v>1479239.7821908854</v>
      </c>
      <c r="J23" s="13">
        <v>1523440.9438905371</v>
      </c>
      <c r="O23" s="11">
        <f t="shared" si="3"/>
        <v>2017</v>
      </c>
      <c r="P23" s="36">
        <f t="shared" si="4"/>
        <v>1056983.6309998429</v>
      </c>
      <c r="Q23" s="36">
        <f t="shared" si="18"/>
        <v>110292.30569059821</v>
      </c>
      <c r="R23" s="36">
        <f t="shared" si="19"/>
        <v>895112.16157996422</v>
      </c>
      <c r="S23" s="36">
        <f t="shared" si="20"/>
        <v>104261.96446651942</v>
      </c>
      <c r="T23" s="36">
        <f t="shared" si="21"/>
        <v>1631730.0136129018</v>
      </c>
      <c r="U23" s="36">
        <f t="shared" si="22"/>
        <v>84862.844895882066</v>
      </c>
      <c r="V23" s="36">
        <f t="shared" si="23"/>
        <v>725.574853786733</v>
      </c>
      <c r="W23" s="36">
        <f t="shared" si="24"/>
        <v>9.465331940446049</v>
      </c>
      <c r="X23" s="36">
        <f t="shared" si="25"/>
        <v>129.80258171074092</v>
      </c>
      <c r="AB23" s="2">
        <f t="shared" si="14"/>
        <v>2017</v>
      </c>
      <c r="AC23" s="2">
        <f>P23*VLOOKUP(BO23,Exposure!$B$33:$C$53,2,FALSE)/VLOOKUP(AZ23,Exposure!$B$33:$C$53,2,FALSE)</f>
        <v>1637949.9050740201</v>
      </c>
      <c r="AD23" s="2">
        <f>Q23*VLOOKUP(BP23,Exposure!$B$33:$C$53,2,FALSE)/VLOOKUP(BA23,Exposure!$B$33:$C$53,2,FALSE)</f>
        <v>170497.99786519204</v>
      </c>
      <c r="AE23" s="2">
        <f>R23*VLOOKUP(BQ23,Exposure!$B$33:$C$53,2,FALSE)/VLOOKUP(BB23,Exposure!$B$33:$C$53,2,FALSE)</f>
        <v>1388549.601831598</v>
      </c>
      <c r="AF23" s="2">
        <f>S23*VLOOKUP(BR23,Exposure!$B$33:$C$53,2,FALSE)/VLOOKUP(BC23,Exposure!$B$33:$C$53,2,FALSE)</f>
        <v>163411.85565912368</v>
      </c>
      <c r="AG23" s="2">
        <f>T23*VLOOKUP(BS23,Exposure!$B$33:$C$53,2,FALSE)/VLOOKUP(BD23,Exposure!$B$33:$C$53,2,FALSE)</f>
        <v>2541675.1222831449</v>
      </c>
      <c r="AH23" s="2">
        <f>U23*VLOOKUP(BT23,Exposure!$B$33:$C$53,2,FALSE)/VLOOKUP(BE23,Exposure!$B$33:$C$53,2,FALSE)</f>
        <v>122929.58190146652</v>
      </c>
      <c r="AI23" s="2">
        <f>V23*VLOOKUP(BU23,Exposure!$B$33:$C$53,2,FALSE)/VLOOKUP(BF23,Exposure!$B$33:$C$53,2,FALSE)</f>
        <v>1028.0142197451628</v>
      </c>
      <c r="AJ23" s="2">
        <f>W23*VLOOKUP(BV23,Exposure!$B$33:$C$53,2,FALSE)/VLOOKUP(BG23,Exposure!$B$33:$C$53,2,FALSE)</f>
        <v>13.238483313116205</v>
      </c>
      <c r="AK23" s="2">
        <f>X23*VLOOKUP(BW23,Exposure!$B$33:$C$53,2,FALSE)/VLOOKUP(BH23,Exposure!$B$33:$C$53,2,FALSE)</f>
        <v>180.37406115236934</v>
      </c>
      <c r="AZ23" s="2">
        <f t="shared" si="15"/>
        <v>2017</v>
      </c>
      <c r="BA23" s="2">
        <f t="shared" si="26"/>
        <v>2018</v>
      </c>
      <c r="BB23" s="2">
        <f t="shared" si="26"/>
        <v>2019</v>
      </c>
      <c r="BC23" s="2">
        <f t="shared" si="26"/>
        <v>2020</v>
      </c>
      <c r="BD23" s="2">
        <f t="shared" si="26"/>
        <v>2021</v>
      </c>
      <c r="BE23" s="2">
        <f t="shared" si="26"/>
        <v>2022</v>
      </c>
      <c r="BF23" s="2">
        <f t="shared" si="26"/>
        <v>2023</v>
      </c>
      <c r="BG23" s="2">
        <f t="shared" si="26"/>
        <v>2024</v>
      </c>
      <c r="BH23" s="2">
        <f t="shared" si="26"/>
        <v>2025</v>
      </c>
      <c r="BO23" s="2">
        <v>2027</v>
      </c>
      <c r="BP23" s="2">
        <f t="shared" si="27"/>
        <v>2028</v>
      </c>
      <c r="BQ23" s="2">
        <f t="shared" si="27"/>
        <v>2029</v>
      </c>
      <c r="BR23" s="2">
        <f t="shared" si="27"/>
        <v>2030</v>
      </c>
      <c r="BS23" s="2">
        <f t="shared" si="27"/>
        <v>2031</v>
      </c>
      <c r="BT23" s="2">
        <f t="shared" si="27"/>
        <v>2032</v>
      </c>
      <c r="BU23" s="2">
        <f t="shared" si="27"/>
        <v>2033</v>
      </c>
      <c r="BV23" s="2">
        <f t="shared" si="27"/>
        <v>2034</v>
      </c>
      <c r="BW23" s="2">
        <f t="shared" si="27"/>
        <v>2035</v>
      </c>
    </row>
    <row r="24" spans="1:76" x14ac:dyDescent="0.3">
      <c r="A24" s="12">
        <v>43008</v>
      </c>
      <c r="B24" s="13">
        <v>2694.7167322014425</v>
      </c>
      <c r="C24" s="13">
        <v>16477.935414259609</v>
      </c>
      <c r="D24" s="13">
        <v>80432.259998919239</v>
      </c>
      <c r="E24" s="13">
        <v>209615.05299973578</v>
      </c>
      <c r="F24" s="13">
        <v>643984.99003440049</v>
      </c>
      <c r="G24" s="13">
        <v>971640.12587431946</v>
      </c>
      <c r="H24" s="13">
        <v>1011270.3703027806</v>
      </c>
      <c r="I24" s="13">
        <v>1049042.216715564</v>
      </c>
      <c r="J24" s="13">
        <v>1061951.0527622157</v>
      </c>
      <c r="O24" s="11">
        <f t="shared" si="3"/>
        <v>2017</v>
      </c>
      <c r="P24" s="36">
        <f t="shared" si="4"/>
        <v>321245.03383922431</v>
      </c>
      <c r="Q24" s="36">
        <f t="shared" si="18"/>
        <v>35600.405352919304</v>
      </c>
      <c r="R24" s="36">
        <f t="shared" si="19"/>
        <v>40946.411757234077</v>
      </c>
      <c r="S24" s="36">
        <f t="shared" si="20"/>
        <v>398727.04650787316</v>
      </c>
      <c r="T24" s="36">
        <f t="shared" si="21"/>
        <v>517616.35046859272</v>
      </c>
      <c r="U24" s="36">
        <f t="shared" si="22"/>
        <v>75306.719773722813</v>
      </c>
      <c r="V24" s="36">
        <f t="shared" si="23"/>
        <v>87598.486254475778</v>
      </c>
      <c r="W24" s="36">
        <f t="shared" si="24"/>
        <v>2199.3282368432265</v>
      </c>
      <c r="X24" s="36">
        <f t="shared" si="25"/>
        <v>44201.16169965174</v>
      </c>
      <c r="AB24" s="2">
        <f t="shared" si="14"/>
        <v>2017</v>
      </c>
      <c r="AC24" s="2">
        <f>P24*VLOOKUP(BO24,Exposure!$B$33:$C$53,2,FALSE)/VLOOKUP(AZ24,Exposure!$B$33:$C$53,2,FALSE)</f>
        <v>497815.91431526723</v>
      </c>
      <c r="AD24" s="2">
        <f>Q24*VLOOKUP(BP24,Exposure!$B$33:$C$53,2,FALSE)/VLOOKUP(BA24,Exposure!$B$33:$C$53,2,FALSE)</f>
        <v>55033.737828362602</v>
      </c>
      <c r="AE24" s="2">
        <f>R24*VLOOKUP(BQ24,Exposure!$B$33:$C$53,2,FALSE)/VLOOKUP(BB24,Exposure!$B$33:$C$53,2,FALSE)</f>
        <v>63518.435099332339</v>
      </c>
      <c r="AF24" s="2">
        <f>S24*VLOOKUP(BR24,Exposure!$B$33:$C$53,2,FALSE)/VLOOKUP(BC24,Exposure!$B$33:$C$53,2,FALSE)</f>
        <v>624932.8497187139</v>
      </c>
      <c r="AG24" s="2">
        <f>T24*VLOOKUP(BS24,Exposure!$B$33:$C$53,2,FALSE)/VLOOKUP(BD24,Exposure!$B$33:$C$53,2,FALSE)</f>
        <v>806268.55539664091</v>
      </c>
      <c r="AH24" s="2">
        <f>U24*VLOOKUP(BT24,Exposure!$B$33:$C$53,2,FALSE)/VLOOKUP(BE24,Exposure!$B$33:$C$53,2,FALSE)</f>
        <v>109086.88705301535</v>
      </c>
      <c r="AI24" s="2">
        <f>V24*VLOOKUP(BU24,Exposure!$B$33:$C$53,2,FALSE)/VLOOKUP(BF24,Exposure!$B$33:$C$53,2,FALSE)</f>
        <v>124111.92177867463</v>
      </c>
      <c r="AJ24" s="2">
        <f>W24*VLOOKUP(BV24,Exposure!$B$33:$C$53,2,FALSE)/VLOOKUP(BG24,Exposure!$B$33:$C$53,2,FALSE)</f>
        <v>3076.0432224358183</v>
      </c>
      <c r="AK24" s="2">
        <f>X24*VLOOKUP(BW24,Exposure!$B$33:$C$53,2,FALSE)/VLOOKUP(BH24,Exposure!$B$33:$C$53,2,FALSE)</f>
        <v>61422.068331319009</v>
      </c>
      <c r="AZ24" s="2">
        <f t="shared" si="15"/>
        <v>2017</v>
      </c>
      <c r="BA24" s="2">
        <f t="shared" si="26"/>
        <v>2018</v>
      </c>
      <c r="BB24" s="2">
        <f t="shared" si="26"/>
        <v>2019</v>
      </c>
      <c r="BC24" s="2">
        <f t="shared" si="26"/>
        <v>2020</v>
      </c>
      <c r="BD24" s="2">
        <f t="shared" si="26"/>
        <v>2021</v>
      </c>
      <c r="BE24" s="2">
        <f t="shared" si="26"/>
        <v>2022</v>
      </c>
      <c r="BF24" s="2">
        <f t="shared" si="26"/>
        <v>2023</v>
      </c>
      <c r="BG24" s="2">
        <f t="shared" si="26"/>
        <v>2024</v>
      </c>
      <c r="BH24" s="2">
        <f t="shared" si="26"/>
        <v>2025</v>
      </c>
      <c r="BO24" s="2">
        <v>2027</v>
      </c>
      <c r="BP24" s="2">
        <f t="shared" si="27"/>
        <v>2028</v>
      </c>
      <c r="BQ24" s="2">
        <f t="shared" si="27"/>
        <v>2029</v>
      </c>
      <c r="BR24" s="2">
        <f t="shared" si="27"/>
        <v>2030</v>
      </c>
      <c r="BS24" s="2">
        <f t="shared" si="27"/>
        <v>2031</v>
      </c>
      <c r="BT24" s="2">
        <f t="shared" si="27"/>
        <v>2032</v>
      </c>
      <c r="BU24" s="2">
        <f t="shared" si="27"/>
        <v>2033</v>
      </c>
      <c r="BV24" s="2">
        <f t="shared" si="27"/>
        <v>2034</v>
      </c>
      <c r="BW24" s="2">
        <f t="shared" si="27"/>
        <v>2035</v>
      </c>
    </row>
    <row r="25" spans="1:76" x14ac:dyDescent="0.3">
      <c r="A25" s="12">
        <v>43020</v>
      </c>
      <c r="B25" s="13">
        <v>41370.153973130269</v>
      </c>
      <c r="C25" s="13">
        <v>110660.39848513709</v>
      </c>
      <c r="D25" s="13">
        <v>516755.21645425068</v>
      </c>
      <c r="E25" s="13">
        <v>521602.49952703138</v>
      </c>
      <c r="F25" s="13">
        <v>551811.18823049916</v>
      </c>
      <c r="G25" s="13">
        <v>601041.55080252851</v>
      </c>
      <c r="H25" s="13">
        <v>729995.69881125481</v>
      </c>
      <c r="I25" s="13">
        <v>733889.1226198537</v>
      </c>
      <c r="J25" s="13">
        <v>735004.03266219457</v>
      </c>
      <c r="O25" s="11">
        <f t="shared" si="3"/>
        <v>2017</v>
      </c>
      <c r="P25" s="36">
        <f t="shared" si="4"/>
        <v>2694.7167322014425</v>
      </c>
      <c r="Q25" s="36">
        <f t="shared" si="18"/>
        <v>13783.218682058166</v>
      </c>
      <c r="R25" s="36">
        <f t="shared" si="19"/>
        <v>63954.324584659626</v>
      </c>
      <c r="S25" s="36">
        <f t="shared" si="20"/>
        <v>129182.79300081654</v>
      </c>
      <c r="T25" s="36">
        <f t="shared" si="21"/>
        <v>434369.93703466468</v>
      </c>
      <c r="U25" s="36">
        <f t="shared" si="22"/>
        <v>327655.13583991898</v>
      </c>
      <c r="V25" s="36">
        <f t="shared" si="23"/>
        <v>39630.244428461185</v>
      </c>
      <c r="W25" s="36">
        <f t="shared" si="24"/>
        <v>37771.846412783372</v>
      </c>
      <c r="X25" s="36">
        <f t="shared" si="25"/>
        <v>12908.836046651704</v>
      </c>
      <c r="AB25" s="2">
        <f t="shared" si="14"/>
        <v>2017</v>
      </c>
      <c r="AC25" s="2">
        <f>P25*VLOOKUP(BO25,Exposure!$B$33:$C$53,2,FALSE)/VLOOKUP(AZ25,Exposure!$B$33:$C$53,2,FALSE)</f>
        <v>4175.8556010328439</v>
      </c>
      <c r="AD25" s="2">
        <f>Q25*VLOOKUP(BP25,Exposure!$B$33:$C$53,2,FALSE)/VLOOKUP(BA25,Exposure!$B$33:$C$53,2,FALSE)</f>
        <v>21307.118159461541</v>
      </c>
      <c r="AE25" s="2">
        <f>R25*VLOOKUP(BQ25,Exposure!$B$33:$C$53,2,FALSE)/VLOOKUP(BB25,Exposure!$B$33:$C$53,2,FALSE)</f>
        <v>99209.63623227978</v>
      </c>
      <c r="AF25" s="2">
        <f>S25*VLOOKUP(BR25,Exposure!$B$33:$C$53,2,FALSE)/VLOOKUP(BC25,Exposure!$B$33:$C$53,2,FALSE)</f>
        <v>202470.76708659876</v>
      </c>
      <c r="AG25" s="2">
        <f>T25*VLOOKUP(BS25,Exposure!$B$33:$C$53,2,FALSE)/VLOOKUP(BD25,Exposure!$B$33:$C$53,2,FALSE)</f>
        <v>676599.22512806929</v>
      </c>
      <c r="AH25" s="2">
        <f>U25*VLOOKUP(BT25,Exposure!$B$33:$C$53,2,FALSE)/VLOOKUP(BE25,Exposure!$B$33:$C$53,2,FALSE)</f>
        <v>474630.66912365501</v>
      </c>
      <c r="AI25" s="2">
        <f>V25*VLOOKUP(BU25,Exposure!$B$33:$C$53,2,FALSE)/VLOOKUP(BF25,Exposure!$B$33:$C$53,2,FALSE)</f>
        <v>56149.209956509025</v>
      </c>
      <c r="AJ25" s="2">
        <f>W25*VLOOKUP(BV25,Exposure!$B$33:$C$53,2,FALSE)/VLOOKUP(BG25,Exposure!$B$33:$C$53,2,FALSE)</f>
        <v>52828.782084704857</v>
      </c>
      <c r="AK25" s="2">
        <f>X25*VLOOKUP(BW25,Exposure!$B$33:$C$53,2,FALSE)/VLOOKUP(BH25,Exposure!$B$33:$C$53,2,FALSE)</f>
        <v>17938.157714562556</v>
      </c>
      <c r="AZ25" s="2">
        <f t="shared" si="15"/>
        <v>2017</v>
      </c>
      <c r="BA25" s="2">
        <f t="shared" si="26"/>
        <v>2018</v>
      </c>
      <c r="BB25" s="2">
        <f t="shared" si="26"/>
        <v>2019</v>
      </c>
      <c r="BC25" s="2">
        <f t="shared" si="26"/>
        <v>2020</v>
      </c>
      <c r="BD25" s="2">
        <f t="shared" si="26"/>
        <v>2021</v>
      </c>
      <c r="BE25" s="2">
        <f t="shared" si="26"/>
        <v>2022</v>
      </c>
      <c r="BF25" s="2">
        <f t="shared" si="26"/>
        <v>2023</v>
      </c>
      <c r="BG25" s="2">
        <f t="shared" si="26"/>
        <v>2024</v>
      </c>
      <c r="BH25" s="2">
        <f t="shared" si="26"/>
        <v>2025</v>
      </c>
      <c r="BO25" s="2">
        <v>2027</v>
      </c>
      <c r="BP25" s="2">
        <f t="shared" si="27"/>
        <v>2028</v>
      </c>
      <c r="BQ25" s="2">
        <f t="shared" si="27"/>
        <v>2029</v>
      </c>
      <c r="BR25" s="2">
        <f t="shared" si="27"/>
        <v>2030</v>
      </c>
      <c r="BS25" s="2">
        <f t="shared" si="27"/>
        <v>2031</v>
      </c>
      <c r="BT25" s="2">
        <f t="shared" si="27"/>
        <v>2032</v>
      </c>
      <c r="BU25" s="2">
        <f t="shared" si="27"/>
        <v>2033</v>
      </c>
      <c r="BV25" s="2">
        <f t="shared" si="27"/>
        <v>2034</v>
      </c>
      <c r="BW25" s="2">
        <f t="shared" si="27"/>
        <v>2035</v>
      </c>
    </row>
    <row r="26" spans="1:76" x14ac:dyDescent="0.3">
      <c r="A26" s="12">
        <v>43038</v>
      </c>
      <c r="B26" s="13">
        <v>123255.33389753499</v>
      </c>
      <c r="C26" s="13">
        <v>134583.51971720191</v>
      </c>
      <c r="D26" s="13">
        <v>154964.70751842979</v>
      </c>
      <c r="E26" s="13">
        <v>2135490.8239271319</v>
      </c>
      <c r="F26" s="13">
        <v>2151079.2297949921</v>
      </c>
      <c r="G26" s="13">
        <v>2283965.1855720794</v>
      </c>
      <c r="H26" s="13">
        <v>2284453.5199468243</v>
      </c>
      <c r="I26" s="13">
        <v>2290084.5748728695</v>
      </c>
      <c r="J26" s="13">
        <v>2290103.4</v>
      </c>
      <c r="O26" s="11">
        <f t="shared" si="3"/>
        <v>2017</v>
      </c>
      <c r="P26" s="36">
        <f t="shared" si="4"/>
        <v>41370.153973130269</v>
      </c>
      <c r="Q26" s="36">
        <f t="shared" si="18"/>
        <v>69290.244512006815</v>
      </c>
      <c r="R26" s="36">
        <f t="shared" si="19"/>
        <v>406094.81796911359</v>
      </c>
      <c r="S26" s="36">
        <f>E25-D25</f>
        <v>4847.2830727807013</v>
      </c>
      <c r="T26" s="36">
        <f t="shared" si="21"/>
        <v>30208.688703467778</v>
      </c>
      <c r="U26" s="36">
        <f t="shared" si="22"/>
        <v>49230.362572029349</v>
      </c>
      <c r="V26" s="36">
        <f t="shared" si="23"/>
        <v>128954.1480087263</v>
      </c>
      <c r="W26" s="36">
        <f t="shared" si="24"/>
        <v>3893.4238085988909</v>
      </c>
      <c r="X26" s="36">
        <f t="shared" si="25"/>
        <v>1114.9100423408672</v>
      </c>
      <c r="AB26" s="2">
        <f t="shared" si="14"/>
        <v>2017</v>
      </c>
      <c r="AC26" s="2">
        <f>P26*VLOOKUP(BO26,Exposure!$B$33:$C$53,2,FALSE)/VLOOKUP(AZ26,Exposure!$B$33:$C$53,2,FALSE)</f>
        <v>64109.072066790024</v>
      </c>
      <c r="AD26" s="2">
        <f>Q26*VLOOKUP(BP26,Exposure!$B$33:$C$53,2,FALSE)/VLOOKUP(BA26,Exposure!$B$33:$C$53,2,FALSE)</f>
        <v>107113.98122393079</v>
      </c>
      <c r="AE26" s="2">
        <f>R26*VLOOKUP(BQ26,Exposure!$B$33:$C$53,2,FALSE)/VLOOKUP(BB26,Exposure!$B$33:$C$53,2,FALSE)</f>
        <v>629957.69915758632</v>
      </c>
      <c r="AF26" s="2">
        <f>S26*VLOOKUP(BR26,Exposure!$B$33:$C$53,2,FALSE)/VLOOKUP(BC26,Exposure!$B$33:$C$53,2,FALSE)</f>
        <v>7597.2434039693708</v>
      </c>
      <c r="AG26" s="2">
        <f>T26*VLOOKUP(BS26,Exposure!$B$33:$C$53,2,FALSE)/VLOOKUP(BD26,Exposure!$B$33:$C$53,2,FALSE)</f>
        <v>47054.765135070156</v>
      </c>
      <c r="AH26" s="2">
        <f>U26*VLOOKUP(BT26,Exposure!$B$33:$C$53,2,FALSE)/VLOOKUP(BE26,Exposure!$B$33:$C$53,2,FALSE)</f>
        <v>71313.516477820056</v>
      </c>
      <c r="AI26" s="2">
        <f>V26*VLOOKUP(BU26,Exposure!$B$33:$C$53,2,FALSE)/VLOOKUP(BF26,Exposure!$B$33:$C$53,2,FALSE)</f>
        <v>182705.75000805926</v>
      </c>
      <c r="AJ26" s="2">
        <f>W26*VLOOKUP(BV26,Exposure!$B$33:$C$53,2,FALSE)/VLOOKUP(BG26,Exposure!$B$33:$C$53,2,FALSE)</f>
        <v>5445.4536243762013</v>
      </c>
      <c r="AK26" s="2">
        <f>X26*VLOOKUP(BW26,Exposure!$B$33:$C$53,2,FALSE)/VLOOKUP(BH26,Exposure!$B$33:$C$53,2,FALSE)</f>
        <v>1549.2823756366129</v>
      </c>
      <c r="AZ26" s="2">
        <f t="shared" si="15"/>
        <v>2017</v>
      </c>
      <c r="BA26" s="2">
        <f t="shared" si="26"/>
        <v>2018</v>
      </c>
      <c r="BB26" s="2">
        <f t="shared" si="26"/>
        <v>2019</v>
      </c>
      <c r="BC26" s="2">
        <f t="shared" si="26"/>
        <v>2020</v>
      </c>
      <c r="BD26" s="2">
        <f t="shared" si="26"/>
        <v>2021</v>
      </c>
      <c r="BE26" s="2">
        <f t="shared" si="26"/>
        <v>2022</v>
      </c>
      <c r="BF26" s="2">
        <f t="shared" si="26"/>
        <v>2023</v>
      </c>
      <c r="BG26" s="2">
        <f t="shared" si="26"/>
        <v>2024</v>
      </c>
      <c r="BH26" s="2">
        <f t="shared" si="26"/>
        <v>2025</v>
      </c>
      <c r="BO26" s="2">
        <v>2027</v>
      </c>
      <c r="BP26" s="2">
        <f t="shared" si="27"/>
        <v>2028</v>
      </c>
      <c r="BQ26" s="2">
        <f t="shared" si="27"/>
        <v>2029</v>
      </c>
      <c r="BR26" s="2">
        <f t="shared" si="27"/>
        <v>2030</v>
      </c>
      <c r="BS26" s="2">
        <f t="shared" si="27"/>
        <v>2031</v>
      </c>
      <c r="BT26" s="2">
        <f t="shared" si="27"/>
        <v>2032</v>
      </c>
      <c r="BU26" s="2">
        <f t="shared" si="27"/>
        <v>2033</v>
      </c>
      <c r="BV26" s="2">
        <f t="shared" si="27"/>
        <v>2034</v>
      </c>
      <c r="BW26" s="2">
        <f t="shared" si="27"/>
        <v>2035</v>
      </c>
    </row>
    <row r="27" spans="1:76" x14ac:dyDescent="0.3">
      <c r="A27" s="12">
        <v>43053</v>
      </c>
      <c r="B27" s="13">
        <v>58611.766201725397</v>
      </c>
      <c r="C27" s="13">
        <v>182911.27605380939</v>
      </c>
      <c r="D27" s="13">
        <v>382492.91955284966</v>
      </c>
      <c r="E27" s="13">
        <v>2067816.1880298296</v>
      </c>
      <c r="F27" s="13">
        <v>2153529.9531181012</v>
      </c>
      <c r="G27" s="13">
        <v>2876978.332543537</v>
      </c>
      <c r="H27" s="13">
        <v>3445373.1032523555</v>
      </c>
      <c r="I27" s="13">
        <v>3446491.4920509667</v>
      </c>
      <c r="J27" s="13">
        <v>3446674.9597626124</v>
      </c>
      <c r="O27" s="11">
        <f t="shared" si="3"/>
        <v>2017</v>
      </c>
      <c r="P27" s="36">
        <f t="shared" si="4"/>
        <v>123255.33389753499</v>
      </c>
      <c r="Q27" s="36">
        <f t="shared" si="18"/>
        <v>11328.18581966692</v>
      </c>
      <c r="R27" s="36">
        <f t="shared" si="19"/>
        <v>20381.187801227876</v>
      </c>
      <c r="S27" s="36">
        <f t="shared" si="20"/>
        <v>1980526.1164087022</v>
      </c>
      <c r="T27" s="36">
        <f t="shared" si="21"/>
        <v>15588.405867860187</v>
      </c>
      <c r="U27" s="36">
        <f t="shared" si="22"/>
        <v>132885.95577708725</v>
      </c>
      <c r="V27" s="36">
        <f t="shared" si="23"/>
        <v>488.33437474491075</v>
      </c>
      <c r="W27" s="36">
        <f t="shared" si="24"/>
        <v>5631.054926045239</v>
      </c>
      <c r="X27" s="36">
        <f t="shared" si="25"/>
        <v>18.825127130374312</v>
      </c>
      <c r="AB27" s="2">
        <f t="shared" si="14"/>
        <v>2017</v>
      </c>
      <c r="AC27" s="2">
        <f>P27*VLOOKUP(BO27,Exposure!$B$33:$C$53,2,FALSE)/VLOOKUP(AZ27,Exposure!$B$33:$C$53,2,FALSE)</f>
        <v>191002.07092740125</v>
      </c>
      <c r="AD27" s="2">
        <f>Q27*VLOOKUP(BP27,Exposure!$B$33:$C$53,2,FALSE)/VLOOKUP(BA27,Exposure!$B$33:$C$53,2,FALSE)</f>
        <v>17511.946908756236</v>
      </c>
      <c r="AE27" s="2">
        <f>R27*VLOOKUP(BQ27,Exposure!$B$33:$C$53,2,FALSE)/VLOOKUP(BB27,Exposure!$B$33:$C$53,2,FALSE)</f>
        <v>31616.47380178266</v>
      </c>
      <c r="AF27" s="2">
        <f>S27*VLOOKUP(BR27,Exposure!$B$33:$C$53,2,FALSE)/VLOOKUP(BC27,Exposure!$B$33:$C$53,2,FALSE)</f>
        <v>3104118.0695154779</v>
      </c>
      <c r="AG27" s="2">
        <f>T27*VLOOKUP(BS27,Exposure!$B$33:$C$53,2,FALSE)/VLOOKUP(BD27,Exposure!$B$33:$C$53,2,FALSE)</f>
        <v>24281.384211758523</v>
      </c>
      <c r="AH27" s="2">
        <f>U27*VLOOKUP(BT27,Exposure!$B$33:$C$53,2,FALSE)/VLOOKUP(BE27,Exposure!$B$33:$C$53,2,FALSE)</f>
        <v>192494.31249089297</v>
      </c>
      <c r="AI27" s="2">
        <f>V27*VLOOKUP(BU27,Exposure!$B$33:$C$53,2,FALSE)/VLOOKUP(BF27,Exposure!$B$33:$C$53,2,FALSE)</f>
        <v>691.88544587528895</v>
      </c>
      <c r="AJ27" s="2">
        <f>W27*VLOOKUP(BV27,Exposure!$B$33:$C$53,2,FALSE)/VLOOKUP(BG27,Exposure!$B$33:$C$53,2,FALSE)</f>
        <v>7875.7540826590111</v>
      </c>
      <c r="AK27" s="2">
        <f>X27*VLOOKUP(BW27,Exposure!$B$33:$C$53,2,FALSE)/VLOOKUP(BH27,Exposure!$B$33:$C$53,2,FALSE)</f>
        <v>26.159453744780844</v>
      </c>
      <c r="AZ27" s="2">
        <f t="shared" si="15"/>
        <v>2017</v>
      </c>
      <c r="BA27" s="2">
        <f t="shared" si="26"/>
        <v>2018</v>
      </c>
      <c r="BB27" s="2">
        <f t="shared" si="26"/>
        <v>2019</v>
      </c>
      <c r="BC27" s="2">
        <f t="shared" si="26"/>
        <v>2020</v>
      </c>
      <c r="BD27" s="2">
        <f t="shared" si="26"/>
        <v>2021</v>
      </c>
      <c r="BE27" s="2">
        <f t="shared" si="26"/>
        <v>2022</v>
      </c>
      <c r="BF27" s="2">
        <f t="shared" si="26"/>
        <v>2023</v>
      </c>
      <c r="BG27" s="2">
        <f t="shared" si="26"/>
        <v>2024</v>
      </c>
      <c r="BH27" s="2">
        <f t="shared" si="26"/>
        <v>2025</v>
      </c>
      <c r="BO27" s="2">
        <v>2027</v>
      </c>
      <c r="BP27" s="2">
        <f t="shared" si="27"/>
        <v>2028</v>
      </c>
      <c r="BQ27" s="2">
        <f t="shared" si="27"/>
        <v>2029</v>
      </c>
      <c r="BR27" s="2">
        <f t="shared" si="27"/>
        <v>2030</v>
      </c>
      <c r="BS27" s="2">
        <f t="shared" si="27"/>
        <v>2031</v>
      </c>
      <c r="BT27" s="2">
        <f t="shared" si="27"/>
        <v>2032</v>
      </c>
      <c r="BU27" s="2">
        <f t="shared" si="27"/>
        <v>2033</v>
      </c>
      <c r="BV27" s="2">
        <f t="shared" si="27"/>
        <v>2034</v>
      </c>
      <c r="BW27" s="2">
        <f t="shared" si="27"/>
        <v>2035</v>
      </c>
    </row>
    <row r="28" spans="1:76" x14ac:dyDescent="0.3">
      <c r="A28" s="12">
        <v>43055</v>
      </c>
      <c r="B28" s="13">
        <v>843676.92477999488</v>
      </c>
      <c r="C28" s="13">
        <v>1758471.8284810672</v>
      </c>
      <c r="D28" s="13">
        <v>1773841.2777971718</v>
      </c>
      <c r="E28" s="13">
        <v>1837036.9586839874</v>
      </c>
      <c r="F28" s="13">
        <v>3121214.2867810638</v>
      </c>
      <c r="G28" s="13">
        <v>3127097.1478546853</v>
      </c>
      <c r="H28" s="13">
        <v>3127119.0359977745</v>
      </c>
      <c r="I28" s="13">
        <v>3127220.1491258163</v>
      </c>
      <c r="J28" s="13">
        <v>3128570.3563148887</v>
      </c>
      <c r="O28" s="11">
        <f t="shared" si="3"/>
        <v>2017</v>
      </c>
      <c r="P28" s="36">
        <f t="shared" si="4"/>
        <v>58611.766201725397</v>
      </c>
      <c r="Q28" s="36">
        <f t="shared" si="18"/>
        <v>124299.50985208398</v>
      </c>
      <c r="R28" s="36">
        <f t="shared" si="19"/>
        <v>199581.64349904028</v>
      </c>
      <c r="S28" s="36">
        <f t="shared" si="20"/>
        <v>1685323.26847698</v>
      </c>
      <c r="T28" s="36">
        <f t="shared" si="21"/>
        <v>85713.765088271582</v>
      </c>
      <c r="U28" s="36">
        <f t="shared" si="22"/>
        <v>723448.37942543579</v>
      </c>
      <c r="V28" s="36">
        <f t="shared" si="23"/>
        <v>568394.77070881845</v>
      </c>
      <c r="W28" s="36">
        <f t="shared" si="24"/>
        <v>1118.3887986112386</v>
      </c>
      <c r="X28" s="36">
        <f t="shared" si="25"/>
        <v>183.46771164564416</v>
      </c>
      <c r="AB28" s="2">
        <f t="shared" si="14"/>
        <v>2017</v>
      </c>
      <c r="AC28" s="2">
        <f>P28*VLOOKUP(BO28,Exposure!$B$33:$C$53,2,FALSE)/VLOOKUP(AZ28,Exposure!$B$33:$C$53,2,FALSE)</f>
        <v>90827.458506167764</v>
      </c>
      <c r="AD28" s="2">
        <f>Q28*VLOOKUP(BP28,Exposure!$B$33:$C$53,2,FALSE)/VLOOKUP(BA28,Exposure!$B$33:$C$53,2,FALSE)</f>
        <v>192151.36933356902</v>
      </c>
      <c r="AE28" s="2">
        <f>R28*VLOOKUP(BQ28,Exposure!$B$33:$C$53,2,FALSE)/VLOOKUP(BB28,Exposure!$B$33:$C$53,2,FALSE)</f>
        <v>309602.5543037281</v>
      </c>
      <c r="AF28" s="2">
        <f>S28*VLOOKUP(BR28,Exposure!$B$33:$C$53,2,FALSE)/VLOOKUP(BC28,Exposure!$B$33:$C$53,2,FALSE)</f>
        <v>2641440.7602665094</v>
      </c>
      <c r="AG28" s="2">
        <f>T28*VLOOKUP(BS28,Exposure!$B$33:$C$53,2,FALSE)/VLOOKUP(BD28,Exposure!$B$33:$C$53,2,FALSE)</f>
        <v>133512.61700439858</v>
      </c>
      <c r="AH28" s="2">
        <f>U28*VLOOKUP(BT28,Exposure!$B$33:$C$53,2,FALSE)/VLOOKUP(BE28,Exposure!$B$33:$C$53,2,FALSE)</f>
        <v>1047964.0049679477</v>
      </c>
      <c r="AI28" s="2">
        <f>V28*VLOOKUP(BU28,Exposure!$B$33:$C$53,2,FALSE)/VLOOKUP(BF28,Exposure!$B$33:$C$53,2,FALSE)</f>
        <v>805317.19596942409</v>
      </c>
      <c r="AJ28" s="2">
        <f>W28*VLOOKUP(BV28,Exposure!$B$33:$C$53,2,FALSE)/VLOOKUP(BG28,Exposure!$B$33:$C$53,2,FALSE)</f>
        <v>1564.2104831764884</v>
      </c>
      <c r="AK28" s="2">
        <f>X28*VLOOKUP(BW28,Exposure!$B$33:$C$53,2,FALSE)/VLOOKUP(BH28,Exposure!$B$33:$C$53,2,FALSE)</f>
        <v>254.94728844147724</v>
      </c>
      <c r="AZ28" s="2">
        <f t="shared" si="15"/>
        <v>2017</v>
      </c>
      <c r="BA28" s="2">
        <f t="shared" si="26"/>
        <v>2018</v>
      </c>
      <c r="BB28" s="2">
        <f t="shared" si="26"/>
        <v>2019</v>
      </c>
      <c r="BC28" s="2">
        <f t="shared" si="26"/>
        <v>2020</v>
      </c>
      <c r="BD28" s="2">
        <f t="shared" si="26"/>
        <v>2021</v>
      </c>
      <c r="BE28" s="2">
        <f t="shared" si="26"/>
        <v>2022</v>
      </c>
      <c r="BF28" s="2">
        <f t="shared" si="26"/>
        <v>2023</v>
      </c>
      <c r="BG28" s="2">
        <f t="shared" si="26"/>
        <v>2024</v>
      </c>
      <c r="BH28" s="2">
        <f t="shared" si="26"/>
        <v>2025</v>
      </c>
      <c r="BO28" s="2">
        <v>2027</v>
      </c>
      <c r="BP28" s="2">
        <f t="shared" si="27"/>
        <v>2028</v>
      </c>
      <c r="BQ28" s="2">
        <f t="shared" si="27"/>
        <v>2029</v>
      </c>
      <c r="BR28" s="2">
        <f t="shared" si="27"/>
        <v>2030</v>
      </c>
      <c r="BS28" s="2">
        <f t="shared" si="27"/>
        <v>2031</v>
      </c>
      <c r="BT28" s="2">
        <f t="shared" si="27"/>
        <v>2032</v>
      </c>
      <c r="BU28" s="2">
        <f t="shared" si="27"/>
        <v>2033</v>
      </c>
      <c r="BV28" s="2">
        <f t="shared" si="27"/>
        <v>2034</v>
      </c>
      <c r="BW28" s="2">
        <f t="shared" si="27"/>
        <v>2035</v>
      </c>
    </row>
    <row r="29" spans="1:76" x14ac:dyDescent="0.3">
      <c r="A29" s="12">
        <v>43151</v>
      </c>
      <c r="B29" s="13">
        <v>182785.00267627739</v>
      </c>
      <c r="C29" s="13">
        <v>194143.63187909176</v>
      </c>
      <c r="D29" s="13">
        <v>217475.9073949233</v>
      </c>
      <c r="E29" s="13">
        <v>282562.61361359572</v>
      </c>
      <c r="F29" s="13">
        <v>1548554.2487200117</v>
      </c>
      <c r="G29" s="13">
        <v>1595609.7845606678</v>
      </c>
      <c r="H29" s="13">
        <v>1597194.2461833921</v>
      </c>
      <c r="I29" s="13">
        <v>1602377.246832998</v>
      </c>
      <c r="O29" s="11">
        <f t="shared" si="3"/>
        <v>2017</v>
      </c>
      <c r="P29" s="36">
        <f t="shared" si="4"/>
        <v>843676.92477999488</v>
      </c>
      <c r="Q29" s="36">
        <f t="shared" si="18"/>
        <v>914794.90370107233</v>
      </c>
      <c r="R29" s="36">
        <f t="shared" si="19"/>
        <v>15369.449316104641</v>
      </c>
      <c r="S29" s="36">
        <f>E28-D28</f>
        <v>63195.680886815535</v>
      </c>
      <c r="T29" s="36">
        <f t="shared" si="21"/>
        <v>1284177.3280970764</v>
      </c>
      <c r="U29" s="36">
        <f t="shared" si="22"/>
        <v>5882.8610736215487</v>
      </c>
      <c r="V29" s="36">
        <f t="shared" si="23"/>
        <v>21.888143089134246</v>
      </c>
      <c r="W29" s="36">
        <f t="shared" si="24"/>
        <v>101.11312804184854</v>
      </c>
      <c r="X29" s="36">
        <f t="shared" si="25"/>
        <v>1350.2071890723892</v>
      </c>
      <c r="AB29" s="2">
        <f t="shared" si="14"/>
        <v>2017</v>
      </c>
      <c r="AC29" s="2">
        <f>P29*VLOOKUP(BO29,Exposure!$B$33:$C$53,2,FALSE)/VLOOKUP(AZ29,Exposure!$B$33:$C$53,2,FALSE)</f>
        <v>1307400.1321565777</v>
      </c>
      <c r="AD29" s="2">
        <f>Q29*VLOOKUP(BP29,Exposure!$B$33:$C$53,2,FALSE)/VLOOKUP(BA29,Exposure!$B$33:$C$53,2,FALSE)</f>
        <v>1414157.5748344301</v>
      </c>
      <c r="AE29" s="2">
        <f>R29*VLOOKUP(BQ29,Exposure!$B$33:$C$53,2,FALSE)/VLOOKUP(BB29,Exposure!$B$33:$C$53,2,FALSE)</f>
        <v>23841.976060942525</v>
      </c>
      <c r="AF29" s="2">
        <f>S29*VLOOKUP(BR29,Exposure!$B$33:$C$53,2,FALSE)/VLOOKUP(BC29,Exposure!$B$33:$C$53,2,FALSE)</f>
        <v>99047.850634662871</v>
      </c>
      <c r="AG29" s="2">
        <f>T29*VLOOKUP(BS29,Exposure!$B$33:$C$53,2,FALSE)/VLOOKUP(BD29,Exposure!$B$33:$C$53,2,FALSE)</f>
        <v>2000307.3671467653</v>
      </c>
      <c r="AH29" s="2">
        <f>U29*VLOOKUP(BT29,Exposure!$B$33:$C$53,2,FALSE)/VLOOKUP(BE29,Exposure!$B$33:$C$53,2,FALSE)</f>
        <v>8521.722940728343</v>
      </c>
      <c r="AI29" s="2">
        <f>V29*VLOOKUP(BU29,Exposure!$B$33:$C$53,2,FALSE)/VLOOKUP(BF29,Exposure!$B$33:$C$53,2,FALSE)</f>
        <v>31.01171742930963</v>
      </c>
      <c r="AJ29" s="2">
        <f>W29*VLOOKUP(BV29,Exposure!$B$33:$C$53,2,FALSE)/VLOOKUP(BG29,Exposure!$B$33:$C$53,2,FALSE)</f>
        <v>141.4197058001871</v>
      </c>
      <c r="AK29" s="2">
        <f>X29*VLOOKUP(BW29,Exposure!$B$33:$C$53,2,FALSE)/VLOOKUP(BH29,Exposure!$B$33:$C$53,2,FALSE)</f>
        <v>1876.2520042385195</v>
      </c>
      <c r="AZ29" s="2">
        <f t="shared" si="15"/>
        <v>2017</v>
      </c>
      <c r="BA29" s="2">
        <f t="shared" si="26"/>
        <v>2018</v>
      </c>
      <c r="BB29" s="2">
        <f t="shared" si="26"/>
        <v>2019</v>
      </c>
      <c r="BC29" s="2">
        <f t="shared" si="26"/>
        <v>2020</v>
      </c>
      <c r="BD29" s="2">
        <f t="shared" si="26"/>
        <v>2021</v>
      </c>
      <c r="BE29" s="2">
        <f t="shared" si="26"/>
        <v>2022</v>
      </c>
      <c r="BF29" s="2">
        <f t="shared" si="26"/>
        <v>2023</v>
      </c>
      <c r="BG29" s="2">
        <f t="shared" si="26"/>
        <v>2024</v>
      </c>
      <c r="BH29" s="2">
        <f t="shared" si="26"/>
        <v>2025</v>
      </c>
      <c r="BO29" s="2">
        <v>2027</v>
      </c>
      <c r="BP29" s="2">
        <f t="shared" si="27"/>
        <v>2028</v>
      </c>
      <c r="BQ29" s="2">
        <f t="shared" si="27"/>
        <v>2029</v>
      </c>
      <c r="BR29" s="2">
        <f t="shared" si="27"/>
        <v>2030</v>
      </c>
      <c r="BS29" s="2">
        <f t="shared" si="27"/>
        <v>2031</v>
      </c>
      <c r="BT29" s="2">
        <f t="shared" si="27"/>
        <v>2032</v>
      </c>
      <c r="BU29" s="2">
        <f t="shared" si="27"/>
        <v>2033</v>
      </c>
      <c r="BV29" s="2">
        <f t="shared" si="27"/>
        <v>2034</v>
      </c>
      <c r="BW29" s="2">
        <f t="shared" si="27"/>
        <v>2035</v>
      </c>
    </row>
    <row r="30" spans="1:76" x14ac:dyDescent="0.3">
      <c r="A30" s="12">
        <v>43161</v>
      </c>
      <c r="B30" s="13">
        <v>174941.30314693475</v>
      </c>
      <c r="C30" s="13">
        <v>432036.36971386342</v>
      </c>
      <c r="D30" s="13">
        <v>1522629.7688879764</v>
      </c>
      <c r="E30" s="13">
        <v>1678520.5977020748</v>
      </c>
      <c r="F30" s="13">
        <v>1701476.8688759948</v>
      </c>
      <c r="G30" s="13">
        <v>1832924.5188913301</v>
      </c>
      <c r="H30" s="13">
        <v>1836718.9985142145</v>
      </c>
      <c r="I30" s="13">
        <v>1836719.0006331268</v>
      </c>
      <c r="O30" s="11">
        <f t="shared" si="3"/>
        <v>2018</v>
      </c>
      <c r="P30" s="36">
        <f t="shared" si="4"/>
        <v>182785.00267627739</v>
      </c>
      <c r="Q30" s="36">
        <f t="shared" ref="Q30:Q40" si="28">C29-B29</f>
        <v>11358.629202814365</v>
      </c>
      <c r="R30" s="36">
        <f t="shared" ref="R30:R40" si="29">D29-C29</f>
        <v>23332.275515831541</v>
      </c>
      <c r="S30" s="36">
        <f t="shared" ref="S30:S40" si="30">E29-D29</f>
        <v>65086.706218672422</v>
      </c>
      <c r="T30" s="36">
        <f t="shared" ref="T30:T40" si="31">F29-E29</f>
        <v>1265991.635106416</v>
      </c>
      <c r="U30" s="36">
        <f t="shared" ref="U30:U40" si="32">G29-F29</f>
        <v>47055.535840656143</v>
      </c>
      <c r="V30" s="36">
        <f t="shared" ref="V30:V40" si="33">H29-G29</f>
        <v>1584.4616227243096</v>
      </c>
      <c r="W30" s="36">
        <f t="shared" ref="W30:W40" si="34">I29-H29</f>
        <v>5183.0006496058777</v>
      </c>
      <c r="AB30" s="2">
        <f t="shared" si="14"/>
        <v>2018</v>
      </c>
      <c r="AC30" s="2">
        <f>P30*VLOOKUP(BO30,Exposure!$B$33:$C$53,2,FALSE)/VLOOKUP(AZ30,Exposure!$B$33:$C$53,2,FALSE)</f>
        <v>273535.88268818491</v>
      </c>
      <c r="AD30" s="2">
        <f>Q30*VLOOKUP(BP30,Exposure!$B$33:$C$53,2,FALSE)/VLOOKUP(BA30,Exposure!$B$33:$C$53,2,FALSE)</f>
        <v>17057.270684037561</v>
      </c>
      <c r="AE30" s="2">
        <f>R30*VLOOKUP(BQ30,Exposure!$B$33:$C$53,2,FALSE)/VLOOKUP(BB30,Exposure!$B$33:$C$53,2,FALSE)</f>
        <v>35400.910560923621</v>
      </c>
      <c r="AF30" s="2">
        <f>S30*VLOOKUP(BR30,Exposure!$B$33:$C$53,2,FALSE)/VLOOKUP(BC30,Exposure!$B$33:$C$53,2,FALSE)</f>
        <v>98143.989728312023</v>
      </c>
      <c r="AG30" s="2">
        <f>T30*VLOOKUP(BS30,Exposure!$B$33:$C$53,2,FALSE)/VLOOKUP(BD30,Exposure!$B$33:$C$53,2,FALSE)</f>
        <v>1775290.1049694831</v>
      </c>
      <c r="AH30" s="2">
        <f>U30*VLOOKUP(BT30,Exposure!$B$33:$C$53,2,FALSE)/VLOOKUP(BE30,Exposure!$B$33:$C$53,2,FALSE)</f>
        <v>64539.7532596124</v>
      </c>
      <c r="AI30" s="2">
        <f>V30*VLOOKUP(BU30,Exposure!$B$33:$C$53,2,FALSE)/VLOOKUP(BF30,Exposure!$B$33:$C$53,2,FALSE)</f>
        <v>2145.2790249675581</v>
      </c>
      <c r="AJ30" s="2">
        <f>W30*VLOOKUP(BV30,Exposure!$B$33:$C$53,2,FALSE)/VLOOKUP(BG30,Exposure!$B$33:$C$53,2,FALSE)</f>
        <v>6972.2298348256863</v>
      </c>
      <c r="AZ30" s="2">
        <f t="shared" si="15"/>
        <v>2018</v>
      </c>
      <c r="BA30" s="2">
        <f t="shared" si="26"/>
        <v>2019</v>
      </c>
      <c r="BB30" s="2">
        <f t="shared" si="26"/>
        <v>2020</v>
      </c>
      <c r="BC30" s="2">
        <f t="shared" si="26"/>
        <v>2021</v>
      </c>
      <c r="BD30" s="2">
        <f t="shared" si="26"/>
        <v>2022</v>
      </c>
      <c r="BE30" s="2">
        <f t="shared" si="26"/>
        <v>2023</v>
      </c>
      <c r="BF30" s="2">
        <f t="shared" si="26"/>
        <v>2024</v>
      </c>
      <c r="BG30" s="2">
        <f t="shared" si="26"/>
        <v>2025</v>
      </c>
      <c r="BO30" s="2">
        <v>2027</v>
      </c>
      <c r="BP30" s="2">
        <f t="shared" si="27"/>
        <v>2028</v>
      </c>
      <c r="BQ30" s="2">
        <f t="shared" si="27"/>
        <v>2029</v>
      </c>
      <c r="BR30" s="2">
        <f t="shared" si="27"/>
        <v>2030</v>
      </c>
      <c r="BS30" s="2">
        <f t="shared" si="27"/>
        <v>2031</v>
      </c>
      <c r="BT30" s="2">
        <f t="shared" si="27"/>
        <v>2032</v>
      </c>
      <c r="BU30" s="2">
        <f t="shared" si="27"/>
        <v>2033</v>
      </c>
      <c r="BV30" s="2">
        <f t="shared" si="27"/>
        <v>2034</v>
      </c>
    </row>
    <row r="31" spans="1:76" x14ac:dyDescent="0.3">
      <c r="A31" s="12">
        <v>43206</v>
      </c>
      <c r="B31" s="13">
        <v>24967.154158453541</v>
      </c>
      <c r="C31" s="13">
        <v>50759.541789796778</v>
      </c>
      <c r="D31" s="13">
        <v>1451556.4499380817</v>
      </c>
      <c r="E31" s="13">
        <v>1451579.6001600374</v>
      </c>
      <c r="F31" s="13">
        <v>1583507.7070204853</v>
      </c>
      <c r="G31" s="13">
        <v>1599438.6991866685</v>
      </c>
      <c r="H31" s="13">
        <v>1608003.7892870172</v>
      </c>
      <c r="I31" s="13">
        <v>1612352.6359602821</v>
      </c>
      <c r="O31" s="11">
        <f t="shared" si="3"/>
        <v>2018</v>
      </c>
      <c r="P31" s="36">
        <f t="shared" si="4"/>
        <v>174941.30314693475</v>
      </c>
      <c r="Q31" s="36">
        <f t="shared" si="28"/>
        <v>257095.06656692867</v>
      </c>
      <c r="R31" s="36">
        <f t="shared" si="29"/>
        <v>1090593.3991741131</v>
      </c>
      <c r="S31" s="36">
        <f t="shared" si="30"/>
        <v>155890.82881409838</v>
      </c>
      <c r="T31" s="36">
        <f t="shared" si="31"/>
        <v>22956.271173920017</v>
      </c>
      <c r="U31" s="36">
        <f t="shared" si="32"/>
        <v>131447.6500153353</v>
      </c>
      <c r="V31" s="36">
        <f t="shared" si="33"/>
        <v>3794.4796228844207</v>
      </c>
      <c r="W31" s="36">
        <f t="shared" si="34"/>
        <v>2.1189122926443815E-3</v>
      </c>
      <c r="AB31" s="2">
        <f t="shared" si="14"/>
        <v>2018</v>
      </c>
      <c r="AC31" s="2">
        <f>P31*VLOOKUP(BO31,Exposure!$B$33:$C$53,2,FALSE)/VLOOKUP(AZ31,Exposure!$B$33:$C$53,2,FALSE)</f>
        <v>261797.86675205527</v>
      </c>
      <c r="AD31" s="2">
        <f>Q31*VLOOKUP(BP31,Exposure!$B$33:$C$53,2,FALSE)/VLOOKUP(BA31,Exposure!$B$33:$C$53,2,FALSE)</f>
        <v>386080.0510044106</v>
      </c>
      <c r="AE31" s="2">
        <f>R31*VLOOKUP(BQ31,Exposure!$B$33:$C$53,2,FALSE)/VLOOKUP(BB31,Exposure!$B$33:$C$53,2,FALSE)</f>
        <v>1654703.5610092955</v>
      </c>
      <c r="AF31" s="2">
        <f>S31*VLOOKUP(BR31,Exposure!$B$33:$C$53,2,FALSE)/VLOOKUP(BC31,Exposure!$B$33:$C$53,2,FALSE)</f>
        <v>235067.17102054929</v>
      </c>
      <c r="AG31" s="2">
        <f>T31*VLOOKUP(BS31,Exposure!$B$33:$C$53,2,FALSE)/VLOOKUP(BD31,Exposure!$B$33:$C$53,2,FALSE)</f>
        <v>32191.398372573534</v>
      </c>
      <c r="AH31" s="2">
        <f>U31*VLOOKUP(BT31,Exposure!$B$33:$C$53,2,FALSE)/VLOOKUP(BE31,Exposure!$B$33:$C$53,2,FALSE)</f>
        <v>180289.07219914743</v>
      </c>
      <c r="AI31" s="2">
        <f>V31*VLOOKUP(BU31,Exposure!$B$33:$C$53,2,FALSE)/VLOOKUP(BF31,Exposure!$B$33:$C$53,2,FALSE)</f>
        <v>5137.5290060004972</v>
      </c>
      <c r="AJ31" s="2">
        <f>W31*VLOOKUP(BV31,Exposure!$B$33:$C$53,2,FALSE)/VLOOKUP(BG31,Exposure!$B$33:$C$53,2,FALSE)</f>
        <v>2.8503842663568741E-3</v>
      </c>
      <c r="AZ31" s="2">
        <f t="shared" si="15"/>
        <v>2018</v>
      </c>
      <c r="BA31" s="2">
        <f t="shared" si="26"/>
        <v>2019</v>
      </c>
      <c r="BB31" s="2">
        <f t="shared" si="26"/>
        <v>2020</v>
      </c>
      <c r="BC31" s="2">
        <f t="shared" si="26"/>
        <v>2021</v>
      </c>
      <c r="BD31" s="2">
        <f t="shared" si="26"/>
        <v>2022</v>
      </c>
      <c r="BE31" s="2">
        <f t="shared" si="26"/>
        <v>2023</v>
      </c>
      <c r="BF31" s="2">
        <f t="shared" si="26"/>
        <v>2024</v>
      </c>
      <c r="BG31" s="2">
        <f t="shared" si="26"/>
        <v>2025</v>
      </c>
      <c r="BO31" s="2">
        <v>2027</v>
      </c>
      <c r="BP31" s="2">
        <f t="shared" si="27"/>
        <v>2028</v>
      </c>
      <c r="BQ31" s="2">
        <f t="shared" si="27"/>
        <v>2029</v>
      </c>
      <c r="BR31" s="2">
        <f t="shared" si="27"/>
        <v>2030</v>
      </c>
      <c r="BS31" s="2">
        <f t="shared" si="27"/>
        <v>2031</v>
      </c>
      <c r="BT31" s="2">
        <f t="shared" si="27"/>
        <v>2032</v>
      </c>
      <c r="BU31" s="2">
        <f t="shared" si="27"/>
        <v>2033</v>
      </c>
      <c r="BV31" s="2">
        <f t="shared" si="27"/>
        <v>2034</v>
      </c>
    </row>
    <row r="32" spans="1:76" x14ac:dyDescent="0.3">
      <c r="A32" s="12">
        <v>43249</v>
      </c>
      <c r="B32" s="13">
        <v>535852.5406771967</v>
      </c>
      <c r="C32" s="13">
        <v>578018.02244250069</v>
      </c>
      <c r="D32" s="13">
        <v>1274990.3263190466</v>
      </c>
      <c r="E32" s="13">
        <v>1387201.184945944</v>
      </c>
      <c r="F32" s="13">
        <v>1387784.2276643335</v>
      </c>
      <c r="G32" s="13">
        <v>1395168.3201618167</v>
      </c>
      <c r="H32" s="13">
        <v>1404536.4893934408</v>
      </c>
      <c r="I32" s="13">
        <v>1423744.0276503724</v>
      </c>
      <c r="O32" s="11">
        <f t="shared" si="3"/>
        <v>2018</v>
      </c>
      <c r="P32" s="36">
        <f t="shared" si="4"/>
        <v>24967.154158453541</v>
      </c>
      <c r="Q32" s="36">
        <f t="shared" si="28"/>
        <v>25792.387631343237</v>
      </c>
      <c r="R32" s="36">
        <f t="shared" si="29"/>
        <v>1400796.908148285</v>
      </c>
      <c r="S32" s="36">
        <f t="shared" si="30"/>
        <v>23.150221955729648</v>
      </c>
      <c r="T32" s="36">
        <f t="shared" si="31"/>
        <v>131928.10686044791</v>
      </c>
      <c r="U32" s="36">
        <f t="shared" si="32"/>
        <v>15930.99216618319</v>
      </c>
      <c r="V32" s="36">
        <f t="shared" si="33"/>
        <v>8565.0901003486942</v>
      </c>
      <c r="W32" s="36">
        <f t="shared" si="34"/>
        <v>4348.8466732648667</v>
      </c>
      <c r="AB32" s="2">
        <f t="shared" si="14"/>
        <v>2018</v>
      </c>
      <c r="AC32" s="2">
        <f>P32*VLOOKUP(BO32,Exposure!$B$33:$C$53,2,FALSE)/VLOOKUP(AZ32,Exposure!$B$33:$C$53,2,FALSE)</f>
        <v>37363.090247835338</v>
      </c>
      <c r="AD32" s="2">
        <f>Q32*VLOOKUP(BP32,Exposure!$B$33:$C$53,2,FALSE)/VLOOKUP(BA32,Exposure!$B$33:$C$53,2,FALSE)</f>
        <v>38732.467585651684</v>
      </c>
      <c r="AE32" s="2">
        <f>R32*VLOOKUP(BQ32,Exposure!$B$33:$C$53,2,FALSE)/VLOOKUP(BB32,Exposure!$B$33:$C$53,2,FALSE)</f>
        <v>2125360.0415325137</v>
      </c>
      <c r="AF32" s="2">
        <f>S32*VLOOKUP(BR32,Exposure!$B$33:$C$53,2,FALSE)/VLOOKUP(BC32,Exposure!$B$33:$C$53,2,FALSE)</f>
        <v>34.908129137735578</v>
      </c>
      <c r="AG32" s="2">
        <f>T32*VLOOKUP(BS32,Exposure!$B$33:$C$53,2,FALSE)/VLOOKUP(BD32,Exposure!$B$33:$C$53,2,FALSE)</f>
        <v>185001.74581092127</v>
      </c>
      <c r="AH32" s="2">
        <f>U32*VLOOKUP(BT32,Exposure!$B$33:$C$53,2,FALSE)/VLOOKUP(BE32,Exposure!$B$33:$C$53,2,FALSE)</f>
        <v>21850.400494173697</v>
      </c>
      <c r="AI32" s="2">
        <f>V32*VLOOKUP(BU32,Exposure!$B$33:$C$53,2,FALSE)/VLOOKUP(BF32,Exposure!$B$33:$C$53,2,FALSE)</f>
        <v>11596.688664281033</v>
      </c>
      <c r="AJ32" s="2">
        <f>W32*VLOOKUP(BV32,Exposure!$B$33:$C$53,2,FALSE)/VLOOKUP(BG32,Exposure!$B$33:$C$53,2,FALSE)</f>
        <v>5850.1166741558091</v>
      </c>
      <c r="AZ32" s="2">
        <f t="shared" si="15"/>
        <v>2018</v>
      </c>
      <c r="BA32" s="2">
        <f t="shared" si="26"/>
        <v>2019</v>
      </c>
      <c r="BB32" s="2">
        <f t="shared" si="26"/>
        <v>2020</v>
      </c>
      <c r="BC32" s="2">
        <f t="shared" si="26"/>
        <v>2021</v>
      </c>
      <c r="BD32" s="2">
        <f t="shared" si="26"/>
        <v>2022</v>
      </c>
      <c r="BE32" s="2">
        <f t="shared" si="26"/>
        <v>2023</v>
      </c>
      <c r="BF32" s="2">
        <f t="shared" si="26"/>
        <v>2024</v>
      </c>
      <c r="BG32" s="2">
        <f t="shared" si="26"/>
        <v>2025</v>
      </c>
      <c r="BO32" s="2">
        <v>2027</v>
      </c>
      <c r="BP32" s="2">
        <f t="shared" si="27"/>
        <v>2028</v>
      </c>
      <c r="BQ32" s="2">
        <f t="shared" si="27"/>
        <v>2029</v>
      </c>
      <c r="BR32" s="2">
        <f t="shared" si="27"/>
        <v>2030</v>
      </c>
      <c r="BS32" s="2">
        <f t="shared" si="27"/>
        <v>2031</v>
      </c>
      <c r="BT32" s="2">
        <f t="shared" si="27"/>
        <v>2032</v>
      </c>
      <c r="BU32" s="2">
        <f t="shared" si="27"/>
        <v>2033</v>
      </c>
      <c r="BV32" s="2">
        <f t="shared" si="27"/>
        <v>2034</v>
      </c>
    </row>
    <row r="33" spans="1:74" x14ac:dyDescent="0.3">
      <c r="A33" s="12">
        <v>43266</v>
      </c>
      <c r="B33" s="13">
        <v>618850.10085950291</v>
      </c>
      <c r="C33" s="13">
        <v>695426.54810482415</v>
      </c>
      <c r="D33" s="13">
        <v>833998.2160612283</v>
      </c>
      <c r="E33" s="13">
        <v>1334111.7355316379</v>
      </c>
      <c r="F33" s="13">
        <v>1334682.8765981807</v>
      </c>
      <c r="G33" s="13">
        <v>1334895.6252296178</v>
      </c>
      <c r="H33" s="13">
        <v>1342633.7698632877</v>
      </c>
      <c r="I33" s="13">
        <v>1357785.3742797924</v>
      </c>
      <c r="O33" s="11">
        <f t="shared" si="3"/>
        <v>2018</v>
      </c>
      <c r="P33" s="36">
        <f t="shared" si="4"/>
        <v>535852.5406771967</v>
      </c>
      <c r="Q33" s="36">
        <f t="shared" si="28"/>
        <v>42165.481765303994</v>
      </c>
      <c r="R33" s="36">
        <f t="shared" si="29"/>
        <v>696972.30387654586</v>
      </c>
      <c r="S33" s="36">
        <f t="shared" si="30"/>
        <v>112210.85862689745</v>
      </c>
      <c r="T33" s="36">
        <f t="shared" si="31"/>
        <v>583.04271838953719</v>
      </c>
      <c r="U33" s="36">
        <f t="shared" si="32"/>
        <v>7384.0924974831287</v>
      </c>
      <c r="V33" s="36">
        <f t="shared" si="33"/>
        <v>9368.1692316241097</v>
      </c>
      <c r="W33" s="36">
        <f t="shared" si="34"/>
        <v>19207.538256931584</v>
      </c>
      <c r="AB33" s="2">
        <f t="shared" si="14"/>
        <v>2018</v>
      </c>
      <c r="AC33" s="2">
        <f>P33*VLOOKUP(BO33,Exposure!$B$33:$C$53,2,FALSE)/VLOOKUP(AZ33,Exposure!$B$33:$C$53,2,FALSE)</f>
        <v>801897.83384163072</v>
      </c>
      <c r="AD33" s="2">
        <f>Q33*VLOOKUP(BP33,Exposure!$B$33:$C$53,2,FALSE)/VLOOKUP(BA33,Exposure!$B$33:$C$53,2,FALSE)</f>
        <v>63319.967854521979</v>
      </c>
      <c r="AE33" s="2">
        <f>R33*VLOOKUP(BQ33,Exposure!$B$33:$C$53,2,FALSE)/VLOOKUP(BB33,Exposure!$B$33:$C$53,2,FALSE)</f>
        <v>1057481.6920978371</v>
      </c>
      <c r="AF33" s="2">
        <f>S33*VLOOKUP(BR33,Exposure!$B$33:$C$53,2,FALSE)/VLOOKUP(BC33,Exposure!$B$33:$C$53,2,FALSE)</f>
        <v>169202.31482421947</v>
      </c>
      <c r="AG33" s="2">
        <f>T33*VLOOKUP(BS33,Exposure!$B$33:$C$53,2,FALSE)/VLOOKUP(BD33,Exposure!$B$33:$C$53,2,FALSE)</f>
        <v>817.59621472099934</v>
      </c>
      <c r="AH33" s="2">
        <f>U33*VLOOKUP(BT33,Exposure!$B$33:$C$53,2,FALSE)/VLOOKUP(BE33,Exposure!$B$33:$C$53,2,FALSE)</f>
        <v>10127.767101569381</v>
      </c>
      <c r="AI33" s="2">
        <f>V33*VLOOKUP(BU33,Exposure!$B$33:$C$53,2,FALSE)/VLOOKUP(BF33,Exposure!$B$33:$C$53,2,FALSE)</f>
        <v>12684.016240415125</v>
      </c>
      <c r="AJ33" s="2">
        <f>W33*VLOOKUP(BV33,Exposure!$B$33:$C$53,2,FALSE)/VLOOKUP(BG33,Exposure!$B$33:$C$53,2,FALSE)</f>
        <v>25838.19303567279</v>
      </c>
      <c r="AZ33" s="2">
        <f t="shared" si="15"/>
        <v>2018</v>
      </c>
      <c r="BA33" s="2">
        <f t="shared" si="26"/>
        <v>2019</v>
      </c>
      <c r="BB33" s="2">
        <f t="shared" si="26"/>
        <v>2020</v>
      </c>
      <c r="BC33" s="2">
        <f t="shared" si="26"/>
        <v>2021</v>
      </c>
      <c r="BD33" s="2">
        <f t="shared" si="26"/>
        <v>2022</v>
      </c>
      <c r="BE33" s="2">
        <f t="shared" si="26"/>
        <v>2023</v>
      </c>
      <c r="BF33" s="2">
        <f t="shared" si="26"/>
        <v>2024</v>
      </c>
      <c r="BG33" s="2">
        <f t="shared" si="26"/>
        <v>2025</v>
      </c>
      <c r="BO33" s="2">
        <v>2027</v>
      </c>
      <c r="BP33" s="2">
        <f t="shared" si="27"/>
        <v>2028</v>
      </c>
      <c r="BQ33" s="2">
        <f t="shared" si="27"/>
        <v>2029</v>
      </c>
      <c r="BR33" s="2">
        <f t="shared" si="27"/>
        <v>2030</v>
      </c>
      <c r="BS33" s="2">
        <f t="shared" si="27"/>
        <v>2031</v>
      </c>
      <c r="BT33" s="2">
        <f t="shared" si="27"/>
        <v>2032</v>
      </c>
      <c r="BU33" s="2">
        <f t="shared" si="27"/>
        <v>2033</v>
      </c>
      <c r="BV33" s="2">
        <f t="shared" si="27"/>
        <v>2034</v>
      </c>
    </row>
    <row r="34" spans="1:74" x14ac:dyDescent="0.3">
      <c r="A34" s="12">
        <v>43306</v>
      </c>
      <c r="B34" s="13">
        <v>62045.273016796353</v>
      </c>
      <c r="C34" s="13">
        <v>296581.96398783044</v>
      </c>
      <c r="D34" s="13">
        <v>324168.51149974088</v>
      </c>
      <c r="E34" s="13">
        <v>526181.95563580678</v>
      </c>
      <c r="F34" s="13">
        <v>609789.6016571332</v>
      </c>
      <c r="G34" s="13">
        <v>677387.06705499371</v>
      </c>
      <c r="H34" s="13">
        <v>722477.0304629422</v>
      </c>
      <c r="I34" s="13">
        <v>882877.98428583215</v>
      </c>
      <c r="O34" s="11">
        <f t="shared" si="3"/>
        <v>2018</v>
      </c>
      <c r="P34" s="36">
        <f t="shared" si="4"/>
        <v>618850.10085950291</v>
      </c>
      <c r="Q34" s="36">
        <f t="shared" si="28"/>
        <v>76576.447245321237</v>
      </c>
      <c r="R34" s="36">
        <f t="shared" si="29"/>
        <v>138571.66795640416</v>
      </c>
      <c r="S34" s="36">
        <f t="shared" si="30"/>
        <v>500113.51947040961</v>
      </c>
      <c r="T34" s="36">
        <f t="shared" si="31"/>
        <v>571.14106654282659</v>
      </c>
      <c r="U34" s="36">
        <f t="shared" si="32"/>
        <v>212.74863143707626</v>
      </c>
      <c r="V34" s="36">
        <f t="shared" si="33"/>
        <v>7738.1446336698718</v>
      </c>
      <c r="W34" s="36">
        <f t="shared" si="34"/>
        <v>15151.604416504735</v>
      </c>
      <c r="AB34" s="2">
        <f t="shared" si="14"/>
        <v>2018</v>
      </c>
      <c r="AC34" s="2">
        <f>P34*VLOOKUP(BO34,Exposure!$B$33:$C$53,2,FALSE)/VLOOKUP(AZ34,Exposure!$B$33:$C$53,2,FALSE)</f>
        <v>926102.83180659416</v>
      </c>
      <c r="AD34" s="2">
        <f>Q34*VLOOKUP(BP34,Exposure!$B$33:$C$53,2,FALSE)/VLOOKUP(BA34,Exposure!$B$33:$C$53,2,FALSE)</f>
        <v>114994.96685407504</v>
      </c>
      <c r="AE34" s="2">
        <f>R34*VLOOKUP(BQ34,Exposure!$B$33:$C$53,2,FALSE)/VLOOKUP(BB34,Exposure!$B$33:$C$53,2,FALSE)</f>
        <v>210247.95546727191</v>
      </c>
      <c r="AF34" s="2">
        <f>S34*VLOOKUP(BR34,Exposure!$B$33:$C$53,2,FALSE)/VLOOKUP(BC34,Exposure!$B$33:$C$53,2,FALSE)</f>
        <v>754119.21987554233</v>
      </c>
      <c r="AG34" s="2">
        <f>T34*VLOOKUP(BS34,Exposure!$B$33:$C$53,2,FALSE)/VLOOKUP(BD34,Exposure!$B$33:$C$53,2,FALSE)</f>
        <v>800.90662201726786</v>
      </c>
      <c r="AH34" s="2">
        <f>U34*VLOOKUP(BT34,Exposure!$B$33:$C$53,2,FALSE)/VLOOKUP(BE34,Exposure!$B$33:$C$53,2,FALSE)</f>
        <v>291.79869985468758</v>
      </c>
      <c r="AI34" s="2">
        <f>V34*VLOOKUP(BU34,Exposure!$B$33:$C$53,2,FALSE)/VLOOKUP(BF34,Exposure!$B$33:$C$53,2,FALSE)</f>
        <v>10477.047305339289</v>
      </c>
      <c r="AJ34" s="2">
        <f>W34*VLOOKUP(BV34,Exposure!$B$33:$C$53,2,FALSE)/VLOOKUP(BG34,Exposure!$B$33:$C$53,2,FALSE)</f>
        <v>20382.105945956999</v>
      </c>
      <c r="AZ34" s="2">
        <f t="shared" si="15"/>
        <v>2018</v>
      </c>
      <c r="BA34" s="2">
        <f t="shared" si="26"/>
        <v>2019</v>
      </c>
      <c r="BB34" s="2">
        <f t="shared" si="26"/>
        <v>2020</v>
      </c>
      <c r="BC34" s="2">
        <f t="shared" si="26"/>
        <v>2021</v>
      </c>
      <c r="BD34" s="2">
        <f t="shared" si="26"/>
        <v>2022</v>
      </c>
      <c r="BE34" s="2">
        <f t="shared" si="26"/>
        <v>2023</v>
      </c>
      <c r="BF34" s="2">
        <f t="shared" si="26"/>
        <v>2024</v>
      </c>
      <c r="BG34" s="2">
        <f t="shared" si="26"/>
        <v>2025</v>
      </c>
      <c r="BO34" s="2">
        <v>2027</v>
      </c>
      <c r="BP34" s="2">
        <f t="shared" si="27"/>
        <v>2028</v>
      </c>
      <c r="BQ34" s="2">
        <f t="shared" si="27"/>
        <v>2029</v>
      </c>
      <c r="BR34" s="2">
        <f t="shared" si="27"/>
        <v>2030</v>
      </c>
      <c r="BS34" s="2">
        <f t="shared" si="27"/>
        <v>2031</v>
      </c>
      <c r="BT34" s="2">
        <f t="shared" si="27"/>
        <v>2032</v>
      </c>
      <c r="BU34" s="2">
        <f t="shared" si="27"/>
        <v>2033</v>
      </c>
      <c r="BV34" s="2">
        <f t="shared" si="27"/>
        <v>2034</v>
      </c>
    </row>
    <row r="35" spans="1:74" x14ac:dyDescent="0.3">
      <c r="A35" s="12">
        <v>43316</v>
      </c>
      <c r="B35" s="13">
        <v>33866.786035403515</v>
      </c>
      <c r="C35" s="13">
        <v>43530.065598763205</v>
      </c>
      <c r="D35" s="13">
        <v>965061.5323201943</v>
      </c>
      <c r="E35" s="13">
        <v>1051041.180904086</v>
      </c>
      <c r="F35" s="13">
        <v>1344540.5121430508</v>
      </c>
      <c r="G35" s="13">
        <v>1349116.0372576867</v>
      </c>
      <c r="H35" s="13">
        <v>1351881.0598727122</v>
      </c>
      <c r="I35" s="13">
        <v>1356292.9155884031</v>
      </c>
      <c r="O35" s="11">
        <f t="shared" si="3"/>
        <v>2018</v>
      </c>
      <c r="P35" s="36">
        <f t="shared" si="4"/>
        <v>62045.273016796353</v>
      </c>
      <c r="Q35" s="36">
        <f t="shared" si="28"/>
        <v>234536.69097103408</v>
      </c>
      <c r="R35" s="36">
        <f t="shared" si="29"/>
        <v>27586.547511910438</v>
      </c>
      <c r="S35" s="36">
        <f t="shared" si="30"/>
        <v>202013.4441360659</v>
      </c>
      <c r="T35" s="36">
        <f t="shared" si="31"/>
        <v>83607.646021326422</v>
      </c>
      <c r="U35" s="36">
        <f t="shared" si="32"/>
        <v>67597.465397860506</v>
      </c>
      <c r="V35" s="36">
        <f t="shared" si="33"/>
        <v>45089.963407948497</v>
      </c>
      <c r="W35" s="36">
        <f t="shared" si="34"/>
        <v>160400.95382288995</v>
      </c>
      <c r="AB35" s="2">
        <f t="shared" si="14"/>
        <v>2018</v>
      </c>
      <c r="AC35" s="2">
        <f>P35*VLOOKUP(BO35,Exposure!$B$33:$C$53,2,FALSE)/VLOOKUP(AZ35,Exposure!$B$33:$C$53,2,FALSE)</f>
        <v>92850.115013738265</v>
      </c>
      <c r="AD35" s="2">
        <f>Q35*VLOOKUP(BP35,Exposure!$B$33:$C$53,2,FALSE)/VLOOKUP(BA35,Exposure!$B$33:$C$53,2,FALSE)</f>
        <v>352204.10419244651</v>
      </c>
      <c r="AE35" s="2">
        <f>R35*VLOOKUP(BQ35,Exposure!$B$33:$C$53,2,FALSE)/VLOOKUP(BB35,Exposure!$B$33:$C$53,2,FALSE)</f>
        <v>41855.707579450238</v>
      </c>
      <c r="AF35" s="2">
        <f>S35*VLOOKUP(BR35,Exposure!$B$33:$C$53,2,FALSE)/VLOOKUP(BC35,Exposure!$B$33:$C$53,2,FALSE)</f>
        <v>304615.28226148093</v>
      </c>
      <c r="AG35" s="2">
        <f>T35*VLOOKUP(BS35,Exposure!$B$33:$C$53,2,FALSE)/VLOOKUP(BD35,Exposure!$B$33:$C$53,2,FALSE)</f>
        <v>117242.34391878547</v>
      </c>
      <c r="AH35" s="2">
        <f>U35*VLOOKUP(BT35,Exposure!$B$33:$C$53,2,FALSE)/VLOOKUP(BE35,Exposure!$B$33:$C$53,2,FALSE)</f>
        <v>92714.356766153229</v>
      </c>
      <c r="AI35" s="2">
        <f>V35*VLOOKUP(BU35,Exposure!$B$33:$C$53,2,FALSE)/VLOOKUP(BF35,Exposure!$B$33:$C$53,2,FALSE)</f>
        <v>61049.476584550495</v>
      </c>
      <c r="AJ35" s="2">
        <f>W35*VLOOKUP(BV35,Exposure!$B$33:$C$53,2,FALSE)/VLOOKUP(BG35,Exposure!$B$33:$C$53,2,FALSE)</f>
        <v>215773.13826180814</v>
      </c>
      <c r="AZ35" s="2">
        <f t="shared" si="15"/>
        <v>2018</v>
      </c>
      <c r="BA35" s="2">
        <f t="shared" ref="BA35:BG50" si="35">$AZ35+BA$1-1</f>
        <v>2019</v>
      </c>
      <c r="BB35" s="2">
        <f t="shared" si="35"/>
        <v>2020</v>
      </c>
      <c r="BC35" s="2">
        <f t="shared" si="35"/>
        <v>2021</v>
      </c>
      <c r="BD35" s="2">
        <f t="shared" si="35"/>
        <v>2022</v>
      </c>
      <c r="BE35" s="2">
        <f t="shared" si="35"/>
        <v>2023</v>
      </c>
      <c r="BF35" s="2">
        <f t="shared" si="35"/>
        <v>2024</v>
      </c>
      <c r="BG35" s="2">
        <f t="shared" si="35"/>
        <v>2025</v>
      </c>
      <c r="BO35" s="2">
        <v>2027</v>
      </c>
      <c r="BP35" s="2">
        <f t="shared" ref="BP35:BV50" si="36">$BO35+BP$1-1</f>
        <v>2028</v>
      </c>
      <c r="BQ35" s="2">
        <f t="shared" si="36"/>
        <v>2029</v>
      </c>
      <c r="BR35" s="2">
        <f t="shared" si="36"/>
        <v>2030</v>
      </c>
      <c r="BS35" s="2">
        <f t="shared" si="36"/>
        <v>2031</v>
      </c>
      <c r="BT35" s="2">
        <f t="shared" si="36"/>
        <v>2032</v>
      </c>
      <c r="BU35" s="2">
        <f t="shared" si="36"/>
        <v>2033</v>
      </c>
      <c r="BV35" s="2">
        <f t="shared" si="36"/>
        <v>2034</v>
      </c>
    </row>
    <row r="36" spans="1:74" x14ac:dyDescent="0.3">
      <c r="A36" s="12">
        <v>43333</v>
      </c>
      <c r="B36" s="13">
        <v>149557.32088223909</v>
      </c>
      <c r="C36" s="13">
        <v>521064.6913192686</v>
      </c>
      <c r="D36" s="13">
        <v>636739.52921637835</v>
      </c>
      <c r="E36" s="13">
        <v>636758.05000418529</v>
      </c>
      <c r="F36" s="13">
        <v>1957072.3266523227</v>
      </c>
      <c r="G36" s="13">
        <v>2150939.7008296456</v>
      </c>
      <c r="H36" s="13">
        <v>2181462.8364010942</v>
      </c>
      <c r="I36" s="13">
        <v>2188132.9921748894</v>
      </c>
      <c r="O36" s="11">
        <f t="shared" si="3"/>
        <v>2018</v>
      </c>
      <c r="P36" s="36">
        <f t="shared" si="4"/>
        <v>33866.786035403515</v>
      </c>
      <c r="Q36" s="36">
        <f t="shared" si="28"/>
        <v>9663.2795633596907</v>
      </c>
      <c r="R36" s="36">
        <f t="shared" si="29"/>
        <v>921531.46672143112</v>
      </c>
      <c r="S36" s="36">
        <f t="shared" si="30"/>
        <v>85979.648583891685</v>
      </c>
      <c r="T36" s="36">
        <f t="shared" si="31"/>
        <v>293499.33123896481</v>
      </c>
      <c r="U36" s="36">
        <f t="shared" si="32"/>
        <v>4575.5251146359369</v>
      </c>
      <c r="V36" s="36">
        <f t="shared" si="33"/>
        <v>2765.0226150255185</v>
      </c>
      <c r="W36" s="36">
        <f t="shared" si="34"/>
        <v>4411.8557156908792</v>
      </c>
      <c r="AB36" s="2">
        <f t="shared" si="14"/>
        <v>2018</v>
      </c>
      <c r="AC36" s="2">
        <f>P36*VLOOKUP(BO36,Exposure!$B$33:$C$53,2,FALSE)/VLOOKUP(AZ36,Exposure!$B$33:$C$53,2,FALSE)</f>
        <v>50681.298117289618</v>
      </c>
      <c r="AD36" s="2">
        <f>Q36*VLOOKUP(BP36,Exposure!$B$33:$C$53,2,FALSE)/VLOOKUP(BA36,Exposure!$B$33:$C$53,2,FALSE)</f>
        <v>14511.361561737949</v>
      </c>
      <c r="AE36" s="2">
        <f>R36*VLOOKUP(BQ36,Exposure!$B$33:$C$53,2,FALSE)/VLOOKUP(BB36,Exposure!$B$33:$C$53,2,FALSE)</f>
        <v>1398194.2314347595</v>
      </c>
      <c r="AF36" s="2">
        <f>S36*VLOOKUP(BR36,Exposure!$B$33:$C$53,2,FALSE)/VLOOKUP(BC36,Exposure!$B$33:$C$53,2,FALSE)</f>
        <v>129648.37580059466</v>
      </c>
      <c r="AG36" s="2">
        <f>T36*VLOOKUP(BS36,Exposure!$B$33:$C$53,2,FALSE)/VLOOKUP(BD36,Exposure!$B$33:$C$53,2,FALSE)</f>
        <v>411571.80198895797</v>
      </c>
      <c r="AH36" s="2">
        <f>U36*VLOOKUP(BT36,Exposure!$B$33:$C$53,2,FALSE)/VLOOKUP(BE36,Exposure!$B$33:$C$53,2,FALSE)</f>
        <v>6275.6327530037406</v>
      </c>
      <c r="AI36" s="2">
        <f>V36*VLOOKUP(BU36,Exposure!$B$33:$C$53,2,FALSE)/VLOOKUP(BF36,Exposure!$B$33:$C$53,2,FALSE)</f>
        <v>3743.6975023580571</v>
      </c>
      <c r="AJ36" s="2">
        <f>W36*VLOOKUP(BV36,Exposure!$B$33:$C$53,2,FALSE)/VLOOKUP(BG36,Exposure!$B$33:$C$53,2,FALSE)</f>
        <v>5934.8771353569564</v>
      </c>
      <c r="AZ36" s="2">
        <f t="shared" si="15"/>
        <v>2018</v>
      </c>
      <c r="BA36" s="2">
        <f t="shared" si="35"/>
        <v>2019</v>
      </c>
      <c r="BB36" s="2">
        <f t="shared" si="35"/>
        <v>2020</v>
      </c>
      <c r="BC36" s="2">
        <f t="shared" si="35"/>
        <v>2021</v>
      </c>
      <c r="BD36" s="2">
        <f t="shared" si="35"/>
        <v>2022</v>
      </c>
      <c r="BE36" s="2">
        <f t="shared" si="35"/>
        <v>2023</v>
      </c>
      <c r="BF36" s="2">
        <f t="shared" si="35"/>
        <v>2024</v>
      </c>
      <c r="BG36" s="2">
        <f t="shared" si="35"/>
        <v>2025</v>
      </c>
      <c r="BO36" s="2">
        <v>2027</v>
      </c>
      <c r="BP36" s="2">
        <f t="shared" si="36"/>
        <v>2028</v>
      </c>
      <c r="BQ36" s="2">
        <f t="shared" si="36"/>
        <v>2029</v>
      </c>
      <c r="BR36" s="2">
        <f t="shared" si="36"/>
        <v>2030</v>
      </c>
      <c r="BS36" s="2">
        <f t="shared" si="36"/>
        <v>2031</v>
      </c>
      <c r="BT36" s="2">
        <f t="shared" si="36"/>
        <v>2032</v>
      </c>
      <c r="BU36" s="2">
        <f t="shared" si="36"/>
        <v>2033</v>
      </c>
      <c r="BV36" s="2">
        <f t="shared" si="36"/>
        <v>2034</v>
      </c>
    </row>
    <row r="37" spans="1:74" x14ac:dyDescent="0.3">
      <c r="A37" s="12">
        <v>43356</v>
      </c>
      <c r="B37" s="13">
        <v>4343.427518790123</v>
      </c>
      <c r="C37" s="13">
        <v>680606.66344269086</v>
      </c>
      <c r="D37" s="13">
        <v>1648768.8315447769</v>
      </c>
      <c r="E37" s="13">
        <v>1731765.1926544651</v>
      </c>
      <c r="F37" s="13">
        <v>2230805.5507528479</v>
      </c>
      <c r="G37" s="13">
        <v>2231446.1300173248</v>
      </c>
      <c r="H37" s="13">
        <v>2272053.4836621056</v>
      </c>
      <c r="I37" s="13">
        <v>2273325.8349886327</v>
      </c>
      <c r="O37" s="11">
        <f t="shared" si="3"/>
        <v>2018</v>
      </c>
      <c r="P37" s="36">
        <f t="shared" si="4"/>
        <v>149557.32088223909</v>
      </c>
      <c r="Q37" s="36">
        <f t="shared" si="28"/>
        <v>371507.37043702952</v>
      </c>
      <c r="R37" s="36">
        <f t="shared" si="29"/>
        <v>115674.83789710974</v>
      </c>
      <c r="S37" s="36">
        <f t="shared" si="30"/>
        <v>18.520787806948647</v>
      </c>
      <c r="T37" s="36">
        <f t="shared" si="31"/>
        <v>1320314.2766481373</v>
      </c>
      <c r="U37" s="36">
        <f t="shared" si="32"/>
        <v>193867.37417732296</v>
      </c>
      <c r="V37" s="36">
        <f t="shared" si="33"/>
        <v>30523.135571448598</v>
      </c>
      <c r="W37" s="36">
        <f t="shared" si="34"/>
        <v>6670.1557737952098</v>
      </c>
      <c r="AB37" s="2">
        <f t="shared" si="14"/>
        <v>2018</v>
      </c>
      <c r="AC37" s="2">
        <f>P37*VLOOKUP(BO37,Exposure!$B$33:$C$53,2,FALSE)/VLOOKUP(AZ37,Exposure!$B$33:$C$53,2,FALSE)</f>
        <v>223810.99751633374</v>
      </c>
      <c r="AD37" s="2">
        <f>Q37*VLOOKUP(BP37,Exposure!$B$33:$C$53,2,FALSE)/VLOOKUP(BA37,Exposure!$B$33:$C$53,2,FALSE)</f>
        <v>557893.1810793957</v>
      </c>
      <c r="AE37" s="2">
        <f>R37*VLOOKUP(BQ37,Exposure!$B$33:$C$53,2,FALSE)/VLOOKUP(BB37,Exposure!$B$33:$C$53,2,FALSE)</f>
        <v>175507.72481519697</v>
      </c>
      <c r="AF37" s="2">
        <f>S37*VLOOKUP(BR37,Exposure!$B$33:$C$53,2,FALSE)/VLOOKUP(BC37,Exposure!$B$33:$C$53,2,FALSE)</f>
        <v>27.927423492263646</v>
      </c>
      <c r="AG37" s="2">
        <f>T37*VLOOKUP(BS37,Exposure!$B$33:$C$53,2,FALSE)/VLOOKUP(BD37,Exposure!$B$33:$C$53,2,FALSE)</f>
        <v>1851466.3176161926</v>
      </c>
      <c r="AH37" s="2">
        <f>U37*VLOOKUP(BT37,Exposure!$B$33:$C$53,2,FALSE)/VLOOKUP(BE37,Exposure!$B$33:$C$53,2,FALSE)</f>
        <v>265901.81730930018</v>
      </c>
      <c r="AI37" s="2">
        <f>V37*VLOOKUP(BU37,Exposure!$B$33:$C$53,2,FALSE)/VLOOKUP(BF37,Exposure!$B$33:$C$53,2,FALSE)</f>
        <v>41326.745677237035</v>
      </c>
      <c r="AJ37" s="2">
        <f>W37*VLOOKUP(BV37,Exposure!$B$33:$C$53,2,FALSE)/VLOOKUP(BG37,Exposure!$B$33:$C$53,2,FALSE)</f>
        <v>8972.7673664339854</v>
      </c>
      <c r="AZ37" s="2">
        <f t="shared" si="15"/>
        <v>2018</v>
      </c>
      <c r="BA37" s="2">
        <f t="shared" si="35"/>
        <v>2019</v>
      </c>
      <c r="BB37" s="2">
        <f t="shared" si="35"/>
        <v>2020</v>
      </c>
      <c r="BC37" s="2">
        <f t="shared" si="35"/>
        <v>2021</v>
      </c>
      <c r="BD37" s="2">
        <f t="shared" si="35"/>
        <v>2022</v>
      </c>
      <c r="BE37" s="2">
        <f t="shared" si="35"/>
        <v>2023</v>
      </c>
      <c r="BF37" s="2">
        <f t="shared" si="35"/>
        <v>2024</v>
      </c>
      <c r="BG37" s="2">
        <f t="shared" si="35"/>
        <v>2025</v>
      </c>
      <c r="BO37" s="2">
        <v>2027</v>
      </c>
      <c r="BP37" s="2">
        <f t="shared" si="36"/>
        <v>2028</v>
      </c>
      <c r="BQ37" s="2">
        <f t="shared" si="36"/>
        <v>2029</v>
      </c>
      <c r="BR37" s="2">
        <f t="shared" si="36"/>
        <v>2030</v>
      </c>
      <c r="BS37" s="2">
        <f t="shared" si="36"/>
        <v>2031</v>
      </c>
      <c r="BT37" s="2">
        <f t="shared" si="36"/>
        <v>2032</v>
      </c>
      <c r="BU37" s="2">
        <f t="shared" si="36"/>
        <v>2033</v>
      </c>
      <c r="BV37" s="2">
        <f t="shared" si="36"/>
        <v>2034</v>
      </c>
    </row>
    <row r="38" spans="1:74" x14ac:dyDescent="0.3">
      <c r="A38" s="12">
        <v>43365</v>
      </c>
      <c r="B38" s="13">
        <v>42418.562642291748</v>
      </c>
      <c r="C38" s="13">
        <v>51439.392983743834</v>
      </c>
      <c r="D38" s="13">
        <v>218140.64402350897</v>
      </c>
      <c r="E38" s="13">
        <v>562318.81648609031</v>
      </c>
      <c r="F38" s="13">
        <v>1067132.1993270263</v>
      </c>
      <c r="G38" s="13">
        <v>1179309.5682314225</v>
      </c>
      <c r="H38" s="13">
        <v>1179480.7287510827</v>
      </c>
      <c r="I38" s="13">
        <v>1179699.3546814653</v>
      </c>
      <c r="O38" s="11">
        <f t="shared" si="3"/>
        <v>2018</v>
      </c>
      <c r="P38" s="36">
        <f t="shared" si="4"/>
        <v>4343.427518790123</v>
      </c>
      <c r="Q38" s="36">
        <f t="shared" si="28"/>
        <v>676263.23592390073</v>
      </c>
      <c r="R38" s="36">
        <f t="shared" si="29"/>
        <v>968162.16810208606</v>
      </c>
      <c r="S38" s="36">
        <f t="shared" si="30"/>
        <v>82996.36110968818</v>
      </c>
      <c r="T38" s="36">
        <f t="shared" si="31"/>
        <v>499040.35809838283</v>
      </c>
      <c r="U38" s="36">
        <f t="shared" si="32"/>
        <v>640.57926447689533</v>
      </c>
      <c r="V38" s="36">
        <f t="shared" si="33"/>
        <v>40607.353644780815</v>
      </c>
      <c r="W38" s="36">
        <f t="shared" si="34"/>
        <v>1272.351326527074</v>
      </c>
      <c r="AB38" s="2">
        <f t="shared" si="14"/>
        <v>2018</v>
      </c>
      <c r="AC38" s="2">
        <f>P38*VLOOKUP(BO38,Exposure!$B$33:$C$53,2,FALSE)/VLOOKUP(AZ38,Exposure!$B$33:$C$53,2,FALSE)</f>
        <v>6499.894755307535</v>
      </c>
      <c r="AD38" s="2">
        <f>Q38*VLOOKUP(BP38,Exposure!$B$33:$C$53,2,FALSE)/VLOOKUP(BA38,Exposure!$B$33:$C$53,2,FALSE)</f>
        <v>1015545.5260357485</v>
      </c>
      <c r="AE38" s="2">
        <f>R38*VLOOKUP(BQ38,Exposure!$B$33:$C$53,2,FALSE)/VLOOKUP(BB38,Exposure!$B$33:$C$53,2,FALSE)</f>
        <v>1468944.6941510779</v>
      </c>
      <c r="AF38" s="2">
        <f>S38*VLOOKUP(BR38,Exposure!$B$33:$C$53,2,FALSE)/VLOOKUP(BC38,Exposure!$B$33:$C$53,2,FALSE)</f>
        <v>125149.88828701338</v>
      </c>
      <c r="AG38" s="2">
        <f>T38*VLOOKUP(BS38,Exposure!$B$33:$C$53,2,FALSE)/VLOOKUP(BD38,Exposure!$B$33:$C$53,2,FALSE)</f>
        <v>699800.36608852993</v>
      </c>
      <c r="AH38" s="2">
        <f>U38*VLOOKUP(BT38,Exposure!$B$33:$C$53,2,FALSE)/VLOOKUP(BE38,Exposure!$B$33:$C$53,2,FALSE)</f>
        <v>878.59646976631541</v>
      </c>
      <c r="AI38" s="2">
        <f>V38*VLOOKUP(BU38,Exposure!$B$33:$C$53,2,FALSE)/VLOOKUP(BF38,Exposure!$B$33:$C$53,2,FALSE)</f>
        <v>54980.254986425593</v>
      </c>
      <c r="AJ38" s="2">
        <f>W38*VLOOKUP(BV38,Exposure!$B$33:$C$53,2,FALSE)/VLOOKUP(BG38,Exposure!$B$33:$C$53,2,FALSE)</f>
        <v>1711.5810857300733</v>
      </c>
      <c r="AZ38" s="2">
        <f t="shared" si="15"/>
        <v>2018</v>
      </c>
      <c r="BA38" s="2">
        <f t="shared" si="35"/>
        <v>2019</v>
      </c>
      <c r="BB38" s="2">
        <f t="shared" si="35"/>
        <v>2020</v>
      </c>
      <c r="BC38" s="2">
        <f t="shared" si="35"/>
        <v>2021</v>
      </c>
      <c r="BD38" s="2">
        <f t="shared" si="35"/>
        <v>2022</v>
      </c>
      <c r="BE38" s="2">
        <f t="shared" si="35"/>
        <v>2023</v>
      </c>
      <c r="BF38" s="2">
        <f t="shared" si="35"/>
        <v>2024</v>
      </c>
      <c r="BG38" s="2">
        <f t="shared" si="35"/>
        <v>2025</v>
      </c>
      <c r="BO38" s="2">
        <v>2027</v>
      </c>
      <c r="BP38" s="2">
        <f t="shared" si="36"/>
        <v>2028</v>
      </c>
      <c r="BQ38" s="2">
        <f t="shared" si="36"/>
        <v>2029</v>
      </c>
      <c r="BR38" s="2">
        <f t="shared" si="36"/>
        <v>2030</v>
      </c>
      <c r="BS38" s="2">
        <f t="shared" si="36"/>
        <v>2031</v>
      </c>
      <c r="BT38" s="2">
        <f t="shared" si="36"/>
        <v>2032</v>
      </c>
      <c r="BU38" s="2">
        <f t="shared" si="36"/>
        <v>2033</v>
      </c>
      <c r="BV38" s="2">
        <f t="shared" si="36"/>
        <v>2034</v>
      </c>
    </row>
    <row r="39" spans="1:74" x14ac:dyDescent="0.3">
      <c r="A39" s="12">
        <v>43388</v>
      </c>
      <c r="B39" s="13">
        <v>610960.45188047295</v>
      </c>
      <c r="C39" s="13">
        <v>1347633.0051848199</v>
      </c>
      <c r="D39" s="13">
        <v>1662026.4651054111</v>
      </c>
      <c r="E39" s="13">
        <v>2365568.3341116891</v>
      </c>
      <c r="F39" s="13">
        <v>2528170.8309775437</v>
      </c>
      <c r="G39" s="13">
        <v>2548028.3006473156</v>
      </c>
      <c r="H39" s="13">
        <v>2548066.6171269799</v>
      </c>
      <c r="I39" s="13">
        <v>2548229.1650495422</v>
      </c>
      <c r="O39" s="11">
        <f t="shared" si="3"/>
        <v>2018</v>
      </c>
      <c r="P39" s="36">
        <f t="shared" si="4"/>
        <v>42418.562642291748</v>
      </c>
      <c r="Q39" s="36">
        <f t="shared" si="28"/>
        <v>9020.8303414520851</v>
      </c>
      <c r="R39" s="36">
        <f t="shared" si="29"/>
        <v>166701.25103976513</v>
      </c>
      <c r="S39" s="36">
        <f t="shared" si="30"/>
        <v>344178.17246258131</v>
      </c>
      <c r="T39" s="36">
        <f t="shared" si="31"/>
        <v>504813.38284093596</v>
      </c>
      <c r="U39" s="36">
        <f t="shared" si="32"/>
        <v>112177.36890439619</v>
      </c>
      <c r="V39" s="36">
        <f t="shared" si="33"/>
        <v>171.16051966021769</v>
      </c>
      <c r="W39" s="36">
        <f t="shared" si="34"/>
        <v>218.62593038263731</v>
      </c>
      <c r="AB39" s="2">
        <f t="shared" si="14"/>
        <v>2018</v>
      </c>
      <c r="AC39" s="2">
        <f>P39*VLOOKUP(BO39,Exposure!$B$33:$C$53,2,FALSE)/VLOOKUP(AZ39,Exposure!$B$33:$C$53,2,FALSE)</f>
        <v>63478.944141127969</v>
      </c>
      <c r="AD39" s="2">
        <f>Q39*VLOOKUP(BP39,Exposure!$B$33:$C$53,2,FALSE)/VLOOKUP(BA39,Exposure!$B$33:$C$53,2,FALSE)</f>
        <v>13546.594591784204</v>
      </c>
      <c r="AE39" s="2">
        <f>R39*VLOOKUP(BQ39,Exposure!$B$33:$C$53,2,FALSE)/VLOOKUP(BB39,Exposure!$B$33:$C$53,2,FALSE)</f>
        <v>252927.58412905622</v>
      </c>
      <c r="AF39" s="2">
        <f>S39*VLOOKUP(BR39,Exposure!$B$33:$C$53,2,FALSE)/VLOOKUP(BC39,Exposure!$B$33:$C$53,2,FALSE)</f>
        <v>518984.92004479526</v>
      </c>
      <c r="AG39" s="2">
        <f>T39*VLOOKUP(BS39,Exposure!$B$33:$C$53,2,FALSE)/VLOOKUP(BD39,Exposure!$B$33:$C$53,2,FALSE)</f>
        <v>707895.83324407483</v>
      </c>
      <c r="AH39" s="2">
        <f>U39*VLOOKUP(BT39,Exposure!$B$33:$C$53,2,FALSE)/VLOOKUP(BE39,Exposure!$B$33:$C$53,2,FALSE)</f>
        <v>153858.61793007038</v>
      </c>
      <c r="AI39" s="2">
        <f>V39*VLOOKUP(BU39,Exposure!$B$33:$C$53,2,FALSE)/VLOOKUP(BF39,Exposure!$B$33:$C$53,2,FALSE)</f>
        <v>231.74248430092874</v>
      </c>
      <c r="AJ39" s="2">
        <f>W39*VLOOKUP(BV39,Exposure!$B$33:$C$53,2,FALSE)/VLOOKUP(BG39,Exposure!$B$33:$C$53,2,FALSE)</f>
        <v>294.09802111374569</v>
      </c>
      <c r="AZ39" s="2">
        <f t="shared" si="15"/>
        <v>2018</v>
      </c>
      <c r="BA39" s="2">
        <f t="shared" si="35"/>
        <v>2019</v>
      </c>
      <c r="BB39" s="2">
        <f t="shared" si="35"/>
        <v>2020</v>
      </c>
      <c r="BC39" s="2">
        <f t="shared" si="35"/>
        <v>2021</v>
      </c>
      <c r="BD39" s="2">
        <f t="shared" si="35"/>
        <v>2022</v>
      </c>
      <c r="BE39" s="2">
        <f t="shared" si="35"/>
        <v>2023</v>
      </c>
      <c r="BF39" s="2">
        <f t="shared" si="35"/>
        <v>2024</v>
      </c>
      <c r="BG39" s="2">
        <f t="shared" si="35"/>
        <v>2025</v>
      </c>
      <c r="BO39" s="2">
        <v>2027</v>
      </c>
      <c r="BP39" s="2">
        <f t="shared" si="36"/>
        <v>2028</v>
      </c>
      <c r="BQ39" s="2">
        <f t="shared" si="36"/>
        <v>2029</v>
      </c>
      <c r="BR39" s="2">
        <f t="shared" si="36"/>
        <v>2030</v>
      </c>
      <c r="BS39" s="2">
        <f t="shared" si="36"/>
        <v>2031</v>
      </c>
      <c r="BT39" s="2">
        <f t="shared" si="36"/>
        <v>2032</v>
      </c>
      <c r="BU39" s="2">
        <f t="shared" si="36"/>
        <v>2033</v>
      </c>
      <c r="BV39" s="2">
        <f t="shared" si="36"/>
        <v>2034</v>
      </c>
    </row>
    <row r="40" spans="1:74" x14ac:dyDescent="0.3">
      <c r="A40" s="12">
        <v>43466</v>
      </c>
      <c r="B40" s="13">
        <v>116234.75993118514</v>
      </c>
      <c r="C40" s="13">
        <v>638960.98018689093</v>
      </c>
      <c r="D40" s="13">
        <v>639821.186118379</v>
      </c>
      <c r="E40" s="13">
        <v>1329853.5568701955</v>
      </c>
      <c r="F40" s="13">
        <v>1467604.4403360484</v>
      </c>
      <c r="G40" s="13">
        <v>1516535.9043121168</v>
      </c>
      <c r="H40" s="13">
        <v>1539238.1123815852</v>
      </c>
      <c r="O40" s="11">
        <f t="shared" si="3"/>
        <v>2018</v>
      </c>
      <c r="P40" s="36">
        <f t="shared" si="4"/>
        <v>610960.45188047295</v>
      </c>
      <c r="Q40" s="36">
        <f t="shared" si="28"/>
        <v>736672.55330434698</v>
      </c>
      <c r="R40" s="36">
        <f t="shared" si="29"/>
        <v>314393.45992059121</v>
      </c>
      <c r="S40" s="36">
        <f t="shared" si="30"/>
        <v>703541.86900627799</v>
      </c>
      <c r="T40" s="36">
        <f t="shared" si="31"/>
        <v>162602.4968658546</v>
      </c>
      <c r="U40" s="36">
        <f t="shared" si="32"/>
        <v>19857.469669771846</v>
      </c>
      <c r="V40" s="36">
        <f t="shared" si="33"/>
        <v>38.316479664295912</v>
      </c>
      <c r="W40" s="36">
        <f t="shared" si="34"/>
        <v>162.54792256234214</v>
      </c>
      <c r="AB40" s="2">
        <f t="shared" si="14"/>
        <v>2018</v>
      </c>
      <c r="AC40" s="2">
        <f>P40*VLOOKUP(BO40,Exposure!$B$33:$C$53,2,FALSE)/VLOOKUP(AZ40,Exposure!$B$33:$C$53,2,FALSE)</f>
        <v>914296.05299005727</v>
      </c>
      <c r="AD40" s="2">
        <f>Q40*VLOOKUP(BP40,Exposure!$B$33:$C$53,2,FALSE)/VLOOKUP(BA40,Exposure!$B$33:$C$53,2,FALSE)</f>
        <v>1106262.2894759087</v>
      </c>
      <c r="AE40" s="2">
        <f>R40*VLOOKUP(BQ40,Exposure!$B$33:$C$53,2,FALSE)/VLOOKUP(BB40,Exposure!$B$33:$C$53,2,FALSE)</f>
        <v>477013.68638632406</v>
      </c>
      <c r="AF40" s="2">
        <f>S40*VLOOKUP(BR40,Exposure!$B$33:$C$53,2,FALSE)/VLOOKUP(BC40,Exposure!$B$33:$C$53,2,FALSE)</f>
        <v>1060868.0324551531</v>
      </c>
      <c r="AG40" s="2">
        <f>T40*VLOOKUP(BS40,Exposure!$B$33:$C$53,2,FALSE)/VLOOKUP(BD40,Exposure!$B$33:$C$53,2,FALSE)</f>
        <v>228016.20146962383</v>
      </c>
      <c r="AH40" s="2">
        <f>U40*VLOOKUP(BT40,Exposure!$B$33:$C$53,2,FALSE)/VLOOKUP(BE40,Exposure!$B$33:$C$53,2,FALSE)</f>
        <v>27235.821884744288</v>
      </c>
      <c r="AI40" s="2">
        <f>V40*VLOOKUP(BU40,Exposure!$B$33:$C$53,2,FALSE)/VLOOKUP(BF40,Exposure!$B$33:$C$53,2,FALSE)</f>
        <v>51.878530193162284</v>
      </c>
      <c r="AJ40" s="2">
        <f>W40*VLOOKUP(BV40,Exposure!$B$33:$C$53,2,FALSE)/VLOOKUP(BG40,Exposure!$B$33:$C$53,2,FALSE)</f>
        <v>218.6612643709154</v>
      </c>
      <c r="AZ40" s="2">
        <f t="shared" si="15"/>
        <v>2018</v>
      </c>
      <c r="BA40" s="2">
        <f t="shared" si="35"/>
        <v>2019</v>
      </c>
      <c r="BB40" s="2">
        <f t="shared" si="35"/>
        <v>2020</v>
      </c>
      <c r="BC40" s="2">
        <f t="shared" si="35"/>
        <v>2021</v>
      </c>
      <c r="BD40" s="2">
        <f t="shared" si="35"/>
        <v>2022</v>
      </c>
      <c r="BE40" s="2">
        <f t="shared" si="35"/>
        <v>2023</v>
      </c>
      <c r="BF40" s="2">
        <f t="shared" si="35"/>
        <v>2024</v>
      </c>
      <c r="BG40" s="2">
        <f t="shared" si="35"/>
        <v>2025</v>
      </c>
      <c r="BO40" s="2">
        <v>2027</v>
      </c>
      <c r="BP40" s="2">
        <f t="shared" si="36"/>
        <v>2028</v>
      </c>
      <c r="BQ40" s="2">
        <f t="shared" si="36"/>
        <v>2029</v>
      </c>
      <c r="BR40" s="2">
        <f t="shared" si="36"/>
        <v>2030</v>
      </c>
      <c r="BS40" s="2">
        <f t="shared" si="36"/>
        <v>2031</v>
      </c>
      <c r="BT40" s="2">
        <f t="shared" si="36"/>
        <v>2032</v>
      </c>
      <c r="BU40" s="2">
        <f t="shared" si="36"/>
        <v>2033</v>
      </c>
      <c r="BV40" s="2">
        <f t="shared" si="36"/>
        <v>2034</v>
      </c>
    </row>
    <row r="41" spans="1:74" x14ac:dyDescent="0.3">
      <c r="A41" s="12">
        <v>43485</v>
      </c>
      <c r="B41" s="13">
        <v>43067.005759309337</v>
      </c>
      <c r="C41" s="13">
        <v>44079.949915585901</v>
      </c>
      <c r="D41" s="13">
        <v>654335.98285807145</v>
      </c>
      <c r="E41" s="13">
        <v>654763.06307560275</v>
      </c>
      <c r="F41" s="13">
        <v>974979.75581082399</v>
      </c>
      <c r="G41" s="13">
        <v>1019857.7125821642</v>
      </c>
      <c r="H41" s="13">
        <v>1088256.8818529889</v>
      </c>
      <c r="O41" s="11">
        <f t="shared" si="3"/>
        <v>2019</v>
      </c>
      <c r="P41" s="36">
        <f t="shared" si="4"/>
        <v>116234.75993118514</v>
      </c>
      <c r="Q41" s="36">
        <f t="shared" ref="Q41:Q55" si="37">C40-B40</f>
        <v>522726.22025570576</v>
      </c>
      <c r="R41" s="36">
        <f t="shared" ref="R41:R55" si="38">D40-C40</f>
        <v>860.20593148807529</v>
      </c>
      <c r="S41" s="36">
        <f t="shared" ref="S41:S55" si="39">E40-D40</f>
        <v>690032.37075181655</v>
      </c>
      <c r="T41" s="36">
        <f t="shared" ref="T41:T55" si="40">F40-E40</f>
        <v>137750.88346585282</v>
      </c>
      <c r="U41" s="36">
        <f t="shared" ref="U41:U55" si="41">G40-F40</f>
        <v>48931.463976068422</v>
      </c>
      <c r="V41" s="36">
        <f t="shared" ref="V41:V55" si="42">H40-G40</f>
        <v>22702.208069468383</v>
      </c>
      <c r="AB41" s="2">
        <f t="shared" si="14"/>
        <v>2019</v>
      </c>
      <c r="AC41" s="2">
        <f>P41*VLOOKUP(BO41,Exposure!$B$33:$C$53,2,FALSE)/VLOOKUP(AZ41,Exposure!$B$33:$C$53,2,FALSE)</f>
        <v>168973.78035162904</v>
      </c>
      <c r="AD41" s="2">
        <f>Q41*VLOOKUP(BP41,Exposure!$B$33:$C$53,2,FALSE)/VLOOKUP(BA41,Exposure!$B$33:$C$53,2,FALSE)</f>
        <v>767770.28626508056</v>
      </c>
      <c r="AE41" s="2">
        <f>R41*VLOOKUP(BQ41,Exposure!$B$33:$C$53,2,FALSE)/VLOOKUP(BB41,Exposure!$B$33:$C$53,2,FALSE)</f>
        <v>1255.6642395922704</v>
      </c>
      <c r="AF41" s="2">
        <f>S41*VLOOKUP(BR41,Exposure!$B$33:$C$53,2,FALSE)/VLOOKUP(BC41,Exposure!$B$33:$C$53,2,FALSE)</f>
        <v>936715.35535916709</v>
      </c>
      <c r="AG41" s="2">
        <f>T41*VLOOKUP(BS41,Exposure!$B$33:$C$53,2,FALSE)/VLOOKUP(BD41,Exposure!$B$33:$C$53,2,FALSE)</f>
        <v>182898.71271652196</v>
      </c>
      <c r="AH41" s="2">
        <f>U41*VLOOKUP(BT41,Exposure!$B$33:$C$53,2,FALSE)/VLOOKUP(BE41,Exposure!$B$33:$C$53,2,FALSE)</f>
        <v>64134.239609469383</v>
      </c>
      <c r="AI41" s="2">
        <f>V41*VLOOKUP(BU41,Exposure!$B$33:$C$53,2,FALSE)/VLOOKUP(BF41,Exposure!$B$33:$C$53,2,FALSE)</f>
        <v>29563.660739095121</v>
      </c>
      <c r="AZ41" s="2">
        <f t="shared" si="15"/>
        <v>2019</v>
      </c>
      <c r="BA41" s="2">
        <f t="shared" si="35"/>
        <v>2020</v>
      </c>
      <c r="BB41" s="2">
        <f t="shared" si="35"/>
        <v>2021</v>
      </c>
      <c r="BC41" s="2">
        <f t="shared" si="35"/>
        <v>2022</v>
      </c>
      <c r="BD41" s="2">
        <f t="shared" si="35"/>
        <v>2023</v>
      </c>
      <c r="BE41" s="2">
        <f t="shared" si="35"/>
        <v>2024</v>
      </c>
      <c r="BF41" s="2">
        <f t="shared" si="35"/>
        <v>2025</v>
      </c>
      <c r="BO41" s="2">
        <v>2027</v>
      </c>
      <c r="BP41" s="2">
        <f t="shared" si="36"/>
        <v>2028</v>
      </c>
      <c r="BQ41" s="2">
        <f t="shared" si="36"/>
        <v>2029</v>
      </c>
      <c r="BR41" s="2">
        <f t="shared" si="36"/>
        <v>2030</v>
      </c>
      <c r="BS41" s="2">
        <f t="shared" si="36"/>
        <v>2031</v>
      </c>
      <c r="BT41" s="2">
        <f t="shared" si="36"/>
        <v>2032</v>
      </c>
      <c r="BU41" s="2">
        <f t="shared" si="36"/>
        <v>2033</v>
      </c>
    </row>
    <row r="42" spans="1:74" x14ac:dyDescent="0.3">
      <c r="A42" s="12">
        <v>43528</v>
      </c>
      <c r="B42" s="13">
        <v>515258.79341283964</v>
      </c>
      <c r="C42" s="13">
        <v>527450.79000976169</v>
      </c>
      <c r="D42" s="13">
        <v>556739.11589723791</v>
      </c>
      <c r="E42" s="13">
        <v>557431.75679005252</v>
      </c>
      <c r="F42" s="13">
        <v>940767.60650489468</v>
      </c>
      <c r="G42" s="13">
        <v>1226351.2359562872</v>
      </c>
      <c r="H42" s="13">
        <v>1423268.6352688568</v>
      </c>
      <c r="O42" s="11">
        <f t="shared" si="3"/>
        <v>2019</v>
      </c>
      <c r="P42" s="36">
        <f t="shared" si="4"/>
        <v>43067.005759309337</v>
      </c>
      <c r="Q42" s="36">
        <f t="shared" si="37"/>
        <v>1012.9441562765642</v>
      </c>
      <c r="R42" s="36">
        <f t="shared" si="38"/>
        <v>610256.03294248553</v>
      </c>
      <c r="S42" s="36">
        <f t="shared" si="39"/>
        <v>427.08021753130015</v>
      </c>
      <c r="T42" s="36">
        <f t="shared" si="40"/>
        <v>320216.69273522124</v>
      </c>
      <c r="U42" s="36">
        <f t="shared" si="41"/>
        <v>44877.956771340221</v>
      </c>
      <c r="V42" s="36">
        <f t="shared" si="42"/>
        <v>68399.169270824641</v>
      </c>
      <c r="AB42" s="2">
        <f t="shared" si="14"/>
        <v>2019</v>
      </c>
      <c r="AC42" s="2">
        <f>P42*VLOOKUP(BO42,Exposure!$B$33:$C$53,2,FALSE)/VLOOKUP(AZ42,Exposure!$B$33:$C$53,2,FALSE)</f>
        <v>62607.732625629549</v>
      </c>
      <c r="AD42" s="2">
        <f>Q42*VLOOKUP(BP42,Exposure!$B$33:$C$53,2,FALSE)/VLOOKUP(BA42,Exposure!$B$33:$C$53,2,FALSE)</f>
        <v>1487.7930256771144</v>
      </c>
      <c r="AE42" s="2">
        <f>R42*VLOOKUP(BQ42,Exposure!$B$33:$C$53,2,FALSE)/VLOOKUP(BB42,Exposure!$B$33:$C$53,2,FALSE)</f>
        <v>890806.08434742491</v>
      </c>
      <c r="AF42" s="2">
        <f>S42*VLOOKUP(BR42,Exposure!$B$33:$C$53,2,FALSE)/VLOOKUP(BC42,Exposure!$B$33:$C$53,2,FALSE)</f>
        <v>579.75917462514053</v>
      </c>
      <c r="AG42" s="2">
        <f>T42*VLOOKUP(BS42,Exposure!$B$33:$C$53,2,FALSE)/VLOOKUP(BD42,Exposure!$B$33:$C$53,2,FALSE)</f>
        <v>425167.6607659093</v>
      </c>
      <c r="AH42" s="2">
        <f>U42*VLOOKUP(BT42,Exposure!$B$33:$C$53,2,FALSE)/VLOOKUP(BE42,Exposure!$B$33:$C$53,2,FALSE)</f>
        <v>58821.326788101615</v>
      </c>
      <c r="AI42" s="2">
        <f>V42*VLOOKUP(BU42,Exposure!$B$33:$C$53,2,FALSE)/VLOOKUP(BF42,Exposure!$B$33:$C$53,2,FALSE)</f>
        <v>89071.945291441079</v>
      </c>
      <c r="AZ42" s="2">
        <f t="shared" si="15"/>
        <v>2019</v>
      </c>
      <c r="BA42" s="2">
        <f t="shared" si="35"/>
        <v>2020</v>
      </c>
      <c r="BB42" s="2">
        <f t="shared" si="35"/>
        <v>2021</v>
      </c>
      <c r="BC42" s="2">
        <f t="shared" si="35"/>
        <v>2022</v>
      </c>
      <c r="BD42" s="2">
        <f t="shared" si="35"/>
        <v>2023</v>
      </c>
      <c r="BE42" s="2">
        <f t="shared" si="35"/>
        <v>2024</v>
      </c>
      <c r="BF42" s="2">
        <f t="shared" si="35"/>
        <v>2025</v>
      </c>
      <c r="BO42" s="2">
        <v>2027</v>
      </c>
      <c r="BP42" s="2">
        <f t="shared" si="36"/>
        <v>2028</v>
      </c>
      <c r="BQ42" s="2">
        <f t="shared" si="36"/>
        <v>2029</v>
      </c>
      <c r="BR42" s="2">
        <f t="shared" si="36"/>
        <v>2030</v>
      </c>
      <c r="BS42" s="2">
        <f t="shared" si="36"/>
        <v>2031</v>
      </c>
      <c r="BT42" s="2">
        <f t="shared" si="36"/>
        <v>2032</v>
      </c>
      <c r="BU42" s="2">
        <f t="shared" si="36"/>
        <v>2033</v>
      </c>
    </row>
    <row r="43" spans="1:74" x14ac:dyDescent="0.3">
      <c r="A43" s="12">
        <v>43587</v>
      </c>
      <c r="B43" s="13">
        <v>165353.2177511245</v>
      </c>
      <c r="C43" s="13">
        <v>194542.91542881128</v>
      </c>
      <c r="D43" s="13">
        <v>522075.76653075079</v>
      </c>
      <c r="E43" s="13">
        <v>740486.81389349943</v>
      </c>
      <c r="F43" s="13">
        <v>790706.7885869703</v>
      </c>
      <c r="G43" s="13">
        <v>805035.07774317125</v>
      </c>
      <c r="H43" s="13">
        <v>813342.77303467959</v>
      </c>
      <c r="O43" s="11">
        <f t="shared" si="3"/>
        <v>2019</v>
      </c>
      <c r="P43" s="36">
        <f t="shared" si="4"/>
        <v>515258.79341283964</v>
      </c>
      <c r="Q43" s="36">
        <f t="shared" si="37"/>
        <v>12191.99659692205</v>
      </c>
      <c r="R43" s="36">
        <f t="shared" si="38"/>
        <v>29288.32588747621</v>
      </c>
      <c r="S43" s="36">
        <f t="shared" si="39"/>
        <v>692.64089281461202</v>
      </c>
      <c r="T43" s="36">
        <f t="shared" si="40"/>
        <v>383335.84971484216</v>
      </c>
      <c r="U43" s="36">
        <f t="shared" si="41"/>
        <v>285583.62945139257</v>
      </c>
      <c r="V43" s="36">
        <f t="shared" si="42"/>
        <v>196917.39931256953</v>
      </c>
      <c r="AB43" s="2">
        <f t="shared" si="14"/>
        <v>2019</v>
      </c>
      <c r="AC43" s="2">
        <f>P43*VLOOKUP(BO43,Exposure!$B$33:$C$53,2,FALSE)/VLOOKUP(AZ43,Exposure!$B$33:$C$53,2,FALSE)</f>
        <v>749046.38022164872</v>
      </c>
      <c r="AD43" s="2">
        <f>Q43*VLOOKUP(BP43,Exposure!$B$33:$C$53,2,FALSE)/VLOOKUP(BA43,Exposure!$B$33:$C$53,2,FALSE)</f>
        <v>17907.371688343304</v>
      </c>
      <c r="AE43" s="2">
        <f>R43*VLOOKUP(BQ43,Exposure!$B$33:$C$53,2,FALSE)/VLOOKUP(BB43,Exposure!$B$33:$C$53,2,FALSE)</f>
        <v>42752.906145170236</v>
      </c>
      <c r="AF43" s="2">
        <f>S43*VLOOKUP(BR43,Exposure!$B$33:$C$53,2,FALSE)/VLOOKUP(BC43,Exposure!$B$33:$C$53,2,FALSE)</f>
        <v>940.2564104959738</v>
      </c>
      <c r="AG43" s="2">
        <f>T43*VLOOKUP(BS43,Exposure!$B$33:$C$53,2,FALSE)/VLOOKUP(BD43,Exposure!$B$33:$C$53,2,FALSE)</f>
        <v>508974.11099594715</v>
      </c>
      <c r="AH43" s="2">
        <f>U43*VLOOKUP(BT43,Exposure!$B$33:$C$53,2,FALSE)/VLOOKUP(BE43,Exposure!$B$33:$C$53,2,FALSE)</f>
        <v>374313.11944264389</v>
      </c>
      <c r="AI43" s="2">
        <f>V43*VLOOKUP(BU43,Exposure!$B$33:$C$53,2,FALSE)/VLOOKUP(BF43,Exposure!$B$33:$C$53,2,FALSE)</f>
        <v>256433.17024880269</v>
      </c>
      <c r="AZ43" s="2">
        <f t="shared" si="15"/>
        <v>2019</v>
      </c>
      <c r="BA43" s="2">
        <f t="shared" si="35"/>
        <v>2020</v>
      </c>
      <c r="BB43" s="2">
        <f t="shared" si="35"/>
        <v>2021</v>
      </c>
      <c r="BC43" s="2">
        <f t="shared" si="35"/>
        <v>2022</v>
      </c>
      <c r="BD43" s="2">
        <f t="shared" si="35"/>
        <v>2023</v>
      </c>
      <c r="BE43" s="2">
        <f t="shared" si="35"/>
        <v>2024</v>
      </c>
      <c r="BF43" s="2">
        <f t="shared" si="35"/>
        <v>2025</v>
      </c>
      <c r="BO43" s="2">
        <v>2027</v>
      </c>
      <c r="BP43" s="2">
        <f t="shared" si="36"/>
        <v>2028</v>
      </c>
      <c r="BQ43" s="2">
        <f t="shared" si="36"/>
        <v>2029</v>
      </c>
      <c r="BR43" s="2">
        <f t="shared" si="36"/>
        <v>2030</v>
      </c>
      <c r="BS43" s="2">
        <f t="shared" si="36"/>
        <v>2031</v>
      </c>
      <c r="BT43" s="2">
        <f t="shared" si="36"/>
        <v>2032</v>
      </c>
      <c r="BU43" s="2">
        <f t="shared" si="36"/>
        <v>2033</v>
      </c>
    </row>
    <row r="44" spans="1:74" x14ac:dyDescent="0.3">
      <c r="A44" s="12">
        <v>43593</v>
      </c>
      <c r="B44" s="13">
        <v>48575.054124037088</v>
      </c>
      <c r="C44" s="13">
        <v>112143.84987789749</v>
      </c>
      <c r="D44" s="13">
        <v>183715.10424171225</v>
      </c>
      <c r="E44" s="13">
        <v>215914.65427358026</v>
      </c>
      <c r="F44" s="13">
        <v>642972.0051452755</v>
      </c>
      <c r="G44" s="13">
        <v>1216974.1681459651</v>
      </c>
      <c r="H44" s="13">
        <v>1316060.5873622685</v>
      </c>
      <c r="O44" s="11">
        <f t="shared" si="3"/>
        <v>2019</v>
      </c>
      <c r="P44" s="36">
        <f t="shared" si="4"/>
        <v>165353.2177511245</v>
      </c>
      <c r="Q44" s="36">
        <f t="shared" si="37"/>
        <v>29189.697677686781</v>
      </c>
      <c r="R44" s="36">
        <f t="shared" si="38"/>
        <v>327532.85110193951</v>
      </c>
      <c r="S44" s="36">
        <f t="shared" si="39"/>
        <v>218411.04736274865</v>
      </c>
      <c r="T44" s="36">
        <f t="shared" si="40"/>
        <v>50219.974693470867</v>
      </c>
      <c r="U44" s="36">
        <f t="shared" si="41"/>
        <v>14328.289156200946</v>
      </c>
      <c r="V44" s="36">
        <f t="shared" si="42"/>
        <v>8307.6952915083384</v>
      </c>
      <c r="AB44" s="2">
        <f t="shared" si="14"/>
        <v>2019</v>
      </c>
      <c r="AC44" s="2">
        <f>P44*VLOOKUP(BO44,Exposure!$B$33:$C$53,2,FALSE)/VLOOKUP(AZ44,Exposure!$B$33:$C$53,2,FALSE)</f>
        <v>240378.68115575085</v>
      </c>
      <c r="AD44" s="2">
        <f>Q44*VLOOKUP(BP44,Exposure!$B$33:$C$53,2,FALSE)/VLOOKUP(BA44,Exposure!$B$33:$C$53,2,FALSE)</f>
        <v>42873.270315435475</v>
      </c>
      <c r="AE44" s="2">
        <f>R44*VLOOKUP(BQ44,Exposure!$B$33:$C$53,2,FALSE)/VLOOKUP(BB44,Exposure!$B$33:$C$53,2,FALSE)</f>
        <v>478107.94295378152</v>
      </c>
      <c r="AF44" s="2">
        <f>S44*VLOOKUP(BR44,Exposure!$B$33:$C$53,2,FALSE)/VLOOKUP(BC44,Exposure!$B$33:$C$53,2,FALSE)</f>
        <v>296491.86113088793</v>
      </c>
      <c r="AG44" s="2">
        <f>T44*VLOOKUP(BS44,Exposure!$B$33:$C$53,2,FALSE)/VLOOKUP(BD44,Exposure!$B$33:$C$53,2,FALSE)</f>
        <v>66679.563085118425</v>
      </c>
      <c r="AH44" s="2">
        <f>U44*VLOOKUP(BT44,Exposure!$B$33:$C$53,2,FALSE)/VLOOKUP(BE44,Exposure!$B$33:$C$53,2,FALSE)</f>
        <v>18780.02118201468</v>
      </c>
      <c r="AI44" s="2">
        <f>V44*VLOOKUP(BU44,Exposure!$B$33:$C$53,2,FALSE)/VLOOKUP(BF44,Exposure!$B$33:$C$53,2,FALSE)</f>
        <v>10818.590172831669</v>
      </c>
      <c r="AZ44" s="2">
        <f t="shared" si="15"/>
        <v>2019</v>
      </c>
      <c r="BA44" s="2">
        <f t="shared" si="35"/>
        <v>2020</v>
      </c>
      <c r="BB44" s="2">
        <f t="shared" si="35"/>
        <v>2021</v>
      </c>
      <c r="BC44" s="2">
        <f t="shared" si="35"/>
        <v>2022</v>
      </c>
      <c r="BD44" s="2">
        <f t="shared" si="35"/>
        <v>2023</v>
      </c>
      <c r="BE44" s="2">
        <f t="shared" si="35"/>
        <v>2024</v>
      </c>
      <c r="BF44" s="2">
        <f t="shared" si="35"/>
        <v>2025</v>
      </c>
      <c r="BO44" s="2">
        <v>2027</v>
      </c>
      <c r="BP44" s="2">
        <f t="shared" si="36"/>
        <v>2028</v>
      </c>
      <c r="BQ44" s="2">
        <f t="shared" si="36"/>
        <v>2029</v>
      </c>
      <c r="BR44" s="2">
        <f t="shared" si="36"/>
        <v>2030</v>
      </c>
      <c r="BS44" s="2">
        <f t="shared" si="36"/>
        <v>2031</v>
      </c>
      <c r="BT44" s="2">
        <f t="shared" si="36"/>
        <v>2032</v>
      </c>
      <c r="BU44" s="2">
        <f t="shared" si="36"/>
        <v>2033</v>
      </c>
    </row>
    <row r="45" spans="1:74" x14ac:dyDescent="0.3">
      <c r="A45" s="12">
        <v>43603</v>
      </c>
      <c r="B45" s="13">
        <v>21899.3790671631</v>
      </c>
      <c r="C45" s="13">
        <v>105555.14088189257</v>
      </c>
      <c r="D45" s="13">
        <v>267578.48538967874</v>
      </c>
      <c r="E45" s="13">
        <v>318724.30881964101</v>
      </c>
      <c r="F45" s="13">
        <v>453397.11944101122</v>
      </c>
      <c r="G45" s="13">
        <v>939406.86257325998</v>
      </c>
      <c r="H45" s="13">
        <v>939770.67466278293</v>
      </c>
      <c r="O45" s="11">
        <f t="shared" si="3"/>
        <v>2019</v>
      </c>
      <c r="P45" s="36">
        <f t="shared" si="4"/>
        <v>48575.054124037088</v>
      </c>
      <c r="Q45" s="36">
        <f t="shared" si="37"/>
        <v>63568.795753860402</v>
      </c>
      <c r="R45" s="36">
        <f t="shared" si="38"/>
        <v>71571.254363814762</v>
      </c>
      <c r="S45" s="36">
        <f t="shared" si="39"/>
        <v>32199.550031868013</v>
      </c>
      <c r="T45" s="36">
        <f t="shared" si="40"/>
        <v>427057.35087169521</v>
      </c>
      <c r="U45" s="36">
        <f t="shared" si="41"/>
        <v>574002.16300068959</v>
      </c>
      <c r="V45" s="36">
        <f t="shared" si="42"/>
        <v>99086.419216303388</v>
      </c>
      <c r="AB45" s="2">
        <f t="shared" si="14"/>
        <v>2019</v>
      </c>
      <c r="AC45" s="2">
        <f>P45*VLOOKUP(BO45,Exposure!$B$33:$C$53,2,FALSE)/VLOOKUP(AZ45,Exposure!$B$33:$C$53,2,FALSE)</f>
        <v>70614.939377711897</v>
      </c>
      <c r="AD45" s="2">
        <f>Q45*VLOOKUP(BP45,Exposure!$B$33:$C$53,2,FALSE)/VLOOKUP(BA45,Exposure!$B$33:$C$53,2,FALSE)</f>
        <v>93368.632799006984</v>
      </c>
      <c r="AE45" s="2">
        <f>R45*VLOOKUP(BQ45,Exposure!$B$33:$C$53,2,FALSE)/VLOOKUP(BB45,Exposure!$B$33:$C$53,2,FALSE)</f>
        <v>104474.3606126253</v>
      </c>
      <c r="AF45" s="2">
        <f>S45*VLOOKUP(BR45,Exposure!$B$33:$C$53,2,FALSE)/VLOOKUP(BC45,Exposure!$B$33:$C$53,2,FALSE)</f>
        <v>43710.721741422189</v>
      </c>
      <c r="AG45" s="2">
        <f>T45*VLOOKUP(BS45,Exposure!$B$33:$C$53,2,FALSE)/VLOOKUP(BD45,Exposure!$B$33:$C$53,2,FALSE)</f>
        <v>567025.32691867219</v>
      </c>
      <c r="AH45" s="2">
        <f>U45*VLOOKUP(BT45,Exposure!$B$33:$C$53,2,FALSE)/VLOOKUP(BE45,Exposure!$B$33:$C$53,2,FALSE)</f>
        <v>752341.93434810475</v>
      </c>
      <c r="AI45" s="2">
        <f>V45*VLOOKUP(BU45,Exposure!$B$33:$C$53,2,FALSE)/VLOOKUP(BF45,Exposure!$B$33:$C$53,2,FALSE)</f>
        <v>129034.02491065026</v>
      </c>
      <c r="AZ45" s="2">
        <f t="shared" si="15"/>
        <v>2019</v>
      </c>
      <c r="BA45" s="2">
        <f t="shared" si="35"/>
        <v>2020</v>
      </c>
      <c r="BB45" s="2">
        <f t="shared" si="35"/>
        <v>2021</v>
      </c>
      <c r="BC45" s="2">
        <f t="shared" si="35"/>
        <v>2022</v>
      </c>
      <c r="BD45" s="2">
        <f t="shared" si="35"/>
        <v>2023</v>
      </c>
      <c r="BE45" s="2">
        <f t="shared" si="35"/>
        <v>2024</v>
      </c>
      <c r="BF45" s="2">
        <f t="shared" si="35"/>
        <v>2025</v>
      </c>
      <c r="BO45" s="2">
        <v>2027</v>
      </c>
      <c r="BP45" s="2">
        <f t="shared" si="36"/>
        <v>2028</v>
      </c>
      <c r="BQ45" s="2">
        <f t="shared" si="36"/>
        <v>2029</v>
      </c>
      <c r="BR45" s="2">
        <f t="shared" si="36"/>
        <v>2030</v>
      </c>
      <c r="BS45" s="2">
        <f t="shared" si="36"/>
        <v>2031</v>
      </c>
      <c r="BT45" s="2">
        <f t="shared" si="36"/>
        <v>2032</v>
      </c>
      <c r="BU45" s="2">
        <f t="shared" si="36"/>
        <v>2033</v>
      </c>
    </row>
    <row r="46" spans="1:74" x14ac:dyDescent="0.3">
      <c r="A46" s="12">
        <v>43609</v>
      </c>
      <c r="B46" s="13">
        <v>458728.96810731728</v>
      </c>
      <c r="C46" s="13">
        <v>2058938.918422356</v>
      </c>
      <c r="D46" s="13">
        <v>2136070.9581671474</v>
      </c>
      <c r="E46" s="13">
        <v>2653192.948793632</v>
      </c>
      <c r="F46" s="13">
        <v>2755962.9378593354</v>
      </c>
      <c r="G46" s="13">
        <v>2795744.7988845976</v>
      </c>
      <c r="H46" s="13">
        <v>2800739.9696148122</v>
      </c>
      <c r="O46" s="11">
        <f t="shared" si="3"/>
        <v>2019</v>
      </c>
      <c r="P46" s="36">
        <f t="shared" si="4"/>
        <v>21899.3790671631</v>
      </c>
      <c r="Q46" s="36">
        <f t="shared" si="37"/>
        <v>83655.761814729471</v>
      </c>
      <c r="R46" s="36">
        <f t="shared" si="38"/>
        <v>162023.34450778615</v>
      </c>
      <c r="S46" s="36">
        <f t="shared" si="39"/>
        <v>51145.823429962271</v>
      </c>
      <c r="T46" s="36">
        <f t="shared" si="40"/>
        <v>134672.81062137021</v>
      </c>
      <c r="U46" s="36">
        <f t="shared" si="41"/>
        <v>486009.74313224875</v>
      </c>
      <c r="V46" s="36">
        <f t="shared" si="42"/>
        <v>363.81208952295128</v>
      </c>
      <c r="AB46" s="2">
        <f t="shared" si="14"/>
        <v>2019</v>
      </c>
      <c r="AC46" s="2">
        <f>P46*VLOOKUP(BO46,Exposure!$B$33:$C$53,2,FALSE)/VLOOKUP(AZ46,Exposure!$B$33:$C$53,2,FALSE)</f>
        <v>31835.750945092957</v>
      </c>
      <c r="AD46" s="2">
        <f>Q46*VLOOKUP(BP46,Exposure!$B$33:$C$53,2,FALSE)/VLOOKUP(BA46,Exposure!$B$33:$C$53,2,FALSE)</f>
        <v>122871.98481223913</v>
      </c>
      <c r="AE46" s="2">
        <f>R46*VLOOKUP(BQ46,Exposure!$B$33:$C$53,2,FALSE)/VLOOKUP(BB46,Exposure!$B$33:$C$53,2,FALSE)</f>
        <v>236509.55222503725</v>
      </c>
      <c r="AF46" s="2">
        <f>S46*VLOOKUP(BR46,Exposure!$B$33:$C$53,2,FALSE)/VLOOKUP(BC46,Exposure!$B$33:$C$53,2,FALSE)</f>
        <v>69430.189365080878</v>
      </c>
      <c r="AG46" s="2">
        <f>T46*VLOOKUP(BS46,Exposure!$B$33:$C$53,2,FALSE)/VLOOKUP(BD46,Exposure!$B$33:$C$53,2,FALSE)</f>
        <v>178811.80200684865</v>
      </c>
      <c r="AH46" s="2">
        <f>U46*VLOOKUP(BT46,Exposure!$B$33:$C$53,2,FALSE)/VLOOKUP(BE46,Exposure!$B$33:$C$53,2,FALSE)</f>
        <v>637010.68363343831</v>
      </c>
      <c r="AI46" s="2">
        <f>V46*VLOOKUP(BU46,Exposure!$B$33:$C$53,2,FALSE)/VLOOKUP(BF46,Exposure!$B$33:$C$53,2,FALSE)</f>
        <v>473.76965071088335</v>
      </c>
      <c r="AZ46" s="2">
        <f t="shared" si="15"/>
        <v>2019</v>
      </c>
      <c r="BA46" s="2">
        <f t="shared" si="35"/>
        <v>2020</v>
      </c>
      <c r="BB46" s="2">
        <f t="shared" si="35"/>
        <v>2021</v>
      </c>
      <c r="BC46" s="2">
        <f t="shared" si="35"/>
        <v>2022</v>
      </c>
      <c r="BD46" s="2">
        <f t="shared" si="35"/>
        <v>2023</v>
      </c>
      <c r="BE46" s="2">
        <f t="shared" si="35"/>
        <v>2024</v>
      </c>
      <c r="BF46" s="2">
        <f t="shared" si="35"/>
        <v>2025</v>
      </c>
      <c r="BO46" s="2">
        <v>2027</v>
      </c>
      <c r="BP46" s="2">
        <f t="shared" si="36"/>
        <v>2028</v>
      </c>
      <c r="BQ46" s="2">
        <f t="shared" si="36"/>
        <v>2029</v>
      </c>
      <c r="BR46" s="2">
        <f t="shared" si="36"/>
        <v>2030</v>
      </c>
      <c r="BS46" s="2">
        <f t="shared" si="36"/>
        <v>2031</v>
      </c>
      <c r="BT46" s="2">
        <f t="shared" si="36"/>
        <v>2032</v>
      </c>
      <c r="BU46" s="2">
        <f t="shared" si="36"/>
        <v>2033</v>
      </c>
    </row>
    <row r="47" spans="1:74" x14ac:dyDescent="0.3">
      <c r="A47" s="12">
        <v>43650</v>
      </c>
      <c r="B47" s="13">
        <v>356443.80752361636</v>
      </c>
      <c r="C47" s="13">
        <v>446399.54799480562</v>
      </c>
      <c r="D47" s="13">
        <v>581614.98590396834</v>
      </c>
      <c r="E47" s="13">
        <v>590534.5159420761</v>
      </c>
      <c r="F47" s="13">
        <v>703199.13178735704</v>
      </c>
      <c r="G47" s="13">
        <v>732558.74151113757</v>
      </c>
      <c r="H47" s="13">
        <v>757135.44950964663</v>
      </c>
      <c r="O47" s="11">
        <f t="shared" si="3"/>
        <v>2019</v>
      </c>
      <c r="P47" s="36">
        <f t="shared" si="4"/>
        <v>458728.96810731728</v>
      </c>
      <c r="Q47" s="36">
        <f t="shared" si="37"/>
        <v>1600209.9503150387</v>
      </c>
      <c r="R47" s="36">
        <f t="shared" si="38"/>
        <v>77132.039744791342</v>
      </c>
      <c r="S47" s="36">
        <f t="shared" si="39"/>
        <v>517121.99062648462</v>
      </c>
      <c r="T47" s="36">
        <f t="shared" si="40"/>
        <v>102769.98906570347</v>
      </c>
      <c r="U47" s="36">
        <f t="shared" si="41"/>
        <v>39781.861025262158</v>
      </c>
      <c r="V47" s="36">
        <f t="shared" si="42"/>
        <v>4995.170730214566</v>
      </c>
      <c r="AB47" s="2">
        <f t="shared" si="14"/>
        <v>2019</v>
      </c>
      <c r="AC47" s="2">
        <f>P47*VLOOKUP(BO47,Exposure!$B$33:$C$53,2,FALSE)/VLOOKUP(AZ47,Exposure!$B$33:$C$53,2,FALSE)</f>
        <v>666867.36346154672</v>
      </c>
      <c r="AD47" s="2">
        <f>Q47*VLOOKUP(BP47,Exposure!$B$33:$C$53,2,FALSE)/VLOOKUP(BA47,Exposure!$B$33:$C$53,2,FALSE)</f>
        <v>2350357.8049645331</v>
      </c>
      <c r="AE47" s="2">
        <f>R47*VLOOKUP(BQ47,Exposure!$B$33:$C$53,2,FALSE)/VLOOKUP(BB47,Exposure!$B$33:$C$53,2,FALSE)</f>
        <v>112591.57893366237</v>
      </c>
      <c r="AF47" s="2">
        <f>S47*VLOOKUP(BR47,Exposure!$B$33:$C$53,2,FALSE)/VLOOKUP(BC47,Exposure!$B$33:$C$53,2,FALSE)</f>
        <v>701990.41341489437</v>
      </c>
      <c r="AG47" s="2">
        <f>T47*VLOOKUP(BS47,Exposure!$B$33:$C$53,2,FALSE)/VLOOKUP(BD47,Exposure!$B$33:$C$53,2,FALSE)</f>
        <v>136452.83596796446</v>
      </c>
      <c r="AH47" s="2">
        <f>U47*VLOOKUP(BT47,Exposure!$B$33:$C$53,2,FALSE)/VLOOKUP(BE47,Exposure!$B$33:$C$53,2,FALSE)</f>
        <v>52141.898070996038</v>
      </c>
      <c r="AI47" s="2">
        <f>V47*VLOOKUP(BU47,Exposure!$B$33:$C$53,2,FALSE)/VLOOKUP(BF47,Exposure!$B$33:$C$53,2,FALSE)</f>
        <v>6504.8973364192934</v>
      </c>
      <c r="AZ47" s="2">
        <f t="shared" si="15"/>
        <v>2019</v>
      </c>
      <c r="BA47" s="2">
        <f t="shared" si="35"/>
        <v>2020</v>
      </c>
      <c r="BB47" s="2">
        <f t="shared" si="35"/>
        <v>2021</v>
      </c>
      <c r="BC47" s="2">
        <f t="shared" si="35"/>
        <v>2022</v>
      </c>
      <c r="BD47" s="2">
        <f t="shared" si="35"/>
        <v>2023</v>
      </c>
      <c r="BE47" s="2">
        <f t="shared" si="35"/>
        <v>2024</v>
      </c>
      <c r="BF47" s="2">
        <f t="shared" si="35"/>
        <v>2025</v>
      </c>
      <c r="BO47" s="2">
        <v>2027</v>
      </c>
      <c r="BP47" s="2">
        <f t="shared" si="36"/>
        <v>2028</v>
      </c>
      <c r="BQ47" s="2">
        <f t="shared" si="36"/>
        <v>2029</v>
      </c>
      <c r="BR47" s="2">
        <f t="shared" si="36"/>
        <v>2030</v>
      </c>
      <c r="BS47" s="2">
        <f t="shared" si="36"/>
        <v>2031</v>
      </c>
      <c r="BT47" s="2">
        <f t="shared" si="36"/>
        <v>2032</v>
      </c>
      <c r="BU47" s="2">
        <f t="shared" si="36"/>
        <v>2033</v>
      </c>
    </row>
    <row r="48" spans="1:74" x14ac:dyDescent="0.3">
      <c r="A48" s="12">
        <v>43651</v>
      </c>
      <c r="B48" s="13">
        <v>41159.6508475152</v>
      </c>
      <c r="C48" s="13">
        <v>98885.85577395669</v>
      </c>
      <c r="D48" s="13">
        <v>442502.91761014436</v>
      </c>
      <c r="E48" s="13">
        <v>1242824.1067705813</v>
      </c>
      <c r="F48" s="13">
        <v>1316032.689051629</v>
      </c>
      <c r="G48" s="13">
        <v>1427891.5389172188</v>
      </c>
      <c r="H48" s="13">
        <v>1678733.7536694303</v>
      </c>
      <c r="O48" s="11">
        <f t="shared" si="3"/>
        <v>2019</v>
      </c>
      <c r="P48" s="36">
        <f t="shared" si="4"/>
        <v>356443.80752361636</v>
      </c>
      <c r="Q48" s="36">
        <f t="shared" si="37"/>
        <v>89955.74047118926</v>
      </c>
      <c r="R48" s="36">
        <f t="shared" si="38"/>
        <v>135215.43790916272</v>
      </c>
      <c r="S48" s="36">
        <f t="shared" si="39"/>
        <v>8919.5300381077686</v>
      </c>
      <c r="T48" s="36">
        <f t="shared" si="40"/>
        <v>112664.61584528093</v>
      </c>
      <c r="U48" s="36">
        <f t="shared" si="41"/>
        <v>29359.609723780537</v>
      </c>
      <c r="V48" s="36">
        <f t="shared" si="42"/>
        <v>24576.707998509053</v>
      </c>
      <c r="AB48" s="2">
        <f t="shared" si="14"/>
        <v>2019</v>
      </c>
      <c r="AC48" s="2">
        <f>P48*VLOOKUP(BO48,Exposure!$B$33:$C$53,2,FALSE)/VLOOKUP(AZ48,Exposure!$B$33:$C$53,2,FALSE)</f>
        <v>518172.51290278276</v>
      </c>
      <c r="AD48" s="2">
        <f>Q48*VLOOKUP(BP48,Exposure!$B$33:$C$53,2,FALSE)/VLOOKUP(BA48,Exposure!$B$33:$C$53,2,FALSE)</f>
        <v>132125.27310944357</v>
      </c>
      <c r="AE48" s="2">
        <f>R48*VLOOKUP(BQ48,Exposure!$B$33:$C$53,2,FALSE)/VLOOKUP(BB48,Exposure!$B$33:$C$53,2,FALSE)</f>
        <v>197377.37651916937</v>
      </c>
      <c r="AF48" s="2">
        <f>S48*VLOOKUP(BR48,Exposure!$B$33:$C$53,2,FALSE)/VLOOKUP(BC48,Exposure!$B$33:$C$53,2,FALSE)</f>
        <v>12108.215648172745</v>
      </c>
      <c r="AG48" s="2">
        <f>T48*VLOOKUP(BS48,Exposure!$B$33:$C$53,2,FALSE)/VLOOKUP(BD48,Exposure!$B$33:$C$53,2,FALSE)</f>
        <v>149590.42503644948</v>
      </c>
      <c r="AH48" s="2">
        <f>U48*VLOOKUP(BT48,Exposure!$B$33:$C$53,2,FALSE)/VLOOKUP(BE48,Exposure!$B$33:$C$53,2,FALSE)</f>
        <v>38481.502327140079</v>
      </c>
      <c r="AI48" s="2">
        <f>V48*VLOOKUP(BU48,Exposure!$B$33:$C$53,2,FALSE)/VLOOKUP(BF48,Exposure!$B$33:$C$53,2,FALSE)</f>
        <v>32004.704349832937</v>
      </c>
      <c r="AZ48" s="2">
        <f t="shared" si="15"/>
        <v>2019</v>
      </c>
      <c r="BA48" s="2">
        <f t="shared" si="35"/>
        <v>2020</v>
      </c>
      <c r="BB48" s="2">
        <f t="shared" si="35"/>
        <v>2021</v>
      </c>
      <c r="BC48" s="2">
        <f t="shared" si="35"/>
        <v>2022</v>
      </c>
      <c r="BD48" s="2">
        <f t="shared" si="35"/>
        <v>2023</v>
      </c>
      <c r="BE48" s="2">
        <f t="shared" si="35"/>
        <v>2024</v>
      </c>
      <c r="BF48" s="2">
        <f t="shared" si="35"/>
        <v>2025</v>
      </c>
      <c r="BO48" s="2">
        <v>2027</v>
      </c>
      <c r="BP48" s="2">
        <f t="shared" si="36"/>
        <v>2028</v>
      </c>
      <c r="BQ48" s="2">
        <f t="shared" si="36"/>
        <v>2029</v>
      </c>
      <c r="BR48" s="2">
        <f t="shared" si="36"/>
        <v>2030</v>
      </c>
      <c r="BS48" s="2">
        <f t="shared" si="36"/>
        <v>2031</v>
      </c>
      <c r="BT48" s="2">
        <f t="shared" si="36"/>
        <v>2032</v>
      </c>
      <c r="BU48" s="2">
        <f t="shared" si="36"/>
        <v>2033</v>
      </c>
    </row>
    <row r="49" spans="1:73" x14ac:dyDescent="0.3">
      <c r="A49" s="12">
        <v>43657</v>
      </c>
      <c r="B49" s="13">
        <v>207931.14939195436</v>
      </c>
      <c r="C49" s="13">
        <v>1267562.2054550454</v>
      </c>
      <c r="D49" s="13">
        <v>2517997.1338982736</v>
      </c>
      <c r="E49" s="13">
        <v>2562922.2859619036</v>
      </c>
      <c r="F49" s="13">
        <v>2619204.426701617</v>
      </c>
      <c r="G49" s="13">
        <v>2635756.9124414502</v>
      </c>
      <c r="H49" s="13">
        <v>2640256.6913634031</v>
      </c>
      <c r="O49" s="11">
        <f t="shared" si="3"/>
        <v>2019</v>
      </c>
      <c r="P49" s="36">
        <f t="shared" si="4"/>
        <v>41159.6508475152</v>
      </c>
      <c r="Q49" s="36">
        <f t="shared" si="37"/>
        <v>57726.204926441489</v>
      </c>
      <c r="R49" s="36">
        <f t="shared" si="38"/>
        <v>343617.06183618767</v>
      </c>
      <c r="S49" s="36">
        <f t="shared" si="39"/>
        <v>800321.18916043697</v>
      </c>
      <c r="T49" s="36">
        <f t="shared" si="40"/>
        <v>73208.582281047711</v>
      </c>
      <c r="U49" s="36">
        <f t="shared" si="41"/>
        <v>111858.84986558976</v>
      </c>
      <c r="V49" s="36">
        <f t="shared" si="42"/>
        <v>250842.21475221147</v>
      </c>
      <c r="AB49" s="2">
        <f t="shared" si="14"/>
        <v>2019</v>
      </c>
      <c r="AC49" s="2">
        <f>P49*VLOOKUP(BO49,Exposure!$B$33:$C$53,2,FALSE)/VLOOKUP(AZ49,Exposure!$B$33:$C$53,2,FALSE)</f>
        <v>59834.956477522814</v>
      </c>
      <c r="AD49" s="2">
        <f>Q49*VLOOKUP(BP49,Exposure!$B$33:$C$53,2,FALSE)/VLOOKUP(BA49,Exposure!$B$33:$C$53,2,FALSE)</f>
        <v>84787.147007261519</v>
      </c>
      <c r="AE49" s="2">
        <f>R49*VLOOKUP(BQ49,Exposure!$B$33:$C$53,2,FALSE)/VLOOKUP(BB49,Exposure!$B$33:$C$53,2,FALSE)</f>
        <v>501586.47001546284</v>
      </c>
      <c r="AF49" s="2">
        <f>S49*VLOOKUP(BR49,Exposure!$B$33:$C$53,2,FALSE)/VLOOKUP(BC49,Exposure!$B$33:$C$53,2,FALSE)</f>
        <v>1086431.8528840791</v>
      </c>
      <c r="AG49" s="2">
        <f>T49*VLOOKUP(BS49,Exposure!$B$33:$C$53,2,FALSE)/VLOOKUP(BD49,Exposure!$B$33:$C$53,2,FALSE)</f>
        <v>97202.683003658574</v>
      </c>
      <c r="AH49" s="2">
        <f>U49*VLOOKUP(BT49,Exposure!$B$33:$C$53,2,FALSE)/VLOOKUP(BE49,Exposure!$B$33:$C$53,2,FALSE)</f>
        <v>146612.86821968114</v>
      </c>
      <c r="AI49" s="2">
        <f>V49*VLOOKUP(BU49,Exposure!$B$33:$C$53,2,FALSE)/VLOOKUP(BF49,Exposure!$B$33:$C$53,2,FALSE)</f>
        <v>326656.07298133086</v>
      </c>
      <c r="AZ49" s="2">
        <f t="shared" si="15"/>
        <v>2019</v>
      </c>
      <c r="BA49" s="2">
        <f t="shared" si="35"/>
        <v>2020</v>
      </c>
      <c r="BB49" s="2">
        <f t="shared" si="35"/>
        <v>2021</v>
      </c>
      <c r="BC49" s="2">
        <f t="shared" si="35"/>
        <v>2022</v>
      </c>
      <c r="BD49" s="2">
        <f t="shared" si="35"/>
        <v>2023</v>
      </c>
      <c r="BE49" s="2">
        <f t="shared" si="35"/>
        <v>2024</v>
      </c>
      <c r="BF49" s="2">
        <f t="shared" si="35"/>
        <v>2025</v>
      </c>
      <c r="BO49" s="2">
        <v>2027</v>
      </c>
      <c r="BP49" s="2">
        <f t="shared" si="36"/>
        <v>2028</v>
      </c>
      <c r="BQ49" s="2">
        <f t="shared" si="36"/>
        <v>2029</v>
      </c>
      <c r="BR49" s="2">
        <f t="shared" si="36"/>
        <v>2030</v>
      </c>
      <c r="BS49" s="2">
        <f t="shared" si="36"/>
        <v>2031</v>
      </c>
      <c r="BT49" s="2">
        <f t="shared" si="36"/>
        <v>2032</v>
      </c>
      <c r="BU49" s="2">
        <f t="shared" si="36"/>
        <v>2033</v>
      </c>
    </row>
    <row r="50" spans="1:73" x14ac:dyDescent="0.3">
      <c r="A50" s="12">
        <v>43664</v>
      </c>
      <c r="B50" s="13">
        <v>358230.81847805181</v>
      </c>
      <c r="C50" s="13">
        <v>528027.88236101693</v>
      </c>
      <c r="D50" s="13">
        <v>529904.90512835642</v>
      </c>
      <c r="E50" s="13">
        <v>836892.13878876495</v>
      </c>
      <c r="F50" s="13">
        <v>1455605.213086542</v>
      </c>
      <c r="G50" s="13">
        <v>1473578.8459168288</v>
      </c>
      <c r="H50" s="13">
        <v>1474286.0189268363</v>
      </c>
      <c r="O50" s="11">
        <f t="shared" si="3"/>
        <v>2019</v>
      </c>
      <c r="P50" s="36">
        <f t="shared" si="4"/>
        <v>207931.14939195436</v>
      </c>
      <c r="Q50" s="36">
        <f t="shared" si="37"/>
        <v>1059631.0560630911</v>
      </c>
      <c r="R50" s="36">
        <f t="shared" si="38"/>
        <v>1250434.9284432281</v>
      </c>
      <c r="S50" s="36">
        <f t="shared" si="39"/>
        <v>44925.152063630056</v>
      </c>
      <c r="T50" s="36">
        <f t="shared" si="40"/>
        <v>56282.14073971333</v>
      </c>
      <c r="U50" s="36">
        <f t="shared" si="41"/>
        <v>16552.48573983321</v>
      </c>
      <c r="V50" s="36">
        <f t="shared" si="42"/>
        <v>4499.7789219529368</v>
      </c>
      <c r="AB50" s="2">
        <f t="shared" si="14"/>
        <v>2019</v>
      </c>
      <c r="AC50" s="2">
        <f>P50*VLOOKUP(BO50,Exposure!$B$33:$C$53,2,FALSE)/VLOOKUP(AZ50,Exposure!$B$33:$C$53,2,FALSE)</f>
        <v>302275.43280873034</v>
      </c>
      <c r="AD50" s="2">
        <f>Q50*VLOOKUP(BP50,Exposure!$B$33:$C$53,2,FALSE)/VLOOKUP(BA50,Exposure!$B$33:$C$53,2,FALSE)</f>
        <v>1556365.8521873218</v>
      </c>
      <c r="AE50" s="2">
        <f>R50*VLOOKUP(BQ50,Exposure!$B$33:$C$53,2,FALSE)/VLOOKUP(BB50,Exposure!$B$33:$C$53,2,FALSE)</f>
        <v>1825291.3239822821</v>
      </c>
      <c r="AF50" s="2">
        <f>S50*VLOOKUP(BR50,Exposure!$B$33:$C$53,2,FALSE)/VLOOKUP(BC50,Exposure!$B$33:$C$53,2,FALSE)</f>
        <v>60985.660330685379</v>
      </c>
      <c r="AG50" s="2">
        <f>T50*VLOOKUP(BS50,Exposure!$B$33:$C$53,2,FALSE)/VLOOKUP(BD50,Exposure!$B$33:$C$53,2,FALSE)</f>
        <v>74728.603049398633</v>
      </c>
      <c r="AH50" s="2">
        <f>U50*VLOOKUP(BT50,Exposure!$B$33:$C$53,2,FALSE)/VLOOKUP(BE50,Exposure!$B$33:$C$53,2,FALSE)</f>
        <v>21695.265179271766</v>
      </c>
      <c r="AI50" s="2">
        <f>V50*VLOOKUP(BU50,Exposure!$B$33:$C$53,2,FALSE)/VLOOKUP(BF50,Exposure!$B$33:$C$53,2,FALSE)</f>
        <v>5859.7796761653481</v>
      </c>
      <c r="AZ50" s="2">
        <f t="shared" si="15"/>
        <v>2019</v>
      </c>
      <c r="BA50" s="2">
        <f t="shared" si="35"/>
        <v>2020</v>
      </c>
      <c r="BB50" s="2">
        <f t="shared" si="35"/>
        <v>2021</v>
      </c>
      <c r="BC50" s="2">
        <f t="shared" si="35"/>
        <v>2022</v>
      </c>
      <c r="BD50" s="2">
        <f t="shared" si="35"/>
        <v>2023</v>
      </c>
      <c r="BE50" s="2">
        <f t="shared" si="35"/>
        <v>2024</v>
      </c>
      <c r="BF50" s="2">
        <f t="shared" si="35"/>
        <v>2025</v>
      </c>
      <c r="BO50" s="2">
        <v>2027</v>
      </c>
      <c r="BP50" s="2">
        <f t="shared" si="36"/>
        <v>2028</v>
      </c>
      <c r="BQ50" s="2">
        <f t="shared" si="36"/>
        <v>2029</v>
      </c>
      <c r="BR50" s="2">
        <f t="shared" si="36"/>
        <v>2030</v>
      </c>
      <c r="BS50" s="2">
        <f t="shared" si="36"/>
        <v>2031</v>
      </c>
      <c r="BT50" s="2">
        <f t="shared" si="36"/>
        <v>2032</v>
      </c>
      <c r="BU50" s="2">
        <f t="shared" si="36"/>
        <v>2033</v>
      </c>
    </row>
    <row r="51" spans="1:73" x14ac:dyDescent="0.3">
      <c r="A51" s="12">
        <v>43670</v>
      </c>
      <c r="B51" s="13">
        <v>39126.810112838844</v>
      </c>
      <c r="C51" s="13">
        <v>228323.3191047468</v>
      </c>
      <c r="D51" s="13">
        <v>242037.235310977</v>
      </c>
      <c r="E51" s="13">
        <v>375264.81301678577</v>
      </c>
      <c r="F51" s="13">
        <v>649914.47336344095</v>
      </c>
      <c r="G51" s="13">
        <v>735324.99973590125</v>
      </c>
      <c r="H51" s="13">
        <v>735668.68947540084</v>
      </c>
      <c r="O51" s="11">
        <f t="shared" si="3"/>
        <v>2019</v>
      </c>
      <c r="P51" s="36">
        <f t="shared" si="4"/>
        <v>358230.81847805181</v>
      </c>
      <c r="Q51" s="36">
        <f t="shared" si="37"/>
        <v>169797.06388296513</v>
      </c>
      <c r="R51" s="36">
        <f t="shared" si="38"/>
        <v>1877.0227673394838</v>
      </c>
      <c r="S51" s="36">
        <f t="shared" si="39"/>
        <v>306987.23366040853</v>
      </c>
      <c r="T51" s="36">
        <f t="shared" si="40"/>
        <v>618713.07429777703</v>
      </c>
      <c r="U51" s="36">
        <f t="shared" si="41"/>
        <v>17973.632830286864</v>
      </c>
      <c r="V51" s="36">
        <f t="shared" si="42"/>
        <v>707.1730100074783</v>
      </c>
      <c r="AB51" s="2">
        <f t="shared" si="14"/>
        <v>2019</v>
      </c>
      <c r="AC51" s="2">
        <f>P51*VLOOKUP(BO51,Exposure!$B$33:$C$53,2,FALSE)/VLOOKUP(AZ51,Exposure!$B$33:$C$53,2,FALSE)</f>
        <v>520770.34161322616</v>
      </c>
      <c r="AD51" s="2">
        <f>Q51*VLOOKUP(BP51,Exposure!$B$33:$C$53,2,FALSE)/VLOOKUP(BA51,Exposure!$B$33:$C$53,2,FALSE)</f>
        <v>249394.68366561498</v>
      </c>
      <c r="AE51" s="2">
        <f>R51*VLOOKUP(BQ51,Exposure!$B$33:$C$53,2,FALSE)/VLOOKUP(BB51,Exposure!$B$33:$C$53,2,FALSE)</f>
        <v>2739.9373563624222</v>
      </c>
      <c r="AF51" s="2">
        <f>S51*VLOOKUP(BR51,Exposure!$B$33:$C$53,2,FALSE)/VLOOKUP(BC51,Exposure!$B$33:$C$53,2,FALSE)</f>
        <v>416733.5734635609</v>
      </c>
      <c r="AG51" s="2">
        <f>T51*VLOOKUP(BS51,Exposure!$B$33:$C$53,2,FALSE)/VLOOKUP(BD51,Exposure!$B$33:$C$53,2,FALSE)</f>
        <v>821496.18196820503</v>
      </c>
      <c r="AH51" s="2">
        <f>U51*VLOOKUP(BT51,Exposure!$B$33:$C$53,2,FALSE)/VLOOKUP(BE51,Exposure!$B$33:$C$53,2,FALSE)</f>
        <v>23557.95598419091</v>
      </c>
      <c r="AI51" s="2">
        <f>V51*VLOOKUP(BU51,Exposure!$B$33:$C$53,2,FALSE)/VLOOKUP(BF51,Exposure!$B$33:$C$53,2,FALSE)</f>
        <v>920.90702753370454</v>
      </c>
      <c r="AZ51" s="2">
        <f t="shared" si="15"/>
        <v>2019</v>
      </c>
      <c r="BA51" s="2">
        <f t="shared" ref="BA51:BF66" si="43">$AZ51+BA$1-1</f>
        <v>2020</v>
      </c>
      <c r="BB51" s="2">
        <f t="shared" si="43"/>
        <v>2021</v>
      </c>
      <c r="BC51" s="2">
        <f t="shared" si="43"/>
        <v>2022</v>
      </c>
      <c r="BD51" s="2">
        <f t="shared" si="43"/>
        <v>2023</v>
      </c>
      <c r="BE51" s="2">
        <f t="shared" si="43"/>
        <v>2024</v>
      </c>
      <c r="BF51" s="2">
        <f t="shared" si="43"/>
        <v>2025</v>
      </c>
      <c r="BO51" s="2">
        <v>2027</v>
      </c>
      <c r="BP51" s="2">
        <f t="shared" ref="BP51:BU66" si="44">$BO51+BP$1-1</f>
        <v>2028</v>
      </c>
      <c r="BQ51" s="2">
        <f t="shared" si="44"/>
        <v>2029</v>
      </c>
      <c r="BR51" s="2">
        <f t="shared" si="44"/>
        <v>2030</v>
      </c>
      <c r="BS51" s="2">
        <f t="shared" si="44"/>
        <v>2031</v>
      </c>
      <c r="BT51" s="2">
        <f t="shared" si="44"/>
        <v>2032</v>
      </c>
      <c r="BU51" s="2">
        <f t="shared" si="44"/>
        <v>2033</v>
      </c>
    </row>
    <row r="52" spans="1:73" x14ac:dyDescent="0.3">
      <c r="A52" s="12">
        <v>43697</v>
      </c>
      <c r="B52" s="13">
        <v>7952.820190437139</v>
      </c>
      <c r="C52" s="13">
        <v>787681.63863568706</v>
      </c>
      <c r="D52" s="13">
        <v>1643255.8649833892</v>
      </c>
      <c r="E52" s="13">
        <v>3144788.4447404803</v>
      </c>
      <c r="F52" s="13">
        <v>3276086.8496727236</v>
      </c>
      <c r="G52" s="13">
        <v>3621176.2426726366</v>
      </c>
      <c r="H52" s="13">
        <v>3656466.1163495136</v>
      </c>
      <c r="O52" s="11">
        <f t="shared" si="3"/>
        <v>2019</v>
      </c>
      <c r="P52" s="36">
        <f t="shared" si="4"/>
        <v>39126.810112838844</v>
      </c>
      <c r="Q52" s="36">
        <f t="shared" si="37"/>
        <v>189196.50899190796</v>
      </c>
      <c r="R52" s="36">
        <f t="shared" si="38"/>
        <v>13713.916206230206</v>
      </c>
      <c r="S52" s="36">
        <f t="shared" si="39"/>
        <v>133227.57770580877</v>
      </c>
      <c r="T52" s="36">
        <f t="shared" si="40"/>
        <v>274649.66034665518</v>
      </c>
      <c r="U52" s="36">
        <f t="shared" si="41"/>
        <v>85410.526372460299</v>
      </c>
      <c r="V52" s="36">
        <f t="shared" si="42"/>
        <v>343.68973949959036</v>
      </c>
      <c r="AB52" s="2">
        <f t="shared" si="14"/>
        <v>2019</v>
      </c>
      <c r="AC52" s="2">
        <f>P52*VLOOKUP(BO52,Exposure!$B$33:$C$53,2,FALSE)/VLOOKUP(AZ52,Exposure!$B$33:$C$53,2,FALSE)</f>
        <v>56879.758015424137</v>
      </c>
      <c r="AD52" s="2">
        <f>Q52*VLOOKUP(BP52,Exposure!$B$33:$C$53,2,FALSE)/VLOOKUP(BA52,Exposure!$B$33:$C$53,2,FALSE)</f>
        <v>277888.21803890658</v>
      </c>
      <c r="AE52" s="2">
        <f>R52*VLOOKUP(BQ52,Exposure!$B$33:$C$53,2,FALSE)/VLOOKUP(BB52,Exposure!$B$33:$C$53,2,FALSE)</f>
        <v>20018.548506331568</v>
      </c>
      <c r="AF52" s="2">
        <f>S52*VLOOKUP(BR52,Exposure!$B$33:$C$53,2,FALSE)/VLOOKUP(BC52,Exposure!$B$33:$C$53,2,FALSE)</f>
        <v>180855.74399700607</v>
      </c>
      <c r="AG52" s="2">
        <f>T52*VLOOKUP(BS52,Exposure!$B$33:$C$53,2,FALSE)/VLOOKUP(BD52,Exposure!$B$33:$C$53,2,FALSE)</f>
        <v>364666.04105581314</v>
      </c>
      <c r="AH52" s="2">
        <f>U52*VLOOKUP(BT52,Exposure!$B$33:$C$53,2,FALSE)/VLOOKUP(BE52,Exposure!$B$33:$C$53,2,FALSE)</f>
        <v>111947.17505736891</v>
      </c>
      <c r="AI52" s="2">
        <f>V52*VLOOKUP(BU52,Exposure!$B$33:$C$53,2,FALSE)/VLOOKUP(BF52,Exposure!$B$33:$C$53,2,FALSE)</f>
        <v>447.56557718888894</v>
      </c>
      <c r="AZ52" s="2">
        <f t="shared" si="15"/>
        <v>2019</v>
      </c>
      <c r="BA52" s="2">
        <f t="shared" si="43"/>
        <v>2020</v>
      </c>
      <c r="BB52" s="2">
        <f t="shared" si="43"/>
        <v>2021</v>
      </c>
      <c r="BC52" s="2">
        <f t="shared" si="43"/>
        <v>2022</v>
      </c>
      <c r="BD52" s="2">
        <f t="shared" si="43"/>
        <v>2023</v>
      </c>
      <c r="BE52" s="2">
        <f t="shared" si="43"/>
        <v>2024</v>
      </c>
      <c r="BF52" s="2">
        <f t="shared" si="43"/>
        <v>2025</v>
      </c>
      <c r="BO52" s="2">
        <v>2027</v>
      </c>
      <c r="BP52" s="2">
        <f t="shared" si="44"/>
        <v>2028</v>
      </c>
      <c r="BQ52" s="2">
        <f t="shared" si="44"/>
        <v>2029</v>
      </c>
      <c r="BR52" s="2">
        <f t="shared" si="44"/>
        <v>2030</v>
      </c>
      <c r="BS52" s="2">
        <f t="shared" si="44"/>
        <v>2031</v>
      </c>
      <c r="BT52" s="2">
        <f t="shared" si="44"/>
        <v>2032</v>
      </c>
      <c r="BU52" s="2">
        <f t="shared" si="44"/>
        <v>2033</v>
      </c>
    </row>
    <row r="53" spans="1:73" x14ac:dyDescent="0.3">
      <c r="A53" s="12">
        <v>43774</v>
      </c>
      <c r="B53" s="13">
        <v>263306.16752332571</v>
      </c>
      <c r="C53" s="13">
        <v>289931.09884404094</v>
      </c>
      <c r="D53" s="13">
        <v>292068.19204582809</v>
      </c>
      <c r="E53" s="13">
        <v>2202715.4387304145</v>
      </c>
      <c r="F53" s="13">
        <v>2719192.8382750861</v>
      </c>
      <c r="G53" s="13">
        <v>2827797.2363715405</v>
      </c>
      <c r="H53" s="13">
        <v>2966680.4610507488</v>
      </c>
      <c r="O53" s="11">
        <f t="shared" si="3"/>
        <v>2019</v>
      </c>
      <c r="P53" s="36">
        <f t="shared" si="4"/>
        <v>7952.820190437139</v>
      </c>
      <c r="Q53" s="36">
        <f t="shared" si="37"/>
        <v>779728.81844524993</v>
      </c>
      <c r="R53" s="36">
        <f t="shared" si="38"/>
        <v>855574.22634770209</v>
      </c>
      <c r="S53" s="36">
        <f t="shared" si="39"/>
        <v>1501532.5797570911</v>
      </c>
      <c r="T53" s="36">
        <f t="shared" si="40"/>
        <v>131298.40493224328</v>
      </c>
      <c r="U53" s="36">
        <f t="shared" si="41"/>
        <v>345089.39299991308</v>
      </c>
      <c r="V53" s="36">
        <f t="shared" si="42"/>
        <v>35289.873676877003</v>
      </c>
      <c r="AB53" s="2">
        <f t="shared" si="14"/>
        <v>2019</v>
      </c>
      <c r="AC53" s="2">
        <f>P53*VLOOKUP(BO53,Exposure!$B$33:$C$53,2,FALSE)/VLOOKUP(AZ53,Exposure!$B$33:$C$53,2,FALSE)</f>
        <v>11561.241171148036</v>
      </c>
      <c r="AD53" s="2">
        <f>Q53*VLOOKUP(BP53,Exposure!$B$33:$C$53,2,FALSE)/VLOOKUP(BA53,Exposure!$B$33:$C$53,2,FALSE)</f>
        <v>1145250.7927648921</v>
      </c>
      <c r="AE53" s="2">
        <f>R53*VLOOKUP(BQ53,Exposure!$B$33:$C$53,2,FALSE)/VLOOKUP(BB53,Exposure!$B$33:$C$53,2,FALSE)</f>
        <v>1248903.2230726082</v>
      </c>
      <c r="AF53" s="2">
        <f>S53*VLOOKUP(BR53,Exposure!$B$33:$C$53,2,FALSE)/VLOOKUP(BC53,Exposure!$B$33:$C$53,2,FALSE)</f>
        <v>2038322.6695554669</v>
      </c>
      <c r="AG53" s="2">
        <f>T53*VLOOKUP(BS53,Exposure!$B$33:$C$53,2,FALSE)/VLOOKUP(BD53,Exposure!$B$33:$C$53,2,FALSE)</f>
        <v>174331.43541175808</v>
      </c>
      <c r="AH53" s="2">
        <f>U53*VLOOKUP(BT53,Exposure!$B$33:$C$53,2,FALSE)/VLOOKUP(BE53,Exposure!$B$33:$C$53,2,FALSE)</f>
        <v>452307.04374933871</v>
      </c>
      <c r="AI53" s="2">
        <f>V53*VLOOKUP(BU53,Exposure!$B$33:$C$53,2,FALSE)/VLOOKUP(BF53,Exposure!$B$33:$C$53,2,FALSE)</f>
        <v>45955.787635997382</v>
      </c>
      <c r="AZ53" s="2">
        <f t="shared" si="15"/>
        <v>2019</v>
      </c>
      <c r="BA53" s="2">
        <f t="shared" si="43"/>
        <v>2020</v>
      </c>
      <c r="BB53" s="2">
        <f t="shared" si="43"/>
        <v>2021</v>
      </c>
      <c r="BC53" s="2">
        <f t="shared" si="43"/>
        <v>2022</v>
      </c>
      <c r="BD53" s="2">
        <f t="shared" si="43"/>
        <v>2023</v>
      </c>
      <c r="BE53" s="2">
        <f t="shared" si="43"/>
        <v>2024</v>
      </c>
      <c r="BF53" s="2">
        <f t="shared" si="43"/>
        <v>2025</v>
      </c>
      <c r="BO53" s="2">
        <v>2027</v>
      </c>
      <c r="BP53" s="2">
        <f t="shared" si="44"/>
        <v>2028</v>
      </c>
      <c r="BQ53" s="2">
        <f t="shared" si="44"/>
        <v>2029</v>
      </c>
      <c r="BR53" s="2">
        <f t="shared" si="44"/>
        <v>2030</v>
      </c>
      <c r="BS53" s="2">
        <f t="shared" si="44"/>
        <v>2031</v>
      </c>
      <c r="BT53" s="2">
        <f t="shared" si="44"/>
        <v>2032</v>
      </c>
      <c r="BU53" s="2">
        <f t="shared" si="44"/>
        <v>2033</v>
      </c>
    </row>
    <row r="54" spans="1:73" x14ac:dyDescent="0.3">
      <c r="A54" s="12">
        <v>43813</v>
      </c>
      <c r="B54" s="13">
        <v>122748.71638419142</v>
      </c>
      <c r="C54" s="13">
        <v>417902.09566446109</v>
      </c>
      <c r="D54" s="13">
        <v>470333.57396893518</v>
      </c>
      <c r="E54" s="13">
        <v>478417.64898300008</v>
      </c>
      <c r="F54" s="13">
        <v>481976.69693346764</v>
      </c>
      <c r="G54" s="13">
        <v>495376.71696936432</v>
      </c>
      <c r="H54" s="13">
        <v>503771.91303220351</v>
      </c>
      <c r="O54" s="11">
        <f t="shared" si="3"/>
        <v>2019</v>
      </c>
      <c r="P54" s="36">
        <f t="shared" si="4"/>
        <v>263306.16752332571</v>
      </c>
      <c r="Q54" s="36">
        <f t="shared" si="37"/>
        <v>26624.93132071523</v>
      </c>
      <c r="R54" s="36">
        <f t="shared" si="38"/>
        <v>2137.0932017871528</v>
      </c>
      <c r="S54" s="36">
        <f t="shared" si="39"/>
        <v>1910647.2466845864</v>
      </c>
      <c r="T54" s="36">
        <f t="shared" si="40"/>
        <v>516477.39954467164</v>
      </c>
      <c r="U54" s="36">
        <f t="shared" si="41"/>
        <v>108604.39809645433</v>
      </c>
      <c r="V54" s="36">
        <f t="shared" si="42"/>
        <v>138883.22467920836</v>
      </c>
      <c r="AB54" s="2">
        <f t="shared" si="14"/>
        <v>2019</v>
      </c>
      <c r="AC54" s="2">
        <f>P54*VLOOKUP(BO54,Exposure!$B$33:$C$53,2,FALSE)/VLOOKUP(AZ54,Exposure!$B$33:$C$53,2,FALSE)</f>
        <v>382775.67349608958</v>
      </c>
      <c r="AD54" s="2">
        <f>Q54*VLOOKUP(BP54,Exposure!$B$33:$C$53,2,FALSE)/VLOOKUP(BA54,Exposure!$B$33:$C$53,2,FALSE)</f>
        <v>39106.190487046857</v>
      </c>
      <c r="AE54" s="2">
        <f>R54*VLOOKUP(BQ54,Exposure!$B$33:$C$53,2,FALSE)/VLOOKUP(BB54,Exposure!$B$33:$C$53,2,FALSE)</f>
        <v>3119.5687124799551</v>
      </c>
      <c r="AF54" s="2">
        <f>S54*VLOOKUP(BR54,Exposure!$B$33:$C$53,2,FALSE)/VLOOKUP(BC54,Exposure!$B$33:$C$53,2,FALSE)</f>
        <v>2593693.7026507678</v>
      </c>
      <c r="AG54" s="2">
        <f>T54*VLOOKUP(BS54,Exposure!$B$33:$C$53,2,FALSE)/VLOOKUP(BD54,Exposure!$B$33:$C$53,2,FALSE)</f>
        <v>685752.78174033458</v>
      </c>
      <c r="AH54" s="2">
        <f>U54*VLOOKUP(BT54,Exposure!$B$33:$C$53,2,FALSE)/VLOOKUP(BE54,Exposure!$B$33:$C$53,2,FALSE)</f>
        <v>142347.27359816572</v>
      </c>
      <c r="AI54" s="2">
        <f>V54*VLOOKUP(BU54,Exposure!$B$33:$C$53,2,FALSE)/VLOOKUP(BF54,Exposure!$B$33:$C$53,2,FALSE)</f>
        <v>180858.90694877182</v>
      </c>
      <c r="AZ54" s="2">
        <f t="shared" si="15"/>
        <v>2019</v>
      </c>
      <c r="BA54" s="2">
        <f t="shared" si="43"/>
        <v>2020</v>
      </c>
      <c r="BB54" s="2">
        <f t="shared" si="43"/>
        <v>2021</v>
      </c>
      <c r="BC54" s="2">
        <f t="shared" si="43"/>
        <v>2022</v>
      </c>
      <c r="BD54" s="2">
        <f t="shared" si="43"/>
        <v>2023</v>
      </c>
      <c r="BE54" s="2">
        <f t="shared" si="43"/>
        <v>2024</v>
      </c>
      <c r="BF54" s="2">
        <f t="shared" si="43"/>
        <v>2025</v>
      </c>
      <c r="BO54" s="2">
        <v>2027</v>
      </c>
      <c r="BP54" s="2">
        <f t="shared" si="44"/>
        <v>2028</v>
      </c>
      <c r="BQ54" s="2">
        <f t="shared" si="44"/>
        <v>2029</v>
      </c>
      <c r="BR54" s="2">
        <f t="shared" si="44"/>
        <v>2030</v>
      </c>
      <c r="BS54" s="2">
        <f t="shared" si="44"/>
        <v>2031</v>
      </c>
      <c r="BT54" s="2">
        <f t="shared" si="44"/>
        <v>2032</v>
      </c>
      <c r="BU54" s="2">
        <f t="shared" si="44"/>
        <v>2033</v>
      </c>
    </row>
    <row r="55" spans="1:73" x14ac:dyDescent="0.3">
      <c r="A55" s="12">
        <v>43883</v>
      </c>
      <c r="B55" s="13">
        <v>95837.96281925129</v>
      </c>
      <c r="C55" s="13">
        <v>397918.85911467596</v>
      </c>
      <c r="D55" s="13">
        <v>409184.44165819668</v>
      </c>
      <c r="E55" s="13">
        <v>965273.28298912605</v>
      </c>
      <c r="F55" s="13">
        <v>1045158.7381676155</v>
      </c>
      <c r="G55" s="13">
        <v>1055868.8376062047</v>
      </c>
      <c r="O55" s="11">
        <f t="shared" si="3"/>
        <v>2019</v>
      </c>
      <c r="P55" s="36">
        <f t="shared" si="4"/>
        <v>122748.71638419142</v>
      </c>
      <c r="Q55" s="36">
        <f t="shared" si="37"/>
        <v>295153.37928026967</v>
      </c>
      <c r="R55" s="36">
        <f t="shared" si="38"/>
        <v>52431.478304474091</v>
      </c>
      <c r="S55" s="36">
        <f t="shared" si="39"/>
        <v>8084.0750140649034</v>
      </c>
      <c r="T55" s="36">
        <f t="shared" si="40"/>
        <v>3559.0479504675604</v>
      </c>
      <c r="U55" s="36">
        <f t="shared" si="41"/>
        <v>13400.020035896683</v>
      </c>
      <c r="V55" s="36">
        <f t="shared" si="42"/>
        <v>8395.1960628391826</v>
      </c>
      <c r="AB55" s="2">
        <f t="shared" si="14"/>
        <v>2019</v>
      </c>
      <c r="AC55" s="2">
        <f>P55*VLOOKUP(BO55,Exposure!$B$33:$C$53,2,FALSE)/VLOOKUP(AZ55,Exposure!$B$33:$C$53,2,FALSE)</f>
        <v>178443.30433534959</v>
      </c>
      <c r="AD55" s="2">
        <f>Q55*VLOOKUP(BP55,Exposure!$B$33:$C$53,2,FALSE)/VLOOKUP(BA55,Exposure!$B$33:$C$53,2,FALSE)</f>
        <v>433515.64494175575</v>
      </c>
      <c r="AE55" s="2">
        <f>R55*VLOOKUP(BQ55,Exposure!$B$33:$C$53,2,FALSE)/VLOOKUP(BB55,Exposure!$B$33:$C$53,2,FALSE)</f>
        <v>76535.547972792323</v>
      </c>
      <c r="AF55" s="2">
        <f>S55*VLOOKUP(BR55,Exposure!$B$33:$C$53,2,FALSE)/VLOOKUP(BC55,Exposure!$B$33:$C$53,2,FALSE)</f>
        <v>10974.089797119905</v>
      </c>
      <c r="AG55" s="2">
        <f>T55*VLOOKUP(BS55,Exposure!$B$33:$C$53,2,FALSE)/VLOOKUP(BD55,Exposure!$B$33:$C$53,2,FALSE)</f>
        <v>4725.5253270172743</v>
      </c>
      <c r="AH55" s="2">
        <f>U55*VLOOKUP(BT55,Exposure!$B$33:$C$53,2,FALSE)/VLOOKUP(BE55,Exposure!$B$33:$C$53,2,FALSE)</f>
        <v>17563.343213565138</v>
      </c>
      <c r="AI55" s="2">
        <f>V55*VLOOKUP(BU55,Exposure!$B$33:$C$53,2,FALSE)/VLOOKUP(BF55,Exposure!$B$33:$C$53,2,FALSE)</f>
        <v>10932.53693563635</v>
      </c>
      <c r="AZ55" s="2">
        <f t="shared" si="15"/>
        <v>2019</v>
      </c>
      <c r="BA55" s="2">
        <f t="shared" si="43"/>
        <v>2020</v>
      </c>
      <c r="BB55" s="2">
        <f t="shared" si="43"/>
        <v>2021</v>
      </c>
      <c r="BC55" s="2">
        <f t="shared" si="43"/>
        <v>2022</v>
      </c>
      <c r="BD55" s="2">
        <f t="shared" si="43"/>
        <v>2023</v>
      </c>
      <c r="BE55" s="2">
        <f t="shared" si="43"/>
        <v>2024</v>
      </c>
      <c r="BF55" s="2">
        <f t="shared" si="43"/>
        <v>2025</v>
      </c>
      <c r="BO55" s="2">
        <v>2027</v>
      </c>
      <c r="BP55" s="2">
        <f t="shared" si="44"/>
        <v>2028</v>
      </c>
      <c r="BQ55" s="2">
        <f t="shared" si="44"/>
        <v>2029</v>
      </c>
      <c r="BR55" s="2">
        <f t="shared" si="44"/>
        <v>2030</v>
      </c>
      <c r="BS55" s="2">
        <f t="shared" si="44"/>
        <v>2031</v>
      </c>
      <c r="BT55" s="2">
        <f t="shared" si="44"/>
        <v>2032</v>
      </c>
      <c r="BU55" s="2">
        <f t="shared" si="44"/>
        <v>2033</v>
      </c>
    </row>
    <row r="56" spans="1:73" x14ac:dyDescent="0.3">
      <c r="A56" s="12">
        <v>43884</v>
      </c>
      <c r="B56" s="13">
        <v>152343.28288938612</v>
      </c>
      <c r="C56" s="13">
        <v>1463565.5874544911</v>
      </c>
      <c r="D56" s="13">
        <v>2220205.1654473753</v>
      </c>
      <c r="E56" s="13">
        <v>2226988.7908031084</v>
      </c>
      <c r="F56" s="13">
        <v>2239987.2389860689</v>
      </c>
      <c r="G56" s="13">
        <v>2593116.0153523828</v>
      </c>
      <c r="O56" s="11">
        <f t="shared" si="3"/>
        <v>2020</v>
      </c>
      <c r="P56" s="36">
        <f t="shared" si="4"/>
        <v>95837.96281925129</v>
      </c>
      <c r="Q56" s="36">
        <f t="shared" ref="Q56:Q61" si="45">C55-B55</f>
        <v>302080.89629542467</v>
      </c>
      <c r="R56" s="36">
        <f t="shared" ref="R56:R61" si="46">D55-C55</f>
        <v>11265.582543520723</v>
      </c>
      <c r="S56" s="36">
        <f t="shared" ref="S56:S61" si="47">E55-D55</f>
        <v>556088.84133092943</v>
      </c>
      <c r="T56" s="36">
        <f t="shared" ref="T56:T61" si="48">F55-E55</f>
        <v>79885.455178489443</v>
      </c>
      <c r="U56" s="36">
        <f t="shared" ref="U56:U61" si="49">G55-F55</f>
        <v>10710.099438589183</v>
      </c>
      <c r="AB56" s="2">
        <f t="shared" si="14"/>
        <v>2020</v>
      </c>
      <c r="AC56" s="2">
        <f>P56*VLOOKUP(BO56,Exposure!$B$33:$C$53,2,FALSE)/VLOOKUP(AZ56,Exposure!$B$33:$C$53,2,FALSE)</f>
        <v>136268.12093087882</v>
      </c>
      <c r="AD56" s="2">
        <f>Q56*VLOOKUP(BP56,Exposure!$B$33:$C$53,2,FALSE)/VLOOKUP(BA56,Exposure!$B$33:$C$53,2,FALSE)</f>
        <v>426868.42613012885</v>
      </c>
      <c r="AE56" s="2">
        <f>R56*VLOOKUP(BQ56,Exposure!$B$33:$C$53,2,FALSE)/VLOOKUP(BB56,Exposure!$B$33:$C$53,2,FALSE)</f>
        <v>14804.423742097057</v>
      </c>
      <c r="AF56" s="2">
        <f>S56*VLOOKUP(BR56,Exposure!$B$33:$C$53,2,FALSE)/VLOOKUP(BC56,Exposure!$B$33:$C$53,2,FALSE)</f>
        <v>714759.79381818988</v>
      </c>
      <c r="AG56" s="2">
        <f>T56*VLOOKUP(BS56,Exposure!$B$33:$C$53,2,FALSE)/VLOOKUP(BD56,Exposure!$B$33:$C$53,2,FALSE)</f>
        <v>101360.59074448426</v>
      </c>
      <c r="AH56" s="2">
        <f>U56*VLOOKUP(BT56,Exposure!$B$33:$C$53,2,FALSE)/VLOOKUP(BE56,Exposure!$B$33:$C$53,2,FALSE)</f>
        <v>13501.539510690278</v>
      </c>
      <c r="AZ56" s="2">
        <f t="shared" si="15"/>
        <v>2020</v>
      </c>
      <c r="BA56" s="2">
        <f t="shared" si="43"/>
        <v>2021</v>
      </c>
      <c r="BB56" s="2">
        <f t="shared" si="43"/>
        <v>2022</v>
      </c>
      <c r="BC56" s="2">
        <f t="shared" si="43"/>
        <v>2023</v>
      </c>
      <c r="BD56" s="2">
        <f t="shared" si="43"/>
        <v>2024</v>
      </c>
      <c r="BE56" s="2">
        <f t="shared" si="43"/>
        <v>2025</v>
      </c>
      <c r="BO56" s="2">
        <v>2027</v>
      </c>
      <c r="BP56" s="2">
        <f t="shared" si="44"/>
        <v>2028</v>
      </c>
      <c r="BQ56" s="2">
        <f t="shared" si="44"/>
        <v>2029</v>
      </c>
      <c r="BR56" s="2">
        <f t="shared" si="44"/>
        <v>2030</v>
      </c>
      <c r="BS56" s="2">
        <f t="shared" si="44"/>
        <v>2031</v>
      </c>
      <c r="BT56" s="2">
        <f t="shared" si="44"/>
        <v>2032</v>
      </c>
    </row>
    <row r="57" spans="1:73" x14ac:dyDescent="0.3">
      <c r="A57" s="12">
        <v>43910</v>
      </c>
      <c r="B57" s="13">
        <v>193200.97334548156</v>
      </c>
      <c r="C57" s="13">
        <v>235139.17560307801</v>
      </c>
      <c r="D57" s="13">
        <v>974463.29380048881</v>
      </c>
      <c r="E57" s="13">
        <v>1160364.4805207283</v>
      </c>
      <c r="F57" s="13">
        <v>1713148.0620333366</v>
      </c>
      <c r="G57" s="13">
        <v>2254006.4453476961</v>
      </c>
      <c r="O57" s="11">
        <f t="shared" si="3"/>
        <v>2020</v>
      </c>
      <c r="P57" s="36">
        <f t="shared" si="4"/>
        <v>152343.28288938612</v>
      </c>
      <c r="Q57" s="36">
        <f t="shared" si="45"/>
        <v>1311222.3045651049</v>
      </c>
      <c r="R57" s="36">
        <f t="shared" si="46"/>
        <v>756639.57799288421</v>
      </c>
      <c r="S57" s="36">
        <f t="shared" si="47"/>
        <v>6783.6253557330929</v>
      </c>
      <c r="T57" s="36">
        <f t="shared" si="48"/>
        <v>12998.448182960507</v>
      </c>
      <c r="U57" s="36">
        <f t="shared" si="49"/>
        <v>353128.77636631392</v>
      </c>
      <c r="AB57" s="2">
        <f t="shared" si="14"/>
        <v>2020</v>
      </c>
      <c r="AC57" s="2">
        <f>P57*VLOOKUP(BO57,Exposure!$B$33:$C$53,2,FALSE)/VLOOKUP(AZ57,Exposure!$B$33:$C$53,2,FALSE)</f>
        <v>216610.74886295386</v>
      </c>
      <c r="AD57" s="2">
        <f>Q57*VLOOKUP(BP57,Exposure!$B$33:$C$53,2,FALSE)/VLOOKUP(BA57,Exposure!$B$33:$C$53,2,FALSE)</f>
        <v>1852879.1734947732</v>
      </c>
      <c r="AE57" s="2">
        <f>R57*VLOOKUP(BQ57,Exposure!$B$33:$C$53,2,FALSE)/VLOOKUP(BB57,Exposure!$B$33:$C$53,2,FALSE)</f>
        <v>994321.67749644152</v>
      </c>
      <c r="AF57" s="2">
        <f>S57*VLOOKUP(BR57,Exposure!$B$33:$C$53,2,FALSE)/VLOOKUP(BC57,Exposure!$B$33:$C$53,2,FALSE)</f>
        <v>8719.2230813316801</v>
      </c>
      <c r="AG57" s="2">
        <f>T57*VLOOKUP(BS57,Exposure!$B$33:$C$53,2,FALSE)/VLOOKUP(BD57,Exposure!$B$33:$C$53,2,FALSE)</f>
        <v>16492.744312999959</v>
      </c>
      <c r="AH57" s="2">
        <f>U57*VLOOKUP(BT57,Exposure!$B$33:$C$53,2,FALSE)/VLOOKUP(BE57,Exposure!$B$33:$C$53,2,FALSE)</f>
        <v>445166.93367877341</v>
      </c>
      <c r="AZ57" s="2">
        <f t="shared" si="15"/>
        <v>2020</v>
      </c>
      <c r="BA57" s="2">
        <f t="shared" si="43"/>
        <v>2021</v>
      </c>
      <c r="BB57" s="2">
        <f t="shared" si="43"/>
        <v>2022</v>
      </c>
      <c r="BC57" s="2">
        <f t="shared" si="43"/>
        <v>2023</v>
      </c>
      <c r="BD57" s="2">
        <f t="shared" si="43"/>
        <v>2024</v>
      </c>
      <c r="BE57" s="2">
        <f t="shared" si="43"/>
        <v>2025</v>
      </c>
      <c r="BO57" s="2">
        <v>2027</v>
      </c>
      <c r="BP57" s="2">
        <f t="shared" si="44"/>
        <v>2028</v>
      </c>
      <c r="BQ57" s="2">
        <f t="shared" si="44"/>
        <v>2029</v>
      </c>
      <c r="BR57" s="2">
        <f t="shared" si="44"/>
        <v>2030</v>
      </c>
      <c r="BS57" s="2">
        <f t="shared" si="44"/>
        <v>2031</v>
      </c>
      <c r="BT57" s="2">
        <f t="shared" si="44"/>
        <v>2032</v>
      </c>
    </row>
    <row r="58" spans="1:73" x14ac:dyDescent="0.3">
      <c r="A58" s="12">
        <v>43948</v>
      </c>
      <c r="B58" s="13">
        <v>44462.794328221265</v>
      </c>
      <c r="C58" s="13">
        <v>126965.47369100638</v>
      </c>
      <c r="D58" s="13">
        <v>501059.92529400362</v>
      </c>
      <c r="E58" s="13">
        <v>501059.95996876672</v>
      </c>
      <c r="F58" s="13">
        <v>502640.25385875377</v>
      </c>
      <c r="G58" s="13">
        <v>520322.01198803214</v>
      </c>
      <c r="O58" s="11">
        <f t="shared" si="3"/>
        <v>2020</v>
      </c>
      <c r="P58" s="36">
        <f t="shared" si="4"/>
        <v>193200.97334548156</v>
      </c>
      <c r="Q58" s="36">
        <f t="shared" si="45"/>
        <v>41938.202257596451</v>
      </c>
      <c r="R58" s="36">
        <f t="shared" si="46"/>
        <v>739324.11819741083</v>
      </c>
      <c r="S58" s="36">
        <f t="shared" si="47"/>
        <v>185901.18672023946</v>
      </c>
      <c r="T58" s="36">
        <f t="shared" si="48"/>
        <v>552783.58151260833</v>
      </c>
      <c r="U58" s="36">
        <f t="shared" si="49"/>
        <v>540858.38331435947</v>
      </c>
      <c r="AB58" s="2">
        <f t="shared" si="14"/>
        <v>2020</v>
      </c>
      <c r="AC58" s="2">
        <f>P58*VLOOKUP(BO58,Exposure!$B$33:$C$53,2,FALSE)/VLOOKUP(AZ58,Exposure!$B$33:$C$53,2,FALSE)</f>
        <v>274704.64548018499</v>
      </c>
      <c r="AD58" s="2">
        <f>Q58*VLOOKUP(BP58,Exposure!$B$33:$C$53,2,FALSE)/VLOOKUP(BA58,Exposure!$B$33:$C$53,2,FALSE)</f>
        <v>59262.583672022687</v>
      </c>
      <c r="AE58" s="2">
        <f>R58*VLOOKUP(BQ58,Exposure!$B$33:$C$53,2,FALSE)/VLOOKUP(BB58,Exposure!$B$33:$C$53,2,FALSE)</f>
        <v>971566.93728561525</v>
      </c>
      <c r="AF58" s="2">
        <f>S58*VLOOKUP(BR58,Exposure!$B$33:$C$53,2,FALSE)/VLOOKUP(BC58,Exposure!$B$33:$C$53,2,FALSE)</f>
        <v>238945.08217912831</v>
      </c>
      <c r="AG58" s="2">
        <f>T58*VLOOKUP(BS58,Exposure!$B$33:$C$53,2,FALSE)/VLOOKUP(BD58,Exposure!$B$33:$C$53,2,FALSE)</f>
        <v>701385.13013138506</v>
      </c>
      <c r="AH58" s="2">
        <f>U58*VLOOKUP(BT58,Exposure!$B$33:$C$53,2,FALSE)/VLOOKUP(BE58,Exposure!$B$33:$C$53,2,FALSE)</f>
        <v>681825.67994614469</v>
      </c>
      <c r="AZ58" s="2">
        <f t="shared" si="15"/>
        <v>2020</v>
      </c>
      <c r="BA58" s="2">
        <f t="shared" si="43"/>
        <v>2021</v>
      </c>
      <c r="BB58" s="2">
        <f t="shared" si="43"/>
        <v>2022</v>
      </c>
      <c r="BC58" s="2">
        <f t="shared" si="43"/>
        <v>2023</v>
      </c>
      <c r="BD58" s="2">
        <f t="shared" si="43"/>
        <v>2024</v>
      </c>
      <c r="BE58" s="2">
        <f t="shared" si="43"/>
        <v>2025</v>
      </c>
      <c r="BO58" s="2">
        <v>2027</v>
      </c>
      <c r="BP58" s="2">
        <f t="shared" si="44"/>
        <v>2028</v>
      </c>
      <c r="BQ58" s="2">
        <f t="shared" si="44"/>
        <v>2029</v>
      </c>
      <c r="BR58" s="2">
        <f t="shared" si="44"/>
        <v>2030</v>
      </c>
      <c r="BS58" s="2">
        <f t="shared" si="44"/>
        <v>2031</v>
      </c>
      <c r="BT58" s="2">
        <f t="shared" si="44"/>
        <v>2032</v>
      </c>
    </row>
    <row r="59" spans="1:73" x14ac:dyDescent="0.3">
      <c r="A59" s="12">
        <v>44053</v>
      </c>
      <c r="B59" s="13">
        <v>2271.0372253097571</v>
      </c>
      <c r="C59" s="13">
        <v>117094.96522143544</v>
      </c>
      <c r="D59" s="13">
        <v>228295.25640671389</v>
      </c>
      <c r="E59" s="13">
        <v>931955.64447339938</v>
      </c>
      <c r="F59" s="13">
        <v>998252.94064639986</v>
      </c>
      <c r="G59" s="13">
        <v>1022716.2594510441</v>
      </c>
      <c r="O59" s="11">
        <f t="shared" si="3"/>
        <v>2020</v>
      </c>
      <c r="P59" s="36">
        <f t="shared" si="4"/>
        <v>44462.794328221265</v>
      </c>
      <c r="Q59" s="36">
        <f t="shared" si="45"/>
        <v>82502.679362785115</v>
      </c>
      <c r="R59" s="36">
        <f t="shared" si="46"/>
        <v>374094.45160299726</v>
      </c>
      <c r="S59" s="36">
        <f t="shared" si="47"/>
        <v>3.4674763097427785E-2</v>
      </c>
      <c r="T59" s="36">
        <f t="shared" si="48"/>
        <v>1580.2938899870496</v>
      </c>
      <c r="U59" s="36">
        <f t="shared" si="49"/>
        <v>17681.758129278373</v>
      </c>
      <c r="AB59" s="2">
        <f t="shared" si="14"/>
        <v>2020</v>
      </c>
      <c r="AC59" s="2">
        <f>P59*VLOOKUP(BO59,Exposure!$B$33:$C$53,2,FALSE)/VLOOKUP(AZ59,Exposure!$B$33:$C$53,2,FALSE)</f>
        <v>63219.847920492153</v>
      </c>
      <c r="AD59" s="2">
        <f>Q59*VLOOKUP(BP59,Exposure!$B$33:$C$53,2,FALSE)/VLOOKUP(BA59,Exposure!$B$33:$C$53,2,FALSE)</f>
        <v>116583.96582837519</v>
      </c>
      <c r="AE59" s="2">
        <f>R59*VLOOKUP(BQ59,Exposure!$B$33:$C$53,2,FALSE)/VLOOKUP(BB59,Exposure!$B$33:$C$53,2,FALSE)</f>
        <v>491608.20221262833</v>
      </c>
      <c r="AF59" s="2">
        <f>S59*VLOOKUP(BR59,Exposure!$B$33:$C$53,2,FALSE)/VLOOKUP(BC59,Exposure!$B$33:$C$53,2,FALSE)</f>
        <v>4.4568645655421422E-2</v>
      </c>
      <c r="AG59" s="2">
        <f>T59*VLOOKUP(BS59,Exposure!$B$33:$C$53,2,FALSE)/VLOOKUP(BD59,Exposure!$B$33:$C$53,2,FALSE)</f>
        <v>2005.1149721948073</v>
      </c>
      <c r="AH59" s="2">
        <f>U59*VLOOKUP(BT59,Exposure!$B$33:$C$53,2,FALSE)/VLOOKUP(BE59,Exposure!$B$33:$C$53,2,FALSE)</f>
        <v>22290.265124967733</v>
      </c>
      <c r="AZ59" s="2">
        <f t="shared" si="15"/>
        <v>2020</v>
      </c>
      <c r="BA59" s="2">
        <f t="shared" si="43"/>
        <v>2021</v>
      </c>
      <c r="BB59" s="2">
        <f t="shared" si="43"/>
        <v>2022</v>
      </c>
      <c r="BC59" s="2">
        <f t="shared" si="43"/>
        <v>2023</v>
      </c>
      <c r="BD59" s="2">
        <f t="shared" si="43"/>
        <v>2024</v>
      </c>
      <c r="BE59" s="2">
        <f t="shared" si="43"/>
        <v>2025</v>
      </c>
      <c r="BO59" s="2">
        <v>2027</v>
      </c>
      <c r="BP59" s="2">
        <f t="shared" si="44"/>
        <v>2028</v>
      </c>
      <c r="BQ59" s="2">
        <f t="shared" si="44"/>
        <v>2029</v>
      </c>
      <c r="BR59" s="2">
        <f t="shared" si="44"/>
        <v>2030</v>
      </c>
      <c r="BS59" s="2">
        <f t="shared" si="44"/>
        <v>2031</v>
      </c>
      <c r="BT59" s="2">
        <f t="shared" si="44"/>
        <v>2032</v>
      </c>
    </row>
    <row r="60" spans="1:73" x14ac:dyDescent="0.3">
      <c r="A60" s="12">
        <v>44177</v>
      </c>
      <c r="B60" s="13">
        <v>1644.4273447089354</v>
      </c>
      <c r="C60" s="13">
        <v>100206.11520854275</v>
      </c>
      <c r="D60" s="13">
        <v>300629.47882320062</v>
      </c>
      <c r="E60" s="13">
        <v>362837.22427230887</v>
      </c>
      <c r="F60" s="13">
        <v>363112.12081996939</v>
      </c>
      <c r="G60" s="13">
        <v>445566.47306256439</v>
      </c>
      <c r="O60" s="11">
        <f t="shared" si="3"/>
        <v>2020</v>
      </c>
      <c r="P60" s="36">
        <f t="shared" si="4"/>
        <v>2271.0372253097571</v>
      </c>
      <c r="Q60" s="36">
        <f t="shared" si="45"/>
        <v>114823.92799612568</v>
      </c>
      <c r="R60" s="36">
        <f t="shared" si="46"/>
        <v>111200.29118527845</v>
      </c>
      <c r="S60" s="36">
        <f t="shared" si="47"/>
        <v>703660.38806668553</v>
      </c>
      <c r="T60" s="36">
        <f t="shared" si="48"/>
        <v>66297.296173000475</v>
      </c>
      <c r="U60" s="36">
        <f t="shared" si="49"/>
        <v>24463.318804644281</v>
      </c>
      <c r="AB60" s="2">
        <f t="shared" si="14"/>
        <v>2020</v>
      </c>
      <c r="AC60" s="2">
        <f>P60*VLOOKUP(BO60,Exposure!$B$33:$C$53,2,FALSE)/VLOOKUP(AZ60,Exposure!$B$33:$C$53,2,FALSE)</f>
        <v>3229.09592559571</v>
      </c>
      <c r="AD60" s="2">
        <f>Q60*VLOOKUP(BP60,Exposure!$B$33:$C$53,2,FALSE)/VLOOKUP(BA60,Exposure!$B$33:$C$53,2,FALSE)</f>
        <v>162256.89882040975</v>
      </c>
      <c r="AE60" s="2">
        <f>R60*VLOOKUP(BQ60,Exposure!$B$33:$C$53,2,FALSE)/VLOOKUP(BB60,Exposure!$B$33:$C$53,2,FALSE)</f>
        <v>146131.47829610185</v>
      </c>
      <c r="AF60" s="2">
        <f>S60*VLOOKUP(BR60,Exposure!$B$33:$C$53,2,FALSE)/VLOOKUP(BC60,Exposure!$B$33:$C$53,2,FALSE)</f>
        <v>904438.49347673974</v>
      </c>
      <c r="AG60" s="2">
        <f>T60*VLOOKUP(BS60,Exposure!$B$33:$C$53,2,FALSE)/VLOOKUP(BD60,Exposure!$B$33:$C$53,2,FALSE)</f>
        <v>84119.607128017262</v>
      </c>
      <c r="AH60" s="2">
        <f>U60*VLOOKUP(BT60,Exposure!$B$33:$C$53,2,FALSE)/VLOOKUP(BE60,Exposure!$B$33:$C$53,2,FALSE)</f>
        <v>30839.346291543483</v>
      </c>
      <c r="AZ60" s="2">
        <f t="shared" si="15"/>
        <v>2020</v>
      </c>
      <c r="BA60" s="2">
        <f t="shared" si="43"/>
        <v>2021</v>
      </c>
      <c r="BB60" s="2">
        <f t="shared" si="43"/>
        <v>2022</v>
      </c>
      <c r="BC60" s="2">
        <f t="shared" si="43"/>
        <v>2023</v>
      </c>
      <c r="BD60" s="2">
        <f t="shared" si="43"/>
        <v>2024</v>
      </c>
      <c r="BE60" s="2">
        <f t="shared" si="43"/>
        <v>2025</v>
      </c>
      <c r="BO60" s="2">
        <v>2027</v>
      </c>
      <c r="BP60" s="2">
        <f t="shared" si="44"/>
        <v>2028</v>
      </c>
      <c r="BQ60" s="2">
        <f t="shared" si="44"/>
        <v>2029</v>
      </c>
      <c r="BR60" s="2">
        <f t="shared" si="44"/>
        <v>2030</v>
      </c>
      <c r="BS60" s="2">
        <f t="shared" si="44"/>
        <v>2031</v>
      </c>
      <c r="BT60" s="2">
        <f t="shared" si="44"/>
        <v>2032</v>
      </c>
    </row>
    <row r="61" spans="1:73" x14ac:dyDescent="0.3">
      <c r="A61" s="12">
        <v>44301</v>
      </c>
      <c r="B61" s="13">
        <v>160802.58848040542</v>
      </c>
      <c r="C61" s="13">
        <v>738222.49393913627</v>
      </c>
      <c r="D61" s="13">
        <v>742998.52908722335</v>
      </c>
      <c r="E61" s="13">
        <v>2081300.1150860321</v>
      </c>
      <c r="F61" s="13">
        <v>2081364.9489162986</v>
      </c>
      <c r="O61" s="11">
        <f t="shared" si="3"/>
        <v>2020</v>
      </c>
      <c r="P61" s="36">
        <f t="shared" si="4"/>
        <v>1644.4273447089354</v>
      </c>
      <c r="Q61" s="36">
        <f t="shared" si="45"/>
        <v>98561.687863833809</v>
      </c>
      <c r="R61" s="36">
        <f t="shared" si="46"/>
        <v>200423.36361465789</v>
      </c>
      <c r="S61" s="36">
        <f t="shared" si="47"/>
        <v>62207.745449108246</v>
      </c>
      <c r="T61" s="36">
        <f t="shared" si="48"/>
        <v>274.89654766052263</v>
      </c>
      <c r="U61" s="36">
        <f t="shared" si="49"/>
        <v>82454.352242594992</v>
      </c>
      <c r="AB61" s="2">
        <f t="shared" si="14"/>
        <v>2020</v>
      </c>
      <c r="AC61" s="2">
        <f>P61*VLOOKUP(BO61,Exposure!$B$33:$C$53,2,FALSE)/VLOOKUP(AZ61,Exposure!$B$33:$C$53,2,FALSE)</f>
        <v>2338.1446942216185</v>
      </c>
      <c r="AD61" s="2">
        <f>Q61*VLOOKUP(BP61,Exposure!$B$33:$C$53,2,FALSE)/VLOOKUP(BA61,Exposure!$B$33:$C$53,2,FALSE)</f>
        <v>139276.83971785472</v>
      </c>
      <c r="AE61" s="2">
        <f>R61*VLOOKUP(BQ61,Exposure!$B$33:$C$53,2,FALSE)/VLOOKUP(BB61,Exposure!$B$33:$C$53,2,FALSE)</f>
        <v>263382.06580132141</v>
      </c>
      <c r="AF61" s="2">
        <f>S61*VLOOKUP(BR61,Exposure!$B$33:$C$53,2,FALSE)/VLOOKUP(BC61,Exposure!$B$33:$C$53,2,FALSE)</f>
        <v>79957.718994470313</v>
      </c>
      <c r="AG61" s="2">
        <f>T61*VLOOKUP(BS61,Exposure!$B$33:$C$53,2,FALSE)/VLOOKUP(BD61,Exposure!$B$33:$C$53,2,FALSE)</f>
        <v>348.79536459088274</v>
      </c>
      <c r="AH61" s="2">
        <f>U61*VLOOKUP(BT61,Exposure!$B$33:$C$53,2,FALSE)/VLOOKUP(BE61,Exposure!$B$33:$C$53,2,FALSE)</f>
        <v>103944.94477059843</v>
      </c>
      <c r="AZ61" s="2">
        <f t="shared" si="15"/>
        <v>2020</v>
      </c>
      <c r="BA61" s="2">
        <f t="shared" si="43"/>
        <v>2021</v>
      </c>
      <c r="BB61" s="2">
        <f t="shared" si="43"/>
        <v>2022</v>
      </c>
      <c r="BC61" s="2">
        <f t="shared" si="43"/>
        <v>2023</v>
      </c>
      <c r="BD61" s="2">
        <f t="shared" si="43"/>
        <v>2024</v>
      </c>
      <c r="BE61" s="2">
        <f t="shared" si="43"/>
        <v>2025</v>
      </c>
      <c r="BO61" s="2">
        <v>2027</v>
      </c>
      <c r="BP61" s="2">
        <f t="shared" si="44"/>
        <v>2028</v>
      </c>
      <c r="BQ61" s="2">
        <f t="shared" si="44"/>
        <v>2029</v>
      </c>
      <c r="BR61" s="2">
        <f t="shared" si="44"/>
        <v>2030</v>
      </c>
      <c r="BS61" s="2">
        <f t="shared" si="44"/>
        <v>2031</v>
      </c>
      <c r="BT61" s="2">
        <f t="shared" si="44"/>
        <v>2032</v>
      </c>
    </row>
    <row r="62" spans="1:73" x14ac:dyDescent="0.3">
      <c r="A62" s="12">
        <v>44329</v>
      </c>
      <c r="B62" s="13">
        <v>98733.531477778786</v>
      </c>
      <c r="C62" s="13">
        <v>799837.57392960507</v>
      </c>
      <c r="D62" s="13">
        <v>969577.11942881811</v>
      </c>
      <c r="E62" s="13">
        <v>1991763.1855166445</v>
      </c>
      <c r="F62" s="13">
        <v>2034536.7137916298</v>
      </c>
      <c r="O62" s="11">
        <f t="shared" si="3"/>
        <v>2021</v>
      </c>
      <c r="P62" s="36">
        <f t="shared" si="4"/>
        <v>160802.58848040542</v>
      </c>
      <c r="Q62" s="36">
        <f t="shared" ref="Q62:Q71" si="50">C61-B61</f>
        <v>577419.90545873088</v>
      </c>
      <c r="R62" s="36">
        <f t="shared" ref="R62:R71" si="51">D61-C61</f>
        <v>4776.035148087074</v>
      </c>
      <c r="S62" s="36">
        <f t="shared" ref="S62:S71" si="52">E61-D61</f>
        <v>1338301.5859988087</v>
      </c>
      <c r="T62" s="36">
        <f t="shared" ref="T62:T71" si="53">F61-E61</f>
        <v>64.833830266492441</v>
      </c>
      <c r="AB62" s="2">
        <f t="shared" si="14"/>
        <v>2021</v>
      </c>
      <c r="AC62" s="2">
        <f>P62*VLOOKUP(BO62,Exposure!$B$33:$C$53,2,FALSE)/VLOOKUP(AZ62,Exposure!$B$33:$C$53,2,FALSE)</f>
        <v>219970.01556534591</v>
      </c>
      <c r="AD62" s="2">
        <f>Q62*VLOOKUP(BP62,Exposure!$B$33:$C$53,2,FALSE)/VLOOKUP(BA62,Exposure!$B$33:$C$53,2,FALSE)</f>
        <v>734563.39562189893</v>
      </c>
      <c r="AE62" s="2">
        <f>R62*VLOOKUP(BQ62,Exposure!$B$33:$C$53,2,FALSE)/VLOOKUP(BB62,Exposure!$B$33:$C$53,2,FALSE)</f>
        <v>5942.6907007559876</v>
      </c>
      <c r="AF62" s="2">
        <f>S62*VLOOKUP(BR62,Exposure!$B$33:$C$53,2,FALSE)/VLOOKUP(BC62,Exposure!$B$33:$C$53,2,FALSE)</f>
        <v>1643823.1412943895</v>
      </c>
      <c r="AG62" s="2">
        <f>T62*VLOOKUP(BS62,Exposure!$B$33:$C$53,2,FALSE)/VLOOKUP(BD62,Exposure!$B$33:$C$53,2,FALSE)</f>
        <v>79.120886892218635</v>
      </c>
      <c r="AZ62" s="2">
        <f t="shared" si="15"/>
        <v>2021</v>
      </c>
      <c r="BA62" s="2">
        <f t="shared" si="43"/>
        <v>2022</v>
      </c>
      <c r="BB62" s="2">
        <f t="shared" si="43"/>
        <v>2023</v>
      </c>
      <c r="BC62" s="2">
        <f t="shared" si="43"/>
        <v>2024</v>
      </c>
      <c r="BD62" s="2">
        <f t="shared" si="43"/>
        <v>2025</v>
      </c>
      <c r="BO62" s="2">
        <v>2027</v>
      </c>
      <c r="BP62" s="2">
        <f t="shared" si="44"/>
        <v>2028</v>
      </c>
      <c r="BQ62" s="2">
        <f t="shared" si="44"/>
        <v>2029</v>
      </c>
      <c r="BR62" s="2">
        <f t="shared" si="44"/>
        <v>2030</v>
      </c>
      <c r="BS62" s="2">
        <f t="shared" si="44"/>
        <v>2031</v>
      </c>
    </row>
    <row r="63" spans="1:73" x14ac:dyDescent="0.3">
      <c r="A63" s="12">
        <v>44339</v>
      </c>
      <c r="B63" s="13">
        <v>56044.452833454052</v>
      </c>
      <c r="C63" s="13">
        <v>85775.443500298381</v>
      </c>
      <c r="D63" s="13">
        <v>748342.91402959859</v>
      </c>
      <c r="E63" s="13">
        <v>1168900.4782129566</v>
      </c>
      <c r="F63" s="13">
        <v>1356427.4040552194</v>
      </c>
      <c r="O63" s="11">
        <f t="shared" si="3"/>
        <v>2021</v>
      </c>
      <c r="P63" s="36">
        <f t="shared" si="4"/>
        <v>98733.531477778786</v>
      </c>
      <c r="Q63" s="36">
        <f t="shared" si="50"/>
        <v>701104.04245182627</v>
      </c>
      <c r="R63" s="36">
        <f t="shared" si="51"/>
        <v>169739.54549921304</v>
      </c>
      <c r="S63" s="36">
        <f t="shared" si="52"/>
        <v>1022186.0660878264</v>
      </c>
      <c r="T63" s="36">
        <f t="shared" si="53"/>
        <v>42773.528274985263</v>
      </c>
      <c r="AB63" s="2">
        <f t="shared" si="14"/>
        <v>2021</v>
      </c>
      <c r="AC63" s="2">
        <f>P63*VLOOKUP(BO63,Exposure!$B$33:$C$53,2,FALSE)/VLOOKUP(AZ63,Exposure!$B$33:$C$53,2,FALSE)</f>
        <v>135062.60478285188</v>
      </c>
      <c r="AD63" s="2">
        <f>Q63*VLOOKUP(BP63,Exposure!$B$33:$C$53,2,FALSE)/VLOOKUP(BA63,Exposure!$B$33:$C$53,2,FALSE)</f>
        <v>891907.88408741774</v>
      </c>
      <c r="AE63" s="2">
        <f>R63*VLOOKUP(BQ63,Exposure!$B$33:$C$53,2,FALSE)/VLOOKUP(BB63,Exposure!$B$33:$C$53,2,FALSE)</f>
        <v>211202.30218421563</v>
      </c>
      <c r="AF63" s="2">
        <f>S63*VLOOKUP(BR63,Exposure!$B$33:$C$53,2,FALSE)/VLOOKUP(BC63,Exposure!$B$33:$C$53,2,FALSE)</f>
        <v>1255541.4472514426</v>
      </c>
      <c r="AG63" s="2">
        <f>T63*VLOOKUP(BS63,Exposure!$B$33:$C$53,2,FALSE)/VLOOKUP(BD63,Exposure!$B$33:$C$53,2,FALSE)</f>
        <v>52199.283594930457</v>
      </c>
      <c r="AZ63" s="2">
        <f t="shared" si="15"/>
        <v>2021</v>
      </c>
      <c r="BA63" s="2">
        <f t="shared" si="43"/>
        <v>2022</v>
      </c>
      <c r="BB63" s="2">
        <f t="shared" si="43"/>
        <v>2023</v>
      </c>
      <c r="BC63" s="2">
        <f t="shared" si="43"/>
        <v>2024</v>
      </c>
      <c r="BD63" s="2">
        <f t="shared" si="43"/>
        <v>2025</v>
      </c>
      <c r="BO63" s="2">
        <v>2027</v>
      </c>
      <c r="BP63" s="2">
        <f t="shared" si="44"/>
        <v>2028</v>
      </c>
      <c r="BQ63" s="2">
        <f t="shared" si="44"/>
        <v>2029</v>
      </c>
      <c r="BR63" s="2">
        <f t="shared" si="44"/>
        <v>2030</v>
      </c>
      <c r="BS63" s="2">
        <f t="shared" si="44"/>
        <v>2031</v>
      </c>
    </row>
    <row r="64" spans="1:73" x14ac:dyDescent="0.3">
      <c r="A64" s="12">
        <v>44367</v>
      </c>
      <c r="B64" s="13">
        <v>120770.21471675402</v>
      </c>
      <c r="C64" s="13">
        <v>133275.5239938559</v>
      </c>
      <c r="D64" s="13">
        <v>243116.22838656488</v>
      </c>
      <c r="E64" s="13">
        <v>457636.68604690558</v>
      </c>
      <c r="F64" s="13">
        <v>554468.90148505464</v>
      </c>
      <c r="O64" s="11">
        <f t="shared" si="3"/>
        <v>2021</v>
      </c>
      <c r="P64" s="36">
        <f t="shared" si="4"/>
        <v>56044.452833454052</v>
      </c>
      <c r="Q64" s="36">
        <f t="shared" si="50"/>
        <v>29730.990666844329</v>
      </c>
      <c r="R64" s="36">
        <f t="shared" si="51"/>
        <v>662567.47052930016</v>
      </c>
      <c r="S64" s="36">
        <f t="shared" si="52"/>
        <v>420557.56418335799</v>
      </c>
      <c r="T64" s="36">
        <f t="shared" si="53"/>
        <v>187526.9258422628</v>
      </c>
      <c r="AB64" s="2">
        <f t="shared" si="14"/>
        <v>2021</v>
      </c>
      <c r="AC64" s="2">
        <f>P64*VLOOKUP(BO64,Exposure!$B$33:$C$53,2,FALSE)/VLOOKUP(AZ64,Exposure!$B$33:$C$53,2,FALSE)</f>
        <v>76666.049213681792</v>
      </c>
      <c r="AD64" s="2">
        <f>Q64*VLOOKUP(BP64,Exposure!$B$33:$C$53,2,FALSE)/VLOOKUP(BA64,Exposure!$B$33:$C$53,2,FALSE)</f>
        <v>37822.210929998924</v>
      </c>
      <c r="AE64" s="2">
        <f>R64*VLOOKUP(BQ64,Exposure!$B$33:$C$53,2,FALSE)/VLOOKUP(BB64,Exposure!$B$33:$C$53,2,FALSE)</f>
        <v>824414.69203067606</v>
      </c>
      <c r="AF64" s="2">
        <f>S64*VLOOKUP(BR64,Exposure!$B$33:$C$53,2,FALSE)/VLOOKUP(BC64,Exposure!$B$33:$C$53,2,FALSE)</f>
        <v>516566.86615599639</v>
      </c>
      <c r="AG64" s="2">
        <f>T64*VLOOKUP(BS64,Exposure!$B$33:$C$53,2,FALSE)/VLOOKUP(BD64,Exposure!$B$33:$C$53,2,FALSE)</f>
        <v>228851.15113242646</v>
      </c>
      <c r="AZ64" s="2">
        <f t="shared" si="15"/>
        <v>2021</v>
      </c>
      <c r="BA64" s="2">
        <f t="shared" si="43"/>
        <v>2022</v>
      </c>
      <c r="BB64" s="2">
        <f t="shared" si="43"/>
        <v>2023</v>
      </c>
      <c r="BC64" s="2">
        <f t="shared" si="43"/>
        <v>2024</v>
      </c>
      <c r="BD64" s="2">
        <f t="shared" si="43"/>
        <v>2025</v>
      </c>
      <c r="BO64" s="2">
        <v>2027</v>
      </c>
      <c r="BP64" s="2">
        <f t="shared" si="44"/>
        <v>2028</v>
      </c>
      <c r="BQ64" s="2">
        <f t="shared" si="44"/>
        <v>2029</v>
      </c>
      <c r="BR64" s="2">
        <f t="shared" si="44"/>
        <v>2030</v>
      </c>
      <c r="BS64" s="2">
        <f t="shared" si="44"/>
        <v>2031</v>
      </c>
    </row>
    <row r="65" spans="1:71" x14ac:dyDescent="0.3">
      <c r="A65" s="12">
        <v>44406</v>
      </c>
      <c r="B65" s="13">
        <v>251519.75498556026</v>
      </c>
      <c r="C65" s="13">
        <v>253714.44033642684</v>
      </c>
      <c r="D65" s="13">
        <v>2629133.0320917452</v>
      </c>
      <c r="E65" s="13">
        <v>2671328.9299119487</v>
      </c>
      <c r="F65" s="13">
        <v>2949297.4251101492</v>
      </c>
      <c r="O65" s="11">
        <f t="shared" si="3"/>
        <v>2021</v>
      </c>
      <c r="P65" s="36">
        <f t="shared" si="4"/>
        <v>120770.21471675402</v>
      </c>
      <c r="Q65" s="36">
        <f t="shared" si="50"/>
        <v>12505.309277101871</v>
      </c>
      <c r="R65" s="36">
        <f t="shared" si="51"/>
        <v>109840.70439270898</v>
      </c>
      <c r="S65" s="36">
        <f t="shared" si="52"/>
        <v>214520.4576603407</v>
      </c>
      <c r="T65" s="36">
        <f t="shared" si="53"/>
        <v>96832.215438149055</v>
      </c>
      <c r="AB65" s="2">
        <f t="shared" si="14"/>
        <v>2021</v>
      </c>
      <c r="AC65" s="2">
        <f>P65*VLOOKUP(BO65,Exposure!$B$33:$C$53,2,FALSE)/VLOOKUP(AZ65,Exposure!$B$33:$C$53,2,FALSE)</f>
        <v>165207.70133194546</v>
      </c>
      <c r="AD65" s="2">
        <f>Q65*VLOOKUP(BP65,Exposure!$B$33:$C$53,2,FALSE)/VLOOKUP(BA65,Exposure!$B$33:$C$53,2,FALSE)</f>
        <v>15908.600238836967</v>
      </c>
      <c r="AE65" s="2">
        <f>R65*VLOOKUP(BQ65,Exposure!$B$33:$C$53,2,FALSE)/VLOOKUP(BB65,Exposure!$B$33:$C$53,2,FALSE)</f>
        <v>136671.80251394969</v>
      </c>
      <c r="AF65" s="2">
        <f>S65*VLOOKUP(BR65,Exposure!$B$33:$C$53,2,FALSE)/VLOOKUP(BC65,Exposure!$B$33:$C$53,2,FALSE)</f>
        <v>263493.44293719251</v>
      </c>
      <c r="AG65" s="2">
        <f>T65*VLOOKUP(BS65,Exposure!$B$33:$C$53,2,FALSE)/VLOOKUP(BD65,Exposure!$B$33:$C$53,2,FALSE)</f>
        <v>118170.57134698311</v>
      </c>
      <c r="AZ65" s="2">
        <f t="shared" si="15"/>
        <v>2021</v>
      </c>
      <c r="BA65" s="2">
        <f t="shared" si="43"/>
        <v>2022</v>
      </c>
      <c r="BB65" s="2">
        <f t="shared" si="43"/>
        <v>2023</v>
      </c>
      <c r="BC65" s="2">
        <f t="shared" si="43"/>
        <v>2024</v>
      </c>
      <c r="BD65" s="2">
        <f t="shared" si="43"/>
        <v>2025</v>
      </c>
      <c r="BO65" s="2">
        <v>2027</v>
      </c>
      <c r="BP65" s="2">
        <f t="shared" si="44"/>
        <v>2028</v>
      </c>
      <c r="BQ65" s="2">
        <f t="shared" si="44"/>
        <v>2029</v>
      </c>
      <c r="BR65" s="2">
        <f t="shared" si="44"/>
        <v>2030</v>
      </c>
      <c r="BS65" s="2">
        <f t="shared" si="44"/>
        <v>2031</v>
      </c>
    </row>
    <row r="66" spans="1:71" x14ac:dyDescent="0.3">
      <c r="A66" s="12">
        <v>44410</v>
      </c>
      <c r="B66" s="13">
        <v>693848.47566113365</v>
      </c>
      <c r="C66" s="13">
        <v>801966.87752485578</v>
      </c>
      <c r="D66" s="13">
        <v>835705.57165827823</v>
      </c>
      <c r="E66" s="13">
        <v>896267.045941449</v>
      </c>
      <c r="F66" s="13">
        <v>898039.82935562637</v>
      </c>
      <c r="O66" s="11">
        <f t="shared" si="3"/>
        <v>2021</v>
      </c>
      <c r="P66" s="36">
        <f t="shared" si="4"/>
        <v>251519.75498556026</v>
      </c>
      <c r="Q66" s="36">
        <f t="shared" si="50"/>
        <v>2194.6853508665808</v>
      </c>
      <c r="R66" s="36">
        <f t="shared" si="51"/>
        <v>2375418.5917553185</v>
      </c>
      <c r="S66" s="36">
        <f t="shared" si="52"/>
        <v>42195.897820203565</v>
      </c>
      <c r="T66" s="36">
        <f t="shared" si="53"/>
        <v>277968.49519820046</v>
      </c>
      <c r="AB66" s="2">
        <f t="shared" si="14"/>
        <v>2021</v>
      </c>
      <c r="AC66" s="2">
        <f>P66*VLOOKUP(BO66,Exposure!$B$33:$C$53,2,FALSE)/VLOOKUP(AZ66,Exposure!$B$33:$C$53,2,FALSE)</f>
        <v>344066.62816816237</v>
      </c>
      <c r="AD66" s="2">
        <f>Q66*VLOOKUP(BP66,Exposure!$B$33:$C$53,2,FALSE)/VLOOKUP(BA66,Exposure!$B$33:$C$53,2,FALSE)</f>
        <v>2791.963886962702</v>
      </c>
      <c r="AE66" s="2">
        <f>R66*VLOOKUP(BQ66,Exposure!$B$33:$C$53,2,FALSE)/VLOOKUP(BB66,Exposure!$B$33:$C$53,2,FALSE)</f>
        <v>2955668.7792134844</v>
      </c>
      <c r="AF66" s="2">
        <f>S66*VLOOKUP(BR66,Exposure!$B$33:$C$53,2,FALSE)/VLOOKUP(BC66,Exposure!$B$33:$C$53,2,FALSE)</f>
        <v>51828.820969958746</v>
      </c>
      <c r="AG66" s="2">
        <f>T66*VLOOKUP(BS66,Exposure!$B$33:$C$53,2,FALSE)/VLOOKUP(BD66,Exposure!$B$33:$C$53,2,FALSE)</f>
        <v>339222.80663932272</v>
      </c>
      <c r="AZ66" s="2">
        <f t="shared" si="15"/>
        <v>2021</v>
      </c>
      <c r="BA66" s="2">
        <f t="shared" si="43"/>
        <v>2022</v>
      </c>
      <c r="BB66" s="2">
        <f t="shared" si="43"/>
        <v>2023</v>
      </c>
      <c r="BC66" s="2">
        <f t="shared" si="43"/>
        <v>2024</v>
      </c>
      <c r="BD66" s="2">
        <f t="shared" si="43"/>
        <v>2025</v>
      </c>
      <c r="BO66" s="2">
        <v>2027</v>
      </c>
      <c r="BP66" s="2">
        <f t="shared" si="44"/>
        <v>2028</v>
      </c>
      <c r="BQ66" s="2">
        <f t="shared" si="44"/>
        <v>2029</v>
      </c>
      <c r="BR66" s="2">
        <f t="shared" si="44"/>
        <v>2030</v>
      </c>
      <c r="BS66" s="2">
        <f t="shared" si="44"/>
        <v>2031</v>
      </c>
    </row>
    <row r="67" spans="1:71" x14ac:dyDescent="0.3">
      <c r="A67" s="12">
        <v>44411</v>
      </c>
      <c r="B67" s="13">
        <v>38582.210560621119</v>
      </c>
      <c r="C67" s="13">
        <v>708216.1166689496</v>
      </c>
      <c r="D67" s="13">
        <v>928800.73175943061</v>
      </c>
      <c r="E67" s="13">
        <v>1366169.9539072465</v>
      </c>
      <c r="F67" s="13">
        <v>1375871.5882014963</v>
      </c>
      <c r="O67" s="11">
        <f t="shared" ref="O67:O107" si="54">YEAR($A66)</f>
        <v>2021</v>
      </c>
      <c r="P67" s="36">
        <f t="shared" ref="P67:P115" si="55">$B66</f>
        <v>693848.47566113365</v>
      </c>
      <c r="Q67" s="36">
        <f t="shared" si="50"/>
        <v>108118.40186372213</v>
      </c>
      <c r="R67" s="36">
        <f t="shared" si="51"/>
        <v>33738.694133422454</v>
      </c>
      <c r="S67" s="36">
        <f t="shared" si="52"/>
        <v>60561.47428317077</v>
      </c>
      <c r="T67" s="36">
        <f t="shared" si="53"/>
        <v>1772.7834141773637</v>
      </c>
      <c r="AB67" s="2">
        <f t="shared" ref="AB67:AB115" si="56">$O67</f>
        <v>2021</v>
      </c>
      <c r="AC67" s="2">
        <f>P67*VLOOKUP(BO67,Exposure!$B$33:$C$53,2,FALSE)/VLOOKUP(AZ67,Exposure!$B$33:$C$53,2,FALSE)</f>
        <v>949150.51700034866</v>
      </c>
      <c r="AD67" s="2">
        <f>Q67*VLOOKUP(BP67,Exposure!$B$33:$C$53,2,FALSE)/VLOOKUP(BA67,Exposure!$B$33:$C$53,2,FALSE)</f>
        <v>137542.57456561658</v>
      </c>
      <c r="AE67" s="2">
        <f>R67*VLOOKUP(BQ67,Exposure!$B$33:$C$53,2,FALSE)/VLOOKUP(BB67,Exposure!$B$33:$C$53,2,FALSE)</f>
        <v>41980.13994152558</v>
      </c>
      <c r="AF67" s="2">
        <f>S67*VLOOKUP(BR67,Exposure!$B$33:$C$53,2,FALSE)/VLOOKUP(BC67,Exposure!$B$33:$C$53,2,FALSE)</f>
        <v>74387.08430079509</v>
      </c>
      <c r="AG67" s="2">
        <f>T67*VLOOKUP(BS67,Exposure!$B$33:$C$53,2,FALSE)/VLOOKUP(BD67,Exposure!$B$33:$C$53,2,FALSE)</f>
        <v>2163.4414536513973</v>
      </c>
      <c r="AZ67" s="2">
        <f t="shared" ref="AZ67:AZ115" si="57">$O67</f>
        <v>2021</v>
      </c>
      <c r="BA67" s="2">
        <f t="shared" ref="BA67:BD82" si="58">$AZ67+BA$1-1</f>
        <v>2022</v>
      </c>
      <c r="BB67" s="2">
        <f t="shared" si="58"/>
        <v>2023</v>
      </c>
      <c r="BC67" s="2">
        <f t="shared" si="58"/>
        <v>2024</v>
      </c>
      <c r="BD67" s="2">
        <f t="shared" si="58"/>
        <v>2025</v>
      </c>
      <c r="BO67" s="2">
        <v>2027</v>
      </c>
      <c r="BP67" s="2">
        <f t="shared" ref="BP67:BS82" si="59">$BO67+BP$1-1</f>
        <v>2028</v>
      </c>
      <c r="BQ67" s="2">
        <f t="shared" si="59"/>
        <v>2029</v>
      </c>
      <c r="BR67" s="2">
        <f t="shared" si="59"/>
        <v>2030</v>
      </c>
      <c r="BS67" s="2">
        <f t="shared" si="59"/>
        <v>2031</v>
      </c>
    </row>
    <row r="68" spans="1:71" x14ac:dyDescent="0.3">
      <c r="A68" s="12">
        <v>44478</v>
      </c>
      <c r="B68" s="13">
        <v>201132.75930018217</v>
      </c>
      <c r="C68" s="13">
        <v>845591.955213579</v>
      </c>
      <c r="D68" s="13">
        <v>1431783.8888967538</v>
      </c>
      <c r="E68" s="13">
        <v>1432882.64887585</v>
      </c>
      <c r="F68" s="13">
        <v>2325659.7201114376</v>
      </c>
      <c r="O68" s="11">
        <f t="shared" si="54"/>
        <v>2021</v>
      </c>
      <c r="P68" s="36">
        <f t="shared" si="55"/>
        <v>38582.210560621119</v>
      </c>
      <c r="Q68" s="36">
        <f t="shared" si="50"/>
        <v>669633.90610832849</v>
      </c>
      <c r="R68" s="36">
        <f t="shared" si="51"/>
        <v>220584.61509048101</v>
      </c>
      <c r="S68" s="36">
        <f t="shared" si="52"/>
        <v>437369.22214781586</v>
      </c>
      <c r="T68" s="36">
        <f t="shared" si="53"/>
        <v>9701.6342942498159</v>
      </c>
      <c r="AB68" s="2">
        <f t="shared" si="56"/>
        <v>2021</v>
      </c>
      <c r="AC68" s="2">
        <f>P68*VLOOKUP(BO68,Exposure!$B$33:$C$53,2,FALSE)/VLOOKUP(AZ68,Exposure!$B$33:$C$53,2,FALSE)</f>
        <v>52778.56244583684</v>
      </c>
      <c r="AD68" s="2">
        <f>Q68*VLOOKUP(BP68,Exposure!$B$33:$C$53,2,FALSE)/VLOOKUP(BA68,Exposure!$B$33:$C$53,2,FALSE)</f>
        <v>851873.22301213199</v>
      </c>
      <c r="AE68" s="2">
        <f>R68*VLOOKUP(BQ68,Exposure!$B$33:$C$53,2,FALSE)/VLOOKUP(BB68,Exposure!$B$33:$C$53,2,FALSE)</f>
        <v>274467.44008009997</v>
      </c>
      <c r="AF68" s="2">
        <f>S68*VLOOKUP(BR68,Exposure!$B$33:$C$53,2,FALSE)/VLOOKUP(BC68,Exposure!$B$33:$C$53,2,FALSE)</f>
        <v>537216.46613751096</v>
      </c>
      <c r="AG68" s="2">
        <f>T68*VLOOKUP(BS68,Exposure!$B$33:$C$53,2,FALSE)/VLOOKUP(BD68,Exposure!$B$33:$C$53,2,FALSE)</f>
        <v>11839.527396574666</v>
      </c>
      <c r="AZ68" s="2">
        <f t="shared" si="57"/>
        <v>2021</v>
      </c>
      <c r="BA68" s="2">
        <f t="shared" si="58"/>
        <v>2022</v>
      </c>
      <c r="BB68" s="2">
        <f t="shared" si="58"/>
        <v>2023</v>
      </c>
      <c r="BC68" s="2">
        <f t="shared" si="58"/>
        <v>2024</v>
      </c>
      <c r="BD68" s="2">
        <f t="shared" si="58"/>
        <v>2025</v>
      </c>
      <c r="BO68" s="2">
        <v>2027</v>
      </c>
      <c r="BP68" s="2">
        <f t="shared" si="59"/>
        <v>2028</v>
      </c>
      <c r="BQ68" s="2">
        <f t="shared" si="59"/>
        <v>2029</v>
      </c>
      <c r="BR68" s="2">
        <f t="shared" si="59"/>
        <v>2030</v>
      </c>
      <c r="BS68" s="2">
        <f t="shared" si="59"/>
        <v>2031</v>
      </c>
    </row>
    <row r="69" spans="1:71" x14ac:dyDescent="0.3">
      <c r="A69" s="12">
        <v>44481</v>
      </c>
      <c r="B69" s="13">
        <v>150691.50046643513</v>
      </c>
      <c r="C69" s="13">
        <v>250520.12601988326</v>
      </c>
      <c r="D69" s="13">
        <v>250532.61726043379</v>
      </c>
      <c r="E69" s="13">
        <v>1116639.0252137845</v>
      </c>
      <c r="F69" s="13">
        <v>1134822.603578046</v>
      </c>
      <c r="O69" s="11">
        <f t="shared" si="54"/>
        <v>2021</v>
      </c>
      <c r="P69" s="36">
        <f t="shared" si="55"/>
        <v>201132.75930018217</v>
      </c>
      <c r="Q69" s="36">
        <f t="shared" si="50"/>
        <v>644459.19591339678</v>
      </c>
      <c r="R69" s="36">
        <f t="shared" si="51"/>
        <v>586191.93368317478</v>
      </c>
      <c r="S69" s="36">
        <f t="shared" si="52"/>
        <v>1098.7599790962413</v>
      </c>
      <c r="T69" s="36">
        <f t="shared" si="53"/>
        <v>892777.07123558759</v>
      </c>
      <c r="AB69" s="2">
        <f t="shared" si="56"/>
        <v>2021</v>
      </c>
      <c r="AC69" s="2">
        <f>P69*VLOOKUP(BO69,Exposure!$B$33:$C$53,2,FALSE)/VLOOKUP(AZ69,Exposure!$B$33:$C$53,2,FALSE)</f>
        <v>275139.70149400481</v>
      </c>
      <c r="AD69" s="2">
        <f>Q69*VLOOKUP(BP69,Exposure!$B$33:$C$53,2,FALSE)/VLOOKUP(BA69,Exposure!$B$33:$C$53,2,FALSE)</f>
        <v>819847.27373368619</v>
      </c>
      <c r="AE69" s="2">
        <f>R69*VLOOKUP(BQ69,Exposure!$B$33:$C$53,2,FALSE)/VLOOKUP(BB69,Exposure!$B$33:$C$53,2,FALSE)</f>
        <v>729382.68776192493</v>
      </c>
      <c r="AF69" s="2">
        <f>S69*VLOOKUP(BR69,Exposure!$B$33:$C$53,2,FALSE)/VLOOKUP(BC69,Exposure!$B$33:$C$53,2,FALSE)</f>
        <v>1349.5964581246105</v>
      </c>
      <c r="AG69" s="2">
        <f>T69*VLOOKUP(BS69,Exposure!$B$33:$C$53,2,FALSE)/VLOOKUP(BD69,Exposure!$B$33:$C$53,2,FALSE)</f>
        <v>1089513.1967809107</v>
      </c>
      <c r="AZ69" s="2">
        <f t="shared" si="57"/>
        <v>2021</v>
      </c>
      <c r="BA69" s="2">
        <f t="shared" si="58"/>
        <v>2022</v>
      </c>
      <c r="BB69" s="2">
        <f t="shared" si="58"/>
        <v>2023</v>
      </c>
      <c r="BC69" s="2">
        <f t="shared" si="58"/>
        <v>2024</v>
      </c>
      <c r="BD69" s="2">
        <f t="shared" si="58"/>
        <v>2025</v>
      </c>
      <c r="BO69" s="2">
        <v>2027</v>
      </c>
      <c r="BP69" s="2">
        <f t="shared" si="59"/>
        <v>2028</v>
      </c>
      <c r="BQ69" s="2">
        <f t="shared" si="59"/>
        <v>2029</v>
      </c>
      <c r="BR69" s="2">
        <f t="shared" si="59"/>
        <v>2030</v>
      </c>
      <c r="BS69" s="2">
        <f t="shared" si="59"/>
        <v>2031</v>
      </c>
    </row>
    <row r="70" spans="1:71" x14ac:dyDescent="0.3">
      <c r="A70" s="12">
        <v>44512</v>
      </c>
      <c r="B70" s="13">
        <v>466504.37434433657</v>
      </c>
      <c r="C70" s="13">
        <v>554855.28835857403</v>
      </c>
      <c r="D70" s="13">
        <v>988643.85525533173</v>
      </c>
      <c r="E70" s="13">
        <v>1895529.9988068014</v>
      </c>
      <c r="F70" s="13">
        <v>2006646.443051398</v>
      </c>
      <c r="O70" s="11">
        <f t="shared" si="54"/>
        <v>2021</v>
      </c>
      <c r="P70" s="36">
        <f t="shared" si="55"/>
        <v>150691.50046643513</v>
      </c>
      <c r="Q70" s="36">
        <f t="shared" si="50"/>
        <v>99828.625553448132</v>
      </c>
      <c r="R70" s="36">
        <f t="shared" si="51"/>
        <v>12.491240550531074</v>
      </c>
      <c r="S70" s="36">
        <f t="shared" si="52"/>
        <v>866106.4079533508</v>
      </c>
      <c r="T70" s="36">
        <f t="shared" si="53"/>
        <v>18183.578364261426</v>
      </c>
      <c r="AB70" s="2">
        <f t="shared" si="56"/>
        <v>2021</v>
      </c>
      <c r="AC70" s="2">
        <f>P70*VLOOKUP(BO70,Exposure!$B$33:$C$53,2,FALSE)/VLOOKUP(AZ70,Exposure!$B$33:$C$53,2,FALSE)</f>
        <v>206138.5455073459</v>
      </c>
      <c r="AD70" s="2">
        <f>Q70*VLOOKUP(BP70,Exposure!$B$33:$C$53,2,FALSE)/VLOOKUP(BA70,Exposure!$B$33:$C$53,2,FALSE)</f>
        <v>126996.75482879413</v>
      </c>
      <c r="AE70" s="2">
        <f>R70*VLOOKUP(BQ70,Exposure!$B$33:$C$53,2,FALSE)/VLOOKUP(BB70,Exposure!$B$33:$C$53,2,FALSE)</f>
        <v>15.542511049207583</v>
      </c>
      <c r="AF70" s="2">
        <f>S70*VLOOKUP(BR70,Exposure!$B$33:$C$53,2,FALSE)/VLOOKUP(BC70,Exposure!$B$33:$C$53,2,FALSE)</f>
        <v>1063830.2839299962</v>
      </c>
      <c r="AG70" s="2">
        <f>T70*VLOOKUP(BS70,Exposure!$B$33:$C$53,2,FALSE)/VLOOKUP(BD70,Exposure!$B$33:$C$53,2,FALSE)</f>
        <v>22190.588480441435</v>
      </c>
      <c r="AZ70" s="2">
        <f t="shared" si="57"/>
        <v>2021</v>
      </c>
      <c r="BA70" s="2">
        <f t="shared" si="58"/>
        <v>2022</v>
      </c>
      <c r="BB70" s="2">
        <f t="shared" si="58"/>
        <v>2023</v>
      </c>
      <c r="BC70" s="2">
        <f t="shared" si="58"/>
        <v>2024</v>
      </c>
      <c r="BD70" s="2">
        <f t="shared" si="58"/>
        <v>2025</v>
      </c>
      <c r="BO70" s="2">
        <v>2027</v>
      </c>
      <c r="BP70" s="2">
        <f t="shared" si="59"/>
        <v>2028</v>
      </c>
      <c r="BQ70" s="2">
        <f t="shared" si="59"/>
        <v>2029</v>
      </c>
      <c r="BR70" s="2">
        <f t="shared" si="59"/>
        <v>2030</v>
      </c>
      <c r="BS70" s="2">
        <f t="shared" si="59"/>
        <v>2031</v>
      </c>
    </row>
    <row r="71" spans="1:71" x14ac:dyDescent="0.3">
      <c r="A71" s="12">
        <v>44566</v>
      </c>
      <c r="B71" s="13">
        <v>109113.06989221585</v>
      </c>
      <c r="C71" s="13">
        <v>5514399.2638823483</v>
      </c>
      <c r="D71" s="13">
        <v>6628607.6950549837</v>
      </c>
      <c r="E71" s="13">
        <v>11037700.044585768</v>
      </c>
      <c r="O71" s="11">
        <f t="shared" si="54"/>
        <v>2021</v>
      </c>
      <c r="P71" s="36">
        <f t="shared" si="55"/>
        <v>466504.37434433657</v>
      </c>
      <c r="Q71" s="36">
        <f t="shared" si="50"/>
        <v>88350.914014237467</v>
      </c>
      <c r="R71" s="36">
        <f t="shared" si="51"/>
        <v>433788.56689675769</v>
      </c>
      <c r="S71" s="36">
        <f t="shared" si="52"/>
        <v>906886.14355146966</v>
      </c>
      <c r="T71" s="36">
        <f t="shared" si="53"/>
        <v>111116.44424459664</v>
      </c>
      <c r="AB71" s="2">
        <f t="shared" si="56"/>
        <v>2021</v>
      </c>
      <c r="AC71" s="2">
        <f>P71*VLOOKUP(BO71,Exposure!$B$33:$C$53,2,FALSE)/VLOOKUP(AZ71,Exposure!$B$33:$C$53,2,FALSE)</f>
        <v>638154.99150581181</v>
      </c>
      <c r="AD71" s="2">
        <f>Q71*VLOOKUP(BP71,Exposure!$B$33:$C$53,2,FALSE)/VLOOKUP(BA71,Exposure!$B$33:$C$53,2,FALSE)</f>
        <v>112395.41067264981</v>
      </c>
      <c r="AE71" s="2">
        <f>R71*VLOOKUP(BQ71,Exposure!$B$33:$C$53,2,FALSE)/VLOOKUP(BB71,Exposure!$B$33:$C$53,2,FALSE)</f>
        <v>539751.32147512212</v>
      </c>
      <c r="AF71" s="2">
        <f>S71*VLOOKUP(BR71,Exposure!$B$33:$C$53,2,FALSE)/VLOOKUP(BC71,Exposure!$B$33:$C$53,2,FALSE)</f>
        <v>1113919.6462780389</v>
      </c>
      <c r="AG71" s="2">
        <f>T71*VLOOKUP(BS71,Exposure!$B$33:$C$53,2,FALSE)/VLOOKUP(BD71,Exposure!$B$33:$C$53,2,FALSE)</f>
        <v>135602.53313440221</v>
      </c>
      <c r="AZ71" s="2">
        <f t="shared" si="57"/>
        <v>2021</v>
      </c>
      <c r="BA71" s="2">
        <f t="shared" si="58"/>
        <v>2022</v>
      </c>
      <c r="BB71" s="2">
        <f t="shared" si="58"/>
        <v>2023</v>
      </c>
      <c r="BC71" s="2">
        <f t="shared" si="58"/>
        <v>2024</v>
      </c>
      <c r="BD71" s="2">
        <f t="shared" si="58"/>
        <v>2025</v>
      </c>
      <c r="BO71" s="2">
        <v>2027</v>
      </c>
      <c r="BP71" s="2">
        <f t="shared" si="59"/>
        <v>2028</v>
      </c>
      <c r="BQ71" s="2">
        <f t="shared" si="59"/>
        <v>2029</v>
      </c>
      <c r="BR71" s="2">
        <f t="shared" si="59"/>
        <v>2030</v>
      </c>
      <c r="BS71" s="2">
        <f t="shared" si="59"/>
        <v>2031</v>
      </c>
    </row>
    <row r="72" spans="1:71" x14ac:dyDescent="0.3">
      <c r="A72" s="12">
        <v>44575</v>
      </c>
      <c r="B72" s="13">
        <v>54443.38784210274</v>
      </c>
      <c r="C72" s="13">
        <v>699973.08705765975</v>
      </c>
      <c r="D72" s="13">
        <v>715003.233109697</v>
      </c>
      <c r="E72" s="13">
        <v>883851.41604698927</v>
      </c>
      <c r="O72" s="11">
        <f t="shared" si="54"/>
        <v>2022</v>
      </c>
      <c r="P72" s="36">
        <f t="shared" si="55"/>
        <v>109113.06989221585</v>
      </c>
      <c r="Q72" s="36">
        <f t="shared" ref="Q72:Q77" si="60">C71-B71</f>
        <v>5405286.1939901328</v>
      </c>
      <c r="R72" s="36">
        <f t="shared" ref="R72:R77" si="61">D71-C71</f>
        <v>1114208.4311726354</v>
      </c>
      <c r="S72" s="36">
        <f t="shared" ref="S72:S77" si="62">E71-D71</f>
        <v>4409092.3495307844</v>
      </c>
      <c r="AB72" s="2">
        <f t="shared" si="56"/>
        <v>2022</v>
      </c>
      <c r="AC72" s="2">
        <f>P72*VLOOKUP(BO72,Exposure!$B$33:$C$53,2,FALSE)/VLOOKUP(AZ72,Exposure!$B$33:$C$53,2,FALSE)</f>
        <v>134373.6100626846</v>
      </c>
      <c r="AD72" s="2">
        <f>Q72*VLOOKUP(BP72,Exposure!$B$33:$C$53,2,FALSE)/VLOOKUP(BA72,Exposure!$B$33:$C$53,2,FALSE)</f>
        <v>6510794.4543211516</v>
      </c>
      <c r="AE72" s="2">
        <f>R72*VLOOKUP(BQ72,Exposure!$B$33:$C$53,2,FALSE)/VLOOKUP(BB72,Exposure!$B$33:$C$53,2,FALSE)</f>
        <v>1324851.5442854573</v>
      </c>
      <c r="AF72" s="2">
        <f>S72*VLOOKUP(BR72,Exposure!$B$33:$C$53,2,FALSE)/VLOOKUP(BC72,Exposure!$B$33:$C$53,2,FALSE)</f>
        <v>5208807.8982827161</v>
      </c>
      <c r="AZ72" s="2">
        <f t="shared" si="57"/>
        <v>2022</v>
      </c>
      <c r="BA72" s="2">
        <f t="shared" si="58"/>
        <v>2023</v>
      </c>
      <c r="BB72" s="2">
        <f t="shared" si="58"/>
        <v>2024</v>
      </c>
      <c r="BC72" s="2">
        <f t="shared" si="58"/>
        <v>2025</v>
      </c>
      <c r="BD72" s="10"/>
      <c r="BO72" s="2">
        <v>2027</v>
      </c>
      <c r="BP72" s="2">
        <f t="shared" si="59"/>
        <v>2028</v>
      </c>
      <c r="BQ72" s="2">
        <f t="shared" si="59"/>
        <v>2029</v>
      </c>
      <c r="BR72" s="2">
        <f t="shared" si="59"/>
        <v>2030</v>
      </c>
      <c r="BS72" s="10"/>
    </row>
    <row r="73" spans="1:71" x14ac:dyDescent="0.3">
      <c r="A73" s="12">
        <v>44612</v>
      </c>
      <c r="B73" s="13">
        <v>392575.49262619729</v>
      </c>
      <c r="C73" s="13">
        <v>1036029.0500803981</v>
      </c>
      <c r="D73" s="13">
        <v>1245591.0112621286</v>
      </c>
      <c r="E73" s="13">
        <v>1610096.6724950622</v>
      </c>
      <c r="O73" s="11">
        <f t="shared" si="54"/>
        <v>2022</v>
      </c>
      <c r="P73" s="36">
        <f t="shared" si="55"/>
        <v>54443.38784210274</v>
      </c>
      <c r="Q73" s="36">
        <f t="shared" si="60"/>
        <v>645529.69921555696</v>
      </c>
      <c r="R73" s="36">
        <f t="shared" si="61"/>
        <v>15030.146052037249</v>
      </c>
      <c r="S73" s="36">
        <f t="shared" si="62"/>
        <v>168848.18293729227</v>
      </c>
      <c r="AB73" s="2">
        <f t="shared" si="56"/>
        <v>2022</v>
      </c>
      <c r="AC73" s="2">
        <f>P73*VLOOKUP(BO73,Exposure!$B$33:$C$53,2,FALSE)/VLOOKUP(AZ73,Exposure!$B$33:$C$53,2,FALSE)</f>
        <v>67047.463476308316</v>
      </c>
      <c r="AD73" s="2">
        <f>Q73*VLOOKUP(BP73,Exposure!$B$33:$C$53,2,FALSE)/VLOOKUP(BA73,Exposure!$B$33:$C$53,2,FALSE)</f>
        <v>777555.71766491409</v>
      </c>
      <c r="AE73" s="2">
        <f>R73*VLOOKUP(BQ73,Exposure!$B$33:$C$53,2,FALSE)/VLOOKUP(BB73,Exposure!$B$33:$C$53,2,FALSE)</f>
        <v>17871.622266330032</v>
      </c>
      <c r="AF73" s="2">
        <f>S73*VLOOKUP(BR73,Exposure!$B$33:$C$53,2,FALSE)/VLOOKUP(BC73,Exposure!$B$33:$C$53,2,FALSE)</f>
        <v>199473.65107651896</v>
      </c>
      <c r="AZ73" s="2">
        <f t="shared" si="57"/>
        <v>2022</v>
      </c>
      <c r="BA73" s="2">
        <f t="shared" si="58"/>
        <v>2023</v>
      </c>
      <c r="BB73" s="2">
        <f t="shared" si="58"/>
        <v>2024</v>
      </c>
      <c r="BC73" s="2">
        <f t="shared" si="58"/>
        <v>2025</v>
      </c>
      <c r="BD73" s="10"/>
      <c r="BO73" s="2">
        <v>2027</v>
      </c>
      <c r="BP73" s="2">
        <f t="shared" si="59"/>
        <v>2028</v>
      </c>
      <c r="BQ73" s="2">
        <f t="shared" si="59"/>
        <v>2029</v>
      </c>
      <c r="BR73" s="2">
        <f t="shared" si="59"/>
        <v>2030</v>
      </c>
      <c r="BS73" s="10"/>
    </row>
    <row r="74" spans="1:71" x14ac:dyDescent="0.3">
      <c r="A74" s="12">
        <v>44631</v>
      </c>
      <c r="B74" s="13">
        <v>148363.37116913096</v>
      </c>
      <c r="C74" s="13">
        <v>592603.42869468208</v>
      </c>
      <c r="D74" s="13">
        <v>860140.42183250119</v>
      </c>
      <c r="E74" s="13">
        <v>4206662.0925714253</v>
      </c>
      <c r="O74" s="11">
        <f t="shared" si="54"/>
        <v>2022</v>
      </c>
      <c r="P74" s="36">
        <f t="shared" si="55"/>
        <v>392575.49262619729</v>
      </c>
      <c r="Q74" s="36">
        <f t="shared" si="60"/>
        <v>643453.55745420081</v>
      </c>
      <c r="R74" s="36">
        <f t="shared" si="61"/>
        <v>209561.9611817305</v>
      </c>
      <c r="S74" s="36">
        <f t="shared" si="62"/>
        <v>364505.66123293363</v>
      </c>
      <c r="AB74" s="2">
        <f t="shared" si="56"/>
        <v>2022</v>
      </c>
      <c r="AC74" s="2">
        <f>P74*VLOOKUP(BO74,Exposure!$B$33:$C$53,2,FALSE)/VLOOKUP(AZ74,Exposure!$B$33:$C$53,2,FALSE)</f>
        <v>483459.8295000614</v>
      </c>
      <c r="AD74" s="2">
        <f>Q74*VLOOKUP(BP74,Exposure!$B$33:$C$53,2,FALSE)/VLOOKUP(BA74,Exposure!$B$33:$C$53,2,FALSE)</f>
        <v>775054.95604358648</v>
      </c>
      <c r="AE74" s="2">
        <f>R74*VLOOKUP(BQ74,Exposure!$B$33:$C$53,2,FALSE)/VLOOKUP(BB74,Exposure!$B$33:$C$53,2,FALSE)</f>
        <v>249180.02783636042</v>
      </c>
      <c r="AF74" s="2">
        <f>S74*VLOOKUP(BR74,Exposure!$B$33:$C$53,2,FALSE)/VLOOKUP(BC74,Exposure!$B$33:$C$53,2,FALSE)</f>
        <v>430619.23332155246</v>
      </c>
      <c r="AZ74" s="2">
        <f t="shared" si="57"/>
        <v>2022</v>
      </c>
      <c r="BA74" s="2">
        <f t="shared" si="58"/>
        <v>2023</v>
      </c>
      <c r="BB74" s="2">
        <f t="shared" si="58"/>
        <v>2024</v>
      </c>
      <c r="BC74" s="2">
        <f t="shared" si="58"/>
        <v>2025</v>
      </c>
      <c r="BD74" s="10"/>
      <c r="BO74" s="2">
        <v>2027</v>
      </c>
      <c r="BP74" s="2">
        <f t="shared" si="59"/>
        <v>2028</v>
      </c>
      <c r="BQ74" s="2">
        <f t="shared" si="59"/>
        <v>2029</v>
      </c>
      <c r="BR74" s="2">
        <f t="shared" si="59"/>
        <v>2030</v>
      </c>
      <c r="BS74" s="10"/>
    </row>
    <row r="75" spans="1:71" x14ac:dyDescent="0.3">
      <c r="A75" s="12">
        <v>44887</v>
      </c>
      <c r="B75" s="13">
        <v>278689.13416674762</v>
      </c>
      <c r="C75" s="13">
        <v>414736.26049784356</v>
      </c>
      <c r="D75" s="13">
        <v>566223.45545262576</v>
      </c>
      <c r="E75" s="13">
        <v>834204.28635841142</v>
      </c>
      <c r="O75" s="11">
        <f t="shared" si="54"/>
        <v>2022</v>
      </c>
      <c r="P75" s="36">
        <f t="shared" si="55"/>
        <v>148363.37116913096</v>
      </c>
      <c r="Q75" s="36">
        <f t="shared" si="60"/>
        <v>444240.05752555112</v>
      </c>
      <c r="R75" s="36">
        <f t="shared" si="61"/>
        <v>267536.99313781911</v>
      </c>
      <c r="S75" s="36">
        <f t="shared" si="62"/>
        <v>3346521.6707389243</v>
      </c>
      <c r="AB75" s="2">
        <f t="shared" si="56"/>
        <v>2022</v>
      </c>
      <c r="AC75" s="2">
        <f>P75*VLOOKUP(BO75,Exposure!$B$33:$C$53,2,FALSE)/VLOOKUP(AZ75,Exposure!$B$33:$C$53,2,FALSE)</f>
        <v>182710.66706087056</v>
      </c>
      <c r="AD75" s="2">
        <f>Q75*VLOOKUP(BP75,Exposure!$B$33:$C$53,2,FALSE)/VLOOKUP(BA75,Exposure!$B$33:$C$53,2,FALSE)</f>
        <v>535097.60614350694</v>
      </c>
      <c r="AE75" s="2">
        <f>R75*VLOOKUP(BQ75,Exposure!$B$33:$C$53,2,FALSE)/VLOOKUP(BB75,Exposure!$B$33:$C$53,2,FALSE)</f>
        <v>318115.34412739467</v>
      </c>
      <c r="AF75" s="2">
        <f>S75*VLOOKUP(BR75,Exposure!$B$33:$C$53,2,FALSE)/VLOOKUP(BC75,Exposure!$B$33:$C$53,2,FALSE)</f>
        <v>3953509.504552389</v>
      </c>
      <c r="AZ75" s="2">
        <f t="shared" si="57"/>
        <v>2022</v>
      </c>
      <c r="BA75" s="2">
        <f t="shared" si="58"/>
        <v>2023</v>
      </c>
      <c r="BB75" s="2">
        <f t="shared" si="58"/>
        <v>2024</v>
      </c>
      <c r="BC75" s="2">
        <f t="shared" si="58"/>
        <v>2025</v>
      </c>
      <c r="BD75" s="10"/>
      <c r="BO75" s="2">
        <v>2027</v>
      </c>
      <c r="BP75" s="2">
        <f t="shared" si="59"/>
        <v>2028</v>
      </c>
      <c r="BQ75" s="2">
        <f t="shared" si="59"/>
        <v>2029</v>
      </c>
      <c r="BR75" s="2">
        <f t="shared" si="59"/>
        <v>2030</v>
      </c>
      <c r="BS75" s="10"/>
    </row>
    <row r="76" spans="1:71" x14ac:dyDescent="0.3">
      <c r="A76" s="12">
        <v>44890</v>
      </c>
      <c r="B76" s="13">
        <v>4641.2336050771692</v>
      </c>
      <c r="C76" s="13">
        <v>47472.314767364594</v>
      </c>
      <c r="D76" s="13">
        <v>306930.69129929785</v>
      </c>
      <c r="E76" s="13">
        <v>318353.38144316681</v>
      </c>
      <c r="O76" s="11">
        <f t="shared" si="54"/>
        <v>2022</v>
      </c>
      <c r="P76" s="36">
        <f t="shared" si="55"/>
        <v>278689.13416674762</v>
      </c>
      <c r="Q76" s="36">
        <f t="shared" si="60"/>
        <v>136047.12633109593</v>
      </c>
      <c r="R76" s="36">
        <f t="shared" si="61"/>
        <v>151487.1949547822</v>
      </c>
      <c r="S76" s="36">
        <f t="shared" si="62"/>
        <v>267980.83090578567</v>
      </c>
      <c r="AB76" s="2">
        <f t="shared" si="56"/>
        <v>2022</v>
      </c>
      <c r="AC76" s="2">
        <f>P76*VLOOKUP(BO76,Exposure!$B$33:$C$53,2,FALSE)/VLOOKUP(AZ76,Exposure!$B$33:$C$53,2,FALSE)</f>
        <v>343207.87674860685</v>
      </c>
      <c r="AD76" s="2">
        <f>Q76*VLOOKUP(BP76,Exposure!$B$33:$C$53,2,FALSE)/VLOOKUP(BA76,Exposure!$B$33:$C$53,2,FALSE)</f>
        <v>163871.96604458749</v>
      </c>
      <c r="AE76" s="2">
        <f>R76*VLOOKUP(BQ76,Exposure!$B$33:$C$53,2,FALSE)/VLOOKUP(BB76,Exposure!$B$33:$C$53,2,FALSE)</f>
        <v>180126.12233071428</v>
      </c>
      <c r="AF76" s="2">
        <f>S76*VLOOKUP(BR76,Exposure!$B$33:$C$53,2,FALSE)/VLOOKUP(BC76,Exposure!$B$33:$C$53,2,FALSE)</f>
        <v>316586.85233911441</v>
      </c>
      <c r="AZ76" s="2">
        <f t="shared" si="57"/>
        <v>2022</v>
      </c>
      <c r="BA76" s="2">
        <f t="shared" si="58"/>
        <v>2023</v>
      </c>
      <c r="BB76" s="2">
        <f t="shared" si="58"/>
        <v>2024</v>
      </c>
      <c r="BC76" s="2">
        <f t="shared" si="58"/>
        <v>2025</v>
      </c>
      <c r="BD76" s="10"/>
      <c r="BO76" s="2">
        <v>2027</v>
      </c>
      <c r="BP76" s="2">
        <f t="shared" si="59"/>
        <v>2028</v>
      </c>
      <c r="BQ76" s="2">
        <f t="shared" si="59"/>
        <v>2029</v>
      </c>
      <c r="BR76" s="2">
        <f t="shared" si="59"/>
        <v>2030</v>
      </c>
      <c r="BS76" s="10"/>
    </row>
    <row r="77" spans="1:71" x14ac:dyDescent="0.3">
      <c r="A77" s="12">
        <v>44930</v>
      </c>
      <c r="B77" s="13">
        <v>14084.592672299479</v>
      </c>
      <c r="C77" s="13">
        <v>53223.167155004616</v>
      </c>
      <c r="D77" s="13">
        <v>135955.2863028888</v>
      </c>
      <c r="O77" s="11">
        <f t="shared" si="54"/>
        <v>2022</v>
      </c>
      <c r="P77" s="36">
        <f t="shared" si="55"/>
        <v>4641.2336050771692</v>
      </c>
      <c r="Q77" s="36">
        <f t="shared" si="60"/>
        <v>42831.081162287424</v>
      </c>
      <c r="R77" s="36">
        <f t="shared" si="61"/>
        <v>259458.37653193326</v>
      </c>
      <c r="S77" s="36">
        <f t="shared" si="62"/>
        <v>11422.690143868967</v>
      </c>
      <c r="AB77" s="2">
        <f t="shared" si="56"/>
        <v>2022</v>
      </c>
      <c r="AC77" s="2">
        <f>P77*VLOOKUP(BO77,Exposure!$B$33:$C$53,2,FALSE)/VLOOKUP(AZ77,Exposure!$B$33:$C$53,2,FALSE)</f>
        <v>5715.7159566175815</v>
      </c>
      <c r="AD77" s="2">
        <f>Q77*VLOOKUP(BP77,Exposure!$B$33:$C$53,2,FALSE)/VLOOKUP(BA77,Exposure!$B$33:$C$53,2,FALSE)</f>
        <v>51591.045449925565</v>
      </c>
      <c r="AE77" s="2">
        <f>R77*VLOOKUP(BQ77,Exposure!$B$33:$C$53,2,FALSE)/VLOOKUP(BB77,Exposure!$B$33:$C$53,2,FALSE)</f>
        <v>308509.45048437698</v>
      </c>
      <c r="AF77" s="2">
        <f>S77*VLOOKUP(BR77,Exposure!$B$33:$C$53,2,FALSE)/VLOOKUP(BC77,Exposure!$B$33:$C$53,2,FALSE)</f>
        <v>13494.523118199748</v>
      </c>
      <c r="AZ77" s="2">
        <f t="shared" si="57"/>
        <v>2022</v>
      </c>
      <c r="BA77" s="2">
        <f t="shared" si="58"/>
        <v>2023</v>
      </c>
      <c r="BB77" s="2">
        <f t="shared" si="58"/>
        <v>2024</v>
      </c>
      <c r="BC77" s="2">
        <f t="shared" si="58"/>
        <v>2025</v>
      </c>
      <c r="BD77" s="10"/>
      <c r="BO77" s="2">
        <v>2027</v>
      </c>
      <c r="BP77" s="2">
        <f t="shared" si="59"/>
        <v>2028</v>
      </c>
      <c r="BQ77" s="2">
        <f t="shared" si="59"/>
        <v>2029</v>
      </c>
      <c r="BR77" s="2">
        <f t="shared" si="59"/>
        <v>2030</v>
      </c>
      <c r="BS77" s="10"/>
    </row>
    <row r="78" spans="1:71" x14ac:dyDescent="0.3">
      <c r="A78" s="12">
        <v>44934</v>
      </c>
      <c r="B78" s="13">
        <v>72060.005216399863</v>
      </c>
      <c r="C78" s="13">
        <v>707480.09123018011</v>
      </c>
      <c r="D78" s="13">
        <v>919752.3826490792</v>
      </c>
      <c r="O78" s="11">
        <f t="shared" si="54"/>
        <v>2023</v>
      </c>
      <c r="P78" s="36">
        <f t="shared" si="55"/>
        <v>14084.592672299479</v>
      </c>
      <c r="Q78" s="36">
        <f t="shared" ref="Q78:Q106" si="63">C77-B77</f>
        <v>39138.574482705139</v>
      </c>
      <c r="R78" s="36">
        <f t="shared" ref="R78:R93" si="64">D77-C77</f>
        <v>82732.119147884179</v>
      </c>
      <c r="AB78" s="2">
        <f t="shared" si="56"/>
        <v>2023</v>
      </c>
      <c r="AC78" s="2">
        <f>P78*VLOOKUP(BO78,Exposure!$B$33:$C$53,2,FALSE)/VLOOKUP(AZ78,Exposure!$B$33:$C$53,2,FALSE)</f>
        <v>16423.255960733237</v>
      </c>
      <c r="AD78" s="2">
        <f>Q78*VLOOKUP(BP78,Exposure!$B$33:$C$53,2,FALSE)/VLOOKUP(BA78,Exposure!$B$33:$C$53,2,FALSE)</f>
        <v>45051.106065256798</v>
      </c>
      <c r="AE78" s="2">
        <f>R78*VLOOKUP(BQ78,Exposure!$B$33:$C$53,2,FALSE)/VLOOKUP(BB78,Exposure!$B$33:$C$53,2,FALSE)</f>
        <v>94615.649017645235</v>
      </c>
      <c r="AZ78" s="2">
        <f t="shared" si="57"/>
        <v>2023</v>
      </c>
      <c r="BA78" s="2">
        <f t="shared" si="58"/>
        <v>2024</v>
      </c>
      <c r="BB78" s="2">
        <f t="shared" si="58"/>
        <v>2025</v>
      </c>
      <c r="BD78" s="10"/>
      <c r="BO78" s="2">
        <v>2027</v>
      </c>
      <c r="BP78" s="2">
        <f t="shared" si="59"/>
        <v>2028</v>
      </c>
      <c r="BQ78" s="2">
        <f t="shared" si="59"/>
        <v>2029</v>
      </c>
      <c r="BS78" s="10"/>
    </row>
    <row r="79" spans="1:71" x14ac:dyDescent="0.3">
      <c r="A79" s="12">
        <v>44975</v>
      </c>
      <c r="B79" s="13">
        <v>555279.27173075418</v>
      </c>
      <c r="C79" s="13">
        <v>1437169.9533984791</v>
      </c>
      <c r="D79" s="13">
        <v>1500704.814046486</v>
      </c>
      <c r="O79" s="11">
        <f t="shared" si="54"/>
        <v>2023</v>
      </c>
      <c r="P79" s="36">
        <f t="shared" si="55"/>
        <v>72060.005216399863</v>
      </c>
      <c r="Q79" s="36">
        <f t="shared" si="63"/>
        <v>635420.08601378021</v>
      </c>
      <c r="R79" s="36">
        <f t="shared" si="64"/>
        <v>212272.29141889908</v>
      </c>
      <c r="AB79" s="2">
        <f t="shared" si="56"/>
        <v>2023</v>
      </c>
      <c r="AC79" s="2">
        <f>P79*VLOOKUP(BO79,Exposure!$B$33:$C$53,2,FALSE)/VLOOKUP(AZ79,Exposure!$B$33:$C$53,2,FALSE)</f>
        <v>84025.142773794752</v>
      </c>
      <c r="AD79" s="2">
        <f>Q79*VLOOKUP(BP79,Exposure!$B$33:$C$53,2,FALSE)/VLOOKUP(BA79,Exposure!$B$33:$C$53,2,FALSE)</f>
        <v>731410.8413338114</v>
      </c>
      <c r="AE79" s="2">
        <f>R79*VLOOKUP(BQ79,Exposure!$B$33:$C$53,2,FALSE)/VLOOKUP(BB79,Exposure!$B$33:$C$53,2,FALSE)</f>
        <v>242762.79669762941</v>
      </c>
      <c r="AZ79" s="2">
        <f t="shared" si="57"/>
        <v>2023</v>
      </c>
      <c r="BA79" s="2">
        <f t="shared" si="58"/>
        <v>2024</v>
      </c>
      <c r="BB79" s="2">
        <f t="shared" si="58"/>
        <v>2025</v>
      </c>
      <c r="BD79" s="10"/>
      <c r="BO79" s="2">
        <v>2027</v>
      </c>
      <c r="BP79" s="2">
        <f t="shared" si="59"/>
        <v>2028</v>
      </c>
      <c r="BQ79" s="2">
        <f t="shared" si="59"/>
        <v>2029</v>
      </c>
      <c r="BS79" s="10"/>
    </row>
    <row r="80" spans="1:71" x14ac:dyDescent="0.3">
      <c r="A80" s="12">
        <v>45000</v>
      </c>
      <c r="B80" s="13">
        <v>85672.639028288337</v>
      </c>
      <c r="C80" s="13">
        <v>607877.11160113534</v>
      </c>
      <c r="D80" s="13">
        <v>1238148.7096540153</v>
      </c>
      <c r="O80" s="11">
        <f t="shared" si="54"/>
        <v>2023</v>
      </c>
      <c r="P80" s="36">
        <f t="shared" si="55"/>
        <v>555279.27173075418</v>
      </c>
      <c r="Q80" s="36">
        <f t="shared" si="63"/>
        <v>881890.68166772497</v>
      </c>
      <c r="R80" s="36">
        <f t="shared" si="64"/>
        <v>63534.860648006899</v>
      </c>
      <c r="AB80" s="2">
        <f t="shared" si="56"/>
        <v>2023</v>
      </c>
      <c r="AC80" s="2">
        <f>P80*VLOOKUP(BO80,Exposure!$B$33:$C$53,2,FALSE)/VLOOKUP(AZ80,Exposure!$B$33:$C$53,2,FALSE)</f>
        <v>647480.1097556235</v>
      </c>
      <c r="AD80" s="2">
        <f>Q80*VLOOKUP(BP80,Exposure!$B$33:$C$53,2,FALSE)/VLOOKUP(BA80,Exposure!$B$33:$C$53,2,FALSE)</f>
        <v>1015114.9131742283</v>
      </c>
      <c r="AE80" s="2">
        <f>R80*VLOOKUP(BQ80,Exposure!$B$33:$C$53,2,FALSE)/VLOOKUP(BB80,Exposure!$B$33:$C$53,2,FALSE)</f>
        <v>72660.922231563047</v>
      </c>
      <c r="AZ80" s="2">
        <f t="shared" si="57"/>
        <v>2023</v>
      </c>
      <c r="BA80" s="2">
        <f t="shared" si="58"/>
        <v>2024</v>
      </c>
      <c r="BB80" s="2">
        <f t="shared" si="58"/>
        <v>2025</v>
      </c>
      <c r="BD80" s="10"/>
      <c r="BO80" s="2">
        <v>2027</v>
      </c>
      <c r="BP80" s="2">
        <f t="shared" si="59"/>
        <v>2028</v>
      </c>
      <c r="BQ80" s="2">
        <f t="shared" si="59"/>
        <v>2029</v>
      </c>
      <c r="BS80" s="10"/>
    </row>
    <row r="81" spans="1:71" x14ac:dyDescent="0.3">
      <c r="A81" s="12">
        <v>45017</v>
      </c>
      <c r="B81" s="13">
        <v>150538.20236498796</v>
      </c>
      <c r="C81" s="13">
        <v>681639.10897880886</v>
      </c>
      <c r="D81" s="13">
        <v>689027.79118043173</v>
      </c>
      <c r="O81" s="11">
        <f t="shared" si="54"/>
        <v>2023</v>
      </c>
      <c r="P81" s="36">
        <f t="shared" si="55"/>
        <v>85672.639028288337</v>
      </c>
      <c r="Q81" s="36">
        <f t="shared" si="63"/>
        <v>522204.47257284704</v>
      </c>
      <c r="R81" s="36">
        <f t="shared" si="64"/>
        <v>630271.59805287991</v>
      </c>
      <c r="AB81" s="2">
        <f t="shared" si="56"/>
        <v>2023</v>
      </c>
      <c r="AC81" s="2">
        <f>P81*VLOOKUP(BO81,Exposure!$B$33:$C$53,2,FALSE)/VLOOKUP(AZ81,Exposure!$B$33:$C$53,2,FALSE)</f>
        <v>99898.073897466107</v>
      </c>
      <c r="AD81" s="2">
        <f>Q81*VLOOKUP(BP81,Exposure!$B$33:$C$53,2,FALSE)/VLOOKUP(BA81,Exposure!$B$33:$C$53,2,FALSE)</f>
        <v>601092.12950580555</v>
      </c>
      <c r="AE81" s="2">
        <f>R81*VLOOKUP(BQ81,Exposure!$B$33:$C$53,2,FALSE)/VLOOKUP(BB81,Exposure!$B$33:$C$53,2,FALSE)</f>
        <v>720802.95925414783</v>
      </c>
      <c r="AZ81" s="2">
        <f t="shared" si="57"/>
        <v>2023</v>
      </c>
      <c r="BA81" s="2">
        <f t="shared" si="58"/>
        <v>2024</v>
      </c>
      <c r="BB81" s="2">
        <f t="shared" si="58"/>
        <v>2025</v>
      </c>
      <c r="BD81" s="10"/>
      <c r="BO81" s="2">
        <v>2027</v>
      </c>
      <c r="BP81" s="2">
        <f t="shared" si="59"/>
        <v>2028</v>
      </c>
      <c r="BQ81" s="2">
        <f t="shared" si="59"/>
        <v>2029</v>
      </c>
      <c r="BS81" s="10"/>
    </row>
    <row r="82" spans="1:71" x14ac:dyDescent="0.3">
      <c r="A82" s="12">
        <v>45019</v>
      </c>
      <c r="B82" s="13">
        <v>62820.444861360971</v>
      </c>
      <c r="C82" s="13">
        <v>71622.999209969959</v>
      </c>
      <c r="D82" s="13">
        <v>975665.05009153509</v>
      </c>
      <c r="O82" s="11">
        <f t="shared" si="54"/>
        <v>2023</v>
      </c>
      <c r="P82" s="36">
        <f t="shared" si="55"/>
        <v>150538.20236498796</v>
      </c>
      <c r="Q82" s="36">
        <f t="shared" si="63"/>
        <v>531100.90661382093</v>
      </c>
      <c r="R82" s="36">
        <f t="shared" si="64"/>
        <v>7388.6822016228689</v>
      </c>
      <c r="AB82" s="2">
        <f t="shared" si="56"/>
        <v>2023</v>
      </c>
      <c r="AC82" s="2">
        <f>P82*VLOOKUP(BO82,Exposure!$B$33:$C$53,2,FALSE)/VLOOKUP(AZ82,Exposure!$B$33:$C$53,2,FALSE)</f>
        <v>175534.18027993402</v>
      </c>
      <c r="AD82" s="2">
        <f>Q82*VLOOKUP(BP82,Exposure!$B$33:$C$53,2,FALSE)/VLOOKUP(BA82,Exposure!$B$33:$C$53,2,FALSE)</f>
        <v>611332.51763643569</v>
      </c>
      <c r="AE82" s="2">
        <f>R82*VLOOKUP(BQ82,Exposure!$B$33:$C$53,2,FALSE)/VLOOKUP(BB82,Exposure!$B$33:$C$53,2,FALSE)</f>
        <v>8449.9825351028758</v>
      </c>
      <c r="AZ82" s="2">
        <f t="shared" si="57"/>
        <v>2023</v>
      </c>
      <c r="BA82" s="2">
        <f t="shared" si="58"/>
        <v>2024</v>
      </c>
      <c r="BB82" s="2">
        <f t="shared" si="58"/>
        <v>2025</v>
      </c>
      <c r="BD82" s="10"/>
      <c r="BO82" s="2">
        <v>2027</v>
      </c>
      <c r="BP82" s="2">
        <f t="shared" si="59"/>
        <v>2028</v>
      </c>
      <c r="BQ82" s="2">
        <f t="shared" si="59"/>
        <v>2029</v>
      </c>
      <c r="BS82" s="10"/>
    </row>
    <row r="83" spans="1:71" x14ac:dyDescent="0.3">
      <c r="A83" s="12">
        <v>45082</v>
      </c>
      <c r="B83" s="13">
        <v>41410.319560962766</v>
      </c>
      <c r="C83" s="13">
        <v>43174.885903913331</v>
      </c>
      <c r="D83" s="13">
        <v>43612.124376068816</v>
      </c>
      <c r="O83" s="11">
        <f t="shared" si="54"/>
        <v>2023</v>
      </c>
      <c r="P83" s="36">
        <f t="shared" si="55"/>
        <v>62820.444861360971</v>
      </c>
      <c r="Q83" s="36">
        <f t="shared" si="63"/>
        <v>8802.5543486089882</v>
      </c>
      <c r="R83" s="36">
        <f t="shared" si="64"/>
        <v>904042.05088156508</v>
      </c>
      <c r="AB83" s="2">
        <f t="shared" si="56"/>
        <v>2023</v>
      </c>
      <c r="AC83" s="2">
        <f>P83*VLOOKUP(BO83,Exposure!$B$33:$C$53,2,FALSE)/VLOOKUP(AZ83,Exposure!$B$33:$C$53,2,FALSE)</f>
        <v>73251.408083271177</v>
      </c>
      <c r="AD83" s="2">
        <f>Q83*VLOOKUP(BP83,Exposure!$B$33:$C$53,2,FALSE)/VLOOKUP(BA83,Exposure!$B$33:$C$53,2,FALSE)</f>
        <v>10132.32635183502</v>
      </c>
      <c r="AE83" s="2">
        <f>R83*VLOOKUP(BQ83,Exposure!$B$33:$C$53,2,FALSE)/VLOOKUP(BB83,Exposure!$B$33:$C$53,2,FALSE)</f>
        <v>1033897.4302169784</v>
      </c>
      <c r="AZ83" s="2">
        <f t="shared" si="57"/>
        <v>2023</v>
      </c>
      <c r="BA83" s="2">
        <f t="shared" ref="BA83:BB98" si="65">$AZ83+BA$1-1</f>
        <v>2024</v>
      </c>
      <c r="BB83" s="2">
        <f t="shared" si="65"/>
        <v>2025</v>
      </c>
      <c r="BD83" s="10"/>
      <c r="BO83" s="2">
        <v>2027</v>
      </c>
      <c r="BP83" s="2">
        <f t="shared" ref="BP83:BQ98" si="66">$BO83+BP$1-1</f>
        <v>2028</v>
      </c>
      <c r="BQ83" s="2">
        <f t="shared" si="66"/>
        <v>2029</v>
      </c>
      <c r="BS83" s="10"/>
    </row>
    <row r="84" spans="1:71" x14ac:dyDescent="0.3">
      <c r="A84" s="12">
        <v>45083</v>
      </c>
      <c r="B84" s="13">
        <v>154129.4133869845</v>
      </c>
      <c r="C84" s="13">
        <v>586155.12720632262</v>
      </c>
      <c r="D84" s="13">
        <v>597373.16862425208</v>
      </c>
      <c r="O84" s="11">
        <f t="shared" si="54"/>
        <v>2023</v>
      </c>
      <c r="P84" s="36">
        <f t="shared" si="55"/>
        <v>41410.319560962766</v>
      </c>
      <c r="Q84" s="36">
        <f t="shared" si="63"/>
        <v>1764.5663429505657</v>
      </c>
      <c r="R84" s="36">
        <f t="shared" si="64"/>
        <v>437.23847215548449</v>
      </c>
      <c r="AB84" s="2">
        <f t="shared" si="56"/>
        <v>2023</v>
      </c>
      <c r="AC84" s="2">
        <f>P84*VLOOKUP(BO84,Exposure!$B$33:$C$53,2,FALSE)/VLOOKUP(AZ84,Exposure!$B$33:$C$53,2,FALSE)</f>
        <v>48286.258139577178</v>
      </c>
      <c r="AD84" s="2">
        <f>Q84*VLOOKUP(BP84,Exposure!$B$33:$C$53,2,FALSE)/VLOOKUP(BA84,Exposure!$B$33:$C$53,2,FALSE)</f>
        <v>2031.1333901692408</v>
      </c>
      <c r="AE84" s="2">
        <f>R84*VLOOKUP(BQ84,Exposure!$B$33:$C$53,2,FALSE)/VLOOKUP(BB84,Exposure!$B$33:$C$53,2,FALSE)</f>
        <v>500.04281583222047</v>
      </c>
      <c r="AZ84" s="2">
        <f t="shared" si="57"/>
        <v>2023</v>
      </c>
      <c r="BA84" s="2">
        <f t="shared" si="65"/>
        <v>2024</v>
      </c>
      <c r="BB84" s="2">
        <f t="shared" si="65"/>
        <v>2025</v>
      </c>
      <c r="BD84" s="10"/>
      <c r="BO84" s="2">
        <v>2027</v>
      </c>
      <c r="BP84" s="2">
        <f t="shared" si="66"/>
        <v>2028</v>
      </c>
      <c r="BQ84" s="2">
        <f t="shared" si="66"/>
        <v>2029</v>
      </c>
      <c r="BS84" s="10"/>
    </row>
    <row r="85" spans="1:71" x14ac:dyDescent="0.3">
      <c r="A85" s="12">
        <v>45099</v>
      </c>
      <c r="B85" s="13">
        <v>12383.382828878799</v>
      </c>
      <c r="C85" s="13">
        <v>12541.066667267947</v>
      </c>
      <c r="D85" s="13">
        <v>12558.512283085347</v>
      </c>
      <c r="O85" s="11">
        <f t="shared" si="54"/>
        <v>2023</v>
      </c>
      <c r="P85" s="36">
        <f t="shared" si="55"/>
        <v>154129.4133869845</v>
      </c>
      <c r="Q85" s="36">
        <f t="shared" si="63"/>
        <v>432025.71381933813</v>
      </c>
      <c r="R85" s="36">
        <f t="shared" si="64"/>
        <v>11218.04141792946</v>
      </c>
      <c r="AB85" s="2">
        <f t="shared" si="56"/>
        <v>2023</v>
      </c>
      <c r="AC85" s="2">
        <f>P85*VLOOKUP(BO85,Exposure!$B$33:$C$53,2,FALSE)/VLOOKUP(AZ85,Exposure!$B$33:$C$53,2,FALSE)</f>
        <v>179721.69064643909</v>
      </c>
      <c r="AD85" s="2">
        <f>Q85*VLOOKUP(BP85,Exposure!$B$33:$C$53,2,FALSE)/VLOOKUP(BA85,Exposure!$B$33:$C$53,2,FALSE)</f>
        <v>497290.37179915293</v>
      </c>
      <c r="AE85" s="2">
        <f>R85*VLOOKUP(BQ85,Exposure!$B$33:$C$53,2,FALSE)/VLOOKUP(BB85,Exposure!$B$33:$C$53,2,FALSE)</f>
        <v>12829.385737925531</v>
      </c>
      <c r="AZ85" s="2">
        <f t="shared" si="57"/>
        <v>2023</v>
      </c>
      <c r="BA85" s="2">
        <f t="shared" si="65"/>
        <v>2024</v>
      </c>
      <c r="BB85" s="2">
        <f t="shared" si="65"/>
        <v>2025</v>
      </c>
      <c r="BD85" s="10"/>
      <c r="BO85" s="2">
        <v>2027</v>
      </c>
      <c r="BP85" s="2">
        <f t="shared" si="66"/>
        <v>2028</v>
      </c>
      <c r="BQ85" s="2">
        <f t="shared" si="66"/>
        <v>2029</v>
      </c>
      <c r="BS85" s="10"/>
    </row>
    <row r="86" spans="1:71" x14ac:dyDescent="0.3">
      <c r="A86" s="12">
        <v>45108</v>
      </c>
      <c r="B86" s="13">
        <v>33505.758103362961</v>
      </c>
      <c r="C86" s="13">
        <v>106764.31355719334</v>
      </c>
      <c r="D86" s="13">
        <v>112947.95337716247</v>
      </c>
      <c r="O86" s="11">
        <f t="shared" si="54"/>
        <v>2023</v>
      </c>
      <c r="P86" s="36">
        <f t="shared" si="55"/>
        <v>12383.382828878799</v>
      </c>
      <c r="Q86" s="36">
        <f t="shared" si="63"/>
        <v>157.68383838914815</v>
      </c>
      <c r="R86" s="36">
        <f t="shared" si="64"/>
        <v>17.445615817399812</v>
      </c>
      <c r="AB86" s="2">
        <f t="shared" si="56"/>
        <v>2023</v>
      </c>
      <c r="AC86" s="2">
        <f>P86*VLOOKUP(BO86,Exposure!$B$33:$C$53,2,FALSE)/VLOOKUP(AZ86,Exposure!$B$33:$C$53,2,FALSE)</f>
        <v>14439.570287212418</v>
      </c>
      <c r="AD86" s="2">
        <f>Q86*VLOOKUP(BP86,Exposure!$B$33:$C$53,2,FALSE)/VLOOKUP(BA86,Exposure!$B$33:$C$53,2,FALSE)</f>
        <v>181.50460056191932</v>
      </c>
      <c r="AE86" s="2">
        <f>R86*VLOOKUP(BQ86,Exposure!$B$33:$C$53,2,FALSE)/VLOOKUP(BB86,Exposure!$B$33:$C$53,2,FALSE)</f>
        <v>19.951480514179412</v>
      </c>
      <c r="AZ86" s="2">
        <f t="shared" si="57"/>
        <v>2023</v>
      </c>
      <c r="BA86" s="2">
        <f t="shared" si="65"/>
        <v>2024</v>
      </c>
      <c r="BB86" s="2">
        <f t="shared" si="65"/>
        <v>2025</v>
      </c>
      <c r="BD86" s="10"/>
      <c r="BO86" s="2">
        <v>2027</v>
      </c>
      <c r="BP86" s="2">
        <f t="shared" si="66"/>
        <v>2028</v>
      </c>
      <c r="BQ86" s="2">
        <f t="shared" si="66"/>
        <v>2029</v>
      </c>
      <c r="BS86" s="10"/>
    </row>
    <row r="87" spans="1:71" x14ac:dyDescent="0.3">
      <c r="A87" s="12">
        <v>45147</v>
      </c>
      <c r="B87" s="13">
        <v>515317.02997636993</v>
      </c>
      <c r="C87" s="13">
        <v>1355985.2169057084</v>
      </c>
      <c r="D87" s="13">
        <v>1719788.4802546771</v>
      </c>
      <c r="O87" s="11">
        <f t="shared" si="54"/>
        <v>2023</v>
      </c>
      <c r="P87" s="36">
        <f t="shared" si="55"/>
        <v>33505.758103362961</v>
      </c>
      <c r="Q87" s="36">
        <f t="shared" si="63"/>
        <v>73258.55545383037</v>
      </c>
      <c r="R87" s="36">
        <f t="shared" si="64"/>
        <v>6183.6398199691321</v>
      </c>
      <c r="AB87" s="2">
        <f t="shared" si="56"/>
        <v>2023</v>
      </c>
      <c r="AC87" s="2">
        <f>P87*VLOOKUP(BO87,Exposure!$B$33:$C$53,2,FALSE)/VLOOKUP(AZ87,Exposure!$B$33:$C$53,2,FALSE)</f>
        <v>39069.191015525677</v>
      </c>
      <c r="AD87" s="2">
        <f>Q87*VLOOKUP(BP87,Exposure!$B$33:$C$53,2,FALSE)/VLOOKUP(BA87,Exposure!$B$33:$C$53,2,FALSE)</f>
        <v>84325.476733865347</v>
      </c>
      <c r="AE87" s="2">
        <f>R87*VLOOKUP(BQ87,Exposure!$B$33:$C$53,2,FALSE)/VLOOKUP(BB87,Exposure!$B$33:$C$53,2,FALSE)</f>
        <v>7071.8494930840543</v>
      </c>
      <c r="AZ87" s="2">
        <f t="shared" si="57"/>
        <v>2023</v>
      </c>
      <c r="BA87" s="2">
        <f t="shared" si="65"/>
        <v>2024</v>
      </c>
      <c r="BB87" s="2">
        <f t="shared" si="65"/>
        <v>2025</v>
      </c>
      <c r="BD87" s="10"/>
      <c r="BO87" s="2">
        <v>2027</v>
      </c>
      <c r="BP87" s="2">
        <f t="shared" si="66"/>
        <v>2028</v>
      </c>
      <c r="BQ87" s="2">
        <f t="shared" si="66"/>
        <v>2029</v>
      </c>
      <c r="BS87" s="10"/>
    </row>
    <row r="88" spans="1:71" x14ac:dyDescent="0.3">
      <c r="A88" s="12">
        <v>45178</v>
      </c>
      <c r="B88" s="13">
        <v>1098060.6640269761</v>
      </c>
      <c r="C88" s="13">
        <v>1126145.5200817585</v>
      </c>
      <c r="D88" s="13">
        <v>1361274.4794273681</v>
      </c>
      <c r="O88" s="11">
        <f t="shared" si="54"/>
        <v>2023</v>
      </c>
      <c r="P88" s="36">
        <f t="shared" si="55"/>
        <v>515317.02997636993</v>
      </c>
      <c r="Q88" s="36">
        <f t="shared" si="63"/>
        <v>840668.1869293385</v>
      </c>
      <c r="R88" s="36">
        <f t="shared" si="64"/>
        <v>363803.2633489687</v>
      </c>
      <c r="AB88" s="2">
        <f t="shared" si="56"/>
        <v>2023</v>
      </c>
      <c r="AC88" s="2">
        <f>P88*VLOOKUP(BO88,Exposure!$B$33:$C$53,2,FALSE)/VLOOKUP(AZ88,Exposure!$B$33:$C$53,2,FALSE)</f>
        <v>600882.37417554285</v>
      </c>
      <c r="AD88" s="2">
        <f>Q88*VLOOKUP(BP88,Exposure!$B$33:$C$53,2,FALSE)/VLOOKUP(BA88,Exposure!$B$33:$C$53,2,FALSE)</f>
        <v>967665.07609459269</v>
      </c>
      <c r="AE88" s="2">
        <f>R88*VLOOKUP(BQ88,Exposure!$B$33:$C$53,2,FALSE)/VLOOKUP(BB88,Exposure!$B$33:$C$53,2,FALSE)</f>
        <v>416059.47280247184</v>
      </c>
      <c r="AZ88" s="2">
        <f t="shared" si="57"/>
        <v>2023</v>
      </c>
      <c r="BA88" s="2">
        <f t="shared" si="65"/>
        <v>2024</v>
      </c>
      <c r="BB88" s="2">
        <f t="shared" si="65"/>
        <v>2025</v>
      </c>
      <c r="BD88" s="10"/>
      <c r="BO88" s="2">
        <v>2027</v>
      </c>
      <c r="BP88" s="2">
        <f t="shared" si="66"/>
        <v>2028</v>
      </c>
      <c r="BQ88" s="2">
        <f t="shared" si="66"/>
        <v>2029</v>
      </c>
      <c r="BS88" s="10"/>
    </row>
    <row r="89" spans="1:71" x14ac:dyDescent="0.3">
      <c r="A89" s="12">
        <v>45182</v>
      </c>
      <c r="B89" s="13">
        <v>1684.7394365714165</v>
      </c>
      <c r="C89" s="13">
        <v>89383.828573002655</v>
      </c>
      <c r="D89" s="13">
        <v>294493.78955119802</v>
      </c>
      <c r="O89" s="11">
        <f t="shared" si="54"/>
        <v>2023</v>
      </c>
      <c r="P89" s="36">
        <f t="shared" si="55"/>
        <v>1098060.6640269761</v>
      </c>
      <c r="Q89" s="36">
        <f t="shared" si="63"/>
        <v>28084.856054782402</v>
      </c>
      <c r="R89" s="36">
        <f t="shared" si="64"/>
        <v>235128.95934560965</v>
      </c>
      <c r="AB89" s="2">
        <f t="shared" si="56"/>
        <v>2023</v>
      </c>
      <c r="AC89" s="2">
        <f>P89*VLOOKUP(BO89,Exposure!$B$33:$C$53,2,FALSE)/VLOOKUP(AZ89,Exposure!$B$33:$C$53,2,FALSE)</f>
        <v>1280387.1411343773</v>
      </c>
      <c r="AD89" s="2">
        <f>Q89*VLOOKUP(BP89,Exposure!$B$33:$C$53,2,FALSE)/VLOOKUP(BA89,Exposure!$B$33:$C$53,2,FALSE)</f>
        <v>32327.539918720642</v>
      </c>
      <c r="AE89" s="2">
        <f>R89*VLOOKUP(BQ89,Exposure!$B$33:$C$53,2,FALSE)/VLOOKUP(BB89,Exposure!$B$33:$C$53,2,FALSE)</f>
        <v>268902.56553880771</v>
      </c>
      <c r="AZ89" s="2">
        <f t="shared" si="57"/>
        <v>2023</v>
      </c>
      <c r="BA89" s="2">
        <f t="shared" si="65"/>
        <v>2024</v>
      </c>
      <c r="BB89" s="2">
        <f t="shared" si="65"/>
        <v>2025</v>
      </c>
      <c r="BD89" s="10"/>
      <c r="BO89" s="2">
        <v>2027</v>
      </c>
      <c r="BP89" s="2">
        <f t="shared" si="66"/>
        <v>2028</v>
      </c>
      <c r="BQ89" s="2">
        <f t="shared" si="66"/>
        <v>2029</v>
      </c>
      <c r="BS89" s="10"/>
    </row>
    <row r="90" spans="1:71" x14ac:dyDescent="0.3">
      <c r="A90" s="12">
        <v>45258</v>
      </c>
      <c r="B90" s="13">
        <v>7764.685869283373</v>
      </c>
      <c r="C90" s="13">
        <v>7764.7032952425216</v>
      </c>
      <c r="D90" s="13">
        <v>711278.92341799673</v>
      </c>
      <c r="O90" s="11">
        <f t="shared" si="54"/>
        <v>2023</v>
      </c>
      <c r="P90" s="36">
        <f t="shared" si="55"/>
        <v>1684.7394365714165</v>
      </c>
      <c r="Q90" s="36">
        <f t="shared" si="63"/>
        <v>87699.089136431241</v>
      </c>
      <c r="R90" s="36">
        <f t="shared" si="64"/>
        <v>205109.96097819536</v>
      </c>
      <c r="AB90" s="2">
        <f t="shared" si="56"/>
        <v>2023</v>
      </c>
      <c r="AC90" s="2">
        <f>P90*VLOOKUP(BO90,Exposure!$B$33:$C$53,2,FALSE)/VLOOKUP(AZ90,Exposure!$B$33:$C$53,2,FALSE)</f>
        <v>1964.4804530535696</v>
      </c>
      <c r="AD90" s="2">
        <f>Q90*VLOOKUP(BP90,Exposure!$B$33:$C$53,2,FALSE)/VLOOKUP(BA90,Exposure!$B$33:$C$53,2,FALSE)</f>
        <v>100947.49281831014</v>
      </c>
      <c r="AE90" s="2">
        <f>R90*VLOOKUP(BQ90,Exposure!$B$33:$C$53,2,FALSE)/VLOOKUP(BB90,Exposure!$B$33:$C$53,2,FALSE)</f>
        <v>234571.67878471001</v>
      </c>
      <c r="AZ90" s="2">
        <f t="shared" si="57"/>
        <v>2023</v>
      </c>
      <c r="BA90" s="2">
        <f t="shared" si="65"/>
        <v>2024</v>
      </c>
      <c r="BB90" s="2">
        <f t="shared" si="65"/>
        <v>2025</v>
      </c>
      <c r="BD90" s="10"/>
      <c r="BO90" s="2">
        <v>2027</v>
      </c>
      <c r="BP90" s="2">
        <f t="shared" si="66"/>
        <v>2028</v>
      </c>
      <c r="BQ90" s="2">
        <f t="shared" si="66"/>
        <v>2029</v>
      </c>
      <c r="BS90" s="10"/>
    </row>
    <row r="91" spans="1:71" x14ac:dyDescent="0.3">
      <c r="A91" s="12">
        <v>45264</v>
      </c>
      <c r="B91" s="13">
        <v>339333.81925055396</v>
      </c>
      <c r="C91" s="13">
        <v>339336.3573719397</v>
      </c>
      <c r="D91" s="13">
        <v>381612.07833238371</v>
      </c>
      <c r="O91" s="11">
        <f t="shared" si="54"/>
        <v>2023</v>
      </c>
      <c r="P91" s="36">
        <f t="shared" si="55"/>
        <v>7764.685869283373</v>
      </c>
      <c r="Q91" s="36">
        <f t="shared" si="63"/>
        <v>1.7425959148567927E-2</v>
      </c>
      <c r="R91" s="36">
        <f t="shared" si="64"/>
        <v>703514.22012275422</v>
      </c>
      <c r="AB91" s="2">
        <f t="shared" si="56"/>
        <v>2023</v>
      </c>
      <c r="AC91" s="2">
        <f>P91*VLOOKUP(BO91,Exposure!$B$33:$C$53,2,FALSE)/VLOOKUP(AZ91,Exposure!$B$33:$C$53,2,FALSE)</f>
        <v>9053.9660218025947</v>
      </c>
      <c r="AD91" s="2">
        <f>Q91*VLOOKUP(BP91,Exposure!$B$33:$C$53,2,FALSE)/VLOOKUP(BA91,Exposure!$B$33:$C$53,2,FALSE)</f>
        <v>2.0058439640868207E-2</v>
      </c>
      <c r="AE91" s="2">
        <f>R91*VLOOKUP(BQ91,Exposure!$B$33:$C$53,2,FALSE)/VLOOKUP(BB91,Exposure!$B$33:$C$53,2,FALSE)</f>
        <v>804566.05264848017</v>
      </c>
      <c r="AZ91" s="2">
        <f t="shared" si="57"/>
        <v>2023</v>
      </c>
      <c r="BA91" s="2">
        <f t="shared" si="65"/>
        <v>2024</v>
      </c>
      <c r="BB91" s="2">
        <f t="shared" si="65"/>
        <v>2025</v>
      </c>
      <c r="BD91" s="10"/>
      <c r="BO91" s="2">
        <v>2027</v>
      </c>
      <c r="BP91" s="2">
        <f t="shared" si="66"/>
        <v>2028</v>
      </c>
      <c r="BQ91" s="2">
        <f t="shared" si="66"/>
        <v>2029</v>
      </c>
      <c r="BS91" s="10"/>
    </row>
    <row r="92" spans="1:71" x14ac:dyDescent="0.3">
      <c r="A92" s="12">
        <v>45289</v>
      </c>
      <c r="B92" s="13">
        <v>21.091759059486929</v>
      </c>
      <c r="C92" s="13">
        <v>353410.74291337858</v>
      </c>
      <c r="D92" s="13">
        <v>359706.10901180503</v>
      </c>
      <c r="O92" s="11">
        <f t="shared" si="54"/>
        <v>2023</v>
      </c>
      <c r="P92" s="36">
        <f t="shared" si="55"/>
        <v>339333.81925055396</v>
      </c>
      <c r="Q92" s="36">
        <f t="shared" si="63"/>
        <v>2.5381213857326657</v>
      </c>
      <c r="R92" s="36">
        <f t="shared" si="64"/>
        <v>42275.720960444014</v>
      </c>
      <c r="AB92" s="2">
        <f t="shared" si="56"/>
        <v>2023</v>
      </c>
      <c r="AC92" s="2">
        <f>P92*VLOOKUP(BO92,Exposure!$B$33:$C$53,2,FALSE)/VLOOKUP(AZ92,Exposure!$B$33:$C$53,2,FALSE)</f>
        <v>395678.19242976949</v>
      </c>
      <c r="AD92" s="2">
        <f>Q92*VLOOKUP(BP92,Exposure!$B$33:$C$53,2,FALSE)/VLOOKUP(BA92,Exposure!$B$33:$C$53,2,FALSE)</f>
        <v>2.9215467672606885</v>
      </c>
      <c r="AE92" s="2">
        <f>R92*VLOOKUP(BQ92,Exposure!$B$33:$C$53,2,FALSE)/VLOOKUP(BB92,Exposure!$B$33:$C$53,2,FALSE)</f>
        <v>48348.148428439898</v>
      </c>
      <c r="AZ92" s="2">
        <f t="shared" si="57"/>
        <v>2023</v>
      </c>
      <c r="BA92" s="2">
        <f t="shared" si="65"/>
        <v>2024</v>
      </c>
      <c r="BB92" s="2">
        <f t="shared" si="65"/>
        <v>2025</v>
      </c>
      <c r="BD92" s="10"/>
      <c r="BO92" s="2">
        <v>2027</v>
      </c>
      <c r="BP92" s="2">
        <f t="shared" si="66"/>
        <v>2028</v>
      </c>
      <c r="BQ92" s="2">
        <f t="shared" si="66"/>
        <v>2029</v>
      </c>
      <c r="BS92" s="10"/>
    </row>
    <row r="93" spans="1:71" x14ac:dyDescent="0.3">
      <c r="A93" s="12">
        <v>45313</v>
      </c>
      <c r="B93" s="13">
        <v>33511.903359734541</v>
      </c>
      <c r="C93" s="13">
        <v>36789.731204687436</v>
      </c>
      <c r="O93" s="11">
        <f t="shared" si="54"/>
        <v>2023</v>
      </c>
      <c r="P93" s="36">
        <f t="shared" si="55"/>
        <v>21.091759059486929</v>
      </c>
      <c r="Q93" s="36">
        <f t="shared" si="63"/>
        <v>353389.65115431912</v>
      </c>
      <c r="R93" s="36">
        <f t="shared" si="64"/>
        <v>6295.366098426457</v>
      </c>
      <c r="AB93" s="2">
        <f t="shared" si="56"/>
        <v>2023</v>
      </c>
      <c r="AC93" s="2">
        <f>P93*VLOOKUP(BO93,Exposure!$B$33:$C$53,2,FALSE)/VLOOKUP(AZ93,Exposure!$B$33:$C$53,2,FALSE)</f>
        <v>24.593920871942025</v>
      </c>
      <c r="AD93" s="2">
        <f>Q93*VLOOKUP(BP93,Exposure!$B$33:$C$53,2,FALSE)/VLOOKUP(BA93,Exposure!$B$33:$C$53,2,FALSE)</f>
        <v>406775.02609484276</v>
      </c>
      <c r="AE93" s="2">
        <f>R93*VLOOKUP(BQ93,Exposure!$B$33:$C$53,2,FALSE)/VLOOKUP(BB93,Exposure!$B$33:$C$53,2,FALSE)</f>
        <v>7199.6239832995188</v>
      </c>
      <c r="AZ93" s="2">
        <f t="shared" si="57"/>
        <v>2023</v>
      </c>
      <c r="BA93" s="2">
        <f t="shared" si="65"/>
        <v>2024</v>
      </c>
      <c r="BB93" s="2">
        <f t="shared" si="65"/>
        <v>2025</v>
      </c>
      <c r="BD93" s="10"/>
      <c r="BO93" s="2">
        <v>2027</v>
      </c>
      <c r="BP93" s="2">
        <f t="shared" si="66"/>
        <v>2028</v>
      </c>
      <c r="BQ93" s="2">
        <f t="shared" si="66"/>
        <v>2029</v>
      </c>
      <c r="BS93" s="10"/>
    </row>
    <row r="94" spans="1:71" x14ac:dyDescent="0.3">
      <c r="A94" s="12">
        <v>45315</v>
      </c>
      <c r="B94" s="13">
        <v>221890.53413468183</v>
      </c>
      <c r="C94" s="13">
        <v>253796.99424552597</v>
      </c>
      <c r="O94" s="11">
        <f t="shared" si="54"/>
        <v>2024</v>
      </c>
      <c r="P94" s="36">
        <f t="shared" si="55"/>
        <v>33511.903359734541</v>
      </c>
      <c r="Q94" s="36">
        <f t="shared" si="63"/>
        <v>3277.8278449528952</v>
      </c>
      <c r="AB94" s="2">
        <f t="shared" si="56"/>
        <v>2024</v>
      </c>
      <c r="AC94" s="2">
        <f>P94*VLOOKUP(BO94,Exposure!$B$33:$C$53,2,FALSE)/VLOOKUP(AZ94,Exposure!$B$33:$C$53,2,FALSE)</f>
        <v>37342.142145904239</v>
      </c>
      <c r="AD94" s="2">
        <f>Q94*VLOOKUP(BP94,Exposure!$B$33:$C$53,2,FALSE)/VLOOKUP(BA94,Exposure!$B$33:$C$53,2,FALSE)</f>
        <v>3628.8970088063174</v>
      </c>
      <c r="AZ94" s="2">
        <f t="shared" si="57"/>
        <v>2024</v>
      </c>
      <c r="BA94" s="2">
        <f t="shared" si="65"/>
        <v>2025</v>
      </c>
      <c r="BD94" s="10"/>
      <c r="BO94" s="2">
        <v>2027</v>
      </c>
      <c r="BP94" s="2">
        <f t="shared" si="66"/>
        <v>2028</v>
      </c>
      <c r="BS94" s="10"/>
    </row>
    <row r="95" spans="1:71" x14ac:dyDescent="0.3">
      <c r="A95" s="12">
        <v>45321</v>
      </c>
      <c r="B95" s="13">
        <v>57704.345391124531</v>
      </c>
      <c r="C95" s="13">
        <v>61838.55559796853</v>
      </c>
      <c r="O95" s="11">
        <f t="shared" si="54"/>
        <v>2024</v>
      </c>
      <c r="P95" s="36">
        <f t="shared" si="55"/>
        <v>221890.53413468183</v>
      </c>
      <c r="Q95" s="36">
        <f t="shared" si="63"/>
        <v>31906.460110844142</v>
      </c>
      <c r="AB95" s="2">
        <f t="shared" si="56"/>
        <v>2024</v>
      </c>
      <c r="AC95" s="2">
        <f>P95*VLOOKUP(BO95,Exposure!$B$33:$C$53,2,FALSE)/VLOOKUP(AZ95,Exposure!$B$33:$C$53,2,FALSE)</f>
        <v>247251.48486921214</v>
      </c>
      <c r="AD95" s="2">
        <f>Q95*VLOOKUP(BP95,Exposure!$B$33:$C$53,2,FALSE)/VLOOKUP(BA95,Exposure!$B$33:$C$53,2,FALSE)</f>
        <v>35323.776334417082</v>
      </c>
      <c r="AZ95" s="2">
        <f t="shared" si="57"/>
        <v>2024</v>
      </c>
      <c r="BA95" s="2">
        <f t="shared" si="65"/>
        <v>2025</v>
      </c>
      <c r="BD95" s="10"/>
      <c r="BO95" s="2">
        <v>2027</v>
      </c>
      <c r="BP95" s="2">
        <f t="shared" si="66"/>
        <v>2028</v>
      </c>
      <c r="BS95" s="10"/>
    </row>
    <row r="96" spans="1:71" x14ac:dyDescent="0.3">
      <c r="A96" s="12">
        <v>45325</v>
      </c>
      <c r="B96" s="13">
        <v>71677.440134250981</v>
      </c>
      <c r="C96" s="13">
        <v>155007.98220196817</v>
      </c>
      <c r="O96" s="11">
        <f t="shared" si="54"/>
        <v>2024</v>
      </c>
      <c r="P96" s="36">
        <f t="shared" si="55"/>
        <v>57704.345391124531</v>
      </c>
      <c r="Q96" s="36">
        <f t="shared" si="63"/>
        <v>4134.2102068439999</v>
      </c>
      <c r="AB96" s="2">
        <f t="shared" si="56"/>
        <v>2024</v>
      </c>
      <c r="AC96" s="2">
        <f>P96*VLOOKUP(BO96,Exposure!$B$33:$C$53,2,FALSE)/VLOOKUP(AZ96,Exposure!$B$33:$C$53,2,FALSE)</f>
        <v>64299.656301252682</v>
      </c>
      <c r="AD96" s="2">
        <f>Q96*VLOOKUP(BP96,Exposure!$B$33:$C$53,2,FALSE)/VLOOKUP(BA96,Exposure!$B$33:$C$53,2,FALSE)</f>
        <v>4577.0015275492106</v>
      </c>
      <c r="AZ96" s="2">
        <f t="shared" si="57"/>
        <v>2024</v>
      </c>
      <c r="BA96" s="2">
        <f t="shared" si="65"/>
        <v>2025</v>
      </c>
      <c r="BD96" s="10"/>
      <c r="BO96" s="2">
        <v>2027</v>
      </c>
      <c r="BP96" s="2">
        <f t="shared" si="66"/>
        <v>2028</v>
      </c>
      <c r="BS96" s="10"/>
    </row>
    <row r="97" spans="1:71" x14ac:dyDescent="0.3">
      <c r="A97" s="12">
        <v>45340</v>
      </c>
      <c r="B97" s="13">
        <v>42786.603882289448</v>
      </c>
      <c r="C97" s="13">
        <v>64069.497101176763</v>
      </c>
      <c r="O97" s="11">
        <f t="shared" si="54"/>
        <v>2024</v>
      </c>
      <c r="P97" s="36">
        <f t="shared" si="55"/>
        <v>71677.440134250981</v>
      </c>
      <c r="Q97" s="36">
        <f t="shared" si="63"/>
        <v>83330.542067717193</v>
      </c>
      <c r="AB97" s="2">
        <f t="shared" si="56"/>
        <v>2024</v>
      </c>
      <c r="AC97" s="2">
        <f>P97*VLOOKUP(BO97,Exposure!$B$33:$C$53,2,FALSE)/VLOOKUP(AZ97,Exposure!$B$33:$C$53,2,FALSE)</f>
        <v>79869.804153342586</v>
      </c>
      <c r="AD97" s="2">
        <f>Q97*VLOOKUP(BP97,Exposure!$B$33:$C$53,2,FALSE)/VLOOKUP(BA97,Exposure!$B$33:$C$53,2,FALSE)</f>
        <v>92255.593995691874</v>
      </c>
      <c r="AZ97" s="2">
        <f t="shared" si="57"/>
        <v>2024</v>
      </c>
      <c r="BA97" s="2">
        <f t="shared" si="65"/>
        <v>2025</v>
      </c>
      <c r="BD97" s="10"/>
      <c r="BO97" s="2">
        <v>2027</v>
      </c>
      <c r="BP97" s="2">
        <f t="shared" si="66"/>
        <v>2028</v>
      </c>
      <c r="BS97" s="10"/>
    </row>
    <row r="98" spans="1:71" x14ac:dyDescent="0.3">
      <c r="A98" s="12">
        <v>45395</v>
      </c>
      <c r="B98" s="13">
        <v>479321.72555288073</v>
      </c>
      <c r="C98" s="13">
        <v>479618.81001639098</v>
      </c>
      <c r="O98" s="11">
        <f t="shared" si="54"/>
        <v>2024</v>
      </c>
      <c r="P98" s="36">
        <f t="shared" si="55"/>
        <v>42786.603882289448</v>
      </c>
      <c r="Q98" s="36">
        <f t="shared" si="63"/>
        <v>21282.893218887315</v>
      </c>
      <c r="AB98" s="2">
        <f t="shared" si="56"/>
        <v>2024</v>
      </c>
      <c r="AC98" s="2">
        <f>P98*VLOOKUP(BO98,Exposure!$B$33:$C$53,2,FALSE)/VLOOKUP(AZ98,Exposure!$B$33:$C$53,2,FALSE)</f>
        <v>47676.893399993583</v>
      </c>
      <c r="AD98" s="2">
        <f>Q98*VLOOKUP(BP98,Exposure!$B$33:$C$53,2,FALSE)/VLOOKUP(BA98,Exposure!$B$33:$C$53,2,FALSE)</f>
        <v>23562.380696620858</v>
      </c>
      <c r="AZ98" s="2">
        <f t="shared" si="57"/>
        <v>2024</v>
      </c>
      <c r="BA98" s="2">
        <f t="shared" si="65"/>
        <v>2025</v>
      </c>
      <c r="BD98" s="10"/>
      <c r="BO98" s="2">
        <v>2027</v>
      </c>
      <c r="BP98" s="2">
        <f t="shared" si="66"/>
        <v>2028</v>
      </c>
      <c r="BS98" s="10"/>
    </row>
    <row r="99" spans="1:71" x14ac:dyDescent="0.3">
      <c r="A99" s="12">
        <v>45401</v>
      </c>
      <c r="B99" s="13">
        <v>166493.34098573012</v>
      </c>
      <c r="C99" s="13">
        <v>172708.09712520047</v>
      </c>
      <c r="O99" s="11">
        <f t="shared" si="54"/>
        <v>2024</v>
      </c>
      <c r="P99" s="36">
        <f t="shared" si="55"/>
        <v>479321.72555288073</v>
      </c>
      <c r="Q99" s="36">
        <f t="shared" si="63"/>
        <v>297.08446351025486</v>
      </c>
      <c r="AB99" s="2">
        <f t="shared" si="56"/>
        <v>2024</v>
      </c>
      <c r="AC99" s="2">
        <f>P99*VLOOKUP(BO99,Exposure!$B$33:$C$53,2,FALSE)/VLOOKUP(AZ99,Exposure!$B$33:$C$53,2,FALSE)</f>
        <v>534105.74198306457</v>
      </c>
      <c r="AD99" s="2">
        <f>Q99*VLOOKUP(BP99,Exposure!$B$33:$C$53,2,FALSE)/VLOOKUP(BA99,Exposure!$B$33:$C$53,2,FALSE)</f>
        <v>328.90346045940265</v>
      </c>
      <c r="AZ99" s="2">
        <f t="shared" si="57"/>
        <v>2024</v>
      </c>
      <c r="BA99" s="2">
        <f t="shared" ref="BA99:BA106" si="67">$AZ99+BA$1-1</f>
        <v>2025</v>
      </c>
      <c r="BD99" s="10"/>
      <c r="BO99" s="2">
        <v>2027</v>
      </c>
      <c r="BP99" s="2">
        <f t="shared" ref="BP99:BP106" si="68">$BO99+BP$1-1</f>
        <v>2028</v>
      </c>
      <c r="BS99" s="10"/>
    </row>
    <row r="100" spans="1:71" x14ac:dyDescent="0.3">
      <c r="A100" s="12">
        <v>45408</v>
      </c>
      <c r="B100" s="13">
        <v>301863.0155183652</v>
      </c>
      <c r="C100" s="13">
        <v>337736.27114265674</v>
      </c>
      <c r="O100" s="11">
        <f t="shared" si="54"/>
        <v>2024</v>
      </c>
      <c r="P100" s="36">
        <f t="shared" si="55"/>
        <v>166493.34098573012</v>
      </c>
      <c r="Q100" s="36">
        <f t="shared" si="63"/>
        <v>6214.7561394703516</v>
      </c>
      <c r="AB100" s="2">
        <f t="shared" si="56"/>
        <v>2024</v>
      </c>
      <c r="AC100" s="2">
        <f>P100*VLOOKUP(BO100,Exposure!$B$33:$C$53,2,FALSE)/VLOOKUP(AZ100,Exposure!$B$33:$C$53,2,FALSE)</f>
        <v>185522.67648592568</v>
      </c>
      <c r="AD100" s="2">
        <f>Q100*VLOOKUP(BP100,Exposure!$B$33:$C$53,2,FALSE)/VLOOKUP(BA100,Exposure!$B$33:$C$53,2,FALSE)</f>
        <v>6880.382689930062</v>
      </c>
      <c r="AZ100" s="2">
        <f t="shared" si="57"/>
        <v>2024</v>
      </c>
      <c r="BA100" s="2">
        <f t="shared" si="67"/>
        <v>2025</v>
      </c>
      <c r="BD100" s="10"/>
      <c r="BO100" s="2">
        <v>2027</v>
      </c>
      <c r="BP100" s="2">
        <f t="shared" si="68"/>
        <v>2028</v>
      </c>
      <c r="BS100" s="10"/>
    </row>
    <row r="101" spans="1:71" x14ac:dyDescent="0.3">
      <c r="A101" s="12">
        <v>45419</v>
      </c>
      <c r="B101" s="13">
        <v>116096.90721555355</v>
      </c>
      <c r="C101" s="13">
        <v>272549.50671977049</v>
      </c>
      <c r="O101" s="11">
        <f t="shared" si="54"/>
        <v>2024</v>
      </c>
      <c r="P101" s="36">
        <f t="shared" si="55"/>
        <v>301863.0155183652</v>
      </c>
      <c r="Q101" s="36">
        <f t="shared" si="63"/>
        <v>35873.255624291545</v>
      </c>
      <c r="AB101" s="2">
        <f t="shared" si="56"/>
        <v>2024</v>
      </c>
      <c r="AC101" s="2">
        <f>P101*VLOOKUP(BO101,Exposure!$B$33:$C$53,2,FALSE)/VLOOKUP(AZ101,Exposure!$B$33:$C$53,2,FALSE)</f>
        <v>336364.4109699229</v>
      </c>
      <c r="AD101" s="2">
        <f>Q101*VLOOKUP(BP101,Exposure!$B$33:$C$53,2,FALSE)/VLOOKUP(BA101,Exposure!$B$33:$C$53,2,FALSE)</f>
        <v>39715.43234998871</v>
      </c>
      <c r="AZ101" s="2">
        <f t="shared" si="57"/>
        <v>2024</v>
      </c>
      <c r="BA101" s="2">
        <f t="shared" si="67"/>
        <v>2025</v>
      </c>
      <c r="BD101" s="10"/>
      <c r="BO101" s="2">
        <v>2027</v>
      </c>
      <c r="BP101" s="2">
        <f t="shared" si="68"/>
        <v>2028</v>
      </c>
      <c r="BS101" s="10"/>
    </row>
    <row r="102" spans="1:71" x14ac:dyDescent="0.3">
      <c r="A102" s="12">
        <v>45422</v>
      </c>
      <c r="B102" s="13">
        <v>575262.47401040117</v>
      </c>
      <c r="C102" s="13">
        <v>2197455.283929192</v>
      </c>
      <c r="O102" s="11">
        <f t="shared" si="54"/>
        <v>2024</v>
      </c>
      <c r="P102" s="36">
        <f t="shared" si="55"/>
        <v>116096.90721555355</v>
      </c>
      <c r="Q102" s="36">
        <f t="shared" si="63"/>
        <v>156452.59950421692</v>
      </c>
      <c r="AB102" s="2">
        <f t="shared" si="56"/>
        <v>2024</v>
      </c>
      <c r="AC102" s="2">
        <f>P102*VLOOKUP(BO102,Exposure!$B$33:$C$53,2,FALSE)/VLOOKUP(AZ102,Exposure!$B$33:$C$53,2,FALSE)</f>
        <v>129366.18864663012</v>
      </c>
      <c r="AD102" s="2">
        <f>Q102*VLOOKUP(BP102,Exposure!$B$33:$C$53,2,FALSE)/VLOOKUP(BA102,Exposure!$B$33:$C$53,2,FALSE)</f>
        <v>173209.33167220216</v>
      </c>
      <c r="AZ102" s="2">
        <f t="shared" si="57"/>
        <v>2024</v>
      </c>
      <c r="BA102" s="2">
        <f t="shared" si="67"/>
        <v>2025</v>
      </c>
      <c r="BD102" s="10"/>
      <c r="BO102" s="2">
        <v>2027</v>
      </c>
      <c r="BP102" s="2">
        <f t="shared" si="68"/>
        <v>2028</v>
      </c>
      <c r="BS102" s="10"/>
    </row>
    <row r="103" spans="1:71" x14ac:dyDescent="0.3">
      <c r="A103" s="12">
        <v>45534</v>
      </c>
      <c r="B103" s="13">
        <v>263392.46989321563</v>
      </c>
      <c r="C103" s="13">
        <v>3090549.9232898247</v>
      </c>
      <c r="O103" s="11">
        <f t="shared" si="54"/>
        <v>2024</v>
      </c>
      <c r="P103" s="36">
        <f t="shared" si="55"/>
        <v>575262.47401040117</v>
      </c>
      <c r="Q103" s="36">
        <f t="shared" si="63"/>
        <v>1622192.8099187908</v>
      </c>
      <c r="AB103" s="2">
        <f t="shared" si="56"/>
        <v>2024</v>
      </c>
      <c r="AC103" s="2">
        <f>P103*VLOOKUP(BO103,Exposure!$B$33:$C$53,2,FALSE)/VLOOKUP(AZ103,Exposure!$B$33:$C$53,2,FALSE)</f>
        <v>641012.02623756626</v>
      </c>
      <c r="AD103" s="2">
        <f>Q103*VLOOKUP(BP103,Exposure!$B$33:$C$53,2,FALSE)/VLOOKUP(BA103,Exposure!$B$33:$C$53,2,FALSE)</f>
        <v>1795936.4902844715</v>
      </c>
      <c r="AZ103" s="2">
        <f t="shared" si="57"/>
        <v>2024</v>
      </c>
      <c r="BA103" s="2">
        <f t="shared" si="67"/>
        <v>2025</v>
      </c>
      <c r="BD103" s="10"/>
      <c r="BO103" s="2">
        <v>2027</v>
      </c>
      <c r="BP103" s="2">
        <f t="shared" si="68"/>
        <v>2028</v>
      </c>
      <c r="BS103" s="10"/>
    </row>
    <row r="104" spans="1:71" x14ac:dyDescent="0.3">
      <c r="A104" s="12">
        <v>45535</v>
      </c>
      <c r="B104" s="13">
        <v>86465.9936432635</v>
      </c>
      <c r="C104" s="13">
        <v>128312.554345314</v>
      </c>
      <c r="O104" s="11">
        <f t="shared" si="54"/>
        <v>2024</v>
      </c>
      <c r="P104" s="36">
        <f t="shared" si="55"/>
        <v>263392.46989321563</v>
      </c>
      <c r="Q104" s="36">
        <f t="shared" si="63"/>
        <v>2827157.4533966091</v>
      </c>
      <c r="AB104" s="2">
        <f t="shared" si="56"/>
        <v>2024</v>
      </c>
      <c r="AC104" s="2">
        <f>P104*VLOOKUP(BO104,Exposure!$B$33:$C$53,2,FALSE)/VLOOKUP(AZ104,Exposure!$B$33:$C$53,2,FALSE)</f>
        <v>293496.87916357047</v>
      </c>
      <c r="AD104" s="2">
        <f>Q104*VLOOKUP(BP104,Exposure!$B$33:$C$53,2,FALSE)/VLOOKUP(BA104,Exposure!$B$33:$C$53,2,FALSE)</f>
        <v>3129957.9207165097</v>
      </c>
      <c r="AZ104" s="2">
        <f t="shared" si="57"/>
        <v>2024</v>
      </c>
      <c r="BA104" s="2">
        <f t="shared" si="67"/>
        <v>2025</v>
      </c>
      <c r="BD104" s="10"/>
      <c r="BO104" s="2">
        <v>2027</v>
      </c>
      <c r="BP104" s="2">
        <f t="shared" si="68"/>
        <v>2028</v>
      </c>
      <c r="BS104" s="10"/>
    </row>
    <row r="105" spans="1:71" x14ac:dyDescent="0.3">
      <c r="A105" s="12">
        <v>45559</v>
      </c>
      <c r="B105" s="13">
        <v>545971.80695423612</v>
      </c>
      <c r="C105" s="13">
        <v>829916.60102034535</v>
      </c>
      <c r="O105" s="11">
        <f t="shared" si="54"/>
        <v>2024</v>
      </c>
      <c r="P105" s="36">
        <f t="shared" si="55"/>
        <v>86465.9936432635</v>
      </c>
      <c r="Q105" s="36">
        <f t="shared" si="63"/>
        <v>41846.560702050498</v>
      </c>
      <c r="AB105" s="2">
        <f t="shared" si="56"/>
        <v>2024</v>
      </c>
      <c r="AC105" s="2">
        <f>P105*VLOOKUP(BO105,Exposure!$B$33:$C$53,2,FALSE)/VLOOKUP(AZ105,Exposure!$B$33:$C$53,2,FALSE)</f>
        <v>96348.613528562477</v>
      </c>
      <c r="AD105" s="2">
        <f>Q105*VLOOKUP(BP105,Exposure!$B$33:$C$53,2,FALSE)/VLOOKUP(BA105,Exposure!$B$33:$C$53,2,FALSE)</f>
        <v>46328.503552841517</v>
      </c>
      <c r="AZ105" s="2">
        <f t="shared" si="57"/>
        <v>2024</v>
      </c>
      <c r="BA105" s="2">
        <f t="shared" si="67"/>
        <v>2025</v>
      </c>
      <c r="BD105" s="10"/>
      <c r="BO105" s="2">
        <v>2027</v>
      </c>
      <c r="BP105" s="2">
        <f t="shared" si="68"/>
        <v>2028</v>
      </c>
      <c r="BS105" s="10"/>
    </row>
    <row r="106" spans="1:71" x14ac:dyDescent="0.3">
      <c r="A106" s="12">
        <v>45684</v>
      </c>
      <c r="B106" s="13">
        <v>86392.005561232319</v>
      </c>
      <c r="O106" s="11">
        <f t="shared" si="54"/>
        <v>2024</v>
      </c>
      <c r="P106" s="36">
        <f t="shared" si="55"/>
        <v>545971.80695423612</v>
      </c>
      <c r="Q106" s="36">
        <f t="shared" si="63"/>
        <v>283944.79406610923</v>
      </c>
      <c r="AB106" s="2">
        <f t="shared" si="56"/>
        <v>2024</v>
      </c>
      <c r="AC106" s="2">
        <f>P106*VLOOKUP(BO106,Exposure!$B$33:$C$53,2,FALSE)/VLOOKUP(AZ106,Exposure!$B$33:$C$53,2,FALSE)</f>
        <v>608373.58606845688</v>
      </c>
      <c r="AD106" s="2">
        <f>Q106*VLOOKUP(BP106,Exposure!$B$33:$C$53,2,FALSE)/VLOOKUP(BA106,Exposure!$B$33:$C$53,2,FALSE)</f>
        <v>314356.47709174833</v>
      </c>
      <c r="AZ106" s="2">
        <f t="shared" si="57"/>
        <v>2024</v>
      </c>
      <c r="BA106" s="2">
        <f t="shared" si="67"/>
        <v>2025</v>
      </c>
      <c r="BD106" s="10"/>
      <c r="BO106" s="2">
        <v>2027</v>
      </c>
      <c r="BP106" s="2">
        <f t="shared" si="68"/>
        <v>2028</v>
      </c>
      <c r="BS106" s="10"/>
    </row>
    <row r="107" spans="1:71" x14ac:dyDescent="0.3">
      <c r="A107" s="12">
        <v>45714</v>
      </c>
      <c r="B107" s="13">
        <v>191000.88874105562</v>
      </c>
      <c r="O107" s="11">
        <f t="shared" si="54"/>
        <v>2025</v>
      </c>
      <c r="P107" s="36">
        <f t="shared" si="55"/>
        <v>86392.005561232319</v>
      </c>
      <c r="AB107" s="2">
        <f t="shared" si="56"/>
        <v>2025</v>
      </c>
      <c r="AC107" s="2">
        <f>P107*VLOOKUP(BO107,Exposure!$B$33:$C$53,2,FALSE)/VLOOKUP(AZ107,Exposure!$B$33:$C$53,2,FALSE)</f>
        <v>92589.499632134815</v>
      </c>
      <c r="AZ107" s="2">
        <f t="shared" si="57"/>
        <v>2025</v>
      </c>
      <c r="BD107" s="10"/>
      <c r="BO107" s="2">
        <v>2027</v>
      </c>
      <c r="BS107" s="10"/>
    </row>
    <row r="108" spans="1:71" x14ac:dyDescent="0.3">
      <c r="A108" s="12">
        <v>45727</v>
      </c>
      <c r="B108" s="13">
        <v>3162813.0371006001</v>
      </c>
      <c r="O108" s="11">
        <f>YEAR($A107)</f>
        <v>2025</v>
      </c>
      <c r="P108" s="36">
        <f t="shared" si="55"/>
        <v>191000.88874105562</v>
      </c>
      <c r="AB108" s="2">
        <f t="shared" si="56"/>
        <v>2025</v>
      </c>
      <c r="AC108" s="2">
        <f>P108*VLOOKUP(BO108,Exposure!$B$33:$C$53,2,FALSE)/VLOOKUP(AZ108,Exposure!$B$33:$C$53,2,FALSE)</f>
        <v>204702.69908588903</v>
      </c>
      <c r="AZ108" s="2">
        <f t="shared" si="57"/>
        <v>2025</v>
      </c>
      <c r="BD108" s="10"/>
      <c r="BO108" s="2">
        <v>2027</v>
      </c>
      <c r="BS108" s="10"/>
    </row>
    <row r="109" spans="1:71" x14ac:dyDescent="0.3">
      <c r="A109" s="12">
        <v>45822</v>
      </c>
      <c r="B109" s="13">
        <v>1498.5753991861368</v>
      </c>
      <c r="O109" s="11">
        <f t="shared" ref="O109:O114" si="69">YEAR($A108)</f>
        <v>2025</v>
      </c>
      <c r="P109" s="36">
        <f t="shared" si="55"/>
        <v>3162813.0371006001</v>
      </c>
      <c r="AB109" s="2">
        <f t="shared" si="56"/>
        <v>2025</v>
      </c>
      <c r="AC109" s="2">
        <f>P109*VLOOKUP(BO109,Exposure!$B$33:$C$53,2,FALSE)/VLOOKUP(AZ109,Exposure!$B$33:$C$53,2,FALSE)</f>
        <v>3389703.4179577851</v>
      </c>
      <c r="AZ109" s="2">
        <f t="shared" si="57"/>
        <v>2025</v>
      </c>
      <c r="BD109" s="10"/>
      <c r="BO109" s="2">
        <v>2027</v>
      </c>
      <c r="BS109" s="10"/>
    </row>
    <row r="110" spans="1:71" x14ac:dyDescent="0.3">
      <c r="A110" s="12">
        <v>45838</v>
      </c>
      <c r="B110" s="13">
        <v>57668.737591559613</v>
      </c>
      <c r="O110" s="11">
        <f t="shared" si="69"/>
        <v>2025</v>
      </c>
      <c r="P110" s="36">
        <f t="shared" si="55"/>
        <v>1498.5753991861368</v>
      </c>
      <c r="AB110" s="2">
        <f t="shared" si="56"/>
        <v>2025</v>
      </c>
      <c r="AC110" s="2">
        <f>P110*VLOOKUP(BO110,Exposure!$B$33:$C$53,2,FALSE)/VLOOKUP(AZ110,Exposure!$B$33:$C$53,2,FALSE)</f>
        <v>1606.0785424564217</v>
      </c>
      <c r="AZ110" s="2">
        <f t="shared" si="57"/>
        <v>2025</v>
      </c>
      <c r="BD110" s="10"/>
      <c r="BO110" s="2">
        <v>2027</v>
      </c>
      <c r="BS110" s="10"/>
    </row>
    <row r="111" spans="1:71" x14ac:dyDescent="0.3">
      <c r="A111" s="12">
        <v>45939</v>
      </c>
      <c r="B111" s="13">
        <v>211027.15546776395</v>
      </c>
      <c r="O111" s="11">
        <f t="shared" si="69"/>
        <v>2025</v>
      </c>
      <c r="P111" s="36">
        <f t="shared" si="55"/>
        <v>57668.737591559613</v>
      </c>
      <c r="AB111" s="2">
        <f t="shared" si="56"/>
        <v>2025</v>
      </c>
      <c r="AC111" s="2">
        <f>P111*VLOOKUP(BO111,Exposure!$B$33:$C$53,2,FALSE)/VLOOKUP(AZ111,Exposure!$B$33:$C$53,2,FALSE)</f>
        <v>61805.713657554588</v>
      </c>
      <c r="AZ111" s="2">
        <f t="shared" si="57"/>
        <v>2025</v>
      </c>
      <c r="BD111" s="10"/>
      <c r="BO111" s="2">
        <v>2027</v>
      </c>
      <c r="BS111" s="10"/>
    </row>
    <row r="112" spans="1:71" x14ac:dyDescent="0.3">
      <c r="A112" s="12">
        <v>45968</v>
      </c>
      <c r="B112" s="13">
        <v>4659.4462329997368</v>
      </c>
      <c r="O112" s="11">
        <f t="shared" si="69"/>
        <v>2025</v>
      </c>
      <c r="P112" s="36">
        <f t="shared" si="55"/>
        <v>211027.15546776395</v>
      </c>
      <c r="AB112" s="2">
        <f t="shared" si="56"/>
        <v>2025</v>
      </c>
      <c r="AC112" s="2">
        <f>P112*VLOOKUP(BO112,Exposure!$B$33:$C$53,2,FALSE)/VLOOKUP(AZ112,Exposure!$B$33:$C$53,2,FALSE)</f>
        <v>226165.58796871945</v>
      </c>
      <c r="AZ112" s="2">
        <f t="shared" si="57"/>
        <v>2025</v>
      </c>
      <c r="BD112" s="10"/>
      <c r="BO112" s="2">
        <v>2027</v>
      </c>
      <c r="BS112" s="10"/>
    </row>
    <row r="113" spans="1:71" x14ac:dyDescent="0.3">
      <c r="A113" s="12">
        <v>46007</v>
      </c>
      <c r="B113" s="13">
        <v>518949.04893643688</v>
      </c>
      <c r="O113" s="11">
        <f t="shared" si="69"/>
        <v>2025</v>
      </c>
      <c r="P113" s="36">
        <f t="shared" si="55"/>
        <v>4659.4462329997368</v>
      </c>
      <c r="AB113" s="2">
        <f t="shared" si="56"/>
        <v>2025</v>
      </c>
      <c r="AC113" s="2">
        <f>P113*VLOOKUP(BO113,Exposure!$B$33:$C$53,2,FALSE)/VLOOKUP(AZ113,Exposure!$B$33:$C$53,2,FALSE)</f>
        <v>4993.7004294975559</v>
      </c>
      <c r="AZ113" s="2">
        <f t="shared" si="57"/>
        <v>2025</v>
      </c>
      <c r="BD113" s="10"/>
      <c r="BO113" s="2">
        <v>2027</v>
      </c>
      <c r="BS113" s="10"/>
    </row>
    <row r="114" spans="1:71" x14ac:dyDescent="0.3">
      <c r="A114" s="12">
        <v>46011</v>
      </c>
      <c r="B114" s="13">
        <v>67563.471632943081</v>
      </c>
      <c r="O114" s="11">
        <f t="shared" si="69"/>
        <v>2025</v>
      </c>
      <c r="P114" s="36">
        <f t="shared" si="55"/>
        <v>518949.04893643688</v>
      </c>
      <c r="AB114" s="2">
        <f t="shared" si="56"/>
        <v>2025</v>
      </c>
      <c r="AC114" s="2">
        <f>P114*VLOOKUP(BO114,Exposure!$B$33:$C$53,2,FALSE)/VLOOKUP(AZ114,Exposure!$B$33:$C$53,2,FALSE)</f>
        <v>556176.84140392975</v>
      </c>
      <c r="AZ114" s="2">
        <f t="shared" si="57"/>
        <v>2025</v>
      </c>
      <c r="BD114" s="10"/>
      <c r="BO114" s="2">
        <v>2027</v>
      </c>
      <c r="BS114" s="10"/>
    </row>
    <row r="115" spans="1:71" x14ac:dyDescent="0.3">
      <c r="A115" s="12"/>
      <c r="O115" s="11">
        <f>YEAR($A114)</f>
        <v>2025</v>
      </c>
      <c r="P115" s="36">
        <f t="shared" si="55"/>
        <v>67563.471632943081</v>
      </c>
      <c r="AB115" s="2">
        <f t="shared" si="56"/>
        <v>2025</v>
      </c>
      <c r="AC115" s="2">
        <f>P115*VLOOKUP(BO115,Exposure!$B$33:$C$53,2,FALSE)/VLOOKUP(AZ115,Exposure!$B$33:$C$53,2,FALSE)</f>
        <v>72410.265177491296</v>
      </c>
      <c r="AZ115" s="2">
        <f t="shared" si="57"/>
        <v>2025</v>
      </c>
      <c r="BD115" s="10"/>
      <c r="BO115" s="2">
        <v>2027</v>
      </c>
      <c r="BS115" s="10"/>
    </row>
    <row r="116" spans="1:71" x14ac:dyDescent="0.3">
      <c r="A116" s="12"/>
    </row>
    <row r="117" spans="1:71" x14ac:dyDescent="0.3">
      <c r="A117" s="12"/>
    </row>
    <row r="118" spans="1:71" x14ac:dyDescent="0.3">
      <c r="A118" s="12"/>
    </row>
    <row r="119" spans="1:71" x14ac:dyDescent="0.3">
      <c r="A119" s="12"/>
    </row>
    <row r="120" spans="1:71" x14ac:dyDescent="0.3">
      <c r="A120" s="12"/>
    </row>
    <row r="121" spans="1:71" ht="15" thickBot="1" x14ac:dyDescent="0.35">
      <c r="A121" s="12"/>
    </row>
    <row r="122" spans="1:71" ht="15" thickBot="1" x14ac:dyDescent="0.35">
      <c r="A122" s="90" t="s">
        <v>26</v>
      </c>
      <c r="B122" s="91"/>
    </row>
    <row r="123" spans="1:71" x14ac:dyDescent="0.3">
      <c r="A123" s="43" t="s">
        <v>27</v>
      </c>
      <c r="B123" s="13">
        <v>1</v>
      </c>
      <c r="C123" s="13">
        <v>2</v>
      </c>
      <c r="D123" s="13">
        <v>3</v>
      </c>
      <c r="E123" s="13">
        <v>4</v>
      </c>
      <c r="F123" s="13">
        <v>5</v>
      </c>
      <c r="G123" s="13">
        <v>6</v>
      </c>
      <c r="H123" s="13">
        <v>7</v>
      </c>
      <c r="I123" s="13">
        <v>8</v>
      </c>
      <c r="J123" s="13">
        <v>9</v>
      </c>
      <c r="K123" s="13">
        <v>10</v>
      </c>
    </row>
    <row r="124" spans="1:71" x14ac:dyDescent="0.3">
      <c r="A124" s="2">
        <f>$AB2</f>
        <v>2016</v>
      </c>
      <c r="B124" s="13">
        <f>$AC2</f>
        <v>1726.7181039962932</v>
      </c>
      <c r="C124" s="13">
        <f>B124+AD2</f>
        <v>285486.42318549292</v>
      </c>
      <c r="D124" s="13">
        <f t="shared" ref="D124:K124" si="70">C124+AE2</f>
        <v>286105.18920216523</v>
      </c>
      <c r="E124" s="13">
        <f t="shared" si="70"/>
        <v>310011.13515025016</v>
      </c>
      <c r="F124" s="13">
        <f t="shared" si="70"/>
        <v>655656.28306528169</v>
      </c>
      <c r="G124" s="13">
        <f t="shared" si="70"/>
        <v>655773.84047717764</v>
      </c>
      <c r="H124" s="13">
        <f t="shared" si="70"/>
        <v>714316.64463182027</v>
      </c>
      <c r="I124" s="13">
        <f t="shared" si="70"/>
        <v>719989.14672644075</v>
      </c>
      <c r="J124" s="13">
        <f t="shared" si="70"/>
        <v>740711.37841233658</v>
      </c>
      <c r="K124" s="13">
        <f t="shared" si="70"/>
        <v>740762.25827526569</v>
      </c>
    </row>
    <row r="125" spans="1:71" x14ac:dyDescent="0.3">
      <c r="A125" s="2">
        <f t="shared" ref="A125:A188" si="71">$AB3</f>
        <v>2016</v>
      </c>
      <c r="B125" s="13">
        <f t="shared" ref="B125:B188" si="72">$AC3</f>
        <v>214208.03648627794</v>
      </c>
      <c r="C125" s="13">
        <f t="shared" ref="C125:C138" si="73">B125+AD3</f>
        <v>408180.34690505086</v>
      </c>
      <c r="D125" s="13">
        <f t="shared" ref="D125:D138" si="74">C125+AE3</f>
        <v>818784.2626691669</v>
      </c>
      <c r="E125" s="13">
        <f t="shared" ref="E125:E138" si="75">D125+AF3</f>
        <v>1295819.4120164779</v>
      </c>
      <c r="F125" s="13">
        <f t="shared" ref="F125:F138" si="76">E125+AG3</f>
        <v>1633378.927105489</v>
      </c>
      <c r="G125" s="13">
        <f t="shared" ref="G125:G138" si="77">F125+AH3</f>
        <v>1634047.7511735603</v>
      </c>
      <c r="H125" s="13">
        <f t="shared" ref="H125:H138" si="78">G125+AI3</f>
        <v>1695206.388305553</v>
      </c>
      <c r="I125" s="13">
        <f t="shared" ref="I125:I138" si="79">H125+AJ3</f>
        <v>1715982.9411307394</v>
      </c>
      <c r="J125" s="13">
        <f t="shared" ref="J125:J138" si="80">I125+AK3</f>
        <v>1716589.5117279843</v>
      </c>
      <c r="K125" s="13">
        <f t="shared" ref="K125:K138" si="81">J125+AL3</f>
        <v>1716662.4510255686</v>
      </c>
    </row>
    <row r="126" spans="1:71" x14ac:dyDescent="0.3">
      <c r="A126" s="2">
        <f t="shared" si="71"/>
        <v>2016</v>
      </c>
      <c r="B126" s="13">
        <f t="shared" si="72"/>
        <v>1438.5007798161876</v>
      </c>
      <c r="C126" s="13">
        <f t="shared" si="73"/>
        <v>35418.67550610051</v>
      </c>
      <c r="D126" s="13">
        <f t="shared" si="74"/>
        <v>71073.71687946716</v>
      </c>
      <c r="E126" s="13">
        <f t="shared" si="75"/>
        <v>864417.15853350563</v>
      </c>
      <c r="F126" s="13">
        <f t="shared" si="76"/>
        <v>879742.8373713902</v>
      </c>
      <c r="G126" s="13">
        <f t="shared" si="77"/>
        <v>887635.92258188385</v>
      </c>
      <c r="H126" s="13">
        <f t="shared" si="78"/>
        <v>887642.20165994321</v>
      </c>
      <c r="I126" s="13">
        <f t="shared" si="79"/>
        <v>903093.45574915467</v>
      </c>
      <c r="J126" s="13">
        <f t="shared" si="80"/>
        <v>912723.22730432206</v>
      </c>
      <c r="K126" s="13">
        <f t="shared" si="81"/>
        <v>917036.9555924451</v>
      </c>
    </row>
    <row r="127" spans="1:71" x14ac:dyDescent="0.3">
      <c r="A127" s="2">
        <f t="shared" si="71"/>
        <v>2016</v>
      </c>
      <c r="B127" s="13">
        <f t="shared" si="72"/>
        <v>63564.432430362962</v>
      </c>
      <c r="C127" s="13">
        <f t="shared" si="73"/>
        <v>1292097.7186425279</v>
      </c>
      <c r="D127" s="13">
        <f t="shared" si="74"/>
        <v>3432674.6941577382</v>
      </c>
      <c r="E127" s="13">
        <f t="shared" si="75"/>
        <v>3687089.8753104997</v>
      </c>
      <c r="F127" s="13">
        <f t="shared" si="76"/>
        <v>3784606.9082612284</v>
      </c>
      <c r="G127" s="13">
        <f t="shared" si="77"/>
        <v>4008334.0687958142</v>
      </c>
      <c r="H127" s="13">
        <f t="shared" si="78"/>
        <v>4055685.8138263673</v>
      </c>
      <c r="I127" s="13">
        <f t="shared" si="79"/>
        <v>4058584.3179907706</v>
      </c>
      <c r="J127" s="13">
        <f t="shared" si="80"/>
        <v>4231654.680316478</v>
      </c>
      <c r="K127" s="13">
        <f t="shared" si="81"/>
        <v>4238721.5568052502</v>
      </c>
    </row>
    <row r="128" spans="1:71" x14ac:dyDescent="0.3">
      <c r="A128" s="2">
        <f t="shared" si="71"/>
        <v>2016</v>
      </c>
      <c r="B128" s="13">
        <f t="shared" si="72"/>
        <v>50505.182501113275</v>
      </c>
      <c r="C128" s="13">
        <f t="shared" si="73"/>
        <v>70673.913624850393</v>
      </c>
      <c r="D128" s="13">
        <f t="shared" si="74"/>
        <v>653377.1722435595</v>
      </c>
      <c r="E128" s="13">
        <f t="shared" si="75"/>
        <v>662582.34655883943</v>
      </c>
      <c r="F128" s="13">
        <f t="shared" si="76"/>
        <v>685085.44056249096</v>
      </c>
      <c r="G128" s="13">
        <f t="shared" si="77"/>
        <v>1511757.6816906086</v>
      </c>
      <c r="H128" s="13">
        <f t="shared" si="78"/>
        <v>1521750.1864478106</v>
      </c>
      <c r="I128" s="13">
        <f t="shared" si="79"/>
        <v>1522256.8210255657</v>
      </c>
      <c r="J128" s="13">
        <f t="shared" si="80"/>
        <v>1523619.9481674675</v>
      </c>
      <c r="K128" s="13">
        <f t="shared" si="81"/>
        <v>1526276.5542783281</v>
      </c>
    </row>
    <row r="129" spans="1:11" x14ac:dyDescent="0.3">
      <c r="A129" s="2">
        <f t="shared" si="71"/>
        <v>2016</v>
      </c>
      <c r="B129" s="13">
        <f t="shared" si="72"/>
        <v>365355.75535303587</v>
      </c>
      <c r="C129" s="13">
        <f t="shared" si="73"/>
        <v>526689.5372867079</v>
      </c>
      <c r="D129" s="13">
        <f t="shared" si="74"/>
        <v>564034.94214833539</v>
      </c>
      <c r="E129" s="13">
        <f t="shared" si="75"/>
        <v>835735.31923590624</v>
      </c>
      <c r="F129" s="13">
        <f t="shared" si="76"/>
        <v>2987011.3370246999</v>
      </c>
      <c r="G129" s="13">
        <f t="shared" si="77"/>
        <v>3029903.6702499921</v>
      </c>
      <c r="H129" s="13">
        <f t="shared" si="78"/>
        <v>3031480.5614197119</v>
      </c>
      <c r="I129" s="13">
        <f t="shared" si="79"/>
        <v>3031504.8770173849</v>
      </c>
      <c r="J129" s="13">
        <f t="shared" si="80"/>
        <v>3031528.3989425306</v>
      </c>
      <c r="K129" s="13">
        <f t="shared" si="81"/>
        <v>3031528.4619387658</v>
      </c>
    </row>
    <row r="130" spans="1:11" x14ac:dyDescent="0.3">
      <c r="A130" s="2">
        <f t="shared" si="71"/>
        <v>2016</v>
      </c>
      <c r="B130" s="13">
        <f t="shared" si="72"/>
        <v>261626.34880820208</v>
      </c>
      <c r="C130" s="13">
        <f t="shared" si="73"/>
        <v>6874609.10972628</v>
      </c>
      <c r="D130" s="13">
        <f t="shared" si="74"/>
        <v>7065424.7156496858</v>
      </c>
      <c r="E130" s="13">
        <f t="shared" si="75"/>
        <v>10744710.664500857</v>
      </c>
      <c r="F130" s="13">
        <f t="shared" si="76"/>
        <v>11031140.707639238</v>
      </c>
      <c r="G130" s="13">
        <f t="shared" si="77"/>
        <v>11767427.814788308</v>
      </c>
      <c r="H130" s="13">
        <f t="shared" si="78"/>
        <v>12781502.636395864</v>
      </c>
      <c r="I130" s="13">
        <f t="shared" si="79"/>
        <v>12801894.392733807</v>
      </c>
      <c r="J130" s="13">
        <f t="shared" si="80"/>
        <v>12815153.62502083</v>
      </c>
      <c r="K130" s="13">
        <f t="shared" si="81"/>
        <v>12822197.619585168</v>
      </c>
    </row>
    <row r="131" spans="1:11" x14ac:dyDescent="0.3">
      <c r="A131" s="2">
        <f t="shared" si="71"/>
        <v>2016</v>
      </c>
      <c r="B131" s="13">
        <f t="shared" si="72"/>
        <v>306531.4290529624</v>
      </c>
      <c r="C131" s="13">
        <f t="shared" si="73"/>
        <v>972413.6112862858</v>
      </c>
      <c r="D131" s="13">
        <f t="shared" si="74"/>
        <v>1016011.0780379361</v>
      </c>
      <c r="E131" s="13">
        <f t="shared" si="75"/>
        <v>1022659.3567438102</v>
      </c>
      <c r="F131" s="13">
        <f t="shared" si="76"/>
        <v>1104858.9789752404</v>
      </c>
      <c r="G131" s="13">
        <f t="shared" si="77"/>
        <v>1173112.5436437612</v>
      </c>
      <c r="H131" s="13">
        <f t="shared" si="78"/>
        <v>1174615.3723100645</v>
      </c>
      <c r="I131" s="13">
        <f t="shared" si="79"/>
        <v>1178904.3627655292</v>
      </c>
      <c r="J131" s="13">
        <f t="shared" si="80"/>
        <v>1179544.1503557402</v>
      </c>
      <c r="K131" s="13">
        <f t="shared" si="81"/>
        <v>1264766.3502600612</v>
      </c>
    </row>
    <row r="132" spans="1:11" x14ac:dyDescent="0.3">
      <c r="A132" s="2">
        <f t="shared" si="71"/>
        <v>2016</v>
      </c>
      <c r="B132" s="13">
        <f t="shared" si="72"/>
        <v>1130.9489057999997</v>
      </c>
      <c r="C132" s="13">
        <f t="shared" si="73"/>
        <v>346192.4548463049</v>
      </c>
      <c r="D132" s="13">
        <f t="shared" si="74"/>
        <v>396807.00624823669</v>
      </c>
      <c r="E132" s="13">
        <f t="shared" si="75"/>
        <v>662414.10700633936</v>
      </c>
      <c r="F132" s="13">
        <f t="shared" si="76"/>
        <v>961892.38599183678</v>
      </c>
      <c r="G132" s="13">
        <f t="shared" si="77"/>
        <v>961904.38568224316</v>
      </c>
      <c r="H132" s="13">
        <f t="shared" si="78"/>
        <v>965841.21793213324</v>
      </c>
      <c r="I132" s="13">
        <f t="shared" si="79"/>
        <v>966514.08455134637</v>
      </c>
      <c r="J132" s="13">
        <f t="shared" si="80"/>
        <v>966546.38539875171</v>
      </c>
      <c r="K132" s="13">
        <f t="shared" si="81"/>
        <v>966548.02122047276</v>
      </c>
    </row>
    <row r="133" spans="1:11" x14ac:dyDescent="0.3">
      <c r="A133" s="2">
        <f t="shared" si="71"/>
        <v>2016</v>
      </c>
      <c r="B133" s="13">
        <f t="shared" si="72"/>
        <v>1199022.2811230018</v>
      </c>
      <c r="C133" s="13">
        <f t="shared" si="73"/>
        <v>1205260.6045393646</v>
      </c>
      <c r="D133" s="13">
        <f t="shared" si="74"/>
        <v>1844612.1816921406</v>
      </c>
      <c r="E133" s="13">
        <f t="shared" si="75"/>
        <v>1863793.5284404003</v>
      </c>
      <c r="F133" s="13">
        <f t="shared" si="76"/>
        <v>3414487.4430430094</v>
      </c>
      <c r="G133" s="13">
        <f t="shared" si="77"/>
        <v>3644651.6124627884</v>
      </c>
      <c r="H133" s="13">
        <f t="shared" si="78"/>
        <v>3671349.486831015</v>
      </c>
      <c r="I133" s="13">
        <f t="shared" si="79"/>
        <v>3690422.0126254903</v>
      </c>
      <c r="J133" s="13">
        <f t="shared" si="80"/>
        <v>3692723.6809277968</v>
      </c>
      <c r="K133" s="13">
        <f t="shared" si="81"/>
        <v>3692731.9942140603</v>
      </c>
    </row>
    <row r="134" spans="1:11" x14ac:dyDescent="0.3">
      <c r="A134" s="2">
        <f t="shared" si="71"/>
        <v>2016</v>
      </c>
      <c r="B134" s="13">
        <f t="shared" si="72"/>
        <v>35514.14576649919</v>
      </c>
      <c r="C134" s="13">
        <f t="shared" si="73"/>
        <v>358499.43507123145</v>
      </c>
      <c r="D134" s="13">
        <f t="shared" si="74"/>
        <v>3039000.7064789901</v>
      </c>
      <c r="E134" s="13">
        <f t="shared" si="75"/>
        <v>3088947.5649135029</v>
      </c>
      <c r="F134" s="13">
        <f t="shared" si="76"/>
        <v>3431430.1944038295</v>
      </c>
      <c r="G134" s="13">
        <f t="shared" si="77"/>
        <v>3442465.3161816625</v>
      </c>
      <c r="H134" s="13">
        <f t="shared" si="78"/>
        <v>3457285.1580805667</v>
      </c>
      <c r="I134" s="13">
        <f t="shared" si="79"/>
        <v>3457285.2508988064</v>
      </c>
      <c r="J134" s="13">
        <f t="shared" si="80"/>
        <v>3457632.2464670879</v>
      </c>
      <c r="K134" s="13">
        <f t="shared" si="81"/>
        <v>3457633.4070184338</v>
      </c>
    </row>
    <row r="135" spans="1:11" x14ac:dyDescent="0.3">
      <c r="A135" s="2">
        <f t="shared" si="71"/>
        <v>2016</v>
      </c>
      <c r="B135" s="13">
        <f t="shared" si="72"/>
        <v>8383.9103839311338</v>
      </c>
      <c r="C135" s="13">
        <f t="shared" si="73"/>
        <v>575168.53376337141</v>
      </c>
      <c r="D135" s="13">
        <f t="shared" si="74"/>
        <v>591291.34941636678</v>
      </c>
      <c r="E135" s="13">
        <f t="shared" si="75"/>
        <v>1774436.3128038836</v>
      </c>
      <c r="F135" s="13">
        <f t="shared" si="76"/>
        <v>1873372.8379627112</v>
      </c>
      <c r="G135" s="13">
        <f t="shared" si="77"/>
        <v>1887033.906798264</v>
      </c>
      <c r="H135" s="13">
        <f t="shared" si="78"/>
        <v>1887036.3369508621</v>
      </c>
      <c r="I135" s="13">
        <f t="shared" si="79"/>
        <v>1887037.1992200688</v>
      </c>
      <c r="J135" s="13">
        <f t="shared" si="80"/>
        <v>1887039.4353618654</v>
      </c>
      <c r="K135" s="13">
        <f t="shared" si="81"/>
        <v>1887040.3040331653</v>
      </c>
    </row>
    <row r="136" spans="1:11" x14ac:dyDescent="0.3">
      <c r="A136" s="2">
        <f t="shared" si="71"/>
        <v>2016</v>
      </c>
      <c r="B136" s="13">
        <f t="shared" si="72"/>
        <v>77897.509538109007</v>
      </c>
      <c r="C136" s="13">
        <f t="shared" si="73"/>
        <v>93985.273428232176</v>
      </c>
      <c r="D136" s="13">
        <f t="shared" si="74"/>
        <v>1244385.8207938967</v>
      </c>
      <c r="E136" s="13">
        <f t="shared" si="75"/>
        <v>1323881.0503070611</v>
      </c>
      <c r="F136" s="13">
        <f t="shared" si="76"/>
        <v>1323982.7460142772</v>
      </c>
      <c r="G136" s="13">
        <f t="shared" si="77"/>
        <v>1327514.6035196518</v>
      </c>
      <c r="H136" s="13">
        <f t="shared" si="78"/>
        <v>1328088.6057507989</v>
      </c>
      <c r="I136" s="13">
        <f t="shared" si="79"/>
        <v>1328119.6269758318</v>
      </c>
      <c r="J136" s="13">
        <f t="shared" si="80"/>
        <v>1328148.9146219164</v>
      </c>
      <c r="K136" s="13">
        <f t="shared" si="81"/>
        <v>1328197.2139352183</v>
      </c>
    </row>
    <row r="137" spans="1:11" x14ac:dyDescent="0.3">
      <c r="A137" s="2">
        <f t="shared" si="71"/>
        <v>2016</v>
      </c>
      <c r="B137" s="13">
        <f t="shared" si="72"/>
        <v>2057898.1930741186</v>
      </c>
      <c r="C137" s="13">
        <f t="shared" si="73"/>
        <v>2072811.2434166507</v>
      </c>
      <c r="D137" s="13">
        <f t="shared" si="74"/>
        <v>2077224.3555852638</v>
      </c>
      <c r="E137" s="13">
        <f t="shared" si="75"/>
        <v>2228368.916436146</v>
      </c>
      <c r="F137" s="13">
        <f t="shared" si="76"/>
        <v>2850774.8811284173</v>
      </c>
      <c r="G137" s="13">
        <f t="shared" si="77"/>
        <v>3596309.1203157669</v>
      </c>
      <c r="H137" s="13">
        <f t="shared" si="78"/>
        <v>3670249.2230686089</v>
      </c>
      <c r="I137" s="13">
        <f t="shared" si="79"/>
        <v>3757554.6428337814</v>
      </c>
      <c r="J137" s="13">
        <f t="shared" si="80"/>
        <v>3760020.7747130315</v>
      </c>
      <c r="K137" s="13">
        <f t="shared" si="81"/>
        <v>3760047.0722310725</v>
      </c>
    </row>
    <row r="138" spans="1:11" x14ac:dyDescent="0.3">
      <c r="A138" s="2">
        <f t="shared" si="71"/>
        <v>2016</v>
      </c>
      <c r="B138" s="13">
        <f t="shared" si="72"/>
        <v>656005.71316448739</v>
      </c>
      <c r="C138" s="13">
        <f t="shared" si="73"/>
        <v>1349496.6797428573</v>
      </c>
      <c r="D138" s="13">
        <f t="shared" si="74"/>
        <v>1357942.5005600809</v>
      </c>
      <c r="E138" s="13">
        <f t="shared" si="75"/>
        <v>1414792.6005547724</v>
      </c>
      <c r="F138" s="13">
        <f t="shared" si="76"/>
        <v>1664604.8285536263</v>
      </c>
      <c r="G138" s="13">
        <f t="shared" si="77"/>
        <v>1867149.4472551367</v>
      </c>
      <c r="H138" s="13">
        <f t="shared" si="78"/>
        <v>2109387.480660656</v>
      </c>
      <c r="I138" s="13">
        <f t="shared" si="79"/>
        <v>2321499.7416039594</v>
      </c>
      <c r="J138" s="13">
        <f t="shared" si="80"/>
        <v>3648484.8129568286</v>
      </c>
      <c r="K138" s="13">
        <f t="shared" si="81"/>
        <v>3662608.134464283</v>
      </c>
    </row>
    <row r="139" spans="1:11" x14ac:dyDescent="0.3">
      <c r="A139" s="2">
        <f t="shared" si="71"/>
        <v>2017</v>
      </c>
      <c r="B139" s="13">
        <f t="shared" si="72"/>
        <v>914807.40307194053</v>
      </c>
      <c r="C139" s="13">
        <f t="shared" ref="C139:C151" si="82">B139+AD17</f>
        <v>937334.9057779595</v>
      </c>
      <c r="D139" s="13">
        <f t="shared" ref="D139:D151" si="83">C139+AE17</f>
        <v>3052431.7548686019</v>
      </c>
      <c r="E139" s="13">
        <f t="shared" ref="E139:E151" si="84">D139+AF17</f>
        <v>3513867.4641207294</v>
      </c>
      <c r="F139" s="13">
        <f t="shared" ref="F139:F151" si="85">E139+AG17</f>
        <v>3892597.3334542937</v>
      </c>
      <c r="G139" s="13">
        <f t="shared" ref="G139:G151" si="86">F139+AH17</f>
        <v>4548034.8802460507</v>
      </c>
      <c r="H139" s="13">
        <f t="shared" ref="H139:H151" si="87">G139+AI17</f>
        <v>4549943.975828697</v>
      </c>
      <c r="I139" s="13">
        <f t="shared" ref="I139:I151" si="88">H139+AJ17</f>
        <v>4550469.7223048788</v>
      </c>
      <c r="J139" s="13">
        <f t="shared" ref="J139:J151" si="89">I139+AK17</f>
        <v>4550480.1611919608</v>
      </c>
    </row>
    <row r="140" spans="1:11" x14ac:dyDescent="0.3">
      <c r="A140" s="2">
        <f t="shared" si="71"/>
        <v>2017</v>
      </c>
      <c r="B140" s="13">
        <f t="shared" si="72"/>
        <v>460910.57213902124</v>
      </c>
      <c r="C140" s="13">
        <f t="shared" si="82"/>
        <v>502290.80920194212</v>
      </c>
      <c r="D140" s="13">
        <f t="shared" si="83"/>
        <v>512771.45388144749</v>
      </c>
      <c r="E140" s="13">
        <f t="shared" si="84"/>
        <v>1894954.659540395</v>
      </c>
      <c r="F140" s="13">
        <f t="shared" si="85"/>
        <v>1898756.4557388835</v>
      </c>
      <c r="G140" s="13">
        <f t="shared" si="86"/>
        <v>1921545.4922175165</v>
      </c>
      <c r="H140" s="13">
        <f t="shared" si="87"/>
        <v>1924796.8543690403</v>
      </c>
      <c r="I140" s="13">
        <f t="shared" si="88"/>
        <v>1948811.4269695489</v>
      </c>
      <c r="J140" s="13">
        <f t="shared" si="89"/>
        <v>1986910.1147827115</v>
      </c>
    </row>
    <row r="141" spans="1:11" x14ac:dyDescent="0.3">
      <c r="A141" s="2">
        <f t="shared" si="71"/>
        <v>2017</v>
      </c>
      <c r="B141" s="13">
        <f t="shared" si="72"/>
        <v>142859.2629253417</v>
      </c>
      <c r="C141" s="13">
        <f t="shared" si="82"/>
        <v>1314746.6703044351</v>
      </c>
      <c r="D141" s="13">
        <f t="shared" si="83"/>
        <v>1983080.1603138647</v>
      </c>
      <c r="E141" s="13">
        <f t="shared" si="84"/>
        <v>2102046.0120793781</v>
      </c>
      <c r="F141" s="13">
        <f t="shared" si="85"/>
        <v>2102326.931080034</v>
      </c>
      <c r="G141" s="13">
        <f t="shared" si="86"/>
        <v>2638813.0731119188</v>
      </c>
      <c r="H141" s="13">
        <f t="shared" si="87"/>
        <v>2643411.27684878</v>
      </c>
      <c r="I141" s="13">
        <f t="shared" si="88"/>
        <v>2816223.8039392186</v>
      </c>
      <c r="J141" s="13">
        <f t="shared" si="89"/>
        <v>2822550.6431119731</v>
      </c>
    </row>
    <row r="142" spans="1:11" x14ac:dyDescent="0.3">
      <c r="A142" s="2">
        <f t="shared" si="71"/>
        <v>2017</v>
      </c>
      <c r="B142" s="13">
        <f t="shared" si="72"/>
        <v>56283.595784063167</v>
      </c>
      <c r="C142" s="13">
        <f t="shared" si="82"/>
        <v>328923.51491796062</v>
      </c>
      <c r="D142" s="13">
        <f t="shared" si="83"/>
        <v>770060.52551080147</v>
      </c>
      <c r="E142" s="13">
        <f t="shared" si="84"/>
        <v>1157908.8229878978</v>
      </c>
      <c r="F142" s="13">
        <f t="shared" si="85"/>
        <v>1960746.7921862202</v>
      </c>
      <c r="G142" s="13">
        <f t="shared" si="86"/>
        <v>1960746.9652922743</v>
      </c>
      <c r="H142" s="13">
        <f t="shared" si="87"/>
        <v>1960747.0776972556</v>
      </c>
      <c r="I142" s="13">
        <f t="shared" si="88"/>
        <v>1960747.0782425886</v>
      </c>
      <c r="J142" s="13">
        <f t="shared" si="89"/>
        <v>1960747.0783189468</v>
      </c>
    </row>
    <row r="143" spans="1:11" x14ac:dyDescent="0.3">
      <c r="A143" s="2">
        <f t="shared" si="71"/>
        <v>2017</v>
      </c>
      <c r="B143" s="13">
        <f t="shared" si="72"/>
        <v>156297.17973751607</v>
      </c>
      <c r="C143" s="13">
        <f t="shared" si="82"/>
        <v>2420355.7582880668</v>
      </c>
      <c r="D143" s="13">
        <f t="shared" si="83"/>
        <v>2570176.8538731649</v>
      </c>
      <c r="E143" s="13">
        <f t="shared" si="84"/>
        <v>3934534.389789951</v>
      </c>
      <c r="F143" s="13">
        <f t="shared" si="85"/>
        <v>4028476.0061029806</v>
      </c>
      <c r="G143" s="13">
        <f t="shared" si="86"/>
        <v>4028674.4876655615</v>
      </c>
      <c r="H143" s="13">
        <f t="shared" si="87"/>
        <v>4059887.467418164</v>
      </c>
      <c r="I143" s="13">
        <f t="shared" si="88"/>
        <v>4064329.9617357394</v>
      </c>
      <c r="J143" s="13">
        <f t="shared" si="89"/>
        <v>4065230.9815606154</v>
      </c>
    </row>
    <row r="144" spans="1:11" x14ac:dyDescent="0.3">
      <c r="A144" s="2">
        <f t="shared" si="71"/>
        <v>2017</v>
      </c>
      <c r="B144" s="13">
        <f t="shared" si="72"/>
        <v>298559.8753934977</v>
      </c>
      <c r="C144" s="13">
        <f t="shared" si="82"/>
        <v>385790.98083082313</v>
      </c>
      <c r="D144" s="13">
        <f t="shared" si="83"/>
        <v>776338.82110288134</v>
      </c>
      <c r="E144" s="13">
        <f t="shared" si="84"/>
        <v>916656.27080480347</v>
      </c>
      <c r="F144" s="13">
        <f t="shared" si="85"/>
        <v>1648836.60430732</v>
      </c>
      <c r="G144" s="13">
        <f t="shared" si="86"/>
        <v>1649120.2340697788</v>
      </c>
      <c r="H144" s="13">
        <f t="shared" si="87"/>
        <v>1655057.4409772558</v>
      </c>
      <c r="I144" s="13">
        <f t="shared" si="88"/>
        <v>1655969.4361612315</v>
      </c>
      <c r="J144" s="13">
        <f t="shared" si="89"/>
        <v>1659147.7848088506</v>
      </c>
    </row>
    <row r="145" spans="1:10" x14ac:dyDescent="0.3">
      <c r="A145" s="2">
        <f t="shared" si="71"/>
        <v>2017</v>
      </c>
      <c r="B145" s="13">
        <f t="shared" si="72"/>
        <v>1637949.9050740201</v>
      </c>
      <c r="C145" s="13">
        <f t="shared" si="82"/>
        <v>1808447.9029392123</v>
      </c>
      <c r="D145" s="13">
        <f t="shared" si="83"/>
        <v>3196997.5047708103</v>
      </c>
      <c r="E145" s="13">
        <f t="shared" si="84"/>
        <v>3360409.3604299338</v>
      </c>
      <c r="F145" s="13">
        <f t="shared" si="85"/>
        <v>5902084.4827130791</v>
      </c>
      <c r="G145" s="13">
        <f t="shared" si="86"/>
        <v>6025014.0646145456</v>
      </c>
      <c r="H145" s="13">
        <f t="shared" si="87"/>
        <v>6026042.0788342906</v>
      </c>
      <c r="I145" s="13">
        <f t="shared" si="88"/>
        <v>6026055.3173176041</v>
      </c>
      <c r="J145" s="13">
        <f t="shared" si="89"/>
        <v>6026235.6913787564</v>
      </c>
    </row>
    <row r="146" spans="1:10" x14ac:dyDescent="0.3">
      <c r="A146" s="2">
        <f t="shared" si="71"/>
        <v>2017</v>
      </c>
      <c r="B146" s="13">
        <f t="shared" si="72"/>
        <v>497815.91431526723</v>
      </c>
      <c r="C146" s="13">
        <f t="shared" si="82"/>
        <v>552849.65214362985</v>
      </c>
      <c r="D146" s="13">
        <f t="shared" si="83"/>
        <v>616368.08724296221</v>
      </c>
      <c r="E146" s="13">
        <f t="shared" si="84"/>
        <v>1241300.936961676</v>
      </c>
      <c r="F146" s="13">
        <f t="shared" si="85"/>
        <v>2047569.4923583169</v>
      </c>
      <c r="G146" s="13">
        <f t="shared" si="86"/>
        <v>2156656.3794113323</v>
      </c>
      <c r="H146" s="13">
        <f t="shared" si="87"/>
        <v>2280768.301190007</v>
      </c>
      <c r="I146" s="13">
        <f t="shared" si="88"/>
        <v>2283844.3444124428</v>
      </c>
      <c r="J146" s="13">
        <f t="shared" si="89"/>
        <v>2345266.4127437617</v>
      </c>
    </row>
    <row r="147" spans="1:10" x14ac:dyDescent="0.3">
      <c r="A147" s="2">
        <f t="shared" si="71"/>
        <v>2017</v>
      </c>
      <c r="B147" s="13">
        <f t="shared" si="72"/>
        <v>4175.8556010328439</v>
      </c>
      <c r="C147" s="13">
        <f t="shared" si="82"/>
        <v>25482.973760494384</v>
      </c>
      <c r="D147" s="13">
        <f t="shared" si="83"/>
        <v>124692.60999277416</v>
      </c>
      <c r="E147" s="13">
        <f t="shared" si="84"/>
        <v>327163.37707937293</v>
      </c>
      <c r="F147" s="13">
        <f t="shared" si="85"/>
        <v>1003762.6022074423</v>
      </c>
      <c r="G147" s="13">
        <f t="shared" si="86"/>
        <v>1478393.2713310972</v>
      </c>
      <c r="H147" s="13">
        <f t="shared" si="87"/>
        <v>1534542.4812876063</v>
      </c>
      <c r="I147" s="13">
        <f t="shared" si="88"/>
        <v>1587371.2633723111</v>
      </c>
      <c r="J147" s="13">
        <f t="shared" si="89"/>
        <v>1605309.4210868736</v>
      </c>
    </row>
    <row r="148" spans="1:10" x14ac:dyDescent="0.3">
      <c r="A148" s="2">
        <f t="shared" si="71"/>
        <v>2017</v>
      </c>
      <c r="B148" s="13">
        <f t="shared" si="72"/>
        <v>64109.072066790024</v>
      </c>
      <c r="C148" s="13">
        <f t="shared" si="82"/>
        <v>171223.05329072083</v>
      </c>
      <c r="D148" s="13">
        <f t="shared" si="83"/>
        <v>801180.75244830712</v>
      </c>
      <c r="E148" s="13">
        <f t="shared" si="84"/>
        <v>808777.99585227645</v>
      </c>
      <c r="F148" s="13">
        <f t="shared" si="85"/>
        <v>855832.76098734664</v>
      </c>
      <c r="G148" s="13">
        <f t="shared" si="86"/>
        <v>927146.27746516676</v>
      </c>
      <c r="H148" s="13">
        <f t="shared" si="87"/>
        <v>1109852.027473226</v>
      </c>
      <c r="I148" s="13">
        <f t="shared" si="88"/>
        <v>1115297.4810976021</v>
      </c>
      <c r="J148" s="13">
        <f t="shared" si="89"/>
        <v>1116846.7634732386</v>
      </c>
    </row>
    <row r="149" spans="1:10" x14ac:dyDescent="0.3">
      <c r="A149" s="2">
        <f t="shared" si="71"/>
        <v>2017</v>
      </c>
      <c r="B149" s="13">
        <f t="shared" si="72"/>
        <v>191002.07092740125</v>
      </c>
      <c r="C149" s="13">
        <f t="shared" si="82"/>
        <v>208514.01783615749</v>
      </c>
      <c r="D149" s="13">
        <f t="shared" si="83"/>
        <v>240130.49163794017</v>
      </c>
      <c r="E149" s="13">
        <f t="shared" si="84"/>
        <v>3344248.5611534179</v>
      </c>
      <c r="F149" s="13">
        <f t="shared" si="85"/>
        <v>3368529.9453651765</v>
      </c>
      <c r="G149" s="13">
        <f t="shared" si="86"/>
        <v>3561024.2578560696</v>
      </c>
      <c r="H149" s="13">
        <f t="shared" si="87"/>
        <v>3561716.1433019447</v>
      </c>
      <c r="I149" s="13">
        <f t="shared" si="88"/>
        <v>3569591.8973846035</v>
      </c>
      <c r="J149" s="13">
        <f t="shared" si="89"/>
        <v>3569618.0568383485</v>
      </c>
    </row>
    <row r="150" spans="1:10" x14ac:dyDescent="0.3">
      <c r="A150" s="2">
        <f t="shared" si="71"/>
        <v>2017</v>
      </c>
      <c r="B150" s="13">
        <f t="shared" si="72"/>
        <v>90827.458506167764</v>
      </c>
      <c r="C150" s="13">
        <f t="shared" si="82"/>
        <v>282978.82783973677</v>
      </c>
      <c r="D150" s="13">
        <f t="shared" si="83"/>
        <v>592581.38214346487</v>
      </c>
      <c r="E150" s="13">
        <f t="shared" si="84"/>
        <v>3234022.1424099742</v>
      </c>
      <c r="F150" s="13">
        <f t="shared" si="85"/>
        <v>3367534.759414373</v>
      </c>
      <c r="G150" s="13">
        <f t="shared" si="86"/>
        <v>4415498.7643823205</v>
      </c>
      <c r="H150" s="13">
        <f t="shared" si="87"/>
        <v>5220815.9603517447</v>
      </c>
      <c r="I150" s="13">
        <f t="shared" si="88"/>
        <v>5222380.1708349213</v>
      </c>
      <c r="J150" s="13">
        <f t="shared" si="89"/>
        <v>5222635.1181233628</v>
      </c>
    </row>
    <row r="151" spans="1:10" x14ac:dyDescent="0.3">
      <c r="A151" s="2">
        <f t="shared" si="71"/>
        <v>2017</v>
      </c>
      <c r="B151" s="13">
        <f t="shared" si="72"/>
        <v>1307400.1321565777</v>
      </c>
      <c r="C151" s="13">
        <f t="shared" si="82"/>
        <v>2721557.7069910076</v>
      </c>
      <c r="D151" s="13">
        <f t="shared" si="83"/>
        <v>2745399.6830519503</v>
      </c>
      <c r="E151" s="13">
        <f t="shared" si="84"/>
        <v>2844447.5336866132</v>
      </c>
      <c r="F151" s="13">
        <f t="shared" si="85"/>
        <v>4844754.9008333785</v>
      </c>
      <c r="G151" s="13">
        <f t="shared" si="86"/>
        <v>4853276.6237741066</v>
      </c>
      <c r="H151" s="13">
        <f t="shared" si="87"/>
        <v>4853307.635491536</v>
      </c>
      <c r="I151" s="13">
        <f t="shared" si="88"/>
        <v>4853449.0551973358</v>
      </c>
      <c r="J151" s="13">
        <f t="shared" si="89"/>
        <v>4855325.3072015746</v>
      </c>
    </row>
    <row r="152" spans="1:10" x14ac:dyDescent="0.3">
      <c r="A152" s="2">
        <f t="shared" si="71"/>
        <v>2018</v>
      </c>
      <c r="B152" s="13">
        <f t="shared" si="72"/>
        <v>273535.88268818491</v>
      </c>
      <c r="C152" s="13">
        <f t="shared" ref="C152:C162" si="90">B152+AD30</f>
        <v>290593.15337222244</v>
      </c>
      <c r="D152" s="13">
        <f t="shared" ref="D152:D162" si="91">C152+AE30</f>
        <v>325994.06393314607</v>
      </c>
      <c r="E152" s="13">
        <f t="shared" ref="E152:E162" si="92">D152+AF30</f>
        <v>424138.05366145808</v>
      </c>
      <c r="F152" s="13">
        <f t="shared" ref="F152:F162" si="93">E152+AG30</f>
        <v>2199428.1586309411</v>
      </c>
      <c r="G152" s="13">
        <f t="shared" ref="G152:G162" si="94">F152+AH30</f>
        <v>2263967.9118905533</v>
      </c>
      <c r="H152" s="13">
        <f t="shared" ref="H152:H162" si="95">G152+AI30</f>
        <v>2266113.1909155208</v>
      </c>
      <c r="I152" s="13">
        <f t="shared" ref="I152:I162" si="96">H152+AJ30</f>
        <v>2273085.4207503465</v>
      </c>
    </row>
    <row r="153" spans="1:10" x14ac:dyDescent="0.3">
      <c r="A153" s="2">
        <f t="shared" si="71"/>
        <v>2018</v>
      </c>
      <c r="B153" s="13">
        <f t="shared" si="72"/>
        <v>261797.86675205527</v>
      </c>
      <c r="C153" s="13">
        <f t="shared" si="90"/>
        <v>647877.91775646585</v>
      </c>
      <c r="D153" s="13">
        <f t="shared" si="91"/>
        <v>2302581.4787657615</v>
      </c>
      <c r="E153" s="13">
        <f t="shared" si="92"/>
        <v>2537648.6497863107</v>
      </c>
      <c r="F153" s="13">
        <f t="shared" si="93"/>
        <v>2569840.048158884</v>
      </c>
      <c r="G153" s="13">
        <f t="shared" si="94"/>
        <v>2750129.1203580312</v>
      </c>
      <c r="H153" s="13">
        <f t="shared" si="95"/>
        <v>2755266.6493640319</v>
      </c>
      <c r="I153" s="13">
        <f t="shared" si="96"/>
        <v>2755266.6522144163</v>
      </c>
    </row>
    <row r="154" spans="1:10" x14ac:dyDescent="0.3">
      <c r="A154" s="2">
        <f t="shared" si="71"/>
        <v>2018</v>
      </c>
      <c r="B154" s="13">
        <f t="shared" si="72"/>
        <v>37363.090247835338</v>
      </c>
      <c r="C154" s="13">
        <f t="shared" si="90"/>
        <v>76095.557833487022</v>
      </c>
      <c r="D154" s="13">
        <f t="shared" si="91"/>
        <v>2201455.5993660009</v>
      </c>
      <c r="E154" s="13">
        <f t="shared" si="92"/>
        <v>2201490.5074951388</v>
      </c>
      <c r="F154" s="13">
        <f t="shared" si="93"/>
        <v>2386492.2533060601</v>
      </c>
      <c r="G154" s="13">
        <f t="shared" si="94"/>
        <v>2408342.6538002337</v>
      </c>
      <c r="H154" s="13">
        <f t="shared" si="95"/>
        <v>2419939.3424645145</v>
      </c>
      <c r="I154" s="13">
        <f t="shared" si="96"/>
        <v>2425789.4591386705</v>
      </c>
    </row>
    <row r="155" spans="1:10" x14ac:dyDescent="0.3">
      <c r="A155" s="2">
        <f t="shared" si="71"/>
        <v>2018</v>
      </c>
      <c r="B155" s="13">
        <f t="shared" si="72"/>
        <v>801897.83384163072</v>
      </c>
      <c r="C155" s="13">
        <f t="shared" si="90"/>
        <v>865217.80169615266</v>
      </c>
      <c r="D155" s="13">
        <f t="shared" si="91"/>
        <v>1922699.4937939898</v>
      </c>
      <c r="E155" s="13">
        <f t="shared" si="92"/>
        <v>2091901.8086182093</v>
      </c>
      <c r="F155" s="13">
        <f t="shared" si="93"/>
        <v>2092719.4048329303</v>
      </c>
      <c r="G155" s="13">
        <f t="shared" si="94"/>
        <v>2102847.1719344999</v>
      </c>
      <c r="H155" s="13">
        <f t="shared" si="95"/>
        <v>2115531.188174915</v>
      </c>
      <c r="I155" s="13">
        <f t="shared" si="96"/>
        <v>2141369.3812105879</v>
      </c>
    </row>
    <row r="156" spans="1:10" x14ac:dyDescent="0.3">
      <c r="A156" s="2">
        <f t="shared" si="71"/>
        <v>2018</v>
      </c>
      <c r="B156" s="13">
        <f t="shared" si="72"/>
        <v>926102.83180659416</v>
      </c>
      <c r="C156" s="13">
        <f t="shared" si="90"/>
        <v>1041097.7986606692</v>
      </c>
      <c r="D156" s="13">
        <f t="shared" si="91"/>
        <v>1251345.7541279411</v>
      </c>
      <c r="E156" s="13">
        <f t="shared" si="92"/>
        <v>2005464.9740034835</v>
      </c>
      <c r="F156" s="13">
        <f t="shared" si="93"/>
        <v>2006265.8806255008</v>
      </c>
      <c r="G156" s="13">
        <f t="shared" si="94"/>
        <v>2006557.6793253554</v>
      </c>
      <c r="H156" s="13">
        <f t="shared" si="95"/>
        <v>2017034.7266306947</v>
      </c>
      <c r="I156" s="13">
        <f t="shared" si="96"/>
        <v>2037416.8325766516</v>
      </c>
    </row>
    <row r="157" spans="1:10" x14ac:dyDescent="0.3">
      <c r="A157" s="2">
        <f t="shared" si="71"/>
        <v>2018</v>
      </c>
      <c r="B157" s="13">
        <f t="shared" si="72"/>
        <v>92850.115013738265</v>
      </c>
      <c r="C157" s="13">
        <f t="shared" si="90"/>
        <v>445054.21920618479</v>
      </c>
      <c r="D157" s="13">
        <f t="shared" si="91"/>
        <v>486909.92678563501</v>
      </c>
      <c r="E157" s="13">
        <f t="shared" si="92"/>
        <v>791525.20904711587</v>
      </c>
      <c r="F157" s="13">
        <f t="shared" si="93"/>
        <v>908767.55296590133</v>
      </c>
      <c r="G157" s="13">
        <f t="shared" si="94"/>
        <v>1001481.9097320546</v>
      </c>
      <c r="H157" s="13">
        <f t="shared" si="95"/>
        <v>1062531.3863166051</v>
      </c>
      <c r="I157" s="13">
        <f t="shared" si="96"/>
        <v>1278304.5245784132</v>
      </c>
    </row>
    <row r="158" spans="1:10" x14ac:dyDescent="0.3">
      <c r="A158" s="2">
        <f t="shared" si="71"/>
        <v>2018</v>
      </c>
      <c r="B158" s="13">
        <f t="shared" si="72"/>
        <v>50681.298117289618</v>
      </c>
      <c r="C158" s="13">
        <f t="shared" si="90"/>
        <v>65192.659679027565</v>
      </c>
      <c r="D158" s="13">
        <f t="shared" si="91"/>
        <v>1463386.891113787</v>
      </c>
      <c r="E158" s="13">
        <f t="shared" si="92"/>
        <v>1593035.2669143816</v>
      </c>
      <c r="F158" s="13">
        <f t="shared" si="93"/>
        <v>2004607.0689033396</v>
      </c>
      <c r="G158" s="13">
        <f t="shared" si="94"/>
        <v>2010882.7016563434</v>
      </c>
      <c r="H158" s="13">
        <f t="shared" si="95"/>
        <v>2014626.3991587015</v>
      </c>
      <c r="I158" s="13">
        <f t="shared" si="96"/>
        <v>2020561.2762940584</v>
      </c>
    </row>
    <row r="159" spans="1:10" x14ac:dyDescent="0.3">
      <c r="A159" s="2">
        <f t="shared" si="71"/>
        <v>2018</v>
      </c>
      <c r="B159" s="13">
        <f t="shared" si="72"/>
        <v>223810.99751633374</v>
      </c>
      <c r="C159" s="13">
        <f t="shared" si="90"/>
        <v>781704.17859572941</v>
      </c>
      <c r="D159" s="13">
        <f t="shared" si="91"/>
        <v>957211.90341092634</v>
      </c>
      <c r="E159" s="13">
        <f t="shared" si="92"/>
        <v>957239.83083441865</v>
      </c>
      <c r="F159" s="13">
        <f t="shared" si="93"/>
        <v>2808706.1484506112</v>
      </c>
      <c r="G159" s="13">
        <f t="shared" si="94"/>
        <v>3074607.9657599116</v>
      </c>
      <c r="H159" s="13">
        <f t="shared" si="95"/>
        <v>3115934.7114371485</v>
      </c>
      <c r="I159" s="13">
        <f t="shared" si="96"/>
        <v>3124907.4788035825</v>
      </c>
    </row>
    <row r="160" spans="1:10" x14ac:dyDescent="0.3">
      <c r="A160" s="2">
        <f t="shared" si="71"/>
        <v>2018</v>
      </c>
      <c r="B160" s="13">
        <f t="shared" si="72"/>
        <v>6499.894755307535</v>
      </c>
      <c r="C160" s="13">
        <f t="shared" si="90"/>
        <v>1022045.4207910561</v>
      </c>
      <c r="D160" s="13">
        <f t="shared" si="91"/>
        <v>2490990.1149421339</v>
      </c>
      <c r="E160" s="13">
        <f t="shared" si="92"/>
        <v>2616140.0032291473</v>
      </c>
      <c r="F160" s="13">
        <f t="shared" si="93"/>
        <v>3315940.3693176773</v>
      </c>
      <c r="G160" s="13">
        <f t="shared" si="94"/>
        <v>3316818.9657874438</v>
      </c>
      <c r="H160" s="13">
        <f t="shared" si="95"/>
        <v>3371799.2207738692</v>
      </c>
      <c r="I160" s="13">
        <f t="shared" si="96"/>
        <v>3373510.8018595991</v>
      </c>
    </row>
    <row r="161" spans="1:9" x14ac:dyDescent="0.3">
      <c r="A161" s="2">
        <f t="shared" si="71"/>
        <v>2018</v>
      </c>
      <c r="B161" s="13">
        <f t="shared" si="72"/>
        <v>63478.944141127969</v>
      </c>
      <c r="C161" s="13">
        <f t="shared" si="90"/>
        <v>77025.538732912173</v>
      </c>
      <c r="D161" s="13">
        <f t="shared" si="91"/>
        <v>329953.12286196841</v>
      </c>
      <c r="E161" s="13">
        <f t="shared" si="92"/>
        <v>848938.04290676373</v>
      </c>
      <c r="F161" s="13">
        <f t="shared" si="93"/>
        <v>1556833.8761508386</v>
      </c>
      <c r="G161" s="13">
        <f t="shared" si="94"/>
        <v>1710692.4940809091</v>
      </c>
      <c r="H161" s="13">
        <f t="shared" si="95"/>
        <v>1710924.2365652099</v>
      </c>
      <c r="I161" s="13">
        <f t="shared" si="96"/>
        <v>1711218.3345863237</v>
      </c>
    </row>
    <row r="162" spans="1:9" x14ac:dyDescent="0.3">
      <c r="A162" s="2">
        <f t="shared" si="71"/>
        <v>2018</v>
      </c>
      <c r="B162" s="13">
        <f t="shared" si="72"/>
        <v>914296.05299005727</v>
      </c>
      <c r="C162" s="13">
        <f t="shared" si="90"/>
        <v>2020558.342465966</v>
      </c>
      <c r="D162" s="13">
        <f t="shared" si="91"/>
        <v>2497572.02885229</v>
      </c>
      <c r="E162" s="13">
        <f t="shared" si="92"/>
        <v>3558440.0613074433</v>
      </c>
      <c r="F162" s="13">
        <f t="shared" si="93"/>
        <v>3786456.2627770673</v>
      </c>
      <c r="G162" s="13">
        <f t="shared" si="94"/>
        <v>3813692.0846618116</v>
      </c>
      <c r="H162" s="13">
        <f t="shared" si="95"/>
        <v>3813743.9631920047</v>
      </c>
      <c r="I162" s="13">
        <f t="shared" si="96"/>
        <v>3813962.6244563758</v>
      </c>
    </row>
    <row r="163" spans="1:9" x14ac:dyDescent="0.3">
      <c r="A163" s="2">
        <f t="shared" si="71"/>
        <v>2019</v>
      </c>
      <c r="B163" s="13">
        <f t="shared" si="72"/>
        <v>168973.78035162904</v>
      </c>
      <c r="C163" s="13">
        <f t="shared" ref="C163:C177" si="97">B163+AD41</f>
        <v>936744.06661670958</v>
      </c>
      <c r="D163" s="13">
        <f t="shared" ref="D163:D177" si="98">C163+AE41</f>
        <v>937999.73085630185</v>
      </c>
      <c r="E163" s="13">
        <f t="shared" ref="E163:E177" si="99">D163+AF41</f>
        <v>1874715.0862154691</v>
      </c>
      <c r="F163" s="13">
        <f t="shared" ref="F163:F177" si="100">E163+AG41</f>
        <v>2057613.798931991</v>
      </c>
      <c r="G163" s="13">
        <f t="shared" ref="G163:G177" si="101">F163+AH41</f>
        <v>2121748.0385414604</v>
      </c>
      <c r="H163" s="13">
        <f t="shared" ref="H163:H177" si="102">G163+AI41</f>
        <v>2151311.6992805554</v>
      </c>
    </row>
    <row r="164" spans="1:9" x14ac:dyDescent="0.3">
      <c r="A164" s="2">
        <f t="shared" si="71"/>
        <v>2019</v>
      </c>
      <c r="B164" s="13">
        <f t="shared" si="72"/>
        <v>62607.732625629549</v>
      </c>
      <c r="C164" s="13">
        <f t="shared" si="97"/>
        <v>64095.525651306663</v>
      </c>
      <c r="D164" s="13">
        <f t="shared" si="98"/>
        <v>954901.60999873152</v>
      </c>
      <c r="E164" s="13">
        <f t="shared" si="99"/>
        <v>955481.36917335668</v>
      </c>
      <c r="F164" s="13">
        <f t="shared" si="100"/>
        <v>1380649.0299392659</v>
      </c>
      <c r="G164" s="13">
        <f t="shared" si="101"/>
        <v>1439470.3567273675</v>
      </c>
      <c r="H164" s="13">
        <f t="shared" si="102"/>
        <v>1528542.3020188087</v>
      </c>
    </row>
    <row r="165" spans="1:9" x14ac:dyDescent="0.3">
      <c r="A165" s="2">
        <f t="shared" si="71"/>
        <v>2019</v>
      </c>
      <c r="B165" s="13">
        <f t="shared" si="72"/>
        <v>749046.38022164872</v>
      </c>
      <c r="C165" s="13">
        <f t="shared" si="97"/>
        <v>766953.75190999208</v>
      </c>
      <c r="D165" s="13">
        <f t="shared" si="98"/>
        <v>809706.65805516229</v>
      </c>
      <c r="E165" s="13">
        <f t="shared" si="99"/>
        <v>810646.91446565825</v>
      </c>
      <c r="F165" s="13">
        <f t="shared" si="100"/>
        <v>1319621.0254616053</v>
      </c>
      <c r="G165" s="13">
        <f t="shared" si="101"/>
        <v>1693934.1449042491</v>
      </c>
      <c r="H165" s="13">
        <f t="shared" si="102"/>
        <v>1950367.3151530519</v>
      </c>
    </row>
    <row r="166" spans="1:9" x14ac:dyDescent="0.3">
      <c r="A166" s="2">
        <f t="shared" si="71"/>
        <v>2019</v>
      </c>
      <c r="B166" s="13">
        <f t="shared" si="72"/>
        <v>240378.68115575085</v>
      </c>
      <c r="C166" s="13">
        <f t="shared" si="97"/>
        <v>283251.9514711863</v>
      </c>
      <c r="D166" s="13">
        <f t="shared" si="98"/>
        <v>761359.89442496782</v>
      </c>
      <c r="E166" s="13">
        <f t="shared" si="99"/>
        <v>1057851.7555558558</v>
      </c>
      <c r="F166" s="13">
        <f t="shared" si="100"/>
        <v>1124531.3186409744</v>
      </c>
      <c r="G166" s="13">
        <f t="shared" si="101"/>
        <v>1143311.339822989</v>
      </c>
      <c r="H166" s="13">
        <f t="shared" si="102"/>
        <v>1154129.9299958206</v>
      </c>
    </row>
    <row r="167" spans="1:9" x14ac:dyDescent="0.3">
      <c r="A167" s="2">
        <f t="shared" si="71"/>
        <v>2019</v>
      </c>
      <c r="B167" s="13">
        <f t="shared" si="72"/>
        <v>70614.939377711897</v>
      </c>
      <c r="C167" s="13">
        <f t="shared" si="97"/>
        <v>163983.57217671888</v>
      </c>
      <c r="D167" s="13">
        <f t="shared" si="98"/>
        <v>268457.93278934417</v>
      </c>
      <c r="E167" s="13">
        <f t="shared" si="99"/>
        <v>312168.65453076636</v>
      </c>
      <c r="F167" s="13">
        <f t="shared" si="100"/>
        <v>879193.98144943849</v>
      </c>
      <c r="G167" s="13">
        <f t="shared" si="101"/>
        <v>1631535.9157975432</v>
      </c>
      <c r="H167" s="13">
        <f t="shared" si="102"/>
        <v>1760569.9407081935</v>
      </c>
    </row>
    <row r="168" spans="1:9" x14ac:dyDescent="0.3">
      <c r="A168" s="2">
        <f t="shared" si="71"/>
        <v>2019</v>
      </c>
      <c r="B168" s="13">
        <f t="shared" si="72"/>
        <v>31835.750945092957</v>
      </c>
      <c r="C168" s="13">
        <f t="shared" si="97"/>
        <v>154707.73575733209</v>
      </c>
      <c r="D168" s="13">
        <f t="shared" si="98"/>
        <v>391217.28798236931</v>
      </c>
      <c r="E168" s="13">
        <f t="shared" si="99"/>
        <v>460647.47734745021</v>
      </c>
      <c r="F168" s="13">
        <f t="shared" si="100"/>
        <v>639459.27935429884</v>
      </c>
      <c r="G168" s="13">
        <f t="shared" si="101"/>
        <v>1276469.9629877373</v>
      </c>
      <c r="H168" s="13">
        <f t="shared" si="102"/>
        <v>1276943.7326384482</v>
      </c>
    </row>
    <row r="169" spans="1:9" x14ac:dyDescent="0.3">
      <c r="A169" s="2">
        <f t="shared" si="71"/>
        <v>2019</v>
      </c>
      <c r="B169" s="13">
        <f t="shared" si="72"/>
        <v>666867.36346154672</v>
      </c>
      <c r="C169" s="13">
        <f t="shared" si="97"/>
        <v>3017225.1684260797</v>
      </c>
      <c r="D169" s="13">
        <f t="shared" si="98"/>
        <v>3129816.7473597419</v>
      </c>
      <c r="E169" s="13">
        <f t="shared" si="99"/>
        <v>3831807.1607746361</v>
      </c>
      <c r="F169" s="13">
        <f t="shared" si="100"/>
        <v>3968259.9967426006</v>
      </c>
      <c r="G169" s="13">
        <f t="shared" si="101"/>
        <v>4020401.8948135967</v>
      </c>
      <c r="H169" s="13">
        <f t="shared" si="102"/>
        <v>4026906.7921500159</v>
      </c>
    </row>
    <row r="170" spans="1:9" x14ac:dyDescent="0.3">
      <c r="A170" s="2">
        <f t="shared" si="71"/>
        <v>2019</v>
      </c>
      <c r="B170" s="13">
        <f t="shared" si="72"/>
        <v>518172.51290278276</v>
      </c>
      <c r="C170" s="13">
        <f t="shared" si="97"/>
        <v>650297.78601222637</v>
      </c>
      <c r="D170" s="13">
        <f t="shared" si="98"/>
        <v>847675.16253139568</v>
      </c>
      <c r="E170" s="13">
        <f t="shared" si="99"/>
        <v>859783.37817956845</v>
      </c>
      <c r="F170" s="13">
        <f t="shared" si="100"/>
        <v>1009373.8032160179</v>
      </c>
      <c r="G170" s="13">
        <f t="shared" si="101"/>
        <v>1047855.305543158</v>
      </c>
      <c r="H170" s="13">
        <f t="shared" si="102"/>
        <v>1079860.0098929908</v>
      </c>
    </row>
    <row r="171" spans="1:9" x14ac:dyDescent="0.3">
      <c r="A171" s="2">
        <f t="shared" si="71"/>
        <v>2019</v>
      </c>
      <c r="B171" s="13">
        <f t="shared" si="72"/>
        <v>59834.956477522814</v>
      </c>
      <c r="C171" s="13">
        <f t="shared" si="97"/>
        <v>144622.10348478434</v>
      </c>
      <c r="D171" s="13">
        <f t="shared" si="98"/>
        <v>646208.57350024721</v>
      </c>
      <c r="E171" s="13">
        <f t="shared" si="99"/>
        <v>1732640.4263843263</v>
      </c>
      <c r="F171" s="13">
        <f t="shared" si="100"/>
        <v>1829843.109387985</v>
      </c>
      <c r="G171" s="13">
        <f t="shared" si="101"/>
        <v>1976455.977607666</v>
      </c>
      <c r="H171" s="13">
        <f t="shared" si="102"/>
        <v>2303112.0505889971</v>
      </c>
    </row>
    <row r="172" spans="1:9" x14ac:dyDescent="0.3">
      <c r="A172" s="2">
        <f t="shared" si="71"/>
        <v>2019</v>
      </c>
      <c r="B172" s="13">
        <f t="shared" si="72"/>
        <v>302275.43280873034</v>
      </c>
      <c r="C172" s="13">
        <f t="shared" si="97"/>
        <v>1858641.284996052</v>
      </c>
      <c r="D172" s="13">
        <f t="shared" si="98"/>
        <v>3683932.6089783339</v>
      </c>
      <c r="E172" s="13">
        <f t="shared" si="99"/>
        <v>3744918.2693090192</v>
      </c>
      <c r="F172" s="13">
        <f t="shared" si="100"/>
        <v>3819646.8723584181</v>
      </c>
      <c r="G172" s="13">
        <f t="shared" si="101"/>
        <v>3841342.1375376899</v>
      </c>
      <c r="H172" s="13">
        <f t="shared" si="102"/>
        <v>3847201.9172138553</v>
      </c>
    </row>
    <row r="173" spans="1:9" x14ac:dyDescent="0.3">
      <c r="A173" s="2">
        <f t="shared" si="71"/>
        <v>2019</v>
      </c>
      <c r="B173" s="13">
        <f t="shared" si="72"/>
        <v>520770.34161322616</v>
      </c>
      <c r="C173" s="13">
        <f t="shared" si="97"/>
        <v>770165.02527884115</v>
      </c>
      <c r="D173" s="13">
        <f t="shared" si="98"/>
        <v>772904.96263520361</v>
      </c>
      <c r="E173" s="13">
        <f t="shared" si="99"/>
        <v>1189638.5360987645</v>
      </c>
      <c r="F173" s="13">
        <f t="shared" si="100"/>
        <v>2011134.7180669694</v>
      </c>
      <c r="G173" s="13">
        <f t="shared" si="101"/>
        <v>2034692.6740511602</v>
      </c>
      <c r="H173" s="13">
        <f t="shared" si="102"/>
        <v>2035613.581078694</v>
      </c>
    </row>
    <row r="174" spans="1:9" x14ac:dyDescent="0.3">
      <c r="A174" s="2">
        <f t="shared" si="71"/>
        <v>2019</v>
      </c>
      <c r="B174" s="13">
        <f t="shared" si="72"/>
        <v>56879.758015424137</v>
      </c>
      <c r="C174" s="13">
        <f t="shared" si="97"/>
        <v>334767.97605433071</v>
      </c>
      <c r="D174" s="13">
        <f t="shared" si="98"/>
        <v>354786.52456066228</v>
      </c>
      <c r="E174" s="13">
        <f t="shared" si="99"/>
        <v>535642.26855766831</v>
      </c>
      <c r="F174" s="13">
        <f t="shared" si="100"/>
        <v>900308.3096134814</v>
      </c>
      <c r="G174" s="13">
        <f t="shared" si="101"/>
        <v>1012255.4846708503</v>
      </c>
      <c r="H174" s="13">
        <f t="shared" si="102"/>
        <v>1012703.0502480392</v>
      </c>
    </row>
    <row r="175" spans="1:9" x14ac:dyDescent="0.3">
      <c r="A175" s="2">
        <f t="shared" si="71"/>
        <v>2019</v>
      </c>
      <c r="B175" s="13">
        <f t="shared" si="72"/>
        <v>11561.241171148036</v>
      </c>
      <c r="C175" s="13">
        <f t="shared" si="97"/>
        <v>1156812.0339360402</v>
      </c>
      <c r="D175" s="13">
        <f t="shared" si="98"/>
        <v>2405715.2570086485</v>
      </c>
      <c r="E175" s="13">
        <f t="shared" si="99"/>
        <v>4444037.9265641151</v>
      </c>
      <c r="F175" s="13">
        <f t="shared" si="100"/>
        <v>4618369.3619758729</v>
      </c>
      <c r="G175" s="13">
        <f t="shared" si="101"/>
        <v>5070676.4057252118</v>
      </c>
      <c r="H175" s="13">
        <f t="shared" si="102"/>
        <v>5116632.1933612088</v>
      </c>
    </row>
    <row r="176" spans="1:9" x14ac:dyDescent="0.3">
      <c r="A176" s="2">
        <f t="shared" si="71"/>
        <v>2019</v>
      </c>
      <c r="B176" s="13">
        <f t="shared" si="72"/>
        <v>382775.67349608958</v>
      </c>
      <c r="C176" s="13">
        <f t="shared" si="97"/>
        <v>421881.86398313643</v>
      </c>
      <c r="D176" s="13">
        <f t="shared" si="98"/>
        <v>425001.43269561639</v>
      </c>
      <c r="E176" s="13">
        <f t="shared" si="99"/>
        <v>3018695.1353463843</v>
      </c>
      <c r="F176" s="13">
        <f t="shared" si="100"/>
        <v>3704447.9170867186</v>
      </c>
      <c r="G176" s="13">
        <f t="shared" si="101"/>
        <v>3846795.1906848843</v>
      </c>
      <c r="H176" s="13">
        <f t="shared" si="102"/>
        <v>4027654.0976336561</v>
      </c>
    </row>
    <row r="177" spans="1:8" x14ac:dyDescent="0.3">
      <c r="A177" s="2">
        <f t="shared" si="71"/>
        <v>2019</v>
      </c>
      <c r="B177" s="13">
        <f t="shared" si="72"/>
        <v>178443.30433534959</v>
      </c>
      <c r="C177" s="13">
        <f t="shared" si="97"/>
        <v>611958.94927710528</v>
      </c>
      <c r="D177" s="13">
        <f t="shared" si="98"/>
        <v>688494.49724989757</v>
      </c>
      <c r="E177" s="13">
        <f t="shared" si="99"/>
        <v>699468.58704701753</v>
      </c>
      <c r="F177" s="13">
        <f t="shared" si="100"/>
        <v>704194.11237403483</v>
      </c>
      <c r="G177" s="13">
        <f t="shared" si="101"/>
        <v>721757.45558760001</v>
      </c>
      <c r="H177" s="13">
        <f t="shared" si="102"/>
        <v>732689.99252323632</v>
      </c>
    </row>
    <row r="178" spans="1:8" x14ac:dyDescent="0.3">
      <c r="A178" s="2">
        <f t="shared" si="71"/>
        <v>2020</v>
      </c>
      <c r="B178" s="13">
        <f t="shared" si="72"/>
        <v>136268.12093087882</v>
      </c>
      <c r="C178" s="13">
        <f t="shared" ref="C178:C183" si="103">B178+AD56</f>
        <v>563136.5470610077</v>
      </c>
      <c r="D178" s="13">
        <f t="shared" ref="D178:D183" si="104">C178+AE56</f>
        <v>577940.97080310481</v>
      </c>
      <c r="E178" s="13">
        <f t="shared" ref="E178:E183" si="105">D178+AF56</f>
        <v>1292700.7646212946</v>
      </c>
      <c r="F178" s="13">
        <f t="shared" ref="F178:F183" si="106">E178+AG56</f>
        <v>1394061.3553657788</v>
      </c>
      <c r="G178" s="13">
        <f t="shared" ref="G178:G183" si="107">F178+AH56</f>
        <v>1407562.8948764692</v>
      </c>
    </row>
    <row r="179" spans="1:8" x14ac:dyDescent="0.3">
      <c r="A179" s="2">
        <f t="shared" si="71"/>
        <v>2020</v>
      </c>
      <c r="B179" s="13">
        <f t="shared" si="72"/>
        <v>216610.74886295386</v>
      </c>
      <c r="C179" s="13">
        <f t="shared" si="103"/>
        <v>2069489.9223577271</v>
      </c>
      <c r="D179" s="13">
        <f t="shared" si="104"/>
        <v>3063811.5998541685</v>
      </c>
      <c r="E179" s="13">
        <f t="shared" si="105"/>
        <v>3072530.8229355002</v>
      </c>
      <c r="F179" s="13">
        <f t="shared" si="106"/>
        <v>3089023.5672485</v>
      </c>
      <c r="G179" s="13">
        <f t="shared" si="107"/>
        <v>3534190.5009272732</v>
      </c>
    </row>
    <row r="180" spans="1:8" x14ac:dyDescent="0.3">
      <c r="A180" s="2">
        <f t="shared" si="71"/>
        <v>2020</v>
      </c>
      <c r="B180" s="13">
        <f t="shared" si="72"/>
        <v>274704.64548018499</v>
      </c>
      <c r="C180" s="13">
        <f t="shared" si="103"/>
        <v>333967.22915220767</v>
      </c>
      <c r="D180" s="13">
        <f t="shared" si="104"/>
        <v>1305534.1664378229</v>
      </c>
      <c r="E180" s="13">
        <f t="shared" si="105"/>
        <v>1544479.2486169511</v>
      </c>
      <c r="F180" s="13">
        <f t="shared" si="106"/>
        <v>2245864.3787483359</v>
      </c>
      <c r="G180" s="13">
        <f t="shared" si="107"/>
        <v>2927690.0586944805</v>
      </c>
    </row>
    <row r="181" spans="1:8" x14ac:dyDescent="0.3">
      <c r="A181" s="2">
        <f t="shared" si="71"/>
        <v>2020</v>
      </c>
      <c r="B181" s="13">
        <f t="shared" si="72"/>
        <v>63219.847920492153</v>
      </c>
      <c r="C181" s="13">
        <f t="shared" si="103"/>
        <v>179803.81374886734</v>
      </c>
      <c r="D181" s="13">
        <f t="shared" si="104"/>
        <v>671412.01596149569</v>
      </c>
      <c r="E181" s="13">
        <f t="shared" si="105"/>
        <v>671412.06053014135</v>
      </c>
      <c r="F181" s="13">
        <f t="shared" si="106"/>
        <v>673417.17550233612</v>
      </c>
      <c r="G181" s="13">
        <f t="shared" si="107"/>
        <v>695707.44062730391</v>
      </c>
    </row>
    <row r="182" spans="1:8" x14ac:dyDescent="0.3">
      <c r="A182" s="2">
        <f t="shared" si="71"/>
        <v>2020</v>
      </c>
      <c r="B182" s="13">
        <f t="shared" si="72"/>
        <v>3229.09592559571</v>
      </c>
      <c r="C182" s="13">
        <f t="shared" si="103"/>
        <v>165485.99474600545</v>
      </c>
      <c r="D182" s="13">
        <f t="shared" si="104"/>
        <v>311617.4730421073</v>
      </c>
      <c r="E182" s="13">
        <f t="shared" si="105"/>
        <v>1216055.966518847</v>
      </c>
      <c r="F182" s="13">
        <f t="shared" si="106"/>
        <v>1300175.5736468644</v>
      </c>
      <c r="G182" s="13">
        <f t="shared" si="107"/>
        <v>1331014.9199384078</v>
      </c>
    </row>
    <row r="183" spans="1:8" x14ac:dyDescent="0.3">
      <c r="A183" s="2">
        <f t="shared" si="71"/>
        <v>2020</v>
      </c>
      <c r="B183" s="13">
        <f t="shared" si="72"/>
        <v>2338.1446942216185</v>
      </c>
      <c r="C183" s="13">
        <f t="shared" si="103"/>
        <v>141614.98441207633</v>
      </c>
      <c r="D183" s="13">
        <f t="shared" si="104"/>
        <v>404997.05021339771</v>
      </c>
      <c r="E183" s="13">
        <f t="shared" si="105"/>
        <v>484954.76920786803</v>
      </c>
      <c r="F183" s="13">
        <f t="shared" si="106"/>
        <v>485303.56457245891</v>
      </c>
      <c r="G183" s="13">
        <f t="shared" si="107"/>
        <v>589248.50934305741</v>
      </c>
    </row>
    <row r="184" spans="1:8" x14ac:dyDescent="0.3">
      <c r="A184" s="2">
        <f t="shared" si="71"/>
        <v>2021</v>
      </c>
      <c r="B184" s="13">
        <f t="shared" si="72"/>
        <v>219970.01556534591</v>
      </c>
      <c r="C184" s="13">
        <f t="shared" ref="C184:C193" si="108">B184+AD62</f>
        <v>954533.41118724481</v>
      </c>
      <c r="D184" s="13">
        <f t="shared" ref="D184:D193" si="109">C184+AE62</f>
        <v>960476.10188800085</v>
      </c>
      <c r="E184" s="13">
        <f t="shared" ref="E184:E193" si="110">D184+AF62</f>
        <v>2604299.2431823905</v>
      </c>
      <c r="F184" s="13">
        <f t="shared" ref="F184:F193" si="111">E184+AG62</f>
        <v>2604378.3640692825</v>
      </c>
    </row>
    <row r="185" spans="1:8" x14ac:dyDescent="0.3">
      <c r="A185" s="2">
        <f t="shared" si="71"/>
        <v>2021</v>
      </c>
      <c r="B185" s="13">
        <f t="shared" si="72"/>
        <v>135062.60478285188</v>
      </c>
      <c r="C185" s="13">
        <f t="shared" si="108"/>
        <v>1026970.4888702696</v>
      </c>
      <c r="D185" s="13">
        <f t="shared" si="109"/>
        <v>1238172.7910544854</v>
      </c>
      <c r="E185" s="13">
        <f t="shared" si="110"/>
        <v>2493714.2383059282</v>
      </c>
      <c r="F185" s="13">
        <f t="shared" si="111"/>
        <v>2545913.5219008587</v>
      </c>
    </row>
    <row r="186" spans="1:8" x14ac:dyDescent="0.3">
      <c r="A186" s="2">
        <f t="shared" si="71"/>
        <v>2021</v>
      </c>
      <c r="B186" s="13">
        <f t="shared" si="72"/>
        <v>76666.049213681792</v>
      </c>
      <c r="C186" s="13">
        <f t="shared" si="108"/>
        <v>114488.26014368072</v>
      </c>
      <c r="D186" s="13">
        <f t="shared" si="109"/>
        <v>938902.95217435679</v>
      </c>
      <c r="E186" s="13">
        <f t="shared" si="110"/>
        <v>1455469.8183303531</v>
      </c>
      <c r="F186" s="13">
        <f t="shared" si="111"/>
        <v>1684320.9694627796</v>
      </c>
    </row>
    <row r="187" spans="1:8" x14ac:dyDescent="0.3">
      <c r="A187" s="2">
        <f t="shared" si="71"/>
        <v>2021</v>
      </c>
      <c r="B187" s="13">
        <f t="shared" si="72"/>
        <v>165207.70133194546</v>
      </c>
      <c r="C187" s="13">
        <f t="shared" si="108"/>
        <v>181116.30157078244</v>
      </c>
      <c r="D187" s="13">
        <f t="shared" si="109"/>
        <v>317788.10408473213</v>
      </c>
      <c r="E187" s="13">
        <f t="shared" si="110"/>
        <v>581281.54702192463</v>
      </c>
      <c r="F187" s="13">
        <f t="shared" si="111"/>
        <v>699452.11836890772</v>
      </c>
    </row>
    <row r="188" spans="1:8" x14ac:dyDescent="0.3">
      <c r="A188" s="2">
        <f t="shared" si="71"/>
        <v>2021</v>
      </c>
      <c r="B188" s="13">
        <f t="shared" si="72"/>
        <v>344066.62816816237</v>
      </c>
      <c r="C188" s="13">
        <f t="shared" si="108"/>
        <v>346858.59205512505</v>
      </c>
      <c r="D188" s="13">
        <f t="shared" si="109"/>
        <v>3302527.3712686095</v>
      </c>
      <c r="E188" s="13">
        <f t="shared" si="110"/>
        <v>3354356.1922385683</v>
      </c>
      <c r="F188" s="13">
        <f t="shared" si="111"/>
        <v>3693578.9988778909</v>
      </c>
    </row>
    <row r="189" spans="1:8" x14ac:dyDescent="0.3">
      <c r="A189" s="2">
        <f t="shared" ref="A189:A237" si="112">$AB67</f>
        <v>2021</v>
      </c>
      <c r="B189" s="13">
        <f t="shared" ref="B189:B237" si="113">$AC67</f>
        <v>949150.51700034866</v>
      </c>
      <c r="C189" s="13">
        <f t="shared" si="108"/>
        <v>1086693.0915659652</v>
      </c>
      <c r="D189" s="13">
        <f t="shared" si="109"/>
        <v>1128673.2315074909</v>
      </c>
      <c r="E189" s="13">
        <f t="shared" si="110"/>
        <v>1203060.315808286</v>
      </c>
      <c r="F189" s="13">
        <f t="shared" si="111"/>
        <v>1205223.7572619373</v>
      </c>
    </row>
    <row r="190" spans="1:8" x14ac:dyDescent="0.3">
      <c r="A190" s="2">
        <f t="shared" si="112"/>
        <v>2021</v>
      </c>
      <c r="B190" s="13">
        <f t="shared" si="113"/>
        <v>52778.56244583684</v>
      </c>
      <c r="C190" s="13">
        <f t="shared" si="108"/>
        <v>904651.78545796883</v>
      </c>
      <c r="D190" s="13">
        <f t="shared" si="109"/>
        <v>1179119.2255380689</v>
      </c>
      <c r="E190" s="13">
        <f t="shared" si="110"/>
        <v>1716335.6916755799</v>
      </c>
      <c r="F190" s="13">
        <f t="shared" si="111"/>
        <v>1728175.2190721545</v>
      </c>
    </row>
    <row r="191" spans="1:8" x14ac:dyDescent="0.3">
      <c r="A191" s="2">
        <f t="shared" si="112"/>
        <v>2021</v>
      </c>
      <c r="B191" s="13">
        <f t="shared" si="113"/>
        <v>275139.70149400481</v>
      </c>
      <c r="C191" s="13">
        <f t="shared" si="108"/>
        <v>1094986.975227691</v>
      </c>
      <c r="D191" s="13">
        <f t="shared" si="109"/>
        <v>1824369.6629896159</v>
      </c>
      <c r="E191" s="13">
        <f t="shared" si="110"/>
        <v>1825719.2594477406</v>
      </c>
      <c r="F191" s="13">
        <f t="shared" si="111"/>
        <v>2915232.4562286511</v>
      </c>
    </row>
    <row r="192" spans="1:8" x14ac:dyDescent="0.3">
      <c r="A192" s="2">
        <f t="shared" si="112"/>
        <v>2021</v>
      </c>
      <c r="B192" s="13">
        <f t="shared" si="113"/>
        <v>206138.5455073459</v>
      </c>
      <c r="C192" s="13">
        <f t="shared" si="108"/>
        <v>333135.30033614003</v>
      </c>
      <c r="D192" s="13">
        <f t="shared" si="109"/>
        <v>333150.84284718923</v>
      </c>
      <c r="E192" s="13">
        <f t="shared" si="110"/>
        <v>1396981.1267771854</v>
      </c>
      <c r="F192" s="13">
        <f t="shared" si="111"/>
        <v>1419171.7152576267</v>
      </c>
    </row>
    <row r="193" spans="1:6" x14ac:dyDescent="0.3">
      <c r="A193" s="2">
        <f t="shared" si="112"/>
        <v>2021</v>
      </c>
      <c r="B193" s="13">
        <f t="shared" si="113"/>
        <v>638154.99150581181</v>
      </c>
      <c r="C193" s="13">
        <f t="shared" si="108"/>
        <v>750550.40217846166</v>
      </c>
      <c r="D193" s="13">
        <f t="shared" si="109"/>
        <v>1290301.7236535838</v>
      </c>
      <c r="E193" s="13">
        <f t="shared" si="110"/>
        <v>2404221.3699316224</v>
      </c>
      <c r="F193" s="13">
        <f t="shared" si="111"/>
        <v>2539823.9030660246</v>
      </c>
    </row>
    <row r="194" spans="1:6" x14ac:dyDescent="0.3">
      <c r="A194" s="2">
        <f t="shared" si="112"/>
        <v>2022</v>
      </c>
      <c r="B194" s="13">
        <f t="shared" si="113"/>
        <v>134373.6100626846</v>
      </c>
      <c r="C194" s="13">
        <f t="shared" ref="C194:C199" si="114">B194+AD72</f>
        <v>6645168.0643838365</v>
      </c>
      <c r="D194" s="13">
        <f t="shared" ref="D194:D199" si="115">C194+AE72</f>
        <v>7970019.608669294</v>
      </c>
      <c r="E194" s="13">
        <f t="shared" ref="E194:E199" si="116">D194+AF72</f>
        <v>13178827.50695201</v>
      </c>
    </row>
    <row r="195" spans="1:6" x14ac:dyDescent="0.3">
      <c r="A195" s="2">
        <f t="shared" si="112"/>
        <v>2022</v>
      </c>
      <c r="B195" s="13">
        <f t="shared" si="113"/>
        <v>67047.463476308316</v>
      </c>
      <c r="C195" s="13">
        <f t="shared" si="114"/>
        <v>844603.18114122236</v>
      </c>
      <c r="D195" s="13">
        <f t="shared" si="115"/>
        <v>862474.80340755242</v>
      </c>
      <c r="E195" s="13">
        <f t="shared" si="116"/>
        <v>1061948.4544840713</v>
      </c>
    </row>
    <row r="196" spans="1:6" x14ac:dyDescent="0.3">
      <c r="A196" s="2">
        <f t="shared" si="112"/>
        <v>2022</v>
      </c>
      <c r="B196" s="13">
        <f t="shared" si="113"/>
        <v>483459.8295000614</v>
      </c>
      <c r="C196" s="13">
        <f t="shared" si="114"/>
        <v>1258514.7855436478</v>
      </c>
      <c r="D196" s="13">
        <f t="shared" si="115"/>
        <v>1507694.8133800083</v>
      </c>
      <c r="E196" s="13">
        <f t="shared" si="116"/>
        <v>1938314.0467015607</v>
      </c>
    </row>
    <row r="197" spans="1:6" x14ac:dyDescent="0.3">
      <c r="A197" s="2">
        <f t="shared" si="112"/>
        <v>2022</v>
      </c>
      <c r="B197" s="13">
        <f t="shared" si="113"/>
        <v>182710.66706087056</v>
      </c>
      <c r="C197" s="13">
        <f t="shared" si="114"/>
        <v>717808.2732043775</v>
      </c>
      <c r="D197" s="13">
        <f t="shared" si="115"/>
        <v>1035923.6173317721</v>
      </c>
      <c r="E197" s="13">
        <f t="shared" si="116"/>
        <v>4989433.1218841616</v>
      </c>
    </row>
    <row r="198" spans="1:6" x14ac:dyDescent="0.3">
      <c r="A198" s="2">
        <f t="shared" si="112"/>
        <v>2022</v>
      </c>
      <c r="B198" s="13">
        <f t="shared" si="113"/>
        <v>343207.87674860685</v>
      </c>
      <c r="C198" s="13">
        <f t="shared" si="114"/>
        <v>507079.84279319434</v>
      </c>
      <c r="D198" s="13">
        <f t="shared" si="115"/>
        <v>687205.96512390859</v>
      </c>
      <c r="E198" s="13">
        <f t="shared" si="116"/>
        <v>1003792.817463023</v>
      </c>
    </row>
    <row r="199" spans="1:6" x14ac:dyDescent="0.3">
      <c r="A199" s="2">
        <f t="shared" si="112"/>
        <v>2022</v>
      </c>
      <c r="B199" s="13">
        <f t="shared" si="113"/>
        <v>5715.7159566175815</v>
      </c>
      <c r="C199" s="13">
        <f t="shared" si="114"/>
        <v>57306.761406543148</v>
      </c>
      <c r="D199" s="13">
        <f t="shared" si="115"/>
        <v>365816.21189092012</v>
      </c>
      <c r="E199" s="13">
        <f t="shared" si="116"/>
        <v>379310.73500911985</v>
      </c>
    </row>
    <row r="200" spans="1:6" x14ac:dyDescent="0.3">
      <c r="A200" s="2">
        <f t="shared" si="112"/>
        <v>2023</v>
      </c>
      <c r="B200" s="13">
        <f t="shared" si="113"/>
        <v>16423.255960733237</v>
      </c>
      <c r="C200" s="13">
        <f t="shared" ref="C200:C228" si="117">B200+AD78</f>
        <v>61474.362025990034</v>
      </c>
      <c r="D200" s="13">
        <f t="shared" ref="D200:D215" si="118">C200+AE78</f>
        <v>156090.01104363526</v>
      </c>
    </row>
    <row r="201" spans="1:6" x14ac:dyDescent="0.3">
      <c r="A201" s="2">
        <f t="shared" si="112"/>
        <v>2023</v>
      </c>
      <c r="B201" s="13">
        <f t="shared" si="113"/>
        <v>84025.142773794752</v>
      </c>
      <c r="C201" s="13">
        <f t="shared" si="117"/>
        <v>815435.98410760611</v>
      </c>
      <c r="D201" s="13">
        <f t="shared" si="118"/>
        <v>1058198.7808052355</v>
      </c>
    </row>
    <row r="202" spans="1:6" x14ac:dyDescent="0.3">
      <c r="A202" s="2">
        <f t="shared" si="112"/>
        <v>2023</v>
      </c>
      <c r="B202" s="13">
        <f t="shared" si="113"/>
        <v>647480.1097556235</v>
      </c>
      <c r="C202" s="13">
        <f t="shared" si="117"/>
        <v>1662595.0229298519</v>
      </c>
      <c r="D202" s="13">
        <f t="shared" si="118"/>
        <v>1735255.945161415</v>
      </c>
    </row>
    <row r="203" spans="1:6" x14ac:dyDescent="0.3">
      <c r="A203" s="2">
        <f t="shared" si="112"/>
        <v>2023</v>
      </c>
      <c r="B203" s="13">
        <f t="shared" si="113"/>
        <v>99898.073897466107</v>
      </c>
      <c r="C203" s="13">
        <f t="shared" si="117"/>
        <v>700990.20340327162</v>
      </c>
      <c r="D203" s="13">
        <f t="shared" si="118"/>
        <v>1421793.1626574195</v>
      </c>
    </row>
    <row r="204" spans="1:6" x14ac:dyDescent="0.3">
      <c r="A204" s="2">
        <f t="shared" si="112"/>
        <v>2023</v>
      </c>
      <c r="B204" s="13">
        <f t="shared" si="113"/>
        <v>175534.18027993402</v>
      </c>
      <c r="C204" s="13">
        <f t="shared" si="117"/>
        <v>786866.69791636965</v>
      </c>
      <c r="D204" s="13">
        <f t="shared" si="118"/>
        <v>795316.68045147252</v>
      </c>
    </row>
    <row r="205" spans="1:6" x14ac:dyDescent="0.3">
      <c r="A205" s="2">
        <f t="shared" si="112"/>
        <v>2023</v>
      </c>
      <c r="B205" s="13">
        <f t="shared" si="113"/>
        <v>73251.408083271177</v>
      </c>
      <c r="C205" s="13">
        <f t="shared" si="117"/>
        <v>83383.734435106191</v>
      </c>
      <c r="D205" s="13">
        <f t="shared" si="118"/>
        <v>1117281.1646520847</v>
      </c>
    </row>
    <row r="206" spans="1:6" x14ac:dyDescent="0.3">
      <c r="A206" s="2">
        <f t="shared" si="112"/>
        <v>2023</v>
      </c>
      <c r="B206" s="13">
        <f t="shared" si="113"/>
        <v>48286.258139577178</v>
      </c>
      <c r="C206" s="13">
        <f t="shared" si="117"/>
        <v>50317.391529746419</v>
      </c>
      <c r="D206" s="13">
        <f t="shared" si="118"/>
        <v>50817.434345578637</v>
      </c>
    </row>
    <row r="207" spans="1:6" x14ac:dyDescent="0.3">
      <c r="A207" s="2">
        <f t="shared" si="112"/>
        <v>2023</v>
      </c>
      <c r="B207" s="13">
        <f t="shared" si="113"/>
        <v>179721.69064643909</v>
      </c>
      <c r="C207" s="13">
        <f t="shared" si="117"/>
        <v>677012.06244559202</v>
      </c>
      <c r="D207" s="13">
        <f t="shared" si="118"/>
        <v>689841.44818351755</v>
      </c>
    </row>
    <row r="208" spans="1:6" x14ac:dyDescent="0.3">
      <c r="A208" s="2">
        <f t="shared" si="112"/>
        <v>2023</v>
      </c>
      <c r="B208" s="13">
        <f t="shared" si="113"/>
        <v>14439.570287212418</v>
      </c>
      <c r="C208" s="13">
        <f t="shared" si="117"/>
        <v>14621.074887774337</v>
      </c>
      <c r="D208" s="13">
        <f t="shared" si="118"/>
        <v>14641.026368288516</v>
      </c>
    </row>
    <row r="209" spans="1:4" x14ac:dyDescent="0.3">
      <c r="A209" s="2">
        <f t="shared" si="112"/>
        <v>2023</v>
      </c>
      <c r="B209" s="13">
        <f t="shared" si="113"/>
        <v>39069.191015525677</v>
      </c>
      <c r="C209" s="13">
        <f t="shared" si="117"/>
        <v>123394.66774939102</v>
      </c>
      <c r="D209" s="13">
        <f t="shared" si="118"/>
        <v>130466.51724247508</v>
      </c>
    </row>
    <row r="210" spans="1:4" x14ac:dyDescent="0.3">
      <c r="A210" s="2">
        <f t="shared" si="112"/>
        <v>2023</v>
      </c>
      <c r="B210" s="13">
        <f t="shared" si="113"/>
        <v>600882.37417554285</v>
      </c>
      <c r="C210" s="13">
        <f t="shared" si="117"/>
        <v>1568547.4502701354</v>
      </c>
      <c r="D210" s="13">
        <f t="shared" si="118"/>
        <v>1984606.9230726073</v>
      </c>
    </row>
    <row r="211" spans="1:4" x14ac:dyDescent="0.3">
      <c r="A211" s="2">
        <f t="shared" si="112"/>
        <v>2023</v>
      </c>
      <c r="B211" s="13">
        <f t="shared" si="113"/>
        <v>1280387.1411343773</v>
      </c>
      <c r="C211" s="13">
        <f t="shared" si="117"/>
        <v>1312714.6810530981</v>
      </c>
      <c r="D211" s="13">
        <f t="shared" si="118"/>
        <v>1581617.2465919058</v>
      </c>
    </row>
    <row r="212" spans="1:4" x14ac:dyDescent="0.3">
      <c r="A212" s="2">
        <f t="shared" si="112"/>
        <v>2023</v>
      </c>
      <c r="B212" s="13">
        <f t="shared" si="113"/>
        <v>1964.4804530535696</v>
      </c>
      <c r="C212" s="13">
        <f t="shared" si="117"/>
        <v>102911.97327136372</v>
      </c>
      <c r="D212" s="13">
        <f t="shared" si="118"/>
        <v>337483.65205607371</v>
      </c>
    </row>
    <row r="213" spans="1:4" x14ac:dyDescent="0.3">
      <c r="A213" s="2">
        <f t="shared" si="112"/>
        <v>2023</v>
      </c>
      <c r="B213" s="13">
        <f t="shared" si="113"/>
        <v>9053.9660218025947</v>
      </c>
      <c r="C213" s="13">
        <f t="shared" si="117"/>
        <v>9053.9860802422354</v>
      </c>
      <c r="D213" s="13">
        <f t="shared" si="118"/>
        <v>813620.03872872237</v>
      </c>
    </row>
    <row r="214" spans="1:4" x14ac:dyDescent="0.3">
      <c r="A214" s="2">
        <f t="shared" si="112"/>
        <v>2023</v>
      </c>
      <c r="B214" s="13">
        <f t="shared" si="113"/>
        <v>395678.19242976949</v>
      </c>
      <c r="C214" s="13">
        <f t="shared" si="117"/>
        <v>395681.11397653673</v>
      </c>
      <c r="D214" s="13">
        <f t="shared" si="118"/>
        <v>444029.26240497665</v>
      </c>
    </row>
    <row r="215" spans="1:4" x14ac:dyDescent="0.3">
      <c r="A215" s="2">
        <f t="shared" si="112"/>
        <v>2023</v>
      </c>
      <c r="B215" s="13">
        <f t="shared" si="113"/>
        <v>24.593920871942025</v>
      </c>
      <c r="C215" s="13">
        <f t="shared" si="117"/>
        <v>406799.62001571473</v>
      </c>
      <c r="D215" s="13">
        <f t="shared" si="118"/>
        <v>413999.24399901426</v>
      </c>
    </row>
    <row r="216" spans="1:4" x14ac:dyDescent="0.3">
      <c r="A216" s="2">
        <f t="shared" si="112"/>
        <v>2024</v>
      </c>
      <c r="B216" s="13">
        <f t="shared" si="113"/>
        <v>37342.142145904239</v>
      </c>
      <c r="C216" s="13">
        <f t="shared" si="117"/>
        <v>40971.039154710554</v>
      </c>
    </row>
    <row r="217" spans="1:4" x14ac:dyDescent="0.3">
      <c r="A217" s="2">
        <f t="shared" si="112"/>
        <v>2024</v>
      </c>
      <c r="B217" s="13">
        <f t="shared" si="113"/>
        <v>247251.48486921214</v>
      </c>
      <c r="C217" s="13">
        <f t="shared" si="117"/>
        <v>282575.2612036292</v>
      </c>
    </row>
    <row r="218" spans="1:4" x14ac:dyDescent="0.3">
      <c r="A218" s="2">
        <f t="shared" si="112"/>
        <v>2024</v>
      </c>
      <c r="B218" s="13">
        <f t="shared" si="113"/>
        <v>64299.656301252682</v>
      </c>
      <c r="C218" s="13">
        <f t="shared" si="117"/>
        <v>68876.657828801894</v>
      </c>
    </row>
    <row r="219" spans="1:4" x14ac:dyDescent="0.3">
      <c r="A219" s="2">
        <f t="shared" si="112"/>
        <v>2024</v>
      </c>
      <c r="B219" s="13">
        <f t="shared" si="113"/>
        <v>79869.804153342586</v>
      </c>
      <c r="C219" s="13">
        <f t="shared" si="117"/>
        <v>172125.39814903447</v>
      </c>
    </row>
    <row r="220" spans="1:4" x14ac:dyDescent="0.3">
      <c r="A220" s="2">
        <f t="shared" si="112"/>
        <v>2024</v>
      </c>
      <c r="B220" s="13">
        <f t="shared" si="113"/>
        <v>47676.893399993583</v>
      </c>
      <c r="C220" s="13">
        <f t="shared" si="117"/>
        <v>71239.274096614448</v>
      </c>
    </row>
    <row r="221" spans="1:4" x14ac:dyDescent="0.3">
      <c r="A221" s="2">
        <f t="shared" si="112"/>
        <v>2024</v>
      </c>
      <c r="B221" s="13">
        <f t="shared" si="113"/>
        <v>534105.74198306457</v>
      </c>
      <c r="C221" s="13">
        <f t="shared" si="117"/>
        <v>534434.645443524</v>
      </c>
    </row>
    <row r="222" spans="1:4" x14ac:dyDescent="0.3">
      <c r="A222" s="2">
        <f t="shared" si="112"/>
        <v>2024</v>
      </c>
      <c r="B222" s="13">
        <f t="shared" si="113"/>
        <v>185522.67648592568</v>
      </c>
      <c r="C222" s="13">
        <f t="shared" si="117"/>
        <v>192403.05917585574</v>
      </c>
    </row>
    <row r="223" spans="1:4" x14ac:dyDescent="0.3">
      <c r="A223" s="2">
        <f t="shared" si="112"/>
        <v>2024</v>
      </c>
      <c r="B223" s="13">
        <f t="shared" si="113"/>
        <v>336364.4109699229</v>
      </c>
      <c r="C223" s="13">
        <f t="shared" si="117"/>
        <v>376079.84331991163</v>
      </c>
    </row>
    <row r="224" spans="1:4" x14ac:dyDescent="0.3">
      <c r="A224" s="2">
        <f t="shared" si="112"/>
        <v>2024</v>
      </c>
      <c r="B224" s="13">
        <f t="shared" si="113"/>
        <v>129366.18864663012</v>
      </c>
      <c r="C224" s="13">
        <f t="shared" si="117"/>
        <v>302575.52031883225</v>
      </c>
    </row>
    <row r="225" spans="1:3" x14ac:dyDescent="0.3">
      <c r="A225" s="2">
        <f t="shared" si="112"/>
        <v>2024</v>
      </c>
      <c r="B225" s="13">
        <f t="shared" si="113"/>
        <v>641012.02623756626</v>
      </c>
      <c r="C225" s="13">
        <f t="shared" si="117"/>
        <v>2436948.5165220378</v>
      </c>
    </row>
    <row r="226" spans="1:3" x14ac:dyDescent="0.3">
      <c r="A226" s="2">
        <f t="shared" si="112"/>
        <v>2024</v>
      </c>
      <c r="B226" s="13">
        <f t="shared" si="113"/>
        <v>293496.87916357047</v>
      </c>
      <c r="C226" s="13">
        <f t="shared" si="117"/>
        <v>3423454.7998800799</v>
      </c>
    </row>
    <row r="227" spans="1:3" x14ac:dyDescent="0.3">
      <c r="A227" s="2">
        <f t="shared" si="112"/>
        <v>2024</v>
      </c>
      <c r="B227" s="13">
        <f t="shared" si="113"/>
        <v>96348.613528562477</v>
      </c>
      <c r="C227" s="13">
        <f t="shared" si="117"/>
        <v>142677.11708140399</v>
      </c>
    </row>
    <row r="228" spans="1:3" x14ac:dyDescent="0.3">
      <c r="A228" s="2">
        <f t="shared" si="112"/>
        <v>2024</v>
      </c>
      <c r="B228" s="13">
        <f t="shared" si="113"/>
        <v>608373.58606845688</v>
      </c>
      <c r="C228" s="13">
        <f t="shared" si="117"/>
        <v>922730.06316020526</v>
      </c>
    </row>
    <row r="229" spans="1:3" x14ac:dyDescent="0.3">
      <c r="A229" s="2">
        <f t="shared" si="112"/>
        <v>2025</v>
      </c>
      <c r="B229" s="13">
        <f t="shared" si="113"/>
        <v>92589.499632134815</v>
      </c>
    </row>
    <row r="230" spans="1:3" x14ac:dyDescent="0.3">
      <c r="A230" s="2">
        <f t="shared" si="112"/>
        <v>2025</v>
      </c>
      <c r="B230" s="13">
        <f t="shared" si="113"/>
        <v>204702.69908588903</v>
      </c>
    </row>
    <row r="231" spans="1:3" x14ac:dyDescent="0.3">
      <c r="A231" s="2">
        <f t="shared" si="112"/>
        <v>2025</v>
      </c>
      <c r="B231" s="13">
        <f t="shared" si="113"/>
        <v>3389703.4179577851</v>
      </c>
    </row>
    <row r="232" spans="1:3" x14ac:dyDescent="0.3">
      <c r="A232" s="2">
        <f t="shared" si="112"/>
        <v>2025</v>
      </c>
      <c r="B232" s="13">
        <f t="shared" si="113"/>
        <v>1606.0785424564217</v>
      </c>
    </row>
    <row r="233" spans="1:3" x14ac:dyDescent="0.3">
      <c r="A233" s="2">
        <f t="shared" si="112"/>
        <v>2025</v>
      </c>
      <c r="B233" s="13">
        <f t="shared" si="113"/>
        <v>61805.713657554588</v>
      </c>
    </row>
    <row r="234" spans="1:3" x14ac:dyDescent="0.3">
      <c r="A234" s="2">
        <f t="shared" si="112"/>
        <v>2025</v>
      </c>
      <c r="B234" s="13">
        <f t="shared" si="113"/>
        <v>226165.58796871945</v>
      </c>
    </row>
    <row r="235" spans="1:3" x14ac:dyDescent="0.3">
      <c r="A235" s="2">
        <f t="shared" si="112"/>
        <v>2025</v>
      </c>
      <c r="B235" s="13">
        <f t="shared" si="113"/>
        <v>4993.7004294975559</v>
      </c>
    </row>
    <row r="236" spans="1:3" x14ac:dyDescent="0.3">
      <c r="A236" s="2">
        <f t="shared" si="112"/>
        <v>2025</v>
      </c>
      <c r="B236" s="13">
        <f t="shared" si="113"/>
        <v>556176.84140392975</v>
      </c>
    </row>
    <row r="237" spans="1:3" x14ac:dyDescent="0.3">
      <c r="A237" s="2">
        <f t="shared" si="112"/>
        <v>2025</v>
      </c>
      <c r="B237" s="13">
        <f t="shared" si="113"/>
        <v>72410.265177491296</v>
      </c>
    </row>
    <row r="238" spans="1:3" x14ac:dyDescent="0.3">
      <c r="A238" s="2"/>
    </row>
    <row r="239" spans="1:3" x14ac:dyDescent="0.3">
      <c r="A239" s="2"/>
    </row>
    <row r="240" spans="1:3" x14ac:dyDescent="0.3">
      <c r="A240" s="2"/>
    </row>
    <row r="241" spans="1:1" x14ac:dyDescent="0.3">
      <c r="A241" s="2"/>
    </row>
    <row r="242" spans="1:1" x14ac:dyDescent="0.3">
      <c r="A242" s="2"/>
    </row>
    <row r="243" spans="1:1" x14ac:dyDescent="0.3">
      <c r="A243" s="2"/>
    </row>
    <row r="244" spans="1:1" x14ac:dyDescent="0.3">
      <c r="A244" s="2"/>
    </row>
    <row r="245" spans="1:1" x14ac:dyDescent="0.3">
      <c r="A245" s="2"/>
    </row>
    <row r="246" spans="1:1" x14ac:dyDescent="0.3">
      <c r="A246" s="2"/>
    </row>
    <row r="247" spans="1:1" x14ac:dyDescent="0.3">
      <c r="A247" s="2"/>
    </row>
    <row r="248" spans="1:1" x14ac:dyDescent="0.3">
      <c r="A248" s="2"/>
    </row>
    <row r="249" spans="1:1" x14ac:dyDescent="0.3">
      <c r="A249" s="2"/>
    </row>
    <row r="250" spans="1:1" x14ac:dyDescent="0.3">
      <c r="A250" s="2"/>
    </row>
    <row r="251" spans="1:1" x14ac:dyDescent="0.3">
      <c r="A251" s="2"/>
    </row>
    <row r="252" spans="1:1" x14ac:dyDescent="0.3">
      <c r="A252" s="2"/>
    </row>
    <row r="253" spans="1:1" x14ac:dyDescent="0.3">
      <c r="A253" s="2"/>
    </row>
    <row r="254" spans="1:1" x14ac:dyDescent="0.3">
      <c r="A254" s="2"/>
    </row>
    <row r="255" spans="1:1" x14ac:dyDescent="0.3">
      <c r="A255" s="2"/>
    </row>
    <row r="256" spans="1:1" x14ac:dyDescent="0.3">
      <c r="A256" s="2"/>
    </row>
    <row r="257" spans="1:1" x14ac:dyDescent="0.3">
      <c r="A257" s="2"/>
    </row>
    <row r="258" spans="1:1" x14ac:dyDescent="0.3">
      <c r="A258" s="2"/>
    </row>
    <row r="259" spans="1:1" x14ac:dyDescent="0.3">
      <c r="A259" s="2"/>
    </row>
    <row r="260" spans="1:1" x14ac:dyDescent="0.3">
      <c r="A260" s="2"/>
    </row>
    <row r="261" spans="1:1" x14ac:dyDescent="0.3">
      <c r="A261" s="2"/>
    </row>
    <row r="262" spans="1:1" x14ac:dyDescent="0.3">
      <c r="A262" s="2"/>
    </row>
    <row r="263" spans="1:1" x14ac:dyDescent="0.3">
      <c r="A263" s="2"/>
    </row>
    <row r="264" spans="1:1" x14ac:dyDescent="0.3">
      <c r="A264" s="2"/>
    </row>
    <row r="265" spans="1:1" x14ac:dyDescent="0.3">
      <c r="A265" s="2"/>
    </row>
    <row r="266" spans="1:1" x14ac:dyDescent="0.3">
      <c r="A266" s="2"/>
    </row>
    <row r="267" spans="1:1" x14ac:dyDescent="0.3">
      <c r="A267" s="2"/>
    </row>
    <row r="268" spans="1:1" x14ac:dyDescent="0.3">
      <c r="A268" s="2"/>
    </row>
    <row r="269" spans="1:1" x14ac:dyDescent="0.3">
      <c r="A269" s="2"/>
    </row>
    <row r="270" spans="1:1" x14ac:dyDescent="0.3">
      <c r="A270" s="2"/>
    </row>
    <row r="271" spans="1:1" x14ac:dyDescent="0.3">
      <c r="A271" s="2"/>
    </row>
    <row r="272" spans="1:1" x14ac:dyDescent="0.3">
      <c r="A272" s="2"/>
    </row>
    <row r="273" spans="1:1" x14ac:dyDescent="0.3">
      <c r="A273" s="2"/>
    </row>
    <row r="274" spans="1:1" x14ac:dyDescent="0.3">
      <c r="A274" s="2"/>
    </row>
    <row r="275" spans="1:1" x14ac:dyDescent="0.3">
      <c r="A275" s="2"/>
    </row>
    <row r="276" spans="1:1" x14ac:dyDescent="0.3">
      <c r="A276" s="2"/>
    </row>
    <row r="277" spans="1:1" x14ac:dyDescent="0.3">
      <c r="A277" s="2"/>
    </row>
    <row r="278" spans="1:1" x14ac:dyDescent="0.3">
      <c r="A278" s="2"/>
    </row>
    <row r="279" spans="1:1" x14ac:dyDescent="0.3">
      <c r="A279" s="2"/>
    </row>
    <row r="280" spans="1:1" x14ac:dyDescent="0.3">
      <c r="A280" s="2"/>
    </row>
    <row r="281" spans="1:1" x14ac:dyDescent="0.3">
      <c r="A281" s="2"/>
    </row>
    <row r="282" spans="1:1" x14ac:dyDescent="0.3">
      <c r="A282" s="2"/>
    </row>
    <row r="283" spans="1:1" x14ac:dyDescent="0.3">
      <c r="A283" s="2"/>
    </row>
    <row r="284" spans="1:1" x14ac:dyDescent="0.3">
      <c r="A284" s="2"/>
    </row>
    <row r="285" spans="1:1" x14ac:dyDescent="0.3">
      <c r="A285" s="2"/>
    </row>
    <row r="286" spans="1:1" x14ac:dyDescent="0.3">
      <c r="A286" s="2"/>
    </row>
    <row r="287" spans="1:1" x14ac:dyDescent="0.3">
      <c r="A287" s="2"/>
    </row>
    <row r="288" spans="1:1" x14ac:dyDescent="0.3">
      <c r="A288" s="2"/>
    </row>
    <row r="289" spans="1:1" x14ac:dyDescent="0.3">
      <c r="A289" s="2"/>
    </row>
    <row r="290" spans="1:1" x14ac:dyDescent="0.3">
      <c r="A290" s="2"/>
    </row>
    <row r="291" spans="1:1" x14ac:dyDescent="0.3">
      <c r="A291" s="2"/>
    </row>
    <row r="292" spans="1:1" x14ac:dyDescent="0.3">
      <c r="A292" s="2"/>
    </row>
    <row r="293" spans="1:1" x14ac:dyDescent="0.3">
      <c r="A293" s="2"/>
    </row>
    <row r="294" spans="1:1" x14ac:dyDescent="0.3">
      <c r="A294" s="2"/>
    </row>
    <row r="295" spans="1:1" x14ac:dyDescent="0.3">
      <c r="A295" s="2"/>
    </row>
    <row r="296" spans="1:1" x14ac:dyDescent="0.3">
      <c r="A296" s="2"/>
    </row>
    <row r="297" spans="1:1" x14ac:dyDescent="0.3">
      <c r="A297" s="2"/>
    </row>
    <row r="298" spans="1:1" x14ac:dyDescent="0.3">
      <c r="A298" s="2"/>
    </row>
    <row r="299" spans="1:1" x14ac:dyDescent="0.3">
      <c r="A299" s="2"/>
    </row>
    <row r="300" spans="1:1" x14ac:dyDescent="0.3">
      <c r="A300" s="2"/>
    </row>
    <row r="301" spans="1:1" x14ac:dyDescent="0.3">
      <c r="A301" s="2"/>
    </row>
    <row r="302" spans="1:1" x14ac:dyDescent="0.3">
      <c r="A302" s="2"/>
    </row>
    <row r="303" spans="1:1" x14ac:dyDescent="0.3">
      <c r="A303" s="2"/>
    </row>
    <row r="304" spans="1:1" x14ac:dyDescent="0.3">
      <c r="A304" s="2"/>
    </row>
    <row r="305" spans="1:1" x14ac:dyDescent="0.3">
      <c r="A305" s="2"/>
    </row>
    <row r="306" spans="1:1" x14ac:dyDescent="0.3">
      <c r="A306" s="2"/>
    </row>
    <row r="307" spans="1:1" x14ac:dyDescent="0.3">
      <c r="A307" s="2"/>
    </row>
    <row r="308" spans="1:1" x14ac:dyDescent="0.3">
      <c r="A308" s="2"/>
    </row>
    <row r="309" spans="1:1" x14ac:dyDescent="0.3">
      <c r="A309" s="2"/>
    </row>
    <row r="310" spans="1:1" x14ac:dyDescent="0.3">
      <c r="A310" s="2"/>
    </row>
    <row r="311" spans="1:1" x14ac:dyDescent="0.3">
      <c r="A311" s="2"/>
    </row>
    <row r="312" spans="1:1" x14ac:dyDescent="0.3">
      <c r="A312" s="2"/>
    </row>
    <row r="313" spans="1:1" x14ac:dyDescent="0.3">
      <c r="A313" s="2"/>
    </row>
    <row r="314" spans="1:1" x14ac:dyDescent="0.3">
      <c r="A314" s="2"/>
    </row>
    <row r="315" spans="1:1" x14ac:dyDescent="0.3">
      <c r="A315" s="2"/>
    </row>
    <row r="316" spans="1:1" x14ac:dyDescent="0.3">
      <c r="A316" s="2"/>
    </row>
    <row r="317" spans="1:1" x14ac:dyDescent="0.3">
      <c r="A317" s="2"/>
    </row>
    <row r="318" spans="1:1" x14ac:dyDescent="0.3">
      <c r="A318" s="2"/>
    </row>
    <row r="319" spans="1:1" x14ac:dyDescent="0.3">
      <c r="A319" s="2"/>
    </row>
    <row r="320" spans="1:1" x14ac:dyDescent="0.3">
      <c r="A320" s="2"/>
    </row>
    <row r="321" spans="1:1" x14ac:dyDescent="0.3">
      <c r="A321" s="2"/>
    </row>
    <row r="322" spans="1:1" x14ac:dyDescent="0.3">
      <c r="A322" s="2"/>
    </row>
    <row r="323" spans="1:1" x14ac:dyDescent="0.3">
      <c r="A323" s="2"/>
    </row>
    <row r="324" spans="1:1" x14ac:dyDescent="0.3">
      <c r="A324" s="2"/>
    </row>
    <row r="325" spans="1:1" x14ac:dyDescent="0.3">
      <c r="A325" s="2"/>
    </row>
    <row r="326" spans="1:1" x14ac:dyDescent="0.3">
      <c r="A326" s="2"/>
    </row>
    <row r="327" spans="1:1" x14ac:dyDescent="0.3">
      <c r="A327" s="2"/>
    </row>
    <row r="328" spans="1:1" x14ac:dyDescent="0.3">
      <c r="A328" s="2"/>
    </row>
    <row r="329" spans="1:1" x14ac:dyDescent="0.3">
      <c r="A329" s="2"/>
    </row>
    <row r="330" spans="1:1" x14ac:dyDescent="0.3">
      <c r="A330" s="2"/>
    </row>
    <row r="331" spans="1:1" x14ac:dyDescent="0.3">
      <c r="A331" s="2"/>
    </row>
    <row r="332" spans="1:1" x14ac:dyDescent="0.3">
      <c r="A332" s="2"/>
    </row>
    <row r="333" spans="1:1" x14ac:dyDescent="0.3">
      <c r="A333" s="2"/>
    </row>
    <row r="334" spans="1:1" x14ac:dyDescent="0.3">
      <c r="A334" s="2"/>
    </row>
    <row r="335" spans="1:1" x14ac:dyDescent="0.3">
      <c r="A335" s="2"/>
    </row>
    <row r="336" spans="1:1" x14ac:dyDescent="0.3">
      <c r="A336" s="2"/>
    </row>
    <row r="337" spans="1:1" x14ac:dyDescent="0.3">
      <c r="A337" s="2"/>
    </row>
    <row r="338" spans="1:1" x14ac:dyDescent="0.3">
      <c r="A338" s="2"/>
    </row>
    <row r="339" spans="1:1" x14ac:dyDescent="0.3">
      <c r="A339" s="12"/>
    </row>
    <row r="340" spans="1:1" x14ac:dyDescent="0.3">
      <c r="A340" s="12"/>
    </row>
    <row r="341" spans="1:1" x14ac:dyDescent="0.3">
      <c r="A341" s="12"/>
    </row>
    <row r="342" spans="1:1" x14ac:dyDescent="0.3">
      <c r="A342" s="12"/>
    </row>
    <row r="343" spans="1:1" x14ac:dyDescent="0.3">
      <c r="A343" s="12"/>
    </row>
    <row r="344" spans="1:1" x14ac:dyDescent="0.3">
      <c r="A344" s="12"/>
    </row>
    <row r="345" spans="1:1" x14ac:dyDescent="0.3">
      <c r="A345" s="12"/>
    </row>
    <row r="346" spans="1:1" x14ac:dyDescent="0.3">
      <c r="A346" s="12"/>
    </row>
    <row r="347" spans="1:1" x14ac:dyDescent="0.3">
      <c r="A347" s="12"/>
    </row>
    <row r="348" spans="1:1" x14ac:dyDescent="0.3">
      <c r="A348" s="12"/>
    </row>
    <row r="349" spans="1:1" x14ac:dyDescent="0.3">
      <c r="A349" s="12"/>
    </row>
    <row r="350" spans="1:1" x14ac:dyDescent="0.3">
      <c r="A350" s="12"/>
    </row>
    <row r="351" spans="1:1" x14ac:dyDescent="0.3">
      <c r="A351" s="12"/>
    </row>
    <row r="352" spans="1:1" x14ac:dyDescent="0.3">
      <c r="A352" s="12"/>
    </row>
    <row r="353" spans="1:1" x14ac:dyDescent="0.3">
      <c r="A353" s="12"/>
    </row>
    <row r="354" spans="1:1" x14ac:dyDescent="0.3">
      <c r="A354" s="12"/>
    </row>
    <row r="355" spans="1:1" x14ac:dyDescent="0.3">
      <c r="A355" s="12"/>
    </row>
    <row r="356" spans="1:1" x14ac:dyDescent="0.3">
      <c r="A356" s="12"/>
    </row>
    <row r="357" spans="1:1" x14ac:dyDescent="0.3">
      <c r="A357" s="12"/>
    </row>
    <row r="358" spans="1:1" x14ac:dyDescent="0.3">
      <c r="A358" s="12"/>
    </row>
    <row r="359" spans="1:1" x14ac:dyDescent="0.3">
      <c r="A359" s="12"/>
    </row>
    <row r="360" spans="1:1" x14ac:dyDescent="0.3">
      <c r="A360" s="12"/>
    </row>
    <row r="361" spans="1:1" x14ac:dyDescent="0.3">
      <c r="A361" s="12"/>
    </row>
    <row r="362" spans="1:1" x14ac:dyDescent="0.3">
      <c r="A362" s="12"/>
    </row>
    <row r="363" spans="1:1" x14ac:dyDescent="0.3">
      <c r="A363" s="12"/>
    </row>
    <row r="364" spans="1:1" x14ac:dyDescent="0.3">
      <c r="A364" s="12"/>
    </row>
    <row r="365" spans="1:1" x14ac:dyDescent="0.3">
      <c r="A365" s="12"/>
    </row>
    <row r="366" spans="1:1" x14ac:dyDescent="0.3">
      <c r="A366" s="12"/>
    </row>
    <row r="367" spans="1:1" x14ac:dyDescent="0.3">
      <c r="A367" s="12"/>
    </row>
    <row r="368" spans="1:1" x14ac:dyDescent="0.3">
      <c r="A368" s="12"/>
    </row>
    <row r="369" spans="1:1" x14ac:dyDescent="0.3">
      <c r="A369" s="12"/>
    </row>
    <row r="370" spans="1:1" x14ac:dyDescent="0.3">
      <c r="A370" s="12"/>
    </row>
    <row r="371" spans="1:1" x14ac:dyDescent="0.3">
      <c r="A371" s="12"/>
    </row>
    <row r="372" spans="1:1" x14ac:dyDescent="0.3">
      <c r="A372" s="12"/>
    </row>
    <row r="373" spans="1:1" x14ac:dyDescent="0.3">
      <c r="A373" s="12"/>
    </row>
    <row r="374" spans="1:1" x14ac:dyDescent="0.3">
      <c r="A374" s="12"/>
    </row>
    <row r="375" spans="1:1" x14ac:dyDescent="0.3">
      <c r="A375" s="12"/>
    </row>
    <row r="376" spans="1:1" x14ac:dyDescent="0.3">
      <c r="A376" s="12"/>
    </row>
    <row r="377" spans="1:1" x14ac:dyDescent="0.3">
      <c r="A377" s="12"/>
    </row>
    <row r="378" spans="1:1" x14ac:dyDescent="0.3">
      <c r="A378" s="12"/>
    </row>
    <row r="379" spans="1:1" x14ac:dyDescent="0.3">
      <c r="A379" s="12"/>
    </row>
    <row r="380" spans="1:1" x14ac:dyDescent="0.3">
      <c r="A380" s="12"/>
    </row>
    <row r="381" spans="1:1" x14ac:dyDescent="0.3">
      <c r="A381" s="12"/>
    </row>
    <row r="382" spans="1:1" x14ac:dyDescent="0.3">
      <c r="A382" s="12"/>
    </row>
    <row r="383" spans="1:1" x14ac:dyDescent="0.3">
      <c r="A383" s="12"/>
    </row>
    <row r="384" spans="1:1" x14ac:dyDescent="0.3">
      <c r="A384" s="12"/>
    </row>
    <row r="385" spans="1:1" x14ac:dyDescent="0.3">
      <c r="A385" s="12"/>
    </row>
    <row r="386" spans="1:1" x14ac:dyDescent="0.3">
      <c r="A386" s="12"/>
    </row>
    <row r="387" spans="1:1" x14ac:dyDescent="0.3">
      <c r="A387" s="12"/>
    </row>
    <row r="388" spans="1:1" x14ac:dyDescent="0.3">
      <c r="A388" s="12"/>
    </row>
    <row r="389" spans="1:1" x14ac:dyDescent="0.3">
      <c r="A389" s="12"/>
    </row>
    <row r="390" spans="1:1" x14ac:dyDescent="0.3">
      <c r="A390" s="12"/>
    </row>
    <row r="391" spans="1:1" x14ac:dyDescent="0.3">
      <c r="A391" s="12"/>
    </row>
    <row r="392" spans="1:1" x14ac:dyDescent="0.3">
      <c r="A392" s="12"/>
    </row>
    <row r="393" spans="1:1" x14ac:dyDescent="0.3">
      <c r="A393" s="12"/>
    </row>
    <row r="394" spans="1:1" x14ac:dyDescent="0.3">
      <c r="A394" s="12"/>
    </row>
    <row r="395" spans="1:1" x14ac:dyDescent="0.3">
      <c r="A395" s="12"/>
    </row>
    <row r="396" spans="1:1" x14ac:dyDescent="0.3">
      <c r="A396" s="12"/>
    </row>
    <row r="397" spans="1:1" x14ac:dyDescent="0.3">
      <c r="A397" s="12"/>
    </row>
    <row r="398" spans="1:1" x14ac:dyDescent="0.3">
      <c r="A398" s="12"/>
    </row>
    <row r="399" spans="1:1" x14ac:dyDescent="0.3">
      <c r="A399" s="12"/>
    </row>
    <row r="400" spans="1:1" x14ac:dyDescent="0.3">
      <c r="A400" s="12"/>
    </row>
    <row r="401" spans="1:1" x14ac:dyDescent="0.3">
      <c r="A401" s="12"/>
    </row>
    <row r="402" spans="1:1" x14ac:dyDescent="0.3">
      <c r="A402" s="12"/>
    </row>
    <row r="403" spans="1:1" x14ac:dyDescent="0.3">
      <c r="A403" s="12"/>
    </row>
    <row r="404" spans="1:1" x14ac:dyDescent="0.3">
      <c r="A404" s="12"/>
    </row>
    <row r="405" spans="1:1" x14ac:dyDescent="0.3">
      <c r="A405" s="12"/>
    </row>
    <row r="406" spans="1:1" x14ac:dyDescent="0.3">
      <c r="A406" s="12"/>
    </row>
    <row r="407" spans="1:1" x14ac:dyDescent="0.3">
      <c r="A407" s="12"/>
    </row>
    <row r="408" spans="1:1" x14ac:dyDescent="0.3">
      <c r="A408" s="12"/>
    </row>
    <row r="409" spans="1:1" x14ac:dyDescent="0.3">
      <c r="A409" s="12"/>
    </row>
    <row r="410" spans="1:1" x14ac:dyDescent="0.3">
      <c r="A410" s="12"/>
    </row>
    <row r="411" spans="1:1" x14ac:dyDescent="0.3">
      <c r="A411" s="12"/>
    </row>
    <row r="412" spans="1:1" x14ac:dyDescent="0.3">
      <c r="A412" s="12"/>
    </row>
    <row r="413" spans="1:1" x14ac:dyDescent="0.3">
      <c r="A413" s="12"/>
    </row>
    <row r="414" spans="1:1" x14ac:dyDescent="0.3">
      <c r="A414" s="12"/>
    </row>
    <row r="415" spans="1:1" x14ac:dyDescent="0.3">
      <c r="A415" s="12"/>
    </row>
    <row r="416" spans="1:1" x14ac:dyDescent="0.3">
      <c r="A416" s="12"/>
    </row>
    <row r="417" spans="1:1" x14ac:dyDescent="0.3">
      <c r="A417" s="12"/>
    </row>
    <row r="418" spans="1:1" x14ac:dyDescent="0.3">
      <c r="A418" s="12"/>
    </row>
    <row r="419" spans="1:1" x14ac:dyDescent="0.3">
      <c r="A419" s="12"/>
    </row>
    <row r="420" spans="1:1" x14ac:dyDescent="0.3">
      <c r="A420" s="12"/>
    </row>
    <row r="421" spans="1:1" x14ac:dyDescent="0.3">
      <c r="A421" s="12"/>
    </row>
    <row r="422" spans="1:1" x14ac:dyDescent="0.3">
      <c r="A422" s="12"/>
    </row>
    <row r="423" spans="1:1" x14ac:dyDescent="0.3">
      <c r="A423" s="12"/>
    </row>
    <row r="424" spans="1:1" x14ac:dyDescent="0.3">
      <c r="A424" s="12"/>
    </row>
    <row r="425" spans="1:1" x14ac:dyDescent="0.3">
      <c r="A425" s="12"/>
    </row>
    <row r="426" spans="1:1" x14ac:dyDescent="0.3">
      <c r="A426" s="12"/>
    </row>
    <row r="427" spans="1:1" x14ac:dyDescent="0.3">
      <c r="A427" s="12"/>
    </row>
    <row r="428" spans="1:1" x14ac:dyDescent="0.3">
      <c r="A428" s="12"/>
    </row>
    <row r="429" spans="1:1" x14ac:dyDescent="0.3">
      <c r="A429" s="12"/>
    </row>
    <row r="430" spans="1:1" x14ac:dyDescent="0.3">
      <c r="A430" s="12"/>
    </row>
    <row r="431" spans="1:1" x14ac:dyDescent="0.3">
      <c r="A431" s="12"/>
    </row>
    <row r="432" spans="1:1" x14ac:dyDescent="0.3">
      <c r="A432" s="12"/>
    </row>
    <row r="433" spans="1:1" x14ac:dyDescent="0.3">
      <c r="A433" s="12"/>
    </row>
    <row r="434" spans="1:1" x14ac:dyDescent="0.3">
      <c r="A434" s="12"/>
    </row>
    <row r="435" spans="1:1" x14ac:dyDescent="0.3">
      <c r="A435" s="12"/>
    </row>
    <row r="436" spans="1:1" x14ac:dyDescent="0.3">
      <c r="A436" s="12"/>
    </row>
    <row r="437" spans="1:1" x14ac:dyDescent="0.3">
      <c r="A437" s="12"/>
    </row>
    <row r="438" spans="1:1" x14ac:dyDescent="0.3">
      <c r="A438" s="12"/>
    </row>
    <row r="439" spans="1:1" x14ac:dyDescent="0.3">
      <c r="A439" s="12"/>
    </row>
    <row r="440" spans="1:1" x14ac:dyDescent="0.3">
      <c r="A440" s="12"/>
    </row>
    <row r="441" spans="1:1" x14ac:dyDescent="0.3">
      <c r="A441" s="12"/>
    </row>
    <row r="442" spans="1:1" x14ac:dyDescent="0.3">
      <c r="A442" s="12"/>
    </row>
    <row r="443" spans="1:1" x14ac:dyDescent="0.3">
      <c r="A443" s="12"/>
    </row>
    <row r="444" spans="1:1" x14ac:dyDescent="0.3">
      <c r="A444" s="12"/>
    </row>
    <row r="445" spans="1:1" x14ac:dyDescent="0.3">
      <c r="A445" s="12"/>
    </row>
    <row r="446" spans="1:1" x14ac:dyDescent="0.3">
      <c r="A446" s="12"/>
    </row>
    <row r="447" spans="1:1" x14ac:dyDescent="0.3">
      <c r="A447" s="12"/>
    </row>
    <row r="448" spans="1:1" x14ac:dyDescent="0.3">
      <c r="A448" s="12"/>
    </row>
    <row r="449" spans="1:1" x14ac:dyDescent="0.3">
      <c r="A449" s="12"/>
    </row>
    <row r="450" spans="1:1" x14ac:dyDescent="0.3">
      <c r="A450" s="12"/>
    </row>
    <row r="451" spans="1:1" x14ac:dyDescent="0.3">
      <c r="A451" s="12"/>
    </row>
    <row r="452" spans="1:1" x14ac:dyDescent="0.3">
      <c r="A452" s="12"/>
    </row>
    <row r="453" spans="1:1" x14ac:dyDescent="0.3">
      <c r="A453" s="12"/>
    </row>
    <row r="454" spans="1:1" x14ac:dyDescent="0.3">
      <c r="A454" s="12"/>
    </row>
    <row r="455" spans="1:1" x14ac:dyDescent="0.3">
      <c r="A455" s="12"/>
    </row>
    <row r="456" spans="1:1" x14ac:dyDescent="0.3">
      <c r="A456" s="12"/>
    </row>
    <row r="457" spans="1:1" x14ac:dyDescent="0.3">
      <c r="A457" s="12"/>
    </row>
    <row r="458" spans="1:1" x14ac:dyDescent="0.3">
      <c r="A458" s="12"/>
    </row>
    <row r="459" spans="1:1" x14ac:dyDescent="0.3">
      <c r="A459" s="12"/>
    </row>
    <row r="460" spans="1:1" x14ac:dyDescent="0.3">
      <c r="A460" s="12"/>
    </row>
    <row r="461" spans="1:1" x14ac:dyDescent="0.3">
      <c r="A461" s="12"/>
    </row>
    <row r="462" spans="1:1" x14ac:dyDescent="0.3">
      <c r="A462" s="12"/>
    </row>
    <row r="463" spans="1:1" x14ac:dyDescent="0.3">
      <c r="A463" s="12"/>
    </row>
    <row r="464" spans="1:1" x14ac:dyDescent="0.3">
      <c r="A464" s="12"/>
    </row>
    <row r="465" spans="1:1" x14ac:dyDescent="0.3">
      <c r="A465" s="12"/>
    </row>
    <row r="466" spans="1:1" x14ac:dyDescent="0.3">
      <c r="A466" s="12"/>
    </row>
    <row r="467" spans="1:1" x14ac:dyDescent="0.3">
      <c r="A467" s="12"/>
    </row>
    <row r="468" spans="1:1" x14ac:dyDescent="0.3">
      <c r="A468" s="12"/>
    </row>
    <row r="469" spans="1:1" x14ac:dyDescent="0.3">
      <c r="A469" s="12"/>
    </row>
    <row r="470" spans="1:1" x14ac:dyDescent="0.3">
      <c r="A470" s="12"/>
    </row>
    <row r="471" spans="1:1" x14ac:dyDescent="0.3">
      <c r="A471" s="12"/>
    </row>
    <row r="472" spans="1:1" x14ac:dyDescent="0.3">
      <c r="A472" s="12"/>
    </row>
    <row r="473" spans="1:1" x14ac:dyDescent="0.3">
      <c r="A473" s="12"/>
    </row>
    <row r="474" spans="1:1" x14ac:dyDescent="0.3">
      <c r="A474" s="12"/>
    </row>
    <row r="475" spans="1:1" x14ac:dyDescent="0.3">
      <c r="A475" s="12"/>
    </row>
    <row r="476" spans="1:1" x14ac:dyDescent="0.3">
      <c r="A476" s="12"/>
    </row>
    <row r="477" spans="1:1" x14ac:dyDescent="0.3">
      <c r="A477" s="12"/>
    </row>
    <row r="478" spans="1:1" x14ac:dyDescent="0.3">
      <c r="A478" s="12"/>
    </row>
    <row r="479" spans="1:1" x14ac:dyDescent="0.3">
      <c r="A479" s="12"/>
    </row>
    <row r="480" spans="1:1" x14ac:dyDescent="0.3">
      <c r="A480" s="12"/>
    </row>
    <row r="481" spans="1:1" x14ac:dyDescent="0.3">
      <c r="A481" s="12"/>
    </row>
    <row r="482" spans="1:1" x14ac:dyDescent="0.3">
      <c r="A482" s="12"/>
    </row>
    <row r="483" spans="1:1" x14ac:dyDescent="0.3">
      <c r="A483" s="12"/>
    </row>
    <row r="484" spans="1:1" x14ac:dyDescent="0.3">
      <c r="A484" s="12"/>
    </row>
    <row r="485" spans="1:1" x14ac:dyDescent="0.3">
      <c r="A485" s="12"/>
    </row>
    <row r="486" spans="1:1" x14ac:dyDescent="0.3">
      <c r="A486" s="12"/>
    </row>
    <row r="487" spans="1:1" x14ac:dyDescent="0.3">
      <c r="A487" s="12"/>
    </row>
    <row r="488" spans="1:1" x14ac:dyDescent="0.3">
      <c r="A488" s="12"/>
    </row>
    <row r="489" spans="1:1" x14ac:dyDescent="0.3">
      <c r="A489" s="12"/>
    </row>
    <row r="490" spans="1:1" x14ac:dyDescent="0.3">
      <c r="A490" s="12"/>
    </row>
    <row r="491" spans="1:1" x14ac:dyDescent="0.3">
      <c r="A491" s="12"/>
    </row>
    <row r="492" spans="1:1" x14ac:dyDescent="0.3">
      <c r="A492" s="12"/>
    </row>
    <row r="493" spans="1:1" x14ac:dyDescent="0.3">
      <c r="A493" s="12"/>
    </row>
    <row r="494" spans="1:1" x14ac:dyDescent="0.3">
      <c r="A494" s="12"/>
    </row>
    <row r="495" spans="1:1" x14ac:dyDescent="0.3">
      <c r="A495" s="12"/>
    </row>
    <row r="496" spans="1:1" x14ac:dyDescent="0.3">
      <c r="A496" s="12"/>
    </row>
    <row r="497" spans="1:1" x14ac:dyDescent="0.3">
      <c r="A497" s="12"/>
    </row>
    <row r="498" spans="1:1" x14ac:dyDescent="0.3">
      <c r="A498" s="12"/>
    </row>
    <row r="499" spans="1:1" x14ac:dyDescent="0.3">
      <c r="A499" s="12"/>
    </row>
    <row r="500" spans="1:1" x14ac:dyDescent="0.3">
      <c r="A500" s="12"/>
    </row>
    <row r="501" spans="1:1" x14ac:dyDescent="0.3">
      <c r="A501" s="12"/>
    </row>
    <row r="502" spans="1:1" x14ac:dyDescent="0.3">
      <c r="A502" s="12"/>
    </row>
    <row r="503" spans="1:1" x14ac:dyDescent="0.3">
      <c r="A503" s="12"/>
    </row>
    <row r="504" spans="1:1" x14ac:dyDescent="0.3">
      <c r="A504" s="12"/>
    </row>
    <row r="505" spans="1:1" x14ac:dyDescent="0.3">
      <c r="A505" s="12"/>
    </row>
    <row r="506" spans="1:1" x14ac:dyDescent="0.3">
      <c r="A506" s="12"/>
    </row>
    <row r="507" spans="1:1" x14ac:dyDescent="0.3">
      <c r="A507" s="12"/>
    </row>
    <row r="508" spans="1:1" x14ac:dyDescent="0.3">
      <c r="A508" s="12"/>
    </row>
    <row r="509" spans="1:1" x14ac:dyDescent="0.3">
      <c r="A509" s="12"/>
    </row>
    <row r="510" spans="1:1" x14ac:dyDescent="0.3">
      <c r="A510" s="12"/>
    </row>
    <row r="511" spans="1:1" x14ac:dyDescent="0.3">
      <c r="A511" s="12"/>
    </row>
    <row r="512" spans="1:1" x14ac:dyDescent="0.3">
      <c r="A512" s="12"/>
    </row>
    <row r="513" spans="1:1" x14ac:dyDescent="0.3">
      <c r="A513" s="12"/>
    </row>
    <row r="514" spans="1:1" x14ac:dyDescent="0.3">
      <c r="A514" s="12"/>
    </row>
    <row r="515" spans="1:1" x14ac:dyDescent="0.3">
      <c r="A515" s="12"/>
    </row>
    <row r="516" spans="1:1" x14ac:dyDescent="0.3">
      <c r="A516" s="12"/>
    </row>
    <row r="517" spans="1:1" x14ac:dyDescent="0.3">
      <c r="A517" s="12"/>
    </row>
    <row r="518" spans="1:1" x14ac:dyDescent="0.3">
      <c r="A518" s="12"/>
    </row>
    <row r="519" spans="1:1" x14ac:dyDescent="0.3">
      <c r="A519" s="12"/>
    </row>
    <row r="520" spans="1:1" x14ac:dyDescent="0.3">
      <c r="A520" s="12"/>
    </row>
    <row r="521" spans="1:1" x14ac:dyDescent="0.3">
      <c r="A521" s="12"/>
    </row>
    <row r="522" spans="1:1" x14ac:dyDescent="0.3">
      <c r="A522" s="12"/>
    </row>
    <row r="523" spans="1:1" x14ac:dyDescent="0.3">
      <c r="A523" s="12"/>
    </row>
    <row r="524" spans="1:1" x14ac:dyDescent="0.3">
      <c r="A524" s="12"/>
    </row>
    <row r="525" spans="1:1" x14ac:dyDescent="0.3">
      <c r="A525" s="12"/>
    </row>
    <row r="526" spans="1:1" x14ac:dyDescent="0.3">
      <c r="A526" s="12"/>
    </row>
    <row r="527" spans="1:1" x14ac:dyDescent="0.3">
      <c r="A527" s="12"/>
    </row>
    <row r="528" spans="1:1" x14ac:dyDescent="0.3">
      <c r="A528" s="12"/>
    </row>
    <row r="529" spans="1:1" x14ac:dyDescent="0.3">
      <c r="A529" s="12"/>
    </row>
    <row r="530" spans="1:1" x14ac:dyDescent="0.3">
      <c r="A530" s="12"/>
    </row>
    <row r="531" spans="1:1" x14ac:dyDescent="0.3">
      <c r="A531" s="12"/>
    </row>
    <row r="532" spans="1:1" x14ac:dyDescent="0.3">
      <c r="A532" s="12"/>
    </row>
    <row r="533" spans="1:1" x14ac:dyDescent="0.3">
      <c r="A533" s="12"/>
    </row>
    <row r="534" spans="1:1" x14ac:dyDescent="0.3">
      <c r="A534" s="12"/>
    </row>
    <row r="535" spans="1:1" x14ac:dyDescent="0.3">
      <c r="A535" s="12"/>
    </row>
    <row r="536" spans="1:1" x14ac:dyDescent="0.3">
      <c r="A536" s="12"/>
    </row>
    <row r="537" spans="1:1" x14ac:dyDescent="0.3">
      <c r="A537" s="12"/>
    </row>
    <row r="538" spans="1:1" x14ac:dyDescent="0.3">
      <c r="A538" s="12"/>
    </row>
    <row r="539" spans="1:1" x14ac:dyDescent="0.3">
      <c r="A539" s="12"/>
    </row>
    <row r="540" spans="1:1" x14ac:dyDescent="0.3">
      <c r="A540" s="12"/>
    </row>
    <row r="541" spans="1:1" x14ac:dyDescent="0.3">
      <c r="A541" s="12"/>
    </row>
    <row r="542" spans="1:1" x14ac:dyDescent="0.3">
      <c r="A542" s="12"/>
    </row>
    <row r="543" spans="1:1" x14ac:dyDescent="0.3">
      <c r="A543" s="12"/>
    </row>
    <row r="544" spans="1:1" x14ac:dyDescent="0.3">
      <c r="A544" s="12"/>
    </row>
    <row r="545" spans="1:1" x14ac:dyDescent="0.3">
      <c r="A545" s="12"/>
    </row>
    <row r="546" spans="1:1" x14ac:dyDescent="0.3">
      <c r="A546" s="12"/>
    </row>
    <row r="547" spans="1:1" x14ac:dyDescent="0.3">
      <c r="A547" s="12"/>
    </row>
    <row r="548" spans="1:1" x14ac:dyDescent="0.3">
      <c r="A548" s="12"/>
    </row>
    <row r="549" spans="1:1" x14ac:dyDescent="0.3">
      <c r="A549" s="12"/>
    </row>
    <row r="550" spans="1:1" x14ac:dyDescent="0.3">
      <c r="A550" s="12"/>
    </row>
    <row r="551" spans="1:1" x14ac:dyDescent="0.3">
      <c r="A551" s="12"/>
    </row>
    <row r="552" spans="1:1" x14ac:dyDescent="0.3">
      <c r="A552" s="12"/>
    </row>
    <row r="553" spans="1:1" x14ac:dyDescent="0.3">
      <c r="A553" s="12"/>
    </row>
    <row r="554" spans="1:1" x14ac:dyDescent="0.3">
      <c r="A554" s="12"/>
    </row>
    <row r="555" spans="1:1" x14ac:dyDescent="0.3">
      <c r="A555" s="12"/>
    </row>
    <row r="556" spans="1:1" x14ac:dyDescent="0.3">
      <c r="A556" s="12"/>
    </row>
    <row r="557" spans="1:1" x14ac:dyDescent="0.3">
      <c r="A557" s="12"/>
    </row>
    <row r="558" spans="1:1" x14ac:dyDescent="0.3">
      <c r="A558" s="12"/>
    </row>
    <row r="559" spans="1:1" x14ac:dyDescent="0.3">
      <c r="A559" s="12"/>
    </row>
    <row r="560" spans="1:1" x14ac:dyDescent="0.3">
      <c r="A560" s="12"/>
    </row>
    <row r="561" spans="1:1" x14ac:dyDescent="0.3">
      <c r="A561" s="12"/>
    </row>
    <row r="562" spans="1:1" x14ac:dyDescent="0.3">
      <c r="A562" s="12"/>
    </row>
    <row r="563" spans="1:1" x14ac:dyDescent="0.3">
      <c r="A563" s="12"/>
    </row>
    <row r="564" spans="1:1" x14ac:dyDescent="0.3">
      <c r="A564" s="12"/>
    </row>
    <row r="565" spans="1:1" x14ac:dyDescent="0.3">
      <c r="A565" s="12"/>
    </row>
    <row r="566" spans="1:1" x14ac:dyDescent="0.3">
      <c r="A566" s="12"/>
    </row>
    <row r="567" spans="1:1" x14ac:dyDescent="0.3">
      <c r="A567" s="12"/>
    </row>
    <row r="568" spans="1:1" x14ac:dyDescent="0.3">
      <c r="A568" s="12"/>
    </row>
    <row r="569" spans="1:1" x14ac:dyDescent="0.3">
      <c r="A569" s="12"/>
    </row>
    <row r="570" spans="1:1" x14ac:dyDescent="0.3">
      <c r="A570" s="12"/>
    </row>
    <row r="571" spans="1:1" x14ac:dyDescent="0.3">
      <c r="A571" s="12"/>
    </row>
    <row r="572" spans="1:1" x14ac:dyDescent="0.3">
      <c r="A572" s="12"/>
    </row>
    <row r="573" spans="1:1" x14ac:dyDescent="0.3">
      <c r="A573" s="12"/>
    </row>
    <row r="574" spans="1:1" x14ac:dyDescent="0.3">
      <c r="A574" s="12"/>
    </row>
    <row r="575" spans="1:1" x14ac:dyDescent="0.3">
      <c r="A575" s="12"/>
    </row>
    <row r="576" spans="1:1" x14ac:dyDescent="0.3">
      <c r="A576" s="12"/>
    </row>
    <row r="577" spans="1:1" x14ac:dyDescent="0.3">
      <c r="A577" s="12"/>
    </row>
    <row r="578" spans="1:1" x14ac:dyDescent="0.3">
      <c r="A578" s="12"/>
    </row>
    <row r="579" spans="1:1" x14ac:dyDescent="0.3">
      <c r="A579" s="12"/>
    </row>
    <row r="580" spans="1:1" x14ac:dyDescent="0.3">
      <c r="A580" s="12"/>
    </row>
    <row r="581" spans="1:1" x14ac:dyDescent="0.3">
      <c r="A581" s="12"/>
    </row>
    <row r="582" spans="1:1" x14ac:dyDescent="0.3">
      <c r="A582" s="12"/>
    </row>
    <row r="583" spans="1:1" x14ac:dyDescent="0.3">
      <c r="A583" s="12"/>
    </row>
    <row r="584" spans="1:1" x14ac:dyDescent="0.3">
      <c r="A584" s="12"/>
    </row>
    <row r="585" spans="1:1" x14ac:dyDescent="0.3">
      <c r="A585" s="12"/>
    </row>
    <row r="586" spans="1:1" x14ac:dyDescent="0.3">
      <c r="A586" s="12"/>
    </row>
    <row r="587" spans="1:1" x14ac:dyDescent="0.3">
      <c r="A587" s="12"/>
    </row>
    <row r="588" spans="1:1" x14ac:dyDescent="0.3">
      <c r="A588" s="12"/>
    </row>
    <row r="589" spans="1:1" x14ac:dyDescent="0.3">
      <c r="A589" s="12"/>
    </row>
    <row r="590" spans="1:1" x14ac:dyDescent="0.3">
      <c r="A590" s="12"/>
    </row>
    <row r="591" spans="1:1" x14ac:dyDescent="0.3">
      <c r="A591" s="12"/>
    </row>
    <row r="592" spans="1:1" x14ac:dyDescent="0.3">
      <c r="A592" s="12"/>
    </row>
    <row r="593" spans="1:1" x14ac:dyDescent="0.3">
      <c r="A593" s="12"/>
    </row>
    <row r="594" spans="1:1" x14ac:dyDescent="0.3">
      <c r="A594" s="12"/>
    </row>
    <row r="595" spans="1:1" x14ac:dyDescent="0.3">
      <c r="A595" s="12"/>
    </row>
    <row r="596" spans="1:1" x14ac:dyDescent="0.3">
      <c r="A596" s="12"/>
    </row>
    <row r="597" spans="1:1" x14ac:dyDescent="0.3">
      <c r="A597" s="12"/>
    </row>
    <row r="598" spans="1:1" x14ac:dyDescent="0.3">
      <c r="A598" s="12"/>
    </row>
    <row r="599" spans="1:1" x14ac:dyDescent="0.3">
      <c r="A599" s="12"/>
    </row>
    <row r="600" spans="1:1" x14ac:dyDescent="0.3">
      <c r="A600" s="12"/>
    </row>
    <row r="601" spans="1:1" x14ac:dyDescent="0.3">
      <c r="A601" s="12"/>
    </row>
    <row r="602" spans="1:1" x14ac:dyDescent="0.3">
      <c r="A602" s="12"/>
    </row>
    <row r="603" spans="1:1" x14ac:dyDescent="0.3">
      <c r="A603" s="12"/>
    </row>
    <row r="604" spans="1:1" x14ac:dyDescent="0.3">
      <c r="A604" s="12"/>
    </row>
    <row r="605" spans="1:1" x14ac:dyDescent="0.3">
      <c r="A605" s="12"/>
    </row>
    <row r="606" spans="1:1" x14ac:dyDescent="0.3">
      <c r="A606" s="12"/>
    </row>
    <row r="607" spans="1:1" x14ac:dyDescent="0.3">
      <c r="A607" s="12"/>
    </row>
    <row r="608" spans="1:1" x14ac:dyDescent="0.3">
      <c r="A608" s="12"/>
    </row>
    <row r="609" spans="1:1" x14ac:dyDescent="0.3">
      <c r="A609" s="12"/>
    </row>
    <row r="610" spans="1:1" x14ac:dyDescent="0.3">
      <c r="A610" s="12"/>
    </row>
    <row r="611" spans="1:1" x14ac:dyDescent="0.3">
      <c r="A611" s="12"/>
    </row>
    <row r="612" spans="1:1" x14ac:dyDescent="0.3">
      <c r="A612" s="12"/>
    </row>
    <row r="613" spans="1:1" x14ac:dyDescent="0.3">
      <c r="A613" s="12"/>
    </row>
    <row r="614" spans="1:1" x14ac:dyDescent="0.3">
      <c r="A614" s="12"/>
    </row>
    <row r="615" spans="1:1" x14ac:dyDescent="0.3">
      <c r="A615" s="12"/>
    </row>
    <row r="616" spans="1:1" x14ac:dyDescent="0.3">
      <c r="A616" s="12"/>
    </row>
    <row r="617" spans="1:1" x14ac:dyDescent="0.3">
      <c r="A617" s="12"/>
    </row>
    <row r="618" spans="1:1" x14ac:dyDescent="0.3">
      <c r="A618" s="12"/>
    </row>
    <row r="619" spans="1:1" x14ac:dyDescent="0.3">
      <c r="A619" s="12"/>
    </row>
    <row r="620" spans="1:1" x14ac:dyDescent="0.3">
      <c r="A620" s="12"/>
    </row>
    <row r="621" spans="1:1" x14ac:dyDescent="0.3">
      <c r="A621" s="12"/>
    </row>
    <row r="622" spans="1:1" x14ac:dyDescent="0.3">
      <c r="A622" s="12"/>
    </row>
    <row r="623" spans="1:1" x14ac:dyDescent="0.3">
      <c r="A623" s="12"/>
    </row>
    <row r="624" spans="1:1" x14ac:dyDescent="0.3">
      <c r="A624" s="12"/>
    </row>
    <row r="625" spans="1:1" x14ac:dyDescent="0.3">
      <c r="A625" s="12"/>
    </row>
    <row r="626" spans="1:1" x14ac:dyDescent="0.3">
      <c r="A626" s="12"/>
    </row>
    <row r="627" spans="1:1" x14ac:dyDescent="0.3">
      <c r="A627" s="12"/>
    </row>
    <row r="628" spans="1:1" x14ac:dyDescent="0.3">
      <c r="A628" s="12"/>
    </row>
    <row r="629" spans="1:1" x14ac:dyDescent="0.3">
      <c r="A629" s="12"/>
    </row>
    <row r="630" spans="1:1" x14ac:dyDescent="0.3">
      <c r="A630" s="12"/>
    </row>
    <row r="631" spans="1:1" x14ac:dyDescent="0.3">
      <c r="A631" s="12"/>
    </row>
    <row r="632" spans="1:1" x14ac:dyDescent="0.3">
      <c r="A632" s="12"/>
    </row>
    <row r="633" spans="1:1" x14ac:dyDescent="0.3">
      <c r="A633" s="12"/>
    </row>
    <row r="634" spans="1:1" x14ac:dyDescent="0.3">
      <c r="A634" s="12"/>
    </row>
    <row r="635" spans="1:1" x14ac:dyDescent="0.3">
      <c r="A635" s="12"/>
    </row>
    <row r="636" spans="1:1" x14ac:dyDescent="0.3">
      <c r="A636" s="12"/>
    </row>
    <row r="637" spans="1:1" x14ac:dyDescent="0.3">
      <c r="A637" s="12"/>
    </row>
    <row r="638" spans="1:1" x14ac:dyDescent="0.3">
      <c r="A638" s="12"/>
    </row>
    <row r="639" spans="1:1" x14ac:dyDescent="0.3">
      <c r="A639" s="12"/>
    </row>
    <row r="640" spans="1:1" x14ac:dyDescent="0.3">
      <c r="A640" s="12"/>
    </row>
    <row r="641" spans="1:1" x14ac:dyDescent="0.3">
      <c r="A641" s="12"/>
    </row>
    <row r="642" spans="1:1" x14ac:dyDescent="0.3">
      <c r="A642" s="12"/>
    </row>
    <row r="643" spans="1:1" x14ac:dyDescent="0.3">
      <c r="A643" s="12"/>
    </row>
    <row r="644" spans="1:1" x14ac:dyDescent="0.3">
      <c r="A644" s="12"/>
    </row>
    <row r="645" spans="1:1" x14ac:dyDescent="0.3">
      <c r="A645" s="12"/>
    </row>
    <row r="646" spans="1:1" x14ac:dyDescent="0.3">
      <c r="A646" s="12"/>
    </row>
    <row r="647" spans="1:1" x14ac:dyDescent="0.3">
      <c r="A647" s="12"/>
    </row>
    <row r="648" spans="1:1" x14ac:dyDescent="0.3">
      <c r="A648" s="12"/>
    </row>
    <row r="649" spans="1:1" x14ac:dyDescent="0.3">
      <c r="A649" s="12"/>
    </row>
    <row r="650" spans="1:1" x14ac:dyDescent="0.3">
      <c r="A650" s="12"/>
    </row>
    <row r="651" spans="1:1" x14ac:dyDescent="0.3">
      <c r="A651" s="12"/>
    </row>
    <row r="652" spans="1:1" x14ac:dyDescent="0.3">
      <c r="A652" s="12"/>
    </row>
    <row r="653" spans="1:1" x14ac:dyDescent="0.3">
      <c r="A653" s="12"/>
    </row>
    <row r="654" spans="1:1" x14ac:dyDescent="0.3">
      <c r="A654" s="12"/>
    </row>
    <row r="655" spans="1:1" x14ac:dyDescent="0.3">
      <c r="A655" s="12"/>
    </row>
    <row r="656" spans="1:1" x14ac:dyDescent="0.3">
      <c r="A656" s="12"/>
    </row>
    <row r="657" spans="1:1" x14ac:dyDescent="0.3">
      <c r="A657" s="12"/>
    </row>
    <row r="658" spans="1:1" x14ac:dyDescent="0.3">
      <c r="A658" s="12"/>
    </row>
    <row r="659" spans="1:1" x14ac:dyDescent="0.3">
      <c r="A659" s="12"/>
    </row>
    <row r="660" spans="1:1" x14ac:dyDescent="0.3">
      <c r="A660" s="12"/>
    </row>
    <row r="661" spans="1:1" x14ac:dyDescent="0.3">
      <c r="A661" s="12"/>
    </row>
    <row r="662" spans="1:1" x14ac:dyDescent="0.3">
      <c r="A662" s="12"/>
    </row>
    <row r="663" spans="1:1" x14ac:dyDescent="0.3">
      <c r="A663" s="12"/>
    </row>
    <row r="664" spans="1:1" x14ac:dyDescent="0.3">
      <c r="A664" s="12"/>
    </row>
    <row r="665" spans="1:1" x14ac:dyDescent="0.3">
      <c r="A665" s="12"/>
    </row>
    <row r="666" spans="1:1" x14ac:dyDescent="0.3">
      <c r="A666" s="12"/>
    </row>
    <row r="667" spans="1:1" x14ac:dyDescent="0.3">
      <c r="A667" s="12"/>
    </row>
    <row r="668" spans="1:1" x14ac:dyDescent="0.3">
      <c r="A668" s="12"/>
    </row>
    <row r="669" spans="1:1" x14ac:dyDescent="0.3">
      <c r="A669" s="12"/>
    </row>
    <row r="670" spans="1:1" x14ac:dyDescent="0.3">
      <c r="A670" s="12"/>
    </row>
    <row r="671" spans="1:1" x14ac:dyDescent="0.3">
      <c r="A671" s="12"/>
    </row>
    <row r="672" spans="1:1" x14ac:dyDescent="0.3">
      <c r="A672" s="12"/>
    </row>
    <row r="673" spans="1:1" x14ac:dyDescent="0.3">
      <c r="A673" s="12"/>
    </row>
    <row r="674" spans="1:1" x14ac:dyDescent="0.3">
      <c r="A674" s="12"/>
    </row>
    <row r="675" spans="1:1" x14ac:dyDescent="0.3">
      <c r="A675" s="12"/>
    </row>
    <row r="676" spans="1:1" x14ac:dyDescent="0.3">
      <c r="A676" s="12"/>
    </row>
    <row r="677" spans="1:1" x14ac:dyDescent="0.3">
      <c r="A677" s="12"/>
    </row>
    <row r="678" spans="1:1" x14ac:dyDescent="0.3">
      <c r="A678" s="12"/>
    </row>
    <row r="679" spans="1:1" x14ac:dyDescent="0.3">
      <c r="A679" s="12"/>
    </row>
    <row r="680" spans="1:1" x14ac:dyDescent="0.3">
      <c r="A680" s="12"/>
    </row>
    <row r="681" spans="1:1" x14ac:dyDescent="0.3">
      <c r="A681" s="12"/>
    </row>
    <row r="682" spans="1:1" x14ac:dyDescent="0.3">
      <c r="A682" s="12"/>
    </row>
    <row r="683" spans="1:1" x14ac:dyDescent="0.3">
      <c r="A683" s="12"/>
    </row>
    <row r="684" spans="1:1" x14ac:dyDescent="0.3">
      <c r="A684" s="12"/>
    </row>
    <row r="685" spans="1:1" x14ac:dyDescent="0.3">
      <c r="A685" s="12"/>
    </row>
    <row r="686" spans="1:1" x14ac:dyDescent="0.3">
      <c r="A686" s="12"/>
    </row>
    <row r="687" spans="1:1" x14ac:dyDescent="0.3">
      <c r="A687" s="12"/>
    </row>
    <row r="688" spans="1:1" x14ac:dyDescent="0.3">
      <c r="A688" s="12"/>
    </row>
    <row r="689" spans="1:1" x14ac:dyDescent="0.3">
      <c r="A689" s="12"/>
    </row>
    <row r="690" spans="1:1" x14ac:dyDescent="0.3">
      <c r="A690" s="12"/>
    </row>
    <row r="691" spans="1:1" x14ac:dyDescent="0.3">
      <c r="A691" s="12"/>
    </row>
    <row r="692" spans="1:1" x14ac:dyDescent="0.3">
      <c r="A692" s="12"/>
    </row>
    <row r="693" spans="1:1" x14ac:dyDescent="0.3">
      <c r="A693" s="12"/>
    </row>
    <row r="694" spans="1:1" x14ac:dyDescent="0.3">
      <c r="A694" s="12"/>
    </row>
    <row r="695" spans="1:1" x14ac:dyDescent="0.3">
      <c r="A695" s="12"/>
    </row>
    <row r="696" spans="1:1" x14ac:dyDescent="0.3">
      <c r="A696" s="12"/>
    </row>
    <row r="697" spans="1:1" x14ac:dyDescent="0.3">
      <c r="A697" s="12"/>
    </row>
    <row r="698" spans="1:1" x14ac:dyDescent="0.3">
      <c r="A698" s="12"/>
    </row>
    <row r="699" spans="1:1" x14ac:dyDescent="0.3">
      <c r="A699" s="12"/>
    </row>
    <row r="700" spans="1:1" x14ac:dyDescent="0.3">
      <c r="A700" s="12"/>
    </row>
    <row r="701" spans="1:1" x14ac:dyDescent="0.3">
      <c r="A701" s="12"/>
    </row>
    <row r="702" spans="1:1" x14ac:dyDescent="0.3">
      <c r="A702" s="12"/>
    </row>
    <row r="703" spans="1:1" x14ac:dyDescent="0.3">
      <c r="A703" s="12"/>
    </row>
    <row r="704" spans="1:1" x14ac:dyDescent="0.3">
      <c r="A704" s="12"/>
    </row>
    <row r="705" spans="1:1" x14ac:dyDescent="0.3">
      <c r="A705" s="12"/>
    </row>
    <row r="706" spans="1:1" x14ac:dyDescent="0.3">
      <c r="A706" s="12"/>
    </row>
    <row r="707" spans="1:1" x14ac:dyDescent="0.3">
      <c r="A707" s="12"/>
    </row>
    <row r="708" spans="1:1" x14ac:dyDescent="0.3">
      <c r="A708" s="12"/>
    </row>
    <row r="709" spans="1:1" x14ac:dyDescent="0.3">
      <c r="A709" s="12"/>
    </row>
    <row r="710" spans="1:1" x14ac:dyDescent="0.3">
      <c r="A710" s="12"/>
    </row>
    <row r="711" spans="1:1" x14ac:dyDescent="0.3">
      <c r="A711" s="12"/>
    </row>
    <row r="712" spans="1:1" x14ac:dyDescent="0.3">
      <c r="A712" s="12"/>
    </row>
    <row r="713" spans="1:1" x14ac:dyDescent="0.3">
      <c r="A713" s="12"/>
    </row>
    <row r="714" spans="1:1" x14ac:dyDescent="0.3">
      <c r="A714" s="12"/>
    </row>
    <row r="715" spans="1:1" x14ac:dyDescent="0.3">
      <c r="A715" s="12"/>
    </row>
    <row r="716" spans="1:1" x14ac:dyDescent="0.3">
      <c r="A716" s="12"/>
    </row>
    <row r="717" spans="1:1" x14ac:dyDescent="0.3">
      <c r="A717" s="12"/>
    </row>
    <row r="718" spans="1:1" x14ac:dyDescent="0.3">
      <c r="A718" s="12"/>
    </row>
    <row r="719" spans="1:1" x14ac:dyDescent="0.3">
      <c r="A719" s="12"/>
    </row>
    <row r="720" spans="1:1" x14ac:dyDescent="0.3">
      <c r="A720" s="12"/>
    </row>
    <row r="721" spans="1:1" x14ac:dyDescent="0.3">
      <c r="A721" s="12"/>
    </row>
    <row r="722" spans="1:1" x14ac:dyDescent="0.3">
      <c r="A722" s="12"/>
    </row>
    <row r="723" spans="1:1" x14ac:dyDescent="0.3">
      <c r="A723" s="12"/>
    </row>
    <row r="724" spans="1:1" x14ac:dyDescent="0.3">
      <c r="A724" s="12"/>
    </row>
    <row r="725" spans="1:1" x14ac:dyDescent="0.3">
      <c r="A725" s="12"/>
    </row>
    <row r="726" spans="1:1" x14ac:dyDescent="0.3">
      <c r="A726" s="12"/>
    </row>
    <row r="727" spans="1:1" x14ac:dyDescent="0.3">
      <c r="A727" s="12"/>
    </row>
    <row r="728" spans="1:1" x14ac:dyDescent="0.3">
      <c r="A728" s="12"/>
    </row>
    <row r="729" spans="1:1" x14ac:dyDescent="0.3">
      <c r="A729" s="12"/>
    </row>
    <row r="730" spans="1:1" x14ac:dyDescent="0.3">
      <c r="A730" s="12"/>
    </row>
    <row r="731" spans="1:1" x14ac:dyDescent="0.3">
      <c r="A731" s="12"/>
    </row>
    <row r="732" spans="1:1" x14ac:dyDescent="0.3">
      <c r="A732" s="12"/>
    </row>
    <row r="733" spans="1:1" x14ac:dyDescent="0.3">
      <c r="A733" s="12"/>
    </row>
    <row r="734" spans="1:1" x14ac:dyDescent="0.3">
      <c r="A734" s="12"/>
    </row>
    <row r="735" spans="1:1" x14ac:dyDescent="0.3">
      <c r="A735" s="12"/>
    </row>
    <row r="736" spans="1:1" x14ac:dyDescent="0.3">
      <c r="A736" s="12"/>
    </row>
    <row r="737" spans="1:1" x14ac:dyDescent="0.3">
      <c r="A737" s="12"/>
    </row>
    <row r="738" spans="1:1" x14ac:dyDescent="0.3">
      <c r="A738" s="12"/>
    </row>
    <row r="739" spans="1:1" x14ac:dyDescent="0.3">
      <c r="A739" s="12"/>
    </row>
    <row r="740" spans="1:1" x14ac:dyDescent="0.3">
      <c r="A740" s="12"/>
    </row>
    <row r="741" spans="1:1" x14ac:dyDescent="0.3">
      <c r="A741" s="12"/>
    </row>
    <row r="742" spans="1:1" x14ac:dyDescent="0.3">
      <c r="A742" s="12"/>
    </row>
    <row r="743" spans="1:1" x14ac:dyDescent="0.3">
      <c r="A743" s="12"/>
    </row>
    <row r="744" spans="1:1" x14ac:dyDescent="0.3">
      <c r="A744" s="12"/>
    </row>
    <row r="745" spans="1:1" x14ac:dyDescent="0.3">
      <c r="A745" s="12"/>
    </row>
    <row r="746" spans="1:1" x14ac:dyDescent="0.3">
      <c r="A746" s="12"/>
    </row>
    <row r="747" spans="1:1" x14ac:dyDescent="0.3">
      <c r="A747" s="12"/>
    </row>
    <row r="748" spans="1:1" x14ac:dyDescent="0.3">
      <c r="A748" s="12"/>
    </row>
    <row r="749" spans="1:1" x14ac:dyDescent="0.3">
      <c r="A749" s="12"/>
    </row>
    <row r="750" spans="1:1" x14ac:dyDescent="0.3">
      <c r="A750" s="12"/>
    </row>
    <row r="751" spans="1:1" x14ac:dyDescent="0.3">
      <c r="A751" s="12"/>
    </row>
    <row r="752" spans="1:1" x14ac:dyDescent="0.3">
      <c r="A752" s="12"/>
    </row>
    <row r="753" spans="1:1" x14ac:dyDescent="0.3">
      <c r="A753" s="12"/>
    </row>
    <row r="754" spans="1:1" x14ac:dyDescent="0.3">
      <c r="A754" s="12"/>
    </row>
    <row r="755" spans="1:1" x14ac:dyDescent="0.3">
      <c r="A755" s="12"/>
    </row>
    <row r="756" spans="1:1" x14ac:dyDescent="0.3">
      <c r="A756" s="12"/>
    </row>
    <row r="757" spans="1:1" x14ac:dyDescent="0.3">
      <c r="A757" s="12"/>
    </row>
    <row r="758" spans="1:1" x14ac:dyDescent="0.3">
      <c r="A758" s="12"/>
    </row>
    <row r="759" spans="1:1" x14ac:dyDescent="0.3">
      <c r="A759" s="12"/>
    </row>
    <row r="760" spans="1:1" x14ac:dyDescent="0.3">
      <c r="A760" s="12"/>
    </row>
    <row r="761" spans="1:1" x14ac:dyDescent="0.3">
      <c r="A761" s="12"/>
    </row>
    <row r="762" spans="1:1" x14ac:dyDescent="0.3">
      <c r="A762" s="12"/>
    </row>
    <row r="763" spans="1:1" x14ac:dyDescent="0.3">
      <c r="A763" s="12"/>
    </row>
    <row r="764" spans="1:1" x14ac:dyDescent="0.3">
      <c r="A764" s="12"/>
    </row>
    <row r="765" spans="1:1" x14ac:dyDescent="0.3">
      <c r="A765" s="12"/>
    </row>
    <row r="766" spans="1:1" x14ac:dyDescent="0.3">
      <c r="A766" s="12"/>
    </row>
    <row r="767" spans="1:1" x14ac:dyDescent="0.3">
      <c r="A767" s="12"/>
    </row>
    <row r="768" spans="1:1" x14ac:dyDescent="0.3">
      <c r="A768" s="12"/>
    </row>
    <row r="769" spans="1:1" x14ac:dyDescent="0.3">
      <c r="A769" s="12"/>
    </row>
    <row r="770" spans="1:1" x14ac:dyDescent="0.3">
      <c r="A770" s="12"/>
    </row>
    <row r="771" spans="1:1" x14ac:dyDescent="0.3">
      <c r="A771" s="12"/>
    </row>
    <row r="772" spans="1:1" x14ac:dyDescent="0.3">
      <c r="A772" s="12"/>
    </row>
    <row r="773" spans="1:1" x14ac:dyDescent="0.3">
      <c r="A773" s="12"/>
    </row>
    <row r="774" spans="1:1" x14ac:dyDescent="0.3">
      <c r="A774" s="12"/>
    </row>
    <row r="775" spans="1:1" x14ac:dyDescent="0.3">
      <c r="A775" s="12"/>
    </row>
    <row r="776" spans="1:1" x14ac:dyDescent="0.3">
      <c r="A776" s="12"/>
    </row>
    <row r="777" spans="1:1" x14ac:dyDescent="0.3">
      <c r="A777" s="12"/>
    </row>
    <row r="778" spans="1:1" x14ac:dyDescent="0.3">
      <c r="A778" s="12"/>
    </row>
    <row r="779" spans="1:1" x14ac:dyDescent="0.3">
      <c r="A779" s="12"/>
    </row>
    <row r="780" spans="1:1" x14ac:dyDescent="0.3">
      <c r="A780" s="12"/>
    </row>
    <row r="781" spans="1:1" x14ac:dyDescent="0.3">
      <c r="A781" s="12"/>
    </row>
    <row r="782" spans="1:1" x14ac:dyDescent="0.3">
      <c r="A782" s="12"/>
    </row>
    <row r="783" spans="1:1" x14ac:dyDescent="0.3">
      <c r="A783" s="12"/>
    </row>
    <row r="784" spans="1:1" x14ac:dyDescent="0.3">
      <c r="A784" s="12"/>
    </row>
    <row r="785" spans="1:1" x14ac:dyDescent="0.3">
      <c r="A785" s="12"/>
    </row>
    <row r="786" spans="1:1" x14ac:dyDescent="0.3">
      <c r="A786" s="12"/>
    </row>
    <row r="787" spans="1:1" x14ac:dyDescent="0.3">
      <c r="A787" s="12"/>
    </row>
    <row r="788" spans="1:1" x14ac:dyDescent="0.3">
      <c r="A788" s="12"/>
    </row>
    <row r="789" spans="1:1" x14ac:dyDescent="0.3">
      <c r="A789" s="12"/>
    </row>
    <row r="790" spans="1:1" x14ac:dyDescent="0.3">
      <c r="A790" s="12"/>
    </row>
    <row r="791" spans="1:1" x14ac:dyDescent="0.3">
      <c r="A791" s="12"/>
    </row>
    <row r="792" spans="1:1" x14ac:dyDescent="0.3">
      <c r="A792" s="12"/>
    </row>
    <row r="793" spans="1:1" x14ac:dyDescent="0.3">
      <c r="A793" s="12"/>
    </row>
    <row r="794" spans="1:1" x14ac:dyDescent="0.3">
      <c r="A794" s="12"/>
    </row>
    <row r="795" spans="1:1" x14ac:dyDescent="0.3">
      <c r="A795" s="12"/>
    </row>
    <row r="796" spans="1:1" x14ac:dyDescent="0.3">
      <c r="A796" s="12"/>
    </row>
    <row r="797" spans="1:1" x14ac:dyDescent="0.3">
      <c r="A797" s="12"/>
    </row>
    <row r="798" spans="1:1" x14ac:dyDescent="0.3">
      <c r="A798" s="12"/>
    </row>
    <row r="799" spans="1:1" x14ac:dyDescent="0.3">
      <c r="A799" s="12"/>
    </row>
    <row r="800" spans="1:1" x14ac:dyDescent="0.3">
      <c r="A800" s="12"/>
    </row>
    <row r="801" spans="1:1" x14ac:dyDescent="0.3">
      <c r="A801" s="12"/>
    </row>
    <row r="802" spans="1:1" x14ac:dyDescent="0.3">
      <c r="A802" s="12"/>
    </row>
    <row r="803" spans="1:1" x14ac:dyDescent="0.3">
      <c r="A803" s="12"/>
    </row>
    <row r="804" spans="1:1" x14ac:dyDescent="0.3">
      <c r="A804" s="12"/>
    </row>
    <row r="805" spans="1:1" x14ac:dyDescent="0.3">
      <c r="A805" s="12"/>
    </row>
    <row r="806" spans="1:1" x14ac:dyDescent="0.3">
      <c r="A806" s="12"/>
    </row>
    <row r="807" spans="1:1" x14ac:dyDescent="0.3">
      <c r="A807" s="12"/>
    </row>
    <row r="808" spans="1:1" x14ac:dyDescent="0.3">
      <c r="A808" s="12"/>
    </row>
    <row r="809" spans="1:1" x14ac:dyDescent="0.3">
      <c r="A809" s="12"/>
    </row>
    <row r="810" spans="1:1" x14ac:dyDescent="0.3">
      <c r="A810" s="12"/>
    </row>
    <row r="811" spans="1:1" x14ac:dyDescent="0.3">
      <c r="A811" s="12"/>
    </row>
    <row r="812" spans="1:1" x14ac:dyDescent="0.3">
      <c r="A812" s="12"/>
    </row>
    <row r="813" spans="1:1" x14ac:dyDescent="0.3">
      <c r="A813" s="12"/>
    </row>
    <row r="814" spans="1:1" x14ac:dyDescent="0.3">
      <c r="A814" s="12"/>
    </row>
    <row r="815" spans="1:1" x14ac:dyDescent="0.3">
      <c r="A815" s="12"/>
    </row>
    <row r="816" spans="1:1" x14ac:dyDescent="0.3">
      <c r="A816" s="12"/>
    </row>
    <row r="817" spans="1:1" x14ac:dyDescent="0.3">
      <c r="A817" s="12"/>
    </row>
    <row r="818" spans="1:1" x14ac:dyDescent="0.3">
      <c r="A818" s="12"/>
    </row>
    <row r="819" spans="1:1" x14ac:dyDescent="0.3">
      <c r="A819" s="12"/>
    </row>
    <row r="820" spans="1:1" x14ac:dyDescent="0.3">
      <c r="A820" s="12"/>
    </row>
    <row r="821" spans="1:1" x14ac:dyDescent="0.3">
      <c r="A821" s="12"/>
    </row>
    <row r="822" spans="1:1" x14ac:dyDescent="0.3">
      <c r="A822" s="12"/>
    </row>
    <row r="823" spans="1:1" x14ac:dyDescent="0.3">
      <c r="A823" s="12"/>
    </row>
    <row r="824" spans="1:1" x14ac:dyDescent="0.3">
      <c r="A824" s="12"/>
    </row>
    <row r="825" spans="1:1" x14ac:dyDescent="0.3">
      <c r="A825" s="12"/>
    </row>
    <row r="826" spans="1:1" x14ac:dyDescent="0.3">
      <c r="A826" s="12"/>
    </row>
    <row r="827" spans="1:1" x14ac:dyDescent="0.3">
      <c r="A827" s="12"/>
    </row>
    <row r="828" spans="1:1" x14ac:dyDescent="0.3">
      <c r="A828" s="12"/>
    </row>
    <row r="829" spans="1:1" x14ac:dyDescent="0.3">
      <c r="A829" s="12"/>
    </row>
    <row r="830" spans="1:1" x14ac:dyDescent="0.3">
      <c r="A830" s="12"/>
    </row>
    <row r="831" spans="1:1" x14ac:dyDescent="0.3">
      <c r="A831" s="12"/>
    </row>
    <row r="832" spans="1:1" x14ac:dyDescent="0.3">
      <c r="A832" s="12"/>
    </row>
    <row r="833" spans="1:1" x14ac:dyDescent="0.3">
      <c r="A833" s="12"/>
    </row>
    <row r="834" spans="1:1" x14ac:dyDescent="0.3">
      <c r="A834" s="12"/>
    </row>
    <row r="835" spans="1:1" x14ac:dyDescent="0.3">
      <c r="A835" s="12"/>
    </row>
    <row r="836" spans="1:1" x14ac:dyDescent="0.3">
      <c r="A836" s="12"/>
    </row>
    <row r="837" spans="1:1" x14ac:dyDescent="0.3">
      <c r="A837" s="12"/>
    </row>
    <row r="838" spans="1:1" x14ac:dyDescent="0.3">
      <c r="A838" s="12"/>
    </row>
    <row r="839" spans="1:1" x14ac:dyDescent="0.3">
      <c r="A839" s="12"/>
    </row>
    <row r="840" spans="1:1" x14ac:dyDescent="0.3">
      <c r="A840" s="12"/>
    </row>
    <row r="841" spans="1:1" x14ac:dyDescent="0.3">
      <c r="A841" s="12"/>
    </row>
    <row r="842" spans="1:1" x14ac:dyDescent="0.3">
      <c r="A842" s="12"/>
    </row>
    <row r="843" spans="1:1" x14ac:dyDescent="0.3">
      <c r="A843" s="12"/>
    </row>
    <row r="844" spans="1:1" x14ac:dyDescent="0.3">
      <c r="A844" s="12"/>
    </row>
    <row r="845" spans="1:1" x14ac:dyDescent="0.3">
      <c r="A845" s="12"/>
    </row>
    <row r="846" spans="1:1" x14ac:dyDescent="0.3">
      <c r="A846" s="12"/>
    </row>
    <row r="847" spans="1:1" x14ac:dyDescent="0.3">
      <c r="A847" s="12"/>
    </row>
    <row r="848" spans="1:1" x14ac:dyDescent="0.3">
      <c r="A848" s="12"/>
    </row>
    <row r="849" spans="1:1" x14ac:dyDescent="0.3">
      <c r="A849" s="12"/>
    </row>
    <row r="850" spans="1:1" x14ac:dyDescent="0.3">
      <c r="A850" s="12"/>
    </row>
    <row r="851" spans="1:1" x14ac:dyDescent="0.3">
      <c r="A851" s="12"/>
    </row>
    <row r="852" spans="1:1" x14ac:dyDescent="0.3">
      <c r="A852" s="12"/>
    </row>
    <row r="853" spans="1:1" x14ac:dyDescent="0.3">
      <c r="A853" s="12"/>
    </row>
    <row r="854" spans="1:1" x14ac:dyDescent="0.3">
      <c r="A854" s="12"/>
    </row>
    <row r="855" spans="1:1" x14ac:dyDescent="0.3">
      <c r="A855" s="12"/>
    </row>
    <row r="856" spans="1:1" x14ac:dyDescent="0.3">
      <c r="A856" s="12"/>
    </row>
    <row r="857" spans="1:1" x14ac:dyDescent="0.3">
      <c r="A857" s="12"/>
    </row>
    <row r="858" spans="1:1" x14ac:dyDescent="0.3">
      <c r="A858" s="12"/>
    </row>
    <row r="859" spans="1:1" x14ac:dyDescent="0.3">
      <c r="A859" s="12"/>
    </row>
    <row r="860" spans="1:1" x14ac:dyDescent="0.3">
      <c r="A860" s="12"/>
    </row>
    <row r="861" spans="1:1" x14ac:dyDescent="0.3">
      <c r="A861" s="12"/>
    </row>
    <row r="862" spans="1:1" x14ac:dyDescent="0.3">
      <c r="A862" s="12"/>
    </row>
    <row r="863" spans="1:1" x14ac:dyDescent="0.3">
      <c r="A863" s="12"/>
    </row>
    <row r="864" spans="1:1" x14ac:dyDescent="0.3">
      <c r="A864" s="12"/>
    </row>
    <row r="865" spans="1:1" x14ac:dyDescent="0.3">
      <c r="A865" s="12"/>
    </row>
    <row r="866" spans="1:1" x14ac:dyDescent="0.3">
      <c r="A866" s="12"/>
    </row>
    <row r="867" spans="1:1" x14ac:dyDescent="0.3">
      <c r="A867" s="12"/>
    </row>
    <row r="868" spans="1:1" x14ac:dyDescent="0.3">
      <c r="A868" s="12"/>
    </row>
    <row r="869" spans="1:1" x14ac:dyDescent="0.3">
      <c r="A869" s="12"/>
    </row>
    <row r="870" spans="1:1" x14ac:dyDescent="0.3">
      <c r="A870" s="12"/>
    </row>
    <row r="871" spans="1:1" x14ac:dyDescent="0.3">
      <c r="A871" s="12"/>
    </row>
    <row r="872" spans="1:1" x14ac:dyDescent="0.3">
      <c r="A872" s="12"/>
    </row>
    <row r="873" spans="1:1" x14ac:dyDescent="0.3">
      <c r="A873" s="12"/>
    </row>
    <row r="874" spans="1:1" x14ac:dyDescent="0.3">
      <c r="A874" s="12"/>
    </row>
    <row r="875" spans="1:1" x14ac:dyDescent="0.3">
      <c r="A875" s="12"/>
    </row>
    <row r="876" spans="1:1" x14ac:dyDescent="0.3">
      <c r="A876" s="12"/>
    </row>
    <row r="877" spans="1:1" x14ac:dyDescent="0.3">
      <c r="A877" s="12"/>
    </row>
    <row r="878" spans="1:1" x14ac:dyDescent="0.3">
      <c r="A878" s="12"/>
    </row>
    <row r="879" spans="1:1" x14ac:dyDescent="0.3">
      <c r="A879" s="12"/>
    </row>
    <row r="880" spans="1:1" x14ac:dyDescent="0.3">
      <c r="A880" s="12"/>
    </row>
    <row r="881" spans="1:1" x14ac:dyDescent="0.3">
      <c r="A881" s="12"/>
    </row>
    <row r="882" spans="1:1" x14ac:dyDescent="0.3">
      <c r="A882" s="12"/>
    </row>
    <row r="883" spans="1:1" x14ac:dyDescent="0.3">
      <c r="A883" s="12"/>
    </row>
    <row r="884" spans="1:1" x14ac:dyDescent="0.3">
      <c r="A884" s="12"/>
    </row>
    <row r="885" spans="1:1" x14ac:dyDescent="0.3">
      <c r="A885" s="12"/>
    </row>
    <row r="886" spans="1:1" x14ac:dyDescent="0.3">
      <c r="A886" s="12"/>
    </row>
    <row r="887" spans="1:1" x14ac:dyDescent="0.3">
      <c r="A887" s="12"/>
    </row>
    <row r="888" spans="1:1" x14ac:dyDescent="0.3">
      <c r="A888" s="12"/>
    </row>
    <row r="889" spans="1:1" x14ac:dyDescent="0.3">
      <c r="A889" s="12"/>
    </row>
    <row r="890" spans="1:1" x14ac:dyDescent="0.3">
      <c r="A890" s="12"/>
    </row>
    <row r="891" spans="1:1" x14ac:dyDescent="0.3">
      <c r="A891" s="12"/>
    </row>
    <row r="892" spans="1:1" x14ac:dyDescent="0.3">
      <c r="A892" s="12"/>
    </row>
    <row r="893" spans="1:1" x14ac:dyDescent="0.3">
      <c r="A893" s="12"/>
    </row>
    <row r="894" spans="1:1" x14ac:dyDescent="0.3">
      <c r="A894" s="12"/>
    </row>
    <row r="895" spans="1:1" x14ac:dyDescent="0.3">
      <c r="A895" s="12"/>
    </row>
    <row r="896" spans="1:1" x14ac:dyDescent="0.3">
      <c r="A896" s="12"/>
    </row>
    <row r="897" spans="1:1" x14ac:dyDescent="0.3">
      <c r="A897" s="12"/>
    </row>
    <row r="898" spans="1:1" x14ac:dyDescent="0.3">
      <c r="A898" s="12"/>
    </row>
    <row r="899" spans="1:1" x14ac:dyDescent="0.3">
      <c r="A899" s="12"/>
    </row>
    <row r="900" spans="1:1" x14ac:dyDescent="0.3">
      <c r="A900" s="12"/>
    </row>
    <row r="901" spans="1:1" x14ac:dyDescent="0.3">
      <c r="A901" s="12"/>
    </row>
    <row r="902" spans="1:1" x14ac:dyDescent="0.3">
      <c r="A902" s="12"/>
    </row>
    <row r="903" spans="1:1" x14ac:dyDescent="0.3">
      <c r="A903" s="12"/>
    </row>
    <row r="904" spans="1:1" x14ac:dyDescent="0.3">
      <c r="A904" s="12"/>
    </row>
    <row r="905" spans="1:1" x14ac:dyDescent="0.3">
      <c r="A905" s="12"/>
    </row>
    <row r="906" spans="1:1" x14ac:dyDescent="0.3">
      <c r="A906" s="12"/>
    </row>
    <row r="907" spans="1:1" x14ac:dyDescent="0.3">
      <c r="A907" s="12"/>
    </row>
    <row r="908" spans="1:1" x14ac:dyDescent="0.3">
      <c r="A908" s="12"/>
    </row>
    <row r="909" spans="1:1" x14ac:dyDescent="0.3">
      <c r="A909" s="12"/>
    </row>
    <row r="910" spans="1:1" x14ac:dyDescent="0.3">
      <c r="A910" s="12"/>
    </row>
    <row r="911" spans="1:1" x14ac:dyDescent="0.3">
      <c r="A911" s="12"/>
    </row>
    <row r="912" spans="1:1" x14ac:dyDescent="0.3">
      <c r="A912" s="12"/>
    </row>
    <row r="913" spans="1:1" x14ac:dyDescent="0.3">
      <c r="A913" s="12"/>
    </row>
    <row r="914" spans="1:1" x14ac:dyDescent="0.3">
      <c r="A914" s="12"/>
    </row>
    <row r="915" spans="1:1" x14ac:dyDescent="0.3">
      <c r="A915" s="12"/>
    </row>
    <row r="916" spans="1:1" x14ac:dyDescent="0.3">
      <c r="A916" s="12"/>
    </row>
    <row r="917" spans="1:1" x14ac:dyDescent="0.3">
      <c r="A917" s="12"/>
    </row>
    <row r="918" spans="1:1" x14ac:dyDescent="0.3">
      <c r="A918" s="12"/>
    </row>
    <row r="919" spans="1:1" x14ac:dyDescent="0.3">
      <c r="A919" s="12"/>
    </row>
    <row r="920" spans="1:1" x14ac:dyDescent="0.3">
      <c r="A920" s="12"/>
    </row>
    <row r="921" spans="1:1" x14ac:dyDescent="0.3">
      <c r="A921" s="12"/>
    </row>
    <row r="922" spans="1:1" x14ac:dyDescent="0.3">
      <c r="A922" s="12"/>
    </row>
    <row r="923" spans="1:1" x14ac:dyDescent="0.3">
      <c r="A923" s="12"/>
    </row>
    <row r="924" spans="1:1" x14ac:dyDescent="0.3">
      <c r="A924" s="12"/>
    </row>
    <row r="925" spans="1:1" x14ac:dyDescent="0.3">
      <c r="A925" s="12"/>
    </row>
    <row r="926" spans="1:1" x14ac:dyDescent="0.3">
      <c r="A926" s="12"/>
    </row>
    <row r="927" spans="1:1" x14ac:dyDescent="0.3">
      <c r="A927" s="12"/>
    </row>
    <row r="928" spans="1:1" x14ac:dyDescent="0.3">
      <c r="A928" s="12"/>
    </row>
    <row r="929" spans="1:1" x14ac:dyDescent="0.3">
      <c r="A929" s="12"/>
    </row>
    <row r="930" spans="1:1" x14ac:dyDescent="0.3">
      <c r="A930" s="12"/>
    </row>
    <row r="931" spans="1:1" x14ac:dyDescent="0.3">
      <c r="A931" s="12"/>
    </row>
    <row r="932" spans="1:1" x14ac:dyDescent="0.3">
      <c r="A932" s="12"/>
    </row>
    <row r="933" spans="1:1" x14ac:dyDescent="0.3">
      <c r="A933" s="12"/>
    </row>
    <row r="934" spans="1:1" x14ac:dyDescent="0.3">
      <c r="A934" s="12"/>
    </row>
    <row r="935" spans="1:1" x14ac:dyDescent="0.3">
      <c r="A935" s="12"/>
    </row>
    <row r="936" spans="1:1" x14ac:dyDescent="0.3">
      <c r="A936" s="12"/>
    </row>
    <row r="937" spans="1:1" x14ac:dyDescent="0.3">
      <c r="A937" s="12"/>
    </row>
    <row r="938" spans="1:1" x14ac:dyDescent="0.3">
      <c r="A938" s="12"/>
    </row>
    <row r="939" spans="1:1" x14ac:dyDescent="0.3">
      <c r="A939" s="12"/>
    </row>
    <row r="940" spans="1:1" x14ac:dyDescent="0.3">
      <c r="A940" s="12"/>
    </row>
    <row r="941" spans="1:1" x14ac:dyDescent="0.3">
      <c r="A941" s="12"/>
    </row>
    <row r="942" spans="1:1" x14ac:dyDescent="0.3">
      <c r="A942" s="12"/>
    </row>
    <row r="943" spans="1:1" x14ac:dyDescent="0.3">
      <c r="A943" s="12"/>
    </row>
    <row r="944" spans="1:1" x14ac:dyDescent="0.3">
      <c r="A944" s="12"/>
    </row>
    <row r="945" spans="1:1" x14ac:dyDescent="0.3">
      <c r="A945" s="12"/>
    </row>
    <row r="946" spans="1:1" x14ac:dyDescent="0.3">
      <c r="A946" s="12"/>
    </row>
    <row r="947" spans="1:1" x14ac:dyDescent="0.3">
      <c r="A947" s="12"/>
    </row>
    <row r="948" spans="1:1" x14ac:dyDescent="0.3">
      <c r="A948" s="12"/>
    </row>
    <row r="949" spans="1:1" x14ac:dyDescent="0.3">
      <c r="A949" s="12"/>
    </row>
    <row r="950" spans="1:1" x14ac:dyDescent="0.3">
      <c r="A950" s="12"/>
    </row>
    <row r="951" spans="1:1" x14ac:dyDescent="0.3">
      <c r="A951" s="12"/>
    </row>
    <row r="952" spans="1:1" x14ac:dyDescent="0.3">
      <c r="A952" s="12"/>
    </row>
    <row r="953" spans="1:1" x14ac:dyDescent="0.3">
      <c r="A953" s="12"/>
    </row>
    <row r="954" spans="1:1" x14ac:dyDescent="0.3">
      <c r="A954" s="12"/>
    </row>
    <row r="955" spans="1:1" x14ac:dyDescent="0.3">
      <c r="A955" s="12"/>
    </row>
    <row r="956" spans="1:1" x14ac:dyDescent="0.3">
      <c r="A956" s="12"/>
    </row>
    <row r="957" spans="1:1" x14ac:dyDescent="0.3">
      <c r="A957" s="12"/>
    </row>
    <row r="958" spans="1:1" x14ac:dyDescent="0.3">
      <c r="A958" s="12"/>
    </row>
    <row r="959" spans="1:1" x14ac:dyDescent="0.3">
      <c r="A959" s="12"/>
    </row>
    <row r="960" spans="1:1" x14ac:dyDescent="0.3">
      <c r="A960" s="12"/>
    </row>
    <row r="961" spans="1:1" x14ac:dyDescent="0.3">
      <c r="A961" s="12"/>
    </row>
    <row r="962" spans="1:1" x14ac:dyDescent="0.3">
      <c r="A962" s="12"/>
    </row>
    <row r="963" spans="1:1" x14ac:dyDescent="0.3">
      <c r="A963" s="12"/>
    </row>
    <row r="964" spans="1:1" x14ac:dyDescent="0.3">
      <c r="A964" s="12"/>
    </row>
    <row r="965" spans="1:1" x14ac:dyDescent="0.3">
      <c r="A965" s="12"/>
    </row>
    <row r="966" spans="1:1" x14ac:dyDescent="0.3">
      <c r="A966" s="12"/>
    </row>
    <row r="967" spans="1:1" x14ac:dyDescent="0.3">
      <c r="A967" s="12"/>
    </row>
    <row r="968" spans="1:1" x14ac:dyDescent="0.3">
      <c r="A968" s="12"/>
    </row>
    <row r="969" spans="1:1" x14ac:dyDescent="0.3">
      <c r="A969" s="12"/>
    </row>
    <row r="970" spans="1:1" x14ac:dyDescent="0.3">
      <c r="A970" s="12"/>
    </row>
    <row r="971" spans="1:1" x14ac:dyDescent="0.3">
      <c r="A971" s="12"/>
    </row>
    <row r="972" spans="1:1" x14ac:dyDescent="0.3">
      <c r="A972" s="12"/>
    </row>
    <row r="973" spans="1:1" x14ac:dyDescent="0.3">
      <c r="A973" s="12"/>
    </row>
    <row r="974" spans="1:1" x14ac:dyDescent="0.3">
      <c r="A974" s="12"/>
    </row>
    <row r="975" spans="1:1" x14ac:dyDescent="0.3">
      <c r="A975" s="12"/>
    </row>
    <row r="976" spans="1:1" x14ac:dyDescent="0.3">
      <c r="A976" s="12"/>
    </row>
    <row r="977" spans="1:1" x14ac:dyDescent="0.3">
      <c r="A977" s="12"/>
    </row>
    <row r="978" spans="1:1" x14ac:dyDescent="0.3">
      <c r="A978" s="12"/>
    </row>
    <row r="979" spans="1:1" x14ac:dyDescent="0.3">
      <c r="A979" s="12"/>
    </row>
    <row r="980" spans="1:1" x14ac:dyDescent="0.3">
      <c r="A980" s="12"/>
    </row>
    <row r="981" spans="1:1" x14ac:dyDescent="0.3">
      <c r="A981" s="12"/>
    </row>
    <row r="982" spans="1:1" x14ac:dyDescent="0.3">
      <c r="A982" s="12"/>
    </row>
    <row r="983" spans="1:1" x14ac:dyDescent="0.3">
      <c r="A983" s="12"/>
    </row>
    <row r="984" spans="1:1" x14ac:dyDescent="0.3">
      <c r="A984" s="12"/>
    </row>
    <row r="985" spans="1:1" x14ac:dyDescent="0.3">
      <c r="A985" s="12"/>
    </row>
    <row r="986" spans="1:1" x14ac:dyDescent="0.3">
      <c r="A986" s="12"/>
    </row>
    <row r="987" spans="1:1" x14ac:dyDescent="0.3">
      <c r="A987" s="12"/>
    </row>
    <row r="988" spans="1:1" x14ac:dyDescent="0.3">
      <c r="A988" s="12"/>
    </row>
    <row r="989" spans="1:1" x14ac:dyDescent="0.3">
      <c r="A989" s="12"/>
    </row>
    <row r="990" spans="1:1" x14ac:dyDescent="0.3">
      <c r="A990" s="12"/>
    </row>
    <row r="991" spans="1:1" x14ac:dyDescent="0.3">
      <c r="A991" s="12"/>
    </row>
    <row r="992" spans="1:1" x14ac:dyDescent="0.3">
      <c r="A992" s="12"/>
    </row>
    <row r="993" spans="1:1" x14ac:dyDescent="0.3">
      <c r="A993" s="12"/>
    </row>
    <row r="994" spans="1:1" x14ac:dyDescent="0.3">
      <c r="A994" s="12"/>
    </row>
    <row r="995" spans="1:1" x14ac:dyDescent="0.3">
      <c r="A995" s="12"/>
    </row>
    <row r="996" spans="1:1" x14ac:dyDescent="0.3">
      <c r="A996" s="12"/>
    </row>
    <row r="997" spans="1:1" x14ac:dyDescent="0.3">
      <c r="A997" s="12"/>
    </row>
    <row r="998" spans="1:1" x14ac:dyDescent="0.3">
      <c r="A998" s="12"/>
    </row>
    <row r="999" spans="1:1" x14ac:dyDescent="0.3">
      <c r="A999" s="12"/>
    </row>
    <row r="1000" spans="1:1" x14ac:dyDescent="0.3">
      <c r="A1000" s="12"/>
    </row>
    <row r="1001" spans="1:1" x14ac:dyDescent="0.3">
      <c r="A1001" s="12"/>
    </row>
    <row r="1002" spans="1:1" x14ac:dyDescent="0.3">
      <c r="A1002" s="12"/>
    </row>
    <row r="1003" spans="1:1" x14ac:dyDescent="0.3">
      <c r="A1003" s="12"/>
    </row>
    <row r="1004" spans="1:1" x14ac:dyDescent="0.3">
      <c r="A1004" s="12"/>
    </row>
    <row r="1005" spans="1:1" x14ac:dyDescent="0.3">
      <c r="A1005" s="12"/>
    </row>
    <row r="1006" spans="1:1" x14ac:dyDescent="0.3">
      <c r="A1006" s="12"/>
    </row>
    <row r="1007" spans="1:1" x14ac:dyDescent="0.3">
      <c r="A1007" s="12"/>
    </row>
    <row r="1008" spans="1:1" x14ac:dyDescent="0.3">
      <c r="A1008" s="12"/>
    </row>
    <row r="1009" spans="1:1" x14ac:dyDescent="0.3">
      <c r="A1009" s="12"/>
    </row>
    <row r="1010" spans="1:1" x14ac:dyDescent="0.3">
      <c r="A1010" s="12"/>
    </row>
    <row r="1011" spans="1:1" x14ac:dyDescent="0.3">
      <c r="A1011" s="12"/>
    </row>
    <row r="1012" spans="1:1" x14ac:dyDescent="0.3">
      <c r="A1012" s="12"/>
    </row>
    <row r="1013" spans="1:1" x14ac:dyDescent="0.3">
      <c r="A1013" s="12"/>
    </row>
    <row r="1014" spans="1:1" x14ac:dyDescent="0.3">
      <c r="A1014" s="12"/>
    </row>
    <row r="1015" spans="1:1" x14ac:dyDescent="0.3">
      <c r="A1015" s="12"/>
    </row>
    <row r="1016" spans="1:1" x14ac:dyDescent="0.3">
      <c r="A1016" s="12"/>
    </row>
    <row r="1017" spans="1:1" x14ac:dyDescent="0.3">
      <c r="A1017" s="12"/>
    </row>
    <row r="1018" spans="1:1" x14ac:dyDescent="0.3">
      <c r="A1018" s="12"/>
    </row>
    <row r="1019" spans="1:1" x14ac:dyDescent="0.3">
      <c r="A1019" s="12"/>
    </row>
    <row r="1020" spans="1:1" x14ac:dyDescent="0.3">
      <c r="A1020" s="12"/>
    </row>
    <row r="1021" spans="1:1" x14ac:dyDescent="0.3">
      <c r="A1021" s="12"/>
    </row>
    <row r="1022" spans="1:1" x14ac:dyDescent="0.3">
      <c r="A1022" s="12"/>
    </row>
    <row r="1023" spans="1:1" x14ac:dyDescent="0.3">
      <c r="A1023" s="12"/>
    </row>
    <row r="1024" spans="1:1" x14ac:dyDescent="0.3">
      <c r="A1024" s="12"/>
    </row>
    <row r="1025" spans="1:1" x14ac:dyDescent="0.3">
      <c r="A1025" s="12"/>
    </row>
    <row r="1026" spans="1:1" x14ac:dyDescent="0.3">
      <c r="A1026" s="12"/>
    </row>
    <row r="1027" spans="1:1" x14ac:dyDescent="0.3">
      <c r="A1027" s="12"/>
    </row>
    <row r="1028" spans="1:1" x14ac:dyDescent="0.3">
      <c r="A1028" s="12"/>
    </row>
    <row r="1029" spans="1:1" x14ac:dyDescent="0.3">
      <c r="A1029" s="12"/>
    </row>
    <row r="1030" spans="1:1" x14ac:dyDescent="0.3">
      <c r="A1030" s="12"/>
    </row>
    <row r="1031" spans="1:1" x14ac:dyDescent="0.3">
      <c r="A1031" s="12"/>
    </row>
    <row r="1032" spans="1:1" x14ac:dyDescent="0.3">
      <c r="A1032" s="12"/>
    </row>
    <row r="1033" spans="1:1" x14ac:dyDescent="0.3">
      <c r="A1033" s="12"/>
    </row>
    <row r="1034" spans="1:1" x14ac:dyDescent="0.3">
      <c r="A1034" s="12"/>
    </row>
    <row r="1035" spans="1:1" x14ac:dyDescent="0.3">
      <c r="A1035" s="12"/>
    </row>
    <row r="1036" spans="1:1" x14ac:dyDescent="0.3">
      <c r="A1036" s="12"/>
    </row>
    <row r="1037" spans="1:1" x14ac:dyDescent="0.3">
      <c r="A1037" s="12"/>
    </row>
    <row r="1038" spans="1:1" x14ac:dyDescent="0.3">
      <c r="A1038" s="12"/>
    </row>
    <row r="1039" spans="1:1" x14ac:dyDescent="0.3">
      <c r="A1039" s="12"/>
    </row>
    <row r="1040" spans="1:1" x14ac:dyDescent="0.3">
      <c r="A1040" s="12"/>
    </row>
    <row r="1041" spans="1:1" x14ac:dyDescent="0.3">
      <c r="A1041" s="12"/>
    </row>
    <row r="1042" spans="1:1" x14ac:dyDescent="0.3">
      <c r="A1042" s="12"/>
    </row>
    <row r="1043" spans="1:1" x14ac:dyDescent="0.3">
      <c r="A1043" s="12"/>
    </row>
    <row r="1044" spans="1:1" x14ac:dyDescent="0.3">
      <c r="A1044" s="12"/>
    </row>
    <row r="1045" spans="1:1" x14ac:dyDescent="0.3">
      <c r="A1045" s="12"/>
    </row>
    <row r="1046" spans="1:1" x14ac:dyDescent="0.3">
      <c r="A1046" s="12"/>
    </row>
    <row r="1047" spans="1:1" x14ac:dyDescent="0.3">
      <c r="A1047" s="12"/>
    </row>
    <row r="1048" spans="1:1" x14ac:dyDescent="0.3">
      <c r="A1048" s="12"/>
    </row>
    <row r="1049" spans="1:1" x14ac:dyDescent="0.3">
      <c r="A1049" s="12"/>
    </row>
    <row r="1050" spans="1:1" x14ac:dyDescent="0.3">
      <c r="A1050" s="12"/>
    </row>
    <row r="1051" spans="1:1" x14ac:dyDescent="0.3">
      <c r="A1051" s="12"/>
    </row>
    <row r="1052" spans="1:1" x14ac:dyDescent="0.3">
      <c r="A1052" s="12"/>
    </row>
    <row r="1053" spans="1:1" x14ac:dyDescent="0.3">
      <c r="A1053" s="12"/>
    </row>
    <row r="1054" spans="1:1" x14ac:dyDescent="0.3">
      <c r="A1054" s="12"/>
    </row>
    <row r="1055" spans="1:1" x14ac:dyDescent="0.3">
      <c r="A1055" s="12"/>
    </row>
    <row r="1056" spans="1:1" x14ac:dyDescent="0.3">
      <c r="A1056" s="12"/>
    </row>
    <row r="1057" spans="1:1" x14ac:dyDescent="0.3">
      <c r="A1057" s="12"/>
    </row>
    <row r="1058" spans="1:1" x14ac:dyDescent="0.3">
      <c r="A1058" s="12"/>
    </row>
    <row r="1059" spans="1:1" x14ac:dyDescent="0.3">
      <c r="A1059" s="12"/>
    </row>
    <row r="1060" spans="1:1" x14ac:dyDescent="0.3">
      <c r="A1060" s="12"/>
    </row>
    <row r="1061" spans="1:1" x14ac:dyDescent="0.3">
      <c r="A1061" s="12"/>
    </row>
    <row r="1062" spans="1:1" x14ac:dyDescent="0.3">
      <c r="A1062" s="12"/>
    </row>
    <row r="1063" spans="1:1" x14ac:dyDescent="0.3">
      <c r="A1063" s="12"/>
    </row>
    <row r="1064" spans="1:1" x14ac:dyDescent="0.3">
      <c r="A1064" s="12"/>
    </row>
    <row r="1065" spans="1:1" x14ac:dyDescent="0.3">
      <c r="A1065" s="12"/>
    </row>
    <row r="1066" spans="1:1" x14ac:dyDescent="0.3">
      <c r="A1066" s="12"/>
    </row>
    <row r="1067" spans="1:1" x14ac:dyDescent="0.3">
      <c r="A1067" s="12"/>
    </row>
    <row r="1068" spans="1:1" x14ac:dyDescent="0.3">
      <c r="A1068" s="12"/>
    </row>
    <row r="1069" spans="1:1" x14ac:dyDescent="0.3">
      <c r="A1069" s="12"/>
    </row>
    <row r="1070" spans="1:1" x14ac:dyDescent="0.3">
      <c r="A1070" s="12"/>
    </row>
    <row r="1071" spans="1:1" x14ac:dyDescent="0.3">
      <c r="A1071" s="12"/>
    </row>
    <row r="1072" spans="1:1" x14ac:dyDescent="0.3">
      <c r="A1072" s="12"/>
    </row>
    <row r="1073" spans="1:1" x14ac:dyDescent="0.3">
      <c r="A1073" s="12"/>
    </row>
    <row r="1074" spans="1:1" x14ac:dyDescent="0.3">
      <c r="A1074" s="12"/>
    </row>
    <row r="1075" spans="1:1" x14ac:dyDescent="0.3">
      <c r="A1075" s="12"/>
    </row>
    <row r="1076" spans="1:1" x14ac:dyDescent="0.3">
      <c r="A1076" s="12"/>
    </row>
    <row r="1077" spans="1:1" x14ac:dyDescent="0.3">
      <c r="A1077" s="12"/>
    </row>
    <row r="1078" spans="1:1" x14ac:dyDescent="0.3">
      <c r="A1078" s="12"/>
    </row>
    <row r="1079" spans="1:1" x14ac:dyDescent="0.3">
      <c r="A1079" s="12"/>
    </row>
    <row r="1080" spans="1:1" x14ac:dyDescent="0.3">
      <c r="A1080" s="12"/>
    </row>
    <row r="1081" spans="1:1" x14ac:dyDescent="0.3">
      <c r="A1081" s="12"/>
    </row>
    <row r="1082" spans="1:1" x14ac:dyDescent="0.3">
      <c r="A1082" s="12"/>
    </row>
    <row r="1083" spans="1:1" x14ac:dyDescent="0.3">
      <c r="A1083" s="12"/>
    </row>
    <row r="1084" spans="1:1" x14ac:dyDescent="0.3">
      <c r="A1084" s="12"/>
    </row>
    <row r="1085" spans="1:1" x14ac:dyDescent="0.3">
      <c r="A1085" s="12"/>
    </row>
    <row r="1086" spans="1:1" x14ac:dyDescent="0.3">
      <c r="A1086" s="12"/>
    </row>
    <row r="1087" spans="1:1" x14ac:dyDescent="0.3">
      <c r="A1087" s="12"/>
    </row>
    <row r="1088" spans="1:1" x14ac:dyDescent="0.3">
      <c r="A1088" s="12"/>
    </row>
    <row r="1089" spans="1:1" x14ac:dyDescent="0.3">
      <c r="A1089" s="12"/>
    </row>
    <row r="1090" spans="1:1" x14ac:dyDescent="0.3">
      <c r="A1090" s="12"/>
    </row>
    <row r="1091" spans="1:1" x14ac:dyDescent="0.3">
      <c r="A1091" s="12"/>
    </row>
    <row r="1092" spans="1:1" x14ac:dyDescent="0.3">
      <c r="A1092" s="12"/>
    </row>
    <row r="1093" spans="1:1" x14ac:dyDescent="0.3">
      <c r="A1093" s="12"/>
    </row>
    <row r="1094" spans="1:1" x14ac:dyDescent="0.3">
      <c r="A1094" s="12"/>
    </row>
    <row r="1095" spans="1:1" x14ac:dyDescent="0.3">
      <c r="A1095" s="12"/>
    </row>
    <row r="1096" spans="1:1" x14ac:dyDescent="0.3">
      <c r="A1096" s="12"/>
    </row>
    <row r="1097" spans="1:1" x14ac:dyDescent="0.3">
      <c r="A1097" s="12"/>
    </row>
    <row r="1098" spans="1:1" x14ac:dyDescent="0.3">
      <c r="A1098" s="12"/>
    </row>
    <row r="1099" spans="1:1" x14ac:dyDescent="0.3">
      <c r="A1099" s="12"/>
    </row>
    <row r="1100" spans="1:1" x14ac:dyDescent="0.3">
      <c r="A1100" s="12"/>
    </row>
    <row r="1101" spans="1:1" x14ac:dyDescent="0.3">
      <c r="A1101" s="12"/>
    </row>
    <row r="1102" spans="1:1" x14ac:dyDescent="0.3">
      <c r="A1102" s="12"/>
    </row>
    <row r="1103" spans="1:1" x14ac:dyDescent="0.3">
      <c r="A1103" s="12"/>
    </row>
    <row r="1104" spans="1:1" x14ac:dyDescent="0.3">
      <c r="A1104" s="12"/>
    </row>
    <row r="1105" spans="1:1" x14ac:dyDescent="0.3">
      <c r="A1105" s="12"/>
    </row>
    <row r="1106" spans="1:1" x14ac:dyDescent="0.3">
      <c r="A1106" s="12"/>
    </row>
    <row r="1107" spans="1:1" x14ac:dyDescent="0.3">
      <c r="A1107" s="12"/>
    </row>
    <row r="1108" spans="1:1" x14ac:dyDescent="0.3">
      <c r="A1108" s="12"/>
    </row>
    <row r="1109" spans="1:1" x14ac:dyDescent="0.3">
      <c r="A1109" s="12"/>
    </row>
    <row r="1110" spans="1:1" x14ac:dyDescent="0.3">
      <c r="A1110" s="12"/>
    </row>
    <row r="1111" spans="1:1" x14ac:dyDescent="0.3">
      <c r="A1111" s="12"/>
    </row>
    <row r="1112" spans="1:1" x14ac:dyDescent="0.3">
      <c r="A1112" s="12"/>
    </row>
    <row r="1113" spans="1:1" x14ac:dyDescent="0.3">
      <c r="A1113" s="12"/>
    </row>
    <row r="1114" spans="1:1" x14ac:dyDescent="0.3">
      <c r="A1114" s="12"/>
    </row>
    <row r="1115" spans="1:1" x14ac:dyDescent="0.3">
      <c r="A1115" s="12"/>
    </row>
    <row r="1116" spans="1:1" x14ac:dyDescent="0.3">
      <c r="A1116" s="12"/>
    </row>
    <row r="1117" spans="1:1" x14ac:dyDescent="0.3">
      <c r="A1117" s="12"/>
    </row>
    <row r="1118" spans="1:1" x14ac:dyDescent="0.3">
      <c r="A1118" s="12"/>
    </row>
    <row r="1119" spans="1:1" x14ac:dyDescent="0.3">
      <c r="A1119" s="12"/>
    </row>
    <row r="1120" spans="1:1" x14ac:dyDescent="0.3">
      <c r="A1120" s="12"/>
    </row>
    <row r="1121" spans="1:1" x14ac:dyDescent="0.3">
      <c r="A1121" s="12"/>
    </row>
    <row r="1122" spans="1:1" x14ac:dyDescent="0.3">
      <c r="A1122" s="12"/>
    </row>
    <row r="1123" spans="1:1" x14ac:dyDescent="0.3">
      <c r="A1123" s="12"/>
    </row>
    <row r="1124" spans="1:1" x14ac:dyDescent="0.3">
      <c r="A1124" s="12"/>
    </row>
    <row r="1125" spans="1:1" x14ac:dyDescent="0.3">
      <c r="A1125" s="12"/>
    </row>
    <row r="1126" spans="1:1" x14ac:dyDescent="0.3">
      <c r="A1126" s="12"/>
    </row>
    <row r="1127" spans="1:1" x14ac:dyDescent="0.3">
      <c r="A1127" s="12"/>
    </row>
    <row r="1128" spans="1:1" x14ac:dyDescent="0.3">
      <c r="A1128" s="12"/>
    </row>
    <row r="1129" spans="1:1" x14ac:dyDescent="0.3">
      <c r="A1129" s="12"/>
    </row>
    <row r="1130" spans="1:1" x14ac:dyDescent="0.3">
      <c r="A1130" s="12"/>
    </row>
    <row r="1131" spans="1:1" x14ac:dyDescent="0.3">
      <c r="A1131" s="12"/>
    </row>
    <row r="1132" spans="1:1" x14ac:dyDescent="0.3">
      <c r="A1132" s="12"/>
    </row>
    <row r="1133" spans="1:1" x14ac:dyDescent="0.3">
      <c r="A1133" s="12"/>
    </row>
    <row r="1134" spans="1:1" x14ac:dyDescent="0.3">
      <c r="A1134" s="12"/>
    </row>
    <row r="1135" spans="1:1" x14ac:dyDescent="0.3">
      <c r="A1135" s="12"/>
    </row>
    <row r="1136" spans="1:1" x14ac:dyDescent="0.3">
      <c r="A1136" s="12"/>
    </row>
    <row r="1137" spans="1:1" x14ac:dyDescent="0.3">
      <c r="A1137" s="12"/>
    </row>
    <row r="1138" spans="1:1" x14ac:dyDescent="0.3">
      <c r="A1138" s="12"/>
    </row>
    <row r="1139" spans="1:1" x14ac:dyDescent="0.3">
      <c r="A1139" s="12"/>
    </row>
    <row r="1140" spans="1:1" x14ac:dyDescent="0.3">
      <c r="A1140" s="12"/>
    </row>
    <row r="1141" spans="1:1" x14ac:dyDescent="0.3">
      <c r="A1141" s="12"/>
    </row>
    <row r="1142" spans="1:1" x14ac:dyDescent="0.3">
      <c r="A1142" s="12"/>
    </row>
    <row r="1143" spans="1:1" x14ac:dyDescent="0.3">
      <c r="A1143" s="12"/>
    </row>
    <row r="1144" spans="1:1" x14ac:dyDescent="0.3">
      <c r="A1144" s="12"/>
    </row>
    <row r="1145" spans="1:1" x14ac:dyDescent="0.3">
      <c r="A1145" s="12"/>
    </row>
    <row r="1146" spans="1:1" x14ac:dyDescent="0.3">
      <c r="A1146" s="12"/>
    </row>
    <row r="1147" spans="1:1" x14ac:dyDescent="0.3">
      <c r="A1147" s="12"/>
    </row>
    <row r="1148" spans="1:1" x14ac:dyDescent="0.3">
      <c r="A1148" s="12"/>
    </row>
    <row r="1149" spans="1:1" x14ac:dyDescent="0.3">
      <c r="A1149" s="12"/>
    </row>
    <row r="1150" spans="1:1" x14ac:dyDescent="0.3">
      <c r="A1150" s="12"/>
    </row>
    <row r="1151" spans="1:1" x14ac:dyDescent="0.3">
      <c r="A1151" s="12"/>
    </row>
    <row r="1152" spans="1:1" x14ac:dyDescent="0.3">
      <c r="A1152" s="12"/>
    </row>
    <row r="1153" spans="1:1" x14ac:dyDescent="0.3">
      <c r="A1153" s="12"/>
    </row>
    <row r="1154" spans="1:1" x14ac:dyDescent="0.3">
      <c r="A1154" s="12"/>
    </row>
    <row r="1155" spans="1:1" x14ac:dyDescent="0.3">
      <c r="A1155" s="12"/>
    </row>
    <row r="1156" spans="1:1" x14ac:dyDescent="0.3">
      <c r="A1156" s="12"/>
    </row>
    <row r="1157" spans="1:1" x14ac:dyDescent="0.3">
      <c r="A1157" s="12"/>
    </row>
    <row r="1158" spans="1:1" x14ac:dyDescent="0.3">
      <c r="A1158" s="12"/>
    </row>
    <row r="1159" spans="1:1" x14ac:dyDescent="0.3">
      <c r="A1159" s="12"/>
    </row>
    <row r="1160" spans="1:1" x14ac:dyDescent="0.3">
      <c r="A1160" s="12"/>
    </row>
    <row r="1161" spans="1:1" x14ac:dyDescent="0.3">
      <c r="A1161" s="12"/>
    </row>
    <row r="1162" spans="1:1" x14ac:dyDescent="0.3">
      <c r="A1162" s="12"/>
    </row>
    <row r="1163" spans="1:1" x14ac:dyDescent="0.3">
      <c r="A1163" s="12"/>
    </row>
    <row r="1164" spans="1:1" x14ac:dyDescent="0.3">
      <c r="A1164" s="12"/>
    </row>
    <row r="1165" spans="1:1" x14ac:dyDescent="0.3">
      <c r="A1165" s="12"/>
    </row>
    <row r="1166" spans="1:1" x14ac:dyDescent="0.3">
      <c r="A1166" s="12"/>
    </row>
    <row r="1167" spans="1:1" x14ac:dyDescent="0.3">
      <c r="A1167" s="12"/>
    </row>
    <row r="1168" spans="1:1" x14ac:dyDescent="0.3">
      <c r="A1168" s="12"/>
    </row>
    <row r="1169" spans="1:1" x14ac:dyDescent="0.3">
      <c r="A1169" s="12"/>
    </row>
    <row r="1170" spans="1:1" x14ac:dyDescent="0.3">
      <c r="A1170" s="12"/>
    </row>
    <row r="1171" spans="1:1" x14ac:dyDescent="0.3">
      <c r="A1171" s="12"/>
    </row>
    <row r="1172" spans="1:1" x14ac:dyDescent="0.3">
      <c r="A1172" s="12"/>
    </row>
    <row r="1173" spans="1:1" x14ac:dyDescent="0.3">
      <c r="A1173" s="12"/>
    </row>
    <row r="1174" spans="1:1" x14ac:dyDescent="0.3">
      <c r="A1174" s="12"/>
    </row>
    <row r="1175" spans="1:1" x14ac:dyDescent="0.3">
      <c r="A1175" s="12"/>
    </row>
    <row r="1176" spans="1:1" x14ac:dyDescent="0.3">
      <c r="A1176" s="12"/>
    </row>
    <row r="1177" spans="1:1" x14ac:dyDescent="0.3">
      <c r="A1177" s="12"/>
    </row>
    <row r="1178" spans="1:1" x14ac:dyDescent="0.3">
      <c r="A1178" s="12"/>
    </row>
    <row r="1179" spans="1:1" x14ac:dyDescent="0.3">
      <c r="A1179" s="12"/>
    </row>
    <row r="1180" spans="1:1" x14ac:dyDescent="0.3">
      <c r="A1180" s="12"/>
    </row>
    <row r="1181" spans="1:1" x14ac:dyDescent="0.3">
      <c r="A1181" s="12"/>
    </row>
    <row r="1182" spans="1:1" x14ac:dyDescent="0.3">
      <c r="A1182" s="12"/>
    </row>
    <row r="1183" spans="1:1" x14ac:dyDescent="0.3">
      <c r="A1183" s="12"/>
    </row>
    <row r="1184" spans="1:1" x14ac:dyDescent="0.3">
      <c r="A1184" s="12"/>
    </row>
    <row r="1185" spans="1:1" x14ac:dyDescent="0.3">
      <c r="A1185" s="12"/>
    </row>
    <row r="1186" spans="1:1" x14ac:dyDescent="0.3">
      <c r="A1186" s="12"/>
    </row>
    <row r="1187" spans="1:1" x14ac:dyDescent="0.3">
      <c r="A1187" s="12"/>
    </row>
    <row r="1188" spans="1:1" x14ac:dyDescent="0.3">
      <c r="A1188" s="12"/>
    </row>
    <row r="1189" spans="1:1" x14ac:dyDescent="0.3">
      <c r="A1189" s="12"/>
    </row>
    <row r="1190" spans="1:1" x14ac:dyDescent="0.3">
      <c r="A1190" s="12"/>
    </row>
    <row r="1191" spans="1:1" x14ac:dyDescent="0.3">
      <c r="A1191" s="12"/>
    </row>
    <row r="1192" spans="1:1" x14ac:dyDescent="0.3">
      <c r="A1192" s="12"/>
    </row>
    <row r="1193" spans="1:1" x14ac:dyDescent="0.3">
      <c r="A1193" s="12"/>
    </row>
    <row r="1194" spans="1:1" x14ac:dyDescent="0.3">
      <c r="A1194" s="12"/>
    </row>
    <row r="1195" spans="1:1" x14ac:dyDescent="0.3">
      <c r="A1195" s="12"/>
    </row>
    <row r="1196" spans="1:1" x14ac:dyDescent="0.3">
      <c r="A1196" s="12"/>
    </row>
    <row r="1197" spans="1:1" x14ac:dyDescent="0.3">
      <c r="A1197" s="12"/>
    </row>
    <row r="1198" spans="1:1" x14ac:dyDescent="0.3">
      <c r="A1198" s="12"/>
    </row>
    <row r="1199" spans="1:1" x14ac:dyDescent="0.3">
      <c r="A1199" s="12"/>
    </row>
    <row r="1200" spans="1:1" x14ac:dyDescent="0.3">
      <c r="A1200" s="12"/>
    </row>
    <row r="1201" spans="1:1" x14ac:dyDescent="0.3">
      <c r="A1201" s="12"/>
    </row>
    <row r="1202" spans="1:1" x14ac:dyDescent="0.3">
      <c r="A1202" s="12"/>
    </row>
    <row r="1203" spans="1:1" x14ac:dyDescent="0.3">
      <c r="A1203" s="12"/>
    </row>
    <row r="1204" spans="1:1" x14ac:dyDescent="0.3">
      <c r="A1204" s="12"/>
    </row>
    <row r="1205" spans="1:1" x14ac:dyDescent="0.3">
      <c r="A1205" s="12"/>
    </row>
    <row r="1206" spans="1:1" x14ac:dyDescent="0.3">
      <c r="A1206" s="12"/>
    </row>
    <row r="1207" spans="1:1" x14ac:dyDescent="0.3">
      <c r="A1207" s="12"/>
    </row>
    <row r="1208" spans="1:1" x14ac:dyDescent="0.3">
      <c r="A1208" s="12"/>
    </row>
    <row r="1209" spans="1:1" x14ac:dyDescent="0.3">
      <c r="A1209" s="12"/>
    </row>
    <row r="1210" spans="1:1" x14ac:dyDescent="0.3">
      <c r="A1210" s="12"/>
    </row>
    <row r="1211" spans="1:1" x14ac:dyDescent="0.3">
      <c r="A1211" s="12"/>
    </row>
    <row r="1212" spans="1:1" x14ac:dyDescent="0.3">
      <c r="A1212" s="12"/>
    </row>
    <row r="1213" spans="1:1" x14ac:dyDescent="0.3">
      <c r="A1213" s="12"/>
    </row>
    <row r="1214" spans="1:1" x14ac:dyDescent="0.3">
      <c r="A1214" s="12"/>
    </row>
    <row r="1215" spans="1:1" x14ac:dyDescent="0.3">
      <c r="A1215" s="12"/>
    </row>
    <row r="1216" spans="1:1" x14ac:dyDescent="0.3">
      <c r="A1216" s="12"/>
    </row>
    <row r="1217" spans="1:1" x14ac:dyDescent="0.3">
      <c r="A1217" s="12"/>
    </row>
    <row r="1218" spans="1:1" x14ac:dyDescent="0.3">
      <c r="A1218" s="12"/>
    </row>
    <row r="1219" spans="1:1" x14ac:dyDescent="0.3">
      <c r="A1219" s="12"/>
    </row>
    <row r="1220" spans="1:1" x14ac:dyDescent="0.3">
      <c r="A1220" s="12"/>
    </row>
    <row r="1221" spans="1:1" x14ac:dyDescent="0.3">
      <c r="A1221" s="12"/>
    </row>
    <row r="1222" spans="1:1" x14ac:dyDescent="0.3">
      <c r="A1222" s="12"/>
    </row>
    <row r="1223" spans="1:1" x14ac:dyDescent="0.3">
      <c r="A1223" s="12"/>
    </row>
    <row r="1224" spans="1:1" x14ac:dyDescent="0.3">
      <c r="A1224" s="12"/>
    </row>
    <row r="1225" spans="1:1" x14ac:dyDescent="0.3">
      <c r="A1225" s="12"/>
    </row>
    <row r="1226" spans="1:1" x14ac:dyDescent="0.3">
      <c r="A1226" s="12"/>
    </row>
    <row r="1227" spans="1:1" x14ac:dyDescent="0.3">
      <c r="A1227" s="12"/>
    </row>
    <row r="1228" spans="1:1" x14ac:dyDescent="0.3">
      <c r="A1228" s="12"/>
    </row>
    <row r="1229" spans="1:1" x14ac:dyDescent="0.3">
      <c r="A1229" s="12"/>
    </row>
    <row r="1230" spans="1:1" x14ac:dyDescent="0.3">
      <c r="A1230" s="12"/>
    </row>
    <row r="1231" spans="1:1" x14ac:dyDescent="0.3">
      <c r="A1231" s="12"/>
    </row>
    <row r="1232" spans="1:1" x14ac:dyDescent="0.3">
      <c r="A1232" s="12"/>
    </row>
    <row r="1233" spans="1:1" x14ac:dyDescent="0.3">
      <c r="A1233" s="12"/>
    </row>
    <row r="1234" spans="1:1" x14ac:dyDescent="0.3">
      <c r="A1234" s="12"/>
    </row>
    <row r="1235" spans="1:1" x14ac:dyDescent="0.3">
      <c r="A1235" s="12"/>
    </row>
    <row r="1236" spans="1:1" x14ac:dyDescent="0.3">
      <c r="A1236" s="12"/>
    </row>
    <row r="1237" spans="1:1" x14ac:dyDescent="0.3">
      <c r="A1237" s="12"/>
    </row>
    <row r="1238" spans="1:1" x14ac:dyDescent="0.3">
      <c r="A1238" s="12"/>
    </row>
    <row r="1239" spans="1:1" x14ac:dyDescent="0.3">
      <c r="A1239" s="12"/>
    </row>
    <row r="1240" spans="1:1" x14ac:dyDescent="0.3">
      <c r="A1240" s="12"/>
    </row>
    <row r="1241" spans="1:1" x14ac:dyDescent="0.3">
      <c r="A1241" s="12"/>
    </row>
    <row r="1242" spans="1:1" x14ac:dyDescent="0.3">
      <c r="A1242" s="12"/>
    </row>
    <row r="1243" spans="1:1" x14ac:dyDescent="0.3">
      <c r="A1243" s="12"/>
    </row>
    <row r="1244" spans="1:1" x14ac:dyDescent="0.3">
      <c r="A1244" s="12"/>
    </row>
    <row r="1245" spans="1:1" x14ac:dyDescent="0.3">
      <c r="A1245" s="12"/>
    </row>
    <row r="1246" spans="1:1" x14ac:dyDescent="0.3">
      <c r="A1246" s="12"/>
    </row>
    <row r="1247" spans="1:1" x14ac:dyDescent="0.3">
      <c r="A1247" s="12"/>
    </row>
    <row r="1248" spans="1:1" x14ac:dyDescent="0.3">
      <c r="A1248" s="12"/>
    </row>
    <row r="1249" spans="1:1" x14ac:dyDescent="0.3">
      <c r="A1249" s="12"/>
    </row>
    <row r="1250" spans="1:1" x14ac:dyDescent="0.3">
      <c r="A1250" s="12"/>
    </row>
    <row r="1251" spans="1:1" x14ac:dyDescent="0.3">
      <c r="A1251" s="12"/>
    </row>
    <row r="1252" spans="1:1" x14ac:dyDescent="0.3">
      <c r="A1252" s="12"/>
    </row>
    <row r="1253" spans="1:1" x14ac:dyDescent="0.3">
      <c r="A1253" s="12"/>
    </row>
    <row r="1254" spans="1:1" x14ac:dyDescent="0.3">
      <c r="A1254" s="12"/>
    </row>
    <row r="1255" spans="1:1" x14ac:dyDescent="0.3">
      <c r="A1255" s="12"/>
    </row>
    <row r="1256" spans="1:1" x14ac:dyDescent="0.3">
      <c r="A1256" s="12"/>
    </row>
    <row r="1257" spans="1:1" x14ac:dyDescent="0.3">
      <c r="A1257" s="12"/>
    </row>
    <row r="1258" spans="1:1" x14ac:dyDescent="0.3">
      <c r="A1258" s="12"/>
    </row>
    <row r="1259" spans="1:1" x14ac:dyDescent="0.3">
      <c r="A1259" s="12"/>
    </row>
    <row r="1260" spans="1:1" x14ac:dyDescent="0.3">
      <c r="A1260" s="12"/>
    </row>
    <row r="1261" spans="1:1" x14ac:dyDescent="0.3">
      <c r="A1261" s="12"/>
    </row>
    <row r="1262" spans="1:1" x14ac:dyDescent="0.3">
      <c r="A1262" s="12"/>
    </row>
    <row r="1263" spans="1:1" x14ac:dyDescent="0.3">
      <c r="A1263" s="12"/>
    </row>
    <row r="1264" spans="1:1" x14ac:dyDescent="0.3">
      <c r="A1264" s="12"/>
    </row>
    <row r="1265" spans="1:1" x14ac:dyDescent="0.3">
      <c r="A1265" s="12"/>
    </row>
    <row r="1266" spans="1:1" x14ac:dyDescent="0.3">
      <c r="A1266" s="12"/>
    </row>
    <row r="1267" spans="1:1" x14ac:dyDescent="0.3">
      <c r="A1267" s="12"/>
    </row>
    <row r="1268" spans="1:1" x14ac:dyDescent="0.3">
      <c r="A1268" s="12"/>
    </row>
    <row r="1269" spans="1:1" x14ac:dyDescent="0.3">
      <c r="A1269" s="12"/>
    </row>
    <row r="1270" spans="1:1" x14ac:dyDescent="0.3">
      <c r="A1270" s="12"/>
    </row>
    <row r="1271" spans="1:1" x14ac:dyDescent="0.3">
      <c r="A1271" s="12"/>
    </row>
    <row r="1272" spans="1:1" x14ac:dyDescent="0.3">
      <c r="A1272" s="12"/>
    </row>
    <row r="1273" spans="1:1" x14ac:dyDescent="0.3">
      <c r="A1273" s="12"/>
    </row>
    <row r="1274" spans="1:1" x14ac:dyDescent="0.3">
      <c r="A1274" s="12"/>
    </row>
    <row r="1275" spans="1:1" x14ac:dyDescent="0.3">
      <c r="A1275" s="12"/>
    </row>
    <row r="1276" spans="1:1" x14ac:dyDescent="0.3">
      <c r="A1276" s="12"/>
    </row>
    <row r="1277" spans="1:1" x14ac:dyDescent="0.3">
      <c r="A1277" s="12"/>
    </row>
    <row r="1278" spans="1:1" x14ac:dyDescent="0.3">
      <c r="A1278" s="12"/>
    </row>
    <row r="1279" spans="1:1" x14ac:dyDescent="0.3">
      <c r="A1279" s="12"/>
    </row>
    <row r="1280" spans="1:1" x14ac:dyDescent="0.3">
      <c r="A1280" s="12"/>
    </row>
    <row r="1281" spans="1:1" x14ac:dyDescent="0.3">
      <c r="A1281" s="12"/>
    </row>
    <row r="1282" spans="1:1" x14ac:dyDescent="0.3">
      <c r="A1282" s="12"/>
    </row>
    <row r="1283" spans="1:1" x14ac:dyDescent="0.3">
      <c r="A1283" s="12"/>
    </row>
    <row r="1284" spans="1:1" x14ac:dyDescent="0.3">
      <c r="A1284" s="12"/>
    </row>
    <row r="1285" spans="1:1" x14ac:dyDescent="0.3">
      <c r="A1285" s="12"/>
    </row>
    <row r="1286" spans="1:1" x14ac:dyDescent="0.3">
      <c r="A1286" s="12"/>
    </row>
    <row r="1287" spans="1:1" x14ac:dyDescent="0.3">
      <c r="A1287" s="12"/>
    </row>
    <row r="1288" spans="1:1" x14ac:dyDescent="0.3">
      <c r="A1288" s="12"/>
    </row>
    <row r="1289" spans="1:1" x14ac:dyDescent="0.3">
      <c r="A1289" s="12"/>
    </row>
    <row r="1290" spans="1:1" x14ac:dyDescent="0.3">
      <c r="A1290" s="12"/>
    </row>
    <row r="1291" spans="1:1" x14ac:dyDescent="0.3">
      <c r="A1291" s="12"/>
    </row>
    <row r="1292" spans="1:1" x14ac:dyDescent="0.3">
      <c r="A1292" s="12"/>
    </row>
    <row r="1293" spans="1:1" x14ac:dyDescent="0.3">
      <c r="A1293" s="12"/>
    </row>
    <row r="1294" spans="1:1" x14ac:dyDescent="0.3">
      <c r="A1294" s="12"/>
    </row>
    <row r="1295" spans="1:1" x14ac:dyDescent="0.3">
      <c r="A1295" s="12"/>
    </row>
    <row r="1296" spans="1:1" x14ac:dyDescent="0.3">
      <c r="A1296" s="12"/>
    </row>
    <row r="1297" spans="1:1" x14ac:dyDescent="0.3">
      <c r="A1297" s="12"/>
    </row>
    <row r="1298" spans="1:1" x14ac:dyDescent="0.3">
      <c r="A1298" s="12"/>
    </row>
    <row r="1299" spans="1:1" x14ac:dyDescent="0.3">
      <c r="A1299" s="12"/>
    </row>
    <row r="1300" spans="1:1" x14ac:dyDescent="0.3">
      <c r="A1300" s="12"/>
    </row>
    <row r="1301" spans="1:1" x14ac:dyDescent="0.3">
      <c r="A1301" s="12"/>
    </row>
    <row r="1302" spans="1:1" x14ac:dyDescent="0.3">
      <c r="A1302" s="12"/>
    </row>
    <row r="1303" spans="1:1" x14ac:dyDescent="0.3">
      <c r="A1303" s="12"/>
    </row>
    <row r="1304" spans="1:1" x14ac:dyDescent="0.3">
      <c r="A1304" s="12"/>
    </row>
    <row r="1305" spans="1:1" x14ac:dyDescent="0.3">
      <c r="A1305" s="12"/>
    </row>
    <row r="1306" spans="1:1" x14ac:dyDescent="0.3">
      <c r="A1306" s="12"/>
    </row>
    <row r="1307" spans="1:1" x14ac:dyDescent="0.3">
      <c r="A1307" s="12"/>
    </row>
    <row r="1308" spans="1:1" x14ac:dyDescent="0.3">
      <c r="A1308" s="12"/>
    </row>
    <row r="1309" spans="1:1" x14ac:dyDescent="0.3">
      <c r="A1309" s="12"/>
    </row>
    <row r="1310" spans="1:1" x14ac:dyDescent="0.3">
      <c r="A1310" s="12"/>
    </row>
    <row r="1311" spans="1:1" x14ac:dyDescent="0.3">
      <c r="A1311" s="12"/>
    </row>
    <row r="1312" spans="1:1" x14ac:dyDescent="0.3">
      <c r="A1312" s="12"/>
    </row>
    <row r="1313" spans="1:1" x14ac:dyDescent="0.3">
      <c r="A1313" s="12"/>
    </row>
    <row r="1314" spans="1:1" x14ac:dyDescent="0.3">
      <c r="A1314" s="12"/>
    </row>
    <row r="1315" spans="1:1" x14ac:dyDescent="0.3">
      <c r="A1315" s="12"/>
    </row>
    <row r="1316" spans="1:1" x14ac:dyDescent="0.3">
      <c r="A1316" s="12"/>
    </row>
    <row r="1317" spans="1:1" x14ac:dyDescent="0.3">
      <c r="A1317" s="12"/>
    </row>
    <row r="1318" spans="1:1" x14ac:dyDescent="0.3">
      <c r="A1318" s="12"/>
    </row>
    <row r="1319" spans="1:1" x14ac:dyDescent="0.3">
      <c r="A1319" s="12"/>
    </row>
    <row r="1320" spans="1:1" x14ac:dyDescent="0.3">
      <c r="A1320" s="12"/>
    </row>
    <row r="1321" spans="1:1" x14ac:dyDescent="0.3">
      <c r="A1321" s="12"/>
    </row>
    <row r="1322" spans="1:1" x14ac:dyDescent="0.3">
      <c r="A1322" s="12"/>
    </row>
    <row r="1323" spans="1:1" x14ac:dyDescent="0.3">
      <c r="A1323" s="12"/>
    </row>
    <row r="1324" spans="1:1" x14ac:dyDescent="0.3">
      <c r="A1324" s="12"/>
    </row>
    <row r="1325" spans="1:1" x14ac:dyDescent="0.3">
      <c r="A1325" s="12"/>
    </row>
    <row r="1326" spans="1:1" x14ac:dyDescent="0.3">
      <c r="A1326" s="12"/>
    </row>
    <row r="1327" spans="1:1" x14ac:dyDescent="0.3">
      <c r="A1327" s="12"/>
    </row>
    <row r="1328" spans="1:1" x14ac:dyDescent="0.3">
      <c r="A1328" s="12"/>
    </row>
    <row r="1329" spans="1:1" x14ac:dyDescent="0.3">
      <c r="A1329" s="12"/>
    </row>
    <row r="1330" spans="1:1" x14ac:dyDescent="0.3">
      <c r="A1330" s="12"/>
    </row>
    <row r="1331" spans="1:1" x14ac:dyDescent="0.3">
      <c r="A1331" s="12"/>
    </row>
    <row r="1332" spans="1:1" x14ac:dyDescent="0.3">
      <c r="A1332" s="12"/>
    </row>
    <row r="1333" spans="1:1" x14ac:dyDescent="0.3">
      <c r="A1333" s="12"/>
    </row>
    <row r="1334" spans="1:1" x14ac:dyDescent="0.3">
      <c r="A1334" s="12"/>
    </row>
    <row r="1335" spans="1:1" x14ac:dyDescent="0.3">
      <c r="A1335" s="12"/>
    </row>
    <row r="1336" spans="1:1" x14ac:dyDescent="0.3">
      <c r="A1336" s="12"/>
    </row>
    <row r="1337" spans="1:1" x14ac:dyDescent="0.3">
      <c r="A1337" s="12"/>
    </row>
    <row r="1338" spans="1:1" x14ac:dyDescent="0.3">
      <c r="A1338" s="12"/>
    </row>
    <row r="1339" spans="1:1" x14ac:dyDescent="0.3">
      <c r="A1339" s="12"/>
    </row>
    <row r="1340" spans="1:1" x14ac:dyDescent="0.3">
      <c r="A1340" s="12"/>
    </row>
    <row r="1341" spans="1:1" x14ac:dyDescent="0.3">
      <c r="A1341" s="12"/>
    </row>
    <row r="1342" spans="1:1" x14ac:dyDescent="0.3">
      <c r="A1342" s="12"/>
    </row>
    <row r="1343" spans="1:1" x14ac:dyDescent="0.3">
      <c r="A1343" s="12"/>
    </row>
    <row r="1344" spans="1:1" x14ac:dyDescent="0.3">
      <c r="A1344" s="12"/>
    </row>
    <row r="1345" spans="1:1" x14ac:dyDescent="0.3">
      <c r="A1345" s="12"/>
    </row>
    <row r="1346" spans="1:1" x14ac:dyDescent="0.3">
      <c r="A1346" s="12"/>
    </row>
    <row r="1347" spans="1:1" x14ac:dyDescent="0.3">
      <c r="A1347" s="12"/>
    </row>
    <row r="1348" spans="1:1" x14ac:dyDescent="0.3">
      <c r="A1348" s="12"/>
    </row>
    <row r="1349" spans="1:1" x14ac:dyDescent="0.3">
      <c r="A1349" s="12"/>
    </row>
    <row r="1350" spans="1:1" x14ac:dyDescent="0.3">
      <c r="A1350" s="12"/>
    </row>
    <row r="1351" spans="1:1" x14ac:dyDescent="0.3">
      <c r="A1351" s="12"/>
    </row>
    <row r="1352" spans="1:1" x14ac:dyDescent="0.3">
      <c r="A1352" s="12"/>
    </row>
    <row r="1353" spans="1:1" x14ac:dyDescent="0.3">
      <c r="A1353" s="12"/>
    </row>
    <row r="1354" spans="1:1" x14ac:dyDescent="0.3">
      <c r="A1354" s="12"/>
    </row>
    <row r="1355" spans="1:1" x14ac:dyDescent="0.3">
      <c r="A1355" s="12"/>
    </row>
    <row r="1356" spans="1:1" x14ac:dyDescent="0.3">
      <c r="A1356" s="12"/>
    </row>
    <row r="1357" spans="1:1" x14ac:dyDescent="0.3">
      <c r="A1357" s="12"/>
    </row>
    <row r="1358" spans="1:1" x14ac:dyDescent="0.3">
      <c r="A1358" s="12"/>
    </row>
    <row r="1359" spans="1:1" x14ac:dyDescent="0.3">
      <c r="A1359" s="12"/>
    </row>
    <row r="1360" spans="1:1" x14ac:dyDescent="0.3">
      <c r="A1360" s="12"/>
    </row>
    <row r="1361" spans="1:1" x14ac:dyDescent="0.3">
      <c r="A1361" s="12"/>
    </row>
    <row r="1362" spans="1:1" x14ac:dyDescent="0.3">
      <c r="A1362" s="12"/>
    </row>
    <row r="1363" spans="1:1" x14ac:dyDescent="0.3">
      <c r="A1363" s="12"/>
    </row>
    <row r="1364" spans="1:1" x14ac:dyDescent="0.3">
      <c r="A1364" s="12"/>
    </row>
    <row r="1365" spans="1:1" x14ac:dyDescent="0.3">
      <c r="A1365" s="12"/>
    </row>
    <row r="1366" spans="1:1" x14ac:dyDescent="0.3">
      <c r="A1366" s="12"/>
    </row>
    <row r="1367" spans="1:1" x14ac:dyDescent="0.3">
      <c r="A1367" s="12"/>
    </row>
    <row r="1368" spans="1:1" x14ac:dyDescent="0.3">
      <c r="A1368" s="12"/>
    </row>
    <row r="1369" spans="1:1" x14ac:dyDescent="0.3">
      <c r="A1369" s="12"/>
    </row>
    <row r="1370" spans="1:1" x14ac:dyDescent="0.3">
      <c r="A1370" s="12"/>
    </row>
    <row r="1371" spans="1:1" x14ac:dyDescent="0.3">
      <c r="A1371" s="12"/>
    </row>
    <row r="1372" spans="1:1" x14ac:dyDescent="0.3">
      <c r="A1372" s="12"/>
    </row>
    <row r="1373" spans="1:1" x14ac:dyDescent="0.3">
      <c r="A1373" s="12"/>
    </row>
    <row r="1374" spans="1:1" x14ac:dyDescent="0.3">
      <c r="A1374" s="12"/>
    </row>
    <row r="1375" spans="1:1" x14ac:dyDescent="0.3">
      <c r="A1375" s="12"/>
    </row>
    <row r="1376" spans="1:1" x14ac:dyDescent="0.3">
      <c r="A1376" s="12"/>
    </row>
    <row r="1377" spans="1:1" x14ac:dyDescent="0.3">
      <c r="A1377" s="12"/>
    </row>
    <row r="1378" spans="1:1" x14ac:dyDescent="0.3">
      <c r="A1378" s="12"/>
    </row>
    <row r="1379" spans="1:1" x14ac:dyDescent="0.3">
      <c r="A1379" s="12"/>
    </row>
    <row r="1380" spans="1:1" x14ac:dyDescent="0.3">
      <c r="A1380" s="12"/>
    </row>
    <row r="1381" spans="1:1" x14ac:dyDescent="0.3">
      <c r="A1381" s="12"/>
    </row>
    <row r="1382" spans="1:1" x14ac:dyDescent="0.3">
      <c r="A1382" s="12"/>
    </row>
    <row r="1383" spans="1:1" x14ac:dyDescent="0.3">
      <c r="A1383" s="12"/>
    </row>
    <row r="1384" spans="1:1" x14ac:dyDescent="0.3">
      <c r="A1384" s="12"/>
    </row>
    <row r="1385" spans="1:1" x14ac:dyDescent="0.3">
      <c r="A1385" s="12"/>
    </row>
    <row r="1386" spans="1:1" x14ac:dyDescent="0.3">
      <c r="A1386" s="12"/>
    </row>
    <row r="1387" spans="1:1" x14ac:dyDescent="0.3">
      <c r="A1387" s="12"/>
    </row>
    <row r="1388" spans="1:1" x14ac:dyDescent="0.3">
      <c r="A1388" s="12"/>
    </row>
    <row r="1389" spans="1:1" x14ac:dyDescent="0.3">
      <c r="A1389" s="12"/>
    </row>
    <row r="1390" spans="1:1" x14ac:dyDescent="0.3">
      <c r="A1390" s="12"/>
    </row>
    <row r="1391" spans="1:1" x14ac:dyDescent="0.3">
      <c r="A1391" s="12"/>
    </row>
    <row r="1392" spans="1:1" x14ac:dyDescent="0.3">
      <c r="A1392" s="12"/>
    </row>
    <row r="1393" spans="1:1" x14ac:dyDescent="0.3">
      <c r="A1393" s="12"/>
    </row>
    <row r="1394" spans="1:1" x14ac:dyDescent="0.3">
      <c r="A1394" s="12"/>
    </row>
    <row r="1395" spans="1:1" x14ac:dyDescent="0.3">
      <c r="A1395" s="12"/>
    </row>
    <row r="1396" spans="1:1" x14ac:dyDescent="0.3">
      <c r="A1396" s="12"/>
    </row>
    <row r="1397" spans="1:1" x14ac:dyDescent="0.3">
      <c r="A1397" s="12"/>
    </row>
    <row r="1398" spans="1:1" x14ac:dyDescent="0.3">
      <c r="A1398" s="12"/>
    </row>
    <row r="1399" spans="1:1" x14ac:dyDescent="0.3">
      <c r="A1399" s="12"/>
    </row>
    <row r="1400" spans="1:1" x14ac:dyDescent="0.3">
      <c r="A1400" s="12"/>
    </row>
    <row r="1401" spans="1:1" x14ac:dyDescent="0.3">
      <c r="A1401" s="12"/>
    </row>
    <row r="1402" spans="1:1" x14ac:dyDescent="0.3">
      <c r="A1402" s="12"/>
    </row>
    <row r="1403" spans="1:1" x14ac:dyDescent="0.3">
      <c r="A1403" s="12"/>
    </row>
    <row r="1404" spans="1:1" x14ac:dyDescent="0.3">
      <c r="A1404" s="12"/>
    </row>
    <row r="1405" spans="1:1" x14ac:dyDescent="0.3">
      <c r="A1405" s="12"/>
    </row>
    <row r="1406" spans="1:1" x14ac:dyDescent="0.3">
      <c r="A1406" s="12"/>
    </row>
    <row r="1407" spans="1:1" x14ac:dyDescent="0.3">
      <c r="A1407" s="12"/>
    </row>
    <row r="1408" spans="1:1" x14ac:dyDescent="0.3">
      <c r="A1408" s="12"/>
    </row>
    <row r="1409" spans="1:1" x14ac:dyDescent="0.3">
      <c r="A1409" s="12"/>
    </row>
    <row r="1410" spans="1:1" x14ac:dyDescent="0.3">
      <c r="A1410" s="12"/>
    </row>
    <row r="1411" spans="1:1" x14ac:dyDescent="0.3">
      <c r="A1411" s="12"/>
    </row>
    <row r="1412" spans="1:1" x14ac:dyDescent="0.3">
      <c r="A1412" s="12"/>
    </row>
    <row r="1413" spans="1:1" x14ac:dyDescent="0.3">
      <c r="A1413" s="12"/>
    </row>
    <row r="1414" spans="1:1" x14ac:dyDescent="0.3">
      <c r="A1414" s="12"/>
    </row>
    <row r="1415" spans="1:1" x14ac:dyDescent="0.3">
      <c r="A1415" s="12"/>
    </row>
    <row r="1416" spans="1:1" x14ac:dyDescent="0.3">
      <c r="A1416" s="12"/>
    </row>
    <row r="1417" spans="1:1" x14ac:dyDescent="0.3">
      <c r="A1417" s="12"/>
    </row>
    <row r="1418" spans="1:1" x14ac:dyDescent="0.3">
      <c r="A1418" s="12"/>
    </row>
    <row r="1419" spans="1:1" x14ac:dyDescent="0.3">
      <c r="A1419" s="12"/>
    </row>
    <row r="1420" spans="1:1" x14ac:dyDescent="0.3">
      <c r="A1420" s="12"/>
    </row>
    <row r="1421" spans="1:1" x14ac:dyDescent="0.3">
      <c r="A1421" s="12"/>
    </row>
    <row r="1422" spans="1:1" x14ac:dyDescent="0.3">
      <c r="A1422" s="12"/>
    </row>
    <row r="1423" spans="1:1" x14ac:dyDescent="0.3">
      <c r="A1423" s="12"/>
    </row>
    <row r="1424" spans="1:1" x14ac:dyDescent="0.3">
      <c r="A1424" s="12"/>
    </row>
    <row r="1425" spans="1:1" x14ac:dyDescent="0.3">
      <c r="A1425" s="12"/>
    </row>
    <row r="1426" spans="1:1" x14ac:dyDescent="0.3">
      <c r="A1426" s="12"/>
    </row>
    <row r="1427" spans="1:1" x14ac:dyDescent="0.3">
      <c r="A1427" s="12"/>
    </row>
    <row r="1428" spans="1:1" x14ac:dyDescent="0.3">
      <c r="A1428" s="12"/>
    </row>
    <row r="1429" spans="1:1" x14ac:dyDescent="0.3">
      <c r="A1429" s="12"/>
    </row>
    <row r="1430" spans="1:1" x14ac:dyDescent="0.3">
      <c r="A1430" s="12"/>
    </row>
    <row r="1431" spans="1:1" x14ac:dyDescent="0.3">
      <c r="A1431" s="12"/>
    </row>
    <row r="1432" spans="1:1" x14ac:dyDescent="0.3">
      <c r="A1432" s="12"/>
    </row>
    <row r="1433" spans="1:1" x14ac:dyDescent="0.3">
      <c r="A1433" s="12"/>
    </row>
    <row r="1434" spans="1:1" x14ac:dyDescent="0.3">
      <c r="A1434" s="12"/>
    </row>
    <row r="1435" spans="1:1" x14ac:dyDescent="0.3">
      <c r="A1435" s="12"/>
    </row>
    <row r="1436" spans="1:1" x14ac:dyDescent="0.3">
      <c r="A1436" s="12"/>
    </row>
    <row r="1437" spans="1:1" x14ac:dyDescent="0.3">
      <c r="A1437" s="12"/>
    </row>
    <row r="1438" spans="1:1" x14ac:dyDescent="0.3">
      <c r="A1438" s="12"/>
    </row>
    <row r="1439" spans="1:1" x14ac:dyDescent="0.3">
      <c r="A1439" s="12"/>
    </row>
    <row r="1440" spans="1:1" x14ac:dyDescent="0.3">
      <c r="A1440" s="12"/>
    </row>
    <row r="1441" spans="1:1" x14ac:dyDescent="0.3">
      <c r="A1441" s="12"/>
    </row>
    <row r="1442" spans="1:1" x14ac:dyDescent="0.3">
      <c r="A1442" s="12"/>
    </row>
    <row r="1443" spans="1:1" x14ac:dyDescent="0.3">
      <c r="A1443" s="12"/>
    </row>
    <row r="1444" spans="1:1" x14ac:dyDescent="0.3">
      <c r="A1444" s="12"/>
    </row>
    <row r="1445" spans="1:1" x14ac:dyDescent="0.3">
      <c r="A1445" s="12"/>
    </row>
    <row r="1446" spans="1:1" x14ac:dyDescent="0.3">
      <c r="A1446" s="12"/>
    </row>
    <row r="1447" spans="1:1" x14ac:dyDescent="0.3">
      <c r="A1447" s="12"/>
    </row>
    <row r="1448" spans="1:1" x14ac:dyDescent="0.3">
      <c r="A1448" s="12"/>
    </row>
    <row r="1449" spans="1:1" x14ac:dyDescent="0.3">
      <c r="A1449" s="12"/>
    </row>
    <row r="1450" spans="1:1" x14ac:dyDescent="0.3">
      <c r="A1450" s="12"/>
    </row>
    <row r="1451" spans="1:1" x14ac:dyDescent="0.3">
      <c r="A1451" s="12"/>
    </row>
    <row r="1452" spans="1:1" x14ac:dyDescent="0.3">
      <c r="A1452" s="12"/>
    </row>
    <row r="1453" spans="1:1" x14ac:dyDescent="0.3">
      <c r="A1453" s="12"/>
    </row>
    <row r="1454" spans="1:1" x14ac:dyDescent="0.3">
      <c r="A1454" s="12"/>
    </row>
    <row r="1455" spans="1:1" x14ac:dyDescent="0.3">
      <c r="A1455" s="12"/>
    </row>
    <row r="1456" spans="1:1" x14ac:dyDescent="0.3">
      <c r="A1456" s="12"/>
    </row>
    <row r="1457" spans="1:1" x14ac:dyDescent="0.3">
      <c r="A1457" s="12"/>
    </row>
    <row r="1458" spans="1:1" x14ac:dyDescent="0.3">
      <c r="A1458" s="12"/>
    </row>
    <row r="1459" spans="1:1" x14ac:dyDescent="0.3">
      <c r="A1459" s="12"/>
    </row>
    <row r="1460" spans="1:1" x14ac:dyDescent="0.3">
      <c r="A1460" s="12"/>
    </row>
    <row r="1461" spans="1:1" x14ac:dyDescent="0.3">
      <c r="A1461" s="12"/>
    </row>
    <row r="1462" spans="1:1" x14ac:dyDescent="0.3">
      <c r="A1462" s="12"/>
    </row>
    <row r="1463" spans="1:1" x14ac:dyDescent="0.3">
      <c r="A1463" s="12"/>
    </row>
    <row r="1464" spans="1:1" x14ac:dyDescent="0.3">
      <c r="A1464" s="12"/>
    </row>
    <row r="1465" spans="1:1" x14ac:dyDescent="0.3">
      <c r="A1465" s="12"/>
    </row>
    <row r="1466" spans="1:1" x14ac:dyDescent="0.3">
      <c r="A1466" s="12"/>
    </row>
    <row r="1467" spans="1:1" x14ac:dyDescent="0.3">
      <c r="A1467" s="12"/>
    </row>
    <row r="1468" spans="1:1" x14ac:dyDescent="0.3">
      <c r="A1468" s="12"/>
    </row>
    <row r="1469" spans="1:1" x14ac:dyDescent="0.3">
      <c r="A1469" s="12"/>
    </row>
    <row r="1470" spans="1:1" x14ac:dyDescent="0.3">
      <c r="A1470" s="12"/>
    </row>
    <row r="1471" spans="1:1" x14ac:dyDescent="0.3">
      <c r="A1471" s="12"/>
    </row>
    <row r="1472" spans="1:1" x14ac:dyDescent="0.3">
      <c r="A1472" s="12"/>
    </row>
    <row r="1473" spans="1:1" x14ac:dyDescent="0.3">
      <c r="A1473" s="12"/>
    </row>
    <row r="1474" spans="1:1" x14ac:dyDescent="0.3">
      <c r="A1474" s="12"/>
    </row>
    <row r="1475" spans="1:1" x14ac:dyDescent="0.3">
      <c r="A1475" s="12"/>
    </row>
    <row r="1476" spans="1:1" x14ac:dyDescent="0.3">
      <c r="A1476" s="12"/>
    </row>
    <row r="1477" spans="1:1" x14ac:dyDescent="0.3">
      <c r="A1477" s="12"/>
    </row>
    <row r="1478" spans="1:1" x14ac:dyDescent="0.3">
      <c r="A1478" s="12"/>
    </row>
    <row r="1479" spans="1:1" x14ac:dyDescent="0.3">
      <c r="A1479" s="12"/>
    </row>
    <row r="1480" spans="1:1" x14ac:dyDescent="0.3">
      <c r="A1480" s="12"/>
    </row>
    <row r="1481" spans="1:1" x14ac:dyDescent="0.3">
      <c r="A1481" s="12"/>
    </row>
    <row r="1482" spans="1:1" x14ac:dyDescent="0.3">
      <c r="A1482" s="12"/>
    </row>
    <row r="1483" spans="1:1" x14ac:dyDescent="0.3">
      <c r="A1483" s="12"/>
    </row>
    <row r="1484" spans="1:1" x14ac:dyDescent="0.3">
      <c r="A1484" s="12"/>
    </row>
    <row r="1485" spans="1:1" x14ac:dyDescent="0.3">
      <c r="A1485" s="12"/>
    </row>
    <row r="1486" spans="1:1" x14ac:dyDescent="0.3">
      <c r="A1486" s="12"/>
    </row>
    <row r="1487" spans="1:1" x14ac:dyDescent="0.3">
      <c r="A1487" s="12"/>
    </row>
    <row r="1488" spans="1:1" x14ac:dyDescent="0.3">
      <c r="A1488" s="12"/>
    </row>
    <row r="1489" spans="1:1" x14ac:dyDescent="0.3">
      <c r="A1489" s="12"/>
    </row>
    <row r="1490" spans="1:1" x14ac:dyDescent="0.3">
      <c r="A1490" s="12"/>
    </row>
    <row r="1491" spans="1:1" x14ac:dyDescent="0.3">
      <c r="A1491" s="12"/>
    </row>
    <row r="1492" spans="1:1" x14ac:dyDescent="0.3">
      <c r="A1492" s="12"/>
    </row>
    <row r="1493" spans="1:1" x14ac:dyDescent="0.3">
      <c r="A1493" s="12"/>
    </row>
    <row r="1494" spans="1:1" x14ac:dyDescent="0.3">
      <c r="A1494" s="12"/>
    </row>
    <row r="1495" spans="1:1" x14ac:dyDescent="0.3">
      <c r="A1495" s="12"/>
    </row>
    <row r="1496" spans="1:1" x14ac:dyDescent="0.3">
      <c r="A1496" s="12"/>
    </row>
    <row r="1497" spans="1:1" x14ac:dyDescent="0.3">
      <c r="A1497" s="12"/>
    </row>
    <row r="1498" spans="1:1" x14ac:dyDescent="0.3">
      <c r="A1498" s="12"/>
    </row>
    <row r="1499" spans="1:1" x14ac:dyDescent="0.3">
      <c r="A1499" s="12"/>
    </row>
    <row r="1500" spans="1:1" x14ac:dyDescent="0.3">
      <c r="A1500" s="12"/>
    </row>
    <row r="1501" spans="1:1" x14ac:dyDescent="0.3">
      <c r="A1501" s="12"/>
    </row>
    <row r="1502" spans="1:1" x14ac:dyDescent="0.3">
      <c r="A1502" s="12"/>
    </row>
    <row r="1503" spans="1:1" x14ac:dyDescent="0.3">
      <c r="A1503" s="12"/>
    </row>
    <row r="1504" spans="1:1" x14ac:dyDescent="0.3">
      <c r="A1504" s="12"/>
    </row>
    <row r="1505" spans="1:1" x14ac:dyDescent="0.3">
      <c r="A1505" s="12"/>
    </row>
    <row r="1506" spans="1:1" x14ac:dyDescent="0.3">
      <c r="A1506" s="12"/>
    </row>
    <row r="1507" spans="1:1" x14ac:dyDescent="0.3">
      <c r="A1507" s="12"/>
    </row>
    <row r="1508" spans="1:1" x14ac:dyDescent="0.3">
      <c r="A1508" s="12"/>
    </row>
    <row r="1509" spans="1:1" x14ac:dyDescent="0.3">
      <c r="A1509" s="12"/>
    </row>
    <row r="1510" spans="1:1" x14ac:dyDescent="0.3">
      <c r="A1510" s="12"/>
    </row>
    <row r="1511" spans="1:1" x14ac:dyDescent="0.3">
      <c r="A1511" s="12"/>
    </row>
    <row r="1512" spans="1:1" x14ac:dyDescent="0.3">
      <c r="A1512" s="12"/>
    </row>
    <row r="1513" spans="1:1" x14ac:dyDescent="0.3">
      <c r="A1513" s="12"/>
    </row>
    <row r="1514" spans="1:1" x14ac:dyDescent="0.3">
      <c r="A1514" s="12"/>
    </row>
    <row r="1515" spans="1:1" x14ac:dyDescent="0.3">
      <c r="A1515" s="12"/>
    </row>
    <row r="1516" spans="1:1" x14ac:dyDescent="0.3">
      <c r="A1516" s="12"/>
    </row>
    <row r="1517" spans="1:1" x14ac:dyDescent="0.3">
      <c r="A1517" s="12"/>
    </row>
    <row r="1518" spans="1:1" x14ac:dyDescent="0.3">
      <c r="A1518" s="12"/>
    </row>
    <row r="1519" spans="1:1" x14ac:dyDescent="0.3">
      <c r="A1519" s="12"/>
    </row>
    <row r="1520" spans="1:1" x14ac:dyDescent="0.3">
      <c r="A1520" s="12"/>
    </row>
    <row r="1521" spans="1:1" x14ac:dyDescent="0.3">
      <c r="A1521" s="12"/>
    </row>
    <row r="1522" spans="1:1" x14ac:dyDescent="0.3">
      <c r="A1522" s="12"/>
    </row>
    <row r="1523" spans="1:1" x14ac:dyDescent="0.3">
      <c r="A1523" s="12"/>
    </row>
    <row r="1524" spans="1:1" x14ac:dyDescent="0.3">
      <c r="A1524" s="12"/>
    </row>
    <row r="1525" spans="1:1" x14ac:dyDescent="0.3">
      <c r="A1525" s="12"/>
    </row>
    <row r="1526" spans="1:1" x14ac:dyDescent="0.3">
      <c r="A1526" s="12"/>
    </row>
    <row r="1527" spans="1:1" x14ac:dyDescent="0.3">
      <c r="A1527" s="12"/>
    </row>
    <row r="1528" spans="1:1" x14ac:dyDescent="0.3">
      <c r="A1528" s="12"/>
    </row>
    <row r="1529" spans="1:1" x14ac:dyDescent="0.3">
      <c r="A1529" s="12"/>
    </row>
    <row r="1530" spans="1:1" x14ac:dyDescent="0.3">
      <c r="A1530" s="12"/>
    </row>
    <row r="1531" spans="1:1" x14ac:dyDescent="0.3">
      <c r="A1531" s="12"/>
    </row>
    <row r="1532" spans="1:1" x14ac:dyDescent="0.3">
      <c r="A1532" s="12"/>
    </row>
    <row r="1533" spans="1:1" x14ac:dyDescent="0.3">
      <c r="A1533" s="12"/>
    </row>
    <row r="1534" spans="1:1" x14ac:dyDescent="0.3">
      <c r="A1534" s="12"/>
    </row>
    <row r="1535" spans="1:1" x14ac:dyDescent="0.3">
      <c r="A1535" s="12"/>
    </row>
    <row r="1536" spans="1:1" x14ac:dyDescent="0.3">
      <c r="A1536" s="12"/>
    </row>
    <row r="1537" spans="1:1" x14ac:dyDescent="0.3">
      <c r="A1537" s="12"/>
    </row>
    <row r="1538" spans="1:1" x14ac:dyDescent="0.3">
      <c r="A1538" s="12"/>
    </row>
    <row r="1539" spans="1:1" x14ac:dyDescent="0.3">
      <c r="A1539" s="12"/>
    </row>
    <row r="1540" spans="1:1" x14ac:dyDescent="0.3">
      <c r="A1540" s="12"/>
    </row>
    <row r="1541" spans="1:1" x14ac:dyDescent="0.3">
      <c r="A1541" s="12"/>
    </row>
    <row r="1542" spans="1:1" x14ac:dyDescent="0.3">
      <c r="A1542" s="12"/>
    </row>
    <row r="1543" spans="1:1" x14ac:dyDescent="0.3">
      <c r="A1543" s="12"/>
    </row>
    <row r="1544" spans="1:1" x14ac:dyDescent="0.3">
      <c r="A1544" s="12"/>
    </row>
    <row r="1545" spans="1:1" x14ac:dyDescent="0.3">
      <c r="A1545" s="12"/>
    </row>
    <row r="1546" spans="1:1" x14ac:dyDescent="0.3">
      <c r="A1546" s="12"/>
    </row>
    <row r="1547" spans="1:1" x14ac:dyDescent="0.3">
      <c r="A1547" s="12"/>
    </row>
    <row r="1548" spans="1:1" x14ac:dyDescent="0.3">
      <c r="A1548" s="12"/>
    </row>
    <row r="1549" spans="1:1" x14ac:dyDescent="0.3">
      <c r="A1549" s="12"/>
    </row>
    <row r="1550" spans="1:1" x14ac:dyDescent="0.3">
      <c r="A1550" s="12"/>
    </row>
    <row r="1551" spans="1:1" x14ac:dyDescent="0.3">
      <c r="A1551" s="12"/>
    </row>
    <row r="1552" spans="1:1" x14ac:dyDescent="0.3">
      <c r="A1552" s="12"/>
    </row>
    <row r="1553" spans="1:1" x14ac:dyDescent="0.3">
      <c r="A1553" s="12"/>
    </row>
    <row r="1554" spans="1:1" x14ac:dyDescent="0.3">
      <c r="A1554" s="12"/>
    </row>
    <row r="1555" spans="1:1" x14ac:dyDescent="0.3">
      <c r="A1555" s="12"/>
    </row>
    <row r="1556" spans="1:1" x14ac:dyDescent="0.3">
      <c r="A1556" s="12"/>
    </row>
    <row r="1557" spans="1:1" x14ac:dyDescent="0.3">
      <c r="A1557" s="12"/>
    </row>
    <row r="1558" spans="1:1" x14ac:dyDescent="0.3">
      <c r="A1558" s="12"/>
    </row>
    <row r="1559" spans="1:1" x14ac:dyDescent="0.3">
      <c r="A1559" s="12"/>
    </row>
    <row r="1560" spans="1:1" x14ac:dyDescent="0.3">
      <c r="A1560" s="12"/>
    </row>
    <row r="1561" spans="1:1" x14ac:dyDescent="0.3">
      <c r="A1561" s="12"/>
    </row>
    <row r="1562" spans="1:1" x14ac:dyDescent="0.3">
      <c r="A1562" s="12"/>
    </row>
    <row r="1563" spans="1:1" x14ac:dyDescent="0.3">
      <c r="A1563" s="12"/>
    </row>
    <row r="1564" spans="1:1" x14ac:dyDescent="0.3">
      <c r="A1564" s="12"/>
    </row>
    <row r="1565" spans="1:1" x14ac:dyDescent="0.3">
      <c r="A1565" s="12"/>
    </row>
    <row r="1566" spans="1:1" x14ac:dyDescent="0.3">
      <c r="A1566" s="12"/>
    </row>
    <row r="1567" spans="1:1" x14ac:dyDescent="0.3">
      <c r="A1567" s="12"/>
    </row>
    <row r="1568" spans="1:1" x14ac:dyDescent="0.3">
      <c r="A1568" s="12"/>
    </row>
    <row r="1569" spans="1:1" x14ac:dyDescent="0.3">
      <c r="A1569" s="12"/>
    </row>
    <row r="1570" spans="1:1" x14ac:dyDescent="0.3">
      <c r="A1570" s="12"/>
    </row>
    <row r="1571" spans="1:1" x14ac:dyDescent="0.3">
      <c r="A1571" s="12"/>
    </row>
    <row r="1572" spans="1:1" x14ac:dyDescent="0.3">
      <c r="A1572" s="12"/>
    </row>
    <row r="1573" spans="1:1" x14ac:dyDescent="0.3">
      <c r="A1573" s="12"/>
    </row>
    <row r="1574" spans="1:1" x14ac:dyDescent="0.3">
      <c r="A1574" s="12"/>
    </row>
    <row r="1575" spans="1:1" x14ac:dyDescent="0.3">
      <c r="A1575" s="12"/>
    </row>
    <row r="1576" spans="1:1" x14ac:dyDescent="0.3">
      <c r="A1576" s="12"/>
    </row>
    <row r="1577" spans="1:1" x14ac:dyDescent="0.3">
      <c r="A1577" s="12"/>
    </row>
    <row r="1578" spans="1:1" x14ac:dyDescent="0.3">
      <c r="A1578" s="12"/>
    </row>
    <row r="1579" spans="1:1" x14ac:dyDescent="0.3">
      <c r="A1579" s="12"/>
    </row>
    <row r="1580" spans="1:1" x14ac:dyDescent="0.3">
      <c r="A1580" s="12"/>
    </row>
    <row r="1581" spans="1:1" x14ac:dyDescent="0.3">
      <c r="A1581" s="12"/>
    </row>
    <row r="1582" spans="1:1" x14ac:dyDescent="0.3">
      <c r="A1582" s="12"/>
    </row>
    <row r="1583" spans="1:1" x14ac:dyDescent="0.3">
      <c r="A1583" s="12"/>
    </row>
    <row r="1584" spans="1:1" x14ac:dyDescent="0.3">
      <c r="A1584" s="12"/>
    </row>
    <row r="1585" spans="1:1" x14ac:dyDescent="0.3">
      <c r="A1585" s="12"/>
    </row>
    <row r="1586" spans="1:1" x14ac:dyDescent="0.3">
      <c r="A1586" s="12"/>
    </row>
    <row r="1587" spans="1:1" x14ac:dyDescent="0.3">
      <c r="A1587" s="12"/>
    </row>
    <row r="1588" spans="1:1" x14ac:dyDescent="0.3">
      <c r="A1588" s="12"/>
    </row>
    <row r="1589" spans="1:1" x14ac:dyDescent="0.3">
      <c r="A1589" s="12"/>
    </row>
    <row r="1590" spans="1:1" x14ac:dyDescent="0.3">
      <c r="A1590" s="12"/>
    </row>
    <row r="1591" spans="1:1" x14ac:dyDescent="0.3">
      <c r="A1591" s="12"/>
    </row>
    <row r="1592" spans="1:1" x14ac:dyDescent="0.3">
      <c r="A1592" s="12"/>
    </row>
    <row r="1593" spans="1:1" x14ac:dyDescent="0.3">
      <c r="A1593" s="12"/>
    </row>
    <row r="1594" spans="1:1" x14ac:dyDescent="0.3">
      <c r="A1594" s="12"/>
    </row>
    <row r="1595" spans="1:1" x14ac:dyDescent="0.3">
      <c r="A1595" s="12"/>
    </row>
    <row r="1596" spans="1:1" x14ac:dyDescent="0.3">
      <c r="A1596" s="12"/>
    </row>
    <row r="1597" spans="1:1" x14ac:dyDescent="0.3">
      <c r="A1597" s="12"/>
    </row>
    <row r="1598" spans="1:1" x14ac:dyDescent="0.3">
      <c r="A1598" s="12"/>
    </row>
    <row r="1599" spans="1:1" x14ac:dyDescent="0.3">
      <c r="A1599" s="12"/>
    </row>
    <row r="1600" spans="1:1" x14ac:dyDescent="0.3">
      <c r="A1600" s="12"/>
    </row>
    <row r="1601" spans="1:1" x14ac:dyDescent="0.3">
      <c r="A1601" s="12"/>
    </row>
    <row r="1602" spans="1:1" x14ac:dyDescent="0.3">
      <c r="A1602" s="12"/>
    </row>
    <row r="1603" spans="1:1" x14ac:dyDescent="0.3">
      <c r="A1603" s="12"/>
    </row>
    <row r="1604" spans="1:1" x14ac:dyDescent="0.3">
      <c r="A1604" s="12"/>
    </row>
    <row r="1605" spans="1:1" x14ac:dyDescent="0.3">
      <c r="A1605" s="12"/>
    </row>
    <row r="1606" spans="1:1" x14ac:dyDescent="0.3">
      <c r="A1606" s="12"/>
    </row>
    <row r="1607" spans="1:1" x14ac:dyDescent="0.3">
      <c r="A1607" s="12"/>
    </row>
    <row r="1608" spans="1:1" x14ac:dyDescent="0.3">
      <c r="A1608" s="12"/>
    </row>
    <row r="1609" spans="1:1" x14ac:dyDescent="0.3">
      <c r="A1609" s="12"/>
    </row>
    <row r="1610" spans="1:1" x14ac:dyDescent="0.3">
      <c r="A1610" s="12"/>
    </row>
    <row r="1611" spans="1:1" x14ac:dyDescent="0.3">
      <c r="A1611" s="12"/>
    </row>
    <row r="1612" spans="1:1" x14ac:dyDescent="0.3">
      <c r="A1612" s="12"/>
    </row>
    <row r="1613" spans="1:1" x14ac:dyDescent="0.3">
      <c r="A1613" s="12"/>
    </row>
    <row r="1614" spans="1:1" x14ac:dyDescent="0.3">
      <c r="A1614" s="12"/>
    </row>
    <row r="1615" spans="1:1" x14ac:dyDescent="0.3">
      <c r="A1615" s="12"/>
    </row>
    <row r="1616" spans="1:1" x14ac:dyDescent="0.3">
      <c r="A1616" s="12"/>
    </row>
    <row r="1617" spans="1:1" x14ac:dyDescent="0.3">
      <c r="A1617" s="12"/>
    </row>
    <row r="1618" spans="1:1" x14ac:dyDescent="0.3">
      <c r="A1618" s="12"/>
    </row>
    <row r="1619" spans="1:1" x14ac:dyDescent="0.3">
      <c r="A1619" s="12"/>
    </row>
    <row r="1620" spans="1:1" x14ac:dyDescent="0.3">
      <c r="A1620" s="12"/>
    </row>
    <row r="1621" spans="1:1" x14ac:dyDescent="0.3">
      <c r="A1621" s="12"/>
    </row>
    <row r="1622" spans="1:1" x14ac:dyDescent="0.3">
      <c r="A1622" s="12"/>
    </row>
    <row r="1623" spans="1:1" x14ac:dyDescent="0.3">
      <c r="A1623" s="12"/>
    </row>
    <row r="1624" spans="1:1" x14ac:dyDescent="0.3">
      <c r="A1624" s="12"/>
    </row>
    <row r="1625" spans="1:1" x14ac:dyDescent="0.3">
      <c r="A1625" s="12"/>
    </row>
    <row r="1626" spans="1:1" x14ac:dyDescent="0.3">
      <c r="A1626" s="12"/>
    </row>
    <row r="1627" spans="1:1" x14ac:dyDescent="0.3">
      <c r="A1627" s="12"/>
    </row>
    <row r="1628" spans="1:1" x14ac:dyDescent="0.3">
      <c r="A1628" s="12"/>
    </row>
    <row r="1629" spans="1:1" x14ac:dyDescent="0.3">
      <c r="A1629" s="12"/>
    </row>
    <row r="1630" spans="1:1" x14ac:dyDescent="0.3">
      <c r="A1630" s="12"/>
    </row>
    <row r="1631" spans="1:1" x14ac:dyDescent="0.3">
      <c r="A1631" s="12"/>
    </row>
    <row r="1632" spans="1:1" x14ac:dyDescent="0.3">
      <c r="A1632" s="12"/>
    </row>
    <row r="1633" spans="1:1" x14ac:dyDescent="0.3">
      <c r="A1633" s="12"/>
    </row>
    <row r="1634" spans="1:1" x14ac:dyDescent="0.3">
      <c r="A1634" s="12"/>
    </row>
    <row r="1635" spans="1:1" x14ac:dyDescent="0.3">
      <c r="A1635" s="12"/>
    </row>
    <row r="1636" spans="1:1" x14ac:dyDescent="0.3">
      <c r="A1636" s="12"/>
    </row>
    <row r="1637" spans="1:1" x14ac:dyDescent="0.3">
      <c r="A1637" s="12"/>
    </row>
    <row r="1638" spans="1:1" x14ac:dyDescent="0.3">
      <c r="A1638" s="12"/>
    </row>
    <row r="1639" spans="1:1" x14ac:dyDescent="0.3">
      <c r="A1639" s="12"/>
    </row>
    <row r="1640" spans="1:1" x14ac:dyDescent="0.3">
      <c r="A1640" s="12"/>
    </row>
    <row r="1641" spans="1:1" x14ac:dyDescent="0.3">
      <c r="A1641" s="12"/>
    </row>
    <row r="1642" spans="1:1" x14ac:dyDescent="0.3">
      <c r="A1642" s="12"/>
    </row>
    <row r="1643" spans="1:1" x14ac:dyDescent="0.3">
      <c r="A1643" s="12"/>
    </row>
    <row r="1644" spans="1:1" x14ac:dyDescent="0.3">
      <c r="A1644" s="12"/>
    </row>
    <row r="1645" spans="1:1" x14ac:dyDescent="0.3">
      <c r="A1645" s="12"/>
    </row>
    <row r="1646" spans="1:1" x14ac:dyDescent="0.3">
      <c r="A1646" s="12"/>
    </row>
    <row r="1647" spans="1:1" x14ac:dyDescent="0.3">
      <c r="A1647" s="12"/>
    </row>
    <row r="1648" spans="1:1" x14ac:dyDescent="0.3">
      <c r="A1648" s="12"/>
    </row>
    <row r="1649" spans="1:1" x14ac:dyDescent="0.3">
      <c r="A1649" s="12"/>
    </row>
    <row r="1650" spans="1:1" x14ac:dyDescent="0.3">
      <c r="A1650" s="12"/>
    </row>
    <row r="1651" spans="1:1" x14ac:dyDescent="0.3">
      <c r="A1651" s="12"/>
    </row>
    <row r="1652" spans="1:1" x14ac:dyDescent="0.3">
      <c r="A1652" s="12"/>
    </row>
    <row r="1653" spans="1:1" x14ac:dyDescent="0.3">
      <c r="A1653" s="12"/>
    </row>
    <row r="1654" spans="1:1" x14ac:dyDescent="0.3">
      <c r="A1654" s="12"/>
    </row>
    <row r="1655" spans="1:1" x14ac:dyDescent="0.3">
      <c r="A1655" s="12"/>
    </row>
    <row r="1656" spans="1:1" x14ac:dyDescent="0.3">
      <c r="A1656" s="12"/>
    </row>
    <row r="1657" spans="1:1" x14ac:dyDescent="0.3">
      <c r="A1657" s="12"/>
    </row>
    <row r="1658" spans="1:1" x14ac:dyDescent="0.3">
      <c r="A1658" s="12"/>
    </row>
    <row r="1659" spans="1:1" x14ac:dyDescent="0.3">
      <c r="A1659" s="12"/>
    </row>
    <row r="1660" spans="1:1" x14ac:dyDescent="0.3">
      <c r="A1660" s="12"/>
    </row>
    <row r="1661" spans="1:1" x14ac:dyDescent="0.3">
      <c r="A1661" s="12"/>
    </row>
    <row r="1662" spans="1:1" x14ac:dyDescent="0.3">
      <c r="A1662" s="12"/>
    </row>
    <row r="1663" spans="1:1" x14ac:dyDescent="0.3">
      <c r="A1663" s="12"/>
    </row>
    <row r="1664" spans="1:1" x14ac:dyDescent="0.3">
      <c r="A1664" s="12"/>
    </row>
    <row r="1665" spans="1:1" x14ac:dyDescent="0.3">
      <c r="A1665" s="12"/>
    </row>
    <row r="1666" spans="1:1" x14ac:dyDescent="0.3">
      <c r="A1666" s="12"/>
    </row>
    <row r="1667" spans="1:1" x14ac:dyDescent="0.3">
      <c r="A1667" s="12"/>
    </row>
    <row r="1668" spans="1:1" x14ac:dyDescent="0.3">
      <c r="A1668" s="12"/>
    </row>
    <row r="1669" spans="1:1" x14ac:dyDescent="0.3">
      <c r="A1669" s="12"/>
    </row>
    <row r="1670" spans="1:1" x14ac:dyDescent="0.3">
      <c r="A1670" s="12"/>
    </row>
    <row r="1671" spans="1:1" x14ac:dyDescent="0.3">
      <c r="A1671" s="12"/>
    </row>
    <row r="1672" spans="1:1" x14ac:dyDescent="0.3">
      <c r="A1672" s="12"/>
    </row>
    <row r="1673" spans="1:1" x14ac:dyDescent="0.3">
      <c r="A1673" s="12"/>
    </row>
    <row r="1674" spans="1:1" x14ac:dyDescent="0.3">
      <c r="A1674" s="12"/>
    </row>
    <row r="1675" spans="1:1" x14ac:dyDescent="0.3">
      <c r="A1675" s="12"/>
    </row>
    <row r="1676" spans="1:1" x14ac:dyDescent="0.3">
      <c r="A1676" s="12"/>
    </row>
    <row r="1677" spans="1:1" x14ac:dyDescent="0.3">
      <c r="A1677" s="12"/>
    </row>
    <row r="1678" spans="1:1" x14ac:dyDescent="0.3">
      <c r="A1678" s="12"/>
    </row>
    <row r="1679" spans="1:1" x14ac:dyDescent="0.3">
      <c r="A1679" s="12"/>
    </row>
    <row r="1680" spans="1:1" x14ac:dyDescent="0.3">
      <c r="A1680" s="12"/>
    </row>
    <row r="1681" spans="1:1" x14ac:dyDescent="0.3">
      <c r="A1681" s="12"/>
    </row>
    <row r="1682" spans="1:1" x14ac:dyDescent="0.3">
      <c r="A1682" s="12"/>
    </row>
    <row r="1683" spans="1:1" x14ac:dyDescent="0.3">
      <c r="A1683" s="12"/>
    </row>
    <row r="1684" spans="1:1" x14ac:dyDescent="0.3">
      <c r="A1684" s="12"/>
    </row>
    <row r="1685" spans="1:1" x14ac:dyDescent="0.3">
      <c r="A1685" s="12"/>
    </row>
    <row r="1686" spans="1:1" x14ac:dyDescent="0.3">
      <c r="A1686" s="12"/>
    </row>
    <row r="1687" spans="1:1" x14ac:dyDescent="0.3">
      <c r="A1687" s="12"/>
    </row>
    <row r="1688" spans="1:1" x14ac:dyDescent="0.3">
      <c r="A1688" s="12"/>
    </row>
    <row r="1689" spans="1:1" x14ac:dyDescent="0.3">
      <c r="A1689" s="12"/>
    </row>
    <row r="1690" spans="1:1" x14ac:dyDescent="0.3">
      <c r="A1690" s="12"/>
    </row>
    <row r="1691" spans="1:1" x14ac:dyDescent="0.3">
      <c r="A1691" s="12"/>
    </row>
    <row r="1692" spans="1:1" x14ac:dyDescent="0.3">
      <c r="A1692" s="12"/>
    </row>
    <row r="1693" spans="1:1" x14ac:dyDescent="0.3">
      <c r="A1693" s="12"/>
    </row>
    <row r="1694" spans="1:1" x14ac:dyDescent="0.3">
      <c r="A1694" s="12"/>
    </row>
    <row r="1695" spans="1:1" x14ac:dyDescent="0.3">
      <c r="A1695" s="12"/>
    </row>
    <row r="1696" spans="1:1" x14ac:dyDescent="0.3">
      <c r="A1696" s="12"/>
    </row>
    <row r="1697" spans="1:1" x14ac:dyDescent="0.3">
      <c r="A1697" s="12"/>
    </row>
    <row r="1698" spans="1:1" x14ac:dyDescent="0.3">
      <c r="A1698" s="12"/>
    </row>
    <row r="1699" spans="1:1" x14ac:dyDescent="0.3">
      <c r="A1699" s="12"/>
    </row>
    <row r="1700" spans="1:1" x14ac:dyDescent="0.3">
      <c r="A1700" s="12"/>
    </row>
    <row r="1701" spans="1:1" x14ac:dyDescent="0.3">
      <c r="A1701" s="12"/>
    </row>
    <row r="1702" spans="1:1" x14ac:dyDescent="0.3">
      <c r="A1702" s="12"/>
    </row>
    <row r="1703" spans="1:1" x14ac:dyDescent="0.3">
      <c r="A1703" s="12"/>
    </row>
    <row r="1704" spans="1:1" x14ac:dyDescent="0.3">
      <c r="A1704" s="12"/>
    </row>
    <row r="1705" spans="1:1" x14ac:dyDescent="0.3">
      <c r="A1705" s="12"/>
    </row>
    <row r="1706" spans="1:1" x14ac:dyDescent="0.3">
      <c r="A1706" s="12"/>
    </row>
    <row r="1707" spans="1:1" x14ac:dyDescent="0.3">
      <c r="A1707" s="12"/>
    </row>
    <row r="1708" spans="1:1" x14ac:dyDescent="0.3">
      <c r="A1708" s="12"/>
    </row>
    <row r="1709" spans="1:1" x14ac:dyDescent="0.3">
      <c r="A1709" s="12"/>
    </row>
    <row r="1710" spans="1:1" x14ac:dyDescent="0.3">
      <c r="A1710" s="12"/>
    </row>
    <row r="1711" spans="1:1" x14ac:dyDescent="0.3">
      <c r="A1711" s="12"/>
    </row>
    <row r="1712" spans="1:1" x14ac:dyDescent="0.3">
      <c r="A1712" s="12"/>
    </row>
    <row r="1713" spans="1:1" x14ac:dyDescent="0.3">
      <c r="A1713" s="12"/>
    </row>
    <row r="1714" spans="1:1" x14ac:dyDescent="0.3">
      <c r="A1714" s="12"/>
    </row>
    <row r="1715" spans="1:1" x14ac:dyDescent="0.3">
      <c r="A1715" s="12"/>
    </row>
    <row r="1716" spans="1:1" x14ac:dyDescent="0.3">
      <c r="A1716" s="12"/>
    </row>
    <row r="1717" spans="1:1" x14ac:dyDescent="0.3">
      <c r="A1717" s="12"/>
    </row>
    <row r="1718" spans="1:1" x14ac:dyDescent="0.3">
      <c r="A1718" s="12"/>
    </row>
    <row r="1719" spans="1:1" x14ac:dyDescent="0.3">
      <c r="A1719" s="12"/>
    </row>
    <row r="1720" spans="1:1" x14ac:dyDescent="0.3">
      <c r="A1720" s="12"/>
    </row>
    <row r="1721" spans="1:1" x14ac:dyDescent="0.3">
      <c r="A1721" s="12"/>
    </row>
    <row r="1722" spans="1:1" x14ac:dyDescent="0.3">
      <c r="A1722" s="12"/>
    </row>
    <row r="1723" spans="1:1" x14ac:dyDescent="0.3">
      <c r="A1723" s="12"/>
    </row>
    <row r="1724" spans="1:1" x14ac:dyDescent="0.3">
      <c r="A1724" s="12"/>
    </row>
    <row r="1725" spans="1:1" x14ac:dyDescent="0.3">
      <c r="A1725" s="12"/>
    </row>
    <row r="1726" spans="1:1" x14ac:dyDescent="0.3">
      <c r="A1726" s="12"/>
    </row>
    <row r="1727" spans="1:1" x14ac:dyDescent="0.3">
      <c r="A1727" s="12"/>
    </row>
    <row r="1728" spans="1:1" x14ac:dyDescent="0.3">
      <c r="A1728" s="12"/>
    </row>
    <row r="1729" spans="1:1" x14ac:dyDescent="0.3">
      <c r="A1729" s="12"/>
    </row>
    <row r="1730" spans="1:1" x14ac:dyDescent="0.3">
      <c r="A1730" s="12"/>
    </row>
    <row r="1731" spans="1:1" x14ac:dyDescent="0.3">
      <c r="A1731" s="12"/>
    </row>
    <row r="1732" spans="1:1" x14ac:dyDescent="0.3">
      <c r="A1732" s="12"/>
    </row>
    <row r="1733" spans="1:1" x14ac:dyDescent="0.3">
      <c r="A1733" s="12"/>
    </row>
    <row r="1734" spans="1:1" x14ac:dyDescent="0.3">
      <c r="A1734" s="12"/>
    </row>
    <row r="1735" spans="1:1" x14ac:dyDescent="0.3">
      <c r="A1735" s="12"/>
    </row>
    <row r="1736" spans="1:1" x14ac:dyDescent="0.3">
      <c r="A1736" s="12"/>
    </row>
    <row r="1737" spans="1:1" x14ac:dyDescent="0.3">
      <c r="A1737" s="12"/>
    </row>
    <row r="1738" spans="1:1" x14ac:dyDescent="0.3">
      <c r="A1738" s="12"/>
    </row>
    <row r="1739" spans="1:1" x14ac:dyDescent="0.3">
      <c r="A1739" s="12"/>
    </row>
    <row r="1740" spans="1:1" x14ac:dyDescent="0.3">
      <c r="A1740" s="12"/>
    </row>
    <row r="1741" spans="1:1" x14ac:dyDescent="0.3">
      <c r="A1741" s="12"/>
    </row>
    <row r="1742" spans="1:1" x14ac:dyDescent="0.3">
      <c r="A1742" s="12"/>
    </row>
    <row r="1743" spans="1:1" x14ac:dyDescent="0.3">
      <c r="A1743" s="12"/>
    </row>
    <row r="1744" spans="1:1" x14ac:dyDescent="0.3">
      <c r="A1744" s="12"/>
    </row>
    <row r="1745" spans="1:1" x14ac:dyDescent="0.3">
      <c r="A1745" s="12"/>
    </row>
    <row r="1746" spans="1:1" x14ac:dyDescent="0.3">
      <c r="A1746" s="12"/>
    </row>
    <row r="1747" spans="1:1" x14ac:dyDescent="0.3">
      <c r="A1747" s="12"/>
    </row>
    <row r="1748" spans="1:1" x14ac:dyDescent="0.3">
      <c r="A1748" s="12"/>
    </row>
    <row r="1749" spans="1:1" x14ac:dyDescent="0.3">
      <c r="A1749" s="12"/>
    </row>
    <row r="1750" spans="1:1" x14ac:dyDescent="0.3">
      <c r="A1750" s="12"/>
    </row>
    <row r="1751" spans="1:1" x14ac:dyDescent="0.3">
      <c r="A1751" s="12"/>
    </row>
    <row r="1752" spans="1:1" x14ac:dyDescent="0.3">
      <c r="A1752" s="12"/>
    </row>
    <row r="1753" spans="1:1" x14ac:dyDescent="0.3">
      <c r="A1753" s="12"/>
    </row>
    <row r="1754" spans="1:1" x14ac:dyDescent="0.3">
      <c r="A1754" s="12"/>
    </row>
    <row r="1755" spans="1:1" x14ac:dyDescent="0.3">
      <c r="A1755" s="12"/>
    </row>
    <row r="1756" spans="1:1" x14ac:dyDescent="0.3">
      <c r="A1756" s="12"/>
    </row>
    <row r="1757" spans="1:1" x14ac:dyDescent="0.3">
      <c r="A1757" s="12"/>
    </row>
    <row r="1758" spans="1:1" x14ac:dyDescent="0.3">
      <c r="A1758" s="12"/>
    </row>
    <row r="1759" spans="1:1" x14ac:dyDescent="0.3">
      <c r="A1759" s="12"/>
    </row>
    <row r="1760" spans="1:1" x14ac:dyDescent="0.3">
      <c r="A1760" s="12"/>
    </row>
    <row r="1761" spans="1:1" x14ac:dyDescent="0.3">
      <c r="A1761" s="12"/>
    </row>
    <row r="1762" spans="1:1" x14ac:dyDescent="0.3">
      <c r="A1762" s="12"/>
    </row>
    <row r="1763" spans="1:1" x14ac:dyDescent="0.3">
      <c r="A1763" s="12"/>
    </row>
    <row r="1764" spans="1:1" x14ac:dyDescent="0.3">
      <c r="A1764" s="12"/>
    </row>
    <row r="1765" spans="1:1" x14ac:dyDescent="0.3">
      <c r="A1765" s="12"/>
    </row>
    <row r="1766" spans="1:1" x14ac:dyDescent="0.3">
      <c r="A1766" s="12"/>
    </row>
    <row r="1767" spans="1:1" x14ac:dyDescent="0.3">
      <c r="A1767" s="12"/>
    </row>
    <row r="1768" spans="1:1" x14ac:dyDescent="0.3">
      <c r="A1768" s="12"/>
    </row>
    <row r="1769" spans="1:1" x14ac:dyDescent="0.3">
      <c r="A1769" s="12"/>
    </row>
    <row r="1770" spans="1:1" x14ac:dyDescent="0.3">
      <c r="A1770" s="12"/>
    </row>
    <row r="1771" spans="1:1" x14ac:dyDescent="0.3">
      <c r="A1771" s="12"/>
    </row>
    <row r="1772" spans="1:1" x14ac:dyDescent="0.3">
      <c r="A1772" s="12"/>
    </row>
    <row r="1773" spans="1:1" x14ac:dyDescent="0.3">
      <c r="A1773" s="12"/>
    </row>
    <row r="1774" spans="1:1" x14ac:dyDescent="0.3">
      <c r="A1774" s="12"/>
    </row>
    <row r="1775" spans="1:1" x14ac:dyDescent="0.3">
      <c r="A1775" s="12"/>
    </row>
    <row r="1776" spans="1:1" x14ac:dyDescent="0.3">
      <c r="A1776" s="12"/>
    </row>
    <row r="1777" spans="1:1" x14ac:dyDescent="0.3">
      <c r="A1777" s="12"/>
    </row>
    <row r="1778" spans="1:1" x14ac:dyDescent="0.3">
      <c r="A1778" s="12"/>
    </row>
    <row r="1779" spans="1:1" x14ac:dyDescent="0.3">
      <c r="A1779" s="12"/>
    </row>
    <row r="1780" spans="1:1" x14ac:dyDescent="0.3">
      <c r="A1780" s="12"/>
    </row>
    <row r="1781" spans="1:1" x14ac:dyDescent="0.3">
      <c r="A1781" s="12"/>
    </row>
    <row r="1782" spans="1:1" x14ac:dyDescent="0.3">
      <c r="A1782" s="12"/>
    </row>
    <row r="1783" spans="1:1" x14ac:dyDescent="0.3">
      <c r="A1783" s="12"/>
    </row>
    <row r="1784" spans="1:1" x14ac:dyDescent="0.3">
      <c r="A1784" s="12"/>
    </row>
    <row r="1785" spans="1:1" x14ac:dyDescent="0.3">
      <c r="A1785" s="12"/>
    </row>
    <row r="1786" spans="1:1" x14ac:dyDescent="0.3">
      <c r="A1786" s="12"/>
    </row>
    <row r="1787" spans="1:1" x14ac:dyDescent="0.3">
      <c r="A1787" s="12"/>
    </row>
    <row r="1788" spans="1:1" x14ac:dyDescent="0.3">
      <c r="A1788" s="12"/>
    </row>
    <row r="1789" spans="1:1" x14ac:dyDescent="0.3">
      <c r="A1789" s="12"/>
    </row>
    <row r="1790" spans="1:1" x14ac:dyDescent="0.3">
      <c r="A1790" s="12"/>
    </row>
    <row r="1791" spans="1:1" x14ac:dyDescent="0.3">
      <c r="A1791" s="12"/>
    </row>
    <row r="1792" spans="1:1" x14ac:dyDescent="0.3">
      <c r="A1792" s="12"/>
    </row>
    <row r="1793" spans="1:1" x14ac:dyDescent="0.3">
      <c r="A1793" s="12"/>
    </row>
    <row r="1794" spans="1:1" x14ac:dyDescent="0.3">
      <c r="A1794" s="12"/>
    </row>
    <row r="1795" spans="1:1" x14ac:dyDescent="0.3">
      <c r="A1795" s="12"/>
    </row>
    <row r="1796" spans="1:1" x14ac:dyDescent="0.3">
      <c r="A1796" s="12"/>
    </row>
    <row r="1797" spans="1:1" x14ac:dyDescent="0.3">
      <c r="A1797" s="12"/>
    </row>
    <row r="1798" spans="1:1" x14ac:dyDescent="0.3">
      <c r="A1798" s="12"/>
    </row>
    <row r="1799" spans="1:1" x14ac:dyDescent="0.3">
      <c r="A1799" s="12"/>
    </row>
    <row r="1800" spans="1:1" x14ac:dyDescent="0.3">
      <c r="A1800" s="12"/>
    </row>
    <row r="1801" spans="1:1" x14ac:dyDescent="0.3">
      <c r="A1801" s="12"/>
    </row>
    <row r="1802" spans="1:1" x14ac:dyDescent="0.3">
      <c r="A1802" s="12"/>
    </row>
    <row r="1803" spans="1:1" x14ac:dyDescent="0.3">
      <c r="A1803" s="12"/>
    </row>
    <row r="1804" spans="1:1" x14ac:dyDescent="0.3">
      <c r="A1804" s="12"/>
    </row>
    <row r="1805" spans="1:1" x14ac:dyDescent="0.3">
      <c r="A1805" s="12"/>
    </row>
    <row r="1806" spans="1:1" x14ac:dyDescent="0.3">
      <c r="A1806" s="12"/>
    </row>
    <row r="1807" spans="1:1" x14ac:dyDescent="0.3">
      <c r="A1807" s="12"/>
    </row>
    <row r="1808" spans="1:1" x14ac:dyDescent="0.3">
      <c r="A1808" s="12"/>
    </row>
    <row r="1809" spans="1:1" x14ac:dyDescent="0.3">
      <c r="A1809" s="12"/>
    </row>
    <row r="1810" spans="1:1" x14ac:dyDescent="0.3">
      <c r="A1810" s="12"/>
    </row>
    <row r="1811" spans="1:1" x14ac:dyDescent="0.3">
      <c r="A1811" s="12"/>
    </row>
    <row r="1812" spans="1:1" x14ac:dyDescent="0.3">
      <c r="A1812" s="12"/>
    </row>
    <row r="1813" spans="1:1" x14ac:dyDescent="0.3">
      <c r="A1813" s="12"/>
    </row>
    <row r="1814" spans="1:1" x14ac:dyDescent="0.3">
      <c r="A1814" s="12"/>
    </row>
    <row r="1815" spans="1:1" x14ac:dyDescent="0.3">
      <c r="A1815" s="12"/>
    </row>
    <row r="1816" spans="1:1" x14ac:dyDescent="0.3">
      <c r="A1816" s="12"/>
    </row>
    <row r="1817" spans="1:1" x14ac:dyDescent="0.3">
      <c r="A1817" s="12"/>
    </row>
    <row r="1818" spans="1:1" x14ac:dyDescent="0.3">
      <c r="A1818" s="12"/>
    </row>
    <row r="1819" spans="1:1" x14ac:dyDescent="0.3">
      <c r="A1819" s="12"/>
    </row>
    <row r="1820" spans="1:1" x14ac:dyDescent="0.3">
      <c r="A1820" s="12"/>
    </row>
    <row r="1821" spans="1:1" x14ac:dyDescent="0.3">
      <c r="A1821" s="12"/>
    </row>
    <row r="1822" spans="1:1" x14ac:dyDescent="0.3">
      <c r="A1822" s="12"/>
    </row>
    <row r="1823" spans="1:1" x14ac:dyDescent="0.3">
      <c r="A1823" s="12"/>
    </row>
    <row r="1824" spans="1:1" x14ac:dyDescent="0.3">
      <c r="A1824" s="12"/>
    </row>
    <row r="1825" spans="1:1" x14ac:dyDescent="0.3">
      <c r="A1825" s="12"/>
    </row>
    <row r="1826" spans="1:1" x14ac:dyDescent="0.3">
      <c r="A1826" s="12"/>
    </row>
    <row r="1827" spans="1:1" x14ac:dyDescent="0.3">
      <c r="A1827" s="12"/>
    </row>
    <row r="1828" spans="1:1" x14ac:dyDescent="0.3">
      <c r="A1828" s="12"/>
    </row>
    <row r="1829" spans="1:1" x14ac:dyDescent="0.3">
      <c r="A1829" s="12"/>
    </row>
    <row r="1830" spans="1:1" x14ac:dyDescent="0.3">
      <c r="A1830" s="12"/>
    </row>
    <row r="1831" spans="1:1" x14ac:dyDescent="0.3">
      <c r="A1831" s="12"/>
    </row>
    <row r="1832" spans="1:1" x14ac:dyDescent="0.3">
      <c r="A1832" s="12"/>
    </row>
    <row r="1833" spans="1:1" x14ac:dyDescent="0.3">
      <c r="A1833" s="12"/>
    </row>
    <row r="1834" spans="1:1" x14ac:dyDescent="0.3">
      <c r="A1834" s="12"/>
    </row>
    <row r="1835" spans="1:1" x14ac:dyDescent="0.3">
      <c r="A1835" s="12"/>
    </row>
    <row r="1836" spans="1:1" x14ac:dyDescent="0.3">
      <c r="A1836" s="12"/>
    </row>
    <row r="1837" spans="1:1" x14ac:dyDescent="0.3">
      <c r="A1837" s="12"/>
    </row>
    <row r="1838" spans="1:1" x14ac:dyDescent="0.3">
      <c r="A1838" s="12"/>
    </row>
    <row r="1839" spans="1:1" x14ac:dyDescent="0.3">
      <c r="A1839" s="12"/>
    </row>
    <row r="1840" spans="1:1" x14ac:dyDescent="0.3">
      <c r="A1840" s="12"/>
    </row>
    <row r="1841" spans="1:1" x14ac:dyDescent="0.3">
      <c r="A1841" s="12"/>
    </row>
    <row r="1842" spans="1:1" x14ac:dyDescent="0.3">
      <c r="A1842" s="12"/>
    </row>
    <row r="1843" spans="1:1" x14ac:dyDescent="0.3">
      <c r="A1843" s="12"/>
    </row>
    <row r="1844" spans="1:1" x14ac:dyDescent="0.3">
      <c r="A1844" s="12"/>
    </row>
    <row r="1845" spans="1:1" x14ac:dyDescent="0.3">
      <c r="A1845" s="12"/>
    </row>
    <row r="1846" spans="1:1" x14ac:dyDescent="0.3">
      <c r="A1846" s="12"/>
    </row>
    <row r="1847" spans="1:1" x14ac:dyDescent="0.3">
      <c r="A1847" s="12"/>
    </row>
    <row r="1848" spans="1:1" x14ac:dyDescent="0.3">
      <c r="A1848" s="12"/>
    </row>
    <row r="1849" spans="1:1" x14ac:dyDescent="0.3">
      <c r="A1849" s="12"/>
    </row>
    <row r="1850" spans="1:1" x14ac:dyDescent="0.3">
      <c r="A1850" s="12"/>
    </row>
    <row r="1851" spans="1:1" x14ac:dyDescent="0.3">
      <c r="A1851" s="12"/>
    </row>
    <row r="1852" spans="1:1" x14ac:dyDescent="0.3">
      <c r="A1852" s="12"/>
    </row>
    <row r="1853" spans="1:1" x14ac:dyDescent="0.3">
      <c r="A1853" s="12"/>
    </row>
    <row r="1854" spans="1:1" x14ac:dyDescent="0.3">
      <c r="A1854" s="12"/>
    </row>
    <row r="1855" spans="1:1" x14ac:dyDescent="0.3">
      <c r="A1855" s="12"/>
    </row>
    <row r="1856" spans="1:1" x14ac:dyDescent="0.3">
      <c r="A1856" s="12"/>
    </row>
    <row r="1857" spans="1:1" x14ac:dyDescent="0.3">
      <c r="A1857" s="12"/>
    </row>
    <row r="1858" spans="1:1" x14ac:dyDescent="0.3">
      <c r="A1858" s="12"/>
    </row>
    <row r="1859" spans="1:1" x14ac:dyDescent="0.3">
      <c r="A1859" s="12"/>
    </row>
    <row r="1860" spans="1:1" x14ac:dyDescent="0.3">
      <c r="A1860" s="12"/>
    </row>
    <row r="1861" spans="1:1" x14ac:dyDescent="0.3">
      <c r="A1861" s="12"/>
    </row>
    <row r="1862" spans="1:1" x14ac:dyDescent="0.3">
      <c r="A1862" s="12"/>
    </row>
    <row r="1863" spans="1:1" x14ac:dyDescent="0.3">
      <c r="A1863" s="12"/>
    </row>
    <row r="1864" spans="1:1" x14ac:dyDescent="0.3">
      <c r="A1864" s="12"/>
    </row>
    <row r="1865" spans="1:1" x14ac:dyDescent="0.3">
      <c r="A1865" s="12"/>
    </row>
    <row r="1866" spans="1:1" x14ac:dyDescent="0.3">
      <c r="A1866" s="12"/>
    </row>
    <row r="1867" spans="1:1" x14ac:dyDescent="0.3">
      <c r="A1867" s="12"/>
    </row>
    <row r="1868" spans="1:1" x14ac:dyDescent="0.3">
      <c r="A1868" s="12"/>
    </row>
    <row r="1869" spans="1:1" x14ac:dyDescent="0.3">
      <c r="A1869" s="12"/>
    </row>
    <row r="1870" spans="1:1" x14ac:dyDescent="0.3">
      <c r="A1870" s="12"/>
    </row>
    <row r="1871" spans="1:1" x14ac:dyDescent="0.3">
      <c r="A1871" s="12"/>
    </row>
    <row r="1872" spans="1:1" x14ac:dyDescent="0.3">
      <c r="A1872" s="12"/>
    </row>
    <row r="1873" spans="1:1" x14ac:dyDescent="0.3">
      <c r="A1873" s="12"/>
    </row>
    <row r="1874" spans="1:1" x14ac:dyDescent="0.3">
      <c r="A1874" s="12"/>
    </row>
    <row r="1875" spans="1:1" x14ac:dyDescent="0.3">
      <c r="A1875" s="12"/>
    </row>
    <row r="1876" spans="1:1" x14ac:dyDescent="0.3">
      <c r="A1876" s="12"/>
    </row>
    <row r="1877" spans="1:1" x14ac:dyDescent="0.3">
      <c r="A1877" s="12"/>
    </row>
    <row r="1878" spans="1:1" x14ac:dyDescent="0.3">
      <c r="A1878" s="12"/>
    </row>
    <row r="1879" spans="1:1" x14ac:dyDescent="0.3">
      <c r="A1879" s="12"/>
    </row>
    <row r="1880" spans="1:1" x14ac:dyDescent="0.3">
      <c r="A1880" s="12"/>
    </row>
    <row r="1881" spans="1:1" x14ac:dyDescent="0.3">
      <c r="A1881" s="12"/>
    </row>
    <row r="1882" spans="1:1" x14ac:dyDescent="0.3">
      <c r="A1882" s="12"/>
    </row>
    <row r="1883" spans="1:1" x14ac:dyDescent="0.3">
      <c r="A1883" s="12"/>
    </row>
    <row r="1884" spans="1:1" x14ac:dyDescent="0.3">
      <c r="A1884" s="12"/>
    </row>
    <row r="1885" spans="1:1" x14ac:dyDescent="0.3">
      <c r="A1885" s="12"/>
    </row>
    <row r="1886" spans="1:1" x14ac:dyDescent="0.3">
      <c r="A1886" s="12"/>
    </row>
    <row r="1887" spans="1:1" x14ac:dyDescent="0.3">
      <c r="A1887" s="12"/>
    </row>
    <row r="1888" spans="1:1" x14ac:dyDescent="0.3">
      <c r="A1888" s="12"/>
    </row>
    <row r="1889" spans="1:1" x14ac:dyDescent="0.3">
      <c r="A1889" s="12"/>
    </row>
    <row r="1890" spans="1:1" x14ac:dyDescent="0.3">
      <c r="A1890" s="12"/>
    </row>
    <row r="1891" spans="1:1" x14ac:dyDescent="0.3">
      <c r="A1891" s="12"/>
    </row>
    <row r="1892" spans="1:1" x14ac:dyDescent="0.3">
      <c r="A1892" s="12"/>
    </row>
    <row r="1893" spans="1:1" x14ac:dyDescent="0.3">
      <c r="A1893" s="12"/>
    </row>
    <row r="1894" spans="1:1" x14ac:dyDescent="0.3">
      <c r="A1894" s="12"/>
    </row>
    <row r="1895" spans="1:1" x14ac:dyDescent="0.3">
      <c r="A1895" s="12"/>
    </row>
    <row r="1896" spans="1:1" x14ac:dyDescent="0.3">
      <c r="A1896" s="12"/>
    </row>
    <row r="1897" spans="1:1" x14ac:dyDescent="0.3">
      <c r="A1897" s="12"/>
    </row>
    <row r="1898" spans="1:1" x14ac:dyDescent="0.3">
      <c r="A1898" s="12"/>
    </row>
    <row r="1899" spans="1:1" x14ac:dyDescent="0.3">
      <c r="A1899" s="12"/>
    </row>
    <row r="1900" spans="1:1" x14ac:dyDescent="0.3">
      <c r="A1900" s="12"/>
    </row>
    <row r="1901" spans="1:1" x14ac:dyDescent="0.3">
      <c r="A1901" s="12"/>
    </row>
    <row r="1902" spans="1:1" x14ac:dyDescent="0.3">
      <c r="A1902" s="12"/>
    </row>
    <row r="1903" spans="1:1" x14ac:dyDescent="0.3">
      <c r="A1903" s="12"/>
    </row>
    <row r="1904" spans="1:1" x14ac:dyDescent="0.3">
      <c r="A1904" s="12"/>
    </row>
    <row r="1905" spans="1:1" x14ac:dyDescent="0.3">
      <c r="A1905" s="12"/>
    </row>
    <row r="1906" spans="1:1" x14ac:dyDescent="0.3">
      <c r="A1906" s="12"/>
    </row>
    <row r="1907" spans="1:1" x14ac:dyDescent="0.3">
      <c r="A1907" s="12"/>
    </row>
    <row r="1908" spans="1:1" x14ac:dyDescent="0.3">
      <c r="A1908" s="12"/>
    </row>
    <row r="1909" spans="1:1" x14ac:dyDescent="0.3">
      <c r="A1909" s="12"/>
    </row>
    <row r="1910" spans="1:1" x14ac:dyDescent="0.3">
      <c r="A1910" s="12"/>
    </row>
    <row r="1911" spans="1:1" x14ac:dyDescent="0.3">
      <c r="A1911" s="12"/>
    </row>
    <row r="1912" spans="1:1" x14ac:dyDescent="0.3">
      <c r="A1912" s="12"/>
    </row>
    <row r="1913" spans="1:1" x14ac:dyDescent="0.3">
      <c r="A1913" s="12"/>
    </row>
    <row r="1914" spans="1:1" x14ac:dyDescent="0.3">
      <c r="A1914" s="12"/>
    </row>
    <row r="1915" spans="1:1" x14ac:dyDescent="0.3">
      <c r="A1915" s="12"/>
    </row>
    <row r="1916" spans="1:1" x14ac:dyDescent="0.3">
      <c r="A1916" s="12"/>
    </row>
    <row r="1917" spans="1:1" x14ac:dyDescent="0.3">
      <c r="A1917" s="12"/>
    </row>
    <row r="1918" spans="1:1" x14ac:dyDescent="0.3">
      <c r="A1918" s="12"/>
    </row>
    <row r="1919" spans="1:1" x14ac:dyDescent="0.3">
      <c r="A1919" s="12"/>
    </row>
    <row r="1920" spans="1:1" x14ac:dyDescent="0.3">
      <c r="A1920" s="12"/>
    </row>
    <row r="1921" spans="1:1" x14ac:dyDescent="0.3">
      <c r="A1921" s="12"/>
    </row>
    <row r="1922" spans="1:1" x14ac:dyDescent="0.3">
      <c r="A1922" s="12"/>
    </row>
    <row r="1923" spans="1:1" x14ac:dyDescent="0.3">
      <c r="A1923" s="12"/>
    </row>
    <row r="1924" spans="1:1" x14ac:dyDescent="0.3">
      <c r="A1924" s="12"/>
    </row>
    <row r="1925" spans="1:1" x14ac:dyDescent="0.3">
      <c r="A1925" s="12"/>
    </row>
    <row r="1926" spans="1:1" x14ac:dyDescent="0.3">
      <c r="A1926" s="12"/>
    </row>
    <row r="1927" spans="1:1" x14ac:dyDescent="0.3">
      <c r="A1927" s="12"/>
    </row>
    <row r="1928" spans="1:1" x14ac:dyDescent="0.3">
      <c r="A1928" s="12"/>
    </row>
    <row r="1929" spans="1:1" x14ac:dyDescent="0.3">
      <c r="A1929" s="12"/>
    </row>
    <row r="1930" spans="1:1" x14ac:dyDescent="0.3">
      <c r="A1930" s="12"/>
    </row>
    <row r="1931" spans="1:1" x14ac:dyDescent="0.3">
      <c r="A1931" s="12"/>
    </row>
    <row r="1932" spans="1:1" x14ac:dyDescent="0.3">
      <c r="A1932" s="12"/>
    </row>
    <row r="1933" spans="1:1" x14ac:dyDescent="0.3">
      <c r="A1933" s="12"/>
    </row>
    <row r="1934" spans="1:1" x14ac:dyDescent="0.3">
      <c r="A1934" s="12"/>
    </row>
    <row r="1935" spans="1:1" x14ac:dyDescent="0.3">
      <c r="A1935" s="12"/>
    </row>
    <row r="1936" spans="1:1" x14ac:dyDescent="0.3">
      <c r="A1936" s="12"/>
    </row>
    <row r="1937" spans="1:1" x14ac:dyDescent="0.3">
      <c r="A1937" s="12"/>
    </row>
    <row r="1938" spans="1:1" x14ac:dyDescent="0.3">
      <c r="A1938" s="12"/>
    </row>
    <row r="1939" spans="1:1" x14ac:dyDescent="0.3">
      <c r="A1939" s="12"/>
    </row>
    <row r="1940" spans="1:1" x14ac:dyDescent="0.3">
      <c r="A1940" s="12"/>
    </row>
    <row r="1941" spans="1:1" x14ac:dyDescent="0.3">
      <c r="A1941" s="12"/>
    </row>
    <row r="1942" spans="1:1" x14ac:dyDescent="0.3">
      <c r="A1942" s="12"/>
    </row>
    <row r="1943" spans="1:1" x14ac:dyDescent="0.3">
      <c r="A1943" s="12"/>
    </row>
    <row r="1944" spans="1:1" x14ac:dyDescent="0.3">
      <c r="A1944" s="12"/>
    </row>
    <row r="1945" spans="1:1" x14ac:dyDescent="0.3">
      <c r="A1945" s="12"/>
    </row>
    <row r="1946" spans="1:1" x14ac:dyDescent="0.3">
      <c r="A1946" s="12"/>
    </row>
    <row r="1947" spans="1:1" x14ac:dyDescent="0.3">
      <c r="A1947" s="12"/>
    </row>
    <row r="1948" spans="1:1" x14ac:dyDescent="0.3">
      <c r="A1948" s="12"/>
    </row>
    <row r="1949" spans="1:1" x14ac:dyDescent="0.3">
      <c r="A1949" s="12"/>
    </row>
    <row r="1950" spans="1:1" x14ac:dyDescent="0.3">
      <c r="A1950" s="12"/>
    </row>
    <row r="1951" spans="1:1" x14ac:dyDescent="0.3">
      <c r="A1951" s="12"/>
    </row>
    <row r="1952" spans="1:1" x14ac:dyDescent="0.3">
      <c r="A1952" s="12"/>
    </row>
    <row r="1953" spans="1:1" x14ac:dyDescent="0.3">
      <c r="A1953" s="12"/>
    </row>
    <row r="1954" spans="1:1" x14ac:dyDescent="0.3">
      <c r="A1954" s="12"/>
    </row>
    <row r="1955" spans="1:1" x14ac:dyDescent="0.3">
      <c r="A1955" s="12"/>
    </row>
    <row r="1956" spans="1:1" x14ac:dyDescent="0.3">
      <c r="A1956" s="12"/>
    </row>
    <row r="1957" spans="1:1" x14ac:dyDescent="0.3">
      <c r="A1957" s="12"/>
    </row>
    <row r="1958" spans="1:1" x14ac:dyDescent="0.3">
      <c r="A1958" s="12"/>
    </row>
    <row r="1959" spans="1:1" x14ac:dyDescent="0.3">
      <c r="A1959" s="12"/>
    </row>
    <row r="1960" spans="1:1" x14ac:dyDescent="0.3">
      <c r="A1960" s="12"/>
    </row>
    <row r="1961" spans="1:1" x14ac:dyDescent="0.3">
      <c r="A1961" s="12"/>
    </row>
    <row r="1962" spans="1:1" x14ac:dyDescent="0.3">
      <c r="A1962" s="12"/>
    </row>
    <row r="1963" spans="1:1" x14ac:dyDescent="0.3">
      <c r="A1963" s="12"/>
    </row>
    <row r="1964" spans="1:1" x14ac:dyDescent="0.3">
      <c r="A1964" s="12"/>
    </row>
    <row r="1965" spans="1:1" x14ac:dyDescent="0.3">
      <c r="A1965" s="12"/>
    </row>
    <row r="1966" spans="1:1" x14ac:dyDescent="0.3">
      <c r="A1966" s="12"/>
    </row>
    <row r="1967" spans="1:1" x14ac:dyDescent="0.3">
      <c r="A1967" s="12"/>
    </row>
    <row r="1968" spans="1:1" x14ac:dyDescent="0.3">
      <c r="A1968" s="12"/>
    </row>
    <row r="1969" spans="1:1" x14ac:dyDescent="0.3">
      <c r="A1969" s="12"/>
    </row>
    <row r="1970" spans="1:1" x14ac:dyDescent="0.3">
      <c r="A1970" s="12"/>
    </row>
    <row r="1971" spans="1:1" x14ac:dyDescent="0.3">
      <c r="A1971" s="12"/>
    </row>
    <row r="1972" spans="1:1" x14ac:dyDescent="0.3">
      <c r="A1972" s="12"/>
    </row>
    <row r="1973" spans="1:1" x14ac:dyDescent="0.3">
      <c r="A1973" s="12"/>
    </row>
    <row r="1974" spans="1:1" x14ac:dyDescent="0.3">
      <c r="A1974" s="12"/>
    </row>
    <row r="1975" spans="1:1" x14ac:dyDescent="0.3">
      <c r="A1975" s="12"/>
    </row>
    <row r="1976" spans="1:1" x14ac:dyDescent="0.3">
      <c r="A1976" s="12"/>
    </row>
    <row r="1977" spans="1:1" x14ac:dyDescent="0.3">
      <c r="A1977" s="12"/>
    </row>
    <row r="1978" spans="1:1" x14ac:dyDescent="0.3">
      <c r="A1978" s="12"/>
    </row>
    <row r="1979" spans="1:1" x14ac:dyDescent="0.3">
      <c r="A1979" s="12"/>
    </row>
    <row r="1980" spans="1:1" x14ac:dyDescent="0.3">
      <c r="A1980" s="12"/>
    </row>
    <row r="1981" spans="1:1" x14ac:dyDescent="0.3">
      <c r="A1981" s="12"/>
    </row>
    <row r="1982" spans="1:1" x14ac:dyDescent="0.3">
      <c r="A1982" s="12"/>
    </row>
    <row r="1983" spans="1:1" x14ac:dyDescent="0.3">
      <c r="A1983" s="12"/>
    </row>
    <row r="1984" spans="1:1" x14ac:dyDescent="0.3">
      <c r="A1984" s="12"/>
    </row>
    <row r="1985" spans="1:1" x14ac:dyDescent="0.3">
      <c r="A1985" s="12"/>
    </row>
    <row r="1986" spans="1:1" x14ac:dyDescent="0.3">
      <c r="A1986" s="12"/>
    </row>
    <row r="1987" spans="1:1" x14ac:dyDescent="0.3">
      <c r="A1987" s="12"/>
    </row>
    <row r="1988" spans="1:1" x14ac:dyDescent="0.3">
      <c r="A1988" s="12"/>
    </row>
    <row r="1989" spans="1:1" x14ac:dyDescent="0.3">
      <c r="A1989" s="12"/>
    </row>
    <row r="1990" spans="1:1" x14ac:dyDescent="0.3">
      <c r="A1990" s="12"/>
    </row>
    <row r="1991" spans="1:1" x14ac:dyDescent="0.3">
      <c r="A1991" s="12"/>
    </row>
    <row r="1992" spans="1:1" x14ac:dyDescent="0.3">
      <c r="A1992" s="12"/>
    </row>
    <row r="1993" spans="1:1" x14ac:dyDescent="0.3">
      <c r="A1993" s="12"/>
    </row>
    <row r="1994" spans="1:1" x14ac:dyDescent="0.3">
      <c r="A1994" s="12"/>
    </row>
    <row r="1995" spans="1:1" x14ac:dyDescent="0.3">
      <c r="A1995" s="12"/>
    </row>
    <row r="1996" spans="1:1" x14ac:dyDescent="0.3">
      <c r="A1996" s="12"/>
    </row>
    <row r="1997" spans="1:1" x14ac:dyDescent="0.3">
      <c r="A1997" s="12"/>
    </row>
    <row r="1998" spans="1:1" x14ac:dyDescent="0.3">
      <c r="A1998" s="12"/>
    </row>
    <row r="1999" spans="1:1" x14ac:dyDescent="0.3">
      <c r="A1999" s="12"/>
    </row>
    <row r="2000" spans="1:1" x14ac:dyDescent="0.3">
      <c r="A2000" s="12"/>
    </row>
    <row r="2001" spans="1:1" x14ac:dyDescent="0.3">
      <c r="A2001" s="12"/>
    </row>
    <row r="2002" spans="1:1" x14ac:dyDescent="0.3">
      <c r="A2002" s="12"/>
    </row>
    <row r="2003" spans="1:1" x14ac:dyDescent="0.3">
      <c r="A2003" s="12"/>
    </row>
    <row r="2004" spans="1:1" x14ac:dyDescent="0.3">
      <c r="A2004" s="12"/>
    </row>
    <row r="2005" spans="1:1" x14ac:dyDescent="0.3">
      <c r="A2005" s="12"/>
    </row>
    <row r="2006" spans="1:1" x14ac:dyDescent="0.3">
      <c r="A2006" s="12"/>
    </row>
    <row r="2007" spans="1:1" x14ac:dyDescent="0.3">
      <c r="A2007" s="12"/>
    </row>
    <row r="2008" spans="1:1" x14ac:dyDescent="0.3">
      <c r="A2008" s="12"/>
    </row>
    <row r="2009" spans="1:1" x14ac:dyDescent="0.3">
      <c r="A2009" s="12"/>
    </row>
    <row r="2010" spans="1:1" x14ac:dyDescent="0.3">
      <c r="A2010" s="12"/>
    </row>
    <row r="2011" spans="1:1" x14ac:dyDescent="0.3">
      <c r="A2011" s="12"/>
    </row>
    <row r="2012" spans="1:1" x14ac:dyDescent="0.3">
      <c r="A2012" s="12"/>
    </row>
    <row r="2013" spans="1:1" x14ac:dyDescent="0.3">
      <c r="A2013" s="12"/>
    </row>
    <row r="2014" spans="1:1" x14ac:dyDescent="0.3">
      <c r="A2014" s="12"/>
    </row>
    <row r="2015" spans="1:1" x14ac:dyDescent="0.3">
      <c r="A2015" s="12"/>
    </row>
    <row r="2016" spans="1:1" x14ac:dyDescent="0.3">
      <c r="A2016" s="12"/>
    </row>
    <row r="2017" spans="1:1" x14ac:dyDescent="0.3">
      <c r="A2017" s="12"/>
    </row>
    <row r="2018" spans="1:1" x14ac:dyDescent="0.3">
      <c r="A2018" s="12"/>
    </row>
    <row r="2019" spans="1:1" x14ac:dyDescent="0.3">
      <c r="A2019" s="12"/>
    </row>
    <row r="2020" spans="1:1" x14ac:dyDescent="0.3">
      <c r="A2020" s="12"/>
    </row>
    <row r="2021" spans="1:1" x14ac:dyDescent="0.3">
      <c r="A2021" s="12"/>
    </row>
    <row r="2022" spans="1:1" x14ac:dyDescent="0.3">
      <c r="A2022" s="12"/>
    </row>
    <row r="2023" spans="1:1" x14ac:dyDescent="0.3">
      <c r="A2023" s="12"/>
    </row>
    <row r="2024" spans="1:1" x14ac:dyDescent="0.3">
      <c r="A2024" s="12"/>
    </row>
    <row r="2025" spans="1:1" x14ac:dyDescent="0.3">
      <c r="A2025" s="12"/>
    </row>
    <row r="2026" spans="1:1" x14ac:dyDescent="0.3">
      <c r="A2026" s="12"/>
    </row>
    <row r="2027" spans="1:1" x14ac:dyDescent="0.3">
      <c r="A2027" s="12"/>
    </row>
    <row r="2028" spans="1:1" x14ac:dyDescent="0.3">
      <c r="A2028" s="12"/>
    </row>
    <row r="2029" spans="1:1" x14ac:dyDescent="0.3">
      <c r="A2029" s="12"/>
    </row>
    <row r="2030" spans="1:1" x14ac:dyDescent="0.3">
      <c r="A2030" s="12"/>
    </row>
    <row r="2031" spans="1:1" x14ac:dyDescent="0.3">
      <c r="A2031" s="12"/>
    </row>
    <row r="2032" spans="1:1" x14ac:dyDescent="0.3">
      <c r="A2032" s="12"/>
    </row>
    <row r="2033" spans="1:1" x14ac:dyDescent="0.3">
      <c r="A2033" s="12"/>
    </row>
    <row r="2034" spans="1:1" x14ac:dyDescent="0.3">
      <c r="A2034" s="12"/>
    </row>
    <row r="2035" spans="1:1" x14ac:dyDescent="0.3">
      <c r="A2035" s="12"/>
    </row>
    <row r="2036" spans="1:1" x14ac:dyDescent="0.3">
      <c r="A2036" s="12"/>
    </row>
    <row r="2037" spans="1:1" x14ac:dyDescent="0.3">
      <c r="A2037" s="12"/>
    </row>
    <row r="2038" spans="1:1" x14ac:dyDescent="0.3">
      <c r="A2038" s="12"/>
    </row>
    <row r="2039" spans="1:1" x14ac:dyDescent="0.3">
      <c r="A2039" s="12"/>
    </row>
    <row r="2040" spans="1:1" x14ac:dyDescent="0.3">
      <c r="A2040" s="12"/>
    </row>
    <row r="2041" spans="1:1" x14ac:dyDescent="0.3">
      <c r="A2041" s="12"/>
    </row>
    <row r="2042" spans="1:1" x14ac:dyDescent="0.3">
      <c r="A2042" s="12"/>
    </row>
    <row r="2043" spans="1:1" x14ac:dyDescent="0.3">
      <c r="A2043" s="12"/>
    </row>
    <row r="2044" spans="1:1" x14ac:dyDescent="0.3">
      <c r="A2044" s="12"/>
    </row>
    <row r="2045" spans="1:1" x14ac:dyDescent="0.3">
      <c r="A2045" s="12"/>
    </row>
    <row r="2046" spans="1:1" x14ac:dyDescent="0.3">
      <c r="A2046" s="12"/>
    </row>
    <row r="2047" spans="1:1" x14ac:dyDescent="0.3">
      <c r="A2047" s="12"/>
    </row>
    <row r="2048" spans="1:1" x14ac:dyDescent="0.3">
      <c r="A2048" s="12"/>
    </row>
    <row r="2049" spans="1:1" x14ac:dyDescent="0.3">
      <c r="A2049" s="12"/>
    </row>
    <row r="2050" spans="1:1" x14ac:dyDescent="0.3">
      <c r="A2050" s="12"/>
    </row>
    <row r="2051" spans="1:1" x14ac:dyDescent="0.3">
      <c r="A2051" s="12"/>
    </row>
    <row r="2052" spans="1:1" x14ac:dyDescent="0.3">
      <c r="A2052" s="12"/>
    </row>
    <row r="2053" spans="1:1" x14ac:dyDescent="0.3">
      <c r="A2053" s="12"/>
    </row>
    <row r="2054" spans="1:1" x14ac:dyDescent="0.3">
      <c r="A2054" s="12"/>
    </row>
    <row r="2055" spans="1:1" x14ac:dyDescent="0.3">
      <c r="A2055" s="12"/>
    </row>
    <row r="2056" spans="1:1" x14ac:dyDescent="0.3">
      <c r="A2056" s="12"/>
    </row>
    <row r="2057" spans="1:1" x14ac:dyDescent="0.3">
      <c r="A2057" s="12"/>
    </row>
    <row r="2058" spans="1:1" x14ac:dyDescent="0.3">
      <c r="A2058" s="12"/>
    </row>
    <row r="2059" spans="1:1" x14ac:dyDescent="0.3">
      <c r="A2059" s="12"/>
    </row>
    <row r="2060" spans="1:1" x14ac:dyDescent="0.3">
      <c r="A2060" s="12"/>
    </row>
    <row r="2061" spans="1:1" x14ac:dyDescent="0.3">
      <c r="A2061" s="12"/>
    </row>
    <row r="2062" spans="1:1" x14ac:dyDescent="0.3">
      <c r="A2062" s="12"/>
    </row>
    <row r="2063" spans="1:1" x14ac:dyDescent="0.3">
      <c r="A2063" s="12"/>
    </row>
    <row r="2064" spans="1:1" x14ac:dyDescent="0.3">
      <c r="A2064" s="12"/>
    </row>
    <row r="2065" spans="1:1" x14ac:dyDescent="0.3">
      <c r="A2065" s="12"/>
    </row>
    <row r="2066" spans="1:1" x14ac:dyDescent="0.3">
      <c r="A2066" s="12"/>
    </row>
    <row r="2067" spans="1:1" x14ac:dyDescent="0.3">
      <c r="A2067" s="12"/>
    </row>
    <row r="2068" spans="1:1" x14ac:dyDescent="0.3">
      <c r="A2068" s="12"/>
    </row>
    <row r="2069" spans="1:1" x14ac:dyDescent="0.3">
      <c r="A2069" s="12"/>
    </row>
    <row r="2070" spans="1:1" x14ac:dyDescent="0.3">
      <c r="A2070" s="12"/>
    </row>
    <row r="2071" spans="1:1" x14ac:dyDescent="0.3">
      <c r="A2071" s="12"/>
    </row>
    <row r="2072" spans="1:1" x14ac:dyDescent="0.3">
      <c r="A2072" s="12"/>
    </row>
    <row r="2073" spans="1:1" x14ac:dyDescent="0.3">
      <c r="A2073" s="12"/>
    </row>
    <row r="2074" spans="1:1" x14ac:dyDescent="0.3">
      <c r="A2074" s="12"/>
    </row>
    <row r="2075" spans="1:1" x14ac:dyDescent="0.3">
      <c r="A2075" s="12"/>
    </row>
    <row r="2076" spans="1:1" x14ac:dyDescent="0.3">
      <c r="A2076" s="12"/>
    </row>
    <row r="2077" spans="1:1" x14ac:dyDescent="0.3">
      <c r="A2077" s="12"/>
    </row>
    <row r="2078" spans="1:1" x14ac:dyDescent="0.3">
      <c r="A2078" s="12"/>
    </row>
    <row r="2079" spans="1:1" x14ac:dyDescent="0.3">
      <c r="A2079" s="12"/>
    </row>
    <row r="2080" spans="1:1" x14ac:dyDescent="0.3">
      <c r="A2080" s="12"/>
    </row>
    <row r="2081" spans="1:1" x14ac:dyDescent="0.3">
      <c r="A2081" s="12"/>
    </row>
    <row r="2082" spans="1:1" x14ac:dyDescent="0.3">
      <c r="A2082" s="12"/>
    </row>
    <row r="2083" spans="1:1" x14ac:dyDescent="0.3">
      <c r="A2083" s="12"/>
    </row>
    <row r="2084" spans="1:1" x14ac:dyDescent="0.3">
      <c r="A2084" s="12"/>
    </row>
    <row r="2085" spans="1:1" x14ac:dyDescent="0.3">
      <c r="A2085" s="12"/>
    </row>
    <row r="2086" spans="1:1" x14ac:dyDescent="0.3">
      <c r="A2086" s="12"/>
    </row>
    <row r="2087" spans="1:1" x14ac:dyDescent="0.3">
      <c r="A2087" s="12"/>
    </row>
    <row r="2088" spans="1:1" x14ac:dyDescent="0.3">
      <c r="A2088" s="12"/>
    </row>
    <row r="2089" spans="1:1" x14ac:dyDescent="0.3">
      <c r="A2089" s="12"/>
    </row>
    <row r="2090" spans="1:1" x14ac:dyDescent="0.3">
      <c r="A2090" s="12"/>
    </row>
    <row r="2091" spans="1:1" x14ac:dyDescent="0.3">
      <c r="A2091" s="12"/>
    </row>
    <row r="2092" spans="1:1" x14ac:dyDescent="0.3">
      <c r="A2092" s="12"/>
    </row>
    <row r="2093" spans="1:1" x14ac:dyDescent="0.3">
      <c r="A2093" s="12"/>
    </row>
    <row r="2094" spans="1:1" x14ac:dyDescent="0.3">
      <c r="A2094" s="12"/>
    </row>
    <row r="2095" spans="1:1" x14ac:dyDescent="0.3">
      <c r="A2095" s="12"/>
    </row>
    <row r="2096" spans="1:1" x14ac:dyDescent="0.3">
      <c r="A2096" s="12"/>
    </row>
    <row r="2097" spans="1:1" x14ac:dyDescent="0.3">
      <c r="A2097" s="12"/>
    </row>
    <row r="2098" spans="1:1" x14ac:dyDescent="0.3">
      <c r="A2098" s="12"/>
    </row>
    <row r="2099" spans="1:1" x14ac:dyDescent="0.3">
      <c r="A2099" s="12"/>
    </row>
    <row r="2100" spans="1:1" x14ac:dyDescent="0.3">
      <c r="A2100" s="12"/>
    </row>
    <row r="2101" spans="1:1" x14ac:dyDescent="0.3">
      <c r="A2101" s="12"/>
    </row>
    <row r="2102" spans="1:1" x14ac:dyDescent="0.3">
      <c r="A2102" s="12"/>
    </row>
    <row r="2103" spans="1:1" x14ac:dyDescent="0.3">
      <c r="A2103" s="12"/>
    </row>
    <row r="2104" spans="1:1" x14ac:dyDescent="0.3">
      <c r="A2104" s="12"/>
    </row>
    <row r="2105" spans="1:1" x14ac:dyDescent="0.3">
      <c r="A2105" s="12"/>
    </row>
    <row r="2106" spans="1:1" x14ac:dyDescent="0.3">
      <c r="A2106" s="12"/>
    </row>
    <row r="2107" spans="1:1" x14ac:dyDescent="0.3">
      <c r="A2107" s="12"/>
    </row>
    <row r="2108" spans="1:1" x14ac:dyDescent="0.3">
      <c r="A2108" s="12"/>
    </row>
    <row r="2109" spans="1:1" x14ac:dyDescent="0.3">
      <c r="A2109" s="12"/>
    </row>
    <row r="2110" spans="1:1" x14ac:dyDescent="0.3">
      <c r="A2110" s="12"/>
    </row>
    <row r="2111" spans="1:1" x14ac:dyDescent="0.3">
      <c r="A2111" s="12"/>
    </row>
    <row r="2112" spans="1:1" x14ac:dyDescent="0.3">
      <c r="A2112" s="12"/>
    </row>
    <row r="2113" spans="1:1" x14ac:dyDescent="0.3">
      <c r="A2113" s="12"/>
    </row>
    <row r="2114" spans="1:1" x14ac:dyDescent="0.3">
      <c r="A2114" s="12"/>
    </row>
    <row r="2115" spans="1:1" x14ac:dyDescent="0.3">
      <c r="A2115" s="12"/>
    </row>
    <row r="2116" spans="1:1" x14ac:dyDescent="0.3">
      <c r="A2116" s="12"/>
    </row>
    <row r="2117" spans="1:1" x14ac:dyDescent="0.3">
      <c r="A2117" s="12"/>
    </row>
    <row r="2118" spans="1:1" x14ac:dyDescent="0.3">
      <c r="A2118" s="12"/>
    </row>
    <row r="2119" spans="1:1" x14ac:dyDescent="0.3">
      <c r="A2119" s="12"/>
    </row>
    <row r="2120" spans="1:1" x14ac:dyDescent="0.3">
      <c r="A2120" s="12"/>
    </row>
    <row r="2121" spans="1:1" x14ac:dyDescent="0.3">
      <c r="A2121" s="12"/>
    </row>
    <row r="2122" spans="1:1" x14ac:dyDescent="0.3">
      <c r="A2122" s="12"/>
    </row>
    <row r="2123" spans="1:1" x14ac:dyDescent="0.3">
      <c r="A2123" s="12"/>
    </row>
    <row r="2124" spans="1:1" x14ac:dyDescent="0.3">
      <c r="A2124" s="12"/>
    </row>
    <row r="2125" spans="1:1" x14ac:dyDescent="0.3">
      <c r="A2125" s="12"/>
    </row>
    <row r="2126" spans="1:1" x14ac:dyDescent="0.3">
      <c r="A2126" s="12"/>
    </row>
    <row r="2127" spans="1:1" x14ac:dyDescent="0.3">
      <c r="A2127" s="12"/>
    </row>
    <row r="2128" spans="1:1" x14ac:dyDescent="0.3">
      <c r="A2128" s="12"/>
    </row>
    <row r="2129" spans="1:1" x14ac:dyDescent="0.3">
      <c r="A2129" s="12"/>
    </row>
    <row r="2130" spans="1:1" x14ac:dyDescent="0.3">
      <c r="A2130" s="12"/>
    </row>
    <row r="2131" spans="1:1" x14ac:dyDescent="0.3">
      <c r="A2131" s="12"/>
    </row>
    <row r="2132" spans="1:1" x14ac:dyDescent="0.3">
      <c r="A2132" s="12"/>
    </row>
    <row r="2133" spans="1:1" x14ac:dyDescent="0.3">
      <c r="A2133" s="12"/>
    </row>
    <row r="2134" spans="1:1" x14ac:dyDescent="0.3">
      <c r="A2134" s="12"/>
    </row>
    <row r="2135" spans="1:1" x14ac:dyDescent="0.3">
      <c r="A2135" s="12"/>
    </row>
    <row r="2136" spans="1:1" x14ac:dyDescent="0.3">
      <c r="A2136" s="12"/>
    </row>
    <row r="2137" spans="1:1" x14ac:dyDescent="0.3">
      <c r="A2137" s="12"/>
    </row>
    <row r="2138" spans="1:1" x14ac:dyDescent="0.3">
      <c r="A2138" s="12"/>
    </row>
    <row r="2139" spans="1:1" x14ac:dyDescent="0.3">
      <c r="A2139" s="12"/>
    </row>
    <row r="2140" spans="1:1" x14ac:dyDescent="0.3">
      <c r="A2140" s="12"/>
    </row>
    <row r="2141" spans="1:1" x14ac:dyDescent="0.3">
      <c r="A2141" s="12"/>
    </row>
    <row r="2142" spans="1:1" x14ac:dyDescent="0.3">
      <c r="A2142" s="12"/>
    </row>
    <row r="2143" spans="1:1" x14ac:dyDescent="0.3">
      <c r="A2143" s="12"/>
    </row>
    <row r="2144" spans="1:1" x14ac:dyDescent="0.3">
      <c r="A2144" s="12"/>
    </row>
    <row r="2145" spans="1:1" x14ac:dyDescent="0.3">
      <c r="A2145" s="12"/>
    </row>
    <row r="2146" spans="1:1" x14ac:dyDescent="0.3">
      <c r="A2146" s="12"/>
    </row>
    <row r="2147" spans="1:1" x14ac:dyDescent="0.3">
      <c r="A2147" s="12"/>
    </row>
    <row r="2148" spans="1:1" x14ac:dyDescent="0.3">
      <c r="A2148" s="12"/>
    </row>
    <row r="2149" spans="1:1" x14ac:dyDescent="0.3">
      <c r="A2149" s="12"/>
    </row>
    <row r="2150" spans="1:1" x14ac:dyDescent="0.3">
      <c r="A2150" s="12"/>
    </row>
    <row r="2151" spans="1:1" x14ac:dyDescent="0.3">
      <c r="A2151" s="12"/>
    </row>
    <row r="2152" spans="1:1" x14ac:dyDescent="0.3">
      <c r="A2152" s="12"/>
    </row>
    <row r="2153" spans="1:1" x14ac:dyDescent="0.3">
      <c r="A2153" s="12"/>
    </row>
    <row r="2154" spans="1:1" x14ac:dyDescent="0.3">
      <c r="A2154" s="12"/>
    </row>
    <row r="2155" spans="1:1" x14ac:dyDescent="0.3">
      <c r="A2155" s="12"/>
    </row>
    <row r="2156" spans="1:1" x14ac:dyDescent="0.3">
      <c r="A2156" s="12"/>
    </row>
    <row r="2157" spans="1:1" x14ac:dyDescent="0.3">
      <c r="A2157" s="12"/>
    </row>
    <row r="2158" spans="1:1" x14ac:dyDescent="0.3">
      <c r="A2158" s="12"/>
    </row>
    <row r="2159" spans="1:1" x14ac:dyDescent="0.3">
      <c r="A2159" s="12"/>
    </row>
    <row r="2160" spans="1:1" x14ac:dyDescent="0.3">
      <c r="A2160" s="12"/>
    </row>
    <row r="2161" spans="1:1" x14ac:dyDescent="0.3">
      <c r="A2161" s="12"/>
    </row>
    <row r="2162" spans="1:1" x14ac:dyDescent="0.3">
      <c r="A2162" s="12"/>
    </row>
    <row r="2163" spans="1:1" x14ac:dyDescent="0.3">
      <c r="A2163" s="12"/>
    </row>
    <row r="2164" spans="1:1" x14ac:dyDescent="0.3">
      <c r="A2164" s="12"/>
    </row>
    <row r="2165" spans="1:1" x14ac:dyDescent="0.3">
      <c r="A2165" s="12"/>
    </row>
    <row r="2166" spans="1:1" x14ac:dyDescent="0.3">
      <c r="A2166" s="12"/>
    </row>
    <row r="2167" spans="1:1" x14ac:dyDescent="0.3">
      <c r="A2167" s="12"/>
    </row>
    <row r="2168" spans="1:1" x14ac:dyDescent="0.3">
      <c r="A2168" s="12"/>
    </row>
    <row r="2169" spans="1:1" x14ac:dyDescent="0.3">
      <c r="A2169" s="12"/>
    </row>
    <row r="2170" spans="1:1" x14ac:dyDescent="0.3">
      <c r="A2170" s="12"/>
    </row>
    <row r="2171" spans="1:1" x14ac:dyDescent="0.3">
      <c r="A2171" s="12"/>
    </row>
    <row r="2172" spans="1:1" x14ac:dyDescent="0.3">
      <c r="A2172" s="12"/>
    </row>
    <row r="2173" spans="1:1" x14ac:dyDescent="0.3">
      <c r="A2173" s="12"/>
    </row>
    <row r="2174" spans="1:1" x14ac:dyDescent="0.3">
      <c r="A2174" s="12"/>
    </row>
    <row r="2175" spans="1:1" x14ac:dyDescent="0.3">
      <c r="A2175" s="12"/>
    </row>
    <row r="2176" spans="1:1" x14ac:dyDescent="0.3">
      <c r="A2176" s="12"/>
    </row>
    <row r="2177" spans="1:1" x14ac:dyDescent="0.3">
      <c r="A2177" s="12"/>
    </row>
    <row r="2178" spans="1:1" x14ac:dyDescent="0.3">
      <c r="A2178" s="12"/>
    </row>
    <row r="2179" spans="1:1" x14ac:dyDescent="0.3">
      <c r="A2179" s="12"/>
    </row>
    <row r="2180" spans="1:1" x14ac:dyDescent="0.3">
      <c r="A2180" s="12"/>
    </row>
    <row r="2181" spans="1:1" x14ac:dyDescent="0.3">
      <c r="A2181" s="12"/>
    </row>
    <row r="2182" spans="1:1" x14ac:dyDescent="0.3">
      <c r="A2182" s="12"/>
    </row>
    <row r="2183" spans="1:1" x14ac:dyDescent="0.3">
      <c r="A2183" s="12"/>
    </row>
    <row r="2184" spans="1:1" x14ac:dyDescent="0.3">
      <c r="A2184" s="12"/>
    </row>
    <row r="2185" spans="1:1" x14ac:dyDescent="0.3">
      <c r="A2185" s="12"/>
    </row>
    <row r="2186" spans="1:1" x14ac:dyDescent="0.3">
      <c r="A2186" s="12"/>
    </row>
    <row r="2187" spans="1:1" x14ac:dyDescent="0.3">
      <c r="A2187" s="12"/>
    </row>
    <row r="2188" spans="1:1" x14ac:dyDescent="0.3">
      <c r="A2188" s="12"/>
    </row>
    <row r="2189" spans="1:1" x14ac:dyDescent="0.3">
      <c r="A2189" s="12"/>
    </row>
    <row r="2190" spans="1:1" x14ac:dyDescent="0.3">
      <c r="A2190" s="12"/>
    </row>
    <row r="2191" spans="1:1" x14ac:dyDescent="0.3">
      <c r="A2191" s="12"/>
    </row>
    <row r="2192" spans="1:1" x14ac:dyDescent="0.3">
      <c r="A2192" s="12"/>
    </row>
    <row r="2193" spans="1:1" x14ac:dyDescent="0.3">
      <c r="A2193" s="12"/>
    </row>
    <row r="2194" spans="1:1" x14ac:dyDescent="0.3">
      <c r="A2194" s="12"/>
    </row>
    <row r="2195" spans="1:1" x14ac:dyDescent="0.3">
      <c r="A2195" s="12"/>
    </row>
    <row r="2196" spans="1:1" x14ac:dyDescent="0.3">
      <c r="A2196" s="12"/>
    </row>
    <row r="2197" spans="1:1" x14ac:dyDescent="0.3">
      <c r="A2197" s="12"/>
    </row>
    <row r="2198" spans="1:1" x14ac:dyDescent="0.3">
      <c r="A2198" s="12"/>
    </row>
    <row r="2199" spans="1:1" x14ac:dyDescent="0.3">
      <c r="A2199" s="12"/>
    </row>
    <row r="2200" spans="1:1" x14ac:dyDescent="0.3">
      <c r="A2200" s="12"/>
    </row>
    <row r="2201" spans="1:1" x14ac:dyDescent="0.3">
      <c r="A2201" s="12"/>
    </row>
    <row r="2202" spans="1:1" x14ac:dyDescent="0.3">
      <c r="A2202" s="12"/>
    </row>
    <row r="2203" spans="1:1" x14ac:dyDescent="0.3">
      <c r="A2203" s="12"/>
    </row>
    <row r="2204" spans="1:1" x14ac:dyDescent="0.3">
      <c r="A2204" s="12"/>
    </row>
    <row r="2205" spans="1:1" x14ac:dyDescent="0.3">
      <c r="A2205" s="12"/>
    </row>
    <row r="2206" spans="1:1" x14ac:dyDescent="0.3">
      <c r="A2206" s="12"/>
    </row>
    <row r="2207" spans="1:1" x14ac:dyDescent="0.3">
      <c r="A2207" s="12"/>
    </row>
    <row r="2208" spans="1:1" x14ac:dyDescent="0.3">
      <c r="A2208" s="12"/>
    </row>
    <row r="2209" spans="1:1" x14ac:dyDescent="0.3">
      <c r="A2209" s="12"/>
    </row>
    <row r="2210" spans="1:1" x14ac:dyDescent="0.3">
      <c r="A2210" s="12"/>
    </row>
    <row r="2211" spans="1:1" x14ac:dyDescent="0.3">
      <c r="A2211" s="12"/>
    </row>
    <row r="2212" spans="1:1" x14ac:dyDescent="0.3">
      <c r="A2212" s="12"/>
    </row>
    <row r="2213" spans="1:1" x14ac:dyDescent="0.3">
      <c r="A2213" s="12"/>
    </row>
    <row r="2214" spans="1:1" x14ac:dyDescent="0.3">
      <c r="A2214" s="12"/>
    </row>
    <row r="2215" spans="1:1" x14ac:dyDescent="0.3">
      <c r="A2215" s="12"/>
    </row>
    <row r="2216" spans="1:1" x14ac:dyDescent="0.3">
      <c r="A2216" s="12"/>
    </row>
    <row r="2217" spans="1:1" x14ac:dyDescent="0.3">
      <c r="A2217" s="12"/>
    </row>
    <row r="2218" spans="1:1" x14ac:dyDescent="0.3">
      <c r="A2218" s="12"/>
    </row>
    <row r="2219" spans="1:1" x14ac:dyDescent="0.3">
      <c r="A2219" s="12"/>
    </row>
    <row r="2220" spans="1:1" x14ac:dyDescent="0.3">
      <c r="A2220" s="12"/>
    </row>
    <row r="2221" spans="1:1" x14ac:dyDescent="0.3">
      <c r="A2221" s="12"/>
    </row>
    <row r="2222" spans="1:1" x14ac:dyDescent="0.3">
      <c r="A2222" s="12"/>
    </row>
    <row r="2223" spans="1:1" x14ac:dyDescent="0.3">
      <c r="A2223" s="12"/>
    </row>
    <row r="2224" spans="1:1" x14ac:dyDescent="0.3">
      <c r="A2224" s="12"/>
    </row>
    <row r="2225" spans="1:1" x14ac:dyDescent="0.3">
      <c r="A2225" s="12"/>
    </row>
    <row r="2226" spans="1:1" x14ac:dyDescent="0.3">
      <c r="A2226" s="12"/>
    </row>
    <row r="2227" spans="1:1" x14ac:dyDescent="0.3">
      <c r="A2227" s="12"/>
    </row>
    <row r="2228" spans="1:1" x14ac:dyDescent="0.3">
      <c r="A2228" s="12"/>
    </row>
    <row r="2229" spans="1:1" x14ac:dyDescent="0.3">
      <c r="A2229" s="12"/>
    </row>
    <row r="2230" spans="1:1" x14ac:dyDescent="0.3">
      <c r="A2230" s="12"/>
    </row>
    <row r="2231" spans="1:1" x14ac:dyDescent="0.3">
      <c r="A2231" s="12"/>
    </row>
    <row r="2232" spans="1:1" x14ac:dyDescent="0.3">
      <c r="A2232" s="12"/>
    </row>
    <row r="2233" spans="1:1" x14ac:dyDescent="0.3">
      <c r="A2233" s="12"/>
    </row>
    <row r="2234" spans="1:1" x14ac:dyDescent="0.3">
      <c r="A2234" s="12"/>
    </row>
    <row r="2235" spans="1:1" x14ac:dyDescent="0.3">
      <c r="A2235" s="12"/>
    </row>
    <row r="2236" spans="1:1" x14ac:dyDescent="0.3">
      <c r="A2236" s="12"/>
    </row>
    <row r="2237" spans="1:1" x14ac:dyDescent="0.3">
      <c r="A2237" s="12"/>
    </row>
    <row r="2238" spans="1:1" x14ac:dyDescent="0.3">
      <c r="A2238" s="12"/>
    </row>
    <row r="2239" spans="1:1" x14ac:dyDescent="0.3">
      <c r="A2239" s="12"/>
    </row>
    <row r="2240" spans="1:1" x14ac:dyDescent="0.3">
      <c r="A2240" s="12"/>
    </row>
    <row r="2241" spans="1:1" x14ac:dyDescent="0.3">
      <c r="A2241" s="12"/>
    </row>
    <row r="2242" spans="1:1" x14ac:dyDescent="0.3">
      <c r="A2242" s="12"/>
    </row>
    <row r="2243" spans="1:1" x14ac:dyDescent="0.3">
      <c r="A2243" s="12"/>
    </row>
    <row r="2244" spans="1:1" x14ac:dyDescent="0.3">
      <c r="A2244" s="12"/>
    </row>
    <row r="2245" spans="1:1" x14ac:dyDescent="0.3">
      <c r="A2245" s="12"/>
    </row>
    <row r="2246" spans="1:1" x14ac:dyDescent="0.3">
      <c r="A2246" s="12"/>
    </row>
    <row r="2247" spans="1:1" x14ac:dyDescent="0.3">
      <c r="A2247" s="12"/>
    </row>
    <row r="2248" spans="1:1" x14ac:dyDescent="0.3">
      <c r="A2248" s="12"/>
    </row>
    <row r="2249" spans="1:1" x14ac:dyDescent="0.3">
      <c r="A2249" s="12"/>
    </row>
    <row r="2250" spans="1:1" x14ac:dyDescent="0.3">
      <c r="A2250" s="12"/>
    </row>
    <row r="2251" spans="1:1" x14ac:dyDescent="0.3">
      <c r="A2251" s="12"/>
    </row>
    <row r="2252" spans="1:1" x14ac:dyDescent="0.3">
      <c r="A2252" s="12"/>
    </row>
    <row r="2253" spans="1:1" x14ac:dyDescent="0.3">
      <c r="A2253" s="12"/>
    </row>
    <row r="2254" spans="1:1" x14ac:dyDescent="0.3">
      <c r="A2254" s="12"/>
    </row>
    <row r="2255" spans="1:1" x14ac:dyDescent="0.3">
      <c r="A2255" s="12"/>
    </row>
    <row r="2256" spans="1:1" x14ac:dyDescent="0.3">
      <c r="A2256" s="12"/>
    </row>
    <row r="2257" spans="1:1" x14ac:dyDescent="0.3">
      <c r="A2257" s="12"/>
    </row>
    <row r="2258" spans="1:1" x14ac:dyDescent="0.3">
      <c r="A2258" s="12"/>
    </row>
    <row r="2259" spans="1:1" x14ac:dyDescent="0.3">
      <c r="A2259" s="12"/>
    </row>
    <row r="2260" spans="1:1" x14ac:dyDescent="0.3">
      <c r="A2260" s="12"/>
    </row>
    <row r="2261" spans="1:1" x14ac:dyDescent="0.3">
      <c r="A2261" s="12"/>
    </row>
    <row r="2262" spans="1:1" x14ac:dyDescent="0.3">
      <c r="A2262" s="12"/>
    </row>
    <row r="2263" spans="1:1" x14ac:dyDescent="0.3">
      <c r="A2263" s="12"/>
    </row>
    <row r="2264" spans="1:1" x14ac:dyDescent="0.3">
      <c r="A2264" s="12"/>
    </row>
    <row r="2265" spans="1:1" x14ac:dyDescent="0.3">
      <c r="A2265" s="12"/>
    </row>
    <row r="2266" spans="1:1" x14ac:dyDescent="0.3">
      <c r="A2266" s="12"/>
    </row>
    <row r="2267" spans="1:1" x14ac:dyDescent="0.3">
      <c r="A2267" s="12"/>
    </row>
    <row r="2268" spans="1:1" x14ac:dyDescent="0.3">
      <c r="A2268" s="12"/>
    </row>
    <row r="2269" spans="1:1" x14ac:dyDescent="0.3">
      <c r="A2269" s="12"/>
    </row>
    <row r="2270" spans="1:1" x14ac:dyDescent="0.3">
      <c r="A2270" s="12"/>
    </row>
    <row r="2271" spans="1:1" x14ac:dyDescent="0.3">
      <c r="A2271" s="12"/>
    </row>
    <row r="2272" spans="1:1" x14ac:dyDescent="0.3">
      <c r="A2272" s="12"/>
    </row>
    <row r="2273" spans="1:1" x14ac:dyDescent="0.3">
      <c r="A2273" s="12"/>
    </row>
    <row r="2274" spans="1:1" x14ac:dyDescent="0.3">
      <c r="A2274" s="12"/>
    </row>
    <row r="2275" spans="1:1" x14ac:dyDescent="0.3">
      <c r="A2275" s="12"/>
    </row>
    <row r="2276" spans="1:1" x14ac:dyDescent="0.3">
      <c r="A2276" s="12"/>
    </row>
    <row r="2277" spans="1:1" x14ac:dyDescent="0.3">
      <c r="A2277" s="12"/>
    </row>
    <row r="2278" spans="1:1" x14ac:dyDescent="0.3">
      <c r="A2278" s="12"/>
    </row>
    <row r="2279" spans="1:1" x14ac:dyDescent="0.3">
      <c r="A2279" s="12"/>
    </row>
    <row r="2280" spans="1:1" x14ac:dyDescent="0.3">
      <c r="A2280" s="12"/>
    </row>
    <row r="2281" spans="1:1" x14ac:dyDescent="0.3">
      <c r="A2281" s="12"/>
    </row>
    <row r="2282" spans="1:1" x14ac:dyDescent="0.3">
      <c r="A2282" s="12"/>
    </row>
    <row r="2283" spans="1:1" x14ac:dyDescent="0.3">
      <c r="A2283" s="12"/>
    </row>
    <row r="2284" spans="1:1" x14ac:dyDescent="0.3">
      <c r="A2284" s="12"/>
    </row>
    <row r="2285" spans="1:1" x14ac:dyDescent="0.3">
      <c r="A2285" s="12"/>
    </row>
    <row r="2286" spans="1:1" x14ac:dyDescent="0.3">
      <c r="A2286" s="12"/>
    </row>
    <row r="2287" spans="1:1" x14ac:dyDescent="0.3">
      <c r="A2287" s="12"/>
    </row>
    <row r="2288" spans="1:1" x14ac:dyDescent="0.3">
      <c r="A2288" s="12"/>
    </row>
    <row r="2289" spans="1:1" x14ac:dyDescent="0.3">
      <c r="A2289" s="12"/>
    </row>
    <row r="2290" spans="1:1" x14ac:dyDescent="0.3">
      <c r="A2290" s="12"/>
    </row>
    <row r="2291" spans="1:1" x14ac:dyDescent="0.3">
      <c r="A2291" s="12"/>
    </row>
    <row r="2292" spans="1:1" x14ac:dyDescent="0.3">
      <c r="A2292" s="12"/>
    </row>
    <row r="2293" spans="1:1" x14ac:dyDescent="0.3">
      <c r="A2293" s="12"/>
    </row>
    <row r="2294" spans="1:1" x14ac:dyDescent="0.3">
      <c r="A2294" s="12"/>
    </row>
    <row r="2295" spans="1:1" x14ac:dyDescent="0.3">
      <c r="A2295" s="12"/>
    </row>
    <row r="2296" spans="1:1" x14ac:dyDescent="0.3">
      <c r="A2296" s="12"/>
    </row>
    <row r="2297" spans="1:1" x14ac:dyDescent="0.3">
      <c r="A2297" s="12"/>
    </row>
    <row r="2298" spans="1:1" x14ac:dyDescent="0.3">
      <c r="A2298" s="12"/>
    </row>
    <row r="2299" spans="1:1" x14ac:dyDescent="0.3">
      <c r="A2299" s="12"/>
    </row>
    <row r="2300" spans="1:1" x14ac:dyDescent="0.3">
      <c r="A2300" s="12"/>
    </row>
    <row r="2301" spans="1:1" x14ac:dyDescent="0.3">
      <c r="A2301" s="12"/>
    </row>
    <row r="2302" spans="1:1" x14ac:dyDescent="0.3">
      <c r="A2302" s="12"/>
    </row>
    <row r="2303" spans="1:1" x14ac:dyDescent="0.3">
      <c r="A2303" s="12"/>
    </row>
    <row r="2304" spans="1:1" x14ac:dyDescent="0.3">
      <c r="A2304" s="12"/>
    </row>
    <row r="2305" spans="1:1" x14ac:dyDescent="0.3">
      <c r="A2305" s="12"/>
    </row>
    <row r="2306" spans="1:1" x14ac:dyDescent="0.3">
      <c r="A2306" s="12"/>
    </row>
    <row r="2307" spans="1:1" x14ac:dyDescent="0.3">
      <c r="A2307" s="12"/>
    </row>
    <row r="2308" spans="1:1" x14ac:dyDescent="0.3">
      <c r="A2308" s="12"/>
    </row>
    <row r="2309" spans="1:1" x14ac:dyDescent="0.3">
      <c r="A2309" s="12"/>
    </row>
    <row r="2310" spans="1:1" x14ac:dyDescent="0.3">
      <c r="A2310" s="12"/>
    </row>
    <row r="2311" spans="1:1" x14ac:dyDescent="0.3">
      <c r="A2311" s="12"/>
    </row>
    <row r="2312" spans="1:1" x14ac:dyDescent="0.3">
      <c r="A2312" s="12"/>
    </row>
    <row r="2313" spans="1:1" x14ac:dyDescent="0.3">
      <c r="A2313" s="12"/>
    </row>
    <row r="2314" spans="1:1" x14ac:dyDescent="0.3">
      <c r="A2314" s="12"/>
    </row>
    <row r="2315" spans="1:1" x14ac:dyDescent="0.3">
      <c r="A2315" s="12"/>
    </row>
    <row r="2316" spans="1:1" x14ac:dyDescent="0.3">
      <c r="A2316" s="12"/>
    </row>
    <row r="2317" spans="1:1" x14ac:dyDescent="0.3">
      <c r="A2317" s="12"/>
    </row>
    <row r="2318" spans="1:1" x14ac:dyDescent="0.3">
      <c r="A2318" s="12"/>
    </row>
    <row r="2319" spans="1:1" x14ac:dyDescent="0.3">
      <c r="A2319" s="12"/>
    </row>
    <row r="2320" spans="1:1" x14ac:dyDescent="0.3">
      <c r="A2320" s="12"/>
    </row>
    <row r="2321" spans="1:1" x14ac:dyDescent="0.3">
      <c r="A2321" s="12"/>
    </row>
    <row r="2322" spans="1:1" x14ac:dyDescent="0.3">
      <c r="A2322" s="12"/>
    </row>
    <row r="2323" spans="1:1" x14ac:dyDescent="0.3">
      <c r="A2323" s="12"/>
    </row>
    <row r="2324" spans="1:1" x14ac:dyDescent="0.3">
      <c r="A2324" s="12"/>
    </row>
    <row r="2325" spans="1:1" x14ac:dyDescent="0.3">
      <c r="A2325" s="12"/>
    </row>
    <row r="2326" spans="1:1" x14ac:dyDescent="0.3">
      <c r="A2326" s="12"/>
    </row>
    <row r="2327" spans="1:1" x14ac:dyDescent="0.3">
      <c r="A2327" s="12"/>
    </row>
    <row r="2328" spans="1:1" x14ac:dyDescent="0.3">
      <c r="A2328" s="12"/>
    </row>
    <row r="2329" spans="1:1" x14ac:dyDescent="0.3">
      <c r="A2329" s="12"/>
    </row>
    <row r="2330" spans="1:1" x14ac:dyDescent="0.3">
      <c r="A2330" s="12"/>
    </row>
    <row r="2331" spans="1:1" x14ac:dyDescent="0.3">
      <c r="A2331" s="12"/>
    </row>
    <row r="2332" spans="1:1" x14ac:dyDescent="0.3">
      <c r="A2332" s="12"/>
    </row>
    <row r="2333" spans="1:1" x14ac:dyDescent="0.3">
      <c r="A2333" s="12"/>
    </row>
    <row r="2334" spans="1:1" x14ac:dyDescent="0.3">
      <c r="A2334" s="12"/>
    </row>
    <row r="2335" spans="1:1" x14ac:dyDescent="0.3">
      <c r="A2335" s="12"/>
    </row>
    <row r="2336" spans="1:1" x14ac:dyDescent="0.3">
      <c r="A2336" s="12"/>
    </row>
    <row r="2337" spans="1:1" x14ac:dyDescent="0.3">
      <c r="A2337" s="12"/>
    </row>
    <row r="2338" spans="1:1" x14ac:dyDescent="0.3">
      <c r="A2338" s="12"/>
    </row>
    <row r="2339" spans="1:1" x14ac:dyDescent="0.3">
      <c r="A2339" s="12"/>
    </row>
    <row r="2340" spans="1:1" x14ac:dyDescent="0.3">
      <c r="A2340" s="12"/>
    </row>
    <row r="2341" spans="1:1" x14ac:dyDescent="0.3">
      <c r="A2341" s="12"/>
    </row>
    <row r="2342" spans="1:1" x14ac:dyDescent="0.3">
      <c r="A2342" s="12"/>
    </row>
    <row r="2343" spans="1:1" x14ac:dyDescent="0.3">
      <c r="A2343" s="12"/>
    </row>
    <row r="2344" spans="1:1" x14ac:dyDescent="0.3">
      <c r="A2344" s="12"/>
    </row>
    <row r="2345" spans="1:1" x14ac:dyDescent="0.3">
      <c r="A2345" s="12"/>
    </row>
    <row r="2346" spans="1:1" x14ac:dyDescent="0.3">
      <c r="A2346" s="12"/>
    </row>
    <row r="2347" spans="1:1" x14ac:dyDescent="0.3">
      <c r="A2347" s="12"/>
    </row>
    <row r="2348" spans="1:1" x14ac:dyDescent="0.3">
      <c r="A2348" s="12"/>
    </row>
    <row r="2349" spans="1:1" x14ac:dyDescent="0.3">
      <c r="A2349" s="12"/>
    </row>
    <row r="2350" spans="1:1" x14ac:dyDescent="0.3">
      <c r="A2350" s="12"/>
    </row>
    <row r="2351" spans="1:1" x14ac:dyDescent="0.3">
      <c r="A2351" s="12"/>
    </row>
    <row r="2352" spans="1:1" x14ac:dyDescent="0.3">
      <c r="A2352" s="12"/>
    </row>
    <row r="2353" spans="1:1" x14ac:dyDescent="0.3">
      <c r="A2353" s="12"/>
    </row>
    <row r="2354" spans="1:1" x14ac:dyDescent="0.3">
      <c r="A2354" s="12"/>
    </row>
    <row r="2355" spans="1:1" x14ac:dyDescent="0.3">
      <c r="A2355" s="12"/>
    </row>
    <row r="2356" spans="1:1" x14ac:dyDescent="0.3">
      <c r="A2356" s="12"/>
    </row>
    <row r="2357" spans="1:1" x14ac:dyDescent="0.3">
      <c r="A2357" s="12"/>
    </row>
    <row r="2358" spans="1:1" x14ac:dyDescent="0.3">
      <c r="A2358" s="12"/>
    </row>
    <row r="2359" spans="1:1" x14ac:dyDescent="0.3">
      <c r="A2359" s="12"/>
    </row>
    <row r="2360" spans="1:1" x14ac:dyDescent="0.3">
      <c r="A2360" s="12"/>
    </row>
    <row r="2361" spans="1:1" x14ac:dyDescent="0.3">
      <c r="A2361" s="12"/>
    </row>
    <row r="2362" spans="1:1" x14ac:dyDescent="0.3">
      <c r="A2362" s="12"/>
    </row>
    <row r="2363" spans="1:1" x14ac:dyDescent="0.3">
      <c r="A2363" s="12"/>
    </row>
    <row r="2364" spans="1:1" x14ac:dyDescent="0.3">
      <c r="A2364" s="12"/>
    </row>
    <row r="2365" spans="1:1" x14ac:dyDescent="0.3">
      <c r="A2365" s="12"/>
    </row>
    <row r="2366" spans="1:1" x14ac:dyDescent="0.3">
      <c r="A2366" s="12"/>
    </row>
    <row r="2367" spans="1:1" x14ac:dyDescent="0.3">
      <c r="A2367" s="12"/>
    </row>
    <row r="2368" spans="1:1" x14ac:dyDescent="0.3">
      <c r="A2368" s="12"/>
    </row>
    <row r="2369" spans="1:1" x14ac:dyDescent="0.3">
      <c r="A2369" s="12"/>
    </row>
    <row r="2370" spans="1:1" x14ac:dyDescent="0.3">
      <c r="A2370" s="12"/>
    </row>
    <row r="2371" spans="1:1" x14ac:dyDescent="0.3">
      <c r="A2371" s="12"/>
    </row>
    <row r="2372" spans="1:1" x14ac:dyDescent="0.3">
      <c r="A2372" s="12"/>
    </row>
    <row r="2373" spans="1:1" x14ac:dyDescent="0.3">
      <c r="A2373" s="12"/>
    </row>
    <row r="2374" spans="1:1" x14ac:dyDescent="0.3">
      <c r="A2374" s="12"/>
    </row>
    <row r="2375" spans="1:1" x14ac:dyDescent="0.3">
      <c r="A2375" s="12"/>
    </row>
    <row r="2376" spans="1:1" x14ac:dyDescent="0.3">
      <c r="A2376" s="12"/>
    </row>
    <row r="2377" spans="1:1" x14ac:dyDescent="0.3">
      <c r="A2377" s="12"/>
    </row>
    <row r="2378" spans="1:1" x14ac:dyDescent="0.3">
      <c r="A2378" s="12"/>
    </row>
    <row r="2379" spans="1:1" x14ac:dyDescent="0.3">
      <c r="A2379" s="12"/>
    </row>
    <row r="2380" spans="1:1" x14ac:dyDescent="0.3">
      <c r="A2380" s="12"/>
    </row>
    <row r="2381" spans="1:1" x14ac:dyDescent="0.3">
      <c r="A2381" s="12"/>
    </row>
    <row r="2382" spans="1:1" x14ac:dyDescent="0.3">
      <c r="A2382" s="12"/>
    </row>
    <row r="2383" spans="1:1" x14ac:dyDescent="0.3">
      <c r="A2383" s="12"/>
    </row>
    <row r="2384" spans="1:1" x14ac:dyDescent="0.3">
      <c r="A2384" s="12"/>
    </row>
    <row r="2385" spans="1:1" x14ac:dyDescent="0.3">
      <c r="A2385" s="12"/>
    </row>
    <row r="2386" spans="1:1" x14ac:dyDescent="0.3">
      <c r="A2386" s="12"/>
    </row>
    <row r="2387" spans="1:1" x14ac:dyDescent="0.3">
      <c r="A2387" s="12"/>
    </row>
    <row r="2388" spans="1:1" x14ac:dyDescent="0.3">
      <c r="A2388" s="12"/>
    </row>
    <row r="2389" spans="1:1" x14ac:dyDescent="0.3">
      <c r="A2389" s="12"/>
    </row>
    <row r="2390" spans="1:1" x14ac:dyDescent="0.3">
      <c r="A2390" s="12"/>
    </row>
    <row r="2391" spans="1:1" x14ac:dyDescent="0.3">
      <c r="A2391" s="12"/>
    </row>
    <row r="2392" spans="1:1" x14ac:dyDescent="0.3">
      <c r="A2392" s="12"/>
    </row>
    <row r="2393" spans="1:1" x14ac:dyDescent="0.3">
      <c r="A2393" s="12"/>
    </row>
    <row r="2394" spans="1:1" x14ac:dyDescent="0.3">
      <c r="A2394" s="12"/>
    </row>
    <row r="2395" spans="1:1" x14ac:dyDescent="0.3">
      <c r="A2395" s="12"/>
    </row>
    <row r="2396" spans="1:1" x14ac:dyDescent="0.3">
      <c r="A2396" s="12"/>
    </row>
    <row r="2397" spans="1:1" x14ac:dyDescent="0.3">
      <c r="A2397" s="12"/>
    </row>
    <row r="2398" spans="1:1" x14ac:dyDescent="0.3">
      <c r="A2398" s="12"/>
    </row>
    <row r="2399" spans="1:1" x14ac:dyDescent="0.3">
      <c r="A2399" s="12"/>
    </row>
    <row r="2400" spans="1:1" x14ac:dyDescent="0.3">
      <c r="A2400" s="12"/>
    </row>
    <row r="2401" spans="1:1" x14ac:dyDescent="0.3">
      <c r="A2401" s="12"/>
    </row>
    <row r="2402" spans="1:1" x14ac:dyDescent="0.3">
      <c r="A2402" s="12"/>
    </row>
    <row r="2403" spans="1:1" x14ac:dyDescent="0.3">
      <c r="A2403" s="12"/>
    </row>
    <row r="2404" spans="1:1" x14ac:dyDescent="0.3">
      <c r="A2404" s="12"/>
    </row>
    <row r="2405" spans="1:1" x14ac:dyDescent="0.3">
      <c r="A2405" s="12"/>
    </row>
    <row r="2406" spans="1:1" x14ac:dyDescent="0.3">
      <c r="A2406" s="12"/>
    </row>
    <row r="2407" spans="1:1" x14ac:dyDescent="0.3">
      <c r="A2407" s="12"/>
    </row>
    <row r="2408" spans="1:1" x14ac:dyDescent="0.3">
      <c r="A2408" s="12"/>
    </row>
    <row r="2409" spans="1:1" x14ac:dyDescent="0.3">
      <c r="A2409" s="12"/>
    </row>
    <row r="2410" spans="1:1" x14ac:dyDescent="0.3">
      <c r="A2410" s="12"/>
    </row>
    <row r="2411" spans="1:1" x14ac:dyDescent="0.3">
      <c r="A2411" s="12"/>
    </row>
    <row r="2412" spans="1:1" x14ac:dyDescent="0.3">
      <c r="A2412" s="12"/>
    </row>
    <row r="2413" spans="1:1" x14ac:dyDescent="0.3">
      <c r="A2413" s="12"/>
    </row>
    <row r="2414" spans="1:1" x14ac:dyDescent="0.3">
      <c r="A2414" s="12"/>
    </row>
    <row r="2415" spans="1:1" x14ac:dyDescent="0.3">
      <c r="A2415" s="12"/>
    </row>
    <row r="2416" spans="1:1" x14ac:dyDescent="0.3">
      <c r="A2416" s="12"/>
    </row>
    <row r="2417" spans="1:1" x14ac:dyDescent="0.3">
      <c r="A2417" s="12"/>
    </row>
    <row r="2418" spans="1:1" x14ac:dyDescent="0.3">
      <c r="A2418" s="12"/>
    </row>
    <row r="2419" spans="1:1" x14ac:dyDescent="0.3">
      <c r="A2419" s="12"/>
    </row>
    <row r="2420" spans="1:1" x14ac:dyDescent="0.3">
      <c r="A2420" s="12"/>
    </row>
    <row r="2421" spans="1:1" x14ac:dyDescent="0.3">
      <c r="A2421" s="12"/>
    </row>
    <row r="2422" spans="1:1" x14ac:dyDescent="0.3">
      <c r="A2422" s="12"/>
    </row>
    <row r="2423" spans="1:1" x14ac:dyDescent="0.3">
      <c r="A2423" s="12"/>
    </row>
    <row r="2424" spans="1:1" x14ac:dyDescent="0.3">
      <c r="A2424" s="12"/>
    </row>
    <row r="2425" spans="1:1" x14ac:dyDescent="0.3">
      <c r="A2425" s="12"/>
    </row>
    <row r="2426" spans="1:1" x14ac:dyDescent="0.3">
      <c r="A2426" s="12"/>
    </row>
    <row r="2427" spans="1:1" x14ac:dyDescent="0.3">
      <c r="A2427" s="12"/>
    </row>
    <row r="2428" spans="1:1" x14ac:dyDescent="0.3">
      <c r="A2428" s="12"/>
    </row>
    <row r="2429" spans="1:1" x14ac:dyDescent="0.3">
      <c r="A2429" s="12"/>
    </row>
    <row r="2430" spans="1:1" x14ac:dyDescent="0.3">
      <c r="A2430" s="12"/>
    </row>
    <row r="2431" spans="1:1" x14ac:dyDescent="0.3">
      <c r="A2431" s="12"/>
    </row>
    <row r="2432" spans="1:1" x14ac:dyDescent="0.3">
      <c r="A2432" s="12"/>
    </row>
    <row r="2433" spans="1:1" x14ac:dyDescent="0.3">
      <c r="A2433" s="12"/>
    </row>
    <row r="2434" spans="1:1" x14ac:dyDescent="0.3">
      <c r="A2434" s="12"/>
    </row>
    <row r="2435" spans="1:1" x14ac:dyDescent="0.3">
      <c r="A2435" s="12"/>
    </row>
    <row r="2436" spans="1:1" x14ac:dyDescent="0.3">
      <c r="A2436" s="12"/>
    </row>
    <row r="2437" spans="1:1" x14ac:dyDescent="0.3">
      <c r="A2437" s="12"/>
    </row>
    <row r="2438" spans="1:1" x14ac:dyDescent="0.3">
      <c r="A2438" s="12"/>
    </row>
    <row r="2439" spans="1:1" x14ac:dyDescent="0.3">
      <c r="A2439" s="12"/>
    </row>
    <row r="2440" spans="1:1" x14ac:dyDescent="0.3">
      <c r="A2440" s="12"/>
    </row>
    <row r="2441" spans="1:1" x14ac:dyDescent="0.3">
      <c r="A2441" s="12"/>
    </row>
    <row r="2442" spans="1:1" x14ac:dyDescent="0.3">
      <c r="A2442" s="12"/>
    </row>
    <row r="2443" spans="1:1" x14ac:dyDescent="0.3">
      <c r="A2443" s="12"/>
    </row>
    <row r="2444" spans="1:1" x14ac:dyDescent="0.3">
      <c r="A2444" s="12"/>
    </row>
    <row r="2445" spans="1:1" x14ac:dyDescent="0.3">
      <c r="A2445" s="12"/>
    </row>
    <row r="2446" spans="1:1" x14ac:dyDescent="0.3">
      <c r="A2446" s="12"/>
    </row>
    <row r="2447" spans="1:1" x14ac:dyDescent="0.3">
      <c r="A2447" s="12"/>
    </row>
    <row r="2448" spans="1:1" x14ac:dyDescent="0.3">
      <c r="A2448" s="12"/>
    </row>
    <row r="2449" spans="1:1" x14ac:dyDescent="0.3">
      <c r="A2449" s="12"/>
    </row>
    <row r="2450" spans="1:1" x14ac:dyDescent="0.3">
      <c r="A2450" s="12"/>
    </row>
    <row r="2451" spans="1:1" x14ac:dyDescent="0.3">
      <c r="A2451" s="12"/>
    </row>
    <row r="2452" spans="1:1" x14ac:dyDescent="0.3">
      <c r="A2452" s="12"/>
    </row>
    <row r="2453" spans="1:1" x14ac:dyDescent="0.3">
      <c r="A2453" s="12"/>
    </row>
    <row r="2454" spans="1:1" x14ac:dyDescent="0.3">
      <c r="A2454" s="12"/>
    </row>
    <row r="2455" spans="1:1" x14ac:dyDescent="0.3">
      <c r="A2455" s="12"/>
    </row>
    <row r="2456" spans="1:1" x14ac:dyDescent="0.3">
      <c r="A2456" s="12"/>
    </row>
    <row r="2457" spans="1:1" x14ac:dyDescent="0.3">
      <c r="A2457" s="12"/>
    </row>
    <row r="2458" spans="1:1" x14ac:dyDescent="0.3">
      <c r="A2458" s="12"/>
    </row>
    <row r="2459" spans="1:1" x14ac:dyDescent="0.3">
      <c r="A2459" s="12"/>
    </row>
    <row r="2460" spans="1:1" x14ac:dyDescent="0.3">
      <c r="A2460" s="12"/>
    </row>
    <row r="2461" spans="1:1" x14ac:dyDescent="0.3">
      <c r="A2461" s="12"/>
    </row>
    <row r="2462" spans="1:1" x14ac:dyDescent="0.3">
      <c r="A2462" s="12"/>
    </row>
    <row r="2463" spans="1:1" x14ac:dyDescent="0.3">
      <c r="A2463" s="12"/>
    </row>
    <row r="2464" spans="1:1" x14ac:dyDescent="0.3">
      <c r="A2464" s="12"/>
    </row>
    <row r="2465" spans="1:1" x14ac:dyDescent="0.3">
      <c r="A2465" s="12"/>
    </row>
    <row r="2466" spans="1:1" x14ac:dyDescent="0.3">
      <c r="A2466" s="12"/>
    </row>
    <row r="2467" spans="1:1" x14ac:dyDescent="0.3">
      <c r="A2467" s="12"/>
    </row>
    <row r="2468" spans="1:1" x14ac:dyDescent="0.3">
      <c r="A2468" s="12"/>
    </row>
    <row r="2469" spans="1:1" x14ac:dyDescent="0.3">
      <c r="A2469" s="12"/>
    </row>
    <row r="2470" spans="1:1" x14ac:dyDescent="0.3">
      <c r="A2470" s="12"/>
    </row>
    <row r="2471" spans="1:1" x14ac:dyDescent="0.3">
      <c r="A2471" s="12"/>
    </row>
    <row r="2472" spans="1:1" x14ac:dyDescent="0.3">
      <c r="A2472" s="12"/>
    </row>
    <row r="2473" spans="1:1" x14ac:dyDescent="0.3">
      <c r="A2473" s="12"/>
    </row>
    <row r="2474" spans="1:1" x14ac:dyDescent="0.3">
      <c r="A2474" s="12"/>
    </row>
    <row r="2475" spans="1:1" x14ac:dyDescent="0.3">
      <c r="A2475" s="12"/>
    </row>
    <row r="2476" spans="1:1" x14ac:dyDescent="0.3">
      <c r="A2476" s="12"/>
    </row>
    <row r="2477" spans="1:1" x14ac:dyDescent="0.3">
      <c r="A2477" s="12"/>
    </row>
    <row r="2478" spans="1:1" x14ac:dyDescent="0.3">
      <c r="A2478" s="12"/>
    </row>
    <row r="2479" spans="1:1" x14ac:dyDescent="0.3">
      <c r="A2479" s="12"/>
    </row>
    <row r="2480" spans="1:1" x14ac:dyDescent="0.3">
      <c r="A2480" s="12"/>
    </row>
    <row r="2481" spans="1:1" x14ac:dyDescent="0.3">
      <c r="A2481" s="12"/>
    </row>
    <row r="2482" spans="1:1" x14ac:dyDescent="0.3">
      <c r="A2482" s="12"/>
    </row>
    <row r="2483" spans="1:1" x14ac:dyDescent="0.3">
      <c r="A2483" s="12"/>
    </row>
    <row r="2484" spans="1:1" x14ac:dyDescent="0.3">
      <c r="A2484" s="12"/>
    </row>
    <row r="2485" spans="1:1" x14ac:dyDescent="0.3">
      <c r="A2485" s="12"/>
    </row>
    <row r="2486" spans="1:1" x14ac:dyDescent="0.3">
      <c r="A2486" s="12"/>
    </row>
    <row r="2487" spans="1:1" x14ac:dyDescent="0.3">
      <c r="A2487" s="12"/>
    </row>
    <row r="2488" spans="1:1" x14ac:dyDescent="0.3">
      <c r="A2488" s="12"/>
    </row>
    <row r="2489" spans="1:1" x14ac:dyDescent="0.3">
      <c r="A2489" s="12"/>
    </row>
    <row r="2490" spans="1:1" x14ac:dyDescent="0.3">
      <c r="A2490" s="12"/>
    </row>
    <row r="2491" spans="1:1" x14ac:dyDescent="0.3">
      <c r="A2491" s="12"/>
    </row>
    <row r="2492" spans="1:1" x14ac:dyDescent="0.3">
      <c r="A2492" s="12"/>
    </row>
    <row r="2493" spans="1:1" x14ac:dyDescent="0.3">
      <c r="A2493" s="12"/>
    </row>
    <row r="2494" spans="1:1" x14ac:dyDescent="0.3">
      <c r="A2494" s="12"/>
    </row>
    <row r="2495" spans="1:1" x14ac:dyDescent="0.3">
      <c r="A2495" s="12"/>
    </row>
    <row r="2496" spans="1:1" x14ac:dyDescent="0.3">
      <c r="A2496" s="12"/>
    </row>
    <row r="2497" spans="1:1" x14ac:dyDescent="0.3">
      <c r="A2497" s="12"/>
    </row>
    <row r="2498" spans="1:1" x14ac:dyDescent="0.3">
      <c r="A2498" s="12"/>
    </row>
    <row r="2499" spans="1:1" x14ac:dyDescent="0.3">
      <c r="A2499" s="12"/>
    </row>
    <row r="2500" spans="1:1" x14ac:dyDescent="0.3">
      <c r="A2500" s="12"/>
    </row>
    <row r="2501" spans="1:1" x14ac:dyDescent="0.3">
      <c r="A2501" s="12"/>
    </row>
    <row r="2502" spans="1:1" x14ac:dyDescent="0.3">
      <c r="A2502" s="12"/>
    </row>
    <row r="2503" spans="1:1" x14ac:dyDescent="0.3">
      <c r="A2503" s="12"/>
    </row>
    <row r="2504" spans="1:1" x14ac:dyDescent="0.3">
      <c r="A2504" s="12"/>
    </row>
    <row r="2505" spans="1:1" x14ac:dyDescent="0.3">
      <c r="A2505" s="12"/>
    </row>
    <row r="2506" spans="1:1" x14ac:dyDescent="0.3">
      <c r="A2506" s="12"/>
    </row>
    <row r="2507" spans="1:1" x14ac:dyDescent="0.3">
      <c r="A2507" s="12"/>
    </row>
    <row r="2508" spans="1:1" x14ac:dyDescent="0.3">
      <c r="A2508" s="12"/>
    </row>
    <row r="2509" spans="1:1" x14ac:dyDescent="0.3">
      <c r="A2509" s="12"/>
    </row>
    <row r="2510" spans="1:1" x14ac:dyDescent="0.3">
      <c r="A2510" s="12"/>
    </row>
    <row r="2511" spans="1:1" x14ac:dyDescent="0.3">
      <c r="A2511" s="12"/>
    </row>
    <row r="2512" spans="1:1" x14ac:dyDescent="0.3">
      <c r="A2512" s="12"/>
    </row>
    <row r="2513" spans="1:1" x14ac:dyDescent="0.3">
      <c r="A2513" s="12"/>
    </row>
    <row r="2514" spans="1:1" x14ac:dyDescent="0.3">
      <c r="A2514" s="12"/>
    </row>
    <row r="2515" spans="1:1" x14ac:dyDescent="0.3">
      <c r="A2515" s="12"/>
    </row>
    <row r="2516" spans="1:1" x14ac:dyDescent="0.3">
      <c r="A2516" s="12"/>
    </row>
    <row r="2517" spans="1:1" x14ac:dyDescent="0.3">
      <c r="A2517" s="12"/>
    </row>
    <row r="2518" spans="1:1" x14ac:dyDescent="0.3">
      <c r="A2518" s="12"/>
    </row>
    <row r="2519" spans="1:1" x14ac:dyDescent="0.3">
      <c r="A2519" s="12"/>
    </row>
    <row r="2520" spans="1:1" x14ac:dyDescent="0.3">
      <c r="A2520" s="12"/>
    </row>
    <row r="2521" spans="1:1" x14ac:dyDescent="0.3">
      <c r="A2521" s="12"/>
    </row>
    <row r="2522" spans="1:1" x14ac:dyDescent="0.3">
      <c r="A2522" s="12"/>
    </row>
    <row r="2523" spans="1:1" x14ac:dyDescent="0.3">
      <c r="A2523" s="12"/>
    </row>
    <row r="2524" spans="1:1" x14ac:dyDescent="0.3">
      <c r="A2524" s="12"/>
    </row>
    <row r="2525" spans="1:1" x14ac:dyDescent="0.3">
      <c r="A2525" s="12"/>
    </row>
    <row r="2526" spans="1:1" x14ac:dyDescent="0.3">
      <c r="A2526" s="12"/>
    </row>
    <row r="2527" spans="1:1" x14ac:dyDescent="0.3">
      <c r="A2527" s="12"/>
    </row>
    <row r="2528" spans="1:1" x14ac:dyDescent="0.3">
      <c r="A2528" s="12"/>
    </row>
    <row r="2529" spans="1:1" x14ac:dyDescent="0.3">
      <c r="A2529" s="12"/>
    </row>
    <row r="2530" spans="1:1" x14ac:dyDescent="0.3">
      <c r="A2530" s="12"/>
    </row>
    <row r="2531" spans="1:1" x14ac:dyDescent="0.3">
      <c r="A2531" s="12"/>
    </row>
    <row r="2532" spans="1:1" x14ac:dyDescent="0.3">
      <c r="A2532" s="12"/>
    </row>
    <row r="2533" spans="1:1" x14ac:dyDescent="0.3">
      <c r="A2533" s="12"/>
    </row>
    <row r="2534" spans="1:1" x14ac:dyDescent="0.3">
      <c r="A2534" s="12"/>
    </row>
    <row r="2535" spans="1:1" x14ac:dyDescent="0.3">
      <c r="A2535" s="12"/>
    </row>
    <row r="2536" spans="1:1" x14ac:dyDescent="0.3">
      <c r="A2536" s="12"/>
    </row>
    <row r="2537" spans="1:1" x14ac:dyDescent="0.3">
      <c r="A2537" s="12"/>
    </row>
    <row r="2538" spans="1:1" x14ac:dyDescent="0.3">
      <c r="A2538" s="12"/>
    </row>
    <row r="2539" spans="1:1" x14ac:dyDescent="0.3">
      <c r="A2539" s="12"/>
    </row>
    <row r="2540" spans="1:1" x14ac:dyDescent="0.3">
      <c r="A2540" s="12"/>
    </row>
    <row r="2541" spans="1:1" x14ac:dyDescent="0.3">
      <c r="A2541" s="12"/>
    </row>
    <row r="2542" spans="1:1" x14ac:dyDescent="0.3">
      <c r="A2542" s="12"/>
    </row>
    <row r="2543" spans="1:1" x14ac:dyDescent="0.3">
      <c r="A2543" s="12"/>
    </row>
    <row r="2544" spans="1:1" x14ac:dyDescent="0.3">
      <c r="A2544" s="12"/>
    </row>
    <row r="2545" spans="1:1" x14ac:dyDescent="0.3">
      <c r="A2545" s="12"/>
    </row>
    <row r="2546" spans="1:1" x14ac:dyDescent="0.3">
      <c r="A2546" s="12"/>
    </row>
    <row r="2547" spans="1:1" x14ac:dyDescent="0.3">
      <c r="A2547" s="12"/>
    </row>
    <row r="2548" spans="1:1" x14ac:dyDescent="0.3">
      <c r="A2548" s="12"/>
    </row>
    <row r="2549" spans="1:1" x14ac:dyDescent="0.3">
      <c r="A2549" s="12"/>
    </row>
    <row r="2550" spans="1:1" x14ac:dyDescent="0.3">
      <c r="A2550" s="12"/>
    </row>
    <row r="2551" spans="1:1" x14ac:dyDescent="0.3">
      <c r="A2551" s="12"/>
    </row>
    <row r="2552" spans="1:1" x14ac:dyDescent="0.3">
      <c r="A2552" s="12"/>
    </row>
    <row r="2553" spans="1:1" x14ac:dyDescent="0.3">
      <c r="A2553" s="12"/>
    </row>
    <row r="2554" spans="1:1" x14ac:dyDescent="0.3">
      <c r="A2554" s="12"/>
    </row>
    <row r="2555" spans="1:1" x14ac:dyDescent="0.3">
      <c r="A2555" s="12"/>
    </row>
    <row r="2556" spans="1:1" x14ac:dyDescent="0.3">
      <c r="A2556" s="12"/>
    </row>
    <row r="2557" spans="1:1" x14ac:dyDescent="0.3">
      <c r="A2557" s="12"/>
    </row>
    <row r="2558" spans="1:1" x14ac:dyDescent="0.3">
      <c r="A2558" s="12"/>
    </row>
    <row r="2559" spans="1:1" x14ac:dyDescent="0.3">
      <c r="A2559" s="12"/>
    </row>
    <row r="2560" spans="1:1" x14ac:dyDescent="0.3">
      <c r="A2560" s="12"/>
    </row>
    <row r="2561" spans="1:1" x14ac:dyDescent="0.3">
      <c r="A2561" s="12"/>
    </row>
    <row r="2562" spans="1:1" x14ac:dyDescent="0.3">
      <c r="A2562" s="12"/>
    </row>
    <row r="2563" spans="1:1" x14ac:dyDescent="0.3">
      <c r="A2563" s="12"/>
    </row>
    <row r="2564" spans="1:1" x14ac:dyDescent="0.3">
      <c r="A2564" s="12"/>
    </row>
    <row r="2565" spans="1:1" x14ac:dyDescent="0.3">
      <c r="A2565" s="12"/>
    </row>
    <row r="2566" spans="1:1" x14ac:dyDescent="0.3">
      <c r="A2566" s="12"/>
    </row>
    <row r="2567" spans="1:1" x14ac:dyDescent="0.3">
      <c r="A2567" s="12"/>
    </row>
    <row r="2568" spans="1:1" x14ac:dyDescent="0.3">
      <c r="A2568" s="12"/>
    </row>
    <row r="2569" spans="1:1" x14ac:dyDescent="0.3">
      <c r="A2569" s="12"/>
    </row>
    <row r="2570" spans="1:1" x14ac:dyDescent="0.3">
      <c r="A2570" s="12"/>
    </row>
    <row r="2571" spans="1:1" x14ac:dyDescent="0.3">
      <c r="A2571" s="12"/>
    </row>
    <row r="2572" spans="1:1" x14ac:dyDescent="0.3">
      <c r="A2572" s="12"/>
    </row>
    <row r="2573" spans="1:1" x14ac:dyDescent="0.3">
      <c r="A2573" s="12"/>
    </row>
    <row r="2574" spans="1:1" x14ac:dyDescent="0.3">
      <c r="A2574" s="12"/>
    </row>
    <row r="2575" spans="1:1" x14ac:dyDescent="0.3">
      <c r="A2575" s="12"/>
    </row>
    <row r="2576" spans="1:1" x14ac:dyDescent="0.3">
      <c r="A2576" s="12"/>
    </row>
    <row r="2577" spans="1:1" x14ac:dyDescent="0.3">
      <c r="A2577" s="12"/>
    </row>
    <row r="2578" spans="1:1" x14ac:dyDescent="0.3">
      <c r="A2578" s="12"/>
    </row>
    <row r="2579" spans="1:1" x14ac:dyDescent="0.3">
      <c r="A2579" s="12"/>
    </row>
    <row r="2580" spans="1:1" x14ac:dyDescent="0.3">
      <c r="A2580" s="12"/>
    </row>
    <row r="2581" spans="1:1" x14ac:dyDescent="0.3">
      <c r="A2581" s="12"/>
    </row>
    <row r="2582" spans="1:1" x14ac:dyDescent="0.3">
      <c r="A2582" s="12"/>
    </row>
    <row r="2583" spans="1:1" x14ac:dyDescent="0.3">
      <c r="A2583" s="12"/>
    </row>
    <row r="2584" spans="1:1" x14ac:dyDescent="0.3">
      <c r="A2584" s="12"/>
    </row>
    <row r="2585" spans="1:1" x14ac:dyDescent="0.3">
      <c r="A2585" s="12"/>
    </row>
    <row r="2586" spans="1:1" x14ac:dyDescent="0.3">
      <c r="A2586" s="12"/>
    </row>
    <row r="2587" spans="1:1" x14ac:dyDescent="0.3">
      <c r="A2587" s="12"/>
    </row>
    <row r="2588" spans="1:1" x14ac:dyDescent="0.3">
      <c r="A2588" s="12"/>
    </row>
    <row r="2589" spans="1:1" x14ac:dyDescent="0.3">
      <c r="A2589" s="12"/>
    </row>
    <row r="2590" spans="1:1" x14ac:dyDescent="0.3">
      <c r="A2590" s="12"/>
    </row>
    <row r="2591" spans="1:1" x14ac:dyDescent="0.3">
      <c r="A2591" s="12"/>
    </row>
    <row r="2592" spans="1:1" x14ac:dyDescent="0.3">
      <c r="A2592" s="12"/>
    </row>
    <row r="2593" spans="1:1" x14ac:dyDescent="0.3">
      <c r="A2593" s="12"/>
    </row>
    <row r="2594" spans="1:1" x14ac:dyDescent="0.3">
      <c r="A2594" s="12"/>
    </row>
    <row r="2595" spans="1:1" x14ac:dyDescent="0.3">
      <c r="A2595" s="12"/>
    </row>
    <row r="2596" spans="1:1" x14ac:dyDescent="0.3">
      <c r="A2596" s="12"/>
    </row>
    <row r="2597" spans="1:1" x14ac:dyDescent="0.3">
      <c r="A2597" s="12"/>
    </row>
    <row r="2598" spans="1:1" x14ac:dyDescent="0.3">
      <c r="A2598" s="12"/>
    </row>
    <row r="2599" spans="1:1" x14ac:dyDescent="0.3">
      <c r="A2599" s="12"/>
    </row>
    <row r="2600" spans="1:1" x14ac:dyDescent="0.3">
      <c r="A2600" s="12"/>
    </row>
    <row r="2601" spans="1:1" x14ac:dyDescent="0.3">
      <c r="A2601" s="12"/>
    </row>
    <row r="2602" spans="1:1" x14ac:dyDescent="0.3">
      <c r="A2602" s="12"/>
    </row>
    <row r="2603" spans="1:1" x14ac:dyDescent="0.3">
      <c r="A2603" s="12"/>
    </row>
    <row r="2604" spans="1:1" x14ac:dyDescent="0.3">
      <c r="A2604" s="12"/>
    </row>
    <row r="2605" spans="1:1" x14ac:dyDescent="0.3">
      <c r="A2605" s="12"/>
    </row>
    <row r="2606" spans="1:1" x14ac:dyDescent="0.3">
      <c r="A2606" s="12"/>
    </row>
    <row r="2607" spans="1:1" x14ac:dyDescent="0.3">
      <c r="A2607" s="12"/>
    </row>
    <row r="2608" spans="1:1" x14ac:dyDescent="0.3">
      <c r="A2608" s="12"/>
    </row>
    <row r="2609" spans="1:1" x14ac:dyDescent="0.3">
      <c r="A2609" s="12"/>
    </row>
    <row r="2610" spans="1:1" x14ac:dyDescent="0.3">
      <c r="A2610" s="12"/>
    </row>
    <row r="2611" spans="1:1" x14ac:dyDescent="0.3">
      <c r="A2611" s="12"/>
    </row>
    <row r="2612" spans="1:1" x14ac:dyDescent="0.3">
      <c r="A2612" s="12"/>
    </row>
    <row r="2613" spans="1:1" x14ac:dyDescent="0.3">
      <c r="A2613" s="12"/>
    </row>
    <row r="2614" spans="1:1" x14ac:dyDescent="0.3">
      <c r="A2614" s="12"/>
    </row>
    <row r="2615" spans="1:1" x14ac:dyDescent="0.3">
      <c r="A2615" s="12"/>
    </row>
    <row r="2616" spans="1:1" x14ac:dyDescent="0.3">
      <c r="A2616" s="12"/>
    </row>
    <row r="2617" spans="1:1" x14ac:dyDescent="0.3">
      <c r="A2617" s="12"/>
    </row>
    <row r="2618" spans="1:1" x14ac:dyDescent="0.3">
      <c r="A2618" s="12"/>
    </row>
    <row r="2619" spans="1:1" x14ac:dyDescent="0.3">
      <c r="A2619" s="12"/>
    </row>
    <row r="2620" spans="1:1" x14ac:dyDescent="0.3">
      <c r="A2620" s="12"/>
    </row>
    <row r="2621" spans="1:1" x14ac:dyDescent="0.3">
      <c r="A2621" s="12"/>
    </row>
    <row r="2622" spans="1:1" x14ac:dyDescent="0.3">
      <c r="A2622" s="12"/>
    </row>
    <row r="2623" spans="1:1" x14ac:dyDescent="0.3">
      <c r="A2623" s="12"/>
    </row>
    <row r="2624" spans="1:1" x14ac:dyDescent="0.3">
      <c r="A2624" s="12"/>
    </row>
    <row r="2625" spans="1:1" x14ac:dyDescent="0.3">
      <c r="A2625" s="12"/>
    </row>
    <row r="2626" spans="1:1" x14ac:dyDescent="0.3">
      <c r="A2626" s="12"/>
    </row>
    <row r="2627" spans="1:1" x14ac:dyDescent="0.3">
      <c r="A2627" s="12"/>
    </row>
    <row r="2628" spans="1:1" x14ac:dyDescent="0.3">
      <c r="A2628" s="12"/>
    </row>
    <row r="2629" spans="1:1" x14ac:dyDescent="0.3">
      <c r="A2629" s="12"/>
    </row>
    <row r="2630" spans="1:1" x14ac:dyDescent="0.3">
      <c r="A2630" s="12"/>
    </row>
    <row r="2631" spans="1:1" x14ac:dyDescent="0.3">
      <c r="A2631" s="12"/>
    </row>
    <row r="2632" spans="1:1" x14ac:dyDescent="0.3">
      <c r="A2632" s="12"/>
    </row>
    <row r="2633" spans="1:1" x14ac:dyDescent="0.3">
      <c r="A2633" s="12"/>
    </row>
    <row r="2634" spans="1:1" x14ac:dyDescent="0.3">
      <c r="A2634" s="12"/>
    </row>
    <row r="2635" spans="1:1" x14ac:dyDescent="0.3">
      <c r="A2635" s="12"/>
    </row>
    <row r="2636" spans="1:1" x14ac:dyDescent="0.3">
      <c r="A2636" s="12"/>
    </row>
    <row r="2637" spans="1:1" x14ac:dyDescent="0.3">
      <c r="A2637" s="12"/>
    </row>
    <row r="2638" spans="1:1" x14ac:dyDescent="0.3">
      <c r="A2638" s="12"/>
    </row>
    <row r="2639" spans="1:1" x14ac:dyDescent="0.3">
      <c r="A2639" s="12"/>
    </row>
    <row r="2640" spans="1:1" x14ac:dyDescent="0.3">
      <c r="A2640" s="12"/>
    </row>
    <row r="2641" spans="1:1" x14ac:dyDescent="0.3">
      <c r="A2641" s="12"/>
    </row>
    <row r="2642" spans="1:1" x14ac:dyDescent="0.3">
      <c r="A2642" s="12"/>
    </row>
    <row r="2643" spans="1:1" x14ac:dyDescent="0.3">
      <c r="A2643" s="12"/>
    </row>
    <row r="2644" spans="1:1" x14ac:dyDescent="0.3">
      <c r="A2644" s="12"/>
    </row>
    <row r="2645" spans="1:1" x14ac:dyDescent="0.3">
      <c r="A2645" s="12"/>
    </row>
    <row r="2646" spans="1:1" x14ac:dyDescent="0.3">
      <c r="A2646" s="12"/>
    </row>
    <row r="2647" spans="1:1" x14ac:dyDescent="0.3">
      <c r="A2647" s="12"/>
    </row>
    <row r="2648" spans="1:1" x14ac:dyDescent="0.3">
      <c r="A2648" s="12"/>
    </row>
    <row r="2649" spans="1:1" x14ac:dyDescent="0.3">
      <c r="A2649" s="12"/>
    </row>
    <row r="2650" spans="1:1" x14ac:dyDescent="0.3">
      <c r="A2650" s="12"/>
    </row>
    <row r="2651" spans="1:1" x14ac:dyDescent="0.3">
      <c r="A2651" s="12"/>
    </row>
    <row r="2652" spans="1:1" x14ac:dyDescent="0.3">
      <c r="A2652" s="12"/>
    </row>
    <row r="2653" spans="1:1" x14ac:dyDescent="0.3">
      <c r="A2653" s="12"/>
    </row>
    <row r="2654" spans="1:1" x14ac:dyDescent="0.3">
      <c r="A2654" s="12"/>
    </row>
    <row r="2655" spans="1:1" x14ac:dyDescent="0.3">
      <c r="A2655" s="12"/>
    </row>
    <row r="2656" spans="1:1" x14ac:dyDescent="0.3">
      <c r="A2656" s="12"/>
    </row>
    <row r="2657" spans="1:1" x14ac:dyDescent="0.3">
      <c r="A2657" s="12"/>
    </row>
    <row r="2658" spans="1:1" x14ac:dyDescent="0.3">
      <c r="A2658" s="12"/>
    </row>
    <row r="2659" spans="1:1" x14ac:dyDescent="0.3">
      <c r="A2659" s="12"/>
    </row>
    <row r="2660" spans="1:1" x14ac:dyDescent="0.3">
      <c r="A2660" s="12"/>
    </row>
    <row r="2661" spans="1:1" x14ac:dyDescent="0.3">
      <c r="A2661" s="12"/>
    </row>
    <row r="2662" spans="1:1" x14ac:dyDescent="0.3">
      <c r="A2662" s="12"/>
    </row>
    <row r="2663" spans="1:1" x14ac:dyDescent="0.3">
      <c r="A2663" s="12"/>
    </row>
    <row r="2664" spans="1:1" x14ac:dyDescent="0.3">
      <c r="A2664" s="12"/>
    </row>
    <row r="2665" spans="1:1" x14ac:dyDescent="0.3">
      <c r="A2665" s="12"/>
    </row>
    <row r="2666" spans="1:1" x14ac:dyDescent="0.3">
      <c r="A2666" s="12"/>
    </row>
    <row r="2667" spans="1:1" x14ac:dyDescent="0.3">
      <c r="A2667" s="12"/>
    </row>
    <row r="2668" spans="1:1" x14ac:dyDescent="0.3">
      <c r="A2668" s="12"/>
    </row>
    <row r="2669" spans="1:1" x14ac:dyDescent="0.3">
      <c r="A2669" s="12"/>
    </row>
    <row r="2670" spans="1:1" x14ac:dyDescent="0.3">
      <c r="A2670" s="12"/>
    </row>
    <row r="2671" spans="1:1" x14ac:dyDescent="0.3">
      <c r="A2671" s="12"/>
    </row>
    <row r="2672" spans="1:1" x14ac:dyDescent="0.3">
      <c r="A2672" s="12"/>
    </row>
    <row r="2673" spans="1:1" x14ac:dyDescent="0.3">
      <c r="A2673" s="12"/>
    </row>
    <row r="2674" spans="1:1" x14ac:dyDescent="0.3">
      <c r="A2674" s="12"/>
    </row>
    <row r="2675" spans="1:1" x14ac:dyDescent="0.3">
      <c r="A2675" s="12"/>
    </row>
    <row r="2676" spans="1:1" x14ac:dyDescent="0.3">
      <c r="A2676" s="12"/>
    </row>
    <row r="2677" spans="1:1" x14ac:dyDescent="0.3">
      <c r="A2677" s="12"/>
    </row>
    <row r="2678" spans="1:1" x14ac:dyDescent="0.3">
      <c r="A2678" s="12"/>
    </row>
    <row r="2679" spans="1:1" x14ac:dyDescent="0.3">
      <c r="A2679" s="12"/>
    </row>
    <row r="2680" spans="1:1" x14ac:dyDescent="0.3">
      <c r="A2680" s="12"/>
    </row>
    <row r="2681" spans="1:1" x14ac:dyDescent="0.3">
      <c r="A2681" s="12"/>
    </row>
    <row r="2682" spans="1:1" x14ac:dyDescent="0.3">
      <c r="A2682" s="12"/>
    </row>
    <row r="2683" spans="1:1" x14ac:dyDescent="0.3">
      <c r="A2683" s="12"/>
    </row>
    <row r="2684" spans="1:1" x14ac:dyDescent="0.3">
      <c r="A2684" s="12"/>
    </row>
    <row r="2685" spans="1:1" x14ac:dyDescent="0.3">
      <c r="A2685" s="12"/>
    </row>
    <row r="2686" spans="1:1" x14ac:dyDescent="0.3">
      <c r="A2686" s="12"/>
    </row>
    <row r="2687" spans="1:1" x14ac:dyDescent="0.3">
      <c r="A2687" s="12"/>
    </row>
    <row r="2688" spans="1:1" x14ac:dyDescent="0.3">
      <c r="A2688" s="12"/>
    </row>
    <row r="2689" spans="1:1" x14ac:dyDescent="0.3">
      <c r="A2689" s="12"/>
    </row>
    <row r="2690" spans="1:1" x14ac:dyDescent="0.3">
      <c r="A2690" s="12"/>
    </row>
    <row r="2691" spans="1:1" x14ac:dyDescent="0.3">
      <c r="A2691" s="12"/>
    </row>
    <row r="2692" spans="1:1" x14ac:dyDescent="0.3">
      <c r="A2692" s="12"/>
    </row>
    <row r="2693" spans="1:1" x14ac:dyDescent="0.3">
      <c r="A2693" s="12"/>
    </row>
    <row r="2694" spans="1:1" x14ac:dyDescent="0.3">
      <c r="A2694" s="12"/>
    </row>
    <row r="2695" spans="1:1" x14ac:dyDescent="0.3">
      <c r="A2695" s="12"/>
    </row>
    <row r="2696" spans="1:1" x14ac:dyDescent="0.3">
      <c r="A2696" s="12"/>
    </row>
    <row r="2697" spans="1:1" x14ac:dyDescent="0.3">
      <c r="A2697" s="12"/>
    </row>
    <row r="2698" spans="1:1" x14ac:dyDescent="0.3">
      <c r="A2698" s="12"/>
    </row>
    <row r="2699" spans="1:1" x14ac:dyDescent="0.3">
      <c r="A2699" s="12"/>
    </row>
    <row r="2700" spans="1:1" x14ac:dyDescent="0.3">
      <c r="A2700" s="12"/>
    </row>
    <row r="2701" spans="1:1" x14ac:dyDescent="0.3">
      <c r="A2701" s="12"/>
    </row>
    <row r="2702" spans="1:1" x14ac:dyDescent="0.3">
      <c r="A2702" s="12"/>
    </row>
    <row r="2703" spans="1:1" x14ac:dyDescent="0.3">
      <c r="A2703" s="12"/>
    </row>
    <row r="2704" spans="1:1" x14ac:dyDescent="0.3">
      <c r="A2704" s="12"/>
    </row>
    <row r="2705" spans="1:1" x14ac:dyDescent="0.3">
      <c r="A2705" s="12"/>
    </row>
    <row r="2706" spans="1:1" x14ac:dyDescent="0.3">
      <c r="A2706" s="12"/>
    </row>
    <row r="2707" spans="1:1" x14ac:dyDescent="0.3">
      <c r="A2707" s="12"/>
    </row>
    <row r="2708" spans="1:1" x14ac:dyDescent="0.3">
      <c r="A2708" s="12"/>
    </row>
    <row r="2709" spans="1:1" x14ac:dyDescent="0.3">
      <c r="A2709" s="12"/>
    </row>
    <row r="2710" spans="1:1" x14ac:dyDescent="0.3">
      <c r="A2710" s="12"/>
    </row>
    <row r="2711" spans="1:1" x14ac:dyDescent="0.3">
      <c r="A2711" s="12"/>
    </row>
    <row r="2712" spans="1:1" x14ac:dyDescent="0.3">
      <c r="A2712" s="12"/>
    </row>
    <row r="2713" spans="1:1" x14ac:dyDescent="0.3">
      <c r="A2713" s="12"/>
    </row>
    <row r="2714" spans="1:1" x14ac:dyDescent="0.3">
      <c r="A2714" s="12"/>
    </row>
    <row r="2715" spans="1:1" x14ac:dyDescent="0.3">
      <c r="A2715" s="12"/>
    </row>
    <row r="2716" spans="1:1" x14ac:dyDescent="0.3">
      <c r="A2716" s="12"/>
    </row>
    <row r="2717" spans="1:1" x14ac:dyDescent="0.3">
      <c r="A2717" s="12"/>
    </row>
    <row r="2718" spans="1:1" x14ac:dyDescent="0.3">
      <c r="A2718" s="12"/>
    </row>
    <row r="2719" spans="1:1" x14ac:dyDescent="0.3">
      <c r="A2719" s="12"/>
    </row>
    <row r="2720" spans="1:1" x14ac:dyDescent="0.3">
      <c r="A2720" s="12"/>
    </row>
    <row r="2721" spans="1:1" x14ac:dyDescent="0.3">
      <c r="A2721" s="12"/>
    </row>
    <row r="2722" spans="1:1" x14ac:dyDescent="0.3">
      <c r="A2722" s="12"/>
    </row>
    <row r="2723" spans="1:1" x14ac:dyDescent="0.3">
      <c r="A2723" s="12"/>
    </row>
    <row r="2724" spans="1:1" x14ac:dyDescent="0.3">
      <c r="A2724" s="12"/>
    </row>
    <row r="2725" spans="1:1" x14ac:dyDescent="0.3">
      <c r="A2725" s="12"/>
    </row>
    <row r="2726" spans="1:1" x14ac:dyDescent="0.3">
      <c r="A2726" s="12"/>
    </row>
    <row r="2727" spans="1:1" x14ac:dyDescent="0.3">
      <c r="A2727" s="12"/>
    </row>
    <row r="2728" spans="1:1" x14ac:dyDescent="0.3">
      <c r="A2728" s="12"/>
    </row>
    <row r="2729" spans="1:1" x14ac:dyDescent="0.3">
      <c r="A2729" s="12"/>
    </row>
    <row r="2730" spans="1:1" x14ac:dyDescent="0.3">
      <c r="A2730" s="12"/>
    </row>
    <row r="2731" spans="1:1" x14ac:dyDescent="0.3">
      <c r="A2731" s="12"/>
    </row>
    <row r="2732" spans="1:1" x14ac:dyDescent="0.3">
      <c r="A2732" s="12"/>
    </row>
    <row r="2733" spans="1:1" x14ac:dyDescent="0.3">
      <c r="A2733" s="12"/>
    </row>
    <row r="2734" spans="1:1" x14ac:dyDescent="0.3">
      <c r="A2734" s="12"/>
    </row>
    <row r="2735" spans="1:1" x14ac:dyDescent="0.3">
      <c r="A2735" s="12"/>
    </row>
    <row r="2736" spans="1:1" x14ac:dyDescent="0.3">
      <c r="A2736" s="12"/>
    </row>
    <row r="2737" spans="1:1" x14ac:dyDescent="0.3">
      <c r="A2737" s="12"/>
    </row>
    <row r="2738" spans="1:1" x14ac:dyDescent="0.3">
      <c r="A2738" s="12"/>
    </row>
    <row r="2739" spans="1:1" x14ac:dyDescent="0.3">
      <c r="A2739" s="12"/>
    </row>
    <row r="2740" spans="1:1" x14ac:dyDescent="0.3">
      <c r="A2740" s="12"/>
    </row>
    <row r="2741" spans="1:1" x14ac:dyDescent="0.3">
      <c r="A2741" s="12"/>
    </row>
    <row r="2742" spans="1:1" x14ac:dyDescent="0.3">
      <c r="A2742" s="12"/>
    </row>
    <row r="2743" spans="1:1" x14ac:dyDescent="0.3">
      <c r="A2743" s="12"/>
    </row>
    <row r="2744" spans="1:1" x14ac:dyDescent="0.3">
      <c r="A2744" s="12"/>
    </row>
    <row r="2745" spans="1:1" x14ac:dyDescent="0.3">
      <c r="A2745" s="12"/>
    </row>
    <row r="2746" spans="1:1" x14ac:dyDescent="0.3">
      <c r="A2746" s="12"/>
    </row>
    <row r="2747" spans="1:1" x14ac:dyDescent="0.3">
      <c r="A2747" s="12"/>
    </row>
    <row r="2748" spans="1:1" x14ac:dyDescent="0.3">
      <c r="A2748" s="12"/>
    </row>
    <row r="2749" spans="1:1" x14ac:dyDescent="0.3">
      <c r="A2749" s="12"/>
    </row>
    <row r="2750" spans="1:1" x14ac:dyDescent="0.3">
      <c r="A2750" s="12"/>
    </row>
    <row r="2751" spans="1:1" x14ac:dyDescent="0.3">
      <c r="A2751" s="12"/>
    </row>
    <row r="2752" spans="1:1" x14ac:dyDescent="0.3">
      <c r="A2752" s="12"/>
    </row>
    <row r="2753" spans="1:1" x14ac:dyDescent="0.3">
      <c r="A2753" s="12"/>
    </row>
    <row r="2754" spans="1:1" x14ac:dyDescent="0.3">
      <c r="A2754" s="12"/>
    </row>
    <row r="2755" spans="1:1" x14ac:dyDescent="0.3">
      <c r="A2755" s="12"/>
    </row>
    <row r="2756" spans="1:1" x14ac:dyDescent="0.3">
      <c r="A2756" s="12"/>
    </row>
    <row r="2757" spans="1:1" x14ac:dyDescent="0.3">
      <c r="A2757" s="12"/>
    </row>
    <row r="2758" spans="1:1" x14ac:dyDescent="0.3">
      <c r="A2758" s="12"/>
    </row>
    <row r="2759" spans="1:1" x14ac:dyDescent="0.3">
      <c r="A2759" s="12"/>
    </row>
    <row r="2760" spans="1:1" x14ac:dyDescent="0.3">
      <c r="A2760" s="12"/>
    </row>
    <row r="2761" spans="1:1" x14ac:dyDescent="0.3">
      <c r="A2761" s="12"/>
    </row>
    <row r="2762" spans="1:1" x14ac:dyDescent="0.3">
      <c r="A2762" s="12"/>
    </row>
    <row r="2763" spans="1:1" x14ac:dyDescent="0.3">
      <c r="A2763" s="12"/>
    </row>
    <row r="2764" spans="1:1" x14ac:dyDescent="0.3">
      <c r="A2764" s="12"/>
    </row>
    <row r="2765" spans="1:1" x14ac:dyDescent="0.3">
      <c r="A2765" s="12"/>
    </row>
    <row r="2766" spans="1:1" x14ac:dyDescent="0.3">
      <c r="A2766" s="12"/>
    </row>
    <row r="2767" spans="1:1" x14ac:dyDescent="0.3">
      <c r="A2767" s="12"/>
    </row>
    <row r="2768" spans="1:1" x14ac:dyDescent="0.3">
      <c r="A2768" s="12"/>
    </row>
    <row r="2769" spans="1:1" x14ac:dyDescent="0.3">
      <c r="A2769" s="12"/>
    </row>
    <row r="2770" spans="1:1" x14ac:dyDescent="0.3">
      <c r="A2770" s="12"/>
    </row>
    <row r="2771" spans="1:1" x14ac:dyDescent="0.3">
      <c r="A2771" s="12"/>
    </row>
    <row r="2772" spans="1:1" x14ac:dyDescent="0.3">
      <c r="A2772" s="12"/>
    </row>
    <row r="2773" spans="1:1" x14ac:dyDescent="0.3">
      <c r="A2773" s="12"/>
    </row>
    <row r="2774" spans="1:1" x14ac:dyDescent="0.3">
      <c r="A2774" s="12"/>
    </row>
    <row r="2775" spans="1:1" x14ac:dyDescent="0.3">
      <c r="A2775" s="12"/>
    </row>
    <row r="2776" spans="1:1" x14ac:dyDescent="0.3">
      <c r="A2776" s="12"/>
    </row>
    <row r="2777" spans="1:1" x14ac:dyDescent="0.3">
      <c r="A2777" s="12"/>
    </row>
    <row r="2778" spans="1:1" x14ac:dyDescent="0.3">
      <c r="A2778" s="12"/>
    </row>
    <row r="2779" spans="1:1" x14ac:dyDescent="0.3">
      <c r="A2779" s="12"/>
    </row>
    <row r="2780" spans="1:1" x14ac:dyDescent="0.3">
      <c r="A2780" s="12"/>
    </row>
    <row r="2781" spans="1:1" x14ac:dyDescent="0.3">
      <c r="A2781" s="12"/>
    </row>
    <row r="2782" spans="1:1" x14ac:dyDescent="0.3">
      <c r="A2782" s="12"/>
    </row>
    <row r="2783" spans="1:1" x14ac:dyDescent="0.3">
      <c r="A2783" s="12"/>
    </row>
    <row r="2784" spans="1:1" x14ac:dyDescent="0.3">
      <c r="A2784" s="12"/>
    </row>
    <row r="2785" spans="1:1" x14ac:dyDescent="0.3">
      <c r="A2785" s="12"/>
    </row>
    <row r="2786" spans="1:1" x14ac:dyDescent="0.3">
      <c r="A2786" s="12"/>
    </row>
    <row r="2787" spans="1:1" x14ac:dyDescent="0.3">
      <c r="A2787" s="12"/>
    </row>
    <row r="2788" spans="1:1" x14ac:dyDescent="0.3">
      <c r="A2788" s="12"/>
    </row>
    <row r="2789" spans="1:1" x14ac:dyDescent="0.3">
      <c r="A2789" s="12"/>
    </row>
    <row r="2790" spans="1:1" x14ac:dyDescent="0.3">
      <c r="A2790" s="12"/>
    </row>
    <row r="2791" spans="1:1" x14ac:dyDescent="0.3">
      <c r="A2791" s="12"/>
    </row>
    <row r="2792" spans="1:1" x14ac:dyDescent="0.3">
      <c r="A2792" s="12"/>
    </row>
    <row r="2793" spans="1:1" x14ac:dyDescent="0.3">
      <c r="A2793" s="12"/>
    </row>
    <row r="2794" spans="1:1" x14ac:dyDescent="0.3">
      <c r="A2794" s="12"/>
    </row>
    <row r="2795" spans="1:1" x14ac:dyDescent="0.3">
      <c r="A2795" s="12"/>
    </row>
    <row r="2796" spans="1:1" x14ac:dyDescent="0.3">
      <c r="A2796" s="12"/>
    </row>
    <row r="2797" spans="1:1" x14ac:dyDescent="0.3">
      <c r="A2797" s="12"/>
    </row>
    <row r="2798" spans="1:1" x14ac:dyDescent="0.3">
      <c r="A2798" s="12"/>
    </row>
    <row r="2799" spans="1:1" x14ac:dyDescent="0.3">
      <c r="A2799" s="12"/>
    </row>
    <row r="2800" spans="1:1" x14ac:dyDescent="0.3">
      <c r="A2800" s="12"/>
    </row>
    <row r="2801" spans="1:1" x14ac:dyDescent="0.3">
      <c r="A2801" s="12"/>
    </row>
    <row r="2802" spans="1:1" x14ac:dyDescent="0.3">
      <c r="A2802" s="12"/>
    </row>
    <row r="2803" spans="1:1" x14ac:dyDescent="0.3">
      <c r="A2803" s="12"/>
    </row>
    <row r="2804" spans="1:1" x14ac:dyDescent="0.3">
      <c r="A2804" s="12"/>
    </row>
    <row r="2805" spans="1:1" x14ac:dyDescent="0.3">
      <c r="A2805" s="12"/>
    </row>
    <row r="2806" spans="1:1" x14ac:dyDescent="0.3">
      <c r="A2806" s="12"/>
    </row>
    <row r="2807" spans="1:1" x14ac:dyDescent="0.3">
      <c r="A2807" s="12"/>
    </row>
    <row r="2808" spans="1:1" x14ac:dyDescent="0.3">
      <c r="A2808" s="12"/>
    </row>
    <row r="2809" spans="1:1" x14ac:dyDescent="0.3">
      <c r="A2809" s="12"/>
    </row>
    <row r="2810" spans="1:1" x14ac:dyDescent="0.3">
      <c r="A2810" s="12"/>
    </row>
    <row r="2811" spans="1:1" x14ac:dyDescent="0.3">
      <c r="A2811" s="12"/>
    </row>
    <row r="2812" spans="1:1" x14ac:dyDescent="0.3">
      <c r="A2812" s="12"/>
    </row>
    <row r="2813" spans="1:1" x14ac:dyDescent="0.3">
      <c r="A2813" s="12"/>
    </row>
    <row r="2814" spans="1:1" x14ac:dyDescent="0.3">
      <c r="A2814" s="12"/>
    </row>
    <row r="2815" spans="1:1" x14ac:dyDescent="0.3">
      <c r="A2815" s="12"/>
    </row>
    <row r="2816" spans="1:1" x14ac:dyDescent="0.3">
      <c r="A2816" s="12"/>
    </row>
    <row r="2817" spans="1:1" x14ac:dyDescent="0.3">
      <c r="A2817" s="12"/>
    </row>
    <row r="2818" spans="1:1" x14ac:dyDescent="0.3">
      <c r="A2818" s="12"/>
    </row>
    <row r="2819" spans="1:1" x14ac:dyDescent="0.3">
      <c r="A2819" s="12"/>
    </row>
    <row r="2820" spans="1:1" x14ac:dyDescent="0.3">
      <c r="A2820" s="12"/>
    </row>
    <row r="2821" spans="1:1" x14ac:dyDescent="0.3">
      <c r="A2821" s="12"/>
    </row>
    <row r="2822" spans="1:1" x14ac:dyDescent="0.3">
      <c r="A2822" s="12"/>
    </row>
    <row r="2823" spans="1:1" x14ac:dyDescent="0.3">
      <c r="A2823" s="12"/>
    </row>
    <row r="2824" spans="1:1" x14ac:dyDescent="0.3">
      <c r="A2824" s="12"/>
    </row>
    <row r="2825" spans="1:1" x14ac:dyDescent="0.3">
      <c r="A2825" s="12"/>
    </row>
    <row r="2826" spans="1:1" x14ac:dyDescent="0.3">
      <c r="A2826" s="12"/>
    </row>
    <row r="2827" spans="1:1" x14ac:dyDescent="0.3">
      <c r="A2827" s="12"/>
    </row>
    <row r="2828" spans="1:1" x14ac:dyDescent="0.3">
      <c r="A2828" s="12"/>
    </row>
    <row r="2829" spans="1:1" x14ac:dyDescent="0.3">
      <c r="A2829" s="12"/>
    </row>
    <row r="2830" spans="1:1" x14ac:dyDescent="0.3">
      <c r="A2830" s="12"/>
    </row>
    <row r="2831" spans="1:1" x14ac:dyDescent="0.3">
      <c r="A2831" s="12"/>
    </row>
    <row r="2832" spans="1:1" x14ac:dyDescent="0.3">
      <c r="A2832" s="12"/>
    </row>
    <row r="2833" spans="1:1" x14ac:dyDescent="0.3">
      <c r="A2833" s="12"/>
    </row>
    <row r="2834" spans="1:1" x14ac:dyDescent="0.3">
      <c r="A2834" s="12"/>
    </row>
    <row r="2835" spans="1:1" x14ac:dyDescent="0.3">
      <c r="A2835" s="12"/>
    </row>
    <row r="2836" spans="1:1" x14ac:dyDescent="0.3">
      <c r="A2836" s="12"/>
    </row>
    <row r="2837" spans="1:1" x14ac:dyDescent="0.3">
      <c r="A2837" s="12"/>
    </row>
    <row r="2838" spans="1:1" x14ac:dyDescent="0.3">
      <c r="A2838" s="12"/>
    </row>
    <row r="2839" spans="1:1" x14ac:dyDescent="0.3">
      <c r="A2839" s="12"/>
    </row>
    <row r="2840" spans="1:1" x14ac:dyDescent="0.3">
      <c r="A2840" s="12"/>
    </row>
    <row r="2841" spans="1:1" x14ac:dyDescent="0.3">
      <c r="A2841" s="12"/>
    </row>
    <row r="2842" spans="1:1" x14ac:dyDescent="0.3">
      <c r="A2842" s="12"/>
    </row>
    <row r="2843" spans="1:1" x14ac:dyDescent="0.3">
      <c r="A2843" s="12"/>
    </row>
    <row r="2844" spans="1:1" x14ac:dyDescent="0.3">
      <c r="A2844" s="12"/>
    </row>
    <row r="2845" spans="1:1" x14ac:dyDescent="0.3">
      <c r="A2845" s="12"/>
    </row>
    <row r="2846" spans="1:1" x14ac:dyDescent="0.3">
      <c r="A2846" s="12"/>
    </row>
    <row r="2847" spans="1:1" x14ac:dyDescent="0.3">
      <c r="A2847" s="12"/>
    </row>
    <row r="2848" spans="1:1" x14ac:dyDescent="0.3">
      <c r="A2848" s="12"/>
    </row>
    <row r="2849" spans="1:1" x14ac:dyDescent="0.3">
      <c r="A2849" s="12"/>
    </row>
    <row r="2850" spans="1:1" x14ac:dyDescent="0.3">
      <c r="A2850" s="12"/>
    </row>
    <row r="2851" spans="1:1" x14ac:dyDescent="0.3">
      <c r="A2851" s="12"/>
    </row>
    <row r="2852" spans="1:1" x14ac:dyDescent="0.3">
      <c r="A2852" s="12"/>
    </row>
    <row r="2853" spans="1:1" x14ac:dyDescent="0.3">
      <c r="A2853" s="12"/>
    </row>
    <row r="2854" spans="1:1" x14ac:dyDescent="0.3">
      <c r="A2854" s="12"/>
    </row>
    <row r="2855" spans="1:1" x14ac:dyDescent="0.3">
      <c r="A2855" s="12"/>
    </row>
    <row r="2856" spans="1:1" x14ac:dyDescent="0.3">
      <c r="A2856" s="12"/>
    </row>
    <row r="2857" spans="1:1" x14ac:dyDescent="0.3">
      <c r="A2857" s="12"/>
    </row>
    <row r="2858" spans="1:1" x14ac:dyDescent="0.3">
      <c r="A2858" s="12"/>
    </row>
    <row r="2859" spans="1:1" x14ac:dyDescent="0.3">
      <c r="A2859" s="12"/>
    </row>
    <row r="2860" spans="1:1" x14ac:dyDescent="0.3">
      <c r="A2860" s="12"/>
    </row>
    <row r="2861" spans="1:1" x14ac:dyDescent="0.3">
      <c r="A2861" s="12"/>
    </row>
    <row r="2862" spans="1:1" x14ac:dyDescent="0.3">
      <c r="A2862" s="12"/>
    </row>
    <row r="2863" spans="1:1" x14ac:dyDescent="0.3">
      <c r="A2863" s="12"/>
    </row>
    <row r="2864" spans="1:1" x14ac:dyDescent="0.3">
      <c r="A2864" s="12"/>
    </row>
    <row r="2865" spans="1:1" x14ac:dyDescent="0.3">
      <c r="A2865" s="12"/>
    </row>
    <row r="2866" spans="1:1" x14ac:dyDescent="0.3">
      <c r="A2866" s="12"/>
    </row>
    <row r="2867" spans="1:1" x14ac:dyDescent="0.3">
      <c r="A2867" s="12"/>
    </row>
    <row r="2868" spans="1:1" x14ac:dyDescent="0.3">
      <c r="A2868" s="12"/>
    </row>
    <row r="2869" spans="1:1" x14ac:dyDescent="0.3">
      <c r="A2869" s="12"/>
    </row>
    <row r="2870" spans="1:1" x14ac:dyDescent="0.3">
      <c r="A2870" s="12"/>
    </row>
    <row r="2871" spans="1:1" x14ac:dyDescent="0.3">
      <c r="A2871" s="12"/>
    </row>
    <row r="2872" spans="1:1" x14ac:dyDescent="0.3">
      <c r="A2872" s="12"/>
    </row>
    <row r="2873" spans="1:1" x14ac:dyDescent="0.3">
      <c r="A2873" s="12"/>
    </row>
    <row r="2874" spans="1:1" x14ac:dyDescent="0.3">
      <c r="A2874" s="12"/>
    </row>
    <row r="2875" spans="1:1" x14ac:dyDescent="0.3">
      <c r="A2875" s="12"/>
    </row>
    <row r="2876" spans="1:1" x14ac:dyDescent="0.3">
      <c r="A2876" s="12"/>
    </row>
    <row r="2877" spans="1:1" x14ac:dyDescent="0.3">
      <c r="A2877" s="12"/>
    </row>
    <row r="2878" spans="1:1" x14ac:dyDescent="0.3">
      <c r="A2878" s="12"/>
    </row>
    <row r="2879" spans="1:1" x14ac:dyDescent="0.3">
      <c r="A2879" s="12"/>
    </row>
    <row r="2880" spans="1:1" x14ac:dyDescent="0.3">
      <c r="A2880" s="12"/>
    </row>
    <row r="2881" spans="1:1" x14ac:dyDescent="0.3">
      <c r="A2881" s="12"/>
    </row>
    <row r="2882" spans="1:1" x14ac:dyDescent="0.3">
      <c r="A2882" s="12"/>
    </row>
    <row r="2883" spans="1:1" x14ac:dyDescent="0.3">
      <c r="A2883" s="12"/>
    </row>
    <row r="2884" spans="1:1" x14ac:dyDescent="0.3">
      <c r="A2884" s="12"/>
    </row>
    <row r="2885" spans="1:1" x14ac:dyDescent="0.3">
      <c r="A2885" s="12"/>
    </row>
    <row r="2886" spans="1:1" x14ac:dyDescent="0.3">
      <c r="A2886" s="12"/>
    </row>
    <row r="2887" spans="1:1" x14ac:dyDescent="0.3">
      <c r="A2887" s="12"/>
    </row>
    <row r="2888" spans="1:1" x14ac:dyDescent="0.3">
      <c r="A2888" s="12"/>
    </row>
    <row r="2889" spans="1:1" x14ac:dyDescent="0.3">
      <c r="A2889" s="12"/>
    </row>
    <row r="2890" spans="1:1" x14ac:dyDescent="0.3">
      <c r="A2890" s="12"/>
    </row>
    <row r="2891" spans="1:1" x14ac:dyDescent="0.3">
      <c r="A2891" s="12"/>
    </row>
    <row r="2892" spans="1:1" x14ac:dyDescent="0.3">
      <c r="A2892" s="12"/>
    </row>
    <row r="2893" spans="1:1" x14ac:dyDescent="0.3">
      <c r="A2893" s="12"/>
    </row>
    <row r="2894" spans="1:1" x14ac:dyDescent="0.3">
      <c r="A2894" s="12"/>
    </row>
    <row r="2895" spans="1:1" x14ac:dyDescent="0.3">
      <c r="A2895" s="12"/>
    </row>
    <row r="2896" spans="1:1" x14ac:dyDescent="0.3">
      <c r="A2896" s="12"/>
    </row>
    <row r="2897" spans="1:1" x14ac:dyDescent="0.3">
      <c r="A2897" s="12"/>
    </row>
    <row r="2898" spans="1:1" x14ac:dyDescent="0.3">
      <c r="A2898" s="12"/>
    </row>
    <row r="2899" spans="1:1" x14ac:dyDescent="0.3">
      <c r="A2899" s="12"/>
    </row>
    <row r="2900" spans="1:1" x14ac:dyDescent="0.3">
      <c r="A2900" s="12"/>
    </row>
    <row r="2901" spans="1:1" x14ac:dyDescent="0.3">
      <c r="A2901" s="12"/>
    </row>
    <row r="2902" spans="1:1" x14ac:dyDescent="0.3">
      <c r="A2902" s="12"/>
    </row>
    <row r="2903" spans="1:1" x14ac:dyDescent="0.3">
      <c r="A2903" s="12"/>
    </row>
    <row r="2904" spans="1:1" x14ac:dyDescent="0.3">
      <c r="A2904" s="12"/>
    </row>
    <row r="2905" spans="1:1" x14ac:dyDescent="0.3">
      <c r="A2905" s="12"/>
    </row>
    <row r="2906" spans="1:1" x14ac:dyDescent="0.3">
      <c r="A2906" s="12"/>
    </row>
    <row r="2907" spans="1:1" x14ac:dyDescent="0.3">
      <c r="A2907" s="12"/>
    </row>
    <row r="2908" spans="1:1" x14ac:dyDescent="0.3">
      <c r="A2908" s="12"/>
    </row>
    <row r="2909" spans="1:1" x14ac:dyDescent="0.3">
      <c r="A2909" s="12"/>
    </row>
    <row r="2910" spans="1:1" x14ac:dyDescent="0.3">
      <c r="A2910" s="12"/>
    </row>
    <row r="2911" spans="1:1" x14ac:dyDescent="0.3">
      <c r="A2911" s="12"/>
    </row>
    <row r="2912" spans="1:1" x14ac:dyDescent="0.3">
      <c r="A2912" s="12"/>
    </row>
    <row r="2913" spans="1:1" x14ac:dyDescent="0.3">
      <c r="A2913" s="12"/>
    </row>
    <row r="2914" spans="1:1" x14ac:dyDescent="0.3">
      <c r="A2914" s="12"/>
    </row>
    <row r="2915" spans="1:1" x14ac:dyDescent="0.3">
      <c r="A2915" s="12"/>
    </row>
    <row r="2916" spans="1:1" x14ac:dyDescent="0.3">
      <c r="A2916" s="12"/>
    </row>
    <row r="2917" spans="1:1" x14ac:dyDescent="0.3">
      <c r="A2917" s="12"/>
    </row>
    <row r="2918" spans="1:1" x14ac:dyDescent="0.3">
      <c r="A2918" s="12"/>
    </row>
    <row r="2919" spans="1:1" x14ac:dyDescent="0.3">
      <c r="A2919" s="12"/>
    </row>
    <row r="2920" spans="1:1" x14ac:dyDescent="0.3">
      <c r="A2920" s="12"/>
    </row>
    <row r="2921" spans="1:1" x14ac:dyDescent="0.3">
      <c r="A2921" s="12"/>
    </row>
    <row r="2922" spans="1:1" x14ac:dyDescent="0.3">
      <c r="A2922" s="12"/>
    </row>
    <row r="2923" spans="1:1" x14ac:dyDescent="0.3">
      <c r="A2923" s="12"/>
    </row>
    <row r="2924" spans="1:1" x14ac:dyDescent="0.3">
      <c r="A2924" s="12"/>
    </row>
    <row r="2925" spans="1:1" x14ac:dyDescent="0.3">
      <c r="A2925" s="12"/>
    </row>
    <row r="2926" spans="1:1" x14ac:dyDescent="0.3">
      <c r="A2926" s="12"/>
    </row>
    <row r="2927" spans="1:1" x14ac:dyDescent="0.3">
      <c r="A2927" s="12"/>
    </row>
    <row r="2928" spans="1:1" x14ac:dyDescent="0.3">
      <c r="A2928" s="12"/>
    </row>
    <row r="2929" spans="1:1" x14ac:dyDescent="0.3">
      <c r="A2929" s="12"/>
    </row>
    <row r="2930" spans="1:1" x14ac:dyDescent="0.3">
      <c r="A2930" s="12"/>
    </row>
    <row r="2931" spans="1:1" x14ac:dyDescent="0.3">
      <c r="A2931" s="12"/>
    </row>
    <row r="2932" spans="1:1" x14ac:dyDescent="0.3">
      <c r="A2932" s="12"/>
    </row>
    <row r="2933" spans="1:1" x14ac:dyDescent="0.3">
      <c r="A2933" s="12"/>
    </row>
    <row r="2934" spans="1:1" x14ac:dyDescent="0.3">
      <c r="A2934" s="12"/>
    </row>
    <row r="2935" spans="1:1" x14ac:dyDescent="0.3">
      <c r="A2935" s="12"/>
    </row>
    <row r="2936" spans="1:1" x14ac:dyDescent="0.3">
      <c r="A2936" s="12"/>
    </row>
    <row r="2937" spans="1:1" x14ac:dyDescent="0.3">
      <c r="A2937" s="12"/>
    </row>
    <row r="2938" spans="1:1" x14ac:dyDescent="0.3">
      <c r="A2938" s="12"/>
    </row>
    <row r="2939" spans="1:1" x14ac:dyDescent="0.3">
      <c r="A2939" s="12"/>
    </row>
    <row r="2940" spans="1:1" x14ac:dyDescent="0.3">
      <c r="A2940" s="12"/>
    </row>
    <row r="2941" spans="1:1" x14ac:dyDescent="0.3">
      <c r="A2941" s="12"/>
    </row>
    <row r="2942" spans="1:1" x14ac:dyDescent="0.3">
      <c r="A2942" s="12"/>
    </row>
    <row r="2943" spans="1:1" x14ac:dyDescent="0.3">
      <c r="A2943" s="12"/>
    </row>
    <row r="2944" spans="1:1" x14ac:dyDescent="0.3">
      <c r="A2944" s="12"/>
    </row>
    <row r="2945" spans="1:1" x14ac:dyDescent="0.3">
      <c r="A2945" s="12"/>
    </row>
    <row r="2946" spans="1:1" x14ac:dyDescent="0.3">
      <c r="A2946" s="12"/>
    </row>
    <row r="2947" spans="1:1" x14ac:dyDescent="0.3">
      <c r="A2947" s="12"/>
    </row>
    <row r="2948" spans="1:1" x14ac:dyDescent="0.3">
      <c r="A2948" s="12"/>
    </row>
    <row r="2949" spans="1:1" x14ac:dyDescent="0.3">
      <c r="A2949" s="12"/>
    </row>
    <row r="2950" spans="1:1" x14ac:dyDescent="0.3">
      <c r="A2950" s="12"/>
    </row>
    <row r="2951" spans="1:1" x14ac:dyDescent="0.3">
      <c r="A2951" s="12"/>
    </row>
    <row r="2952" spans="1:1" x14ac:dyDescent="0.3">
      <c r="A2952" s="12"/>
    </row>
    <row r="2953" spans="1:1" x14ac:dyDescent="0.3">
      <c r="A2953" s="12"/>
    </row>
    <row r="2954" spans="1:1" x14ac:dyDescent="0.3">
      <c r="A2954" s="12"/>
    </row>
    <row r="2955" spans="1:1" x14ac:dyDescent="0.3">
      <c r="A2955" s="12"/>
    </row>
    <row r="2956" spans="1:1" x14ac:dyDescent="0.3">
      <c r="A2956" s="12"/>
    </row>
    <row r="2957" spans="1:1" x14ac:dyDescent="0.3">
      <c r="A2957" s="12"/>
    </row>
    <row r="2958" spans="1:1" x14ac:dyDescent="0.3">
      <c r="A2958" s="12"/>
    </row>
    <row r="2959" spans="1:1" x14ac:dyDescent="0.3">
      <c r="A2959" s="12"/>
    </row>
    <row r="2960" spans="1:1" x14ac:dyDescent="0.3">
      <c r="A2960" s="12"/>
    </row>
    <row r="2961" spans="1:1" x14ac:dyDescent="0.3">
      <c r="A2961" s="12"/>
    </row>
    <row r="2962" spans="1:1" x14ac:dyDescent="0.3">
      <c r="A2962" s="12"/>
    </row>
    <row r="2963" spans="1:1" x14ac:dyDescent="0.3">
      <c r="A2963" s="12"/>
    </row>
    <row r="2964" spans="1:1" x14ac:dyDescent="0.3">
      <c r="A2964" s="12"/>
    </row>
    <row r="2965" spans="1:1" x14ac:dyDescent="0.3">
      <c r="A2965" s="12"/>
    </row>
    <row r="2966" spans="1:1" x14ac:dyDescent="0.3">
      <c r="A2966" s="12"/>
    </row>
    <row r="2967" spans="1:1" x14ac:dyDescent="0.3">
      <c r="A2967" s="12"/>
    </row>
    <row r="2968" spans="1:1" x14ac:dyDescent="0.3">
      <c r="A2968" s="12"/>
    </row>
    <row r="2969" spans="1:1" x14ac:dyDescent="0.3">
      <c r="A2969" s="12"/>
    </row>
    <row r="2970" spans="1:1" x14ac:dyDescent="0.3">
      <c r="A2970" s="12"/>
    </row>
    <row r="2971" spans="1:1" x14ac:dyDescent="0.3">
      <c r="A2971" s="12"/>
    </row>
    <row r="2972" spans="1:1" x14ac:dyDescent="0.3">
      <c r="A2972" s="12"/>
    </row>
    <row r="2973" spans="1:1" x14ac:dyDescent="0.3">
      <c r="A2973" s="12"/>
    </row>
    <row r="2974" spans="1:1" x14ac:dyDescent="0.3">
      <c r="A2974" s="12"/>
    </row>
    <row r="2975" spans="1:1" x14ac:dyDescent="0.3">
      <c r="A2975" s="12"/>
    </row>
    <row r="2976" spans="1:1" x14ac:dyDescent="0.3">
      <c r="A2976" s="12"/>
    </row>
    <row r="2977" spans="1:1" x14ac:dyDescent="0.3">
      <c r="A2977" s="12"/>
    </row>
    <row r="2978" spans="1:1" x14ac:dyDescent="0.3">
      <c r="A2978" s="12"/>
    </row>
    <row r="2979" spans="1:1" x14ac:dyDescent="0.3">
      <c r="A2979" s="12"/>
    </row>
    <row r="2980" spans="1:1" x14ac:dyDescent="0.3">
      <c r="A2980" s="12"/>
    </row>
    <row r="2981" spans="1:1" x14ac:dyDescent="0.3">
      <c r="A2981" s="12"/>
    </row>
    <row r="2982" spans="1:1" x14ac:dyDescent="0.3">
      <c r="A2982" s="12"/>
    </row>
    <row r="2983" spans="1:1" x14ac:dyDescent="0.3">
      <c r="A2983" s="12"/>
    </row>
    <row r="2984" spans="1:1" x14ac:dyDescent="0.3">
      <c r="A2984" s="12"/>
    </row>
    <row r="2985" spans="1:1" x14ac:dyDescent="0.3">
      <c r="A2985" s="12"/>
    </row>
    <row r="2986" spans="1:1" x14ac:dyDescent="0.3">
      <c r="A2986" s="12"/>
    </row>
    <row r="2987" spans="1:1" x14ac:dyDescent="0.3">
      <c r="A2987" s="12"/>
    </row>
    <row r="2988" spans="1:1" x14ac:dyDescent="0.3">
      <c r="A2988" s="12"/>
    </row>
    <row r="2989" spans="1:1" x14ac:dyDescent="0.3">
      <c r="A2989" s="12"/>
    </row>
    <row r="2990" spans="1:1" x14ac:dyDescent="0.3">
      <c r="A2990" s="12"/>
    </row>
    <row r="2991" spans="1:1" x14ac:dyDescent="0.3">
      <c r="A2991" s="12"/>
    </row>
    <row r="2992" spans="1:1" x14ac:dyDescent="0.3">
      <c r="A2992" s="12"/>
    </row>
    <row r="2993" spans="1:1" x14ac:dyDescent="0.3">
      <c r="A2993" s="12"/>
    </row>
    <row r="2994" spans="1:1" x14ac:dyDescent="0.3">
      <c r="A2994" s="12"/>
    </row>
    <row r="2995" spans="1:1" x14ac:dyDescent="0.3">
      <c r="A2995" s="12"/>
    </row>
    <row r="2996" spans="1:1" x14ac:dyDescent="0.3">
      <c r="A2996" s="12"/>
    </row>
    <row r="2997" spans="1:1" x14ac:dyDescent="0.3">
      <c r="A2997" s="12"/>
    </row>
    <row r="2998" spans="1:1" x14ac:dyDescent="0.3">
      <c r="A2998" s="12"/>
    </row>
    <row r="2999" spans="1:1" x14ac:dyDescent="0.3">
      <c r="A2999" s="12"/>
    </row>
    <row r="3000" spans="1:1" x14ac:dyDescent="0.3">
      <c r="A3000" s="12"/>
    </row>
    <row r="3001" spans="1:1" x14ac:dyDescent="0.3">
      <c r="A3001" s="12"/>
    </row>
    <row r="3002" spans="1:1" x14ac:dyDescent="0.3">
      <c r="A3002" s="12"/>
    </row>
    <row r="3003" spans="1:1" x14ac:dyDescent="0.3">
      <c r="A3003" s="12"/>
    </row>
    <row r="3004" spans="1:1" x14ac:dyDescent="0.3">
      <c r="A3004" s="12"/>
    </row>
    <row r="3005" spans="1:1" x14ac:dyDescent="0.3">
      <c r="A3005" s="12"/>
    </row>
    <row r="3006" spans="1:1" x14ac:dyDescent="0.3">
      <c r="A3006" s="12"/>
    </row>
    <row r="3007" spans="1:1" x14ac:dyDescent="0.3">
      <c r="A3007" s="12"/>
    </row>
    <row r="3008" spans="1:1" x14ac:dyDescent="0.3">
      <c r="A3008" s="12"/>
    </row>
    <row r="3009" spans="1:1" x14ac:dyDescent="0.3">
      <c r="A3009" s="12"/>
    </row>
    <row r="3010" spans="1:1" x14ac:dyDescent="0.3">
      <c r="A3010" s="12"/>
    </row>
    <row r="3011" spans="1:1" x14ac:dyDescent="0.3">
      <c r="A3011" s="12"/>
    </row>
    <row r="3012" spans="1:1" x14ac:dyDescent="0.3">
      <c r="A3012" s="12"/>
    </row>
    <row r="3013" spans="1:1" x14ac:dyDescent="0.3">
      <c r="A3013" s="12"/>
    </row>
    <row r="3014" spans="1:1" x14ac:dyDescent="0.3">
      <c r="A3014" s="12"/>
    </row>
    <row r="3015" spans="1:1" x14ac:dyDescent="0.3">
      <c r="A3015" s="12"/>
    </row>
    <row r="3016" spans="1:1" x14ac:dyDescent="0.3">
      <c r="A3016" s="12"/>
    </row>
    <row r="3017" spans="1:1" x14ac:dyDescent="0.3">
      <c r="A3017" s="12"/>
    </row>
    <row r="3018" spans="1:1" x14ac:dyDescent="0.3">
      <c r="A3018" s="12"/>
    </row>
    <row r="3019" spans="1:1" x14ac:dyDescent="0.3">
      <c r="A3019" s="12"/>
    </row>
    <row r="3020" spans="1:1" x14ac:dyDescent="0.3">
      <c r="A3020" s="12"/>
    </row>
    <row r="3021" spans="1:1" x14ac:dyDescent="0.3">
      <c r="A3021" s="12"/>
    </row>
    <row r="3022" spans="1:1" x14ac:dyDescent="0.3">
      <c r="A3022" s="12"/>
    </row>
    <row r="3023" spans="1:1" x14ac:dyDescent="0.3">
      <c r="A3023" s="12"/>
    </row>
    <row r="3024" spans="1:1" x14ac:dyDescent="0.3">
      <c r="A3024" s="12"/>
    </row>
    <row r="3025" spans="1:1" x14ac:dyDescent="0.3">
      <c r="A3025" s="12"/>
    </row>
    <row r="3026" spans="1:1" x14ac:dyDescent="0.3">
      <c r="A3026" s="12"/>
    </row>
    <row r="3027" spans="1:1" x14ac:dyDescent="0.3">
      <c r="A3027" s="12"/>
    </row>
    <row r="3028" spans="1:1" x14ac:dyDescent="0.3">
      <c r="A3028" s="12"/>
    </row>
    <row r="3029" spans="1:1" x14ac:dyDescent="0.3">
      <c r="A3029" s="12"/>
    </row>
    <row r="3030" spans="1:1" x14ac:dyDescent="0.3">
      <c r="A3030" s="12"/>
    </row>
    <row r="3031" spans="1:1" x14ac:dyDescent="0.3">
      <c r="A3031" s="12"/>
    </row>
    <row r="3032" spans="1:1" x14ac:dyDescent="0.3">
      <c r="A3032" s="12"/>
    </row>
    <row r="3033" spans="1:1" x14ac:dyDescent="0.3">
      <c r="A3033" s="12"/>
    </row>
    <row r="3034" spans="1:1" x14ac:dyDescent="0.3">
      <c r="A3034" s="12"/>
    </row>
    <row r="3035" spans="1:1" x14ac:dyDescent="0.3">
      <c r="A3035" s="12"/>
    </row>
    <row r="3036" spans="1:1" x14ac:dyDescent="0.3">
      <c r="A3036" s="12"/>
    </row>
    <row r="3037" spans="1:1" x14ac:dyDescent="0.3">
      <c r="A3037" s="12"/>
    </row>
    <row r="3038" spans="1:1" x14ac:dyDescent="0.3">
      <c r="A3038" s="12"/>
    </row>
    <row r="3039" spans="1:1" x14ac:dyDescent="0.3">
      <c r="A3039" s="12"/>
    </row>
    <row r="3040" spans="1:1" x14ac:dyDescent="0.3">
      <c r="A3040" s="12"/>
    </row>
    <row r="3041" spans="1:1" x14ac:dyDescent="0.3">
      <c r="A3041" s="12"/>
    </row>
    <row r="3042" spans="1:1" x14ac:dyDescent="0.3">
      <c r="A3042" s="12"/>
    </row>
    <row r="3043" spans="1:1" x14ac:dyDescent="0.3">
      <c r="A3043" s="12"/>
    </row>
    <row r="3044" spans="1:1" x14ac:dyDescent="0.3">
      <c r="A3044" s="12"/>
    </row>
    <row r="3045" spans="1:1" x14ac:dyDescent="0.3">
      <c r="A3045" s="12"/>
    </row>
    <row r="3046" spans="1:1" x14ac:dyDescent="0.3">
      <c r="A3046" s="12"/>
    </row>
    <row r="3047" spans="1:1" x14ac:dyDescent="0.3">
      <c r="A3047" s="12"/>
    </row>
    <row r="3048" spans="1:1" x14ac:dyDescent="0.3">
      <c r="A3048" s="12"/>
    </row>
    <row r="3049" spans="1:1" x14ac:dyDescent="0.3">
      <c r="A3049" s="12"/>
    </row>
    <row r="3050" spans="1:1" x14ac:dyDescent="0.3">
      <c r="A3050" s="12"/>
    </row>
    <row r="3051" spans="1:1" x14ac:dyDescent="0.3">
      <c r="A3051" s="12"/>
    </row>
    <row r="3052" spans="1:1" x14ac:dyDescent="0.3">
      <c r="A3052" s="12"/>
    </row>
    <row r="3053" spans="1:1" x14ac:dyDescent="0.3">
      <c r="A3053" s="12"/>
    </row>
    <row r="3054" spans="1:1" x14ac:dyDescent="0.3">
      <c r="A3054" s="12"/>
    </row>
    <row r="3055" spans="1:1" x14ac:dyDescent="0.3">
      <c r="A3055" s="12"/>
    </row>
    <row r="3056" spans="1:1" x14ac:dyDescent="0.3">
      <c r="A3056" s="12"/>
    </row>
    <row r="3057" spans="1:1" x14ac:dyDescent="0.3">
      <c r="A3057" s="12"/>
    </row>
    <row r="3058" spans="1:1" x14ac:dyDescent="0.3">
      <c r="A3058" s="12"/>
    </row>
    <row r="3059" spans="1:1" x14ac:dyDescent="0.3">
      <c r="A3059" s="12"/>
    </row>
    <row r="3060" spans="1:1" x14ac:dyDescent="0.3">
      <c r="A3060" s="12"/>
    </row>
    <row r="3061" spans="1:1" x14ac:dyDescent="0.3">
      <c r="A3061" s="12"/>
    </row>
    <row r="3062" spans="1:1" x14ac:dyDescent="0.3">
      <c r="A3062" s="12"/>
    </row>
    <row r="3063" spans="1:1" x14ac:dyDescent="0.3">
      <c r="A3063" s="12"/>
    </row>
    <row r="3064" spans="1:1" x14ac:dyDescent="0.3">
      <c r="A3064" s="12"/>
    </row>
    <row r="3065" spans="1:1" x14ac:dyDescent="0.3">
      <c r="A3065" s="12"/>
    </row>
    <row r="3066" spans="1:1" x14ac:dyDescent="0.3">
      <c r="A3066" s="12"/>
    </row>
    <row r="3067" spans="1:1" x14ac:dyDescent="0.3">
      <c r="A3067" s="12"/>
    </row>
    <row r="3068" spans="1:1" x14ac:dyDescent="0.3">
      <c r="A3068" s="12"/>
    </row>
    <row r="3069" spans="1:1" x14ac:dyDescent="0.3">
      <c r="A3069" s="12"/>
    </row>
    <row r="3070" spans="1:1" x14ac:dyDescent="0.3">
      <c r="A3070" s="12"/>
    </row>
    <row r="3071" spans="1:1" x14ac:dyDescent="0.3">
      <c r="A3071" s="12"/>
    </row>
    <row r="3072" spans="1:1" x14ac:dyDescent="0.3">
      <c r="A3072" s="12"/>
    </row>
    <row r="3073" spans="1:1" x14ac:dyDescent="0.3">
      <c r="A3073" s="12"/>
    </row>
    <row r="3074" spans="1:1" x14ac:dyDescent="0.3">
      <c r="A3074" s="12"/>
    </row>
    <row r="3075" spans="1:1" x14ac:dyDescent="0.3">
      <c r="A3075" s="12"/>
    </row>
    <row r="3076" spans="1:1" x14ac:dyDescent="0.3">
      <c r="A3076" s="12"/>
    </row>
    <row r="3077" spans="1:1" x14ac:dyDescent="0.3">
      <c r="A3077" s="12"/>
    </row>
    <row r="3078" spans="1:1" x14ac:dyDescent="0.3">
      <c r="A3078" s="12"/>
    </row>
    <row r="3079" spans="1:1" x14ac:dyDescent="0.3">
      <c r="A3079" s="12"/>
    </row>
    <row r="3080" spans="1:1" x14ac:dyDescent="0.3">
      <c r="A3080" s="12"/>
    </row>
    <row r="3081" spans="1:1" x14ac:dyDescent="0.3">
      <c r="A3081" s="12"/>
    </row>
    <row r="3082" spans="1:1" x14ac:dyDescent="0.3">
      <c r="A3082" s="12"/>
    </row>
    <row r="3083" spans="1:1" x14ac:dyDescent="0.3">
      <c r="A3083" s="12"/>
    </row>
    <row r="3084" spans="1:1" x14ac:dyDescent="0.3">
      <c r="A3084" s="12"/>
    </row>
    <row r="3085" spans="1:1" x14ac:dyDescent="0.3">
      <c r="A3085" s="12"/>
    </row>
    <row r="3086" spans="1:1" x14ac:dyDescent="0.3">
      <c r="A3086" s="12"/>
    </row>
    <row r="3087" spans="1:1" x14ac:dyDescent="0.3">
      <c r="A3087" s="12"/>
    </row>
    <row r="3088" spans="1:1" x14ac:dyDescent="0.3">
      <c r="A3088" s="12"/>
    </row>
    <row r="3089" spans="1:1" x14ac:dyDescent="0.3">
      <c r="A3089" s="12"/>
    </row>
    <row r="3090" spans="1:1" x14ac:dyDescent="0.3">
      <c r="A3090" s="12"/>
    </row>
    <row r="3091" spans="1:1" x14ac:dyDescent="0.3">
      <c r="A3091" s="12"/>
    </row>
    <row r="3092" spans="1:1" x14ac:dyDescent="0.3">
      <c r="A3092" s="12"/>
    </row>
    <row r="3093" spans="1:1" x14ac:dyDescent="0.3">
      <c r="A3093" s="12"/>
    </row>
    <row r="3094" spans="1:1" x14ac:dyDescent="0.3">
      <c r="A3094" s="12"/>
    </row>
    <row r="3095" spans="1:1" x14ac:dyDescent="0.3">
      <c r="A3095" s="12"/>
    </row>
    <row r="3096" spans="1:1" x14ac:dyDescent="0.3">
      <c r="A3096" s="12"/>
    </row>
    <row r="3097" spans="1:1" x14ac:dyDescent="0.3">
      <c r="A3097" s="12"/>
    </row>
    <row r="3098" spans="1:1" x14ac:dyDescent="0.3">
      <c r="A3098" s="12"/>
    </row>
    <row r="3099" spans="1:1" x14ac:dyDescent="0.3">
      <c r="A3099" s="12"/>
    </row>
    <row r="3100" spans="1:1" x14ac:dyDescent="0.3">
      <c r="A3100" s="12"/>
    </row>
    <row r="3101" spans="1:1" x14ac:dyDescent="0.3">
      <c r="A3101" s="12"/>
    </row>
    <row r="3102" spans="1:1" x14ac:dyDescent="0.3">
      <c r="A3102" s="12"/>
    </row>
    <row r="3103" spans="1:1" x14ac:dyDescent="0.3">
      <c r="A3103" s="12"/>
    </row>
    <row r="3104" spans="1:1" x14ac:dyDescent="0.3">
      <c r="A3104" s="12"/>
    </row>
    <row r="3105" spans="1:1" x14ac:dyDescent="0.3">
      <c r="A3105" s="12"/>
    </row>
    <row r="3106" spans="1:1" x14ac:dyDescent="0.3">
      <c r="A3106" s="12"/>
    </row>
    <row r="3107" spans="1:1" x14ac:dyDescent="0.3">
      <c r="A3107" s="12"/>
    </row>
    <row r="3108" spans="1:1" x14ac:dyDescent="0.3">
      <c r="A3108" s="12"/>
    </row>
    <row r="3109" spans="1:1" x14ac:dyDescent="0.3">
      <c r="A3109" s="12"/>
    </row>
    <row r="3110" spans="1:1" x14ac:dyDescent="0.3">
      <c r="A3110" s="12"/>
    </row>
    <row r="3111" spans="1:1" x14ac:dyDescent="0.3">
      <c r="A3111" s="12"/>
    </row>
    <row r="3112" spans="1:1" x14ac:dyDescent="0.3">
      <c r="A3112" s="12"/>
    </row>
    <row r="3113" spans="1:1" x14ac:dyDescent="0.3">
      <c r="A3113" s="12"/>
    </row>
    <row r="3114" spans="1:1" x14ac:dyDescent="0.3">
      <c r="A3114" s="12"/>
    </row>
    <row r="3115" spans="1:1" x14ac:dyDescent="0.3">
      <c r="A3115" s="12"/>
    </row>
    <row r="3116" spans="1:1" x14ac:dyDescent="0.3">
      <c r="A3116" s="12"/>
    </row>
    <row r="3117" spans="1:1" x14ac:dyDescent="0.3">
      <c r="A3117" s="12"/>
    </row>
    <row r="3118" spans="1:1" x14ac:dyDescent="0.3">
      <c r="A3118" s="12"/>
    </row>
    <row r="3119" spans="1:1" x14ac:dyDescent="0.3">
      <c r="A3119" s="12"/>
    </row>
    <row r="3120" spans="1:1" x14ac:dyDescent="0.3">
      <c r="A3120" s="12"/>
    </row>
    <row r="3121" spans="1:1" x14ac:dyDescent="0.3">
      <c r="A3121" s="12"/>
    </row>
    <row r="3122" spans="1:1" x14ac:dyDescent="0.3">
      <c r="A3122" s="12"/>
    </row>
    <row r="3123" spans="1:1" x14ac:dyDescent="0.3">
      <c r="A3123" s="12"/>
    </row>
    <row r="3124" spans="1:1" x14ac:dyDescent="0.3">
      <c r="A3124" s="12"/>
    </row>
    <row r="3125" spans="1:1" x14ac:dyDescent="0.3">
      <c r="A3125" s="12"/>
    </row>
    <row r="3126" spans="1:1" x14ac:dyDescent="0.3">
      <c r="A3126" s="12"/>
    </row>
    <row r="3127" spans="1:1" x14ac:dyDescent="0.3">
      <c r="A3127" s="12"/>
    </row>
    <row r="3128" spans="1:1" x14ac:dyDescent="0.3">
      <c r="A3128" s="12"/>
    </row>
    <row r="3129" spans="1:1" x14ac:dyDescent="0.3">
      <c r="A3129" s="12"/>
    </row>
    <row r="3130" spans="1:1" x14ac:dyDescent="0.3">
      <c r="A3130" s="12"/>
    </row>
    <row r="3131" spans="1:1" x14ac:dyDescent="0.3">
      <c r="A3131" s="12"/>
    </row>
    <row r="3132" spans="1:1" x14ac:dyDescent="0.3">
      <c r="A3132" s="12"/>
    </row>
    <row r="3133" spans="1:1" x14ac:dyDescent="0.3">
      <c r="A3133" s="12"/>
    </row>
    <row r="3134" spans="1:1" x14ac:dyDescent="0.3">
      <c r="A3134" s="12"/>
    </row>
    <row r="3135" spans="1:1" x14ac:dyDescent="0.3">
      <c r="A3135" s="12"/>
    </row>
    <row r="3136" spans="1:1" x14ac:dyDescent="0.3">
      <c r="A3136" s="12"/>
    </row>
    <row r="3137" spans="1:1" x14ac:dyDescent="0.3">
      <c r="A3137" s="12"/>
    </row>
    <row r="3138" spans="1:1" x14ac:dyDescent="0.3">
      <c r="A3138" s="12"/>
    </row>
    <row r="3139" spans="1:1" x14ac:dyDescent="0.3">
      <c r="A3139" s="12"/>
    </row>
    <row r="3140" spans="1:1" x14ac:dyDescent="0.3">
      <c r="A3140" s="12"/>
    </row>
    <row r="3141" spans="1:1" x14ac:dyDescent="0.3">
      <c r="A3141" s="12"/>
    </row>
    <row r="3142" spans="1:1" x14ac:dyDescent="0.3">
      <c r="A3142" s="12"/>
    </row>
    <row r="3143" spans="1:1" x14ac:dyDescent="0.3">
      <c r="A3143" s="12"/>
    </row>
    <row r="3144" spans="1:1" x14ac:dyDescent="0.3">
      <c r="A3144" s="12"/>
    </row>
    <row r="3145" spans="1:1" x14ac:dyDescent="0.3">
      <c r="A3145" s="12"/>
    </row>
    <row r="3146" spans="1:1" x14ac:dyDescent="0.3">
      <c r="A3146" s="12"/>
    </row>
    <row r="3147" spans="1:1" x14ac:dyDescent="0.3">
      <c r="A3147" s="12"/>
    </row>
    <row r="3148" spans="1:1" x14ac:dyDescent="0.3">
      <c r="A3148" s="12"/>
    </row>
    <row r="3149" spans="1:1" x14ac:dyDescent="0.3">
      <c r="A3149" s="12"/>
    </row>
    <row r="3150" spans="1:1" x14ac:dyDescent="0.3">
      <c r="A3150" s="12"/>
    </row>
    <row r="3151" spans="1:1" x14ac:dyDescent="0.3">
      <c r="A3151" s="12"/>
    </row>
    <row r="3152" spans="1:1" x14ac:dyDescent="0.3">
      <c r="A3152" s="12"/>
    </row>
    <row r="3153" spans="1:1" x14ac:dyDescent="0.3">
      <c r="A3153" s="12"/>
    </row>
    <row r="3154" spans="1:1" x14ac:dyDescent="0.3">
      <c r="A3154" s="12"/>
    </row>
    <row r="3155" spans="1:1" x14ac:dyDescent="0.3">
      <c r="A3155" s="12"/>
    </row>
    <row r="3156" spans="1:1" x14ac:dyDescent="0.3">
      <c r="A3156" s="12"/>
    </row>
    <row r="3157" spans="1:1" x14ac:dyDescent="0.3">
      <c r="A3157" s="12"/>
    </row>
    <row r="3158" spans="1:1" x14ac:dyDescent="0.3">
      <c r="A3158" s="12"/>
    </row>
    <row r="3159" spans="1:1" x14ac:dyDescent="0.3">
      <c r="A3159" s="12"/>
    </row>
    <row r="3160" spans="1:1" x14ac:dyDescent="0.3">
      <c r="A3160" s="12"/>
    </row>
    <row r="3161" spans="1:1" x14ac:dyDescent="0.3">
      <c r="A3161" s="12"/>
    </row>
    <row r="3162" spans="1:1" x14ac:dyDescent="0.3">
      <c r="A3162" s="12"/>
    </row>
    <row r="3163" spans="1:1" x14ac:dyDescent="0.3">
      <c r="A3163" s="12"/>
    </row>
    <row r="3164" spans="1:1" x14ac:dyDescent="0.3">
      <c r="A3164" s="12"/>
    </row>
    <row r="3165" spans="1:1" x14ac:dyDescent="0.3">
      <c r="A3165" s="12"/>
    </row>
    <row r="3166" spans="1:1" x14ac:dyDescent="0.3">
      <c r="A3166" s="12"/>
    </row>
    <row r="3167" spans="1:1" x14ac:dyDescent="0.3">
      <c r="A3167" s="12"/>
    </row>
    <row r="3168" spans="1:1" x14ac:dyDescent="0.3">
      <c r="A3168" s="12"/>
    </row>
    <row r="3169" spans="1:1" x14ac:dyDescent="0.3">
      <c r="A3169" s="12"/>
    </row>
    <row r="3170" spans="1:1" x14ac:dyDescent="0.3">
      <c r="A3170" s="12"/>
    </row>
    <row r="3171" spans="1:1" x14ac:dyDescent="0.3">
      <c r="A3171" s="12"/>
    </row>
    <row r="3172" spans="1:1" x14ac:dyDescent="0.3">
      <c r="A3172" s="12"/>
    </row>
    <row r="3173" spans="1:1" x14ac:dyDescent="0.3">
      <c r="A3173" s="12"/>
    </row>
    <row r="3174" spans="1:1" x14ac:dyDescent="0.3">
      <c r="A3174" s="12"/>
    </row>
    <row r="3175" spans="1:1" x14ac:dyDescent="0.3">
      <c r="A3175" s="12"/>
    </row>
    <row r="3176" spans="1:1" x14ac:dyDescent="0.3">
      <c r="A3176" s="12"/>
    </row>
    <row r="3177" spans="1:1" x14ac:dyDescent="0.3">
      <c r="A3177" s="12"/>
    </row>
    <row r="3178" spans="1:1" x14ac:dyDescent="0.3">
      <c r="A3178" s="12"/>
    </row>
    <row r="3179" spans="1:1" x14ac:dyDescent="0.3">
      <c r="A3179" s="12"/>
    </row>
    <row r="3180" spans="1:1" x14ac:dyDescent="0.3">
      <c r="A3180" s="12"/>
    </row>
    <row r="3181" spans="1:1" x14ac:dyDescent="0.3">
      <c r="A3181" s="12"/>
    </row>
    <row r="3182" spans="1:1" x14ac:dyDescent="0.3">
      <c r="A3182" s="12"/>
    </row>
    <row r="3183" spans="1:1" x14ac:dyDescent="0.3">
      <c r="A3183" s="12"/>
    </row>
    <row r="3184" spans="1:1" x14ac:dyDescent="0.3">
      <c r="A3184" s="12"/>
    </row>
    <row r="3185" spans="1:1" x14ac:dyDescent="0.3">
      <c r="A3185" s="12"/>
    </row>
    <row r="3186" spans="1:1" x14ac:dyDescent="0.3">
      <c r="A3186" s="12"/>
    </row>
    <row r="3187" spans="1:1" x14ac:dyDescent="0.3">
      <c r="A3187" s="12"/>
    </row>
    <row r="3188" spans="1:1" x14ac:dyDescent="0.3">
      <c r="A3188" s="12"/>
    </row>
    <row r="3189" spans="1:1" x14ac:dyDescent="0.3">
      <c r="A3189" s="12"/>
    </row>
    <row r="3190" spans="1:1" x14ac:dyDescent="0.3">
      <c r="A3190" s="12"/>
    </row>
    <row r="3191" spans="1:1" x14ac:dyDescent="0.3">
      <c r="A3191" s="12"/>
    </row>
    <row r="3192" spans="1:1" x14ac:dyDescent="0.3">
      <c r="A3192" s="12"/>
    </row>
    <row r="3193" spans="1:1" x14ac:dyDescent="0.3">
      <c r="A3193" s="12"/>
    </row>
    <row r="3194" spans="1:1" x14ac:dyDescent="0.3">
      <c r="A3194" s="12"/>
    </row>
    <row r="3195" spans="1:1" x14ac:dyDescent="0.3">
      <c r="A3195" s="12"/>
    </row>
    <row r="3196" spans="1:1" x14ac:dyDescent="0.3">
      <c r="A3196" s="12"/>
    </row>
    <row r="3197" spans="1:1" x14ac:dyDescent="0.3">
      <c r="A3197" s="12"/>
    </row>
    <row r="3198" spans="1:1" x14ac:dyDescent="0.3">
      <c r="A3198" s="12"/>
    </row>
    <row r="3199" spans="1:1" x14ac:dyDescent="0.3">
      <c r="A3199" s="12"/>
    </row>
    <row r="3200" spans="1:1" x14ac:dyDescent="0.3">
      <c r="A3200" s="12"/>
    </row>
    <row r="3201" spans="1:1" x14ac:dyDescent="0.3">
      <c r="A3201" s="12"/>
    </row>
    <row r="3202" spans="1:1" x14ac:dyDescent="0.3">
      <c r="A3202" s="12"/>
    </row>
    <row r="3203" spans="1:1" x14ac:dyDescent="0.3">
      <c r="A3203" s="12"/>
    </row>
    <row r="3204" spans="1:1" x14ac:dyDescent="0.3">
      <c r="A3204" s="12"/>
    </row>
    <row r="3205" spans="1:1" x14ac:dyDescent="0.3">
      <c r="A3205" s="12"/>
    </row>
    <row r="3206" spans="1:1" x14ac:dyDescent="0.3">
      <c r="A3206" s="12"/>
    </row>
    <row r="3207" spans="1:1" x14ac:dyDescent="0.3">
      <c r="A3207" s="12"/>
    </row>
    <row r="3208" spans="1:1" x14ac:dyDescent="0.3">
      <c r="A3208" s="12"/>
    </row>
    <row r="3209" spans="1:1" x14ac:dyDescent="0.3">
      <c r="A3209" s="12"/>
    </row>
    <row r="3210" spans="1:1" x14ac:dyDescent="0.3">
      <c r="A3210" s="12"/>
    </row>
    <row r="3211" spans="1:1" x14ac:dyDescent="0.3">
      <c r="A3211" s="12"/>
    </row>
    <row r="3212" spans="1:1" x14ac:dyDescent="0.3">
      <c r="A3212" s="12"/>
    </row>
    <row r="3213" spans="1:1" x14ac:dyDescent="0.3">
      <c r="A3213" s="12"/>
    </row>
    <row r="3214" spans="1:1" x14ac:dyDescent="0.3">
      <c r="A3214" s="12"/>
    </row>
    <row r="3215" spans="1:1" x14ac:dyDescent="0.3">
      <c r="A3215" s="12"/>
    </row>
    <row r="3216" spans="1:1" x14ac:dyDescent="0.3">
      <c r="A3216" s="12"/>
    </row>
    <row r="3217" spans="1:1" x14ac:dyDescent="0.3">
      <c r="A3217" s="12"/>
    </row>
    <row r="3218" spans="1:1" x14ac:dyDescent="0.3">
      <c r="A3218" s="12"/>
    </row>
    <row r="3219" spans="1:1" x14ac:dyDescent="0.3">
      <c r="A3219" s="12"/>
    </row>
    <row r="3220" spans="1:1" x14ac:dyDescent="0.3">
      <c r="A3220" s="12"/>
    </row>
    <row r="3221" spans="1:1" x14ac:dyDescent="0.3">
      <c r="A3221" s="12"/>
    </row>
    <row r="3222" spans="1:1" x14ac:dyDescent="0.3">
      <c r="A3222" s="12"/>
    </row>
    <row r="3223" spans="1:1" x14ac:dyDescent="0.3">
      <c r="A3223" s="12"/>
    </row>
    <row r="3224" spans="1:1" x14ac:dyDescent="0.3">
      <c r="A3224" s="12"/>
    </row>
    <row r="3225" spans="1:1" x14ac:dyDescent="0.3">
      <c r="A3225" s="12"/>
    </row>
    <row r="3226" spans="1:1" x14ac:dyDescent="0.3">
      <c r="A3226" s="12"/>
    </row>
    <row r="3227" spans="1:1" x14ac:dyDescent="0.3">
      <c r="A3227" s="12"/>
    </row>
    <row r="3228" spans="1:1" x14ac:dyDescent="0.3">
      <c r="A3228" s="12"/>
    </row>
    <row r="3229" spans="1:1" x14ac:dyDescent="0.3">
      <c r="A3229" s="12"/>
    </row>
    <row r="3230" spans="1:1" x14ac:dyDescent="0.3">
      <c r="A3230" s="12"/>
    </row>
    <row r="3231" spans="1:1" x14ac:dyDescent="0.3">
      <c r="A3231" s="12"/>
    </row>
    <row r="3232" spans="1:1" x14ac:dyDescent="0.3">
      <c r="A3232" s="12"/>
    </row>
    <row r="3233" spans="1:1" x14ac:dyDescent="0.3">
      <c r="A3233" s="12"/>
    </row>
    <row r="3234" spans="1:1" x14ac:dyDescent="0.3">
      <c r="A3234" s="12"/>
    </row>
    <row r="3235" spans="1:1" x14ac:dyDescent="0.3">
      <c r="A3235" s="12"/>
    </row>
    <row r="3236" spans="1:1" x14ac:dyDescent="0.3">
      <c r="A3236" s="12"/>
    </row>
    <row r="3237" spans="1:1" x14ac:dyDescent="0.3">
      <c r="A3237" s="12"/>
    </row>
    <row r="3238" spans="1:1" x14ac:dyDescent="0.3">
      <c r="A3238" s="12"/>
    </row>
    <row r="3239" spans="1:1" x14ac:dyDescent="0.3">
      <c r="A3239" s="12"/>
    </row>
    <row r="3240" spans="1:1" x14ac:dyDescent="0.3">
      <c r="A3240" s="12"/>
    </row>
    <row r="3241" spans="1:1" x14ac:dyDescent="0.3">
      <c r="A3241" s="12"/>
    </row>
    <row r="3242" spans="1:1" x14ac:dyDescent="0.3">
      <c r="A3242" s="12"/>
    </row>
    <row r="3243" spans="1:1" x14ac:dyDescent="0.3">
      <c r="A3243" s="12"/>
    </row>
    <row r="3244" spans="1:1" x14ac:dyDescent="0.3">
      <c r="A3244" s="12"/>
    </row>
    <row r="3245" spans="1:1" x14ac:dyDescent="0.3">
      <c r="A3245" s="12"/>
    </row>
    <row r="3246" spans="1:1" x14ac:dyDescent="0.3">
      <c r="A3246" s="12"/>
    </row>
    <row r="3247" spans="1:1" x14ac:dyDescent="0.3">
      <c r="A3247" s="12"/>
    </row>
    <row r="3248" spans="1:1" x14ac:dyDescent="0.3">
      <c r="A3248" s="12"/>
    </row>
    <row r="3249" spans="1:1" x14ac:dyDescent="0.3">
      <c r="A3249" s="12"/>
    </row>
    <row r="3250" spans="1:1" x14ac:dyDescent="0.3">
      <c r="A3250" s="12"/>
    </row>
    <row r="3251" spans="1:1" x14ac:dyDescent="0.3">
      <c r="A3251" s="12"/>
    </row>
    <row r="3252" spans="1:1" x14ac:dyDescent="0.3">
      <c r="A3252" s="12"/>
    </row>
    <row r="3253" spans="1:1" x14ac:dyDescent="0.3">
      <c r="A3253" s="12"/>
    </row>
    <row r="3254" spans="1:1" x14ac:dyDescent="0.3">
      <c r="A3254" s="12"/>
    </row>
    <row r="3255" spans="1:1" x14ac:dyDescent="0.3">
      <c r="A3255" s="12"/>
    </row>
    <row r="3256" spans="1:1" x14ac:dyDescent="0.3">
      <c r="A3256" s="12"/>
    </row>
    <row r="3257" spans="1:1" x14ac:dyDescent="0.3">
      <c r="A3257" s="12"/>
    </row>
    <row r="3258" spans="1:1" x14ac:dyDescent="0.3">
      <c r="A3258" s="12"/>
    </row>
    <row r="3259" spans="1:1" x14ac:dyDescent="0.3">
      <c r="A3259" s="12"/>
    </row>
    <row r="3260" spans="1:1" x14ac:dyDescent="0.3">
      <c r="A3260" s="12"/>
    </row>
    <row r="3261" spans="1:1" x14ac:dyDescent="0.3">
      <c r="A3261" s="12"/>
    </row>
    <row r="3262" spans="1:1" x14ac:dyDescent="0.3">
      <c r="A3262" s="12"/>
    </row>
    <row r="3263" spans="1:1" x14ac:dyDescent="0.3">
      <c r="A3263" s="12"/>
    </row>
    <row r="3264" spans="1:1" x14ac:dyDescent="0.3">
      <c r="A3264" s="12"/>
    </row>
    <row r="3265" spans="1:1" x14ac:dyDescent="0.3">
      <c r="A3265" s="12"/>
    </row>
    <row r="3266" spans="1:1" x14ac:dyDescent="0.3">
      <c r="A3266" s="12"/>
    </row>
    <row r="3267" spans="1:1" x14ac:dyDescent="0.3">
      <c r="A3267" s="12"/>
    </row>
    <row r="3268" spans="1:1" x14ac:dyDescent="0.3">
      <c r="A3268" s="12"/>
    </row>
    <row r="3269" spans="1:1" x14ac:dyDescent="0.3">
      <c r="A3269" s="12"/>
    </row>
    <row r="3270" spans="1:1" x14ac:dyDescent="0.3">
      <c r="A3270" s="12"/>
    </row>
    <row r="3271" spans="1:1" x14ac:dyDescent="0.3">
      <c r="A3271" s="12"/>
    </row>
    <row r="3272" spans="1:1" x14ac:dyDescent="0.3">
      <c r="A3272" s="12"/>
    </row>
    <row r="3273" spans="1:1" x14ac:dyDescent="0.3">
      <c r="A3273" s="12"/>
    </row>
    <row r="3274" spans="1:1" x14ac:dyDescent="0.3">
      <c r="A3274" s="12"/>
    </row>
    <row r="3275" spans="1:1" x14ac:dyDescent="0.3">
      <c r="A3275" s="12"/>
    </row>
    <row r="3276" spans="1:1" x14ac:dyDescent="0.3">
      <c r="A3276" s="12"/>
    </row>
    <row r="3277" spans="1:1" x14ac:dyDescent="0.3">
      <c r="A3277" s="12"/>
    </row>
    <row r="3278" spans="1:1" x14ac:dyDescent="0.3">
      <c r="A3278" s="12"/>
    </row>
    <row r="3279" spans="1:1" x14ac:dyDescent="0.3">
      <c r="A3279" s="12"/>
    </row>
    <row r="3280" spans="1:1" x14ac:dyDescent="0.3">
      <c r="A3280" s="12"/>
    </row>
    <row r="3281" spans="1:1" x14ac:dyDescent="0.3">
      <c r="A3281" s="12"/>
    </row>
    <row r="3282" spans="1:1" x14ac:dyDescent="0.3">
      <c r="A3282" s="12"/>
    </row>
    <row r="3283" spans="1:1" x14ac:dyDescent="0.3">
      <c r="A3283" s="12"/>
    </row>
    <row r="3284" spans="1:1" x14ac:dyDescent="0.3">
      <c r="A3284" s="12"/>
    </row>
    <row r="3285" spans="1:1" x14ac:dyDescent="0.3">
      <c r="A3285" s="12"/>
    </row>
    <row r="3286" spans="1:1" x14ac:dyDescent="0.3">
      <c r="A3286" s="12"/>
    </row>
    <row r="3287" spans="1:1" x14ac:dyDescent="0.3">
      <c r="A3287" s="12"/>
    </row>
    <row r="3288" spans="1:1" x14ac:dyDescent="0.3">
      <c r="A3288" s="12"/>
    </row>
    <row r="3289" spans="1:1" x14ac:dyDescent="0.3">
      <c r="A3289" s="12"/>
    </row>
    <row r="3290" spans="1:1" x14ac:dyDescent="0.3">
      <c r="A3290" s="12"/>
    </row>
    <row r="3291" spans="1:1" x14ac:dyDescent="0.3">
      <c r="A3291" s="12"/>
    </row>
    <row r="3292" spans="1:1" x14ac:dyDescent="0.3">
      <c r="A3292" s="12"/>
    </row>
    <row r="3293" spans="1:1" x14ac:dyDescent="0.3">
      <c r="A3293" s="12"/>
    </row>
    <row r="3294" spans="1:1" x14ac:dyDescent="0.3">
      <c r="A3294" s="12"/>
    </row>
    <row r="3295" spans="1:1" x14ac:dyDescent="0.3">
      <c r="A3295" s="12"/>
    </row>
    <row r="3296" spans="1:1" x14ac:dyDescent="0.3">
      <c r="A3296" s="12"/>
    </row>
    <row r="3297" spans="1:1" x14ac:dyDescent="0.3">
      <c r="A3297" s="12"/>
    </row>
    <row r="3298" spans="1:1" x14ac:dyDescent="0.3">
      <c r="A3298" s="12"/>
    </row>
    <row r="3299" spans="1:1" x14ac:dyDescent="0.3">
      <c r="A3299" s="12"/>
    </row>
    <row r="3300" spans="1:1" x14ac:dyDescent="0.3">
      <c r="A3300" s="12"/>
    </row>
    <row r="3301" spans="1:1" x14ac:dyDescent="0.3">
      <c r="A3301" s="12"/>
    </row>
    <row r="3302" spans="1:1" x14ac:dyDescent="0.3">
      <c r="A3302" s="12"/>
    </row>
    <row r="3303" spans="1:1" x14ac:dyDescent="0.3">
      <c r="A3303" s="12"/>
    </row>
    <row r="3304" spans="1:1" x14ac:dyDescent="0.3">
      <c r="A3304" s="12"/>
    </row>
    <row r="3305" spans="1:1" x14ac:dyDescent="0.3">
      <c r="A3305" s="12"/>
    </row>
    <row r="3306" spans="1:1" x14ac:dyDescent="0.3">
      <c r="A3306" s="12"/>
    </row>
    <row r="3307" spans="1:1" x14ac:dyDescent="0.3">
      <c r="A3307" s="12"/>
    </row>
    <row r="3308" spans="1:1" x14ac:dyDescent="0.3">
      <c r="A3308" s="12"/>
    </row>
    <row r="3309" spans="1:1" x14ac:dyDescent="0.3">
      <c r="A3309" s="12"/>
    </row>
    <row r="3310" spans="1:1" x14ac:dyDescent="0.3">
      <c r="A3310" s="12"/>
    </row>
    <row r="3311" spans="1:1" x14ac:dyDescent="0.3">
      <c r="A3311" s="12"/>
    </row>
    <row r="3312" spans="1:1" x14ac:dyDescent="0.3">
      <c r="A3312" s="12"/>
    </row>
    <row r="3313" spans="1:1" x14ac:dyDescent="0.3">
      <c r="A3313" s="12"/>
    </row>
    <row r="3314" spans="1:1" x14ac:dyDescent="0.3">
      <c r="A3314" s="12"/>
    </row>
    <row r="3315" spans="1:1" x14ac:dyDescent="0.3">
      <c r="A3315" s="12"/>
    </row>
    <row r="3316" spans="1:1" x14ac:dyDescent="0.3">
      <c r="A3316" s="12"/>
    </row>
    <row r="3317" spans="1:1" x14ac:dyDescent="0.3">
      <c r="A3317" s="12"/>
    </row>
    <row r="3318" spans="1:1" x14ac:dyDescent="0.3">
      <c r="A3318" s="12"/>
    </row>
    <row r="3319" spans="1:1" x14ac:dyDescent="0.3">
      <c r="A3319" s="12"/>
    </row>
    <row r="3320" spans="1:1" x14ac:dyDescent="0.3">
      <c r="A3320" s="12"/>
    </row>
    <row r="3321" spans="1:1" x14ac:dyDescent="0.3">
      <c r="A3321" s="12"/>
    </row>
    <row r="3322" spans="1:1" x14ac:dyDescent="0.3">
      <c r="A3322" s="12"/>
    </row>
    <row r="3323" spans="1:1" x14ac:dyDescent="0.3">
      <c r="A3323" s="12"/>
    </row>
    <row r="3324" spans="1:1" x14ac:dyDescent="0.3">
      <c r="A3324" s="12"/>
    </row>
    <row r="3325" spans="1:1" x14ac:dyDescent="0.3">
      <c r="A3325" s="12"/>
    </row>
    <row r="3326" spans="1:1" x14ac:dyDescent="0.3">
      <c r="A3326" s="12"/>
    </row>
    <row r="3327" spans="1:1" x14ac:dyDescent="0.3">
      <c r="A3327" s="12"/>
    </row>
    <row r="3328" spans="1:1" x14ac:dyDescent="0.3">
      <c r="A3328" s="12"/>
    </row>
    <row r="3329" spans="1:1" x14ac:dyDescent="0.3">
      <c r="A3329" s="12"/>
    </row>
    <row r="3330" spans="1:1" x14ac:dyDescent="0.3">
      <c r="A3330" s="12"/>
    </row>
    <row r="3331" spans="1:1" x14ac:dyDescent="0.3">
      <c r="A3331" s="12"/>
    </row>
    <row r="3332" spans="1:1" x14ac:dyDescent="0.3">
      <c r="A3332" s="12"/>
    </row>
    <row r="3333" spans="1:1" x14ac:dyDescent="0.3">
      <c r="A3333" s="12"/>
    </row>
    <row r="3334" spans="1:1" x14ac:dyDescent="0.3">
      <c r="A3334" s="12"/>
    </row>
    <row r="3335" spans="1:1" x14ac:dyDescent="0.3">
      <c r="A3335" s="12"/>
    </row>
    <row r="3336" spans="1:1" x14ac:dyDescent="0.3">
      <c r="A3336" s="12"/>
    </row>
    <row r="3337" spans="1:1" x14ac:dyDescent="0.3">
      <c r="A3337" s="12"/>
    </row>
    <row r="3338" spans="1:1" x14ac:dyDescent="0.3">
      <c r="A3338" s="12"/>
    </row>
    <row r="3339" spans="1:1" x14ac:dyDescent="0.3">
      <c r="A3339" s="12"/>
    </row>
    <row r="3340" spans="1:1" x14ac:dyDescent="0.3">
      <c r="A3340" s="12"/>
    </row>
    <row r="3341" spans="1:1" x14ac:dyDescent="0.3">
      <c r="A3341" s="12"/>
    </row>
    <row r="3342" spans="1:1" x14ac:dyDescent="0.3">
      <c r="A3342" s="12"/>
    </row>
    <row r="3343" spans="1:1" x14ac:dyDescent="0.3">
      <c r="A3343" s="12"/>
    </row>
    <row r="3344" spans="1:1" x14ac:dyDescent="0.3">
      <c r="A3344" s="12"/>
    </row>
    <row r="3345" spans="1:1" x14ac:dyDescent="0.3">
      <c r="A3345" s="12"/>
    </row>
    <row r="3346" spans="1:1" x14ac:dyDescent="0.3">
      <c r="A3346" s="12"/>
    </row>
    <row r="3347" spans="1:1" x14ac:dyDescent="0.3">
      <c r="A3347" s="12"/>
    </row>
    <row r="3348" spans="1:1" x14ac:dyDescent="0.3">
      <c r="A3348" s="12"/>
    </row>
    <row r="3349" spans="1:1" x14ac:dyDescent="0.3">
      <c r="A3349" s="12"/>
    </row>
    <row r="3350" spans="1:1" x14ac:dyDescent="0.3">
      <c r="A3350" s="12"/>
    </row>
    <row r="3351" spans="1:1" x14ac:dyDescent="0.3">
      <c r="A3351" s="12"/>
    </row>
    <row r="3352" spans="1:1" x14ac:dyDescent="0.3">
      <c r="A3352" s="12"/>
    </row>
    <row r="3353" spans="1:1" x14ac:dyDescent="0.3">
      <c r="A3353" s="12"/>
    </row>
    <row r="3354" spans="1:1" x14ac:dyDescent="0.3">
      <c r="A3354" s="12"/>
    </row>
    <row r="3355" spans="1:1" x14ac:dyDescent="0.3">
      <c r="A3355" s="12"/>
    </row>
    <row r="3356" spans="1:1" x14ac:dyDescent="0.3">
      <c r="A3356" s="12"/>
    </row>
    <row r="3357" spans="1:1" x14ac:dyDescent="0.3">
      <c r="A3357" s="12"/>
    </row>
    <row r="3358" spans="1:1" x14ac:dyDescent="0.3">
      <c r="A3358" s="12"/>
    </row>
    <row r="3359" spans="1:1" x14ac:dyDescent="0.3">
      <c r="A3359" s="12"/>
    </row>
    <row r="3360" spans="1:1" x14ac:dyDescent="0.3">
      <c r="A3360" s="12"/>
    </row>
    <row r="3361" spans="1:1" x14ac:dyDescent="0.3">
      <c r="A3361" s="12"/>
    </row>
    <row r="3362" spans="1:1" x14ac:dyDescent="0.3">
      <c r="A3362" s="12"/>
    </row>
    <row r="3363" spans="1:1" x14ac:dyDescent="0.3">
      <c r="A3363" s="12"/>
    </row>
    <row r="3364" spans="1:1" x14ac:dyDescent="0.3">
      <c r="A3364" s="12"/>
    </row>
    <row r="3365" spans="1:1" x14ac:dyDescent="0.3">
      <c r="A3365" s="12"/>
    </row>
    <row r="3366" spans="1:1" x14ac:dyDescent="0.3">
      <c r="A3366" s="12"/>
    </row>
    <row r="3367" spans="1:1" x14ac:dyDescent="0.3">
      <c r="A3367" s="12"/>
    </row>
    <row r="3368" spans="1:1" x14ac:dyDescent="0.3">
      <c r="A3368" s="12"/>
    </row>
    <row r="3369" spans="1:1" x14ac:dyDescent="0.3">
      <c r="A3369" s="12"/>
    </row>
    <row r="3370" spans="1:1" x14ac:dyDescent="0.3">
      <c r="A3370" s="12"/>
    </row>
    <row r="3371" spans="1:1" x14ac:dyDescent="0.3">
      <c r="A3371" s="12"/>
    </row>
    <row r="3372" spans="1:1" x14ac:dyDescent="0.3">
      <c r="A3372" s="12"/>
    </row>
    <row r="3373" spans="1:1" x14ac:dyDescent="0.3">
      <c r="A3373" s="12"/>
    </row>
    <row r="3374" spans="1:1" x14ac:dyDescent="0.3">
      <c r="A3374" s="12"/>
    </row>
    <row r="3375" spans="1:1" x14ac:dyDescent="0.3">
      <c r="A3375" s="12"/>
    </row>
    <row r="3376" spans="1:1" x14ac:dyDescent="0.3">
      <c r="A3376" s="12"/>
    </row>
    <row r="3377" spans="1:1" x14ac:dyDescent="0.3">
      <c r="A3377" s="12"/>
    </row>
    <row r="3378" spans="1:1" x14ac:dyDescent="0.3">
      <c r="A3378" s="12"/>
    </row>
    <row r="3379" spans="1:1" x14ac:dyDescent="0.3">
      <c r="A3379" s="12"/>
    </row>
    <row r="3380" spans="1:1" x14ac:dyDescent="0.3">
      <c r="A3380" s="12"/>
    </row>
    <row r="3381" spans="1:1" x14ac:dyDescent="0.3">
      <c r="A3381" s="12"/>
    </row>
    <row r="3382" spans="1:1" x14ac:dyDescent="0.3">
      <c r="A3382" s="12"/>
    </row>
    <row r="3383" spans="1:1" x14ac:dyDescent="0.3">
      <c r="A3383" s="12"/>
    </row>
    <row r="3384" spans="1:1" x14ac:dyDescent="0.3">
      <c r="A3384" s="12"/>
    </row>
    <row r="3385" spans="1:1" x14ac:dyDescent="0.3">
      <c r="A3385" s="12"/>
    </row>
    <row r="3386" spans="1:1" x14ac:dyDescent="0.3">
      <c r="A3386" s="12"/>
    </row>
    <row r="3387" spans="1:1" x14ac:dyDescent="0.3">
      <c r="A3387" s="12"/>
    </row>
    <row r="3388" spans="1:1" x14ac:dyDescent="0.3">
      <c r="A3388" s="12"/>
    </row>
    <row r="3389" spans="1:1" x14ac:dyDescent="0.3">
      <c r="A3389" s="12"/>
    </row>
    <row r="3390" spans="1:1" x14ac:dyDescent="0.3">
      <c r="A3390" s="12"/>
    </row>
    <row r="3391" spans="1:1" x14ac:dyDescent="0.3">
      <c r="A3391" s="12"/>
    </row>
    <row r="3392" spans="1:1" x14ac:dyDescent="0.3">
      <c r="A3392" s="12"/>
    </row>
    <row r="3393" spans="1:1" x14ac:dyDescent="0.3">
      <c r="A3393" s="12"/>
    </row>
    <row r="3394" spans="1:1" x14ac:dyDescent="0.3">
      <c r="A3394" s="12"/>
    </row>
    <row r="3395" spans="1:1" x14ac:dyDescent="0.3">
      <c r="A3395" s="12"/>
    </row>
    <row r="3396" spans="1:1" x14ac:dyDescent="0.3">
      <c r="A3396" s="12"/>
    </row>
    <row r="3397" spans="1:1" x14ac:dyDescent="0.3">
      <c r="A3397" s="12"/>
    </row>
    <row r="3398" spans="1:1" x14ac:dyDescent="0.3">
      <c r="A3398" s="12"/>
    </row>
    <row r="3399" spans="1:1" x14ac:dyDescent="0.3">
      <c r="A3399" s="12"/>
    </row>
    <row r="3400" spans="1:1" x14ac:dyDescent="0.3">
      <c r="A3400" s="12"/>
    </row>
    <row r="3401" spans="1:1" x14ac:dyDescent="0.3">
      <c r="A3401" s="12"/>
    </row>
    <row r="3402" spans="1:1" x14ac:dyDescent="0.3">
      <c r="A3402" s="12"/>
    </row>
    <row r="3403" spans="1:1" x14ac:dyDescent="0.3">
      <c r="A3403" s="12"/>
    </row>
    <row r="3404" spans="1:1" x14ac:dyDescent="0.3">
      <c r="A3404" s="12"/>
    </row>
    <row r="3405" spans="1:1" x14ac:dyDescent="0.3">
      <c r="A3405" s="12"/>
    </row>
    <row r="3406" spans="1:1" x14ac:dyDescent="0.3">
      <c r="A3406" s="12"/>
    </row>
    <row r="3407" spans="1:1" x14ac:dyDescent="0.3">
      <c r="A3407" s="12"/>
    </row>
    <row r="3408" spans="1:1" x14ac:dyDescent="0.3">
      <c r="A3408" s="12"/>
    </row>
    <row r="3409" spans="1:1" x14ac:dyDescent="0.3">
      <c r="A3409" s="12"/>
    </row>
    <row r="3410" spans="1:1" x14ac:dyDescent="0.3">
      <c r="A3410" s="12"/>
    </row>
    <row r="3411" spans="1:1" x14ac:dyDescent="0.3">
      <c r="A3411" s="12"/>
    </row>
    <row r="3412" spans="1:1" x14ac:dyDescent="0.3">
      <c r="A3412" s="12"/>
    </row>
    <row r="3413" spans="1:1" x14ac:dyDescent="0.3">
      <c r="A3413" s="12"/>
    </row>
    <row r="3414" spans="1:1" x14ac:dyDescent="0.3">
      <c r="A3414" s="12"/>
    </row>
    <row r="3415" spans="1:1" x14ac:dyDescent="0.3">
      <c r="A3415" s="12"/>
    </row>
    <row r="3416" spans="1:1" x14ac:dyDescent="0.3">
      <c r="A3416" s="12"/>
    </row>
    <row r="3417" spans="1:1" x14ac:dyDescent="0.3">
      <c r="A3417" s="12"/>
    </row>
    <row r="3418" spans="1:1" x14ac:dyDescent="0.3">
      <c r="A3418" s="12"/>
    </row>
    <row r="3419" spans="1:1" x14ac:dyDescent="0.3">
      <c r="A3419" s="12"/>
    </row>
    <row r="3420" spans="1:1" x14ac:dyDescent="0.3">
      <c r="A3420" s="12"/>
    </row>
    <row r="3421" spans="1:1" x14ac:dyDescent="0.3">
      <c r="A3421" s="12"/>
    </row>
    <row r="3422" spans="1:1" x14ac:dyDescent="0.3">
      <c r="A3422" s="12"/>
    </row>
    <row r="3423" spans="1:1" x14ac:dyDescent="0.3">
      <c r="A3423" s="12"/>
    </row>
    <row r="3424" spans="1:1" x14ac:dyDescent="0.3">
      <c r="A3424" s="12"/>
    </row>
    <row r="3425" spans="1:1" x14ac:dyDescent="0.3">
      <c r="A3425" s="12"/>
    </row>
    <row r="3426" spans="1:1" x14ac:dyDescent="0.3">
      <c r="A3426" s="12"/>
    </row>
    <row r="3427" spans="1:1" x14ac:dyDescent="0.3">
      <c r="A3427" s="12"/>
    </row>
    <row r="3428" spans="1:1" x14ac:dyDescent="0.3">
      <c r="A3428" s="12"/>
    </row>
    <row r="3429" spans="1:1" x14ac:dyDescent="0.3">
      <c r="A3429" s="12"/>
    </row>
    <row r="3430" spans="1:1" x14ac:dyDescent="0.3">
      <c r="A3430" s="12"/>
    </row>
    <row r="3431" spans="1:1" x14ac:dyDescent="0.3">
      <c r="A3431" s="12"/>
    </row>
    <row r="3432" spans="1:1" x14ac:dyDescent="0.3">
      <c r="A3432" s="12"/>
    </row>
    <row r="3433" spans="1:1" x14ac:dyDescent="0.3">
      <c r="A3433" s="12"/>
    </row>
    <row r="3434" spans="1:1" x14ac:dyDescent="0.3">
      <c r="A3434" s="12"/>
    </row>
    <row r="3435" spans="1:1" x14ac:dyDescent="0.3">
      <c r="A3435" s="12"/>
    </row>
    <row r="3436" spans="1:1" x14ac:dyDescent="0.3">
      <c r="A3436" s="12"/>
    </row>
    <row r="3437" spans="1:1" x14ac:dyDescent="0.3">
      <c r="A3437" s="12"/>
    </row>
    <row r="3438" spans="1:1" x14ac:dyDescent="0.3">
      <c r="A3438" s="12"/>
    </row>
    <row r="3439" spans="1:1" x14ac:dyDescent="0.3">
      <c r="A3439" s="12"/>
    </row>
    <row r="3440" spans="1:1" x14ac:dyDescent="0.3">
      <c r="A3440" s="12"/>
    </row>
    <row r="3441" spans="1:1" x14ac:dyDescent="0.3">
      <c r="A3441" s="12"/>
    </row>
    <row r="3442" spans="1:1" x14ac:dyDescent="0.3">
      <c r="A3442" s="12"/>
    </row>
    <row r="3443" spans="1:1" x14ac:dyDescent="0.3">
      <c r="A3443" s="12"/>
    </row>
    <row r="3444" spans="1:1" x14ac:dyDescent="0.3">
      <c r="A3444" s="12"/>
    </row>
    <row r="3445" spans="1:1" x14ac:dyDescent="0.3">
      <c r="A3445" s="12"/>
    </row>
    <row r="3446" spans="1:1" x14ac:dyDescent="0.3">
      <c r="A3446" s="12"/>
    </row>
    <row r="3447" spans="1:1" x14ac:dyDescent="0.3">
      <c r="A3447" s="12"/>
    </row>
    <row r="3448" spans="1:1" x14ac:dyDescent="0.3">
      <c r="A3448" s="12"/>
    </row>
    <row r="3449" spans="1:1" x14ac:dyDescent="0.3">
      <c r="A3449" s="12"/>
    </row>
    <row r="3450" spans="1:1" x14ac:dyDescent="0.3">
      <c r="A3450" s="12"/>
    </row>
    <row r="3451" spans="1:1" x14ac:dyDescent="0.3">
      <c r="A3451" s="12"/>
    </row>
    <row r="3452" spans="1:1" x14ac:dyDescent="0.3">
      <c r="A3452" s="12"/>
    </row>
    <row r="3453" spans="1:1" x14ac:dyDescent="0.3">
      <c r="A3453" s="12"/>
    </row>
    <row r="3454" spans="1:1" x14ac:dyDescent="0.3">
      <c r="A3454" s="12"/>
    </row>
    <row r="3455" spans="1:1" x14ac:dyDescent="0.3">
      <c r="A3455" s="12"/>
    </row>
    <row r="3456" spans="1:1" x14ac:dyDescent="0.3">
      <c r="A3456" s="12"/>
    </row>
    <row r="3457" spans="1:1" x14ac:dyDescent="0.3">
      <c r="A3457" s="12"/>
    </row>
    <row r="3458" spans="1:1" x14ac:dyDescent="0.3">
      <c r="A3458" s="12"/>
    </row>
    <row r="3459" spans="1:1" x14ac:dyDescent="0.3">
      <c r="A3459" s="12"/>
    </row>
    <row r="3460" spans="1:1" x14ac:dyDescent="0.3">
      <c r="A3460" s="12"/>
    </row>
    <row r="3461" spans="1:1" x14ac:dyDescent="0.3">
      <c r="A3461" s="12"/>
    </row>
    <row r="3462" spans="1:1" x14ac:dyDescent="0.3">
      <c r="A3462" s="12"/>
    </row>
    <row r="3463" spans="1:1" x14ac:dyDescent="0.3">
      <c r="A3463" s="12"/>
    </row>
    <row r="3464" spans="1:1" x14ac:dyDescent="0.3">
      <c r="A3464" s="12"/>
    </row>
    <row r="3465" spans="1:1" x14ac:dyDescent="0.3">
      <c r="A3465" s="12"/>
    </row>
    <row r="3466" spans="1:1" x14ac:dyDescent="0.3">
      <c r="A3466" s="12"/>
    </row>
    <row r="3467" spans="1:1" x14ac:dyDescent="0.3">
      <c r="A3467" s="12"/>
    </row>
    <row r="3468" spans="1:1" x14ac:dyDescent="0.3">
      <c r="A3468" s="12"/>
    </row>
    <row r="3469" spans="1:1" x14ac:dyDescent="0.3">
      <c r="A3469" s="12"/>
    </row>
    <row r="3470" spans="1:1" x14ac:dyDescent="0.3">
      <c r="A3470" s="12"/>
    </row>
    <row r="3471" spans="1:1" x14ac:dyDescent="0.3">
      <c r="A3471" s="12"/>
    </row>
    <row r="3472" spans="1:1" x14ac:dyDescent="0.3">
      <c r="A3472" s="12"/>
    </row>
    <row r="3473" spans="1:1" x14ac:dyDescent="0.3">
      <c r="A3473" s="12"/>
    </row>
    <row r="3474" spans="1:1" x14ac:dyDescent="0.3">
      <c r="A3474" s="12"/>
    </row>
    <row r="3475" spans="1:1" x14ac:dyDescent="0.3">
      <c r="A3475" s="12"/>
    </row>
    <row r="3476" spans="1:1" x14ac:dyDescent="0.3">
      <c r="A3476" s="12"/>
    </row>
    <row r="3477" spans="1:1" x14ac:dyDescent="0.3">
      <c r="A3477" s="12"/>
    </row>
    <row r="3478" spans="1:1" x14ac:dyDescent="0.3">
      <c r="A3478" s="12"/>
    </row>
    <row r="3479" spans="1:1" x14ac:dyDescent="0.3">
      <c r="A3479" s="12"/>
    </row>
    <row r="3480" spans="1:1" x14ac:dyDescent="0.3">
      <c r="A3480" s="12"/>
    </row>
    <row r="3481" spans="1:1" x14ac:dyDescent="0.3">
      <c r="A3481" s="12"/>
    </row>
    <row r="3482" spans="1:1" x14ac:dyDescent="0.3">
      <c r="A3482" s="12"/>
    </row>
    <row r="3483" spans="1:1" x14ac:dyDescent="0.3">
      <c r="A3483" s="12"/>
    </row>
    <row r="3484" spans="1:1" x14ac:dyDescent="0.3">
      <c r="A3484" s="12"/>
    </row>
    <row r="3485" spans="1:1" x14ac:dyDescent="0.3">
      <c r="A3485" s="12"/>
    </row>
    <row r="3486" spans="1:1" x14ac:dyDescent="0.3">
      <c r="A3486" s="12"/>
    </row>
    <row r="3487" spans="1:1" x14ac:dyDescent="0.3">
      <c r="A3487" s="12"/>
    </row>
    <row r="3488" spans="1:1" x14ac:dyDescent="0.3">
      <c r="A3488" s="12"/>
    </row>
    <row r="3489" spans="1:1" x14ac:dyDescent="0.3">
      <c r="A3489" s="12"/>
    </row>
    <row r="3490" spans="1:1" x14ac:dyDescent="0.3">
      <c r="A3490" s="12"/>
    </row>
    <row r="3491" spans="1:1" x14ac:dyDescent="0.3">
      <c r="A3491" s="12"/>
    </row>
    <row r="3492" spans="1:1" x14ac:dyDescent="0.3">
      <c r="A3492" s="12"/>
    </row>
    <row r="3493" spans="1:1" x14ac:dyDescent="0.3">
      <c r="A3493" s="12"/>
    </row>
    <row r="3494" spans="1:1" x14ac:dyDescent="0.3">
      <c r="A3494" s="12"/>
    </row>
    <row r="3495" spans="1:1" x14ac:dyDescent="0.3">
      <c r="A3495" s="12"/>
    </row>
    <row r="3496" spans="1:1" x14ac:dyDescent="0.3">
      <c r="A3496" s="12"/>
    </row>
    <row r="3497" spans="1:1" x14ac:dyDescent="0.3">
      <c r="A3497" s="12"/>
    </row>
    <row r="3498" spans="1:1" x14ac:dyDescent="0.3">
      <c r="A3498" s="12"/>
    </row>
    <row r="3499" spans="1:1" x14ac:dyDescent="0.3">
      <c r="A3499" s="12"/>
    </row>
    <row r="3500" spans="1:1" x14ac:dyDescent="0.3">
      <c r="A3500" s="12"/>
    </row>
    <row r="3501" spans="1:1" x14ac:dyDescent="0.3">
      <c r="A3501" s="12"/>
    </row>
    <row r="3502" spans="1:1" x14ac:dyDescent="0.3">
      <c r="A3502" s="12"/>
    </row>
    <row r="3503" spans="1:1" x14ac:dyDescent="0.3">
      <c r="A3503" s="12"/>
    </row>
    <row r="3504" spans="1:1" x14ac:dyDescent="0.3">
      <c r="A3504" s="12"/>
    </row>
    <row r="3505" spans="1:1" x14ac:dyDescent="0.3">
      <c r="A3505" s="12"/>
    </row>
    <row r="3506" spans="1:1" x14ac:dyDescent="0.3">
      <c r="A3506" s="12"/>
    </row>
    <row r="3507" spans="1:1" x14ac:dyDescent="0.3">
      <c r="A3507" s="12"/>
    </row>
    <row r="3508" spans="1:1" x14ac:dyDescent="0.3">
      <c r="A3508" s="12"/>
    </row>
    <row r="3509" spans="1:1" x14ac:dyDescent="0.3">
      <c r="A3509" s="12"/>
    </row>
    <row r="3510" spans="1:1" x14ac:dyDescent="0.3">
      <c r="A3510" s="12"/>
    </row>
    <row r="3511" spans="1:1" x14ac:dyDescent="0.3">
      <c r="A3511" s="12"/>
    </row>
    <row r="3512" spans="1:1" x14ac:dyDescent="0.3">
      <c r="A3512" s="12"/>
    </row>
    <row r="3513" spans="1:1" x14ac:dyDescent="0.3">
      <c r="A3513" s="12"/>
    </row>
    <row r="3514" spans="1:1" x14ac:dyDescent="0.3">
      <c r="A3514" s="12"/>
    </row>
    <row r="3515" spans="1:1" x14ac:dyDescent="0.3">
      <c r="A3515" s="12"/>
    </row>
    <row r="3516" spans="1:1" x14ac:dyDescent="0.3">
      <c r="A3516" s="12"/>
    </row>
    <row r="3517" spans="1:1" x14ac:dyDescent="0.3">
      <c r="A3517" s="12"/>
    </row>
    <row r="3518" spans="1:1" x14ac:dyDescent="0.3">
      <c r="A3518" s="12"/>
    </row>
    <row r="3519" spans="1:1" x14ac:dyDescent="0.3">
      <c r="A3519" s="12"/>
    </row>
    <row r="3520" spans="1:1" x14ac:dyDescent="0.3">
      <c r="A3520" s="12"/>
    </row>
    <row r="3521" spans="1:1" x14ac:dyDescent="0.3">
      <c r="A3521" s="12"/>
    </row>
    <row r="3522" spans="1:1" x14ac:dyDescent="0.3">
      <c r="A3522" s="12"/>
    </row>
    <row r="3523" spans="1:1" x14ac:dyDescent="0.3">
      <c r="A3523" s="12"/>
    </row>
    <row r="3524" spans="1:1" x14ac:dyDescent="0.3">
      <c r="A3524" s="12"/>
    </row>
    <row r="3525" spans="1:1" x14ac:dyDescent="0.3">
      <c r="A3525" s="12"/>
    </row>
    <row r="3526" spans="1:1" x14ac:dyDescent="0.3">
      <c r="A3526" s="12"/>
    </row>
    <row r="3527" spans="1:1" x14ac:dyDescent="0.3">
      <c r="A3527" s="12"/>
    </row>
    <row r="3528" spans="1:1" x14ac:dyDescent="0.3">
      <c r="A3528" s="12"/>
    </row>
    <row r="3529" spans="1:1" x14ac:dyDescent="0.3">
      <c r="A3529" s="12"/>
    </row>
    <row r="3530" spans="1:1" x14ac:dyDescent="0.3">
      <c r="A3530" s="12"/>
    </row>
    <row r="3531" spans="1:1" x14ac:dyDescent="0.3">
      <c r="A3531" s="12"/>
    </row>
    <row r="3532" spans="1:1" x14ac:dyDescent="0.3">
      <c r="A3532" s="12"/>
    </row>
    <row r="3533" spans="1:1" x14ac:dyDescent="0.3">
      <c r="A3533" s="12"/>
    </row>
    <row r="3534" spans="1:1" x14ac:dyDescent="0.3">
      <c r="A3534" s="12"/>
    </row>
    <row r="3535" spans="1:1" x14ac:dyDescent="0.3">
      <c r="A3535" s="12"/>
    </row>
    <row r="3536" spans="1:1" x14ac:dyDescent="0.3">
      <c r="A3536" s="12"/>
    </row>
    <row r="3537" spans="1:1" x14ac:dyDescent="0.3">
      <c r="A3537" s="12"/>
    </row>
    <row r="3538" spans="1:1" x14ac:dyDescent="0.3">
      <c r="A3538" s="12"/>
    </row>
    <row r="3539" spans="1:1" x14ac:dyDescent="0.3">
      <c r="A3539" s="12"/>
    </row>
    <row r="3540" spans="1:1" x14ac:dyDescent="0.3">
      <c r="A3540" s="12"/>
    </row>
    <row r="3541" spans="1:1" x14ac:dyDescent="0.3">
      <c r="A3541" s="12"/>
    </row>
    <row r="3542" spans="1:1" x14ac:dyDescent="0.3">
      <c r="A3542" s="12"/>
    </row>
    <row r="3543" spans="1:1" x14ac:dyDescent="0.3">
      <c r="A3543" s="12"/>
    </row>
    <row r="3544" spans="1:1" x14ac:dyDescent="0.3">
      <c r="A3544" s="12"/>
    </row>
    <row r="3545" spans="1:1" x14ac:dyDescent="0.3">
      <c r="A3545" s="12"/>
    </row>
    <row r="3546" spans="1:1" x14ac:dyDescent="0.3">
      <c r="A3546" s="12"/>
    </row>
    <row r="3547" spans="1:1" x14ac:dyDescent="0.3">
      <c r="A3547" s="12"/>
    </row>
    <row r="3548" spans="1:1" x14ac:dyDescent="0.3">
      <c r="A3548" s="12"/>
    </row>
    <row r="3549" spans="1:1" x14ac:dyDescent="0.3">
      <c r="A3549" s="12"/>
    </row>
    <row r="3550" spans="1:1" x14ac:dyDescent="0.3">
      <c r="A3550" s="12"/>
    </row>
    <row r="3551" spans="1:1" x14ac:dyDescent="0.3">
      <c r="A3551" s="12"/>
    </row>
    <row r="3552" spans="1:1" x14ac:dyDescent="0.3">
      <c r="A3552" s="12"/>
    </row>
    <row r="3553" spans="1:1" x14ac:dyDescent="0.3">
      <c r="A3553" s="12"/>
    </row>
    <row r="3554" spans="1:1" x14ac:dyDescent="0.3">
      <c r="A3554" s="12"/>
    </row>
    <row r="3555" spans="1:1" x14ac:dyDescent="0.3">
      <c r="A3555" s="12"/>
    </row>
    <row r="3556" spans="1:1" x14ac:dyDescent="0.3">
      <c r="A3556" s="12"/>
    </row>
    <row r="3557" spans="1:1" x14ac:dyDescent="0.3">
      <c r="A3557" s="12"/>
    </row>
    <row r="3558" spans="1:1" x14ac:dyDescent="0.3">
      <c r="A3558" s="12"/>
    </row>
    <row r="3559" spans="1:1" x14ac:dyDescent="0.3">
      <c r="A3559" s="12"/>
    </row>
    <row r="3560" spans="1:1" x14ac:dyDescent="0.3">
      <c r="A3560" s="12"/>
    </row>
    <row r="3561" spans="1:1" x14ac:dyDescent="0.3">
      <c r="A3561" s="12"/>
    </row>
    <row r="3562" spans="1:1" x14ac:dyDescent="0.3">
      <c r="A3562" s="12"/>
    </row>
    <row r="3563" spans="1:1" x14ac:dyDescent="0.3">
      <c r="A3563" s="12"/>
    </row>
    <row r="3564" spans="1:1" x14ac:dyDescent="0.3">
      <c r="A3564" s="12"/>
    </row>
    <row r="3565" spans="1:1" x14ac:dyDescent="0.3">
      <c r="A3565" s="12"/>
    </row>
    <row r="3566" spans="1:1" x14ac:dyDescent="0.3">
      <c r="A3566" s="12"/>
    </row>
    <row r="3567" spans="1:1" x14ac:dyDescent="0.3">
      <c r="A3567" s="12"/>
    </row>
    <row r="3568" spans="1:1" x14ac:dyDescent="0.3">
      <c r="A3568" s="12"/>
    </row>
    <row r="3569" spans="1:1" x14ac:dyDescent="0.3">
      <c r="A3569" s="12"/>
    </row>
    <row r="3570" spans="1:1" x14ac:dyDescent="0.3">
      <c r="A3570" s="12"/>
    </row>
    <row r="3571" spans="1:1" x14ac:dyDescent="0.3">
      <c r="A3571" s="12"/>
    </row>
    <row r="3572" spans="1:1" x14ac:dyDescent="0.3">
      <c r="A3572" s="12"/>
    </row>
    <row r="3573" spans="1:1" x14ac:dyDescent="0.3">
      <c r="A3573" s="12"/>
    </row>
    <row r="3574" spans="1:1" x14ac:dyDescent="0.3">
      <c r="A3574" s="12"/>
    </row>
    <row r="3575" spans="1:1" x14ac:dyDescent="0.3">
      <c r="A3575" s="12"/>
    </row>
    <row r="3576" spans="1:1" x14ac:dyDescent="0.3">
      <c r="A3576" s="12"/>
    </row>
    <row r="3577" spans="1:1" x14ac:dyDescent="0.3">
      <c r="A3577" s="12"/>
    </row>
    <row r="3578" spans="1:1" x14ac:dyDescent="0.3">
      <c r="A3578" s="12"/>
    </row>
    <row r="3579" spans="1:1" x14ac:dyDescent="0.3">
      <c r="A3579" s="12"/>
    </row>
    <row r="3580" spans="1:1" x14ac:dyDescent="0.3">
      <c r="A3580" s="12"/>
    </row>
    <row r="3581" spans="1:1" x14ac:dyDescent="0.3">
      <c r="A3581" s="12"/>
    </row>
    <row r="3582" spans="1:1" x14ac:dyDescent="0.3">
      <c r="A3582" s="12"/>
    </row>
    <row r="3583" spans="1:1" x14ac:dyDescent="0.3">
      <c r="A3583" s="12"/>
    </row>
    <row r="3584" spans="1:1" x14ac:dyDescent="0.3">
      <c r="A3584" s="12"/>
    </row>
    <row r="3585" spans="1:1" x14ac:dyDescent="0.3">
      <c r="A3585" s="12"/>
    </row>
    <row r="3586" spans="1:1" x14ac:dyDescent="0.3">
      <c r="A3586" s="12"/>
    </row>
    <row r="3587" spans="1:1" x14ac:dyDescent="0.3">
      <c r="A3587" s="12"/>
    </row>
    <row r="3588" spans="1:1" x14ac:dyDescent="0.3">
      <c r="A3588" s="12"/>
    </row>
    <row r="3589" spans="1:1" x14ac:dyDescent="0.3">
      <c r="A3589" s="12"/>
    </row>
    <row r="3590" spans="1:1" x14ac:dyDescent="0.3">
      <c r="A3590" s="12"/>
    </row>
    <row r="3591" spans="1:1" x14ac:dyDescent="0.3">
      <c r="A3591" s="12"/>
    </row>
    <row r="3592" spans="1:1" x14ac:dyDescent="0.3">
      <c r="A3592" s="12"/>
    </row>
    <row r="3593" spans="1:1" x14ac:dyDescent="0.3">
      <c r="A3593" s="12"/>
    </row>
    <row r="3594" spans="1:1" x14ac:dyDescent="0.3">
      <c r="A3594" s="12"/>
    </row>
    <row r="3595" spans="1:1" x14ac:dyDescent="0.3">
      <c r="A3595" s="12"/>
    </row>
    <row r="3596" spans="1:1" x14ac:dyDescent="0.3">
      <c r="A3596" s="12"/>
    </row>
    <row r="3597" spans="1:1" x14ac:dyDescent="0.3">
      <c r="A3597" s="12"/>
    </row>
    <row r="3598" spans="1:1" x14ac:dyDescent="0.3">
      <c r="A3598" s="12"/>
    </row>
    <row r="3599" spans="1:1" x14ac:dyDescent="0.3">
      <c r="A3599" s="12"/>
    </row>
    <row r="3600" spans="1:1" x14ac:dyDescent="0.3">
      <c r="A3600" s="12"/>
    </row>
    <row r="3601" spans="1:1" x14ac:dyDescent="0.3">
      <c r="A3601" s="12"/>
    </row>
    <row r="3602" spans="1:1" x14ac:dyDescent="0.3">
      <c r="A3602" s="12"/>
    </row>
    <row r="3603" spans="1:1" x14ac:dyDescent="0.3">
      <c r="A3603" s="12"/>
    </row>
    <row r="3604" spans="1:1" x14ac:dyDescent="0.3">
      <c r="A3604" s="12"/>
    </row>
    <row r="3605" spans="1:1" x14ac:dyDescent="0.3">
      <c r="A3605" s="12"/>
    </row>
    <row r="3606" spans="1:1" x14ac:dyDescent="0.3">
      <c r="A3606" s="12"/>
    </row>
    <row r="3607" spans="1:1" x14ac:dyDescent="0.3">
      <c r="A3607" s="12"/>
    </row>
    <row r="3608" spans="1:1" x14ac:dyDescent="0.3">
      <c r="A3608" s="12"/>
    </row>
    <row r="3609" spans="1:1" x14ac:dyDescent="0.3">
      <c r="A3609" s="12"/>
    </row>
    <row r="3610" spans="1:1" x14ac:dyDescent="0.3">
      <c r="A3610" s="12"/>
    </row>
    <row r="3611" spans="1:1" x14ac:dyDescent="0.3">
      <c r="A3611" s="12"/>
    </row>
    <row r="3612" spans="1:1" x14ac:dyDescent="0.3">
      <c r="A3612" s="12"/>
    </row>
    <row r="3613" spans="1:1" x14ac:dyDescent="0.3">
      <c r="A3613" s="12"/>
    </row>
    <row r="3614" spans="1:1" x14ac:dyDescent="0.3">
      <c r="A3614" s="12"/>
    </row>
    <row r="3615" spans="1:1" x14ac:dyDescent="0.3">
      <c r="A3615" s="12"/>
    </row>
    <row r="3616" spans="1:1" x14ac:dyDescent="0.3">
      <c r="A3616" s="12"/>
    </row>
    <row r="3617" spans="1:1" x14ac:dyDescent="0.3">
      <c r="A3617" s="12"/>
    </row>
    <row r="3618" spans="1:1" x14ac:dyDescent="0.3">
      <c r="A3618" s="12"/>
    </row>
    <row r="3619" spans="1:1" x14ac:dyDescent="0.3">
      <c r="A3619" s="12"/>
    </row>
    <row r="3620" spans="1:1" x14ac:dyDescent="0.3">
      <c r="A3620" s="12"/>
    </row>
    <row r="3621" spans="1:1" x14ac:dyDescent="0.3">
      <c r="A3621" s="12"/>
    </row>
    <row r="3622" spans="1:1" x14ac:dyDescent="0.3">
      <c r="A3622" s="12"/>
    </row>
    <row r="3623" spans="1:1" x14ac:dyDescent="0.3">
      <c r="A3623" s="12"/>
    </row>
    <row r="3624" spans="1:1" x14ac:dyDescent="0.3">
      <c r="A3624" s="12"/>
    </row>
    <row r="3625" spans="1:1" x14ac:dyDescent="0.3">
      <c r="A3625" s="12"/>
    </row>
    <row r="3626" spans="1:1" x14ac:dyDescent="0.3">
      <c r="A3626" s="12"/>
    </row>
    <row r="3627" spans="1:1" x14ac:dyDescent="0.3">
      <c r="A3627" s="12"/>
    </row>
    <row r="3628" spans="1:1" x14ac:dyDescent="0.3">
      <c r="A3628" s="12"/>
    </row>
    <row r="3629" spans="1:1" x14ac:dyDescent="0.3">
      <c r="A3629" s="12"/>
    </row>
    <row r="3630" spans="1:1" x14ac:dyDescent="0.3">
      <c r="A3630" s="12"/>
    </row>
    <row r="3631" spans="1:1" x14ac:dyDescent="0.3">
      <c r="A3631" s="12"/>
    </row>
    <row r="3632" spans="1:1" x14ac:dyDescent="0.3">
      <c r="A3632" s="12"/>
    </row>
    <row r="3633" spans="1:1" x14ac:dyDescent="0.3">
      <c r="A3633" s="12"/>
    </row>
    <row r="3634" spans="1:1" x14ac:dyDescent="0.3">
      <c r="A3634" s="12"/>
    </row>
    <row r="3635" spans="1:1" x14ac:dyDescent="0.3">
      <c r="A3635" s="12"/>
    </row>
    <row r="3636" spans="1:1" x14ac:dyDescent="0.3">
      <c r="A3636" s="12"/>
    </row>
    <row r="3637" spans="1:1" x14ac:dyDescent="0.3">
      <c r="A3637" s="12"/>
    </row>
    <row r="3638" spans="1:1" x14ac:dyDescent="0.3">
      <c r="A3638" s="12"/>
    </row>
    <row r="3639" spans="1:1" x14ac:dyDescent="0.3">
      <c r="A3639" s="12"/>
    </row>
    <row r="3640" spans="1:1" x14ac:dyDescent="0.3">
      <c r="A3640" s="12"/>
    </row>
    <row r="3641" spans="1:1" x14ac:dyDescent="0.3">
      <c r="A3641" s="12"/>
    </row>
    <row r="3642" spans="1:1" x14ac:dyDescent="0.3">
      <c r="A3642" s="12"/>
    </row>
    <row r="3643" spans="1:1" x14ac:dyDescent="0.3">
      <c r="A3643" s="12"/>
    </row>
    <row r="3644" spans="1:1" x14ac:dyDescent="0.3">
      <c r="A3644" s="12"/>
    </row>
    <row r="3645" spans="1:1" x14ac:dyDescent="0.3">
      <c r="A3645" s="12"/>
    </row>
    <row r="3646" spans="1:1" x14ac:dyDescent="0.3">
      <c r="A3646" s="12"/>
    </row>
    <row r="3647" spans="1:1" x14ac:dyDescent="0.3">
      <c r="A3647" s="12"/>
    </row>
    <row r="3648" spans="1:1" x14ac:dyDescent="0.3">
      <c r="A3648" s="12"/>
    </row>
    <row r="3649" spans="1:1" x14ac:dyDescent="0.3">
      <c r="A3649" s="12"/>
    </row>
    <row r="3650" spans="1:1" x14ac:dyDescent="0.3">
      <c r="A3650" s="12"/>
    </row>
    <row r="3651" spans="1:1" x14ac:dyDescent="0.3">
      <c r="A3651" s="12"/>
    </row>
    <row r="3652" spans="1:1" x14ac:dyDescent="0.3">
      <c r="A3652" s="12"/>
    </row>
    <row r="3653" spans="1:1" x14ac:dyDescent="0.3">
      <c r="A3653" s="12"/>
    </row>
    <row r="3654" spans="1:1" x14ac:dyDescent="0.3">
      <c r="A3654" s="12"/>
    </row>
    <row r="3655" spans="1:1" x14ac:dyDescent="0.3">
      <c r="A3655" s="12"/>
    </row>
    <row r="3656" spans="1:1" x14ac:dyDescent="0.3">
      <c r="A3656" s="12"/>
    </row>
    <row r="3657" spans="1:1" x14ac:dyDescent="0.3">
      <c r="A3657" s="12"/>
    </row>
    <row r="3658" spans="1:1" x14ac:dyDescent="0.3">
      <c r="A3658" s="12"/>
    </row>
    <row r="3659" spans="1:1" x14ac:dyDescent="0.3">
      <c r="A3659" s="12"/>
    </row>
    <row r="3660" spans="1:1" x14ac:dyDescent="0.3">
      <c r="A3660" s="12"/>
    </row>
    <row r="3661" spans="1:1" x14ac:dyDescent="0.3">
      <c r="A3661" s="12"/>
    </row>
    <row r="3662" spans="1:1" x14ac:dyDescent="0.3">
      <c r="A3662" s="12"/>
    </row>
    <row r="3663" spans="1:1" x14ac:dyDescent="0.3">
      <c r="A3663" s="12"/>
    </row>
    <row r="3664" spans="1:1" x14ac:dyDescent="0.3">
      <c r="A3664" s="12"/>
    </row>
    <row r="3665" spans="1:1" x14ac:dyDescent="0.3">
      <c r="A3665" s="12"/>
    </row>
    <row r="3666" spans="1:1" x14ac:dyDescent="0.3">
      <c r="A3666" s="12"/>
    </row>
    <row r="3667" spans="1:1" x14ac:dyDescent="0.3">
      <c r="A3667" s="12"/>
    </row>
    <row r="3668" spans="1:1" x14ac:dyDescent="0.3">
      <c r="A3668" s="12"/>
    </row>
    <row r="3669" spans="1:1" x14ac:dyDescent="0.3">
      <c r="A3669" s="12"/>
    </row>
    <row r="3670" spans="1:1" x14ac:dyDescent="0.3">
      <c r="A3670" s="12"/>
    </row>
    <row r="3671" spans="1:1" x14ac:dyDescent="0.3">
      <c r="A3671" s="12"/>
    </row>
    <row r="3672" spans="1:1" x14ac:dyDescent="0.3">
      <c r="A3672" s="12"/>
    </row>
    <row r="3673" spans="1:1" x14ac:dyDescent="0.3">
      <c r="A3673" s="12"/>
    </row>
    <row r="3674" spans="1:1" x14ac:dyDescent="0.3">
      <c r="A3674" s="12"/>
    </row>
    <row r="3675" spans="1:1" x14ac:dyDescent="0.3">
      <c r="A3675" s="12"/>
    </row>
    <row r="3676" spans="1:1" x14ac:dyDescent="0.3">
      <c r="A3676" s="12"/>
    </row>
    <row r="3677" spans="1:1" x14ac:dyDescent="0.3">
      <c r="A3677" s="12"/>
    </row>
    <row r="3678" spans="1:1" x14ac:dyDescent="0.3">
      <c r="A3678" s="12"/>
    </row>
    <row r="3679" spans="1:1" x14ac:dyDescent="0.3">
      <c r="A3679" s="12"/>
    </row>
    <row r="3680" spans="1:1" x14ac:dyDescent="0.3">
      <c r="A3680" s="12"/>
    </row>
    <row r="3681" spans="1:1" x14ac:dyDescent="0.3">
      <c r="A3681" s="12"/>
    </row>
    <row r="3682" spans="1:1" x14ac:dyDescent="0.3">
      <c r="A3682" s="12"/>
    </row>
    <row r="3683" spans="1:1" x14ac:dyDescent="0.3">
      <c r="A3683" s="12"/>
    </row>
    <row r="3684" spans="1:1" x14ac:dyDescent="0.3">
      <c r="A3684" s="12"/>
    </row>
    <row r="3685" spans="1:1" x14ac:dyDescent="0.3">
      <c r="A3685" s="12"/>
    </row>
    <row r="3686" spans="1:1" x14ac:dyDescent="0.3">
      <c r="A3686" s="12"/>
    </row>
    <row r="3687" spans="1:1" x14ac:dyDescent="0.3">
      <c r="A3687" s="12"/>
    </row>
    <row r="3688" spans="1:1" x14ac:dyDescent="0.3">
      <c r="A3688" s="12"/>
    </row>
    <row r="3689" spans="1:1" x14ac:dyDescent="0.3">
      <c r="A3689" s="12"/>
    </row>
    <row r="3690" spans="1:1" x14ac:dyDescent="0.3">
      <c r="A3690" s="12"/>
    </row>
    <row r="3691" spans="1:1" x14ac:dyDescent="0.3">
      <c r="A3691" s="12"/>
    </row>
    <row r="3692" spans="1:1" x14ac:dyDescent="0.3">
      <c r="A3692" s="12"/>
    </row>
    <row r="3693" spans="1:1" x14ac:dyDescent="0.3">
      <c r="A3693" s="12"/>
    </row>
    <row r="3694" spans="1:1" x14ac:dyDescent="0.3">
      <c r="A3694" s="12"/>
    </row>
    <row r="3695" spans="1:1" x14ac:dyDescent="0.3">
      <c r="A3695" s="12"/>
    </row>
    <row r="3696" spans="1:1" x14ac:dyDescent="0.3">
      <c r="A3696" s="12"/>
    </row>
    <row r="3697" spans="1:1" x14ac:dyDescent="0.3">
      <c r="A3697" s="12"/>
    </row>
    <row r="3698" spans="1:1" x14ac:dyDescent="0.3">
      <c r="A3698" s="12"/>
    </row>
    <row r="3699" spans="1:1" x14ac:dyDescent="0.3">
      <c r="A3699" s="12"/>
    </row>
    <row r="3700" spans="1:1" x14ac:dyDescent="0.3">
      <c r="A3700" s="12"/>
    </row>
    <row r="3701" spans="1:1" x14ac:dyDescent="0.3">
      <c r="A3701" s="12"/>
    </row>
    <row r="3702" spans="1:1" x14ac:dyDescent="0.3">
      <c r="A3702" s="12"/>
    </row>
    <row r="3703" spans="1:1" x14ac:dyDescent="0.3">
      <c r="A3703" s="12"/>
    </row>
    <row r="3704" spans="1:1" x14ac:dyDescent="0.3">
      <c r="A3704" s="12"/>
    </row>
    <row r="3705" spans="1:1" x14ac:dyDescent="0.3">
      <c r="A3705" s="12"/>
    </row>
    <row r="3706" spans="1:1" x14ac:dyDescent="0.3">
      <c r="A3706" s="12"/>
    </row>
    <row r="3707" spans="1:1" x14ac:dyDescent="0.3">
      <c r="A3707" s="12"/>
    </row>
    <row r="3708" spans="1:1" x14ac:dyDescent="0.3">
      <c r="A3708" s="12"/>
    </row>
    <row r="3709" spans="1:1" x14ac:dyDescent="0.3">
      <c r="A3709" s="12"/>
    </row>
    <row r="3710" spans="1:1" x14ac:dyDescent="0.3">
      <c r="A3710" s="12"/>
    </row>
    <row r="3711" spans="1:1" x14ac:dyDescent="0.3">
      <c r="A3711" s="12"/>
    </row>
    <row r="3712" spans="1:1" x14ac:dyDescent="0.3">
      <c r="A3712" s="12"/>
    </row>
    <row r="3713" spans="1:1" x14ac:dyDescent="0.3">
      <c r="A3713" s="12"/>
    </row>
    <row r="3714" spans="1:1" x14ac:dyDescent="0.3">
      <c r="A3714" s="12"/>
    </row>
    <row r="3715" spans="1:1" x14ac:dyDescent="0.3">
      <c r="A3715" s="12"/>
    </row>
    <row r="3716" spans="1:1" x14ac:dyDescent="0.3">
      <c r="A3716" s="12"/>
    </row>
    <row r="3717" spans="1:1" x14ac:dyDescent="0.3">
      <c r="A3717" s="12"/>
    </row>
    <row r="3718" spans="1:1" x14ac:dyDescent="0.3">
      <c r="A3718" s="12"/>
    </row>
    <row r="3719" spans="1:1" x14ac:dyDescent="0.3">
      <c r="A3719" s="12"/>
    </row>
    <row r="3720" spans="1:1" x14ac:dyDescent="0.3">
      <c r="A3720" s="12"/>
    </row>
    <row r="3721" spans="1:1" x14ac:dyDescent="0.3">
      <c r="A3721" s="12"/>
    </row>
    <row r="3722" spans="1:1" x14ac:dyDescent="0.3">
      <c r="A3722" s="12"/>
    </row>
    <row r="3723" spans="1:1" x14ac:dyDescent="0.3">
      <c r="A3723" s="12"/>
    </row>
    <row r="3724" spans="1:1" x14ac:dyDescent="0.3">
      <c r="A3724" s="12"/>
    </row>
    <row r="3725" spans="1:1" x14ac:dyDescent="0.3">
      <c r="A3725" s="12"/>
    </row>
    <row r="3726" spans="1:1" x14ac:dyDescent="0.3">
      <c r="A3726" s="12"/>
    </row>
    <row r="3727" spans="1:1" x14ac:dyDescent="0.3">
      <c r="A3727" s="12"/>
    </row>
    <row r="3728" spans="1:1" x14ac:dyDescent="0.3">
      <c r="A3728" s="12"/>
    </row>
    <row r="3729" spans="1:1" x14ac:dyDescent="0.3">
      <c r="A3729" s="12"/>
    </row>
    <row r="3730" spans="1:1" x14ac:dyDescent="0.3">
      <c r="A3730" s="12"/>
    </row>
    <row r="3731" spans="1:1" x14ac:dyDescent="0.3">
      <c r="A3731" s="12"/>
    </row>
    <row r="3732" spans="1:1" x14ac:dyDescent="0.3">
      <c r="A3732" s="12"/>
    </row>
    <row r="3733" spans="1:1" x14ac:dyDescent="0.3">
      <c r="A3733" s="12"/>
    </row>
    <row r="3734" spans="1:1" x14ac:dyDescent="0.3">
      <c r="A3734" s="12"/>
    </row>
    <row r="3735" spans="1:1" x14ac:dyDescent="0.3">
      <c r="A3735" s="12"/>
    </row>
    <row r="3736" spans="1:1" x14ac:dyDescent="0.3">
      <c r="A3736" s="12"/>
    </row>
    <row r="3737" spans="1:1" x14ac:dyDescent="0.3">
      <c r="A3737" s="12"/>
    </row>
    <row r="3738" spans="1:1" x14ac:dyDescent="0.3">
      <c r="A3738" s="12"/>
    </row>
    <row r="3739" spans="1:1" x14ac:dyDescent="0.3">
      <c r="A3739" s="12"/>
    </row>
    <row r="3740" spans="1:1" x14ac:dyDescent="0.3">
      <c r="A3740" s="12"/>
    </row>
    <row r="3741" spans="1:1" x14ac:dyDescent="0.3">
      <c r="A3741" s="12"/>
    </row>
    <row r="3742" spans="1:1" x14ac:dyDescent="0.3">
      <c r="A3742" s="12"/>
    </row>
    <row r="3743" spans="1:1" x14ac:dyDescent="0.3">
      <c r="A3743" s="12"/>
    </row>
    <row r="3744" spans="1:1" x14ac:dyDescent="0.3">
      <c r="A3744" s="12"/>
    </row>
    <row r="3745" spans="1:1" x14ac:dyDescent="0.3">
      <c r="A3745" s="12"/>
    </row>
    <row r="3746" spans="1:1" x14ac:dyDescent="0.3">
      <c r="A3746" s="12"/>
    </row>
    <row r="3747" spans="1:1" x14ac:dyDescent="0.3">
      <c r="A3747" s="12"/>
    </row>
    <row r="3748" spans="1:1" x14ac:dyDescent="0.3">
      <c r="A3748" s="12"/>
    </row>
    <row r="3749" spans="1:1" x14ac:dyDescent="0.3">
      <c r="A3749" s="12"/>
    </row>
    <row r="3750" spans="1:1" x14ac:dyDescent="0.3">
      <c r="A3750" s="12"/>
    </row>
    <row r="3751" spans="1:1" x14ac:dyDescent="0.3">
      <c r="A3751" s="12"/>
    </row>
    <row r="3752" spans="1:1" x14ac:dyDescent="0.3">
      <c r="A3752" s="12"/>
    </row>
    <row r="3753" spans="1:1" x14ac:dyDescent="0.3">
      <c r="A3753" s="12"/>
    </row>
    <row r="3754" spans="1:1" x14ac:dyDescent="0.3">
      <c r="A3754" s="12"/>
    </row>
    <row r="3755" spans="1:1" x14ac:dyDescent="0.3">
      <c r="A3755" s="12"/>
    </row>
    <row r="3756" spans="1:1" x14ac:dyDescent="0.3">
      <c r="A3756" s="12"/>
    </row>
    <row r="3757" spans="1:1" x14ac:dyDescent="0.3">
      <c r="A3757" s="12"/>
    </row>
    <row r="3758" spans="1:1" x14ac:dyDescent="0.3">
      <c r="A3758" s="12"/>
    </row>
    <row r="3759" spans="1:1" x14ac:dyDescent="0.3">
      <c r="A3759" s="12"/>
    </row>
    <row r="3760" spans="1:1" x14ac:dyDescent="0.3">
      <c r="A3760" s="12"/>
    </row>
    <row r="3761" spans="1:1" x14ac:dyDescent="0.3">
      <c r="A3761" s="12"/>
    </row>
    <row r="3762" spans="1:1" x14ac:dyDescent="0.3">
      <c r="A3762" s="12"/>
    </row>
    <row r="3763" spans="1:1" x14ac:dyDescent="0.3">
      <c r="A3763" s="12"/>
    </row>
    <row r="3764" spans="1:1" x14ac:dyDescent="0.3">
      <c r="A3764" s="12"/>
    </row>
    <row r="3765" spans="1:1" x14ac:dyDescent="0.3">
      <c r="A3765" s="12"/>
    </row>
    <row r="3766" spans="1:1" x14ac:dyDescent="0.3">
      <c r="A3766" s="12"/>
    </row>
    <row r="3767" spans="1:1" x14ac:dyDescent="0.3">
      <c r="A3767" s="12"/>
    </row>
    <row r="3768" spans="1:1" x14ac:dyDescent="0.3">
      <c r="A3768" s="12"/>
    </row>
    <row r="3769" spans="1:1" x14ac:dyDescent="0.3">
      <c r="A3769" s="12"/>
    </row>
    <row r="3770" spans="1:1" x14ac:dyDescent="0.3">
      <c r="A3770" s="12"/>
    </row>
    <row r="3771" spans="1:1" x14ac:dyDescent="0.3">
      <c r="A3771" s="12"/>
    </row>
    <row r="3772" spans="1:1" x14ac:dyDescent="0.3">
      <c r="A3772" s="12"/>
    </row>
    <row r="3773" spans="1:1" x14ac:dyDescent="0.3">
      <c r="A3773" s="12"/>
    </row>
    <row r="3774" spans="1:1" x14ac:dyDescent="0.3">
      <c r="A3774" s="12"/>
    </row>
    <row r="3775" spans="1:1" x14ac:dyDescent="0.3">
      <c r="A3775" s="12"/>
    </row>
    <row r="3776" spans="1:1" x14ac:dyDescent="0.3">
      <c r="A3776" s="12"/>
    </row>
    <row r="3777" spans="1:1" x14ac:dyDescent="0.3">
      <c r="A3777" s="12"/>
    </row>
    <row r="3778" spans="1:1" x14ac:dyDescent="0.3">
      <c r="A3778" s="12"/>
    </row>
    <row r="3779" spans="1:1" x14ac:dyDescent="0.3">
      <c r="A3779" s="12"/>
    </row>
    <row r="3780" spans="1:1" x14ac:dyDescent="0.3">
      <c r="A3780" s="12"/>
    </row>
    <row r="3781" spans="1:1" x14ac:dyDescent="0.3">
      <c r="A3781" s="12"/>
    </row>
    <row r="3782" spans="1:1" x14ac:dyDescent="0.3">
      <c r="A3782" s="12"/>
    </row>
    <row r="3783" spans="1:1" x14ac:dyDescent="0.3">
      <c r="A3783" s="12"/>
    </row>
    <row r="3784" spans="1:1" x14ac:dyDescent="0.3">
      <c r="A3784" s="12"/>
    </row>
    <row r="3785" spans="1:1" x14ac:dyDescent="0.3">
      <c r="A3785" s="12"/>
    </row>
    <row r="3786" spans="1:1" x14ac:dyDescent="0.3">
      <c r="A3786" s="12"/>
    </row>
    <row r="3787" spans="1:1" x14ac:dyDescent="0.3">
      <c r="A3787" s="12"/>
    </row>
    <row r="3788" spans="1:1" x14ac:dyDescent="0.3">
      <c r="A3788" s="12"/>
    </row>
    <row r="3789" spans="1:1" x14ac:dyDescent="0.3">
      <c r="A3789" s="12"/>
    </row>
    <row r="3790" spans="1:1" x14ac:dyDescent="0.3">
      <c r="A3790" s="12"/>
    </row>
    <row r="3791" spans="1:1" x14ac:dyDescent="0.3">
      <c r="A3791" s="12"/>
    </row>
    <row r="3792" spans="1:1" x14ac:dyDescent="0.3">
      <c r="A3792" s="12"/>
    </row>
    <row r="3793" spans="1:1" x14ac:dyDescent="0.3">
      <c r="A3793" s="12"/>
    </row>
    <row r="3794" spans="1:1" x14ac:dyDescent="0.3">
      <c r="A3794" s="12"/>
    </row>
    <row r="3795" spans="1:1" x14ac:dyDescent="0.3">
      <c r="A3795" s="12"/>
    </row>
    <row r="3796" spans="1:1" x14ac:dyDescent="0.3">
      <c r="A3796" s="12"/>
    </row>
    <row r="3797" spans="1:1" x14ac:dyDescent="0.3">
      <c r="A3797" s="12"/>
    </row>
    <row r="3798" spans="1:1" x14ac:dyDescent="0.3">
      <c r="A3798" s="12"/>
    </row>
    <row r="3799" spans="1:1" x14ac:dyDescent="0.3">
      <c r="A3799" s="12"/>
    </row>
    <row r="3800" spans="1:1" x14ac:dyDescent="0.3">
      <c r="A3800" s="12"/>
    </row>
    <row r="3801" spans="1:1" x14ac:dyDescent="0.3">
      <c r="A3801" s="12"/>
    </row>
    <row r="3802" spans="1:1" x14ac:dyDescent="0.3">
      <c r="A3802" s="12"/>
    </row>
    <row r="3803" spans="1:1" x14ac:dyDescent="0.3">
      <c r="A3803" s="12"/>
    </row>
    <row r="3804" spans="1:1" x14ac:dyDescent="0.3">
      <c r="A3804" s="12"/>
    </row>
    <row r="3805" spans="1:1" x14ac:dyDescent="0.3">
      <c r="A3805" s="12"/>
    </row>
    <row r="3806" spans="1:1" x14ac:dyDescent="0.3">
      <c r="A3806" s="12"/>
    </row>
    <row r="3807" spans="1:1" x14ac:dyDescent="0.3">
      <c r="A3807" s="12"/>
    </row>
    <row r="3808" spans="1:1" x14ac:dyDescent="0.3">
      <c r="A3808" s="12"/>
    </row>
    <row r="3809" spans="1:1" x14ac:dyDescent="0.3">
      <c r="A3809" s="12"/>
    </row>
    <row r="3810" spans="1:1" x14ac:dyDescent="0.3">
      <c r="A3810" s="12"/>
    </row>
    <row r="3811" spans="1:1" x14ac:dyDescent="0.3">
      <c r="A3811" s="12"/>
    </row>
    <row r="3812" spans="1:1" x14ac:dyDescent="0.3">
      <c r="A3812" s="12"/>
    </row>
    <row r="3813" spans="1:1" x14ac:dyDescent="0.3">
      <c r="A3813" s="12"/>
    </row>
    <row r="3814" spans="1:1" x14ac:dyDescent="0.3">
      <c r="A3814" s="12"/>
    </row>
    <row r="3815" spans="1:1" x14ac:dyDescent="0.3">
      <c r="A3815" s="12"/>
    </row>
    <row r="3816" spans="1:1" x14ac:dyDescent="0.3">
      <c r="A3816" s="12"/>
    </row>
    <row r="3817" spans="1:1" x14ac:dyDescent="0.3">
      <c r="A3817" s="12"/>
    </row>
    <row r="3818" spans="1:1" x14ac:dyDescent="0.3">
      <c r="A3818" s="12"/>
    </row>
    <row r="3819" spans="1:1" x14ac:dyDescent="0.3">
      <c r="A3819" s="12"/>
    </row>
    <row r="3820" spans="1:1" x14ac:dyDescent="0.3">
      <c r="A3820" s="12"/>
    </row>
    <row r="3821" spans="1:1" x14ac:dyDescent="0.3">
      <c r="A3821" s="12"/>
    </row>
    <row r="3822" spans="1:1" x14ac:dyDescent="0.3">
      <c r="A3822" s="12"/>
    </row>
    <row r="3823" spans="1:1" x14ac:dyDescent="0.3">
      <c r="A3823" s="12"/>
    </row>
    <row r="3824" spans="1:1" x14ac:dyDescent="0.3">
      <c r="A3824" s="12"/>
    </row>
    <row r="3825" spans="1:1" x14ac:dyDescent="0.3">
      <c r="A3825" s="12"/>
    </row>
    <row r="3826" spans="1:1" x14ac:dyDescent="0.3">
      <c r="A3826" s="12"/>
    </row>
    <row r="3827" spans="1:1" x14ac:dyDescent="0.3">
      <c r="A3827" s="12"/>
    </row>
    <row r="3828" spans="1:1" x14ac:dyDescent="0.3">
      <c r="A3828" s="12"/>
    </row>
    <row r="3829" spans="1:1" x14ac:dyDescent="0.3">
      <c r="A3829" s="12"/>
    </row>
    <row r="3830" spans="1:1" x14ac:dyDescent="0.3">
      <c r="A3830" s="12"/>
    </row>
    <row r="3831" spans="1:1" x14ac:dyDescent="0.3">
      <c r="A3831" s="12"/>
    </row>
    <row r="3832" spans="1:1" x14ac:dyDescent="0.3">
      <c r="A3832" s="12"/>
    </row>
    <row r="3833" spans="1:1" x14ac:dyDescent="0.3">
      <c r="A3833" s="12"/>
    </row>
    <row r="3834" spans="1:1" x14ac:dyDescent="0.3">
      <c r="A3834" s="12"/>
    </row>
    <row r="3835" spans="1:1" x14ac:dyDescent="0.3">
      <c r="A3835" s="12"/>
    </row>
    <row r="3836" spans="1:1" x14ac:dyDescent="0.3">
      <c r="A3836" s="12"/>
    </row>
    <row r="3837" spans="1:1" x14ac:dyDescent="0.3">
      <c r="A3837" s="12"/>
    </row>
    <row r="3838" spans="1:1" x14ac:dyDescent="0.3">
      <c r="A3838" s="12"/>
    </row>
    <row r="3839" spans="1:1" x14ac:dyDescent="0.3">
      <c r="A3839" s="12"/>
    </row>
    <row r="3840" spans="1:1" x14ac:dyDescent="0.3">
      <c r="A3840" s="12"/>
    </row>
    <row r="3841" spans="1:1" x14ac:dyDescent="0.3">
      <c r="A3841" s="12"/>
    </row>
    <row r="3842" spans="1:1" x14ac:dyDescent="0.3">
      <c r="A3842" s="12"/>
    </row>
    <row r="3843" spans="1:1" x14ac:dyDescent="0.3">
      <c r="A3843" s="12"/>
    </row>
    <row r="3844" spans="1:1" x14ac:dyDescent="0.3">
      <c r="A3844" s="12"/>
    </row>
    <row r="3845" spans="1:1" x14ac:dyDescent="0.3">
      <c r="A3845" s="12"/>
    </row>
    <row r="3846" spans="1:1" x14ac:dyDescent="0.3">
      <c r="A3846" s="12"/>
    </row>
    <row r="3847" spans="1:1" x14ac:dyDescent="0.3">
      <c r="A3847" s="12"/>
    </row>
    <row r="3848" spans="1:1" x14ac:dyDescent="0.3">
      <c r="A3848" s="12"/>
    </row>
    <row r="3849" spans="1:1" x14ac:dyDescent="0.3">
      <c r="A3849" s="12"/>
    </row>
    <row r="3850" spans="1:1" x14ac:dyDescent="0.3">
      <c r="A3850" s="12"/>
    </row>
    <row r="3851" spans="1:1" x14ac:dyDescent="0.3">
      <c r="A3851" s="12"/>
    </row>
    <row r="3852" spans="1:1" x14ac:dyDescent="0.3">
      <c r="A3852" s="12"/>
    </row>
    <row r="3853" spans="1:1" x14ac:dyDescent="0.3">
      <c r="A3853" s="12"/>
    </row>
    <row r="3854" spans="1:1" x14ac:dyDescent="0.3">
      <c r="A3854" s="12"/>
    </row>
    <row r="3855" spans="1:1" x14ac:dyDescent="0.3">
      <c r="A3855" s="12"/>
    </row>
    <row r="3856" spans="1:1" x14ac:dyDescent="0.3">
      <c r="A3856" s="12"/>
    </row>
    <row r="3857" spans="1:1" x14ac:dyDescent="0.3">
      <c r="A3857" s="12"/>
    </row>
    <row r="3858" spans="1:1" x14ac:dyDescent="0.3">
      <c r="A3858" s="12"/>
    </row>
    <row r="3859" spans="1:1" x14ac:dyDescent="0.3">
      <c r="A3859" s="12"/>
    </row>
    <row r="3860" spans="1:1" x14ac:dyDescent="0.3">
      <c r="A3860" s="12"/>
    </row>
    <row r="3861" spans="1:1" x14ac:dyDescent="0.3">
      <c r="A3861" s="12"/>
    </row>
    <row r="3862" spans="1:1" x14ac:dyDescent="0.3">
      <c r="A3862" s="12"/>
    </row>
    <row r="3863" spans="1:1" x14ac:dyDescent="0.3">
      <c r="A3863" s="12"/>
    </row>
    <row r="3864" spans="1:1" x14ac:dyDescent="0.3">
      <c r="A3864" s="12"/>
    </row>
    <row r="3865" spans="1:1" x14ac:dyDescent="0.3">
      <c r="A3865" s="12"/>
    </row>
    <row r="3866" spans="1:1" x14ac:dyDescent="0.3">
      <c r="A3866" s="12"/>
    </row>
    <row r="3867" spans="1:1" x14ac:dyDescent="0.3">
      <c r="A3867" s="12"/>
    </row>
    <row r="3868" spans="1:1" x14ac:dyDescent="0.3">
      <c r="A3868" s="12"/>
    </row>
    <row r="3869" spans="1:1" x14ac:dyDescent="0.3">
      <c r="A3869" s="12"/>
    </row>
    <row r="3870" spans="1:1" x14ac:dyDescent="0.3">
      <c r="A3870" s="12"/>
    </row>
    <row r="3871" spans="1:1" x14ac:dyDescent="0.3">
      <c r="A3871" s="12"/>
    </row>
    <row r="3872" spans="1:1" x14ac:dyDescent="0.3">
      <c r="A3872" s="12"/>
    </row>
    <row r="3873" spans="1:1" x14ac:dyDescent="0.3">
      <c r="A3873" s="12"/>
    </row>
    <row r="3874" spans="1:1" x14ac:dyDescent="0.3">
      <c r="A3874" s="12"/>
    </row>
    <row r="3875" spans="1:1" x14ac:dyDescent="0.3">
      <c r="A3875" s="12"/>
    </row>
    <row r="3876" spans="1:1" x14ac:dyDescent="0.3">
      <c r="A3876" s="12"/>
    </row>
    <row r="3877" spans="1:1" x14ac:dyDescent="0.3">
      <c r="A3877" s="12"/>
    </row>
    <row r="3878" spans="1:1" x14ac:dyDescent="0.3">
      <c r="A3878" s="12"/>
    </row>
    <row r="3879" spans="1:1" x14ac:dyDescent="0.3">
      <c r="A3879" s="12"/>
    </row>
    <row r="3880" spans="1:1" x14ac:dyDescent="0.3">
      <c r="A3880" s="12"/>
    </row>
    <row r="3881" spans="1:1" x14ac:dyDescent="0.3">
      <c r="A3881" s="12"/>
    </row>
    <row r="3882" spans="1:1" x14ac:dyDescent="0.3">
      <c r="A3882" s="12"/>
    </row>
    <row r="3883" spans="1:1" x14ac:dyDescent="0.3">
      <c r="A3883" s="12"/>
    </row>
    <row r="3884" spans="1:1" x14ac:dyDescent="0.3">
      <c r="A3884" s="12"/>
    </row>
    <row r="3885" spans="1:1" x14ac:dyDescent="0.3">
      <c r="A3885" s="12"/>
    </row>
    <row r="3886" spans="1:1" x14ac:dyDescent="0.3">
      <c r="A3886" s="12"/>
    </row>
    <row r="3887" spans="1:1" x14ac:dyDescent="0.3">
      <c r="A3887" s="12"/>
    </row>
    <row r="3888" spans="1:1" x14ac:dyDescent="0.3">
      <c r="A3888" s="12"/>
    </row>
    <row r="3889" spans="1:1" x14ac:dyDescent="0.3">
      <c r="A3889" s="12"/>
    </row>
    <row r="3890" spans="1:1" x14ac:dyDescent="0.3">
      <c r="A3890" s="12"/>
    </row>
    <row r="3891" spans="1:1" x14ac:dyDescent="0.3">
      <c r="A3891" s="12"/>
    </row>
    <row r="3892" spans="1:1" x14ac:dyDescent="0.3">
      <c r="A3892" s="12"/>
    </row>
    <row r="3893" spans="1:1" x14ac:dyDescent="0.3">
      <c r="A3893" s="12"/>
    </row>
    <row r="3894" spans="1:1" x14ac:dyDescent="0.3">
      <c r="A3894" s="12"/>
    </row>
    <row r="3895" spans="1:1" x14ac:dyDescent="0.3">
      <c r="A3895" s="12"/>
    </row>
    <row r="3896" spans="1:1" x14ac:dyDescent="0.3">
      <c r="A3896" s="12"/>
    </row>
    <row r="3897" spans="1:1" x14ac:dyDescent="0.3">
      <c r="A3897" s="12"/>
    </row>
    <row r="3898" spans="1:1" x14ac:dyDescent="0.3">
      <c r="A3898" s="12"/>
    </row>
    <row r="3899" spans="1:1" x14ac:dyDescent="0.3">
      <c r="A3899" s="12"/>
    </row>
    <row r="3900" spans="1:1" x14ac:dyDescent="0.3">
      <c r="A3900" s="12"/>
    </row>
    <row r="3901" spans="1:1" x14ac:dyDescent="0.3">
      <c r="A3901" s="12"/>
    </row>
    <row r="3902" spans="1:1" x14ac:dyDescent="0.3">
      <c r="A3902" s="12"/>
    </row>
    <row r="3903" spans="1:1" x14ac:dyDescent="0.3">
      <c r="A3903" s="12"/>
    </row>
    <row r="3904" spans="1:1" x14ac:dyDescent="0.3">
      <c r="A3904" s="12"/>
    </row>
    <row r="3905" spans="1:1" x14ac:dyDescent="0.3">
      <c r="A3905" s="12"/>
    </row>
    <row r="3906" spans="1:1" x14ac:dyDescent="0.3">
      <c r="A3906" s="12"/>
    </row>
    <row r="3907" spans="1:1" x14ac:dyDescent="0.3">
      <c r="A3907" s="12"/>
    </row>
    <row r="3908" spans="1:1" x14ac:dyDescent="0.3">
      <c r="A3908" s="12"/>
    </row>
    <row r="3909" spans="1:1" x14ac:dyDescent="0.3">
      <c r="A3909" s="12"/>
    </row>
    <row r="3910" spans="1:1" x14ac:dyDescent="0.3">
      <c r="A3910" s="12"/>
    </row>
    <row r="3911" spans="1:1" x14ac:dyDescent="0.3">
      <c r="A3911" s="12"/>
    </row>
    <row r="3912" spans="1:1" x14ac:dyDescent="0.3">
      <c r="A3912" s="12"/>
    </row>
    <row r="3913" spans="1:1" x14ac:dyDescent="0.3">
      <c r="A3913" s="12"/>
    </row>
    <row r="3914" spans="1:1" x14ac:dyDescent="0.3">
      <c r="A3914" s="12"/>
    </row>
    <row r="3915" spans="1:1" x14ac:dyDescent="0.3">
      <c r="A3915" s="12"/>
    </row>
    <row r="3916" spans="1:1" x14ac:dyDescent="0.3">
      <c r="A3916" s="12"/>
    </row>
    <row r="3917" spans="1:1" x14ac:dyDescent="0.3">
      <c r="A3917" s="12"/>
    </row>
    <row r="3918" spans="1:1" x14ac:dyDescent="0.3">
      <c r="A3918" s="12"/>
    </row>
    <row r="3919" spans="1:1" x14ac:dyDescent="0.3">
      <c r="A3919" s="12"/>
    </row>
    <row r="3920" spans="1:1" x14ac:dyDescent="0.3">
      <c r="A3920" s="12"/>
    </row>
    <row r="3921" spans="1:1" x14ac:dyDescent="0.3">
      <c r="A3921" s="12"/>
    </row>
    <row r="3922" spans="1:1" x14ac:dyDescent="0.3">
      <c r="A3922" s="12"/>
    </row>
    <row r="3923" spans="1:1" x14ac:dyDescent="0.3">
      <c r="A3923" s="12"/>
    </row>
    <row r="3924" spans="1:1" x14ac:dyDescent="0.3">
      <c r="A3924" s="12"/>
    </row>
    <row r="3925" spans="1:1" x14ac:dyDescent="0.3">
      <c r="A3925" s="12"/>
    </row>
    <row r="3926" spans="1:1" x14ac:dyDescent="0.3">
      <c r="A3926" s="12"/>
    </row>
    <row r="3927" spans="1:1" x14ac:dyDescent="0.3">
      <c r="A3927" s="12"/>
    </row>
    <row r="3928" spans="1:1" x14ac:dyDescent="0.3">
      <c r="A3928" s="12"/>
    </row>
    <row r="3929" spans="1:1" x14ac:dyDescent="0.3">
      <c r="A3929" s="12"/>
    </row>
    <row r="3930" spans="1:1" x14ac:dyDescent="0.3">
      <c r="A3930" s="12"/>
    </row>
    <row r="3931" spans="1:1" x14ac:dyDescent="0.3">
      <c r="A3931" s="12"/>
    </row>
    <row r="3932" spans="1:1" x14ac:dyDescent="0.3">
      <c r="A3932" s="12"/>
    </row>
    <row r="3933" spans="1:1" x14ac:dyDescent="0.3">
      <c r="A3933" s="12"/>
    </row>
    <row r="3934" spans="1:1" x14ac:dyDescent="0.3">
      <c r="A3934" s="12"/>
    </row>
    <row r="3935" spans="1:1" x14ac:dyDescent="0.3">
      <c r="A3935" s="12"/>
    </row>
    <row r="3936" spans="1:1" x14ac:dyDescent="0.3">
      <c r="A3936" s="12"/>
    </row>
    <row r="3937" spans="1:1" x14ac:dyDescent="0.3">
      <c r="A3937" s="12"/>
    </row>
    <row r="3938" spans="1:1" x14ac:dyDescent="0.3">
      <c r="A3938" s="12"/>
    </row>
    <row r="3939" spans="1:1" x14ac:dyDescent="0.3">
      <c r="A3939" s="12"/>
    </row>
    <row r="3940" spans="1:1" x14ac:dyDescent="0.3">
      <c r="A3940" s="12"/>
    </row>
    <row r="3941" spans="1:1" x14ac:dyDescent="0.3">
      <c r="A3941" s="12"/>
    </row>
    <row r="3942" spans="1:1" x14ac:dyDescent="0.3">
      <c r="A3942" s="12"/>
    </row>
    <row r="3943" spans="1:1" x14ac:dyDescent="0.3">
      <c r="A3943" s="12"/>
    </row>
    <row r="3944" spans="1:1" x14ac:dyDescent="0.3">
      <c r="A3944" s="12"/>
    </row>
    <row r="3945" spans="1:1" x14ac:dyDescent="0.3">
      <c r="A3945" s="12"/>
    </row>
    <row r="3946" spans="1:1" x14ac:dyDescent="0.3">
      <c r="A3946" s="12"/>
    </row>
    <row r="3947" spans="1:1" x14ac:dyDescent="0.3">
      <c r="A3947" s="12"/>
    </row>
    <row r="3948" spans="1:1" x14ac:dyDescent="0.3">
      <c r="A3948" s="12"/>
    </row>
    <row r="3949" spans="1:1" x14ac:dyDescent="0.3">
      <c r="A3949" s="12"/>
    </row>
    <row r="3950" spans="1:1" x14ac:dyDescent="0.3">
      <c r="A3950" s="12"/>
    </row>
    <row r="3951" spans="1:1" x14ac:dyDescent="0.3">
      <c r="A3951" s="12"/>
    </row>
    <row r="3952" spans="1:1" x14ac:dyDescent="0.3">
      <c r="A3952" s="12"/>
    </row>
    <row r="3953" spans="1:1" x14ac:dyDescent="0.3">
      <c r="A3953" s="12"/>
    </row>
    <row r="3954" spans="1:1" x14ac:dyDescent="0.3">
      <c r="A3954" s="12"/>
    </row>
    <row r="3955" spans="1:1" x14ac:dyDescent="0.3">
      <c r="A3955" s="12"/>
    </row>
    <row r="3956" spans="1:1" x14ac:dyDescent="0.3">
      <c r="A3956" s="12"/>
    </row>
    <row r="3957" spans="1:1" x14ac:dyDescent="0.3">
      <c r="A3957" s="12"/>
    </row>
    <row r="3958" spans="1:1" x14ac:dyDescent="0.3">
      <c r="A3958" s="12"/>
    </row>
    <row r="3959" spans="1:1" x14ac:dyDescent="0.3">
      <c r="A3959" s="12"/>
    </row>
    <row r="3960" spans="1:1" x14ac:dyDescent="0.3">
      <c r="A3960" s="12"/>
    </row>
    <row r="3961" spans="1:1" x14ac:dyDescent="0.3">
      <c r="A3961" s="12"/>
    </row>
    <row r="3962" spans="1:1" x14ac:dyDescent="0.3">
      <c r="A3962" s="12"/>
    </row>
    <row r="3963" spans="1:1" x14ac:dyDescent="0.3">
      <c r="A3963" s="12"/>
    </row>
    <row r="3964" spans="1:1" x14ac:dyDescent="0.3">
      <c r="A3964" s="12"/>
    </row>
    <row r="3965" spans="1:1" x14ac:dyDescent="0.3">
      <c r="A3965" s="12"/>
    </row>
    <row r="3966" spans="1:1" x14ac:dyDescent="0.3">
      <c r="A3966" s="12"/>
    </row>
    <row r="3967" spans="1:1" x14ac:dyDescent="0.3">
      <c r="A3967" s="12"/>
    </row>
    <row r="3968" spans="1:1" x14ac:dyDescent="0.3">
      <c r="A3968" s="12"/>
    </row>
    <row r="3969" spans="1:1" x14ac:dyDescent="0.3">
      <c r="A3969" s="12"/>
    </row>
    <row r="3970" spans="1:1" x14ac:dyDescent="0.3">
      <c r="A3970" s="12"/>
    </row>
    <row r="3971" spans="1:1" x14ac:dyDescent="0.3">
      <c r="A3971" s="12"/>
    </row>
    <row r="3972" spans="1:1" x14ac:dyDescent="0.3">
      <c r="A3972" s="12"/>
    </row>
    <row r="3973" spans="1:1" x14ac:dyDescent="0.3">
      <c r="A3973" s="12"/>
    </row>
    <row r="3974" spans="1:1" x14ac:dyDescent="0.3">
      <c r="A3974" s="12"/>
    </row>
    <row r="3975" spans="1:1" x14ac:dyDescent="0.3">
      <c r="A3975" s="12"/>
    </row>
    <row r="3976" spans="1:1" x14ac:dyDescent="0.3">
      <c r="A3976" s="12"/>
    </row>
    <row r="3977" spans="1:1" x14ac:dyDescent="0.3">
      <c r="A3977" s="12"/>
    </row>
    <row r="3978" spans="1:1" x14ac:dyDescent="0.3">
      <c r="A3978" s="12"/>
    </row>
    <row r="3979" spans="1:1" x14ac:dyDescent="0.3">
      <c r="A3979" s="12"/>
    </row>
    <row r="3980" spans="1:1" x14ac:dyDescent="0.3">
      <c r="A3980" s="12"/>
    </row>
    <row r="3981" spans="1:1" x14ac:dyDescent="0.3">
      <c r="A3981" s="12"/>
    </row>
    <row r="3982" spans="1:1" x14ac:dyDescent="0.3">
      <c r="A3982" s="12"/>
    </row>
    <row r="3983" spans="1:1" x14ac:dyDescent="0.3">
      <c r="A3983" s="12"/>
    </row>
    <row r="3984" spans="1:1" x14ac:dyDescent="0.3">
      <c r="A3984" s="12"/>
    </row>
    <row r="3985" spans="1:1" x14ac:dyDescent="0.3">
      <c r="A3985" s="12"/>
    </row>
    <row r="3986" spans="1:1" x14ac:dyDescent="0.3">
      <c r="A3986" s="12"/>
    </row>
    <row r="3987" spans="1:1" x14ac:dyDescent="0.3">
      <c r="A3987" s="12"/>
    </row>
    <row r="3988" spans="1:1" x14ac:dyDescent="0.3">
      <c r="A3988" s="12"/>
    </row>
    <row r="3989" spans="1:1" x14ac:dyDescent="0.3">
      <c r="A3989" s="12"/>
    </row>
    <row r="3990" spans="1:1" x14ac:dyDescent="0.3">
      <c r="A3990" s="12"/>
    </row>
    <row r="3991" spans="1:1" x14ac:dyDescent="0.3">
      <c r="A3991" s="12"/>
    </row>
    <row r="3992" spans="1:1" x14ac:dyDescent="0.3">
      <c r="A3992" s="12"/>
    </row>
    <row r="3993" spans="1:1" x14ac:dyDescent="0.3">
      <c r="A3993" s="12"/>
    </row>
    <row r="3994" spans="1:1" x14ac:dyDescent="0.3">
      <c r="A3994" s="12"/>
    </row>
    <row r="3995" spans="1:1" x14ac:dyDescent="0.3">
      <c r="A3995" s="12"/>
    </row>
    <row r="3996" spans="1:1" x14ac:dyDescent="0.3">
      <c r="A3996" s="12"/>
    </row>
    <row r="3997" spans="1:1" x14ac:dyDescent="0.3">
      <c r="A3997" s="12"/>
    </row>
    <row r="3998" spans="1:1" x14ac:dyDescent="0.3">
      <c r="A3998" s="12"/>
    </row>
    <row r="3999" spans="1:1" x14ac:dyDescent="0.3">
      <c r="A3999" s="12"/>
    </row>
    <row r="4000" spans="1:1" x14ac:dyDescent="0.3">
      <c r="A4000" s="12"/>
    </row>
    <row r="4001" spans="1:1" x14ac:dyDescent="0.3">
      <c r="A4001" s="12"/>
    </row>
    <row r="4002" spans="1:1" x14ac:dyDescent="0.3">
      <c r="A4002" s="12"/>
    </row>
    <row r="4003" spans="1:1" x14ac:dyDescent="0.3">
      <c r="A4003" s="12"/>
    </row>
    <row r="4004" spans="1:1" x14ac:dyDescent="0.3">
      <c r="A4004" s="12"/>
    </row>
    <row r="4005" spans="1:1" x14ac:dyDescent="0.3">
      <c r="A4005" s="12"/>
    </row>
    <row r="4006" spans="1:1" x14ac:dyDescent="0.3">
      <c r="A4006" s="12"/>
    </row>
    <row r="4007" spans="1:1" x14ac:dyDescent="0.3">
      <c r="A4007" s="12"/>
    </row>
    <row r="4008" spans="1:1" x14ac:dyDescent="0.3">
      <c r="A4008" s="12"/>
    </row>
    <row r="4009" spans="1:1" x14ac:dyDescent="0.3">
      <c r="A4009" s="12"/>
    </row>
    <row r="4010" spans="1:1" x14ac:dyDescent="0.3">
      <c r="A4010" s="12"/>
    </row>
    <row r="4011" spans="1:1" x14ac:dyDescent="0.3">
      <c r="A4011" s="12"/>
    </row>
    <row r="4012" spans="1:1" x14ac:dyDescent="0.3">
      <c r="A4012" s="12"/>
    </row>
    <row r="4013" spans="1:1" x14ac:dyDescent="0.3">
      <c r="A4013" s="12"/>
    </row>
    <row r="4014" spans="1:1" x14ac:dyDescent="0.3">
      <c r="A4014" s="12"/>
    </row>
    <row r="4015" spans="1:1" x14ac:dyDescent="0.3">
      <c r="A4015" s="12"/>
    </row>
    <row r="4016" spans="1:1" x14ac:dyDescent="0.3">
      <c r="A4016" s="12"/>
    </row>
    <row r="4017" spans="1:1" x14ac:dyDescent="0.3">
      <c r="A4017" s="12"/>
    </row>
    <row r="4018" spans="1:1" x14ac:dyDescent="0.3">
      <c r="A4018" s="12"/>
    </row>
    <row r="4019" spans="1:1" x14ac:dyDescent="0.3">
      <c r="A4019" s="12"/>
    </row>
    <row r="4020" spans="1:1" x14ac:dyDescent="0.3">
      <c r="A4020" s="12"/>
    </row>
    <row r="4021" spans="1:1" x14ac:dyDescent="0.3">
      <c r="A4021" s="12"/>
    </row>
    <row r="4022" spans="1:1" x14ac:dyDescent="0.3">
      <c r="A4022" s="12"/>
    </row>
    <row r="4023" spans="1:1" x14ac:dyDescent="0.3">
      <c r="A4023" s="12"/>
    </row>
    <row r="4024" spans="1:1" x14ac:dyDescent="0.3">
      <c r="A4024" s="12"/>
    </row>
    <row r="4025" spans="1:1" x14ac:dyDescent="0.3">
      <c r="A4025" s="12"/>
    </row>
    <row r="4026" spans="1:1" x14ac:dyDescent="0.3">
      <c r="A4026" s="12"/>
    </row>
    <row r="4027" spans="1:1" x14ac:dyDescent="0.3">
      <c r="A4027" s="12"/>
    </row>
    <row r="4028" spans="1:1" x14ac:dyDescent="0.3">
      <c r="A4028" s="12"/>
    </row>
    <row r="4029" spans="1:1" x14ac:dyDescent="0.3">
      <c r="A4029" s="12"/>
    </row>
    <row r="4030" spans="1:1" x14ac:dyDescent="0.3">
      <c r="A4030" s="12"/>
    </row>
    <row r="4031" spans="1:1" x14ac:dyDescent="0.3">
      <c r="A4031" s="12"/>
    </row>
    <row r="4032" spans="1:1" x14ac:dyDescent="0.3">
      <c r="A4032" s="12"/>
    </row>
    <row r="4033" spans="1:1" x14ac:dyDescent="0.3">
      <c r="A4033" s="12"/>
    </row>
    <row r="4034" spans="1:1" x14ac:dyDescent="0.3">
      <c r="A4034" s="12"/>
    </row>
    <row r="4035" spans="1:1" x14ac:dyDescent="0.3">
      <c r="A4035" s="12"/>
    </row>
    <row r="4036" spans="1:1" x14ac:dyDescent="0.3">
      <c r="A4036" s="12"/>
    </row>
    <row r="4037" spans="1:1" x14ac:dyDescent="0.3">
      <c r="A4037" s="12"/>
    </row>
    <row r="4038" spans="1:1" x14ac:dyDescent="0.3">
      <c r="A4038" s="12"/>
    </row>
    <row r="4039" spans="1:1" x14ac:dyDescent="0.3">
      <c r="A4039" s="12"/>
    </row>
    <row r="4040" spans="1:1" x14ac:dyDescent="0.3">
      <c r="A4040" s="12"/>
    </row>
    <row r="4041" spans="1:1" x14ac:dyDescent="0.3">
      <c r="A4041" s="12"/>
    </row>
    <row r="4042" spans="1:1" x14ac:dyDescent="0.3">
      <c r="A4042" s="12"/>
    </row>
    <row r="4043" spans="1:1" x14ac:dyDescent="0.3">
      <c r="A4043" s="12"/>
    </row>
    <row r="4044" spans="1:1" x14ac:dyDescent="0.3">
      <c r="A4044" s="12"/>
    </row>
    <row r="4045" spans="1:1" x14ac:dyDescent="0.3">
      <c r="A4045" s="12"/>
    </row>
    <row r="4046" spans="1:1" x14ac:dyDescent="0.3">
      <c r="A4046" s="12"/>
    </row>
    <row r="4047" spans="1:1" x14ac:dyDescent="0.3">
      <c r="A4047" s="12"/>
    </row>
    <row r="4048" spans="1:1" x14ac:dyDescent="0.3">
      <c r="A4048" s="12"/>
    </row>
    <row r="4049" spans="1:1" x14ac:dyDescent="0.3">
      <c r="A4049" s="12"/>
    </row>
    <row r="4050" spans="1:1" x14ac:dyDescent="0.3">
      <c r="A4050" s="12"/>
    </row>
    <row r="4051" spans="1:1" x14ac:dyDescent="0.3">
      <c r="A4051" s="12"/>
    </row>
    <row r="4052" spans="1:1" x14ac:dyDescent="0.3">
      <c r="A4052" s="12"/>
    </row>
    <row r="4053" spans="1:1" x14ac:dyDescent="0.3">
      <c r="A4053" s="12"/>
    </row>
    <row r="4054" spans="1:1" x14ac:dyDescent="0.3">
      <c r="A4054" s="12"/>
    </row>
    <row r="4055" spans="1:1" x14ac:dyDescent="0.3">
      <c r="A4055" s="12"/>
    </row>
    <row r="4056" spans="1:1" x14ac:dyDescent="0.3">
      <c r="A4056" s="12"/>
    </row>
    <row r="4057" spans="1:1" x14ac:dyDescent="0.3">
      <c r="A4057" s="12"/>
    </row>
    <row r="4058" spans="1:1" x14ac:dyDescent="0.3">
      <c r="A4058" s="12"/>
    </row>
    <row r="4059" spans="1:1" x14ac:dyDescent="0.3">
      <c r="A4059" s="12"/>
    </row>
    <row r="4060" spans="1:1" x14ac:dyDescent="0.3">
      <c r="A4060" s="12"/>
    </row>
    <row r="4061" spans="1:1" x14ac:dyDescent="0.3">
      <c r="A4061" s="12"/>
    </row>
    <row r="4062" spans="1:1" x14ac:dyDescent="0.3">
      <c r="A4062" s="12"/>
    </row>
    <row r="4063" spans="1:1" x14ac:dyDescent="0.3">
      <c r="A4063" s="12"/>
    </row>
    <row r="4064" spans="1:1" x14ac:dyDescent="0.3">
      <c r="A4064" s="12"/>
    </row>
    <row r="4065" spans="1:1" x14ac:dyDescent="0.3">
      <c r="A4065" s="12"/>
    </row>
    <row r="4066" spans="1:1" x14ac:dyDescent="0.3">
      <c r="A4066" s="12"/>
    </row>
    <row r="4067" spans="1:1" x14ac:dyDescent="0.3">
      <c r="A4067" s="12"/>
    </row>
    <row r="4068" spans="1:1" x14ac:dyDescent="0.3">
      <c r="A4068" s="12"/>
    </row>
    <row r="4069" spans="1:1" x14ac:dyDescent="0.3">
      <c r="A4069" s="12"/>
    </row>
    <row r="4070" spans="1:1" x14ac:dyDescent="0.3">
      <c r="A4070" s="12"/>
    </row>
    <row r="4071" spans="1:1" x14ac:dyDescent="0.3">
      <c r="A4071" s="12"/>
    </row>
    <row r="4072" spans="1:1" x14ac:dyDescent="0.3">
      <c r="A4072" s="12"/>
    </row>
    <row r="4073" spans="1:1" x14ac:dyDescent="0.3">
      <c r="A4073" s="12"/>
    </row>
    <row r="4074" spans="1:1" x14ac:dyDescent="0.3">
      <c r="A4074" s="12"/>
    </row>
    <row r="4075" spans="1:1" x14ac:dyDescent="0.3">
      <c r="A4075" s="12"/>
    </row>
    <row r="4076" spans="1:1" x14ac:dyDescent="0.3">
      <c r="A4076" s="12"/>
    </row>
    <row r="4077" spans="1:1" x14ac:dyDescent="0.3">
      <c r="A4077" s="12"/>
    </row>
    <row r="4078" spans="1:1" x14ac:dyDescent="0.3">
      <c r="A4078" s="12"/>
    </row>
    <row r="4079" spans="1:1" x14ac:dyDescent="0.3">
      <c r="A4079" s="12"/>
    </row>
    <row r="4080" spans="1:1" x14ac:dyDescent="0.3">
      <c r="A4080" s="12"/>
    </row>
    <row r="4081" spans="1:1" x14ac:dyDescent="0.3">
      <c r="A4081" s="12"/>
    </row>
    <row r="4082" spans="1:1" x14ac:dyDescent="0.3">
      <c r="A4082" s="12"/>
    </row>
    <row r="4083" spans="1:1" x14ac:dyDescent="0.3">
      <c r="A4083" s="12"/>
    </row>
    <row r="4084" spans="1:1" x14ac:dyDescent="0.3">
      <c r="A4084" s="12"/>
    </row>
    <row r="4085" spans="1:1" x14ac:dyDescent="0.3">
      <c r="A4085" s="12"/>
    </row>
    <row r="4086" spans="1:1" x14ac:dyDescent="0.3">
      <c r="A4086" s="12"/>
    </row>
    <row r="4087" spans="1:1" x14ac:dyDescent="0.3">
      <c r="A4087" s="12"/>
    </row>
    <row r="4088" spans="1:1" x14ac:dyDescent="0.3">
      <c r="A4088" s="12"/>
    </row>
    <row r="4089" spans="1:1" x14ac:dyDescent="0.3">
      <c r="A4089" s="12"/>
    </row>
    <row r="4090" spans="1:1" x14ac:dyDescent="0.3">
      <c r="A4090" s="12"/>
    </row>
    <row r="4091" spans="1:1" x14ac:dyDescent="0.3">
      <c r="A4091" s="12"/>
    </row>
    <row r="4092" spans="1:1" x14ac:dyDescent="0.3">
      <c r="A4092" s="12"/>
    </row>
    <row r="4093" spans="1:1" x14ac:dyDescent="0.3">
      <c r="A4093" s="12"/>
    </row>
    <row r="4094" spans="1:1" x14ac:dyDescent="0.3">
      <c r="A4094" s="12"/>
    </row>
    <row r="4095" spans="1:1" x14ac:dyDescent="0.3">
      <c r="A4095" s="12"/>
    </row>
    <row r="4096" spans="1:1" x14ac:dyDescent="0.3">
      <c r="A4096" s="12"/>
    </row>
    <row r="4097" spans="1:1" x14ac:dyDescent="0.3">
      <c r="A4097" s="12"/>
    </row>
    <row r="4098" spans="1:1" x14ac:dyDescent="0.3">
      <c r="A4098" s="12"/>
    </row>
    <row r="4099" spans="1:1" x14ac:dyDescent="0.3">
      <c r="A4099" s="12"/>
    </row>
    <row r="4100" spans="1:1" x14ac:dyDescent="0.3">
      <c r="A4100" s="12"/>
    </row>
    <row r="4101" spans="1:1" x14ac:dyDescent="0.3">
      <c r="A4101" s="12"/>
    </row>
    <row r="4102" spans="1:1" x14ac:dyDescent="0.3">
      <c r="A4102" s="12"/>
    </row>
    <row r="4103" spans="1:1" x14ac:dyDescent="0.3">
      <c r="A4103" s="12"/>
    </row>
    <row r="4104" spans="1:1" x14ac:dyDescent="0.3">
      <c r="A4104" s="12"/>
    </row>
    <row r="4105" spans="1:1" x14ac:dyDescent="0.3">
      <c r="A4105" s="12"/>
    </row>
    <row r="4106" spans="1:1" x14ac:dyDescent="0.3">
      <c r="A4106" s="12"/>
    </row>
    <row r="4107" spans="1:1" x14ac:dyDescent="0.3">
      <c r="A4107" s="12"/>
    </row>
    <row r="4108" spans="1:1" x14ac:dyDescent="0.3">
      <c r="A4108" s="12"/>
    </row>
    <row r="4109" spans="1:1" x14ac:dyDescent="0.3">
      <c r="A4109" s="12"/>
    </row>
    <row r="4110" spans="1:1" x14ac:dyDescent="0.3">
      <c r="A4110" s="12"/>
    </row>
    <row r="4111" spans="1:1" x14ac:dyDescent="0.3">
      <c r="A4111" s="12"/>
    </row>
    <row r="4112" spans="1:1" x14ac:dyDescent="0.3">
      <c r="A4112" s="12"/>
    </row>
    <row r="4113" spans="1:1" x14ac:dyDescent="0.3">
      <c r="A4113" s="12"/>
    </row>
    <row r="4114" spans="1:1" x14ac:dyDescent="0.3">
      <c r="A4114" s="12"/>
    </row>
    <row r="4115" spans="1:1" x14ac:dyDescent="0.3">
      <c r="A4115" s="12"/>
    </row>
    <row r="4116" spans="1:1" x14ac:dyDescent="0.3">
      <c r="A4116" s="12"/>
    </row>
    <row r="4117" spans="1:1" x14ac:dyDescent="0.3">
      <c r="A4117" s="12"/>
    </row>
    <row r="4118" spans="1:1" x14ac:dyDescent="0.3">
      <c r="A4118" s="12"/>
    </row>
    <row r="4119" spans="1:1" x14ac:dyDescent="0.3">
      <c r="A4119" s="12"/>
    </row>
    <row r="4120" spans="1:1" x14ac:dyDescent="0.3">
      <c r="A4120" s="12"/>
    </row>
    <row r="4121" spans="1:1" x14ac:dyDescent="0.3">
      <c r="A4121" s="12"/>
    </row>
    <row r="4122" spans="1:1" x14ac:dyDescent="0.3">
      <c r="A4122" s="12"/>
    </row>
    <row r="4123" spans="1:1" x14ac:dyDescent="0.3">
      <c r="A4123" s="12"/>
    </row>
    <row r="4124" spans="1:1" x14ac:dyDescent="0.3">
      <c r="A4124" s="12"/>
    </row>
    <row r="4125" spans="1:1" x14ac:dyDescent="0.3">
      <c r="A4125" s="12"/>
    </row>
    <row r="4126" spans="1:1" x14ac:dyDescent="0.3">
      <c r="A4126" s="12"/>
    </row>
    <row r="4127" spans="1:1" x14ac:dyDescent="0.3">
      <c r="A4127" s="12"/>
    </row>
    <row r="4128" spans="1:1" x14ac:dyDescent="0.3">
      <c r="A4128" s="12"/>
    </row>
    <row r="4129" spans="1:1" x14ac:dyDescent="0.3">
      <c r="A4129" s="12"/>
    </row>
    <row r="4130" spans="1:1" x14ac:dyDescent="0.3">
      <c r="A4130" s="12"/>
    </row>
    <row r="4131" spans="1:1" x14ac:dyDescent="0.3">
      <c r="A4131" s="12"/>
    </row>
    <row r="4132" spans="1:1" x14ac:dyDescent="0.3">
      <c r="A4132" s="12"/>
    </row>
    <row r="4133" spans="1:1" x14ac:dyDescent="0.3">
      <c r="A4133" s="12"/>
    </row>
    <row r="4134" spans="1:1" x14ac:dyDescent="0.3">
      <c r="A4134" s="12"/>
    </row>
    <row r="4135" spans="1:1" x14ac:dyDescent="0.3">
      <c r="A4135" s="12"/>
    </row>
    <row r="4136" spans="1:1" x14ac:dyDescent="0.3">
      <c r="A4136" s="12"/>
    </row>
    <row r="4137" spans="1:1" x14ac:dyDescent="0.3">
      <c r="A4137" s="12"/>
    </row>
    <row r="4138" spans="1:1" x14ac:dyDescent="0.3">
      <c r="A4138" s="12"/>
    </row>
    <row r="4139" spans="1:1" x14ac:dyDescent="0.3">
      <c r="A4139" s="12"/>
    </row>
    <row r="4140" spans="1:1" x14ac:dyDescent="0.3">
      <c r="A4140" s="12"/>
    </row>
    <row r="4141" spans="1:1" x14ac:dyDescent="0.3">
      <c r="A4141" s="12"/>
    </row>
    <row r="4142" spans="1:1" x14ac:dyDescent="0.3">
      <c r="A4142" s="12"/>
    </row>
    <row r="4143" spans="1:1" x14ac:dyDescent="0.3">
      <c r="A4143" s="12"/>
    </row>
    <row r="4144" spans="1:1" x14ac:dyDescent="0.3">
      <c r="A4144" s="12"/>
    </row>
    <row r="4145" spans="1:1" x14ac:dyDescent="0.3">
      <c r="A4145" s="12"/>
    </row>
    <row r="4146" spans="1:1" x14ac:dyDescent="0.3">
      <c r="A4146" s="12"/>
    </row>
    <row r="4147" spans="1:1" x14ac:dyDescent="0.3">
      <c r="A4147" s="12"/>
    </row>
    <row r="4148" spans="1:1" x14ac:dyDescent="0.3">
      <c r="A4148" s="12"/>
    </row>
    <row r="4149" spans="1:1" x14ac:dyDescent="0.3">
      <c r="A4149" s="12"/>
    </row>
    <row r="4150" spans="1:1" x14ac:dyDescent="0.3">
      <c r="A4150" s="12"/>
    </row>
    <row r="4151" spans="1:1" x14ac:dyDescent="0.3">
      <c r="A4151" s="12"/>
    </row>
    <row r="4152" spans="1:1" x14ac:dyDescent="0.3">
      <c r="A4152" s="12"/>
    </row>
    <row r="4153" spans="1:1" x14ac:dyDescent="0.3">
      <c r="A4153" s="12"/>
    </row>
    <row r="4154" spans="1:1" x14ac:dyDescent="0.3">
      <c r="A4154" s="12"/>
    </row>
    <row r="4155" spans="1:1" x14ac:dyDescent="0.3">
      <c r="A4155" s="12"/>
    </row>
    <row r="4156" spans="1:1" x14ac:dyDescent="0.3">
      <c r="A4156" s="12"/>
    </row>
    <row r="4157" spans="1:1" x14ac:dyDescent="0.3">
      <c r="A4157" s="12"/>
    </row>
    <row r="4158" spans="1:1" x14ac:dyDescent="0.3">
      <c r="A4158" s="12"/>
    </row>
    <row r="4159" spans="1:1" x14ac:dyDescent="0.3">
      <c r="A4159" s="12"/>
    </row>
    <row r="4160" spans="1:1" x14ac:dyDescent="0.3">
      <c r="A4160" s="12"/>
    </row>
    <row r="4161" spans="1:1" x14ac:dyDescent="0.3">
      <c r="A4161" s="12"/>
    </row>
    <row r="4162" spans="1:1" x14ac:dyDescent="0.3">
      <c r="A4162" s="12"/>
    </row>
    <row r="4163" spans="1:1" x14ac:dyDescent="0.3">
      <c r="A4163" s="12"/>
    </row>
    <row r="4164" spans="1:1" x14ac:dyDescent="0.3">
      <c r="A4164" s="12"/>
    </row>
    <row r="4165" spans="1:1" x14ac:dyDescent="0.3">
      <c r="A4165" s="12"/>
    </row>
    <row r="4166" spans="1:1" x14ac:dyDescent="0.3">
      <c r="A4166" s="12"/>
    </row>
    <row r="4167" spans="1:1" x14ac:dyDescent="0.3">
      <c r="A4167" s="12"/>
    </row>
    <row r="4168" spans="1:1" x14ac:dyDescent="0.3">
      <c r="A4168" s="12"/>
    </row>
    <row r="4169" spans="1:1" x14ac:dyDescent="0.3">
      <c r="A4169" s="12"/>
    </row>
    <row r="4170" spans="1:1" x14ac:dyDescent="0.3">
      <c r="A4170" s="12"/>
    </row>
    <row r="4171" spans="1:1" x14ac:dyDescent="0.3">
      <c r="A4171" s="12"/>
    </row>
    <row r="4172" spans="1:1" x14ac:dyDescent="0.3">
      <c r="A4172" s="12"/>
    </row>
    <row r="4173" spans="1:1" x14ac:dyDescent="0.3">
      <c r="A4173" s="12"/>
    </row>
    <row r="4174" spans="1:1" x14ac:dyDescent="0.3">
      <c r="A4174" s="12"/>
    </row>
    <row r="4175" spans="1:1" x14ac:dyDescent="0.3">
      <c r="A4175" s="12"/>
    </row>
    <row r="4176" spans="1:1" x14ac:dyDescent="0.3">
      <c r="A4176" s="12"/>
    </row>
    <row r="4177" spans="1:1" x14ac:dyDescent="0.3">
      <c r="A4177" s="12"/>
    </row>
    <row r="4178" spans="1:1" x14ac:dyDescent="0.3">
      <c r="A4178" s="12"/>
    </row>
    <row r="4179" spans="1:1" x14ac:dyDescent="0.3">
      <c r="A4179" s="12"/>
    </row>
    <row r="4180" spans="1:1" x14ac:dyDescent="0.3">
      <c r="A4180" s="12"/>
    </row>
    <row r="4181" spans="1:1" x14ac:dyDescent="0.3">
      <c r="A4181" s="12"/>
    </row>
    <row r="4182" spans="1:1" x14ac:dyDescent="0.3">
      <c r="A4182" s="12"/>
    </row>
    <row r="4183" spans="1:1" x14ac:dyDescent="0.3">
      <c r="A4183" s="12"/>
    </row>
    <row r="4184" spans="1:1" x14ac:dyDescent="0.3">
      <c r="A4184" s="12"/>
    </row>
    <row r="4185" spans="1:1" x14ac:dyDescent="0.3">
      <c r="A4185" s="12"/>
    </row>
    <row r="4186" spans="1:1" x14ac:dyDescent="0.3">
      <c r="A4186" s="12"/>
    </row>
    <row r="4187" spans="1:1" x14ac:dyDescent="0.3">
      <c r="A4187" s="12"/>
    </row>
    <row r="4188" spans="1:1" x14ac:dyDescent="0.3">
      <c r="A4188" s="12"/>
    </row>
    <row r="4189" spans="1:1" x14ac:dyDescent="0.3">
      <c r="A4189" s="12"/>
    </row>
    <row r="4190" spans="1:1" x14ac:dyDescent="0.3">
      <c r="A4190" s="12"/>
    </row>
    <row r="4191" spans="1:1" x14ac:dyDescent="0.3">
      <c r="A4191" s="12"/>
    </row>
    <row r="4192" spans="1:1" x14ac:dyDescent="0.3">
      <c r="A4192" s="12"/>
    </row>
    <row r="4193" spans="1:1" x14ac:dyDescent="0.3">
      <c r="A4193" s="12"/>
    </row>
    <row r="4194" spans="1:1" x14ac:dyDescent="0.3">
      <c r="A4194" s="12"/>
    </row>
    <row r="4195" spans="1:1" x14ac:dyDescent="0.3">
      <c r="A4195" s="12"/>
    </row>
    <row r="4196" spans="1:1" x14ac:dyDescent="0.3">
      <c r="A4196" s="12"/>
    </row>
    <row r="4197" spans="1:1" x14ac:dyDescent="0.3">
      <c r="A4197" s="12"/>
    </row>
    <row r="4198" spans="1:1" x14ac:dyDescent="0.3">
      <c r="A4198" s="12"/>
    </row>
    <row r="4199" spans="1:1" x14ac:dyDescent="0.3">
      <c r="A4199" s="12"/>
    </row>
    <row r="4200" spans="1:1" x14ac:dyDescent="0.3">
      <c r="A4200" s="12"/>
    </row>
    <row r="4201" spans="1:1" x14ac:dyDescent="0.3">
      <c r="A4201" s="12"/>
    </row>
    <row r="4202" spans="1:1" x14ac:dyDescent="0.3">
      <c r="A4202" s="12"/>
    </row>
    <row r="4203" spans="1:1" x14ac:dyDescent="0.3">
      <c r="A4203" s="12"/>
    </row>
    <row r="4204" spans="1:1" x14ac:dyDescent="0.3">
      <c r="A4204" s="12"/>
    </row>
    <row r="4205" spans="1:1" x14ac:dyDescent="0.3">
      <c r="A4205" s="12"/>
    </row>
    <row r="4206" spans="1:1" x14ac:dyDescent="0.3">
      <c r="A4206" s="12"/>
    </row>
    <row r="4207" spans="1:1" x14ac:dyDescent="0.3">
      <c r="A4207" s="12"/>
    </row>
    <row r="4208" spans="1:1" x14ac:dyDescent="0.3">
      <c r="A4208" s="12"/>
    </row>
    <row r="4209" spans="1:1" x14ac:dyDescent="0.3">
      <c r="A4209" s="12"/>
    </row>
    <row r="4210" spans="1:1" x14ac:dyDescent="0.3">
      <c r="A4210" s="12"/>
    </row>
    <row r="4211" spans="1:1" x14ac:dyDescent="0.3">
      <c r="A4211" s="12"/>
    </row>
    <row r="4212" spans="1:1" x14ac:dyDescent="0.3">
      <c r="A4212" s="12"/>
    </row>
    <row r="4213" spans="1:1" x14ac:dyDescent="0.3">
      <c r="A4213" s="12"/>
    </row>
    <row r="4214" spans="1:1" x14ac:dyDescent="0.3">
      <c r="A4214" s="12"/>
    </row>
    <row r="4215" spans="1:1" x14ac:dyDescent="0.3">
      <c r="A4215" s="12"/>
    </row>
    <row r="4216" spans="1:1" x14ac:dyDescent="0.3">
      <c r="A4216" s="12"/>
    </row>
    <row r="4217" spans="1:1" x14ac:dyDescent="0.3">
      <c r="A4217" s="12"/>
    </row>
    <row r="4218" spans="1:1" x14ac:dyDescent="0.3">
      <c r="A4218" s="12"/>
    </row>
    <row r="4219" spans="1:1" x14ac:dyDescent="0.3">
      <c r="A4219" s="12"/>
    </row>
    <row r="4220" spans="1:1" x14ac:dyDescent="0.3">
      <c r="A4220" s="12"/>
    </row>
    <row r="4221" spans="1:1" x14ac:dyDescent="0.3">
      <c r="A4221" s="12"/>
    </row>
    <row r="4222" spans="1:1" x14ac:dyDescent="0.3">
      <c r="A4222" s="12"/>
    </row>
    <row r="4223" spans="1:1" x14ac:dyDescent="0.3">
      <c r="A4223" s="12"/>
    </row>
    <row r="4224" spans="1:1" x14ac:dyDescent="0.3">
      <c r="A4224" s="12"/>
    </row>
    <row r="4225" spans="1:1" x14ac:dyDescent="0.3">
      <c r="A4225" s="12"/>
    </row>
    <row r="4226" spans="1:1" x14ac:dyDescent="0.3">
      <c r="A4226" s="12"/>
    </row>
    <row r="4227" spans="1:1" x14ac:dyDescent="0.3">
      <c r="A4227" s="12"/>
    </row>
    <row r="4228" spans="1:1" x14ac:dyDescent="0.3">
      <c r="A4228" s="12"/>
    </row>
    <row r="4229" spans="1:1" x14ac:dyDescent="0.3">
      <c r="A4229" s="12"/>
    </row>
    <row r="4230" spans="1:1" x14ac:dyDescent="0.3">
      <c r="A4230" s="12"/>
    </row>
    <row r="4231" spans="1:1" x14ac:dyDescent="0.3">
      <c r="A4231" s="12"/>
    </row>
    <row r="4232" spans="1:1" x14ac:dyDescent="0.3">
      <c r="A4232" s="12"/>
    </row>
    <row r="4233" spans="1:1" x14ac:dyDescent="0.3">
      <c r="A4233" s="12"/>
    </row>
    <row r="4234" spans="1:1" x14ac:dyDescent="0.3">
      <c r="A4234" s="12"/>
    </row>
    <row r="4235" spans="1:1" x14ac:dyDescent="0.3">
      <c r="A4235" s="12"/>
    </row>
    <row r="4236" spans="1:1" x14ac:dyDescent="0.3">
      <c r="A4236" s="12"/>
    </row>
    <row r="4237" spans="1:1" x14ac:dyDescent="0.3">
      <c r="A4237" s="12"/>
    </row>
    <row r="4238" spans="1:1" x14ac:dyDescent="0.3">
      <c r="A4238" s="12"/>
    </row>
    <row r="4239" spans="1:1" x14ac:dyDescent="0.3">
      <c r="A4239" s="12"/>
    </row>
    <row r="4240" spans="1:1" x14ac:dyDescent="0.3">
      <c r="A4240" s="12"/>
    </row>
    <row r="4241" spans="1:1" x14ac:dyDescent="0.3">
      <c r="A4241" s="12"/>
    </row>
    <row r="4242" spans="1:1" x14ac:dyDescent="0.3">
      <c r="A4242" s="12"/>
    </row>
    <row r="4243" spans="1:1" x14ac:dyDescent="0.3">
      <c r="A4243" s="12"/>
    </row>
    <row r="4244" spans="1:1" x14ac:dyDescent="0.3">
      <c r="A4244" s="12"/>
    </row>
    <row r="4245" spans="1:1" x14ac:dyDescent="0.3">
      <c r="A4245" s="12"/>
    </row>
    <row r="4246" spans="1:1" x14ac:dyDescent="0.3">
      <c r="A4246" s="12"/>
    </row>
    <row r="4247" spans="1:1" x14ac:dyDescent="0.3">
      <c r="A4247" s="12"/>
    </row>
    <row r="4248" spans="1:1" x14ac:dyDescent="0.3">
      <c r="A4248" s="12"/>
    </row>
    <row r="4249" spans="1:1" x14ac:dyDescent="0.3">
      <c r="A4249" s="12"/>
    </row>
    <row r="4250" spans="1:1" x14ac:dyDescent="0.3">
      <c r="A4250" s="12"/>
    </row>
    <row r="4251" spans="1:1" x14ac:dyDescent="0.3">
      <c r="A4251" s="12"/>
    </row>
    <row r="4252" spans="1:1" x14ac:dyDescent="0.3">
      <c r="A4252" s="12"/>
    </row>
    <row r="4253" spans="1:1" x14ac:dyDescent="0.3">
      <c r="A4253" s="12"/>
    </row>
    <row r="4254" spans="1:1" x14ac:dyDescent="0.3">
      <c r="A4254" s="12"/>
    </row>
    <row r="4255" spans="1:1" x14ac:dyDescent="0.3">
      <c r="A4255" s="12"/>
    </row>
    <row r="4256" spans="1:1" x14ac:dyDescent="0.3">
      <c r="A4256" s="12"/>
    </row>
    <row r="4257" spans="1:1" x14ac:dyDescent="0.3">
      <c r="A4257" s="12"/>
    </row>
    <row r="4258" spans="1:1" x14ac:dyDescent="0.3">
      <c r="A4258" s="12"/>
    </row>
    <row r="4259" spans="1:1" x14ac:dyDescent="0.3">
      <c r="A4259" s="12"/>
    </row>
    <row r="4260" spans="1:1" x14ac:dyDescent="0.3">
      <c r="A4260" s="12"/>
    </row>
    <row r="4261" spans="1:1" x14ac:dyDescent="0.3">
      <c r="A4261" s="12"/>
    </row>
    <row r="4262" spans="1:1" x14ac:dyDescent="0.3">
      <c r="A4262" s="12"/>
    </row>
    <row r="4263" spans="1:1" x14ac:dyDescent="0.3">
      <c r="A4263" s="12"/>
    </row>
    <row r="4264" spans="1:1" x14ac:dyDescent="0.3">
      <c r="A4264" s="12"/>
    </row>
    <row r="4265" spans="1:1" x14ac:dyDescent="0.3">
      <c r="A4265" s="12"/>
    </row>
    <row r="4266" spans="1:1" x14ac:dyDescent="0.3">
      <c r="A4266" s="12"/>
    </row>
    <row r="4267" spans="1:1" x14ac:dyDescent="0.3">
      <c r="A4267" s="12"/>
    </row>
    <row r="4268" spans="1:1" x14ac:dyDescent="0.3">
      <c r="A4268" s="12"/>
    </row>
    <row r="4269" spans="1:1" x14ac:dyDescent="0.3">
      <c r="A4269" s="12"/>
    </row>
    <row r="4270" spans="1:1" x14ac:dyDescent="0.3">
      <c r="A4270" s="12"/>
    </row>
    <row r="4271" spans="1:1" x14ac:dyDescent="0.3">
      <c r="A4271" s="12"/>
    </row>
    <row r="4272" spans="1:1" x14ac:dyDescent="0.3">
      <c r="A4272" s="12"/>
    </row>
    <row r="4273" spans="1:1" x14ac:dyDescent="0.3">
      <c r="A4273" s="12"/>
    </row>
    <row r="4274" spans="1:1" x14ac:dyDescent="0.3">
      <c r="A4274" s="12"/>
    </row>
    <row r="4275" spans="1:1" x14ac:dyDescent="0.3">
      <c r="A4275" s="12"/>
    </row>
    <row r="4276" spans="1:1" x14ac:dyDescent="0.3">
      <c r="A4276" s="12"/>
    </row>
    <row r="4277" spans="1:1" x14ac:dyDescent="0.3">
      <c r="A4277" s="12"/>
    </row>
    <row r="4278" spans="1:1" x14ac:dyDescent="0.3">
      <c r="A4278" s="12"/>
    </row>
    <row r="4279" spans="1:1" x14ac:dyDescent="0.3">
      <c r="A4279" s="12"/>
    </row>
    <row r="4280" spans="1:1" x14ac:dyDescent="0.3">
      <c r="A4280" s="12"/>
    </row>
    <row r="4281" spans="1:1" x14ac:dyDescent="0.3">
      <c r="A4281" s="12"/>
    </row>
    <row r="4282" spans="1:1" x14ac:dyDescent="0.3">
      <c r="A4282" s="12"/>
    </row>
    <row r="4283" spans="1:1" x14ac:dyDescent="0.3">
      <c r="A4283" s="12"/>
    </row>
    <row r="4284" spans="1:1" x14ac:dyDescent="0.3">
      <c r="A4284" s="12"/>
    </row>
    <row r="4285" spans="1:1" x14ac:dyDescent="0.3">
      <c r="A4285" s="12"/>
    </row>
    <row r="4286" spans="1:1" x14ac:dyDescent="0.3">
      <c r="A4286" s="12"/>
    </row>
    <row r="4287" spans="1:1" x14ac:dyDescent="0.3">
      <c r="A4287" s="12"/>
    </row>
    <row r="4288" spans="1:1" x14ac:dyDescent="0.3">
      <c r="A4288" s="12"/>
    </row>
    <row r="4289" spans="1:1" x14ac:dyDescent="0.3">
      <c r="A4289" s="12"/>
    </row>
    <row r="4290" spans="1:1" x14ac:dyDescent="0.3">
      <c r="A4290" s="12"/>
    </row>
    <row r="4291" spans="1:1" x14ac:dyDescent="0.3">
      <c r="A4291" s="12"/>
    </row>
    <row r="4292" spans="1:1" x14ac:dyDescent="0.3">
      <c r="A4292" s="12"/>
    </row>
    <row r="4293" spans="1:1" x14ac:dyDescent="0.3">
      <c r="A4293" s="12"/>
    </row>
    <row r="4294" spans="1:1" x14ac:dyDescent="0.3">
      <c r="A4294" s="12"/>
    </row>
    <row r="4295" spans="1:1" x14ac:dyDescent="0.3">
      <c r="A4295" s="12"/>
    </row>
    <row r="4296" spans="1:1" x14ac:dyDescent="0.3">
      <c r="A4296" s="12"/>
    </row>
    <row r="4297" spans="1:1" x14ac:dyDescent="0.3">
      <c r="A4297" s="12"/>
    </row>
    <row r="4298" spans="1:1" x14ac:dyDescent="0.3">
      <c r="A4298" s="12"/>
    </row>
    <row r="4299" spans="1:1" x14ac:dyDescent="0.3">
      <c r="A4299" s="12"/>
    </row>
    <row r="4300" spans="1:1" x14ac:dyDescent="0.3">
      <c r="A4300" s="12"/>
    </row>
    <row r="4301" spans="1:1" x14ac:dyDescent="0.3">
      <c r="A4301" s="12"/>
    </row>
    <row r="4302" spans="1:1" x14ac:dyDescent="0.3">
      <c r="A4302" s="12"/>
    </row>
    <row r="4303" spans="1:1" x14ac:dyDescent="0.3">
      <c r="A4303" s="12"/>
    </row>
    <row r="4304" spans="1:1" x14ac:dyDescent="0.3">
      <c r="A4304" s="12"/>
    </row>
    <row r="4305" spans="1:1" x14ac:dyDescent="0.3">
      <c r="A4305" s="12"/>
    </row>
    <row r="4306" spans="1:1" x14ac:dyDescent="0.3">
      <c r="A4306" s="12"/>
    </row>
    <row r="4307" spans="1:1" x14ac:dyDescent="0.3">
      <c r="A4307" s="12"/>
    </row>
    <row r="4308" spans="1:1" x14ac:dyDescent="0.3">
      <c r="A4308" s="12"/>
    </row>
    <row r="4309" spans="1:1" x14ac:dyDescent="0.3">
      <c r="A4309" s="12"/>
    </row>
    <row r="4310" spans="1:1" x14ac:dyDescent="0.3">
      <c r="A4310" s="12"/>
    </row>
    <row r="4311" spans="1:1" x14ac:dyDescent="0.3">
      <c r="A4311" s="12"/>
    </row>
    <row r="4312" spans="1:1" x14ac:dyDescent="0.3">
      <c r="A4312" s="12"/>
    </row>
    <row r="4313" spans="1:1" x14ac:dyDescent="0.3">
      <c r="A4313" s="12"/>
    </row>
    <row r="4314" spans="1:1" x14ac:dyDescent="0.3">
      <c r="A4314" s="12"/>
    </row>
    <row r="4315" spans="1:1" x14ac:dyDescent="0.3">
      <c r="A4315" s="12"/>
    </row>
    <row r="4316" spans="1:1" x14ac:dyDescent="0.3">
      <c r="A4316" s="12"/>
    </row>
    <row r="4317" spans="1:1" x14ac:dyDescent="0.3">
      <c r="A4317" s="12"/>
    </row>
    <row r="4318" spans="1:1" x14ac:dyDescent="0.3">
      <c r="A4318" s="12"/>
    </row>
    <row r="4319" spans="1:1" x14ac:dyDescent="0.3">
      <c r="A4319" s="12"/>
    </row>
    <row r="4320" spans="1:1" x14ac:dyDescent="0.3">
      <c r="A4320" s="12"/>
    </row>
    <row r="4321" spans="1:1" x14ac:dyDescent="0.3">
      <c r="A4321" s="12"/>
    </row>
    <row r="4322" spans="1:1" x14ac:dyDescent="0.3">
      <c r="A4322" s="12"/>
    </row>
    <row r="4323" spans="1:1" x14ac:dyDescent="0.3">
      <c r="A4323" s="12"/>
    </row>
    <row r="4324" spans="1:1" x14ac:dyDescent="0.3">
      <c r="A4324" s="12"/>
    </row>
    <row r="4325" spans="1:1" x14ac:dyDescent="0.3">
      <c r="A4325" s="12"/>
    </row>
    <row r="4326" spans="1:1" x14ac:dyDescent="0.3">
      <c r="A4326" s="12"/>
    </row>
    <row r="4327" spans="1:1" x14ac:dyDescent="0.3">
      <c r="A4327" s="12"/>
    </row>
    <row r="4328" spans="1:1" x14ac:dyDescent="0.3">
      <c r="A4328" s="12"/>
    </row>
    <row r="4329" spans="1:1" x14ac:dyDescent="0.3">
      <c r="A4329" s="12"/>
    </row>
    <row r="4330" spans="1:1" x14ac:dyDescent="0.3">
      <c r="A4330" s="12"/>
    </row>
    <row r="4331" spans="1:1" x14ac:dyDescent="0.3">
      <c r="A4331" s="12"/>
    </row>
    <row r="4332" spans="1:1" x14ac:dyDescent="0.3">
      <c r="A4332" s="12"/>
    </row>
    <row r="4333" spans="1:1" x14ac:dyDescent="0.3">
      <c r="A4333" s="12"/>
    </row>
    <row r="4334" spans="1:1" x14ac:dyDescent="0.3">
      <c r="A4334" s="12"/>
    </row>
    <row r="4335" spans="1:1" x14ac:dyDescent="0.3">
      <c r="A4335" s="12"/>
    </row>
    <row r="4336" spans="1:1" x14ac:dyDescent="0.3">
      <c r="A4336" s="12"/>
    </row>
    <row r="4337" spans="1:1" x14ac:dyDescent="0.3">
      <c r="A4337" s="12"/>
    </row>
    <row r="4338" spans="1:1" x14ac:dyDescent="0.3">
      <c r="A4338" s="12"/>
    </row>
    <row r="4339" spans="1:1" x14ac:dyDescent="0.3">
      <c r="A4339" s="12"/>
    </row>
    <row r="4340" spans="1:1" x14ac:dyDescent="0.3">
      <c r="A4340" s="12"/>
    </row>
    <row r="4341" spans="1:1" x14ac:dyDescent="0.3">
      <c r="A4341" s="12"/>
    </row>
    <row r="4342" spans="1:1" x14ac:dyDescent="0.3">
      <c r="A4342" s="12"/>
    </row>
    <row r="4343" spans="1:1" x14ac:dyDescent="0.3">
      <c r="A4343" s="12"/>
    </row>
    <row r="4344" spans="1:1" x14ac:dyDescent="0.3">
      <c r="A4344" s="12"/>
    </row>
    <row r="4345" spans="1:1" x14ac:dyDescent="0.3">
      <c r="A4345" s="12"/>
    </row>
    <row r="4346" spans="1:1" x14ac:dyDescent="0.3">
      <c r="A4346" s="12"/>
    </row>
    <row r="4347" spans="1:1" x14ac:dyDescent="0.3">
      <c r="A4347" s="12"/>
    </row>
    <row r="4348" spans="1:1" x14ac:dyDescent="0.3">
      <c r="A4348" s="12"/>
    </row>
    <row r="4349" spans="1:1" x14ac:dyDescent="0.3">
      <c r="A4349" s="12"/>
    </row>
    <row r="4350" spans="1:1" x14ac:dyDescent="0.3">
      <c r="A4350" s="12"/>
    </row>
    <row r="4351" spans="1:1" x14ac:dyDescent="0.3">
      <c r="A4351" s="12"/>
    </row>
    <row r="4352" spans="1:1" x14ac:dyDescent="0.3">
      <c r="A4352" s="12"/>
    </row>
    <row r="4353" spans="1:1" x14ac:dyDescent="0.3">
      <c r="A4353" s="12"/>
    </row>
    <row r="4354" spans="1:1" x14ac:dyDescent="0.3">
      <c r="A4354" s="12"/>
    </row>
    <row r="4355" spans="1:1" x14ac:dyDescent="0.3">
      <c r="A4355" s="12"/>
    </row>
    <row r="4356" spans="1:1" x14ac:dyDescent="0.3">
      <c r="A4356" s="12"/>
    </row>
    <row r="4357" spans="1:1" x14ac:dyDescent="0.3">
      <c r="A4357" s="12"/>
    </row>
    <row r="4358" spans="1:1" x14ac:dyDescent="0.3">
      <c r="A4358" s="12"/>
    </row>
    <row r="4359" spans="1:1" x14ac:dyDescent="0.3">
      <c r="A4359" s="12"/>
    </row>
    <row r="4360" spans="1:1" x14ac:dyDescent="0.3">
      <c r="A4360" s="12"/>
    </row>
    <row r="4361" spans="1:1" x14ac:dyDescent="0.3">
      <c r="A4361" s="12"/>
    </row>
    <row r="4362" spans="1:1" x14ac:dyDescent="0.3">
      <c r="A4362" s="12"/>
    </row>
    <row r="4363" spans="1:1" x14ac:dyDescent="0.3">
      <c r="A4363" s="12"/>
    </row>
    <row r="4364" spans="1:1" x14ac:dyDescent="0.3">
      <c r="A4364" s="12"/>
    </row>
    <row r="4365" spans="1:1" x14ac:dyDescent="0.3">
      <c r="A4365" s="12"/>
    </row>
    <row r="4366" spans="1:1" x14ac:dyDescent="0.3">
      <c r="A4366" s="12"/>
    </row>
    <row r="4367" spans="1:1" x14ac:dyDescent="0.3">
      <c r="A4367" s="12"/>
    </row>
    <row r="4368" spans="1:1" x14ac:dyDescent="0.3">
      <c r="A4368" s="12"/>
    </row>
    <row r="4369" spans="1:1" x14ac:dyDescent="0.3">
      <c r="A4369" s="12"/>
    </row>
    <row r="4370" spans="1:1" x14ac:dyDescent="0.3">
      <c r="A4370" s="12"/>
    </row>
    <row r="4371" spans="1:1" x14ac:dyDescent="0.3">
      <c r="A4371" s="12"/>
    </row>
    <row r="4372" spans="1:1" x14ac:dyDescent="0.3">
      <c r="A4372" s="12"/>
    </row>
    <row r="4373" spans="1:1" x14ac:dyDescent="0.3">
      <c r="A4373" s="12"/>
    </row>
    <row r="4374" spans="1:1" x14ac:dyDescent="0.3">
      <c r="A4374" s="12"/>
    </row>
    <row r="4375" spans="1:1" x14ac:dyDescent="0.3">
      <c r="A4375" s="12"/>
    </row>
    <row r="4376" spans="1:1" x14ac:dyDescent="0.3">
      <c r="A4376" s="12"/>
    </row>
    <row r="4377" spans="1:1" x14ac:dyDescent="0.3">
      <c r="A4377" s="12"/>
    </row>
    <row r="4378" spans="1:1" x14ac:dyDescent="0.3">
      <c r="A4378" s="12"/>
    </row>
    <row r="4379" spans="1:1" x14ac:dyDescent="0.3">
      <c r="A4379" s="12"/>
    </row>
    <row r="4380" spans="1:1" x14ac:dyDescent="0.3">
      <c r="A4380" s="12"/>
    </row>
    <row r="4381" spans="1:1" x14ac:dyDescent="0.3">
      <c r="A4381" s="12"/>
    </row>
    <row r="4382" spans="1:1" x14ac:dyDescent="0.3">
      <c r="A4382" s="12"/>
    </row>
    <row r="4383" spans="1:1" x14ac:dyDescent="0.3">
      <c r="A4383" s="12"/>
    </row>
    <row r="4384" spans="1:1" x14ac:dyDescent="0.3">
      <c r="A4384" s="12"/>
    </row>
    <row r="4385" spans="1:1" x14ac:dyDescent="0.3">
      <c r="A4385" s="12"/>
    </row>
    <row r="4386" spans="1:1" x14ac:dyDescent="0.3">
      <c r="A4386" s="12"/>
    </row>
    <row r="4387" spans="1:1" x14ac:dyDescent="0.3">
      <c r="A4387" s="12"/>
    </row>
    <row r="4388" spans="1:1" x14ac:dyDescent="0.3">
      <c r="A4388" s="12"/>
    </row>
    <row r="4389" spans="1:1" x14ac:dyDescent="0.3">
      <c r="A4389" s="12"/>
    </row>
    <row r="4390" spans="1:1" x14ac:dyDescent="0.3">
      <c r="A4390" s="12"/>
    </row>
    <row r="4391" spans="1:1" x14ac:dyDescent="0.3">
      <c r="A4391" s="12"/>
    </row>
    <row r="4392" spans="1:1" x14ac:dyDescent="0.3">
      <c r="A4392" s="12"/>
    </row>
    <row r="4393" spans="1:1" x14ac:dyDescent="0.3">
      <c r="A4393" s="12"/>
    </row>
    <row r="4394" spans="1:1" x14ac:dyDescent="0.3">
      <c r="A4394" s="12"/>
    </row>
    <row r="4395" spans="1:1" x14ac:dyDescent="0.3">
      <c r="A4395" s="12"/>
    </row>
    <row r="4396" spans="1:1" x14ac:dyDescent="0.3">
      <c r="A4396" s="12"/>
    </row>
    <row r="4397" spans="1:1" x14ac:dyDescent="0.3">
      <c r="A4397" s="12"/>
    </row>
    <row r="4398" spans="1:1" x14ac:dyDescent="0.3">
      <c r="A4398" s="12"/>
    </row>
    <row r="4399" spans="1:1" x14ac:dyDescent="0.3">
      <c r="A4399" s="12"/>
    </row>
    <row r="4400" spans="1:1" x14ac:dyDescent="0.3">
      <c r="A4400" s="12"/>
    </row>
    <row r="4401" spans="1:1" x14ac:dyDescent="0.3">
      <c r="A4401" s="12"/>
    </row>
    <row r="4402" spans="1:1" x14ac:dyDescent="0.3">
      <c r="A4402" s="12"/>
    </row>
    <row r="4403" spans="1:1" x14ac:dyDescent="0.3">
      <c r="A4403" s="12"/>
    </row>
    <row r="4404" spans="1:1" x14ac:dyDescent="0.3">
      <c r="A4404" s="12"/>
    </row>
    <row r="4405" spans="1:1" x14ac:dyDescent="0.3">
      <c r="A4405" s="12"/>
    </row>
    <row r="4406" spans="1:1" x14ac:dyDescent="0.3">
      <c r="A4406" s="12"/>
    </row>
    <row r="4407" spans="1:1" x14ac:dyDescent="0.3">
      <c r="A4407" s="12"/>
    </row>
    <row r="4408" spans="1:1" x14ac:dyDescent="0.3">
      <c r="A4408" s="12"/>
    </row>
    <row r="4409" spans="1:1" x14ac:dyDescent="0.3">
      <c r="A4409" s="12"/>
    </row>
    <row r="4410" spans="1:1" x14ac:dyDescent="0.3">
      <c r="A4410" s="12"/>
    </row>
    <row r="4411" spans="1:1" x14ac:dyDescent="0.3">
      <c r="A4411" s="12"/>
    </row>
    <row r="4412" spans="1:1" x14ac:dyDescent="0.3">
      <c r="A4412" s="12"/>
    </row>
    <row r="4413" spans="1:1" x14ac:dyDescent="0.3">
      <c r="A4413" s="12"/>
    </row>
    <row r="4414" spans="1:1" x14ac:dyDescent="0.3">
      <c r="A4414" s="12"/>
    </row>
    <row r="4415" spans="1:1" x14ac:dyDescent="0.3">
      <c r="A4415" s="12"/>
    </row>
    <row r="4416" spans="1:1" x14ac:dyDescent="0.3">
      <c r="A4416" s="12"/>
    </row>
    <row r="4417" spans="1:1" x14ac:dyDescent="0.3">
      <c r="A4417" s="12"/>
    </row>
    <row r="4418" spans="1:1" x14ac:dyDescent="0.3">
      <c r="A4418" s="12"/>
    </row>
    <row r="4419" spans="1:1" x14ac:dyDescent="0.3">
      <c r="A4419" s="12"/>
    </row>
    <row r="4420" spans="1:1" x14ac:dyDescent="0.3">
      <c r="A4420" s="12"/>
    </row>
    <row r="4421" spans="1:1" x14ac:dyDescent="0.3">
      <c r="A4421" s="12"/>
    </row>
    <row r="4422" spans="1:1" x14ac:dyDescent="0.3">
      <c r="A4422" s="12"/>
    </row>
    <row r="4423" spans="1:1" x14ac:dyDescent="0.3">
      <c r="A4423" s="12"/>
    </row>
    <row r="4424" spans="1:1" x14ac:dyDescent="0.3">
      <c r="A4424" s="12"/>
    </row>
    <row r="4425" spans="1:1" x14ac:dyDescent="0.3">
      <c r="A4425" s="12"/>
    </row>
    <row r="4426" spans="1:1" x14ac:dyDescent="0.3">
      <c r="A4426" s="12"/>
    </row>
    <row r="4427" spans="1:1" x14ac:dyDescent="0.3">
      <c r="A4427" s="12"/>
    </row>
    <row r="4428" spans="1:1" x14ac:dyDescent="0.3">
      <c r="A4428" s="12"/>
    </row>
    <row r="4429" spans="1:1" x14ac:dyDescent="0.3">
      <c r="A4429" s="12"/>
    </row>
    <row r="4430" spans="1:1" x14ac:dyDescent="0.3">
      <c r="A4430" s="12"/>
    </row>
    <row r="4431" spans="1:1" x14ac:dyDescent="0.3">
      <c r="A4431" s="12"/>
    </row>
    <row r="4432" spans="1:1" x14ac:dyDescent="0.3">
      <c r="A4432" s="12"/>
    </row>
    <row r="4433" spans="1:1" x14ac:dyDescent="0.3">
      <c r="A4433" s="12"/>
    </row>
    <row r="4434" spans="1:1" x14ac:dyDescent="0.3">
      <c r="A4434" s="12"/>
    </row>
    <row r="4435" spans="1:1" x14ac:dyDescent="0.3">
      <c r="A4435" s="12"/>
    </row>
    <row r="4436" spans="1:1" x14ac:dyDescent="0.3">
      <c r="A4436" s="12"/>
    </row>
    <row r="4437" spans="1:1" x14ac:dyDescent="0.3">
      <c r="A4437" s="12"/>
    </row>
    <row r="4438" spans="1:1" x14ac:dyDescent="0.3">
      <c r="A4438" s="12"/>
    </row>
    <row r="4439" spans="1:1" x14ac:dyDescent="0.3">
      <c r="A4439" s="12"/>
    </row>
    <row r="4440" spans="1:1" x14ac:dyDescent="0.3">
      <c r="A4440" s="12"/>
    </row>
    <row r="4441" spans="1:1" x14ac:dyDescent="0.3">
      <c r="A4441" s="12"/>
    </row>
    <row r="4442" spans="1:1" x14ac:dyDescent="0.3">
      <c r="A4442" s="12"/>
    </row>
    <row r="4443" spans="1:1" x14ac:dyDescent="0.3">
      <c r="A4443" s="12"/>
    </row>
    <row r="4444" spans="1:1" x14ac:dyDescent="0.3">
      <c r="A4444" s="12"/>
    </row>
    <row r="4445" spans="1:1" x14ac:dyDescent="0.3">
      <c r="A4445" s="12"/>
    </row>
    <row r="4446" spans="1:1" x14ac:dyDescent="0.3">
      <c r="A4446" s="12"/>
    </row>
    <row r="4447" spans="1:1" x14ac:dyDescent="0.3">
      <c r="A4447" s="12"/>
    </row>
    <row r="4448" spans="1:1" x14ac:dyDescent="0.3">
      <c r="A4448" s="12"/>
    </row>
    <row r="4449" spans="1:1" x14ac:dyDescent="0.3">
      <c r="A4449" s="12"/>
    </row>
    <row r="4450" spans="1:1" x14ac:dyDescent="0.3">
      <c r="A4450" s="12"/>
    </row>
    <row r="4451" spans="1:1" x14ac:dyDescent="0.3">
      <c r="A4451" s="12"/>
    </row>
    <row r="4452" spans="1:1" x14ac:dyDescent="0.3">
      <c r="A4452" s="12"/>
    </row>
    <row r="4453" spans="1:1" x14ac:dyDescent="0.3">
      <c r="A4453" s="12"/>
    </row>
    <row r="4454" spans="1:1" x14ac:dyDescent="0.3">
      <c r="A4454" s="12"/>
    </row>
    <row r="4455" spans="1:1" x14ac:dyDescent="0.3">
      <c r="A4455" s="12"/>
    </row>
    <row r="4456" spans="1:1" x14ac:dyDescent="0.3">
      <c r="A4456" s="12"/>
    </row>
    <row r="4457" spans="1:1" x14ac:dyDescent="0.3">
      <c r="A4457" s="12"/>
    </row>
    <row r="4458" spans="1:1" x14ac:dyDescent="0.3">
      <c r="A4458" s="12"/>
    </row>
    <row r="4459" spans="1:1" x14ac:dyDescent="0.3">
      <c r="A4459" s="12"/>
    </row>
    <row r="4460" spans="1:1" x14ac:dyDescent="0.3">
      <c r="A4460" s="12"/>
    </row>
    <row r="4461" spans="1:1" x14ac:dyDescent="0.3">
      <c r="A4461" s="12"/>
    </row>
    <row r="4462" spans="1:1" x14ac:dyDescent="0.3">
      <c r="A4462" s="12"/>
    </row>
    <row r="4463" spans="1:1" x14ac:dyDescent="0.3">
      <c r="A4463" s="12"/>
    </row>
    <row r="4464" spans="1:1" x14ac:dyDescent="0.3">
      <c r="A4464" s="12"/>
    </row>
    <row r="4465" spans="1:1" x14ac:dyDescent="0.3">
      <c r="A4465" s="12"/>
    </row>
    <row r="4466" spans="1:1" x14ac:dyDescent="0.3">
      <c r="A4466" s="12"/>
    </row>
    <row r="4467" spans="1:1" x14ac:dyDescent="0.3">
      <c r="A4467" s="12"/>
    </row>
    <row r="4468" spans="1:1" x14ac:dyDescent="0.3">
      <c r="A4468" s="12"/>
    </row>
    <row r="4469" spans="1:1" x14ac:dyDescent="0.3">
      <c r="A4469" s="12"/>
    </row>
    <row r="4470" spans="1:1" x14ac:dyDescent="0.3">
      <c r="A4470" s="12"/>
    </row>
    <row r="4471" spans="1:1" x14ac:dyDescent="0.3">
      <c r="A4471" s="12"/>
    </row>
    <row r="4472" spans="1:1" x14ac:dyDescent="0.3">
      <c r="A4472" s="12"/>
    </row>
    <row r="4473" spans="1:1" x14ac:dyDescent="0.3">
      <c r="A4473" s="12"/>
    </row>
    <row r="4474" spans="1:1" x14ac:dyDescent="0.3">
      <c r="A4474" s="12"/>
    </row>
    <row r="4475" spans="1:1" x14ac:dyDescent="0.3">
      <c r="A4475" s="12"/>
    </row>
    <row r="4476" spans="1:1" x14ac:dyDescent="0.3">
      <c r="A4476" s="12"/>
    </row>
    <row r="4477" spans="1:1" x14ac:dyDescent="0.3">
      <c r="A4477" s="12"/>
    </row>
    <row r="4478" spans="1:1" x14ac:dyDescent="0.3">
      <c r="A4478" s="12"/>
    </row>
    <row r="4479" spans="1:1" x14ac:dyDescent="0.3">
      <c r="A4479" s="12"/>
    </row>
    <row r="4480" spans="1:1" x14ac:dyDescent="0.3">
      <c r="A4480" s="12"/>
    </row>
    <row r="4481" spans="1:1" x14ac:dyDescent="0.3">
      <c r="A4481" s="12"/>
    </row>
    <row r="4482" spans="1:1" x14ac:dyDescent="0.3">
      <c r="A4482" s="12"/>
    </row>
    <row r="4483" spans="1:1" x14ac:dyDescent="0.3">
      <c r="A4483" s="12"/>
    </row>
    <row r="4484" spans="1:1" x14ac:dyDescent="0.3">
      <c r="A4484" s="12"/>
    </row>
    <row r="4485" spans="1:1" x14ac:dyDescent="0.3">
      <c r="A4485" s="12"/>
    </row>
    <row r="4486" spans="1:1" x14ac:dyDescent="0.3">
      <c r="A4486" s="12"/>
    </row>
    <row r="4487" spans="1:1" x14ac:dyDescent="0.3">
      <c r="A4487" s="12"/>
    </row>
    <row r="4488" spans="1:1" x14ac:dyDescent="0.3">
      <c r="A4488" s="12"/>
    </row>
    <row r="4489" spans="1:1" x14ac:dyDescent="0.3">
      <c r="A4489" s="12"/>
    </row>
    <row r="4490" spans="1:1" x14ac:dyDescent="0.3">
      <c r="A4490" s="12"/>
    </row>
    <row r="4491" spans="1:1" x14ac:dyDescent="0.3">
      <c r="A4491" s="12"/>
    </row>
    <row r="4492" spans="1:1" x14ac:dyDescent="0.3">
      <c r="A4492" s="12"/>
    </row>
    <row r="4493" spans="1:1" x14ac:dyDescent="0.3">
      <c r="A4493" s="12"/>
    </row>
    <row r="4494" spans="1:1" x14ac:dyDescent="0.3">
      <c r="A4494" s="12"/>
    </row>
    <row r="4495" spans="1:1" x14ac:dyDescent="0.3">
      <c r="A4495" s="12"/>
    </row>
    <row r="4496" spans="1:1" x14ac:dyDescent="0.3">
      <c r="A4496" s="12"/>
    </row>
    <row r="4497" spans="1:1" x14ac:dyDescent="0.3">
      <c r="A4497" s="12"/>
    </row>
    <row r="4498" spans="1:1" x14ac:dyDescent="0.3">
      <c r="A4498" s="12"/>
    </row>
    <row r="4499" spans="1:1" x14ac:dyDescent="0.3">
      <c r="A4499" s="12"/>
    </row>
    <row r="4500" spans="1:1" x14ac:dyDescent="0.3">
      <c r="A4500" s="12"/>
    </row>
    <row r="4501" spans="1:1" x14ac:dyDescent="0.3">
      <c r="A4501" s="12"/>
    </row>
    <row r="4502" spans="1:1" x14ac:dyDescent="0.3">
      <c r="A4502" s="12"/>
    </row>
    <row r="4503" spans="1:1" x14ac:dyDescent="0.3">
      <c r="A4503" s="12"/>
    </row>
    <row r="4504" spans="1:1" x14ac:dyDescent="0.3">
      <c r="A4504" s="12"/>
    </row>
    <row r="4505" spans="1:1" x14ac:dyDescent="0.3">
      <c r="A4505" s="12"/>
    </row>
    <row r="4506" spans="1:1" x14ac:dyDescent="0.3">
      <c r="A4506" s="12"/>
    </row>
    <row r="4507" spans="1:1" x14ac:dyDescent="0.3">
      <c r="A4507" s="12"/>
    </row>
    <row r="4508" spans="1:1" x14ac:dyDescent="0.3">
      <c r="A4508" s="12"/>
    </row>
    <row r="4509" spans="1:1" x14ac:dyDescent="0.3">
      <c r="A4509" s="12"/>
    </row>
    <row r="4510" spans="1:1" x14ac:dyDescent="0.3">
      <c r="A4510" s="12"/>
    </row>
    <row r="4511" spans="1:1" x14ac:dyDescent="0.3">
      <c r="A4511" s="12"/>
    </row>
    <row r="4512" spans="1:1" x14ac:dyDescent="0.3">
      <c r="A4512" s="12"/>
    </row>
    <row r="4513" spans="1:1" x14ac:dyDescent="0.3">
      <c r="A4513" s="12"/>
    </row>
    <row r="4514" spans="1:1" x14ac:dyDescent="0.3">
      <c r="A4514" s="12"/>
    </row>
    <row r="4515" spans="1:1" x14ac:dyDescent="0.3">
      <c r="A4515" s="12"/>
    </row>
    <row r="4516" spans="1:1" x14ac:dyDescent="0.3">
      <c r="A4516" s="12"/>
    </row>
    <row r="4517" spans="1:1" x14ac:dyDescent="0.3">
      <c r="A4517" s="12"/>
    </row>
    <row r="4518" spans="1:1" x14ac:dyDescent="0.3">
      <c r="A4518" s="12"/>
    </row>
    <row r="4519" spans="1:1" x14ac:dyDescent="0.3">
      <c r="A4519" s="12"/>
    </row>
    <row r="4520" spans="1:1" x14ac:dyDescent="0.3">
      <c r="A4520" s="12"/>
    </row>
    <row r="4521" spans="1:1" x14ac:dyDescent="0.3">
      <c r="A4521" s="12"/>
    </row>
    <row r="4522" spans="1:1" x14ac:dyDescent="0.3">
      <c r="A4522" s="12"/>
    </row>
    <row r="4523" spans="1:1" x14ac:dyDescent="0.3">
      <c r="A4523" s="12"/>
    </row>
    <row r="4524" spans="1:1" x14ac:dyDescent="0.3">
      <c r="A4524" s="12"/>
    </row>
    <row r="4525" spans="1:1" x14ac:dyDescent="0.3">
      <c r="A4525" s="12"/>
    </row>
    <row r="4526" spans="1:1" x14ac:dyDescent="0.3">
      <c r="A4526" s="12"/>
    </row>
    <row r="4527" spans="1:1" x14ac:dyDescent="0.3">
      <c r="A4527" s="12"/>
    </row>
    <row r="4528" spans="1:1" x14ac:dyDescent="0.3">
      <c r="A4528" s="12"/>
    </row>
    <row r="4529" spans="1:1" x14ac:dyDescent="0.3">
      <c r="A4529" s="12"/>
    </row>
    <row r="4530" spans="1:1" x14ac:dyDescent="0.3">
      <c r="A4530" s="12"/>
    </row>
    <row r="4531" spans="1:1" x14ac:dyDescent="0.3">
      <c r="A4531" s="12"/>
    </row>
    <row r="4532" spans="1:1" x14ac:dyDescent="0.3">
      <c r="A4532" s="12"/>
    </row>
    <row r="4533" spans="1:1" x14ac:dyDescent="0.3">
      <c r="A4533" s="12"/>
    </row>
    <row r="4534" spans="1:1" x14ac:dyDescent="0.3">
      <c r="A4534" s="12"/>
    </row>
    <row r="4535" spans="1:1" x14ac:dyDescent="0.3">
      <c r="A4535" s="12"/>
    </row>
    <row r="4536" spans="1:1" x14ac:dyDescent="0.3">
      <c r="A4536" s="12"/>
    </row>
    <row r="4537" spans="1:1" x14ac:dyDescent="0.3">
      <c r="A4537" s="12"/>
    </row>
    <row r="4538" spans="1:1" x14ac:dyDescent="0.3">
      <c r="A4538" s="12"/>
    </row>
    <row r="4539" spans="1:1" x14ac:dyDescent="0.3">
      <c r="A4539" s="12"/>
    </row>
    <row r="4540" spans="1:1" x14ac:dyDescent="0.3">
      <c r="A4540" s="12"/>
    </row>
    <row r="4541" spans="1:1" x14ac:dyDescent="0.3">
      <c r="A4541" s="12"/>
    </row>
    <row r="4542" spans="1:1" x14ac:dyDescent="0.3">
      <c r="A4542" s="12"/>
    </row>
    <row r="4543" spans="1:1" x14ac:dyDescent="0.3">
      <c r="A4543" s="12"/>
    </row>
    <row r="4544" spans="1:1" x14ac:dyDescent="0.3">
      <c r="A4544" s="12"/>
    </row>
    <row r="4545" spans="1:1" x14ac:dyDescent="0.3">
      <c r="A4545" s="12"/>
    </row>
    <row r="4546" spans="1:1" x14ac:dyDescent="0.3">
      <c r="A4546" s="12"/>
    </row>
    <row r="4547" spans="1:1" x14ac:dyDescent="0.3">
      <c r="A4547" s="12"/>
    </row>
    <row r="4548" spans="1:1" x14ac:dyDescent="0.3">
      <c r="A4548" s="12"/>
    </row>
    <row r="4549" spans="1:1" x14ac:dyDescent="0.3">
      <c r="A4549" s="12"/>
    </row>
    <row r="4550" spans="1:1" x14ac:dyDescent="0.3">
      <c r="A4550" s="12"/>
    </row>
    <row r="4551" spans="1:1" x14ac:dyDescent="0.3">
      <c r="A4551" s="12"/>
    </row>
    <row r="4552" spans="1:1" x14ac:dyDescent="0.3">
      <c r="A4552" s="12"/>
    </row>
    <row r="4553" spans="1:1" x14ac:dyDescent="0.3">
      <c r="A4553" s="12"/>
    </row>
    <row r="4554" spans="1:1" x14ac:dyDescent="0.3">
      <c r="A4554" s="12"/>
    </row>
    <row r="4555" spans="1:1" x14ac:dyDescent="0.3">
      <c r="A4555" s="12"/>
    </row>
    <row r="4556" spans="1:1" x14ac:dyDescent="0.3">
      <c r="A4556" s="12"/>
    </row>
    <row r="4557" spans="1:1" x14ac:dyDescent="0.3">
      <c r="A4557" s="12"/>
    </row>
    <row r="4558" spans="1:1" x14ac:dyDescent="0.3">
      <c r="A4558" s="12"/>
    </row>
    <row r="4559" spans="1:1" x14ac:dyDescent="0.3">
      <c r="A4559" s="12"/>
    </row>
    <row r="4560" spans="1:1" x14ac:dyDescent="0.3">
      <c r="A4560" s="12"/>
    </row>
    <row r="4561" spans="1:1" x14ac:dyDescent="0.3">
      <c r="A4561" s="12"/>
    </row>
    <row r="4562" spans="1:1" x14ac:dyDescent="0.3">
      <c r="A4562" s="12"/>
    </row>
    <row r="4563" spans="1:1" x14ac:dyDescent="0.3">
      <c r="A4563" s="12"/>
    </row>
    <row r="4564" spans="1:1" x14ac:dyDescent="0.3">
      <c r="A4564" s="12"/>
    </row>
    <row r="4565" spans="1:1" x14ac:dyDescent="0.3">
      <c r="A4565" s="12"/>
    </row>
    <row r="4566" spans="1:1" x14ac:dyDescent="0.3">
      <c r="A4566" s="12"/>
    </row>
    <row r="4567" spans="1:1" x14ac:dyDescent="0.3">
      <c r="A4567" s="12"/>
    </row>
    <row r="4568" spans="1:1" x14ac:dyDescent="0.3">
      <c r="A4568" s="12"/>
    </row>
    <row r="4569" spans="1:1" x14ac:dyDescent="0.3">
      <c r="A4569" s="12"/>
    </row>
    <row r="4570" spans="1:1" x14ac:dyDescent="0.3">
      <c r="A4570" s="12"/>
    </row>
    <row r="4571" spans="1:1" x14ac:dyDescent="0.3">
      <c r="A4571" s="12"/>
    </row>
    <row r="4572" spans="1:1" x14ac:dyDescent="0.3">
      <c r="A4572" s="12"/>
    </row>
    <row r="4573" spans="1:1" x14ac:dyDescent="0.3">
      <c r="A4573" s="12"/>
    </row>
    <row r="4574" spans="1:1" x14ac:dyDescent="0.3">
      <c r="A4574" s="12"/>
    </row>
    <row r="4575" spans="1:1" x14ac:dyDescent="0.3">
      <c r="A4575" s="12"/>
    </row>
    <row r="4576" spans="1:1" x14ac:dyDescent="0.3">
      <c r="A4576" s="12"/>
    </row>
    <row r="4577" spans="1:1" x14ac:dyDescent="0.3">
      <c r="A4577" s="12"/>
    </row>
    <row r="4578" spans="1:1" x14ac:dyDescent="0.3">
      <c r="A4578" s="12"/>
    </row>
    <row r="4579" spans="1:1" x14ac:dyDescent="0.3">
      <c r="A4579" s="12"/>
    </row>
    <row r="4580" spans="1:1" x14ac:dyDescent="0.3">
      <c r="A4580" s="12"/>
    </row>
    <row r="4581" spans="1:1" x14ac:dyDescent="0.3">
      <c r="A4581" s="12"/>
    </row>
    <row r="4582" spans="1:1" x14ac:dyDescent="0.3">
      <c r="A4582" s="12"/>
    </row>
    <row r="4583" spans="1:1" x14ac:dyDescent="0.3">
      <c r="A4583" s="12"/>
    </row>
    <row r="4584" spans="1:1" x14ac:dyDescent="0.3">
      <c r="A4584" s="12"/>
    </row>
    <row r="4585" spans="1:1" x14ac:dyDescent="0.3">
      <c r="A4585" s="12"/>
    </row>
    <row r="4586" spans="1:1" x14ac:dyDescent="0.3">
      <c r="A4586" s="12"/>
    </row>
    <row r="4587" spans="1:1" x14ac:dyDescent="0.3">
      <c r="A4587" s="12"/>
    </row>
    <row r="4588" spans="1:1" x14ac:dyDescent="0.3">
      <c r="A4588" s="12"/>
    </row>
    <row r="4589" spans="1:1" x14ac:dyDescent="0.3">
      <c r="A4589" s="12"/>
    </row>
    <row r="4590" spans="1:1" x14ac:dyDescent="0.3">
      <c r="A4590" s="12"/>
    </row>
    <row r="4591" spans="1:1" x14ac:dyDescent="0.3">
      <c r="A4591" s="12"/>
    </row>
    <row r="4592" spans="1:1" x14ac:dyDescent="0.3">
      <c r="A4592" s="12"/>
    </row>
    <row r="4593" spans="1:1" x14ac:dyDescent="0.3">
      <c r="A4593" s="12"/>
    </row>
    <row r="4594" spans="1:1" x14ac:dyDescent="0.3">
      <c r="A4594" s="12"/>
    </row>
    <row r="4595" spans="1:1" x14ac:dyDescent="0.3">
      <c r="A4595" s="12"/>
    </row>
    <row r="4596" spans="1:1" x14ac:dyDescent="0.3">
      <c r="A4596" s="12"/>
    </row>
    <row r="4597" spans="1:1" x14ac:dyDescent="0.3">
      <c r="A4597" s="12"/>
    </row>
    <row r="4598" spans="1:1" x14ac:dyDescent="0.3">
      <c r="A4598" s="12"/>
    </row>
    <row r="4599" spans="1:1" x14ac:dyDescent="0.3">
      <c r="A4599" s="12"/>
    </row>
    <row r="4600" spans="1:1" x14ac:dyDescent="0.3">
      <c r="A4600" s="12"/>
    </row>
    <row r="4601" spans="1:1" x14ac:dyDescent="0.3">
      <c r="A4601" s="12"/>
    </row>
    <row r="4602" spans="1:1" x14ac:dyDescent="0.3">
      <c r="A4602" s="12"/>
    </row>
    <row r="4603" spans="1:1" x14ac:dyDescent="0.3">
      <c r="A4603" s="12"/>
    </row>
    <row r="4604" spans="1:1" x14ac:dyDescent="0.3">
      <c r="A4604" s="12"/>
    </row>
    <row r="4605" spans="1:1" x14ac:dyDescent="0.3">
      <c r="A4605" s="12"/>
    </row>
    <row r="4606" spans="1:1" x14ac:dyDescent="0.3">
      <c r="A4606" s="12"/>
    </row>
    <row r="4607" spans="1:1" x14ac:dyDescent="0.3">
      <c r="A4607" s="12"/>
    </row>
    <row r="4608" spans="1:1" x14ac:dyDescent="0.3">
      <c r="A4608" s="12"/>
    </row>
    <row r="4609" spans="1:1" x14ac:dyDescent="0.3">
      <c r="A4609" s="12"/>
    </row>
    <row r="4610" spans="1:1" x14ac:dyDescent="0.3">
      <c r="A4610" s="12"/>
    </row>
    <row r="4611" spans="1:1" x14ac:dyDescent="0.3">
      <c r="A4611" s="12"/>
    </row>
    <row r="4612" spans="1:1" x14ac:dyDescent="0.3">
      <c r="A4612" s="12"/>
    </row>
    <row r="4613" spans="1:1" x14ac:dyDescent="0.3">
      <c r="A4613" s="12"/>
    </row>
    <row r="4614" spans="1:1" x14ac:dyDescent="0.3">
      <c r="A4614" s="12"/>
    </row>
    <row r="4615" spans="1:1" x14ac:dyDescent="0.3">
      <c r="A4615" s="12"/>
    </row>
    <row r="4616" spans="1:1" x14ac:dyDescent="0.3">
      <c r="A4616" s="12"/>
    </row>
    <row r="4617" spans="1:1" x14ac:dyDescent="0.3">
      <c r="A4617" s="12"/>
    </row>
    <row r="4618" spans="1:1" x14ac:dyDescent="0.3">
      <c r="A4618" s="12"/>
    </row>
    <row r="4619" spans="1:1" x14ac:dyDescent="0.3">
      <c r="A4619" s="12"/>
    </row>
    <row r="4620" spans="1:1" x14ac:dyDescent="0.3">
      <c r="A4620" s="12"/>
    </row>
    <row r="4621" spans="1:1" x14ac:dyDescent="0.3">
      <c r="A4621" s="12"/>
    </row>
    <row r="4622" spans="1:1" x14ac:dyDescent="0.3">
      <c r="A4622" s="12"/>
    </row>
    <row r="4623" spans="1:1" x14ac:dyDescent="0.3">
      <c r="A4623" s="12"/>
    </row>
    <row r="4624" spans="1:1" x14ac:dyDescent="0.3">
      <c r="A4624" s="12"/>
    </row>
    <row r="4625" spans="1:1" x14ac:dyDescent="0.3">
      <c r="A4625" s="12"/>
    </row>
    <row r="4626" spans="1:1" x14ac:dyDescent="0.3">
      <c r="A4626" s="12"/>
    </row>
    <row r="4627" spans="1:1" x14ac:dyDescent="0.3">
      <c r="A4627" s="12"/>
    </row>
    <row r="4628" spans="1:1" x14ac:dyDescent="0.3">
      <c r="A4628" s="12"/>
    </row>
    <row r="4629" spans="1:1" x14ac:dyDescent="0.3">
      <c r="A4629" s="12"/>
    </row>
    <row r="4630" spans="1:1" x14ac:dyDescent="0.3">
      <c r="A4630" s="12"/>
    </row>
    <row r="4631" spans="1:1" x14ac:dyDescent="0.3">
      <c r="A4631" s="12"/>
    </row>
    <row r="4632" spans="1:1" x14ac:dyDescent="0.3">
      <c r="A4632" s="12"/>
    </row>
    <row r="4633" spans="1:1" x14ac:dyDescent="0.3">
      <c r="A4633" s="12"/>
    </row>
    <row r="4634" spans="1:1" x14ac:dyDescent="0.3">
      <c r="A4634" s="12"/>
    </row>
    <row r="4635" spans="1:1" x14ac:dyDescent="0.3">
      <c r="A4635" s="12"/>
    </row>
    <row r="4636" spans="1:1" x14ac:dyDescent="0.3">
      <c r="A4636" s="12"/>
    </row>
    <row r="4637" spans="1:1" x14ac:dyDescent="0.3">
      <c r="A4637" s="12"/>
    </row>
    <row r="4638" spans="1:1" x14ac:dyDescent="0.3">
      <c r="A4638" s="12"/>
    </row>
    <row r="4639" spans="1:1" x14ac:dyDescent="0.3">
      <c r="A4639" s="12"/>
    </row>
    <row r="4640" spans="1:1" x14ac:dyDescent="0.3">
      <c r="A4640" s="12"/>
    </row>
    <row r="4641" spans="1:1" x14ac:dyDescent="0.3">
      <c r="A4641" s="12"/>
    </row>
    <row r="4642" spans="1:1" x14ac:dyDescent="0.3">
      <c r="A4642" s="12"/>
    </row>
    <row r="4643" spans="1:1" x14ac:dyDescent="0.3">
      <c r="A4643" s="12"/>
    </row>
    <row r="4644" spans="1:1" x14ac:dyDescent="0.3">
      <c r="A4644" s="12"/>
    </row>
    <row r="4645" spans="1:1" x14ac:dyDescent="0.3">
      <c r="A4645" s="12"/>
    </row>
    <row r="4646" spans="1:1" x14ac:dyDescent="0.3">
      <c r="A4646" s="12"/>
    </row>
    <row r="4647" spans="1:1" x14ac:dyDescent="0.3">
      <c r="A4647" s="12"/>
    </row>
    <row r="4648" spans="1:1" x14ac:dyDescent="0.3">
      <c r="A4648" s="12"/>
    </row>
    <row r="4649" spans="1:1" x14ac:dyDescent="0.3">
      <c r="A4649" s="12"/>
    </row>
    <row r="4650" spans="1:1" x14ac:dyDescent="0.3">
      <c r="A4650" s="12"/>
    </row>
    <row r="4651" spans="1:1" x14ac:dyDescent="0.3">
      <c r="A4651" s="12"/>
    </row>
    <row r="4652" spans="1:1" x14ac:dyDescent="0.3">
      <c r="A4652" s="12"/>
    </row>
    <row r="4653" spans="1:1" x14ac:dyDescent="0.3">
      <c r="A4653" s="12"/>
    </row>
    <row r="4654" spans="1:1" x14ac:dyDescent="0.3">
      <c r="A4654" s="12"/>
    </row>
    <row r="4655" spans="1:1" x14ac:dyDescent="0.3">
      <c r="A4655" s="12"/>
    </row>
    <row r="4656" spans="1:1" x14ac:dyDescent="0.3">
      <c r="A4656" s="12"/>
    </row>
    <row r="4657" spans="1:1" x14ac:dyDescent="0.3">
      <c r="A4657" s="12"/>
    </row>
    <row r="4658" spans="1:1" x14ac:dyDescent="0.3">
      <c r="A4658" s="12"/>
    </row>
    <row r="4659" spans="1:1" x14ac:dyDescent="0.3">
      <c r="A4659" s="12"/>
    </row>
    <row r="4660" spans="1:1" x14ac:dyDescent="0.3">
      <c r="A4660" s="12"/>
    </row>
    <row r="4661" spans="1:1" x14ac:dyDescent="0.3">
      <c r="A4661" s="12"/>
    </row>
    <row r="4662" spans="1:1" x14ac:dyDescent="0.3">
      <c r="A4662" s="12"/>
    </row>
    <row r="4663" spans="1:1" x14ac:dyDescent="0.3">
      <c r="A4663" s="12"/>
    </row>
    <row r="4664" spans="1:1" x14ac:dyDescent="0.3">
      <c r="A4664" s="12"/>
    </row>
    <row r="4665" spans="1:1" x14ac:dyDescent="0.3">
      <c r="A4665" s="12"/>
    </row>
    <row r="4666" spans="1:1" x14ac:dyDescent="0.3">
      <c r="A4666" s="12"/>
    </row>
    <row r="4667" spans="1:1" x14ac:dyDescent="0.3">
      <c r="A4667" s="12"/>
    </row>
    <row r="4668" spans="1:1" x14ac:dyDescent="0.3">
      <c r="A4668" s="12"/>
    </row>
    <row r="4669" spans="1:1" x14ac:dyDescent="0.3">
      <c r="A4669" s="12"/>
    </row>
    <row r="4670" spans="1:1" x14ac:dyDescent="0.3">
      <c r="A4670" s="12"/>
    </row>
    <row r="4671" spans="1:1" x14ac:dyDescent="0.3">
      <c r="A4671" s="12"/>
    </row>
    <row r="4672" spans="1:1" x14ac:dyDescent="0.3">
      <c r="A4672" s="12"/>
    </row>
    <row r="4673" spans="1:1" x14ac:dyDescent="0.3">
      <c r="A4673" s="12"/>
    </row>
    <row r="4674" spans="1:1" x14ac:dyDescent="0.3">
      <c r="A4674" s="12"/>
    </row>
    <row r="4675" spans="1:1" x14ac:dyDescent="0.3">
      <c r="A4675" s="12"/>
    </row>
    <row r="4676" spans="1:1" x14ac:dyDescent="0.3">
      <c r="A4676" s="12"/>
    </row>
    <row r="4677" spans="1:1" x14ac:dyDescent="0.3">
      <c r="A4677" s="12"/>
    </row>
    <row r="4678" spans="1:1" x14ac:dyDescent="0.3">
      <c r="A4678" s="12"/>
    </row>
    <row r="4679" spans="1:1" x14ac:dyDescent="0.3">
      <c r="A4679" s="12"/>
    </row>
    <row r="4680" spans="1:1" x14ac:dyDescent="0.3">
      <c r="A4680" s="12"/>
    </row>
    <row r="4681" spans="1:1" x14ac:dyDescent="0.3">
      <c r="A4681" s="12"/>
    </row>
    <row r="4682" spans="1:1" x14ac:dyDescent="0.3">
      <c r="A4682" s="12"/>
    </row>
    <row r="4683" spans="1:1" x14ac:dyDescent="0.3">
      <c r="A4683" s="12"/>
    </row>
    <row r="4684" spans="1:1" x14ac:dyDescent="0.3">
      <c r="A4684" s="12"/>
    </row>
    <row r="4685" spans="1:1" x14ac:dyDescent="0.3">
      <c r="A4685" s="12"/>
    </row>
    <row r="4686" spans="1:1" x14ac:dyDescent="0.3">
      <c r="A4686" s="12"/>
    </row>
    <row r="4687" spans="1:1" x14ac:dyDescent="0.3">
      <c r="A4687" s="12"/>
    </row>
    <row r="4688" spans="1:1" x14ac:dyDescent="0.3">
      <c r="A4688" s="12"/>
    </row>
    <row r="4689" spans="1:1" x14ac:dyDescent="0.3">
      <c r="A4689" s="12"/>
    </row>
    <row r="4690" spans="1:1" x14ac:dyDescent="0.3">
      <c r="A4690" s="12"/>
    </row>
    <row r="4691" spans="1:1" x14ac:dyDescent="0.3">
      <c r="A4691" s="12"/>
    </row>
    <row r="4692" spans="1:1" x14ac:dyDescent="0.3">
      <c r="A4692" s="12"/>
    </row>
    <row r="4693" spans="1:1" x14ac:dyDescent="0.3">
      <c r="A4693" s="12"/>
    </row>
    <row r="4694" spans="1:1" x14ac:dyDescent="0.3">
      <c r="A4694" s="12"/>
    </row>
    <row r="4695" spans="1:1" x14ac:dyDescent="0.3">
      <c r="A4695" s="12"/>
    </row>
    <row r="4696" spans="1:1" x14ac:dyDescent="0.3">
      <c r="A4696" s="12"/>
    </row>
    <row r="4697" spans="1:1" x14ac:dyDescent="0.3">
      <c r="A4697" s="12"/>
    </row>
    <row r="4698" spans="1:1" x14ac:dyDescent="0.3">
      <c r="A4698" s="12"/>
    </row>
    <row r="4699" spans="1:1" x14ac:dyDescent="0.3">
      <c r="A4699" s="12"/>
    </row>
    <row r="4700" spans="1:1" x14ac:dyDescent="0.3">
      <c r="A4700" s="12"/>
    </row>
    <row r="4701" spans="1:1" x14ac:dyDescent="0.3">
      <c r="A4701" s="12"/>
    </row>
    <row r="4702" spans="1:1" x14ac:dyDescent="0.3">
      <c r="A4702" s="12"/>
    </row>
    <row r="4703" spans="1:1" x14ac:dyDescent="0.3">
      <c r="A4703" s="12"/>
    </row>
    <row r="4704" spans="1:1" x14ac:dyDescent="0.3">
      <c r="A4704" s="12"/>
    </row>
    <row r="4705" spans="1:1" x14ac:dyDescent="0.3">
      <c r="A4705" s="12"/>
    </row>
    <row r="4706" spans="1:1" x14ac:dyDescent="0.3">
      <c r="A4706" s="12"/>
    </row>
    <row r="4707" spans="1:1" x14ac:dyDescent="0.3">
      <c r="A4707" s="12"/>
    </row>
    <row r="4708" spans="1:1" x14ac:dyDescent="0.3">
      <c r="A4708" s="12"/>
    </row>
    <row r="4709" spans="1:1" x14ac:dyDescent="0.3">
      <c r="A4709" s="12"/>
    </row>
    <row r="4710" spans="1:1" x14ac:dyDescent="0.3">
      <c r="A4710" s="12"/>
    </row>
    <row r="4711" spans="1:1" x14ac:dyDescent="0.3">
      <c r="A4711" s="12"/>
    </row>
    <row r="4712" spans="1:1" x14ac:dyDescent="0.3">
      <c r="A4712" s="12"/>
    </row>
    <row r="4713" spans="1:1" x14ac:dyDescent="0.3">
      <c r="A4713" s="12"/>
    </row>
    <row r="4714" spans="1:1" x14ac:dyDescent="0.3">
      <c r="A4714" s="12"/>
    </row>
    <row r="4715" spans="1:1" x14ac:dyDescent="0.3">
      <c r="A4715" s="12"/>
    </row>
    <row r="4716" spans="1:1" x14ac:dyDescent="0.3">
      <c r="A4716" s="12"/>
    </row>
    <row r="4717" spans="1:1" x14ac:dyDescent="0.3">
      <c r="A4717" s="12"/>
    </row>
    <row r="4718" spans="1:1" x14ac:dyDescent="0.3">
      <c r="A4718" s="12"/>
    </row>
    <row r="4719" spans="1:1" x14ac:dyDescent="0.3">
      <c r="A4719" s="12"/>
    </row>
    <row r="4720" spans="1:1" x14ac:dyDescent="0.3">
      <c r="A4720" s="12"/>
    </row>
    <row r="4721" spans="1:1" x14ac:dyDescent="0.3">
      <c r="A4721" s="12"/>
    </row>
    <row r="4722" spans="1:1" x14ac:dyDescent="0.3">
      <c r="A4722" s="12"/>
    </row>
    <row r="4723" spans="1:1" x14ac:dyDescent="0.3">
      <c r="A4723" s="12"/>
    </row>
    <row r="4724" spans="1:1" x14ac:dyDescent="0.3">
      <c r="A4724" s="12"/>
    </row>
    <row r="4725" spans="1:1" x14ac:dyDescent="0.3">
      <c r="A4725" s="12"/>
    </row>
    <row r="4726" spans="1:1" x14ac:dyDescent="0.3">
      <c r="A4726" s="12"/>
    </row>
    <row r="4727" spans="1:1" x14ac:dyDescent="0.3">
      <c r="A4727" s="12"/>
    </row>
    <row r="4728" spans="1:1" x14ac:dyDescent="0.3">
      <c r="A4728" s="12"/>
    </row>
    <row r="4729" spans="1:1" x14ac:dyDescent="0.3">
      <c r="A4729" s="12"/>
    </row>
    <row r="4730" spans="1:1" x14ac:dyDescent="0.3">
      <c r="A4730" s="12"/>
    </row>
    <row r="4731" spans="1:1" x14ac:dyDescent="0.3">
      <c r="A4731" s="12"/>
    </row>
    <row r="4732" spans="1:1" x14ac:dyDescent="0.3">
      <c r="A4732" s="12"/>
    </row>
    <row r="4733" spans="1:1" x14ac:dyDescent="0.3">
      <c r="A4733" s="12"/>
    </row>
    <row r="4734" spans="1:1" x14ac:dyDescent="0.3">
      <c r="A4734" s="12"/>
    </row>
    <row r="4735" spans="1:1" x14ac:dyDescent="0.3">
      <c r="A4735" s="12"/>
    </row>
    <row r="4736" spans="1:1" x14ac:dyDescent="0.3">
      <c r="A4736" s="12"/>
    </row>
    <row r="4737" spans="1:1" x14ac:dyDescent="0.3">
      <c r="A4737" s="12"/>
    </row>
    <row r="4738" spans="1:1" x14ac:dyDescent="0.3">
      <c r="A4738" s="12"/>
    </row>
    <row r="4739" spans="1:1" x14ac:dyDescent="0.3">
      <c r="A4739" s="12"/>
    </row>
    <row r="4740" spans="1:1" x14ac:dyDescent="0.3">
      <c r="A4740" s="12"/>
    </row>
    <row r="4741" spans="1:1" x14ac:dyDescent="0.3">
      <c r="A4741" s="12"/>
    </row>
    <row r="4742" spans="1:1" x14ac:dyDescent="0.3">
      <c r="A4742" s="12"/>
    </row>
    <row r="4743" spans="1:1" x14ac:dyDescent="0.3">
      <c r="A4743" s="12"/>
    </row>
    <row r="4744" spans="1:1" x14ac:dyDescent="0.3">
      <c r="A4744" s="12"/>
    </row>
    <row r="4745" spans="1:1" x14ac:dyDescent="0.3">
      <c r="A4745" s="12"/>
    </row>
    <row r="4746" spans="1:1" x14ac:dyDescent="0.3">
      <c r="A4746" s="12"/>
    </row>
    <row r="4747" spans="1:1" x14ac:dyDescent="0.3">
      <c r="A4747" s="12"/>
    </row>
    <row r="4748" spans="1:1" x14ac:dyDescent="0.3">
      <c r="A4748" s="12"/>
    </row>
    <row r="4749" spans="1:1" x14ac:dyDescent="0.3">
      <c r="A4749" s="12"/>
    </row>
    <row r="4750" spans="1:1" x14ac:dyDescent="0.3">
      <c r="A4750" s="12"/>
    </row>
    <row r="4751" spans="1:1" x14ac:dyDescent="0.3">
      <c r="A4751" s="12"/>
    </row>
    <row r="4752" spans="1:1" x14ac:dyDescent="0.3">
      <c r="A4752" s="12"/>
    </row>
    <row r="4753" spans="1:1" x14ac:dyDescent="0.3">
      <c r="A4753" s="12"/>
    </row>
    <row r="4754" spans="1:1" x14ac:dyDescent="0.3">
      <c r="A4754" s="12"/>
    </row>
    <row r="4755" spans="1:1" x14ac:dyDescent="0.3">
      <c r="A4755" s="12"/>
    </row>
    <row r="4756" spans="1:1" x14ac:dyDescent="0.3">
      <c r="A4756" s="12"/>
    </row>
    <row r="4757" spans="1:1" x14ac:dyDescent="0.3">
      <c r="A4757" s="12"/>
    </row>
    <row r="4758" spans="1:1" x14ac:dyDescent="0.3">
      <c r="A4758" s="12"/>
    </row>
    <row r="4759" spans="1:1" x14ac:dyDescent="0.3">
      <c r="A4759" s="12"/>
    </row>
    <row r="4760" spans="1:1" x14ac:dyDescent="0.3">
      <c r="A4760" s="12"/>
    </row>
    <row r="4761" spans="1:1" x14ac:dyDescent="0.3">
      <c r="A4761" s="12"/>
    </row>
    <row r="4762" spans="1:1" x14ac:dyDescent="0.3">
      <c r="A4762" s="12"/>
    </row>
    <row r="4763" spans="1:1" x14ac:dyDescent="0.3">
      <c r="A4763" s="12"/>
    </row>
    <row r="4764" spans="1:1" x14ac:dyDescent="0.3">
      <c r="A4764" s="12"/>
    </row>
    <row r="4765" spans="1:1" x14ac:dyDescent="0.3">
      <c r="A4765" s="12"/>
    </row>
    <row r="4766" spans="1:1" x14ac:dyDescent="0.3">
      <c r="A4766" s="12"/>
    </row>
    <row r="4767" spans="1:1" x14ac:dyDescent="0.3">
      <c r="A4767" s="12"/>
    </row>
    <row r="4768" spans="1:1" x14ac:dyDescent="0.3">
      <c r="A4768" s="12"/>
    </row>
    <row r="4769" spans="1:1" x14ac:dyDescent="0.3">
      <c r="A4769" s="12"/>
    </row>
    <row r="4770" spans="1:1" x14ac:dyDescent="0.3">
      <c r="A4770" s="12"/>
    </row>
    <row r="4771" spans="1:1" x14ac:dyDescent="0.3">
      <c r="A4771" s="12"/>
    </row>
    <row r="4772" spans="1:1" x14ac:dyDescent="0.3">
      <c r="A4772" s="12"/>
    </row>
    <row r="4773" spans="1:1" x14ac:dyDescent="0.3">
      <c r="A4773" s="12"/>
    </row>
    <row r="4774" spans="1:1" x14ac:dyDescent="0.3">
      <c r="A4774" s="12"/>
    </row>
    <row r="4775" spans="1:1" x14ac:dyDescent="0.3">
      <c r="A4775" s="12"/>
    </row>
    <row r="4776" spans="1:1" x14ac:dyDescent="0.3">
      <c r="A4776" s="12"/>
    </row>
    <row r="4777" spans="1:1" x14ac:dyDescent="0.3">
      <c r="A4777" s="12"/>
    </row>
    <row r="4778" spans="1:1" x14ac:dyDescent="0.3">
      <c r="A4778" s="12"/>
    </row>
    <row r="4779" spans="1:1" x14ac:dyDescent="0.3">
      <c r="A4779" s="12"/>
    </row>
    <row r="4780" spans="1:1" x14ac:dyDescent="0.3">
      <c r="A4780" s="12"/>
    </row>
    <row r="4781" spans="1:1" x14ac:dyDescent="0.3">
      <c r="A4781" s="12"/>
    </row>
    <row r="4782" spans="1:1" x14ac:dyDescent="0.3">
      <c r="A4782" s="12"/>
    </row>
    <row r="4783" spans="1:1" x14ac:dyDescent="0.3">
      <c r="A4783" s="12"/>
    </row>
    <row r="4784" spans="1:1" x14ac:dyDescent="0.3">
      <c r="A4784" s="12"/>
    </row>
    <row r="4785" spans="1:1" x14ac:dyDescent="0.3">
      <c r="A4785" s="12"/>
    </row>
    <row r="4786" spans="1:1" x14ac:dyDescent="0.3">
      <c r="A4786" s="12"/>
    </row>
    <row r="4787" spans="1:1" x14ac:dyDescent="0.3">
      <c r="A4787" s="12"/>
    </row>
    <row r="4788" spans="1:1" x14ac:dyDescent="0.3">
      <c r="A4788" s="12"/>
    </row>
    <row r="4789" spans="1:1" x14ac:dyDescent="0.3">
      <c r="A4789" s="12"/>
    </row>
    <row r="4790" spans="1:1" x14ac:dyDescent="0.3">
      <c r="A4790" s="12"/>
    </row>
    <row r="4791" spans="1:1" x14ac:dyDescent="0.3">
      <c r="A4791" s="12"/>
    </row>
    <row r="4792" spans="1:1" x14ac:dyDescent="0.3">
      <c r="A4792" s="12"/>
    </row>
    <row r="4793" spans="1:1" x14ac:dyDescent="0.3">
      <c r="A4793" s="12"/>
    </row>
    <row r="4794" spans="1:1" x14ac:dyDescent="0.3">
      <c r="A4794" s="12"/>
    </row>
    <row r="4795" spans="1:1" x14ac:dyDescent="0.3">
      <c r="A4795" s="12"/>
    </row>
    <row r="4796" spans="1:1" x14ac:dyDescent="0.3">
      <c r="A4796" s="12"/>
    </row>
    <row r="4797" spans="1:1" x14ac:dyDescent="0.3">
      <c r="A4797" s="12"/>
    </row>
    <row r="4798" spans="1:1" x14ac:dyDescent="0.3">
      <c r="A4798" s="12"/>
    </row>
    <row r="4799" spans="1:1" x14ac:dyDescent="0.3">
      <c r="A4799" s="12"/>
    </row>
    <row r="4800" spans="1:1" x14ac:dyDescent="0.3">
      <c r="A4800" s="12"/>
    </row>
    <row r="4801" spans="1:1" x14ac:dyDescent="0.3">
      <c r="A4801" s="12"/>
    </row>
    <row r="4802" spans="1:1" x14ac:dyDescent="0.3">
      <c r="A4802" s="12"/>
    </row>
    <row r="4803" spans="1:1" x14ac:dyDescent="0.3">
      <c r="A4803" s="12"/>
    </row>
    <row r="4804" spans="1:1" x14ac:dyDescent="0.3">
      <c r="A4804" s="12"/>
    </row>
    <row r="4805" spans="1:1" x14ac:dyDescent="0.3">
      <c r="A4805" s="12"/>
    </row>
    <row r="4806" spans="1:1" x14ac:dyDescent="0.3">
      <c r="A4806" s="12"/>
    </row>
    <row r="4807" spans="1:1" x14ac:dyDescent="0.3">
      <c r="A4807" s="12"/>
    </row>
    <row r="4808" spans="1:1" x14ac:dyDescent="0.3">
      <c r="A4808" s="12"/>
    </row>
    <row r="4809" spans="1:1" x14ac:dyDescent="0.3">
      <c r="A4809" s="12"/>
    </row>
    <row r="4810" spans="1:1" x14ac:dyDescent="0.3">
      <c r="A4810" s="12"/>
    </row>
    <row r="4811" spans="1:1" x14ac:dyDescent="0.3">
      <c r="A4811" s="12"/>
    </row>
    <row r="4812" spans="1:1" x14ac:dyDescent="0.3">
      <c r="A4812" s="12"/>
    </row>
    <row r="4813" spans="1:1" x14ac:dyDescent="0.3">
      <c r="A4813" s="12"/>
    </row>
    <row r="4814" spans="1:1" x14ac:dyDescent="0.3">
      <c r="A4814" s="12"/>
    </row>
    <row r="4815" spans="1:1" x14ac:dyDescent="0.3">
      <c r="A4815" s="12"/>
    </row>
    <row r="4816" spans="1:1" x14ac:dyDescent="0.3">
      <c r="A4816" s="12"/>
    </row>
    <row r="4817" spans="1:1" x14ac:dyDescent="0.3">
      <c r="A4817" s="12"/>
    </row>
    <row r="4818" spans="1:1" x14ac:dyDescent="0.3">
      <c r="A4818" s="12"/>
    </row>
    <row r="4819" spans="1:1" x14ac:dyDescent="0.3">
      <c r="A4819" s="12"/>
    </row>
    <row r="4820" spans="1:1" x14ac:dyDescent="0.3">
      <c r="A4820" s="12"/>
    </row>
    <row r="4821" spans="1:1" x14ac:dyDescent="0.3">
      <c r="A4821" s="12"/>
    </row>
    <row r="4822" spans="1:1" x14ac:dyDescent="0.3">
      <c r="A4822" s="12"/>
    </row>
    <row r="4823" spans="1:1" x14ac:dyDescent="0.3">
      <c r="A4823" s="12"/>
    </row>
    <row r="4824" spans="1:1" x14ac:dyDescent="0.3">
      <c r="A4824" s="12"/>
    </row>
    <row r="4825" spans="1:1" x14ac:dyDescent="0.3">
      <c r="A4825" s="12"/>
    </row>
    <row r="4826" spans="1:1" x14ac:dyDescent="0.3">
      <c r="A4826" s="12"/>
    </row>
    <row r="4827" spans="1:1" x14ac:dyDescent="0.3">
      <c r="A4827" s="12"/>
    </row>
    <row r="4828" spans="1:1" x14ac:dyDescent="0.3">
      <c r="A4828" s="12"/>
    </row>
    <row r="4829" spans="1:1" x14ac:dyDescent="0.3">
      <c r="A4829" s="12"/>
    </row>
    <row r="4830" spans="1:1" x14ac:dyDescent="0.3">
      <c r="A4830" s="12"/>
    </row>
    <row r="4831" spans="1:1" x14ac:dyDescent="0.3">
      <c r="A4831" s="12"/>
    </row>
    <row r="4832" spans="1:1" x14ac:dyDescent="0.3">
      <c r="A4832" s="12"/>
    </row>
    <row r="4833" spans="1:1" x14ac:dyDescent="0.3">
      <c r="A4833" s="12"/>
    </row>
    <row r="4834" spans="1:1" x14ac:dyDescent="0.3">
      <c r="A4834" s="12"/>
    </row>
    <row r="4835" spans="1:1" x14ac:dyDescent="0.3">
      <c r="A4835" s="12"/>
    </row>
    <row r="4836" spans="1:1" x14ac:dyDescent="0.3">
      <c r="A4836" s="12"/>
    </row>
    <row r="4837" spans="1:1" x14ac:dyDescent="0.3">
      <c r="A4837" s="12"/>
    </row>
    <row r="4838" spans="1:1" x14ac:dyDescent="0.3">
      <c r="A4838" s="12"/>
    </row>
    <row r="4839" spans="1:1" x14ac:dyDescent="0.3">
      <c r="A4839" s="12"/>
    </row>
    <row r="4840" spans="1:1" x14ac:dyDescent="0.3">
      <c r="A4840" s="12"/>
    </row>
    <row r="4841" spans="1:1" x14ac:dyDescent="0.3">
      <c r="A4841" s="12"/>
    </row>
    <row r="4842" spans="1:1" x14ac:dyDescent="0.3">
      <c r="A4842" s="12"/>
    </row>
    <row r="4843" spans="1:1" x14ac:dyDescent="0.3">
      <c r="A4843" s="12"/>
    </row>
    <row r="4844" spans="1:1" x14ac:dyDescent="0.3">
      <c r="A4844" s="12"/>
    </row>
    <row r="4845" spans="1:1" x14ac:dyDescent="0.3">
      <c r="A4845" s="12"/>
    </row>
    <row r="4846" spans="1:1" x14ac:dyDescent="0.3">
      <c r="A4846" s="12"/>
    </row>
    <row r="4847" spans="1:1" x14ac:dyDescent="0.3">
      <c r="A4847" s="12"/>
    </row>
    <row r="4848" spans="1:1" x14ac:dyDescent="0.3">
      <c r="A4848" s="12"/>
    </row>
    <row r="4849" spans="1:1" x14ac:dyDescent="0.3">
      <c r="A4849" s="12"/>
    </row>
    <row r="4850" spans="1:1" x14ac:dyDescent="0.3">
      <c r="A4850" s="12"/>
    </row>
    <row r="4851" spans="1:1" x14ac:dyDescent="0.3">
      <c r="A4851" s="12"/>
    </row>
    <row r="4852" spans="1:1" x14ac:dyDescent="0.3">
      <c r="A4852" s="12"/>
    </row>
    <row r="4853" spans="1:1" x14ac:dyDescent="0.3">
      <c r="A4853" s="12"/>
    </row>
    <row r="4854" spans="1:1" x14ac:dyDescent="0.3">
      <c r="A4854" s="12"/>
    </row>
    <row r="4855" spans="1:1" x14ac:dyDescent="0.3">
      <c r="A4855" s="12"/>
    </row>
    <row r="4856" spans="1:1" x14ac:dyDescent="0.3">
      <c r="A4856" s="12"/>
    </row>
    <row r="4857" spans="1:1" x14ac:dyDescent="0.3">
      <c r="A4857" s="12"/>
    </row>
    <row r="4858" spans="1:1" x14ac:dyDescent="0.3">
      <c r="A4858" s="12"/>
    </row>
    <row r="4859" spans="1:1" x14ac:dyDescent="0.3">
      <c r="A4859" s="12"/>
    </row>
    <row r="4860" spans="1:1" x14ac:dyDescent="0.3">
      <c r="A4860" s="12"/>
    </row>
    <row r="4861" spans="1:1" x14ac:dyDescent="0.3">
      <c r="A4861" s="12"/>
    </row>
    <row r="4862" spans="1:1" x14ac:dyDescent="0.3">
      <c r="A4862" s="12"/>
    </row>
    <row r="4863" spans="1:1" x14ac:dyDescent="0.3">
      <c r="A4863" s="12"/>
    </row>
    <row r="4864" spans="1:1" x14ac:dyDescent="0.3">
      <c r="A4864" s="12"/>
    </row>
    <row r="4865" spans="1:1" x14ac:dyDescent="0.3">
      <c r="A4865" s="12"/>
    </row>
    <row r="4866" spans="1:1" x14ac:dyDescent="0.3">
      <c r="A4866" s="12"/>
    </row>
    <row r="4867" spans="1:1" x14ac:dyDescent="0.3">
      <c r="A4867" s="12"/>
    </row>
    <row r="4868" spans="1:1" x14ac:dyDescent="0.3">
      <c r="A4868" s="12"/>
    </row>
    <row r="4869" spans="1:1" x14ac:dyDescent="0.3">
      <c r="A4869" s="12"/>
    </row>
    <row r="4870" spans="1:1" x14ac:dyDescent="0.3">
      <c r="A4870" s="12"/>
    </row>
    <row r="4871" spans="1:1" x14ac:dyDescent="0.3">
      <c r="A4871" s="12"/>
    </row>
    <row r="4872" spans="1:1" x14ac:dyDescent="0.3">
      <c r="A4872" s="12"/>
    </row>
    <row r="4873" spans="1:1" x14ac:dyDescent="0.3">
      <c r="A4873" s="12"/>
    </row>
    <row r="4874" spans="1:1" x14ac:dyDescent="0.3">
      <c r="A4874" s="12"/>
    </row>
    <row r="4875" spans="1:1" x14ac:dyDescent="0.3">
      <c r="A4875" s="12"/>
    </row>
    <row r="4876" spans="1:1" x14ac:dyDescent="0.3">
      <c r="A4876" s="12"/>
    </row>
    <row r="4877" spans="1:1" x14ac:dyDescent="0.3">
      <c r="A4877" s="12"/>
    </row>
    <row r="4878" spans="1:1" x14ac:dyDescent="0.3">
      <c r="A4878" s="12"/>
    </row>
    <row r="4879" spans="1:1" x14ac:dyDescent="0.3">
      <c r="A4879" s="12"/>
    </row>
    <row r="4880" spans="1:1" x14ac:dyDescent="0.3">
      <c r="A4880" s="12"/>
    </row>
    <row r="4881" spans="1:1" x14ac:dyDescent="0.3">
      <c r="A4881" s="12"/>
    </row>
    <row r="4882" spans="1:1" x14ac:dyDescent="0.3">
      <c r="A4882" s="12"/>
    </row>
    <row r="4883" spans="1:1" x14ac:dyDescent="0.3">
      <c r="A4883" s="12"/>
    </row>
    <row r="4884" spans="1:1" x14ac:dyDescent="0.3">
      <c r="A4884" s="12"/>
    </row>
    <row r="4885" spans="1:1" x14ac:dyDescent="0.3">
      <c r="A4885" s="12"/>
    </row>
    <row r="4886" spans="1:1" x14ac:dyDescent="0.3">
      <c r="A4886" s="12"/>
    </row>
    <row r="4887" spans="1:1" x14ac:dyDescent="0.3">
      <c r="A4887" s="12"/>
    </row>
    <row r="4888" spans="1:1" x14ac:dyDescent="0.3">
      <c r="A4888" s="12"/>
    </row>
    <row r="4889" spans="1:1" x14ac:dyDescent="0.3">
      <c r="A4889" s="12"/>
    </row>
    <row r="4890" spans="1:1" x14ac:dyDescent="0.3">
      <c r="A4890" s="12"/>
    </row>
    <row r="4891" spans="1:1" x14ac:dyDescent="0.3">
      <c r="A4891" s="12"/>
    </row>
    <row r="4892" spans="1:1" x14ac:dyDescent="0.3">
      <c r="A4892" s="12"/>
    </row>
    <row r="4893" spans="1:1" x14ac:dyDescent="0.3">
      <c r="A4893" s="12"/>
    </row>
    <row r="4894" spans="1:1" x14ac:dyDescent="0.3">
      <c r="A4894" s="12"/>
    </row>
    <row r="4895" spans="1:1" x14ac:dyDescent="0.3">
      <c r="A4895" s="12"/>
    </row>
    <row r="4896" spans="1:1" x14ac:dyDescent="0.3">
      <c r="A4896" s="12"/>
    </row>
    <row r="4897" spans="1:1" x14ac:dyDescent="0.3">
      <c r="A4897" s="12"/>
    </row>
    <row r="4898" spans="1:1" x14ac:dyDescent="0.3">
      <c r="A4898" s="12"/>
    </row>
    <row r="4899" spans="1:1" x14ac:dyDescent="0.3">
      <c r="A4899" s="12"/>
    </row>
    <row r="4900" spans="1:1" x14ac:dyDescent="0.3">
      <c r="A4900" s="12"/>
    </row>
    <row r="4901" spans="1:1" x14ac:dyDescent="0.3">
      <c r="A4901" s="12"/>
    </row>
    <row r="4902" spans="1:1" x14ac:dyDescent="0.3">
      <c r="A4902" s="12"/>
    </row>
    <row r="4903" spans="1:1" x14ac:dyDescent="0.3">
      <c r="A4903" s="12"/>
    </row>
    <row r="4904" spans="1:1" x14ac:dyDescent="0.3">
      <c r="A4904" s="12"/>
    </row>
    <row r="4905" spans="1:1" x14ac:dyDescent="0.3">
      <c r="A4905" s="12"/>
    </row>
    <row r="4906" spans="1:1" x14ac:dyDescent="0.3">
      <c r="A4906" s="12"/>
    </row>
    <row r="4907" spans="1:1" x14ac:dyDescent="0.3">
      <c r="A4907" s="12"/>
    </row>
    <row r="4908" spans="1:1" x14ac:dyDescent="0.3">
      <c r="A4908" s="12"/>
    </row>
    <row r="4909" spans="1:1" x14ac:dyDescent="0.3">
      <c r="A4909" s="12"/>
    </row>
    <row r="4910" spans="1:1" x14ac:dyDescent="0.3">
      <c r="A4910" s="12"/>
    </row>
    <row r="4911" spans="1:1" x14ac:dyDescent="0.3">
      <c r="A4911" s="12"/>
    </row>
    <row r="4912" spans="1:1" x14ac:dyDescent="0.3">
      <c r="A4912" s="12"/>
    </row>
    <row r="4913" spans="1:1" x14ac:dyDescent="0.3">
      <c r="A4913" s="12"/>
    </row>
    <row r="4914" spans="1:1" x14ac:dyDescent="0.3">
      <c r="A4914" s="12"/>
    </row>
    <row r="4915" spans="1:1" x14ac:dyDescent="0.3">
      <c r="A4915" s="12"/>
    </row>
    <row r="4916" spans="1:1" x14ac:dyDescent="0.3">
      <c r="A4916" s="12"/>
    </row>
    <row r="4917" spans="1:1" x14ac:dyDescent="0.3">
      <c r="A4917" s="12"/>
    </row>
    <row r="4918" spans="1:1" x14ac:dyDescent="0.3">
      <c r="A4918" s="12"/>
    </row>
    <row r="4919" spans="1:1" x14ac:dyDescent="0.3">
      <c r="A4919" s="12"/>
    </row>
    <row r="4920" spans="1:1" x14ac:dyDescent="0.3">
      <c r="A4920" s="12"/>
    </row>
    <row r="4921" spans="1:1" x14ac:dyDescent="0.3">
      <c r="A4921" s="12"/>
    </row>
    <row r="4922" spans="1:1" x14ac:dyDescent="0.3">
      <c r="A4922" s="12"/>
    </row>
    <row r="4923" spans="1:1" x14ac:dyDescent="0.3">
      <c r="A4923" s="12"/>
    </row>
    <row r="4924" spans="1:1" x14ac:dyDescent="0.3">
      <c r="A4924" s="12"/>
    </row>
    <row r="4925" spans="1:1" x14ac:dyDescent="0.3">
      <c r="A4925" s="12"/>
    </row>
    <row r="4926" spans="1:1" x14ac:dyDescent="0.3">
      <c r="A4926" s="12"/>
    </row>
    <row r="4927" spans="1:1" x14ac:dyDescent="0.3">
      <c r="A4927" s="12"/>
    </row>
    <row r="4928" spans="1:1" x14ac:dyDescent="0.3">
      <c r="A4928" s="12"/>
    </row>
    <row r="4929" spans="1:1" x14ac:dyDescent="0.3">
      <c r="A4929" s="12"/>
    </row>
    <row r="4930" spans="1:1" x14ac:dyDescent="0.3">
      <c r="A4930" s="12"/>
    </row>
    <row r="4931" spans="1:1" x14ac:dyDescent="0.3">
      <c r="A4931" s="12"/>
    </row>
    <row r="4932" spans="1:1" x14ac:dyDescent="0.3">
      <c r="A4932" s="12"/>
    </row>
    <row r="4933" spans="1:1" x14ac:dyDescent="0.3">
      <c r="A4933" s="12"/>
    </row>
    <row r="4934" spans="1:1" x14ac:dyDescent="0.3">
      <c r="A4934" s="12"/>
    </row>
    <row r="4935" spans="1:1" x14ac:dyDescent="0.3">
      <c r="A4935" s="12"/>
    </row>
    <row r="4936" spans="1:1" x14ac:dyDescent="0.3">
      <c r="A4936" s="12"/>
    </row>
    <row r="4937" spans="1:1" x14ac:dyDescent="0.3">
      <c r="A4937" s="12"/>
    </row>
    <row r="4938" spans="1:1" x14ac:dyDescent="0.3">
      <c r="A4938" s="12"/>
    </row>
    <row r="4939" spans="1:1" x14ac:dyDescent="0.3">
      <c r="A4939" s="12"/>
    </row>
    <row r="4940" spans="1:1" x14ac:dyDescent="0.3">
      <c r="A4940" s="12"/>
    </row>
    <row r="4941" spans="1:1" x14ac:dyDescent="0.3">
      <c r="A4941" s="12"/>
    </row>
    <row r="4942" spans="1:1" x14ac:dyDescent="0.3">
      <c r="A4942" s="12"/>
    </row>
    <row r="4943" spans="1:1" x14ac:dyDescent="0.3">
      <c r="A4943" s="12"/>
    </row>
    <row r="4944" spans="1:1" x14ac:dyDescent="0.3">
      <c r="A4944" s="12"/>
    </row>
    <row r="4945" spans="1:1" x14ac:dyDescent="0.3">
      <c r="A4945" s="12"/>
    </row>
    <row r="4946" spans="1:1" x14ac:dyDescent="0.3">
      <c r="A4946" s="12"/>
    </row>
    <row r="4947" spans="1:1" x14ac:dyDescent="0.3">
      <c r="A4947" s="12"/>
    </row>
    <row r="4948" spans="1:1" x14ac:dyDescent="0.3">
      <c r="A4948" s="12"/>
    </row>
    <row r="4949" spans="1:1" x14ac:dyDescent="0.3">
      <c r="A4949" s="12"/>
    </row>
    <row r="4950" spans="1:1" x14ac:dyDescent="0.3">
      <c r="A4950" s="12"/>
    </row>
    <row r="4951" spans="1:1" x14ac:dyDescent="0.3">
      <c r="A4951" s="12"/>
    </row>
    <row r="4952" spans="1:1" x14ac:dyDescent="0.3">
      <c r="A4952" s="12"/>
    </row>
    <row r="4953" spans="1:1" x14ac:dyDescent="0.3">
      <c r="A4953" s="12"/>
    </row>
    <row r="4954" spans="1:1" x14ac:dyDescent="0.3">
      <c r="A4954" s="12"/>
    </row>
    <row r="4955" spans="1:1" x14ac:dyDescent="0.3">
      <c r="A4955" s="12"/>
    </row>
    <row r="4956" spans="1:1" x14ac:dyDescent="0.3">
      <c r="A4956" s="12"/>
    </row>
    <row r="4957" spans="1:1" x14ac:dyDescent="0.3">
      <c r="A4957" s="12"/>
    </row>
    <row r="4958" spans="1:1" x14ac:dyDescent="0.3">
      <c r="A4958" s="12"/>
    </row>
    <row r="4959" spans="1:1" x14ac:dyDescent="0.3">
      <c r="A4959" s="12"/>
    </row>
    <row r="4960" spans="1:1" x14ac:dyDescent="0.3">
      <c r="A4960" s="12"/>
    </row>
    <row r="4961" spans="1:1" x14ac:dyDescent="0.3">
      <c r="A4961" s="12"/>
    </row>
    <row r="4962" spans="1:1" x14ac:dyDescent="0.3">
      <c r="A4962" s="12"/>
    </row>
    <row r="4963" spans="1:1" x14ac:dyDescent="0.3">
      <c r="A4963" s="12"/>
    </row>
    <row r="4964" spans="1:1" x14ac:dyDescent="0.3">
      <c r="A4964" s="12"/>
    </row>
    <row r="4965" spans="1:1" x14ac:dyDescent="0.3">
      <c r="A4965" s="12"/>
    </row>
    <row r="4966" spans="1:1" x14ac:dyDescent="0.3">
      <c r="A4966" s="12"/>
    </row>
    <row r="4967" spans="1:1" x14ac:dyDescent="0.3">
      <c r="A4967" s="12"/>
    </row>
    <row r="4968" spans="1:1" x14ac:dyDescent="0.3">
      <c r="A4968" s="12"/>
    </row>
    <row r="4969" spans="1:1" x14ac:dyDescent="0.3">
      <c r="A4969" s="12"/>
    </row>
    <row r="4970" spans="1:1" x14ac:dyDescent="0.3">
      <c r="A4970" s="12"/>
    </row>
    <row r="4971" spans="1:1" x14ac:dyDescent="0.3">
      <c r="A4971" s="12"/>
    </row>
    <row r="4972" spans="1:1" x14ac:dyDescent="0.3">
      <c r="A4972" s="12"/>
    </row>
    <row r="4973" spans="1:1" x14ac:dyDescent="0.3">
      <c r="A4973" s="12"/>
    </row>
    <row r="4974" spans="1:1" x14ac:dyDescent="0.3">
      <c r="A4974" s="12"/>
    </row>
    <row r="4975" spans="1:1" x14ac:dyDescent="0.3">
      <c r="A4975" s="12"/>
    </row>
    <row r="4976" spans="1:1" x14ac:dyDescent="0.3">
      <c r="A4976" s="12"/>
    </row>
    <row r="4977" spans="1:1" x14ac:dyDescent="0.3">
      <c r="A4977" s="12"/>
    </row>
    <row r="4978" spans="1:1" x14ac:dyDescent="0.3">
      <c r="A4978" s="12"/>
    </row>
    <row r="4979" spans="1:1" x14ac:dyDescent="0.3">
      <c r="A4979" s="12"/>
    </row>
    <row r="4980" spans="1:1" x14ac:dyDescent="0.3">
      <c r="A4980" s="12"/>
    </row>
    <row r="4981" spans="1:1" x14ac:dyDescent="0.3">
      <c r="A4981" s="12"/>
    </row>
    <row r="4982" spans="1:1" x14ac:dyDescent="0.3">
      <c r="A4982" s="12"/>
    </row>
    <row r="4983" spans="1:1" x14ac:dyDescent="0.3">
      <c r="A4983" s="12"/>
    </row>
    <row r="4984" spans="1:1" x14ac:dyDescent="0.3">
      <c r="A4984" s="12"/>
    </row>
    <row r="4985" spans="1:1" x14ac:dyDescent="0.3">
      <c r="A4985" s="12"/>
    </row>
    <row r="4986" spans="1:1" x14ac:dyDescent="0.3">
      <c r="A4986" s="12"/>
    </row>
    <row r="4987" spans="1:1" x14ac:dyDescent="0.3">
      <c r="A4987" s="12"/>
    </row>
    <row r="4988" spans="1:1" x14ac:dyDescent="0.3">
      <c r="A4988" s="12"/>
    </row>
    <row r="4989" spans="1:1" x14ac:dyDescent="0.3">
      <c r="A4989" s="12"/>
    </row>
    <row r="4990" spans="1:1" x14ac:dyDescent="0.3">
      <c r="A4990" s="12"/>
    </row>
    <row r="4991" spans="1:1" x14ac:dyDescent="0.3">
      <c r="A4991" s="12"/>
    </row>
    <row r="4992" spans="1:1" x14ac:dyDescent="0.3">
      <c r="A4992" s="12"/>
    </row>
    <row r="4993" spans="1:1" x14ac:dyDescent="0.3">
      <c r="A4993" s="12"/>
    </row>
    <row r="4994" spans="1:1" x14ac:dyDescent="0.3">
      <c r="A4994" s="12"/>
    </row>
    <row r="4995" spans="1:1" x14ac:dyDescent="0.3">
      <c r="A4995" s="12"/>
    </row>
    <row r="4996" spans="1:1" x14ac:dyDescent="0.3">
      <c r="A4996" s="12"/>
    </row>
    <row r="4997" spans="1:1" x14ac:dyDescent="0.3">
      <c r="A4997" s="12"/>
    </row>
    <row r="4998" spans="1:1" x14ac:dyDescent="0.3">
      <c r="A4998" s="12"/>
    </row>
    <row r="4999" spans="1:1" x14ac:dyDescent="0.3">
      <c r="A4999" s="12"/>
    </row>
    <row r="5000" spans="1:1" x14ac:dyDescent="0.3">
      <c r="A5000" s="12"/>
    </row>
    <row r="5001" spans="1:1" x14ac:dyDescent="0.3">
      <c r="A5001" s="12"/>
    </row>
    <row r="5002" spans="1:1" x14ac:dyDescent="0.3">
      <c r="A5002" s="12"/>
    </row>
    <row r="5003" spans="1:1" x14ac:dyDescent="0.3">
      <c r="A5003" s="12"/>
    </row>
    <row r="5004" spans="1:1" x14ac:dyDescent="0.3">
      <c r="A5004" s="12"/>
    </row>
    <row r="5005" spans="1:1" x14ac:dyDescent="0.3">
      <c r="A5005" s="12"/>
    </row>
    <row r="5006" spans="1:1" x14ac:dyDescent="0.3">
      <c r="A5006" s="12"/>
    </row>
    <row r="5007" spans="1:1" x14ac:dyDescent="0.3">
      <c r="A5007" s="12"/>
    </row>
    <row r="5008" spans="1:1" x14ac:dyDescent="0.3">
      <c r="A5008" s="12"/>
    </row>
    <row r="5009" spans="1:1" x14ac:dyDescent="0.3">
      <c r="A5009" s="12"/>
    </row>
    <row r="5010" spans="1:1" x14ac:dyDescent="0.3">
      <c r="A5010" s="12"/>
    </row>
    <row r="5011" spans="1:1" x14ac:dyDescent="0.3">
      <c r="A5011" s="12"/>
    </row>
    <row r="5012" spans="1:1" x14ac:dyDescent="0.3">
      <c r="A5012" s="12"/>
    </row>
    <row r="5013" spans="1:1" x14ac:dyDescent="0.3">
      <c r="A5013" s="12"/>
    </row>
    <row r="5014" spans="1:1" x14ac:dyDescent="0.3">
      <c r="A5014" s="12"/>
    </row>
    <row r="5015" spans="1:1" x14ac:dyDescent="0.3">
      <c r="A5015" s="12"/>
    </row>
    <row r="5016" spans="1:1" x14ac:dyDescent="0.3">
      <c r="A5016" s="12"/>
    </row>
    <row r="5017" spans="1:1" x14ac:dyDescent="0.3">
      <c r="A5017" s="12"/>
    </row>
    <row r="5018" spans="1:1" x14ac:dyDescent="0.3">
      <c r="A5018" s="12"/>
    </row>
    <row r="5019" spans="1:1" x14ac:dyDescent="0.3">
      <c r="A5019" s="12"/>
    </row>
    <row r="5020" spans="1:1" x14ac:dyDescent="0.3">
      <c r="A5020" s="12"/>
    </row>
    <row r="5021" spans="1:1" x14ac:dyDescent="0.3">
      <c r="A5021" s="12"/>
    </row>
    <row r="5022" spans="1:1" x14ac:dyDescent="0.3">
      <c r="A5022" s="12"/>
    </row>
    <row r="5023" spans="1:1" x14ac:dyDescent="0.3">
      <c r="A5023" s="12"/>
    </row>
    <row r="5024" spans="1:1" x14ac:dyDescent="0.3">
      <c r="A5024" s="12"/>
    </row>
    <row r="5025" spans="1:1" x14ac:dyDescent="0.3">
      <c r="A5025" s="12"/>
    </row>
    <row r="5026" spans="1:1" x14ac:dyDescent="0.3">
      <c r="A5026" s="12"/>
    </row>
    <row r="5027" spans="1:1" x14ac:dyDescent="0.3">
      <c r="A5027" s="12"/>
    </row>
    <row r="5028" spans="1:1" x14ac:dyDescent="0.3">
      <c r="A5028" s="12"/>
    </row>
    <row r="5029" spans="1:1" x14ac:dyDescent="0.3">
      <c r="A5029" s="12"/>
    </row>
    <row r="5030" spans="1:1" x14ac:dyDescent="0.3">
      <c r="A5030" s="12"/>
    </row>
    <row r="5031" spans="1:1" x14ac:dyDescent="0.3">
      <c r="A5031" s="12"/>
    </row>
    <row r="5032" spans="1:1" x14ac:dyDescent="0.3">
      <c r="A5032" s="12"/>
    </row>
    <row r="5033" spans="1:1" x14ac:dyDescent="0.3">
      <c r="A5033" s="12"/>
    </row>
    <row r="5034" spans="1:1" x14ac:dyDescent="0.3">
      <c r="A5034" s="12"/>
    </row>
    <row r="5035" spans="1:1" x14ac:dyDescent="0.3">
      <c r="A5035" s="12"/>
    </row>
    <row r="5036" spans="1:1" x14ac:dyDescent="0.3">
      <c r="A5036" s="12"/>
    </row>
    <row r="5037" spans="1:1" x14ac:dyDescent="0.3">
      <c r="A5037" s="12"/>
    </row>
    <row r="5038" spans="1:1" x14ac:dyDescent="0.3">
      <c r="A5038" s="12"/>
    </row>
    <row r="5039" spans="1:1" x14ac:dyDescent="0.3">
      <c r="A5039" s="12"/>
    </row>
    <row r="5040" spans="1:1" x14ac:dyDescent="0.3">
      <c r="A5040" s="12"/>
    </row>
    <row r="5041" spans="1:1" x14ac:dyDescent="0.3">
      <c r="A5041" s="12"/>
    </row>
    <row r="5042" spans="1:1" x14ac:dyDescent="0.3">
      <c r="A5042" s="12"/>
    </row>
    <row r="5043" spans="1:1" x14ac:dyDescent="0.3">
      <c r="A5043" s="12"/>
    </row>
    <row r="5044" spans="1:1" x14ac:dyDescent="0.3">
      <c r="A5044" s="12"/>
    </row>
    <row r="5045" spans="1:1" x14ac:dyDescent="0.3">
      <c r="A5045" s="12"/>
    </row>
    <row r="5046" spans="1:1" x14ac:dyDescent="0.3">
      <c r="A5046" s="12"/>
    </row>
    <row r="5047" spans="1:1" x14ac:dyDescent="0.3">
      <c r="A5047" s="12"/>
    </row>
    <row r="5048" spans="1:1" x14ac:dyDescent="0.3">
      <c r="A5048" s="12"/>
    </row>
    <row r="5049" spans="1:1" x14ac:dyDescent="0.3">
      <c r="A5049" s="12"/>
    </row>
    <row r="5050" spans="1:1" x14ac:dyDescent="0.3">
      <c r="A5050" s="12"/>
    </row>
    <row r="5051" spans="1:1" x14ac:dyDescent="0.3">
      <c r="A5051" s="12"/>
    </row>
    <row r="5052" spans="1:1" x14ac:dyDescent="0.3">
      <c r="A5052" s="12"/>
    </row>
    <row r="5053" spans="1:1" x14ac:dyDescent="0.3">
      <c r="A5053" s="12"/>
    </row>
    <row r="5054" spans="1:1" x14ac:dyDescent="0.3">
      <c r="A5054" s="12"/>
    </row>
    <row r="5055" spans="1:1" x14ac:dyDescent="0.3">
      <c r="A5055" s="12"/>
    </row>
    <row r="5056" spans="1:1" x14ac:dyDescent="0.3">
      <c r="A5056" s="12"/>
    </row>
    <row r="5057" spans="1:1" x14ac:dyDescent="0.3">
      <c r="A5057" s="12"/>
    </row>
    <row r="5058" spans="1:1" x14ac:dyDescent="0.3">
      <c r="A5058" s="12"/>
    </row>
    <row r="5059" spans="1:1" x14ac:dyDescent="0.3">
      <c r="A5059" s="12"/>
    </row>
    <row r="5060" spans="1:1" x14ac:dyDescent="0.3">
      <c r="A5060" s="12"/>
    </row>
    <row r="5061" spans="1:1" x14ac:dyDescent="0.3">
      <c r="A5061" s="12"/>
    </row>
    <row r="5062" spans="1:1" x14ac:dyDescent="0.3">
      <c r="A5062" s="12"/>
    </row>
    <row r="5063" spans="1:1" x14ac:dyDescent="0.3">
      <c r="A5063" s="12"/>
    </row>
    <row r="5064" spans="1:1" x14ac:dyDescent="0.3">
      <c r="A5064" s="12"/>
    </row>
    <row r="5065" spans="1:1" x14ac:dyDescent="0.3">
      <c r="A5065" s="12"/>
    </row>
    <row r="5066" spans="1:1" x14ac:dyDescent="0.3">
      <c r="A5066" s="12"/>
    </row>
    <row r="5067" spans="1:1" x14ac:dyDescent="0.3">
      <c r="A5067" s="12"/>
    </row>
    <row r="5068" spans="1:1" x14ac:dyDescent="0.3">
      <c r="A5068" s="12"/>
    </row>
    <row r="5069" spans="1:1" x14ac:dyDescent="0.3">
      <c r="A5069" s="12"/>
    </row>
    <row r="5070" spans="1:1" x14ac:dyDescent="0.3">
      <c r="A5070" s="12"/>
    </row>
    <row r="5071" spans="1:1" x14ac:dyDescent="0.3">
      <c r="A5071" s="12"/>
    </row>
    <row r="5072" spans="1:1" x14ac:dyDescent="0.3">
      <c r="A5072" s="12"/>
    </row>
    <row r="5073" spans="1:1" x14ac:dyDescent="0.3">
      <c r="A5073" s="12"/>
    </row>
    <row r="5074" spans="1:1" x14ac:dyDescent="0.3">
      <c r="A5074" s="12"/>
    </row>
    <row r="5075" spans="1:1" x14ac:dyDescent="0.3">
      <c r="A5075" s="12"/>
    </row>
    <row r="5076" spans="1:1" x14ac:dyDescent="0.3">
      <c r="A5076" s="12"/>
    </row>
    <row r="5077" spans="1:1" x14ac:dyDescent="0.3">
      <c r="A5077" s="12"/>
    </row>
    <row r="5078" spans="1:1" x14ac:dyDescent="0.3">
      <c r="A5078" s="12"/>
    </row>
    <row r="5079" spans="1:1" x14ac:dyDescent="0.3">
      <c r="A5079" s="12"/>
    </row>
    <row r="5080" spans="1:1" x14ac:dyDescent="0.3">
      <c r="A5080" s="12"/>
    </row>
    <row r="5081" spans="1:1" x14ac:dyDescent="0.3">
      <c r="A5081" s="12"/>
    </row>
    <row r="5082" spans="1:1" x14ac:dyDescent="0.3">
      <c r="A5082" s="12"/>
    </row>
    <row r="5083" spans="1:1" x14ac:dyDescent="0.3">
      <c r="A5083" s="12"/>
    </row>
    <row r="5084" spans="1:1" x14ac:dyDescent="0.3">
      <c r="A5084" s="12"/>
    </row>
    <row r="5085" spans="1:1" x14ac:dyDescent="0.3">
      <c r="A5085" s="12"/>
    </row>
    <row r="5086" spans="1:1" x14ac:dyDescent="0.3">
      <c r="A5086" s="12"/>
    </row>
    <row r="5087" spans="1:1" x14ac:dyDescent="0.3">
      <c r="A5087" s="12"/>
    </row>
    <row r="5088" spans="1:1" x14ac:dyDescent="0.3">
      <c r="A5088" s="12"/>
    </row>
    <row r="5089" spans="1:1" x14ac:dyDescent="0.3">
      <c r="A5089" s="12"/>
    </row>
    <row r="5090" spans="1:1" x14ac:dyDescent="0.3">
      <c r="A5090" s="12"/>
    </row>
    <row r="5091" spans="1:1" x14ac:dyDescent="0.3">
      <c r="A5091" s="12"/>
    </row>
    <row r="5092" spans="1:1" x14ac:dyDescent="0.3">
      <c r="A5092" s="12"/>
    </row>
    <row r="5093" spans="1:1" x14ac:dyDescent="0.3">
      <c r="A5093" s="12"/>
    </row>
    <row r="5094" spans="1:1" x14ac:dyDescent="0.3">
      <c r="A5094" s="12"/>
    </row>
    <row r="5095" spans="1:1" x14ac:dyDescent="0.3">
      <c r="A5095" s="12"/>
    </row>
    <row r="5096" spans="1:1" x14ac:dyDescent="0.3">
      <c r="A5096" s="12"/>
    </row>
    <row r="5097" spans="1:1" x14ac:dyDescent="0.3">
      <c r="A5097" s="12"/>
    </row>
    <row r="5098" spans="1:1" x14ac:dyDescent="0.3">
      <c r="A5098" s="12"/>
    </row>
    <row r="5099" spans="1:1" x14ac:dyDescent="0.3">
      <c r="A5099" s="12"/>
    </row>
    <row r="5100" spans="1:1" x14ac:dyDescent="0.3">
      <c r="A5100" s="12"/>
    </row>
    <row r="5101" spans="1:1" x14ac:dyDescent="0.3">
      <c r="A5101" s="12"/>
    </row>
    <row r="5102" spans="1:1" x14ac:dyDescent="0.3">
      <c r="A5102" s="12"/>
    </row>
    <row r="5103" spans="1:1" x14ac:dyDescent="0.3">
      <c r="A5103" s="12"/>
    </row>
    <row r="5104" spans="1:1" x14ac:dyDescent="0.3">
      <c r="A5104" s="12"/>
    </row>
    <row r="5105" spans="1:1" x14ac:dyDescent="0.3">
      <c r="A5105" s="12"/>
    </row>
    <row r="5106" spans="1:1" x14ac:dyDescent="0.3">
      <c r="A5106" s="12"/>
    </row>
    <row r="5107" spans="1:1" x14ac:dyDescent="0.3">
      <c r="A5107" s="12"/>
    </row>
    <row r="5108" spans="1:1" x14ac:dyDescent="0.3">
      <c r="A5108" s="12"/>
    </row>
    <row r="5109" spans="1:1" x14ac:dyDescent="0.3">
      <c r="A5109" s="12"/>
    </row>
    <row r="5110" spans="1:1" x14ac:dyDescent="0.3">
      <c r="A5110" s="12"/>
    </row>
    <row r="5111" spans="1:1" x14ac:dyDescent="0.3">
      <c r="A5111" s="12"/>
    </row>
    <row r="5112" spans="1:1" x14ac:dyDescent="0.3">
      <c r="A5112" s="12"/>
    </row>
    <row r="5113" spans="1:1" x14ac:dyDescent="0.3">
      <c r="A5113" s="12"/>
    </row>
    <row r="5114" spans="1:1" x14ac:dyDescent="0.3">
      <c r="A5114" s="12"/>
    </row>
    <row r="5115" spans="1:1" x14ac:dyDescent="0.3">
      <c r="A5115" s="12"/>
    </row>
    <row r="5116" spans="1:1" x14ac:dyDescent="0.3">
      <c r="A5116" s="12"/>
    </row>
    <row r="5117" spans="1:1" x14ac:dyDescent="0.3">
      <c r="A5117" s="12"/>
    </row>
    <row r="5118" spans="1:1" x14ac:dyDescent="0.3">
      <c r="A5118" s="12"/>
    </row>
    <row r="5119" spans="1:1" x14ac:dyDescent="0.3">
      <c r="A5119" s="12"/>
    </row>
    <row r="5120" spans="1:1" x14ac:dyDescent="0.3">
      <c r="A5120" s="12"/>
    </row>
    <row r="5121" spans="1:1" x14ac:dyDescent="0.3">
      <c r="A5121" s="12"/>
    </row>
    <row r="5122" spans="1:1" x14ac:dyDescent="0.3">
      <c r="A5122" s="12"/>
    </row>
    <row r="5123" spans="1:1" x14ac:dyDescent="0.3">
      <c r="A5123" s="12"/>
    </row>
    <row r="5124" spans="1:1" x14ac:dyDescent="0.3">
      <c r="A5124" s="12"/>
    </row>
    <row r="5125" spans="1:1" x14ac:dyDescent="0.3">
      <c r="A5125" s="12"/>
    </row>
    <row r="5126" spans="1:1" x14ac:dyDescent="0.3">
      <c r="A5126" s="12"/>
    </row>
    <row r="5127" spans="1:1" x14ac:dyDescent="0.3">
      <c r="A5127" s="12"/>
    </row>
    <row r="5128" spans="1:1" x14ac:dyDescent="0.3">
      <c r="A5128" s="12"/>
    </row>
    <row r="5129" spans="1:1" x14ac:dyDescent="0.3">
      <c r="A5129" s="12"/>
    </row>
    <row r="5130" spans="1:1" x14ac:dyDescent="0.3">
      <c r="A5130" s="12"/>
    </row>
    <row r="5131" spans="1:1" x14ac:dyDescent="0.3">
      <c r="A5131" s="12"/>
    </row>
    <row r="5132" spans="1:1" x14ac:dyDescent="0.3">
      <c r="A5132" s="12"/>
    </row>
    <row r="5133" spans="1:1" x14ac:dyDescent="0.3">
      <c r="A5133" s="12"/>
    </row>
    <row r="5134" spans="1:1" x14ac:dyDescent="0.3">
      <c r="A5134" s="12"/>
    </row>
    <row r="5135" spans="1:1" x14ac:dyDescent="0.3">
      <c r="A5135" s="12"/>
    </row>
    <row r="5136" spans="1:1" x14ac:dyDescent="0.3">
      <c r="A5136" s="12"/>
    </row>
    <row r="5137" spans="1:1" x14ac:dyDescent="0.3">
      <c r="A5137" s="12"/>
    </row>
    <row r="5138" spans="1:1" x14ac:dyDescent="0.3">
      <c r="A5138" s="12"/>
    </row>
    <row r="5139" spans="1:1" x14ac:dyDescent="0.3">
      <c r="A5139" s="12"/>
    </row>
    <row r="5140" spans="1:1" x14ac:dyDescent="0.3">
      <c r="A5140" s="12"/>
    </row>
    <row r="5141" spans="1:1" x14ac:dyDescent="0.3">
      <c r="A5141" s="12"/>
    </row>
    <row r="5142" spans="1:1" x14ac:dyDescent="0.3">
      <c r="A5142" s="12"/>
    </row>
    <row r="5143" spans="1:1" x14ac:dyDescent="0.3">
      <c r="A5143" s="12"/>
    </row>
    <row r="5144" spans="1:1" x14ac:dyDescent="0.3">
      <c r="A5144" s="12"/>
    </row>
    <row r="5145" spans="1:1" x14ac:dyDescent="0.3">
      <c r="A5145" s="12"/>
    </row>
    <row r="5146" spans="1:1" x14ac:dyDescent="0.3">
      <c r="A5146" s="12"/>
    </row>
    <row r="5147" spans="1:1" x14ac:dyDescent="0.3">
      <c r="A5147" s="12"/>
    </row>
    <row r="5148" spans="1:1" x14ac:dyDescent="0.3">
      <c r="A5148" s="12"/>
    </row>
    <row r="5149" spans="1:1" x14ac:dyDescent="0.3">
      <c r="A5149" s="12"/>
    </row>
    <row r="5150" spans="1:1" x14ac:dyDescent="0.3">
      <c r="A5150" s="12"/>
    </row>
    <row r="5151" spans="1:1" x14ac:dyDescent="0.3">
      <c r="A5151" s="12"/>
    </row>
    <row r="5152" spans="1:1" x14ac:dyDescent="0.3">
      <c r="A5152" s="12"/>
    </row>
    <row r="5153" spans="1:1" x14ac:dyDescent="0.3">
      <c r="A5153" s="12"/>
    </row>
    <row r="5154" spans="1:1" x14ac:dyDescent="0.3">
      <c r="A5154" s="12"/>
    </row>
    <row r="5155" spans="1:1" x14ac:dyDescent="0.3">
      <c r="A5155" s="12"/>
    </row>
    <row r="5156" spans="1:1" x14ac:dyDescent="0.3">
      <c r="A5156" s="12"/>
    </row>
    <row r="5157" spans="1:1" x14ac:dyDescent="0.3">
      <c r="A5157" s="12"/>
    </row>
    <row r="5158" spans="1:1" x14ac:dyDescent="0.3">
      <c r="A5158" s="12"/>
    </row>
    <row r="5159" spans="1:1" x14ac:dyDescent="0.3">
      <c r="A5159" s="12"/>
    </row>
    <row r="5160" spans="1:1" x14ac:dyDescent="0.3">
      <c r="A5160" s="12"/>
    </row>
    <row r="5161" spans="1:1" x14ac:dyDescent="0.3">
      <c r="A5161" s="12"/>
    </row>
    <row r="5162" spans="1:1" x14ac:dyDescent="0.3">
      <c r="A5162" s="12"/>
    </row>
    <row r="5163" spans="1:1" x14ac:dyDescent="0.3">
      <c r="A5163" s="12"/>
    </row>
    <row r="5164" spans="1:1" x14ac:dyDescent="0.3">
      <c r="A5164" s="12"/>
    </row>
    <row r="5165" spans="1:1" x14ac:dyDescent="0.3">
      <c r="A5165" s="12"/>
    </row>
    <row r="5166" spans="1:1" x14ac:dyDescent="0.3">
      <c r="A5166" s="12"/>
    </row>
    <row r="5167" spans="1:1" x14ac:dyDescent="0.3">
      <c r="A5167" s="12"/>
    </row>
    <row r="5168" spans="1:1" x14ac:dyDescent="0.3">
      <c r="A5168" s="12"/>
    </row>
    <row r="5169" spans="1:1" x14ac:dyDescent="0.3">
      <c r="A5169" s="12"/>
    </row>
    <row r="5170" spans="1:1" x14ac:dyDescent="0.3">
      <c r="A5170" s="12"/>
    </row>
    <row r="5171" spans="1:1" x14ac:dyDescent="0.3">
      <c r="A5171" s="12"/>
    </row>
    <row r="5172" spans="1:1" x14ac:dyDescent="0.3">
      <c r="A5172" s="12"/>
    </row>
    <row r="5173" spans="1:1" x14ac:dyDescent="0.3">
      <c r="A5173" s="12"/>
    </row>
    <row r="5174" spans="1:1" x14ac:dyDescent="0.3">
      <c r="A5174" s="12"/>
    </row>
    <row r="5175" spans="1:1" x14ac:dyDescent="0.3">
      <c r="A5175" s="12"/>
    </row>
    <row r="5176" spans="1:1" x14ac:dyDescent="0.3">
      <c r="A5176" s="12"/>
    </row>
    <row r="5177" spans="1:1" x14ac:dyDescent="0.3">
      <c r="A5177" s="12"/>
    </row>
    <row r="5178" spans="1:1" x14ac:dyDescent="0.3">
      <c r="A5178" s="12"/>
    </row>
    <row r="5179" spans="1:1" x14ac:dyDescent="0.3">
      <c r="A5179" s="12"/>
    </row>
    <row r="5180" spans="1:1" x14ac:dyDescent="0.3">
      <c r="A5180" s="12"/>
    </row>
    <row r="5181" spans="1:1" x14ac:dyDescent="0.3">
      <c r="A5181" s="12"/>
    </row>
    <row r="5182" spans="1:1" x14ac:dyDescent="0.3">
      <c r="A5182" s="12"/>
    </row>
    <row r="5183" spans="1:1" x14ac:dyDescent="0.3">
      <c r="A5183" s="12"/>
    </row>
    <row r="5184" spans="1:1" x14ac:dyDescent="0.3">
      <c r="A5184" s="12"/>
    </row>
    <row r="5185" spans="1:1" x14ac:dyDescent="0.3">
      <c r="A5185" s="12"/>
    </row>
    <row r="5186" spans="1:1" x14ac:dyDescent="0.3">
      <c r="A5186" s="12"/>
    </row>
    <row r="5187" spans="1:1" x14ac:dyDescent="0.3">
      <c r="A5187" s="12"/>
    </row>
    <row r="5188" spans="1:1" x14ac:dyDescent="0.3">
      <c r="A5188" s="12"/>
    </row>
    <row r="5189" spans="1:1" x14ac:dyDescent="0.3">
      <c r="A5189" s="12"/>
    </row>
    <row r="5190" spans="1:1" x14ac:dyDescent="0.3">
      <c r="A5190" s="12"/>
    </row>
    <row r="5191" spans="1:1" x14ac:dyDescent="0.3">
      <c r="A5191" s="12"/>
    </row>
    <row r="5192" spans="1:1" x14ac:dyDescent="0.3">
      <c r="A5192" s="12"/>
    </row>
    <row r="5193" spans="1:1" x14ac:dyDescent="0.3">
      <c r="A5193" s="12"/>
    </row>
    <row r="5194" spans="1:1" x14ac:dyDescent="0.3">
      <c r="A5194" s="12"/>
    </row>
    <row r="5195" spans="1:1" x14ac:dyDescent="0.3">
      <c r="A5195" s="12"/>
    </row>
    <row r="5196" spans="1:1" x14ac:dyDescent="0.3">
      <c r="A5196" s="12"/>
    </row>
    <row r="5197" spans="1:1" x14ac:dyDescent="0.3">
      <c r="A5197" s="12"/>
    </row>
    <row r="5198" spans="1:1" x14ac:dyDescent="0.3">
      <c r="A5198" s="12"/>
    </row>
    <row r="5199" spans="1:1" x14ac:dyDescent="0.3">
      <c r="A5199" s="12"/>
    </row>
    <row r="5200" spans="1:1" x14ac:dyDescent="0.3">
      <c r="A5200" s="12"/>
    </row>
    <row r="5201" spans="1:1" x14ac:dyDescent="0.3">
      <c r="A5201" s="12"/>
    </row>
    <row r="5202" spans="1:1" x14ac:dyDescent="0.3">
      <c r="A5202" s="12"/>
    </row>
    <row r="5203" spans="1:1" x14ac:dyDescent="0.3">
      <c r="A5203" s="12"/>
    </row>
    <row r="5204" spans="1:1" x14ac:dyDescent="0.3">
      <c r="A5204" s="12"/>
    </row>
    <row r="5205" spans="1:1" x14ac:dyDescent="0.3">
      <c r="A5205" s="12"/>
    </row>
    <row r="5206" spans="1:1" x14ac:dyDescent="0.3">
      <c r="A5206" s="12"/>
    </row>
    <row r="5207" spans="1:1" x14ac:dyDescent="0.3">
      <c r="A5207" s="12"/>
    </row>
    <row r="5208" spans="1:1" x14ac:dyDescent="0.3">
      <c r="A5208" s="12"/>
    </row>
    <row r="5209" spans="1:1" x14ac:dyDescent="0.3">
      <c r="A5209" s="12"/>
    </row>
    <row r="5210" spans="1:1" x14ac:dyDescent="0.3">
      <c r="A5210" s="12"/>
    </row>
    <row r="5211" spans="1:1" x14ac:dyDescent="0.3">
      <c r="A5211" s="12"/>
    </row>
    <row r="5212" spans="1:1" x14ac:dyDescent="0.3">
      <c r="A5212" s="12"/>
    </row>
    <row r="5213" spans="1:1" x14ac:dyDescent="0.3">
      <c r="A5213" s="12"/>
    </row>
    <row r="5214" spans="1:1" x14ac:dyDescent="0.3">
      <c r="A5214" s="12"/>
    </row>
    <row r="5215" spans="1:1" x14ac:dyDescent="0.3">
      <c r="A5215" s="12"/>
    </row>
    <row r="5216" spans="1:1" x14ac:dyDescent="0.3">
      <c r="A5216" s="12"/>
    </row>
    <row r="5217" spans="1:1" x14ac:dyDescent="0.3">
      <c r="A5217" s="12"/>
    </row>
    <row r="5218" spans="1:1" x14ac:dyDescent="0.3">
      <c r="A5218" s="12"/>
    </row>
    <row r="5219" spans="1:1" x14ac:dyDescent="0.3">
      <c r="A5219" s="12"/>
    </row>
    <row r="5220" spans="1:1" x14ac:dyDescent="0.3">
      <c r="A5220" s="12"/>
    </row>
    <row r="5221" spans="1:1" x14ac:dyDescent="0.3">
      <c r="A5221" s="12"/>
    </row>
    <row r="5222" spans="1:1" x14ac:dyDescent="0.3">
      <c r="A5222" s="12"/>
    </row>
    <row r="5223" spans="1:1" x14ac:dyDescent="0.3">
      <c r="A5223" s="12"/>
    </row>
    <row r="5224" spans="1:1" x14ac:dyDescent="0.3">
      <c r="A5224" s="12"/>
    </row>
    <row r="5225" spans="1:1" x14ac:dyDescent="0.3">
      <c r="A5225" s="12"/>
    </row>
    <row r="5226" spans="1:1" x14ac:dyDescent="0.3">
      <c r="A5226" s="12"/>
    </row>
    <row r="5227" spans="1:1" x14ac:dyDescent="0.3">
      <c r="A5227" s="12"/>
    </row>
    <row r="5228" spans="1:1" x14ac:dyDescent="0.3">
      <c r="A5228" s="12"/>
    </row>
    <row r="5229" spans="1:1" x14ac:dyDescent="0.3">
      <c r="A5229" s="12"/>
    </row>
    <row r="5230" spans="1:1" x14ac:dyDescent="0.3">
      <c r="A5230" s="12"/>
    </row>
    <row r="5231" spans="1:1" x14ac:dyDescent="0.3">
      <c r="A5231" s="12"/>
    </row>
    <row r="5232" spans="1:1" x14ac:dyDescent="0.3">
      <c r="A5232" s="12"/>
    </row>
    <row r="5233" spans="1:1" x14ac:dyDescent="0.3">
      <c r="A5233" s="12"/>
    </row>
    <row r="5234" spans="1:1" x14ac:dyDescent="0.3">
      <c r="A5234" s="12"/>
    </row>
    <row r="5235" spans="1:1" x14ac:dyDescent="0.3">
      <c r="A5235" s="12"/>
    </row>
    <row r="5236" spans="1:1" x14ac:dyDescent="0.3">
      <c r="A5236" s="12"/>
    </row>
    <row r="5237" spans="1:1" x14ac:dyDescent="0.3">
      <c r="A5237" s="12"/>
    </row>
    <row r="5238" spans="1:1" x14ac:dyDescent="0.3">
      <c r="A5238" s="12"/>
    </row>
    <row r="5239" spans="1:1" x14ac:dyDescent="0.3">
      <c r="A5239" s="12"/>
    </row>
    <row r="5240" spans="1:1" x14ac:dyDescent="0.3">
      <c r="A5240" s="12"/>
    </row>
    <row r="5241" spans="1:1" x14ac:dyDescent="0.3">
      <c r="A5241" s="12"/>
    </row>
    <row r="5242" spans="1:1" x14ac:dyDescent="0.3">
      <c r="A5242" s="12"/>
    </row>
    <row r="5243" spans="1:1" x14ac:dyDescent="0.3">
      <c r="A5243" s="12"/>
    </row>
    <row r="5244" spans="1:1" x14ac:dyDescent="0.3">
      <c r="A5244" s="12"/>
    </row>
    <row r="5245" spans="1:1" x14ac:dyDescent="0.3">
      <c r="A5245" s="12"/>
    </row>
    <row r="5246" spans="1:1" x14ac:dyDescent="0.3">
      <c r="A5246" s="12"/>
    </row>
    <row r="5247" spans="1:1" x14ac:dyDescent="0.3">
      <c r="A5247" s="12"/>
    </row>
    <row r="5248" spans="1:1" x14ac:dyDescent="0.3">
      <c r="A5248" s="12"/>
    </row>
    <row r="5249" spans="1:1" x14ac:dyDescent="0.3">
      <c r="A5249" s="12"/>
    </row>
    <row r="5250" spans="1:1" x14ac:dyDescent="0.3">
      <c r="A5250" s="12"/>
    </row>
    <row r="5251" spans="1:1" x14ac:dyDescent="0.3">
      <c r="A5251" s="12"/>
    </row>
    <row r="5252" spans="1:1" x14ac:dyDescent="0.3">
      <c r="A5252" s="12"/>
    </row>
    <row r="5253" spans="1:1" x14ac:dyDescent="0.3">
      <c r="A5253" s="12"/>
    </row>
    <row r="5254" spans="1:1" x14ac:dyDescent="0.3">
      <c r="A5254" s="12"/>
    </row>
    <row r="5255" spans="1:1" x14ac:dyDescent="0.3">
      <c r="A5255" s="12"/>
    </row>
    <row r="5256" spans="1:1" x14ac:dyDescent="0.3">
      <c r="A5256" s="12"/>
    </row>
    <row r="5257" spans="1:1" x14ac:dyDescent="0.3">
      <c r="A5257" s="12"/>
    </row>
    <row r="5258" spans="1:1" x14ac:dyDescent="0.3">
      <c r="A5258" s="12"/>
    </row>
    <row r="5259" spans="1:1" x14ac:dyDescent="0.3">
      <c r="A5259" s="12"/>
    </row>
    <row r="5260" spans="1:1" x14ac:dyDescent="0.3">
      <c r="A5260" s="12"/>
    </row>
    <row r="5261" spans="1:1" x14ac:dyDescent="0.3">
      <c r="A5261" s="12"/>
    </row>
    <row r="5262" spans="1:1" x14ac:dyDescent="0.3">
      <c r="A5262" s="12"/>
    </row>
    <row r="5263" spans="1:1" x14ac:dyDescent="0.3">
      <c r="A5263" s="12"/>
    </row>
    <row r="5264" spans="1:1" x14ac:dyDescent="0.3">
      <c r="A5264" s="12"/>
    </row>
    <row r="5265" spans="1:1" x14ac:dyDescent="0.3">
      <c r="A5265" s="12"/>
    </row>
    <row r="5266" spans="1:1" x14ac:dyDescent="0.3">
      <c r="A5266" s="12"/>
    </row>
    <row r="5267" spans="1:1" x14ac:dyDescent="0.3">
      <c r="A5267" s="12"/>
    </row>
    <row r="5268" spans="1:1" x14ac:dyDescent="0.3">
      <c r="A5268" s="12"/>
    </row>
    <row r="5269" spans="1:1" x14ac:dyDescent="0.3">
      <c r="A5269" s="12"/>
    </row>
    <row r="5270" spans="1:1" x14ac:dyDescent="0.3">
      <c r="A5270" s="12"/>
    </row>
    <row r="5271" spans="1:1" x14ac:dyDescent="0.3">
      <c r="A5271" s="12"/>
    </row>
    <row r="5272" spans="1:1" x14ac:dyDescent="0.3">
      <c r="A5272" s="12"/>
    </row>
    <row r="5273" spans="1:1" x14ac:dyDescent="0.3">
      <c r="A5273" s="12"/>
    </row>
    <row r="5274" spans="1:1" x14ac:dyDescent="0.3">
      <c r="A5274" s="12"/>
    </row>
    <row r="5275" spans="1:1" x14ac:dyDescent="0.3">
      <c r="A5275" s="12"/>
    </row>
    <row r="5276" spans="1:1" x14ac:dyDescent="0.3">
      <c r="A5276" s="12"/>
    </row>
    <row r="5277" spans="1:1" x14ac:dyDescent="0.3">
      <c r="A5277" s="12"/>
    </row>
    <row r="5278" spans="1:1" x14ac:dyDescent="0.3">
      <c r="A5278" s="12"/>
    </row>
    <row r="5279" spans="1:1" x14ac:dyDescent="0.3">
      <c r="A5279" s="12"/>
    </row>
    <row r="5280" spans="1:1" x14ac:dyDescent="0.3">
      <c r="A5280" s="12"/>
    </row>
    <row r="5281" spans="1:1" x14ac:dyDescent="0.3">
      <c r="A5281" s="12"/>
    </row>
    <row r="5282" spans="1:1" x14ac:dyDescent="0.3">
      <c r="A5282" s="12"/>
    </row>
    <row r="5283" spans="1:1" x14ac:dyDescent="0.3">
      <c r="A5283" s="12"/>
    </row>
    <row r="5284" spans="1:1" x14ac:dyDescent="0.3">
      <c r="A5284" s="12"/>
    </row>
    <row r="5285" spans="1:1" x14ac:dyDescent="0.3">
      <c r="A5285" s="12"/>
    </row>
    <row r="5286" spans="1:1" x14ac:dyDescent="0.3">
      <c r="A5286" s="12"/>
    </row>
    <row r="5287" spans="1:1" x14ac:dyDescent="0.3">
      <c r="A5287" s="12"/>
    </row>
    <row r="5288" spans="1:1" x14ac:dyDescent="0.3">
      <c r="A5288" s="12"/>
    </row>
    <row r="5289" spans="1:1" x14ac:dyDescent="0.3">
      <c r="A5289" s="12"/>
    </row>
    <row r="5290" spans="1:1" x14ac:dyDescent="0.3">
      <c r="A5290" s="12"/>
    </row>
    <row r="5291" spans="1:1" x14ac:dyDescent="0.3">
      <c r="A5291" s="12"/>
    </row>
    <row r="5292" spans="1:1" x14ac:dyDescent="0.3">
      <c r="A5292" s="12"/>
    </row>
    <row r="5293" spans="1:1" x14ac:dyDescent="0.3">
      <c r="A5293" s="12"/>
    </row>
    <row r="5294" spans="1:1" x14ac:dyDescent="0.3">
      <c r="A5294" s="12"/>
    </row>
    <row r="5295" spans="1:1" x14ac:dyDescent="0.3">
      <c r="A5295" s="12"/>
    </row>
    <row r="5296" spans="1:1" x14ac:dyDescent="0.3">
      <c r="A5296" s="12"/>
    </row>
    <row r="5297" spans="1:1" x14ac:dyDescent="0.3">
      <c r="A5297" s="12"/>
    </row>
    <row r="5298" spans="1:1" x14ac:dyDescent="0.3">
      <c r="A5298" s="12"/>
    </row>
    <row r="5299" spans="1:1" x14ac:dyDescent="0.3">
      <c r="A5299" s="12"/>
    </row>
    <row r="5300" spans="1:1" x14ac:dyDescent="0.3">
      <c r="A5300" s="12"/>
    </row>
    <row r="5301" spans="1:1" x14ac:dyDescent="0.3">
      <c r="A5301" s="12"/>
    </row>
    <row r="5302" spans="1:1" x14ac:dyDescent="0.3">
      <c r="A5302" s="12"/>
    </row>
    <row r="5303" spans="1:1" x14ac:dyDescent="0.3">
      <c r="A5303" s="12"/>
    </row>
    <row r="5304" spans="1:1" x14ac:dyDescent="0.3">
      <c r="A5304" s="12"/>
    </row>
    <row r="5305" spans="1:1" x14ac:dyDescent="0.3">
      <c r="A5305" s="12"/>
    </row>
    <row r="5306" spans="1:1" x14ac:dyDescent="0.3">
      <c r="A5306" s="12"/>
    </row>
    <row r="5307" spans="1:1" x14ac:dyDescent="0.3">
      <c r="A5307" s="12"/>
    </row>
    <row r="5308" spans="1:1" x14ac:dyDescent="0.3">
      <c r="A5308" s="12"/>
    </row>
    <row r="5309" spans="1:1" x14ac:dyDescent="0.3">
      <c r="A5309" s="12"/>
    </row>
    <row r="5310" spans="1:1" x14ac:dyDescent="0.3">
      <c r="A5310" s="12"/>
    </row>
    <row r="5311" spans="1:1" x14ac:dyDescent="0.3">
      <c r="A5311" s="12"/>
    </row>
    <row r="5312" spans="1:1" x14ac:dyDescent="0.3">
      <c r="A5312" s="12"/>
    </row>
    <row r="5313" spans="1:1" x14ac:dyDescent="0.3">
      <c r="A5313" s="12"/>
    </row>
    <row r="5314" spans="1:1" x14ac:dyDescent="0.3">
      <c r="A5314" s="12"/>
    </row>
    <row r="5315" spans="1:1" x14ac:dyDescent="0.3">
      <c r="A5315" s="12"/>
    </row>
    <row r="5316" spans="1:1" x14ac:dyDescent="0.3">
      <c r="A5316" s="12"/>
    </row>
    <row r="5317" spans="1:1" x14ac:dyDescent="0.3">
      <c r="A5317" s="12"/>
    </row>
    <row r="5318" spans="1:1" x14ac:dyDescent="0.3">
      <c r="A5318" s="12"/>
    </row>
    <row r="5319" spans="1:1" x14ac:dyDescent="0.3">
      <c r="A5319" s="12"/>
    </row>
    <row r="5320" spans="1:1" x14ac:dyDescent="0.3">
      <c r="A5320" s="12"/>
    </row>
    <row r="5321" spans="1:1" x14ac:dyDescent="0.3">
      <c r="A5321" s="12"/>
    </row>
    <row r="5322" spans="1:1" x14ac:dyDescent="0.3">
      <c r="A5322" s="12"/>
    </row>
    <row r="5323" spans="1:1" x14ac:dyDescent="0.3">
      <c r="A5323" s="12"/>
    </row>
    <row r="5324" spans="1:1" x14ac:dyDescent="0.3">
      <c r="A5324" s="12"/>
    </row>
    <row r="5325" spans="1:1" x14ac:dyDescent="0.3">
      <c r="A5325" s="12"/>
    </row>
    <row r="5326" spans="1:1" x14ac:dyDescent="0.3">
      <c r="A5326" s="12"/>
    </row>
    <row r="5327" spans="1:1" x14ac:dyDescent="0.3">
      <c r="A5327" s="12"/>
    </row>
    <row r="5328" spans="1:1" x14ac:dyDescent="0.3">
      <c r="A5328" s="12"/>
    </row>
    <row r="5329" spans="1:1" x14ac:dyDescent="0.3">
      <c r="A5329" s="12"/>
    </row>
    <row r="5330" spans="1:1" x14ac:dyDescent="0.3">
      <c r="A5330" s="12"/>
    </row>
    <row r="5331" spans="1:1" x14ac:dyDescent="0.3">
      <c r="A5331" s="12"/>
    </row>
    <row r="5332" spans="1:1" x14ac:dyDescent="0.3">
      <c r="A5332" s="12"/>
    </row>
    <row r="5333" spans="1:1" x14ac:dyDescent="0.3">
      <c r="A5333" s="12"/>
    </row>
    <row r="5334" spans="1:1" x14ac:dyDescent="0.3">
      <c r="A5334" s="12"/>
    </row>
    <row r="5335" spans="1:1" x14ac:dyDescent="0.3">
      <c r="A5335" s="12"/>
    </row>
    <row r="5336" spans="1:1" x14ac:dyDescent="0.3">
      <c r="A5336" s="12"/>
    </row>
    <row r="5337" spans="1:1" x14ac:dyDescent="0.3">
      <c r="A5337" s="12"/>
    </row>
    <row r="5338" spans="1:1" x14ac:dyDescent="0.3">
      <c r="A5338" s="12"/>
    </row>
    <row r="5339" spans="1:1" x14ac:dyDescent="0.3">
      <c r="A5339" s="12"/>
    </row>
    <row r="5340" spans="1:1" x14ac:dyDescent="0.3">
      <c r="A5340" s="12"/>
    </row>
    <row r="5341" spans="1:1" x14ac:dyDescent="0.3">
      <c r="A5341" s="12"/>
    </row>
    <row r="5342" spans="1:1" x14ac:dyDescent="0.3">
      <c r="A5342" s="12"/>
    </row>
    <row r="5343" spans="1:1" x14ac:dyDescent="0.3">
      <c r="A5343" s="12"/>
    </row>
    <row r="5344" spans="1:1" x14ac:dyDescent="0.3">
      <c r="A5344" s="12"/>
    </row>
    <row r="5345" spans="1:1" x14ac:dyDescent="0.3">
      <c r="A5345" s="12"/>
    </row>
    <row r="5346" spans="1:1" x14ac:dyDescent="0.3">
      <c r="A5346" s="12"/>
    </row>
    <row r="5347" spans="1:1" x14ac:dyDescent="0.3">
      <c r="A5347" s="12"/>
    </row>
    <row r="5348" spans="1:1" x14ac:dyDescent="0.3">
      <c r="A5348" s="12"/>
    </row>
    <row r="5349" spans="1:1" x14ac:dyDescent="0.3">
      <c r="A5349" s="12"/>
    </row>
    <row r="5350" spans="1:1" x14ac:dyDescent="0.3">
      <c r="A5350" s="12"/>
    </row>
    <row r="5351" spans="1:1" x14ac:dyDescent="0.3">
      <c r="A5351" s="12"/>
    </row>
    <row r="5352" spans="1:1" x14ac:dyDescent="0.3">
      <c r="A5352" s="12"/>
    </row>
    <row r="5353" spans="1:1" x14ac:dyDescent="0.3">
      <c r="A5353" s="12"/>
    </row>
    <row r="5354" spans="1:1" x14ac:dyDescent="0.3">
      <c r="A5354" s="12"/>
    </row>
    <row r="5355" spans="1:1" x14ac:dyDescent="0.3">
      <c r="A5355" s="12"/>
    </row>
    <row r="5356" spans="1:1" x14ac:dyDescent="0.3">
      <c r="A5356" s="12"/>
    </row>
    <row r="5357" spans="1:1" x14ac:dyDescent="0.3">
      <c r="A5357" s="12"/>
    </row>
    <row r="5358" spans="1:1" x14ac:dyDescent="0.3">
      <c r="A5358" s="12"/>
    </row>
    <row r="5359" spans="1:1" x14ac:dyDescent="0.3">
      <c r="A5359" s="12"/>
    </row>
    <row r="5360" spans="1:1" x14ac:dyDescent="0.3">
      <c r="A5360" s="12"/>
    </row>
    <row r="5361" spans="1:1" x14ac:dyDescent="0.3">
      <c r="A5361" s="12"/>
    </row>
    <row r="5362" spans="1:1" x14ac:dyDescent="0.3">
      <c r="A5362" s="12"/>
    </row>
    <row r="5363" spans="1:1" x14ac:dyDescent="0.3">
      <c r="A5363" s="12"/>
    </row>
    <row r="5364" spans="1:1" x14ac:dyDescent="0.3">
      <c r="A5364" s="12"/>
    </row>
    <row r="5365" spans="1:1" x14ac:dyDescent="0.3">
      <c r="A5365" s="12"/>
    </row>
    <row r="5366" spans="1:1" x14ac:dyDescent="0.3">
      <c r="A5366" s="12"/>
    </row>
    <row r="5367" spans="1:1" x14ac:dyDescent="0.3">
      <c r="A5367" s="12"/>
    </row>
    <row r="5368" spans="1:1" x14ac:dyDescent="0.3">
      <c r="A5368" s="12"/>
    </row>
    <row r="5369" spans="1:1" x14ac:dyDescent="0.3">
      <c r="A5369" s="12"/>
    </row>
    <row r="5370" spans="1:1" x14ac:dyDescent="0.3">
      <c r="A5370" s="12"/>
    </row>
    <row r="5371" spans="1:1" x14ac:dyDescent="0.3">
      <c r="A5371" s="12"/>
    </row>
    <row r="5372" spans="1:1" x14ac:dyDescent="0.3">
      <c r="A5372" s="12"/>
    </row>
    <row r="5373" spans="1:1" x14ac:dyDescent="0.3">
      <c r="A5373" s="12"/>
    </row>
    <row r="5374" spans="1:1" x14ac:dyDescent="0.3">
      <c r="A5374" s="12"/>
    </row>
    <row r="5375" spans="1:1" x14ac:dyDescent="0.3">
      <c r="A5375" s="12"/>
    </row>
    <row r="5376" spans="1:1" x14ac:dyDescent="0.3">
      <c r="A5376" s="12"/>
    </row>
    <row r="5377" spans="1:1" x14ac:dyDescent="0.3">
      <c r="A5377" s="12"/>
    </row>
    <row r="5378" spans="1:1" x14ac:dyDescent="0.3">
      <c r="A5378" s="12"/>
    </row>
    <row r="5379" spans="1:1" x14ac:dyDescent="0.3">
      <c r="A5379" s="12"/>
    </row>
    <row r="5380" spans="1:1" x14ac:dyDescent="0.3">
      <c r="A5380" s="12"/>
    </row>
    <row r="5381" spans="1:1" x14ac:dyDescent="0.3">
      <c r="A5381" s="12"/>
    </row>
    <row r="5382" spans="1:1" x14ac:dyDescent="0.3">
      <c r="A5382" s="12"/>
    </row>
    <row r="5383" spans="1:1" x14ac:dyDescent="0.3">
      <c r="A5383" s="12"/>
    </row>
    <row r="5384" spans="1:1" x14ac:dyDescent="0.3">
      <c r="A5384" s="12"/>
    </row>
    <row r="5385" spans="1:1" x14ac:dyDescent="0.3">
      <c r="A5385" s="12"/>
    </row>
    <row r="5386" spans="1:1" x14ac:dyDescent="0.3">
      <c r="A5386" s="12"/>
    </row>
    <row r="5387" spans="1:1" x14ac:dyDescent="0.3">
      <c r="A5387" s="12"/>
    </row>
    <row r="5388" spans="1:1" x14ac:dyDescent="0.3">
      <c r="A5388" s="12"/>
    </row>
    <row r="5389" spans="1:1" x14ac:dyDescent="0.3">
      <c r="A5389" s="12"/>
    </row>
    <row r="5390" spans="1:1" x14ac:dyDescent="0.3">
      <c r="A5390" s="12"/>
    </row>
    <row r="5391" spans="1:1" x14ac:dyDescent="0.3">
      <c r="A5391" s="12"/>
    </row>
    <row r="5392" spans="1:1" x14ac:dyDescent="0.3">
      <c r="A5392" s="12"/>
    </row>
    <row r="5393" spans="1:1" x14ac:dyDescent="0.3">
      <c r="A5393" s="12"/>
    </row>
    <row r="5394" spans="1:1" x14ac:dyDescent="0.3">
      <c r="A5394" s="12"/>
    </row>
    <row r="5395" spans="1:1" x14ac:dyDescent="0.3">
      <c r="A5395" s="12"/>
    </row>
    <row r="5396" spans="1:1" x14ac:dyDescent="0.3">
      <c r="A5396" s="12"/>
    </row>
    <row r="5397" spans="1:1" x14ac:dyDescent="0.3">
      <c r="A5397" s="12"/>
    </row>
    <row r="5398" spans="1:1" x14ac:dyDescent="0.3">
      <c r="A5398" s="12"/>
    </row>
    <row r="5399" spans="1:1" x14ac:dyDescent="0.3">
      <c r="A5399" s="12"/>
    </row>
    <row r="5400" spans="1:1" x14ac:dyDescent="0.3">
      <c r="A5400" s="12"/>
    </row>
    <row r="5401" spans="1:1" x14ac:dyDescent="0.3">
      <c r="A5401" s="12"/>
    </row>
    <row r="5402" spans="1:1" x14ac:dyDescent="0.3">
      <c r="A5402" s="12"/>
    </row>
    <row r="5403" spans="1:1" x14ac:dyDescent="0.3">
      <c r="A5403" s="12"/>
    </row>
    <row r="5404" spans="1:1" x14ac:dyDescent="0.3">
      <c r="A5404" s="12"/>
    </row>
    <row r="5405" spans="1:1" x14ac:dyDescent="0.3">
      <c r="A5405" s="12"/>
    </row>
    <row r="5406" spans="1:1" x14ac:dyDescent="0.3">
      <c r="A5406" s="12"/>
    </row>
    <row r="5407" spans="1:1" x14ac:dyDescent="0.3">
      <c r="A5407" s="12"/>
    </row>
    <row r="5408" spans="1:1" x14ac:dyDescent="0.3">
      <c r="A5408" s="12"/>
    </row>
    <row r="5409" spans="1:1" x14ac:dyDescent="0.3">
      <c r="A5409" s="12"/>
    </row>
    <row r="5410" spans="1:1" x14ac:dyDescent="0.3">
      <c r="A5410" s="12"/>
    </row>
    <row r="5411" spans="1:1" x14ac:dyDescent="0.3">
      <c r="A5411" s="12"/>
    </row>
    <row r="5412" spans="1:1" x14ac:dyDescent="0.3">
      <c r="A5412" s="12"/>
    </row>
    <row r="5413" spans="1:1" x14ac:dyDescent="0.3">
      <c r="A5413" s="12"/>
    </row>
    <row r="5414" spans="1:1" x14ac:dyDescent="0.3">
      <c r="A5414" s="12"/>
    </row>
    <row r="5415" spans="1:1" x14ac:dyDescent="0.3">
      <c r="A5415" s="12"/>
    </row>
    <row r="5416" spans="1:1" x14ac:dyDescent="0.3">
      <c r="A5416" s="12"/>
    </row>
    <row r="5417" spans="1:1" x14ac:dyDescent="0.3">
      <c r="A5417" s="12"/>
    </row>
    <row r="5418" spans="1:1" x14ac:dyDescent="0.3">
      <c r="A5418" s="12"/>
    </row>
    <row r="5419" spans="1:1" x14ac:dyDescent="0.3">
      <c r="A5419" s="12"/>
    </row>
    <row r="5420" spans="1:1" x14ac:dyDescent="0.3">
      <c r="A5420" s="12"/>
    </row>
    <row r="5421" spans="1:1" x14ac:dyDescent="0.3">
      <c r="A5421" s="12"/>
    </row>
    <row r="5422" spans="1:1" x14ac:dyDescent="0.3">
      <c r="A5422" s="12"/>
    </row>
    <row r="5423" spans="1:1" x14ac:dyDescent="0.3">
      <c r="A5423" s="12"/>
    </row>
    <row r="5424" spans="1:1" x14ac:dyDescent="0.3">
      <c r="A5424" s="12"/>
    </row>
    <row r="5425" spans="1:1" x14ac:dyDescent="0.3">
      <c r="A5425" s="12"/>
    </row>
    <row r="5426" spans="1:1" x14ac:dyDescent="0.3">
      <c r="A5426" s="12"/>
    </row>
    <row r="5427" spans="1:1" x14ac:dyDescent="0.3">
      <c r="A5427" s="12"/>
    </row>
    <row r="5428" spans="1:1" x14ac:dyDescent="0.3">
      <c r="A5428" s="12"/>
    </row>
    <row r="5429" spans="1:1" x14ac:dyDescent="0.3">
      <c r="A5429" s="12"/>
    </row>
    <row r="5430" spans="1:1" x14ac:dyDescent="0.3">
      <c r="A5430" s="12"/>
    </row>
    <row r="5431" spans="1:1" x14ac:dyDescent="0.3">
      <c r="A5431" s="12"/>
    </row>
    <row r="5432" spans="1:1" x14ac:dyDescent="0.3">
      <c r="A5432" s="12"/>
    </row>
    <row r="5433" spans="1:1" x14ac:dyDescent="0.3">
      <c r="A5433" s="12"/>
    </row>
    <row r="5434" spans="1:1" x14ac:dyDescent="0.3">
      <c r="A5434" s="12"/>
    </row>
    <row r="5435" spans="1:1" x14ac:dyDescent="0.3">
      <c r="A5435" s="12"/>
    </row>
    <row r="5436" spans="1:1" x14ac:dyDescent="0.3">
      <c r="A5436" s="12"/>
    </row>
    <row r="5437" spans="1:1" x14ac:dyDescent="0.3">
      <c r="A5437" s="12"/>
    </row>
    <row r="5438" spans="1:1" x14ac:dyDescent="0.3">
      <c r="A5438" s="12"/>
    </row>
    <row r="5439" spans="1:1" x14ac:dyDescent="0.3">
      <c r="A5439" s="12"/>
    </row>
    <row r="5440" spans="1:1" x14ac:dyDescent="0.3">
      <c r="A5440" s="12"/>
    </row>
    <row r="5441" spans="1:1" x14ac:dyDescent="0.3">
      <c r="A5441" s="12"/>
    </row>
    <row r="5442" spans="1:1" x14ac:dyDescent="0.3">
      <c r="A5442" s="12"/>
    </row>
    <row r="5443" spans="1:1" x14ac:dyDescent="0.3">
      <c r="A5443" s="12"/>
    </row>
    <row r="5444" spans="1:1" x14ac:dyDescent="0.3">
      <c r="A5444" s="12"/>
    </row>
    <row r="5445" spans="1:1" x14ac:dyDescent="0.3">
      <c r="A5445" s="12"/>
    </row>
    <row r="5446" spans="1:1" x14ac:dyDescent="0.3">
      <c r="A5446" s="12"/>
    </row>
    <row r="5447" spans="1:1" x14ac:dyDescent="0.3">
      <c r="A5447" s="12"/>
    </row>
    <row r="5448" spans="1:1" x14ac:dyDescent="0.3">
      <c r="A5448" s="12"/>
    </row>
    <row r="5449" spans="1:1" x14ac:dyDescent="0.3">
      <c r="A5449" s="12"/>
    </row>
    <row r="5450" spans="1:1" x14ac:dyDescent="0.3">
      <c r="A5450" s="12"/>
    </row>
    <row r="5451" spans="1:1" x14ac:dyDescent="0.3">
      <c r="A5451" s="12"/>
    </row>
    <row r="5452" spans="1:1" x14ac:dyDescent="0.3">
      <c r="A5452" s="12"/>
    </row>
    <row r="5453" spans="1:1" x14ac:dyDescent="0.3">
      <c r="A5453" s="12"/>
    </row>
    <row r="5454" spans="1:1" x14ac:dyDescent="0.3">
      <c r="A5454" s="12"/>
    </row>
    <row r="5455" spans="1:1" x14ac:dyDescent="0.3">
      <c r="A5455" s="12"/>
    </row>
    <row r="5456" spans="1:1" x14ac:dyDescent="0.3">
      <c r="A5456" s="12"/>
    </row>
    <row r="5457" spans="1:1" x14ac:dyDescent="0.3">
      <c r="A5457" s="12"/>
    </row>
    <row r="5458" spans="1:1" x14ac:dyDescent="0.3">
      <c r="A5458" s="12"/>
    </row>
    <row r="5459" spans="1:1" x14ac:dyDescent="0.3">
      <c r="A5459" s="12"/>
    </row>
    <row r="5460" spans="1:1" x14ac:dyDescent="0.3">
      <c r="A5460" s="12"/>
    </row>
    <row r="5461" spans="1:1" x14ac:dyDescent="0.3">
      <c r="A5461" s="12"/>
    </row>
    <row r="5462" spans="1:1" x14ac:dyDescent="0.3">
      <c r="A5462" s="12"/>
    </row>
    <row r="5463" spans="1:1" x14ac:dyDescent="0.3">
      <c r="A5463" s="12"/>
    </row>
    <row r="5464" spans="1:1" x14ac:dyDescent="0.3">
      <c r="A5464" s="12"/>
    </row>
    <row r="5465" spans="1:1" x14ac:dyDescent="0.3">
      <c r="A5465" s="12"/>
    </row>
    <row r="5466" spans="1:1" x14ac:dyDescent="0.3">
      <c r="A5466" s="12"/>
    </row>
    <row r="5467" spans="1:1" x14ac:dyDescent="0.3">
      <c r="A5467" s="12"/>
    </row>
    <row r="5468" spans="1:1" x14ac:dyDescent="0.3">
      <c r="A5468" s="12"/>
    </row>
    <row r="5469" spans="1:1" x14ac:dyDescent="0.3">
      <c r="A5469" s="12"/>
    </row>
    <row r="5470" spans="1:1" x14ac:dyDescent="0.3">
      <c r="A5470" s="12"/>
    </row>
    <row r="5471" spans="1:1" x14ac:dyDescent="0.3">
      <c r="A5471" s="12"/>
    </row>
    <row r="5472" spans="1:1" x14ac:dyDescent="0.3">
      <c r="A5472" s="12"/>
    </row>
    <row r="5473" spans="1:1" x14ac:dyDescent="0.3">
      <c r="A5473" s="12"/>
    </row>
    <row r="5474" spans="1:1" x14ac:dyDescent="0.3">
      <c r="A5474" s="12"/>
    </row>
    <row r="5475" spans="1:1" x14ac:dyDescent="0.3">
      <c r="A5475" s="12"/>
    </row>
    <row r="5476" spans="1:1" x14ac:dyDescent="0.3">
      <c r="A5476" s="12"/>
    </row>
    <row r="5477" spans="1:1" x14ac:dyDescent="0.3">
      <c r="A5477" s="12"/>
    </row>
    <row r="5478" spans="1:1" x14ac:dyDescent="0.3">
      <c r="A5478" s="12"/>
    </row>
    <row r="5479" spans="1:1" x14ac:dyDescent="0.3">
      <c r="A5479" s="12"/>
    </row>
    <row r="5480" spans="1:1" x14ac:dyDescent="0.3">
      <c r="A5480" s="12"/>
    </row>
    <row r="5481" spans="1:1" x14ac:dyDescent="0.3">
      <c r="A5481" s="12"/>
    </row>
    <row r="5482" spans="1:1" x14ac:dyDescent="0.3">
      <c r="A5482" s="12"/>
    </row>
    <row r="5483" spans="1:1" x14ac:dyDescent="0.3">
      <c r="A5483" s="12"/>
    </row>
    <row r="5484" spans="1:1" x14ac:dyDescent="0.3">
      <c r="A5484" s="12"/>
    </row>
    <row r="5485" spans="1:1" x14ac:dyDescent="0.3">
      <c r="A5485" s="12"/>
    </row>
    <row r="5486" spans="1:1" x14ac:dyDescent="0.3">
      <c r="A5486" s="12"/>
    </row>
    <row r="5487" spans="1:1" x14ac:dyDescent="0.3">
      <c r="A5487" s="12"/>
    </row>
    <row r="5488" spans="1:1" x14ac:dyDescent="0.3">
      <c r="A5488" s="12"/>
    </row>
    <row r="5489" spans="1:1" x14ac:dyDescent="0.3">
      <c r="A5489" s="12"/>
    </row>
    <row r="5490" spans="1:1" x14ac:dyDescent="0.3">
      <c r="A5490" s="12"/>
    </row>
    <row r="5491" spans="1:1" x14ac:dyDescent="0.3">
      <c r="A5491" s="12"/>
    </row>
    <row r="5492" spans="1:1" x14ac:dyDescent="0.3">
      <c r="A5492" s="12"/>
    </row>
    <row r="5493" spans="1:1" x14ac:dyDescent="0.3">
      <c r="A5493" s="12"/>
    </row>
    <row r="5494" spans="1:1" x14ac:dyDescent="0.3">
      <c r="A5494" s="12"/>
    </row>
    <row r="5495" spans="1:1" x14ac:dyDescent="0.3">
      <c r="A5495" s="12"/>
    </row>
    <row r="5496" spans="1:1" x14ac:dyDescent="0.3">
      <c r="A5496" s="12"/>
    </row>
    <row r="5497" spans="1:1" x14ac:dyDescent="0.3">
      <c r="A5497" s="12"/>
    </row>
    <row r="5498" spans="1:1" x14ac:dyDescent="0.3">
      <c r="A5498" s="12"/>
    </row>
    <row r="5499" spans="1:1" x14ac:dyDescent="0.3">
      <c r="A5499" s="12"/>
    </row>
    <row r="5500" spans="1:1" x14ac:dyDescent="0.3">
      <c r="A5500" s="12"/>
    </row>
    <row r="5501" spans="1:1" x14ac:dyDescent="0.3">
      <c r="A5501" s="12"/>
    </row>
    <row r="5502" spans="1:1" x14ac:dyDescent="0.3">
      <c r="A5502" s="12"/>
    </row>
    <row r="5503" spans="1:1" x14ac:dyDescent="0.3">
      <c r="A5503" s="12"/>
    </row>
    <row r="5504" spans="1:1" x14ac:dyDescent="0.3">
      <c r="A5504" s="12"/>
    </row>
    <row r="5505" spans="1:1" x14ac:dyDescent="0.3">
      <c r="A5505" s="12"/>
    </row>
    <row r="5506" spans="1:1" x14ac:dyDescent="0.3">
      <c r="A5506" s="12"/>
    </row>
    <row r="5507" spans="1:1" x14ac:dyDescent="0.3">
      <c r="A5507" s="12"/>
    </row>
    <row r="5508" spans="1:1" x14ac:dyDescent="0.3">
      <c r="A5508" s="12"/>
    </row>
    <row r="5509" spans="1:1" x14ac:dyDescent="0.3">
      <c r="A5509" s="12"/>
    </row>
    <row r="5510" spans="1:1" x14ac:dyDescent="0.3">
      <c r="A5510" s="12"/>
    </row>
    <row r="5511" spans="1:1" x14ac:dyDescent="0.3">
      <c r="A5511" s="12"/>
    </row>
    <row r="5512" spans="1:1" x14ac:dyDescent="0.3">
      <c r="A5512" s="12"/>
    </row>
    <row r="5513" spans="1:1" x14ac:dyDescent="0.3">
      <c r="A5513" s="12"/>
    </row>
    <row r="5514" spans="1:1" x14ac:dyDescent="0.3">
      <c r="A5514" s="12"/>
    </row>
    <row r="5515" spans="1:1" x14ac:dyDescent="0.3">
      <c r="A5515" s="12"/>
    </row>
    <row r="5516" spans="1:1" x14ac:dyDescent="0.3">
      <c r="A5516" s="12"/>
    </row>
    <row r="5517" spans="1:1" x14ac:dyDescent="0.3">
      <c r="A5517" s="12"/>
    </row>
    <row r="5518" spans="1:1" x14ac:dyDescent="0.3">
      <c r="A5518" s="12"/>
    </row>
    <row r="5519" spans="1:1" x14ac:dyDescent="0.3">
      <c r="A5519" s="12"/>
    </row>
    <row r="5520" spans="1:1" x14ac:dyDescent="0.3">
      <c r="A5520" s="12"/>
    </row>
    <row r="5521" spans="1:1" x14ac:dyDescent="0.3">
      <c r="A5521" s="12"/>
    </row>
    <row r="5522" spans="1:1" x14ac:dyDescent="0.3">
      <c r="A5522" s="12"/>
    </row>
    <row r="5523" spans="1:1" x14ac:dyDescent="0.3">
      <c r="A5523" s="12"/>
    </row>
    <row r="5524" spans="1:1" x14ac:dyDescent="0.3">
      <c r="A5524" s="12"/>
    </row>
    <row r="5525" spans="1:1" x14ac:dyDescent="0.3">
      <c r="A5525" s="12"/>
    </row>
    <row r="5526" spans="1:1" x14ac:dyDescent="0.3">
      <c r="A5526" s="12"/>
    </row>
    <row r="5527" spans="1:1" x14ac:dyDescent="0.3">
      <c r="A5527" s="12"/>
    </row>
    <row r="5528" spans="1:1" x14ac:dyDescent="0.3">
      <c r="A5528" s="12"/>
    </row>
    <row r="5529" spans="1:1" x14ac:dyDescent="0.3">
      <c r="A5529" s="12"/>
    </row>
    <row r="5530" spans="1:1" x14ac:dyDescent="0.3">
      <c r="A5530" s="12"/>
    </row>
    <row r="5531" spans="1:1" x14ac:dyDescent="0.3">
      <c r="A5531" s="12"/>
    </row>
    <row r="5532" spans="1:1" x14ac:dyDescent="0.3">
      <c r="A5532" s="12"/>
    </row>
    <row r="5533" spans="1:1" x14ac:dyDescent="0.3">
      <c r="A5533" s="12"/>
    </row>
    <row r="5534" spans="1:1" x14ac:dyDescent="0.3">
      <c r="A5534" s="12"/>
    </row>
    <row r="5535" spans="1:1" x14ac:dyDescent="0.3">
      <c r="A5535" s="12"/>
    </row>
    <row r="5536" spans="1:1" x14ac:dyDescent="0.3">
      <c r="A5536" s="12"/>
    </row>
    <row r="5537" spans="1:1" x14ac:dyDescent="0.3">
      <c r="A5537" s="12"/>
    </row>
    <row r="5538" spans="1:1" x14ac:dyDescent="0.3">
      <c r="A5538" s="12"/>
    </row>
    <row r="5539" spans="1:1" x14ac:dyDescent="0.3">
      <c r="A5539" s="12"/>
    </row>
    <row r="5540" spans="1:1" x14ac:dyDescent="0.3">
      <c r="A5540" s="12"/>
    </row>
    <row r="5541" spans="1:1" x14ac:dyDescent="0.3">
      <c r="A5541" s="12"/>
    </row>
    <row r="5542" spans="1:1" x14ac:dyDescent="0.3">
      <c r="A5542" s="12"/>
    </row>
    <row r="5543" spans="1:1" x14ac:dyDescent="0.3">
      <c r="A5543" s="12"/>
    </row>
    <row r="5544" spans="1:1" x14ac:dyDescent="0.3">
      <c r="A5544" s="12"/>
    </row>
    <row r="5545" spans="1:1" x14ac:dyDescent="0.3">
      <c r="A5545" s="12"/>
    </row>
    <row r="5546" spans="1:1" x14ac:dyDescent="0.3">
      <c r="A5546" s="12"/>
    </row>
    <row r="5547" spans="1:1" x14ac:dyDescent="0.3">
      <c r="A5547" s="12"/>
    </row>
    <row r="5548" spans="1:1" x14ac:dyDescent="0.3">
      <c r="A5548" s="12"/>
    </row>
    <row r="5549" spans="1:1" x14ac:dyDescent="0.3">
      <c r="A5549" s="12"/>
    </row>
    <row r="5550" spans="1:1" x14ac:dyDescent="0.3">
      <c r="A5550" s="12"/>
    </row>
    <row r="5551" spans="1:1" x14ac:dyDescent="0.3">
      <c r="A5551" s="12"/>
    </row>
    <row r="5552" spans="1:1" x14ac:dyDescent="0.3">
      <c r="A5552" s="12"/>
    </row>
    <row r="5553" spans="1:1" x14ac:dyDescent="0.3">
      <c r="A5553" s="12"/>
    </row>
    <row r="5554" spans="1:1" x14ac:dyDescent="0.3">
      <c r="A5554" s="12"/>
    </row>
    <row r="5555" spans="1:1" x14ac:dyDescent="0.3">
      <c r="A5555" s="12"/>
    </row>
    <row r="5556" spans="1:1" x14ac:dyDescent="0.3">
      <c r="A5556" s="12"/>
    </row>
    <row r="5557" spans="1:1" x14ac:dyDescent="0.3">
      <c r="A5557" s="12"/>
    </row>
    <row r="5558" spans="1:1" x14ac:dyDescent="0.3">
      <c r="A5558" s="12"/>
    </row>
    <row r="5559" spans="1:1" x14ac:dyDescent="0.3">
      <c r="A5559" s="12"/>
    </row>
    <row r="5560" spans="1:1" x14ac:dyDescent="0.3">
      <c r="A5560" s="12"/>
    </row>
    <row r="5561" spans="1:1" x14ac:dyDescent="0.3">
      <c r="A5561" s="12"/>
    </row>
    <row r="5562" spans="1:1" x14ac:dyDescent="0.3">
      <c r="A5562" s="12"/>
    </row>
    <row r="5563" spans="1:1" x14ac:dyDescent="0.3">
      <c r="A5563" s="12"/>
    </row>
    <row r="5564" spans="1:1" x14ac:dyDescent="0.3">
      <c r="A5564" s="12"/>
    </row>
    <row r="5565" spans="1:1" x14ac:dyDescent="0.3">
      <c r="A5565" s="12"/>
    </row>
    <row r="5566" spans="1:1" x14ac:dyDescent="0.3">
      <c r="A5566" s="12"/>
    </row>
    <row r="5567" spans="1:1" x14ac:dyDescent="0.3">
      <c r="A5567" s="12"/>
    </row>
    <row r="5568" spans="1:1" x14ac:dyDescent="0.3">
      <c r="A5568" s="12"/>
    </row>
    <row r="5569" spans="1:1" x14ac:dyDescent="0.3">
      <c r="A5569" s="12"/>
    </row>
    <row r="5570" spans="1:1" x14ac:dyDescent="0.3">
      <c r="A5570" s="12"/>
    </row>
    <row r="5571" spans="1:1" x14ac:dyDescent="0.3">
      <c r="A5571" s="12"/>
    </row>
    <row r="5572" spans="1:1" x14ac:dyDescent="0.3">
      <c r="A5572" s="12"/>
    </row>
    <row r="5573" spans="1:1" x14ac:dyDescent="0.3">
      <c r="A5573" s="12"/>
    </row>
    <row r="5574" spans="1:1" x14ac:dyDescent="0.3">
      <c r="A5574" s="12"/>
    </row>
    <row r="5575" spans="1:1" x14ac:dyDescent="0.3">
      <c r="A5575" s="12"/>
    </row>
    <row r="5576" spans="1:1" x14ac:dyDescent="0.3">
      <c r="A5576" s="12"/>
    </row>
    <row r="5577" spans="1:1" x14ac:dyDescent="0.3">
      <c r="A5577" s="12"/>
    </row>
    <row r="5578" spans="1:1" x14ac:dyDescent="0.3">
      <c r="A5578" s="12"/>
    </row>
    <row r="5579" spans="1:1" x14ac:dyDescent="0.3">
      <c r="A5579" s="12"/>
    </row>
    <row r="5580" spans="1:1" x14ac:dyDescent="0.3">
      <c r="A5580" s="12"/>
    </row>
    <row r="5581" spans="1:1" x14ac:dyDescent="0.3">
      <c r="A5581" s="12"/>
    </row>
    <row r="5582" spans="1:1" x14ac:dyDescent="0.3">
      <c r="A5582" s="12"/>
    </row>
    <row r="5583" spans="1:1" x14ac:dyDescent="0.3">
      <c r="A5583" s="12"/>
    </row>
    <row r="5584" spans="1:1" x14ac:dyDescent="0.3">
      <c r="A5584" s="12"/>
    </row>
    <row r="5585" spans="1:1" x14ac:dyDescent="0.3">
      <c r="A5585" s="12"/>
    </row>
    <row r="5586" spans="1:1" x14ac:dyDescent="0.3">
      <c r="A5586" s="12"/>
    </row>
    <row r="5587" spans="1:1" x14ac:dyDescent="0.3">
      <c r="A5587" s="12"/>
    </row>
    <row r="5588" spans="1:1" x14ac:dyDescent="0.3">
      <c r="A5588" s="12"/>
    </row>
    <row r="5589" spans="1:1" x14ac:dyDescent="0.3">
      <c r="A5589" s="12"/>
    </row>
    <row r="5590" spans="1:1" x14ac:dyDescent="0.3">
      <c r="A5590" s="12"/>
    </row>
    <row r="5591" spans="1:1" x14ac:dyDescent="0.3">
      <c r="A5591" s="12"/>
    </row>
    <row r="5592" spans="1:1" x14ac:dyDescent="0.3">
      <c r="A5592" s="12"/>
    </row>
    <row r="5593" spans="1:1" x14ac:dyDescent="0.3">
      <c r="A5593" s="12"/>
    </row>
    <row r="5594" spans="1:1" x14ac:dyDescent="0.3">
      <c r="A5594" s="12"/>
    </row>
    <row r="5595" spans="1:1" x14ac:dyDescent="0.3">
      <c r="A5595" s="12"/>
    </row>
    <row r="5596" spans="1:1" x14ac:dyDescent="0.3">
      <c r="A5596" s="12"/>
    </row>
    <row r="5597" spans="1:1" x14ac:dyDescent="0.3">
      <c r="A5597" s="12"/>
    </row>
    <row r="5598" spans="1:1" x14ac:dyDescent="0.3">
      <c r="A5598" s="12"/>
    </row>
    <row r="5599" spans="1:1" x14ac:dyDescent="0.3">
      <c r="A5599" s="12"/>
    </row>
    <row r="5600" spans="1:1" x14ac:dyDescent="0.3">
      <c r="A5600" s="12"/>
    </row>
    <row r="5601" spans="1:1" x14ac:dyDescent="0.3">
      <c r="A5601" s="12"/>
    </row>
    <row r="5602" spans="1:1" x14ac:dyDescent="0.3">
      <c r="A5602" s="12"/>
    </row>
    <row r="5603" spans="1:1" x14ac:dyDescent="0.3">
      <c r="A5603" s="12"/>
    </row>
    <row r="5604" spans="1:1" x14ac:dyDescent="0.3">
      <c r="A5604" s="12"/>
    </row>
    <row r="5605" spans="1:1" x14ac:dyDescent="0.3">
      <c r="A5605" s="12"/>
    </row>
    <row r="5606" spans="1:1" x14ac:dyDescent="0.3">
      <c r="A5606" s="12"/>
    </row>
    <row r="5607" spans="1:1" x14ac:dyDescent="0.3">
      <c r="A5607" s="12"/>
    </row>
    <row r="5608" spans="1:1" x14ac:dyDescent="0.3">
      <c r="A5608" s="12"/>
    </row>
    <row r="5609" spans="1:1" x14ac:dyDescent="0.3">
      <c r="A5609" s="12"/>
    </row>
    <row r="5610" spans="1:1" x14ac:dyDescent="0.3">
      <c r="A5610" s="12"/>
    </row>
    <row r="5611" spans="1:1" x14ac:dyDescent="0.3">
      <c r="A5611" s="12"/>
    </row>
    <row r="5612" spans="1:1" x14ac:dyDescent="0.3">
      <c r="A5612" s="12"/>
    </row>
    <row r="5613" spans="1:1" x14ac:dyDescent="0.3">
      <c r="A5613" s="12"/>
    </row>
    <row r="5614" spans="1:1" x14ac:dyDescent="0.3">
      <c r="A5614" s="12"/>
    </row>
    <row r="5615" spans="1:1" x14ac:dyDescent="0.3">
      <c r="A5615" s="12"/>
    </row>
    <row r="5616" spans="1:1" x14ac:dyDescent="0.3">
      <c r="A5616" s="12"/>
    </row>
    <row r="5617" spans="1:1" x14ac:dyDescent="0.3">
      <c r="A5617" s="12"/>
    </row>
    <row r="5618" spans="1:1" x14ac:dyDescent="0.3">
      <c r="A5618" s="12"/>
    </row>
    <row r="5619" spans="1:1" x14ac:dyDescent="0.3">
      <c r="A5619" s="12"/>
    </row>
    <row r="5620" spans="1:1" x14ac:dyDescent="0.3">
      <c r="A5620" s="12"/>
    </row>
    <row r="5621" spans="1:1" x14ac:dyDescent="0.3">
      <c r="A5621" s="12"/>
    </row>
    <row r="5622" spans="1:1" x14ac:dyDescent="0.3">
      <c r="A5622" s="12"/>
    </row>
    <row r="5623" spans="1:1" x14ac:dyDescent="0.3">
      <c r="A5623" s="12"/>
    </row>
    <row r="5624" spans="1:1" x14ac:dyDescent="0.3">
      <c r="A5624" s="12"/>
    </row>
    <row r="5625" spans="1:1" x14ac:dyDescent="0.3">
      <c r="A5625" s="12"/>
    </row>
    <row r="5626" spans="1:1" x14ac:dyDescent="0.3">
      <c r="A5626" s="12"/>
    </row>
    <row r="5627" spans="1:1" x14ac:dyDescent="0.3">
      <c r="A5627" s="12"/>
    </row>
    <row r="5628" spans="1:1" x14ac:dyDescent="0.3">
      <c r="A5628" s="12"/>
    </row>
    <row r="5629" spans="1:1" x14ac:dyDescent="0.3">
      <c r="A5629" s="12"/>
    </row>
    <row r="5630" spans="1:1" x14ac:dyDescent="0.3">
      <c r="A5630" s="12"/>
    </row>
    <row r="5631" spans="1:1" x14ac:dyDescent="0.3">
      <c r="A5631" s="12"/>
    </row>
    <row r="5632" spans="1:1" x14ac:dyDescent="0.3">
      <c r="A5632" s="12"/>
    </row>
    <row r="5633" spans="1:1" x14ac:dyDescent="0.3">
      <c r="A5633" s="12"/>
    </row>
    <row r="5634" spans="1:1" x14ac:dyDescent="0.3">
      <c r="A5634" s="12"/>
    </row>
    <row r="5635" spans="1:1" x14ac:dyDescent="0.3">
      <c r="A5635" s="12"/>
    </row>
    <row r="5636" spans="1:1" x14ac:dyDescent="0.3">
      <c r="A5636" s="12"/>
    </row>
    <row r="5637" spans="1:1" x14ac:dyDescent="0.3">
      <c r="A5637" s="12"/>
    </row>
    <row r="5638" spans="1:1" x14ac:dyDescent="0.3">
      <c r="A5638" s="12"/>
    </row>
    <row r="5639" spans="1:1" x14ac:dyDescent="0.3">
      <c r="A5639" s="12"/>
    </row>
    <row r="5640" spans="1:1" x14ac:dyDescent="0.3">
      <c r="A5640" s="12"/>
    </row>
    <row r="5641" spans="1:1" x14ac:dyDescent="0.3">
      <c r="A5641" s="12"/>
    </row>
    <row r="5642" spans="1:1" x14ac:dyDescent="0.3">
      <c r="A5642" s="12"/>
    </row>
    <row r="5643" spans="1:1" x14ac:dyDescent="0.3">
      <c r="A5643" s="12"/>
    </row>
    <row r="5644" spans="1:1" x14ac:dyDescent="0.3">
      <c r="A5644" s="12"/>
    </row>
    <row r="5645" spans="1:1" x14ac:dyDescent="0.3">
      <c r="A5645" s="12"/>
    </row>
    <row r="5646" spans="1:1" x14ac:dyDescent="0.3">
      <c r="A5646" s="12"/>
    </row>
    <row r="5647" spans="1:1" x14ac:dyDescent="0.3">
      <c r="A5647" s="12"/>
    </row>
    <row r="5648" spans="1:1" x14ac:dyDescent="0.3">
      <c r="A5648" s="12"/>
    </row>
    <row r="5649" spans="1:1" x14ac:dyDescent="0.3">
      <c r="A5649" s="12"/>
    </row>
    <row r="5650" spans="1:1" x14ac:dyDescent="0.3">
      <c r="A5650" s="12"/>
    </row>
    <row r="5651" spans="1:1" x14ac:dyDescent="0.3">
      <c r="A5651" s="12"/>
    </row>
    <row r="5652" spans="1:1" x14ac:dyDescent="0.3">
      <c r="A5652" s="12"/>
    </row>
    <row r="5653" spans="1:1" x14ac:dyDescent="0.3">
      <c r="A5653" s="12"/>
    </row>
    <row r="5654" spans="1:1" x14ac:dyDescent="0.3">
      <c r="A5654" s="12"/>
    </row>
    <row r="5655" spans="1:1" x14ac:dyDescent="0.3">
      <c r="A5655" s="12"/>
    </row>
    <row r="5656" spans="1:1" x14ac:dyDescent="0.3">
      <c r="A5656" s="12"/>
    </row>
    <row r="5657" spans="1:1" x14ac:dyDescent="0.3">
      <c r="A5657" s="12"/>
    </row>
    <row r="5658" spans="1:1" x14ac:dyDescent="0.3">
      <c r="A5658" s="12"/>
    </row>
    <row r="5659" spans="1:1" x14ac:dyDescent="0.3">
      <c r="A5659" s="12"/>
    </row>
    <row r="5660" spans="1:1" x14ac:dyDescent="0.3">
      <c r="A5660" s="12"/>
    </row>
    <row r="5661" spans="1:1" x14ac:dyDescent="0.3">
      <c r="A5661" s="12"/>
    </row>
    <row r="5662" spans="1:1" x14ac:dyDescent="0.3">
      <c r="A5662" s="12"/>
    </row>
    <row r="5663" spans="1:1" x14ac:dyDescent="0.3">
      <c r="A5663" s="12"/>
    </row>
    <row r="5664" spans="1:1" x14ac:dyDescent="0.3">
      <c r="A5664" s="12"/>
    </row>
    <row r="5665" spans="1:1" x14ac:dyDescent="0.3">
      <c r="A5665" s="12"/>
    </row>
    <row r="5666" spans="1:1" x14ac:dyDescent="0.3">
      <c r="A5666" s="12"/>
    </row>
    <row r="5667" spans="1:1" x14ac:dyDescent="0.3">
      <c r="A5667" s="12"/>
    </row>
    <row r="5668" spans="1:1" x14ac:dyDescent="0.3">
      <c r="A5668" s="12"/>
    </row>
    <row r="5669" spans="1:1" x14ac:dyDescent="0.3">
      <c r="A5669" s="12"/>
    </row>
    <row r="5670" spans="1:1" x14ac:dyDescent="0.3">
      <c r="A5670" s="12"/>
    </row>
    <row r="5671" spans="1:1" x14ac:dyDescent="0.3">
      <c r="A5671" s="12"/>
    </row>
    <row r="5672" spans="1:1" x14ac:dyDescent="0.3">
      <c r="A5672" s="12"/>
    </row>
    <row r="5673" spans="1:1" x14ac:dyDescent="0.3">
      <c r="A5673" s="12"/>
    </row>
    <row r="5674" spans="1:1" x14ac:dyDescent="0.3">
      <c r="A5674" s="12"/>
    </row>
    <row r="5675" spans="1:1" x14ac:dyDescent="0.3">
      <c r="A5675" s="12"/>
    </row>
    <row r="5676" spans="1:1" x14ac:dyDescent="0.3">
      <c r="A5676" s="12"/>
    </row>
    <row r="5677" spans="1:1" x14ac:dyDescent="0.3">
      <c r="A5677" s="12"/>
    </row>
    <row r="5678" spans="1:1" x14ac:dyDescent="0.3">
      <c r="A5678" s="12"/>
    </row>
    <row r="5679" spans="1:1" x14ac:dyDescent="0.3">
      <c r="A5679" s="12"/>
    </row>
    <row r="5680" spans="1:1" x14ac:dyDescent="0.3">
      <c r="A5680" s="12"/>
    </row>
    <row r="5681" spans="1:1" x14ac:dyDescent="0.3">
      <c r="A5681" s="12"/>
    </row>
    <row r="5682" spans="1:1" x14ac:dyDescent="0.3">
      <c r="A5682" s="12"/>
    </row>
    <row r="5683" spans="1:1" x14ac:dyDescent="0.3">
      <c r="A5683" s="12"/>
    </row>
    <row r="5684" spans="1:1" x14ac:dyDescent="0.3">
      <c r="A5684" s="12"/>
    </row>
    <row r="5685" spans="1:1" x14ac:dyDescent="0.3">
      <c r="A5685" s="12"/>
    </row>
    <row r="5686" spans="1:1" x14ac:dyDescent="0.3">
      <c r="A5686" s="12"/>
    </row>
    <row r="5687" spans="1:1" x14ac:dyDescent="0.3">
      <c r="A5687" s="12"/>
    </row>
    <row r="5688" spans="1:1" x14ac:dyDescent="0.3">
      <c r="A5688" s="12"/>
    </row>
    <row r="5689" spans="1:1" x14ac:dyDescent="0.3">
      <c r="A5689" s="12"/>
    </row>
    <row r="5690" spans="1:1" x14ac:dyDescent="0.3">
      <c r="A5690" s="12"/>
    </row>
    <row r="5691" spans="1:1" x14ac:dyDescent="0.3">
      <c r="A5691" s="12"/>
    </row>
    <row r="5692" spans="1:1" x14ac:dyDescent="0.3">
      <c r="A5692" s="12"/>
    </row>
    <row r="5693" spans="1:1" x14ac:dyDescent="0.3">
      <c r="A5693" s="12"/>
    </row>
    <row r="5694" spans="1:1" x14ac:dyDescent="0.3">
      <c r="A5694" s="12"/>
    </row>
    <row r="5695" spans="1:1" x14ac:dyDescent="0.3">
      <c r="A5695" s="12"/>
    </row>
    <row r="5696" spans="1:1" x14ac:dyDescent="0.3">
      <c r="A5696" s="12"/>
    </row>
    <row r="5697" spans="1:1" x14ac:dyDescent="0.3">
      <c r="A5697" s="12"/>
    </row>
    <row r="5698" spans="1:1" x14ac:dyDescent="0.3">
      <c r="A5698" s="12"/>
    </row>
    <row r="5699" spans="1:1" x14ac:dyDescent="0.3">
      <c r="A5699" s="12"/>
    </row>
    <row r="5700" spans="1:1" x14ac:dyDescent="0.3">
      <c r="A5700" s="12"/>
    </row>
    <row r="5701" spans="1:1" x14ac:dyDescent="0.3">
      <c r="A5701" s="12"/>
    </row>
    <row r="5702" spans="1:1" x14ac:dyDescent="0.3">
      <c r="A5702" s="12"/>
    </row>
    <row r="5703" spans="1:1" x14ac:dyDescent="0.3">
      <c r="A5703" s="12"/>
    </row>
    <row r="5704" spans="1:1" x14ac:dyDescent="0.3">
      <c r="A5704" s="12"/>
    </row>
    <row r="5705" spans="1:1" x14ac:dyDescent="0.3">
      <c r="A5705" s="12"/>
    </row>
    <row r="5706" spans="1:1" x14ac:dyDescent="0.3">
      <c r="A5706" s="12"/>
    </row>
    <row r="5707" spans="1:1" x14ac:dyDescent="0.3">
      <c r="A5707" s="12"/>
    </row>
    <row r="5708" spans="1:1" x14ac:dyDescent="0.3">
      <c r="A5708" s="12"/>
    </row>
    <row r="5709" spans="1:1" x14ac:dyDescent="0.3">
      <c r="A5709" s="12"/>
    </row>
    <row r="5710" spans="1:1" x14ac:dyDescent="0.3">
      <c r="A5710" s="12"/>
    </row>
    <row r="5711" spans="1:1" x14ac:dyDescent="0.3">
      <c r="A5711" s="12"/>
    </row>
    <row r="5712" spans="1:1" x14ac:dyDescent="0.3">
      <c r="A5712" s="12"/>
    </row>
    <row r="5713" spans="1:1" x14ac:dyDescent="0.3">
      <c r="A5713" s="12"/>
    </row>
    <row r="5714" spans="1:1" x14ac:dyDescent="0.3">
      <c r="A5714" s="12"/>
    </row>
    <row r="5715" spans="1:1" x14ac:dyDescent="0.3">
      <c r="A5715" s="12"/>
    </row>
    <row r="5716" spans="1:1" x14ac:dyDescent="0.3">
      <c r="A5716" s="12"/>
    </row>
    <row r="5717" spans="1:1" x14ac:dyDescent="0.3">
      <c r="A5717" s="12"/>
    </row>
    <row r="5718" spans="1:1" x14ac:dyDescent="0.3">
      <c r="A5718" s="12"/>
    </row>
    <row r="5719" spans="1:1" x14ac:dyDescent="0.3">
      <c r="A5719" s="12"/>
    </row>
    <row r="5720" spans="1:1" x14ac:dyDescent="0.3">
      <c r="A5720" s="12"/>
    </row>
    <row r="5721" spans="1:1" x14ac:dyDescent="0.3">
      <c r="A5721" s="12"/>
    </row>
    <row r="5722" spans="1:1" x14ac:dyDescent="0.3">
      <c r="A5722" s="12"/>
    </row>
    <row r="5723" spans="1:1" x14ac:dyDescent="0.3">
      <c r="A5723" s="12"/>
    </row>
    <row r="5724" spans="1:1" x14ac:dyDescent="0.3">
      <c r="A5724" s="12"/>
    </row>
    <row r="5725" spans="1:1" x14ac:dyDescent="0.3">
      <c r="A5725" s="12"/>
    </row>
    <row r="5726" spans="1:1" x14ac:dyDescent="0.3">
      <c r="A5726" s="12"/>
    </row>
    <row r="5727" spans="1:1" x14ac:dyDescent="0.3">
      <c r="A5727" s="12"/>
    </row>
    <row r="5728" spans="1:1" x14ac:dyDescent="0.3">
      <c r="A5728" s="12"/>
    </row>
    <row r="5729" spans="1:1" x14ac:dyDescent="0.3">
      <c r="A5729" s="12"/>
    </row>
    <row r="5730" spans="1:1" x14ac:dyDescent="0.3">
      <c r="A5730" s="12"/>
    </row>
    <row r="5731" spans="1:1" x14ac:dyDescent="0.3">
      <c r="A5731" s="12"/>
    </row>
    <row r="5732" spans="1:1" x14ac:dyDescent="0.3">
      <c r="A5732" s="12"/>
    </row>
    <row r="5733" spans="1:1" x14ac:dyDescent="0.3">
      <c r="A5733" s="12"/>
    </row>
    <row r="5734" spans="1:1" x14ac:dyDescent="0.3">
      <c r="A5734" s="12"/>
    </row>
    <row r="5735" spans="1:1" x14ac:dyDescent="0.3">
      <c r="A5735" s="12"/>
    </row>
    <row r="5736" spans="1:1" x14ac:dyDescent="0.3">
      <c r="A5736" s="12"/>
    </row>
    <row r="5737" spans="1:1" x14ac:dyDescent="0.3">
      <c r="A5737" s="12"/>
    </row>
    <row r="5738" spans="1:1" x14ac:dyDescent="0.3">
      <c r="A5738" s="12"/>
    </row>
    <row r="5739" spans="1:1" x14ac:dyDescent="0.3">
      <c r="A5739" s="12"/>
    </row>
    <row r="5740" spans="1:1" x14ac:dyDescent="0.3">
      <c r="A5740" s="12"/>
    </row>
    <row r="5741" spans="1:1" x14ac:dyDescent="0.3">
      <c r="A5741" s="12"/>
    </row>
    <row r="5742" spans="1:1" x14ac:dyDescent="0.3">
      <c r="A5742" s="12"/>
    </row>
    <row r="5743" spans="1:1" x14ac:dyDescent="0.3">
      <c r="A5743" s="12"/>
    </row>
    <row r="5744" spans="1:1" x14ac:dyDescent="0.3">
      <c r="A5744" s="12"/>
    </row>
    <row r="5745" spans="1:1" x14ac:dyDescent="0.3">
      <c r="A5745" s="12"/>
    </row>
    <row r="5746" spans="1:1" x14ac:dyDescent="0.3">
      <c r="A5746" s="12"/>
    </row>
    <row r="5747" spans="1:1" x14ac:dyDescent="0.3">
      <c r="A5747" s="12"/>
    </row>
    <row r="5748" spans="1:1" x14ac:dyDescent="0.3">
      <c r="A5748" s="12"/>
    </row>
    <row r="5749" spans="1:1" x14ac:dyDescent="0.3">
      <c r="A5749" s="12"/>
    </row>
    <row r="5750" spans="1:1" x14ac:dyDescent="0.3">
      <c r="A5750" s="12"/>
    </row>
    <row r="5751" spans="1:1" x14ac:dyDescent="0.3">
      <c r="A5751" s="12"/>
    </row>
    <row r="5752" spans="1:1" x14ac:dyDescent="0.3">
      <c r="A5752" s="12"/>
    </row>
    <row r="5753" spans="1:1" x14ac:dyDescent="0.3">
      <c r="A5753" s="12"/>
    </row>
    <row r="5754" spans="1:1" x14ac:dyDescent="0.3">
      <c r="A5754" s="12"/>
    </row>
    <row r="5755" spans="1:1" x14ac:dyDescent="0.3">
      <c r="A5755" s="12"/>
    </row>
    <row r="5756" spans="1:1" x14ac:dyDescent="0.3">
      <c r="A5756" s="12"/>
    </row>
    <row r="5757" spans="1:1" x14ac:dyDescent="0.3">
      <c r="A5757" s="12"/>
    </row>
    <row r="5758" spans="1:1" x14ac:dyDescent="0.3">
      <c r="A5758" s="12"/>
    </row>
    <row r="5759" spans="1:1" x14ac:dyDescent="0.3">
      <c r="A5759" s="12"/>
    </row>
    <row r="5760" spans="1:1" x14ac:dyDescent="0.3">
      <c r="A5760" s="12"/>
    </row>
    <row r="5761" spans="1:1" x14ac:dyDescent="0.3">
      <c r="A5761" s="12"/>
    </row>
    <row r="5762" spans="1:1" x14ac:dyDescent="0.3">
      <c r="A5762" s="12"/>
    </row>
    <row r="5763" spans="1:1" x14ac:dyDescent="0.3">
      <c r="A5763" s="12"/>
    </row>
    <row r="5764" spans="1:1" x14ac:dyDescent="0.3">
      <c r="A5764" s="12"/>
    </row>
    <row r="5765" spans="1:1" x14ac:dyDescent="0.3">
      <c r="A5765" s="12"/>
    </row>
    <row r="5766" spans="1:1" x14ac:dyDescent="0.3">
      <c r="A5766" s="12"/>
    </row>
    <row r="5767" spans="1:1" x14ac:dyDescent="0.3">
      <c r="A5767" s="12"/>
    </row>
    <row r="5768" spans="1:1" x14ac:dyDescent="0.3">
      <c r="A5768" s="12"/>
    </row>
    <row r="5769" spans="1:1" x14ac:dyDescent="0.3">
      <c r="A5769" s="12"/>
    </row>
    <row r="5770" spans="1:1" x14ac:dyDescent="0.3">
      <c r="A5770" s="12"/>
    </row>
    <row r="5771" spans="1:1" x14ac:dyDescent="0.3">
      <c r="A5771" s="12"/>
    </row>
    <row r="5772" spans="1:1" x14ac:dyDescent="0.3">
      <c r="A5772" s="12"/>
    </row>
    <row r="5773" spans="1:1" x14ac:dyDescent="0.3">
      <c r="A5773" s="12"/>
    </row>
    <row r="5774" spans="1:1" x14ac:dyDescent="0.3">
      <c r="A5774" s="12"/>
    </row>
    <row r="5775" spans="1:1" x14ac:dyDescent="0.3">
      <c r="A5775" s="12"/>
    </row>
    <row r="5776" spans="1:1" x14ac:dyDescent="0.3">
      <c r="A5776" s="12"/>
    </row>
    <row r="5777" spans="1:1" x14ac:dyDescent="0.3">
      <c r="A5777" s="12"/>
    </row>
    <row r="5778" spans="1:1" x14ac:dyDescent="0.3">
      <c r="A5778" s="12"/>
    </row>
    <row r="5779" spans="1:1" x14ac:dyDescent="0.3">
      <c r="A5779" s="12"/>
    </row>
    <row r="5780" spans="1:1" x14ac:dyDescent="0.3">
      <c r="A5780" s="12"/>
    </row>
    <row r="5781" spans="1:1" x14ac:dyDescent="0.3">
      <c r="A5781" s="12"/>
    </row>
    <row r="5782" spans="1:1" x14ac:dyDescent="0.3">
      <c r="A5782" s="12"/>
    </row>
    <row r="5783" spans="1:1" x14ac:dyDescent="0.3">
      <c r="A5783" s="12"/>
    </row>
    <row r="5784" spans="1:1" x14ac:dyDescent="0.3">
      <c r="A5784" s="12"/>
    </row>
    <row r="5785" spans="1:1" x14ac:dyDescent="0.3">
      <c r="A5785" s="12"/>
    </row>
    <row r="5786" spans="1:1" x14ac:dyDescent="0.3">
      <c r="A5786" s="12"/>
    </row>
    <row r="5787" spans="1:1" x14ac:dyDescent="0.3">
      <c r="A5787" s="12"/>
    </row>
    <row r="5788" spans="1:1" x14ac:dyDescent="0.3">
      <c r="A5788" s="12"/>
    </row>
    <row r="5789" spans="1:1" x14ac:dyDescent="0.3">
      <c r="A5789" s="12"/>
    </row>
    <row r="5790" spans="1:1" x14ac:dyDescent="0.3">
      <c r="A5790" s="12"/>
    </row>
    <row r="5791" spans="1:1" x14ac:dyDescent="0.3">
      <c r="A5791" s="12"/>
    </row>
    <row r="5792" spans="1:1" x14ac:dyDescent="0.3">
      <c r="A5792" s="12"/>
    </row>
    <row r="5793" spans="1:1" x14ac:dyDescent="0.3">
      <c r="A5793" s="12"/>
    </row>
    <row r="5794" spans="1:1" x14ac:dyDescent="0.3">
      <c r="A5794" s="12"/>
    </row>
    <row r="5795" spans="1:1" x14ac:dyDescent="0.3">
      <c r="A5795" s="12"/>
    </row>
    <row r="5796" spans="1:1" x14ac:dyDescent="0.3">
      <c r="A5796" s="12"/>
    </row>
    <row r="5797" spans="1:1" x14ac:dyDescent="0.3">
      <c r="A5797" s="12"/>
    </row>
    <row r="5798" spans="1:1" x14ac:dyDescent="0.3">
      <c r="A5798" s="12"/>
    </row>
    <row r="5799" spans="1:1" x14ac:dyDescent="0.3">
      <c r="A5799" s="12"/>
    </row>
    <row r="5800" spans="1:1" x14ac:dyDescent="0.3">
      <c r="A5800" s="12"/>
    </row>
    <row r="5801" spans="1:1" x14ac:dyDescent="0.3">
      <c r="A5801" s="12"/>
    </row>
    <row r="5802" spans="1:1" x14ac:dyDescent="0.3">
      <c r="A5802" s="12"/>
    </row>
    <row r="5803" spans="1:1" x14ac:dyDescent="0.3">
      <c r="A5803" s="12"/>
    </row>
    <row r="5804" spans="1:1" x14ac:dyDescent="0.3">
      <c r="A5804" s="12"/>
    </row>
    <row r="5805" spans="1:1" x14ac:dyDescent="0.3">
      <c r="A5805" s="12"/>
    </row>
    <row r="5806" spans="1:1" x14ac:dyDescent="0.3">
      <c r="A5806" s="12"/>
    </row>
    <row r="5807" spans="1:1" x14ac:dyDescent="0.3">
      <c r="A5807" s="12"/>
    </row>
    <row r="5808" spans="1:1" x14ac:dyDescent="0.3">
      <c r="A5808" s="12"/>
    </row>
    <row r="5809" spans="1:1" x14ac:dyDescent="0.3">
      <c r="A5809" s="12"/>
    </row>
    <row r="5810" spans="1:1" x14ac:dyDescent="0.3">
      <c r="A5810" s="12"/>
    </row>
    <row r="5811" spans="1:1" x14ac:dyDescent="0.3">
      <c r="A5811" s="12"/>
    </row>
    <row r="5812" spans="1:1" x14ac:dyDescent="0.3">
      <c r="A5812" s="12"/>
    </row>
    <row r="5813" spans="1:1" x14ac:dyDescent="0.3">
      <c r="A5813" s="12"/>
    </row>
    <row r="5814" spans="1:1" x14ac:dyDescent="0.3">
      <c r="A5814" s="12"/>
    </row>
    <row r="5815" spans="1:1" x14ac:dyDescent="0.3">
      <c r="A5815" s="12"/>
    </row>
    <row r="5816" spans="1:1" x14ac:dyDescent="0.3">
      <c r="A5816" s="12"/>
    </row>
    <row r="5817" spans="1:1" x14ac:dyDescent="0.3">
      <c r="A5817" s="12"/>
    </row>
    <row r="5818" spans="1:1" x14ac:dyDescent="0.3">
      <c r="A5818" s="12"/>
    </row>
    <row r="5819" spans="1:1" x14ac:dyDescent="0.3">
      <c r="A5819" s="12"/>
    </row>
    <row r="5820" spans="1:1" x14ac:dyDescent="0.3">
      <c r="A5820" s="12"/>
    </row>
    <row r="5821" spans="1:1" x14ac:dyDescent="0.3">
      <c r="A5821" s="12"/>
    </row>
    <row r="5822" spans="1:1" x14ac:dyDescent="0.3">
      <c r="A5822" s="12"/>
    </row>
    <row r="5823" spans="1:1" x14ac:dyDescent="0.3">
      <c r="A5823" s="12"/>
    </row>
    <row r="5824" spans="1:1" x14ac:dyDescent="0.3">
      <c r="A5824" s="12"/>
    </row>
    <row r="5825" spans="1:1" x14ac:dyDescent="0.3">
      <c r="A5825" s="12"/>
    </row>
    <row r="5826" spans="1:1" x14ac:dyDescent="0.3">
      <c r="A5826" s="12"/>
    </row>
    <row r="5827" spans="1:1" x14ac:dyDescent="0.3">
      <c r="A5827" s="12"/>
    </row>
    <row r="5828" spans="1:1" x14ac:dyDescent="0.3">
      <c r="A5828" s="12"/>
    </row>
    <row r="5829" spans="1:1" x14ac:dyDescent="0.3">
      <c r="A5829" s="12"/>
    </row>
    <row r="5830" spans="1:1" x14ac:dyDescent="0.3">
      <c r="A5830" s="12"/>
    </row>
    <row r="5831" spans="1:1" x14ac:dyDescent="0.3">
      <c r="A5831" s="12"/>
    </row>
    <row r="5832" spans="1:1" x14ac:dyDescent="0.3">
      <c r="A5832" s="12"/>
    </row>
    <row r="5833" spans="1:1" x14ac:dyDescent="0.3">
      <c r="A5833" s="12"/>
    </row>
    <row r="5834" spans="1:1" x14ac:dyDescent="0.3">
      <c r="A5834" s="12"/>
    </row>
    <row r="5835" spans="1:1" x14ac:dyDescent="0.3">
      <c r="A5835" s="12"/>
    </row>
    <row r="5836" spans="1:1" x14ac:dyDescent="0.3">
      <c r="A5836" s="12"/>
    </row>
    <row r="5837" spans="1:1" x14ac:dyDescent="0.3">
      <c r="A5837" s="12"/>
    </row>
    <row r="5838" spans="1:1" x14ac:dyDescent="0.3">
      <c r="A5838" s="12"/>
    </row>
    <row r="5839" spans="1:1" x14ac:dyDescent="0.3">
      <c r="A5839" s="12"/>
    </row>
    <row r="5840" spans="1:1" x14ac:dyDescent="0.3">
      <c r="A5840" s="12"/>
    </row>
    <row r="5841" spans="1:1" x14ac:dyDescent="0.3">
      <c r="A5841" s="12"/>
    </row>
    <row r="5842" spans="1:1" x14ac:dyDescent="0.3">
      <c r="A5842" s="12"/>
    </row>
    <row r="5843" spans="1:1" x14ac:dyDescent="0.3">
      <c r="A5843" s="12"/>
    </row>
    <row r="5844" spans="1:1" x14ac:dyDescent="0.3">
      <c r="A5844" s="12"/>
    </row>
    <row r="5845" spans="1:1" x14ac:dyDescent="0.3">
      <c r="A5845" s="12"/>
    </row>
    <row r="5846" spans="1:1" x14ac:dyDescent="0.3">
      <c r="A5846" s="12"/>
    </row>
    <row r="5847" spans="1:1" x14ac:dyDescent="0.3">
      <c r="A5847" s="12"/>
    </row>
    <row r="5848" spans="1:1" x14ac:dyDescent="0.3">
      <c r="A5848" s="12"/>
    </row>
    <row r="5849" spans="1:1" x14ac:dyDescent="0.3">
      <c r="A5849" s="12"/>
    </row>
    <row r="5850" spans="1:1" x14ac:dyDescent="0.3">
      <c r="A5850" s="12"/>
    </row>
    <row r="5851" spans="1:1" x14ac:dyDescent="0.3">
      <c r="A5851" s="12"/>
    </row>
    <row r="5852" spans="1:1" x14ac:dyDescent="0.3">
      <c r="A5852" s="12"/>
    </row>
    <row r="5853" spans="1:1" x14ac:dyDescent="0.3">
      <c r="A5853" s="12"/>
    </row>
    <row r="5854" spans="1:1" x14ac:dyDescent="0.3">
      <c r="A5854" s="12"/>
    </row>
    <row r="5855" spans="1:1" x14ac:dyDescent="0.3">
      <c r="A5855" s="12"/>
    </row>
    <row r="5856" spans="1:1" x14ac:dyDescent="0.3">
      <c r="A5856" s="12"/>
    </row>
    <row r="5857" spans="1:1" x14ac:dyDescent="0.3">
      <c r="A5857" s="12"/>
    </row>
    <row r="5858" spans="1:1" x14ac:dyDescent="0.3">
      <c r="A5858" s="12"/>
    </row>
    <row r="5859" spans="1:1" x14ac:dyDescent="0.3">
      <c r="A5859" s="12"/>
    </row>
    <row r="5860" spans="1:1" x14ac:dyDescent="0.3">
      <c r="A5860" s="12"/>
    </row>
    <row r="5861" spans="1:1" x14ac:dyDescent="0.3">
      <c r="A5861" s="12"/>
    </row>
    <row r="5862" spans="1:1" x14ac:dyDescent="0.3">
      <c r="A5862" s="12"/>
    </row>
    <row r="5863" spans="1:1" x14ac:dyDescent="0.3">
      <c r="A5863" s="12"/>
    </row>
    <row r="5864" spans="1:1" x14ac:dyDescent="0.3">
      <c r="A5864" s="12"/>
    </row>
    <row r="5865" spans="1:1" x14ac:dyDescent="0.3">
      <c r="A5865" s="12"/>
    </row>
    <row r="5866" spans="1:1" x14ac:dyDescent="0.3">
      <c r="A5866" s="12"/>
    </row>
    <row r="5867" spans="1:1" x14ac:dyDescent="0.3">
      <c r="A5867" s="12"/>
    </row>
    <row r="5868" spans="1:1" x14ac:dyDescent="0.3">
      <c r="A5868" s="12"/>
    </row>
    <row r="5869" spans="1:1" x14ac:dyDescent="0.3">
      <c r="A5869" s="12"/>
    </row>
    <row r="5870" spans="1:1" x14ac:dyDescent="0.3">
      <c r="A5870" s="12"/>
    </row>
    <row r="5871" spans="1:1" x14ac:dyDescent="0.3">
      <c r="A5871" s="12"/>
    </row>
    <row r="5872" spans="1:1" x14ac:dyDescent="0.3">
      <c r="A5872" s="12"/>
    </row>
    <row r="5873" spans="1:1" x14ac:dyDescent="0.3">
      <c r="A5873" s="12"/>
    </row>
    <row r="5874" spans="1:1" x14ac:dyDescent="0.3">
      <c r="A5874" s="12"/>
    </row>
    <row r="5875" spans="1:1" x14ac:dyDescent="0.3">
      <c r="A5875" s="12"/>
    </row>
    <row r="5876" spans="1:1" x14ac:dyDescent="0.3">
      <c r="A5876" s="12"/>
    </row>
    <row r="5877" spans="1:1" x14ac:dyDescent="0.3">
      <c r="A5877" s="12"/>
    </row>
    <row r="5878" spans="1:1" x14ac:dyDescent="0.3">
      <c r="A5878" s="12"/>
    </row>
    <row r="5879" spans="1:1" x14ac:dyDescent="0.3">
      <c r="A5879" s="12"/>
    </row>
    <row r="5880" spans="1:1" x14ac:dyDescent="0.3">
      <c r="A5880" s="12"/>
    </row>
    <row r="5881" spans="1:1" x14ac:dyDescent="0.3">
      <c r="A5881" s="12"/>
    </row>
    <row r="5882" spans="1:1" x14ac:dyDescent="0.3">
      <c r="A5882" s="12"/>
    </row>
    <row r="5883" spans="1:1" x14ac:dyDescent="0.3">
      <c r="A5883" s="12"/>
    </row>
    <row r="5884" spans="1:1" x14ac:dyDescent="0.3">
      <c r="A5884" s="12"/>
    </row>
    <row r="5885" spans="1:1" x14ac:dyDescent="0.3">
      <c r="A5885" s="12"/>
    </row>
    <row r="5886" spans="1:1" x14ac:dyDescent="0.3">
      <c r="A5886" s="12"/>
    </row>
    <row r="5887" spans="1:1" x14ac:dyDescent="0.3">
      <c r="A5887" s="12"/>
    </row>
    <row r="5888" spans="1:1" x14ac:dyDescent="0.3">
      <c r="A5888" s="12"/>
    </row>
    <row r="5889" spans="1:1" x14ac:dyDescent="0.3">
      <c r="A5889" s="12"/>
    </row>
    <row r="5890" spans="1:1" x14ac:dyDescent="0.3">
      <c r="A5890" s="12"/>
    </row>
    <row r="5891" spans="1:1" x14ac:dyDescent="0.3">
      <c r="A5891" s="12"/>
    </row>
    <row r="5892" spans="1:1" x14ac:dyDescent="0.3">
      <c r="A5892" s="12"/>
    </row>
    <row r="5893" spans="1:1" x14ac:dyDescent="0.3">
      <c r="A5893" s="12"/>
    </row>
    <row r="5894" spans="1:1" x14ac:dyDescent="0.3">
      <c r="A5894" s="12"/>
    </row>
    <row r="5895" spans="1:1" x14ac:dyDescent="0.3">
      <c r="A5895" s="12"/>
    </row>
    <row r="5896" spans="1:1" x14ac:dyDescent="0.3">
      <c r="A5896" s="12"/>
    </row>
    <row r="5897" spans="1:1" x14ac:dyDescent="0.3">
      <c r="A5897" s="12"/>
    </row>
    <row r="5898" spans="1:1" x14ac:dyDescent="0.3">
      <c r="A5898" s="12"/>
    </row>
    <row r="5899" spans="1:1" x14ac:dyDescent="0.3">
      <c r="A5899" s="12"/>
    </row>
    <row r="5900" spans="1:1" x14ac:dyDescent="0.3">
      <c r="A5900" s="12"/>
    </row>
    <row r="5901" spans="1:1" x14ac:dyDescent="0.3">
      <c r="A5901" s="12"/>
    </row>
    <row r="5902" spans="1:1" x14ac:dyDescent="0.3">
      <c r="A5902" s="12"/>
    </row>
    <row r="5903" spans="1:1" x14ac:dyDescent="0.3">
      <c r="A5903" s="12"/>
    </row>
    <row r="5904" spans="1:1" x14ac:dyDescent="0.3">
      <c r="A5904" s="12"/>
    </row>
    <row r="5905" spans="1:1" x14ac:dyDescent="0.3">
      <c r="A5905" s="12"/>
    </row>
    <row r="5906" spans="1:1" x14ac:dyDescent="0.3">
      <c r="A5906" s="12"/>
    </row>
    <row r="5907" spans="1:1" x14ac:dyDescent="0.3">
      <c r="A5907" s="12"/>
    </row>
    <row r="5908" spans="1:1" x14ac:dyDescent="0.3">
      <c r="A5908" s="12"/>
    </row>
    <row r="5909" spans="1:1" x14ac:dyDescent="0.3">
      <c r="A5909" s="12"/>
    </row>
    <row r="5910" spans="1:1" x14ac:dyDescent="0.3">
      <c r="A5910" s="12"/>
    </row>
    <row r="5911" spans="1:1" x14ac:dyDescent="0.3">
      <c r="A5911" s="12"/>
    </row>
    <row r="5912" spans="1:1" x14ac:dyDescent="0.3">
      <c r="A5912" s="12"/>
    </row>
    <row r="5913" spans="1:1" x14ac:dyDescent="0.3">
      <c r="A5913" s="12"/>
    </row>
    <row r="5914" spans="1:1" x14ac:dyDescent="0.3">
      <c r="A5914" s="12"/>
    </row>
    <row r="5915" spans="1:1" x14ac:dyDescent="0.3">
      <c r="A5915" s="12"/>
    </row>
    <row r="5916" spans="1:1" x14ac:dyDescent="0.3">
      <c r="A5916" s="12"/>
    </row>
    <row r="5917" spans="1:1" x14ac:dyDescent="0.3">
      <c r="A5917" s="12"/>
    </row>
    <row r="5918" spans="1:1" x14ac:dyDescent="0.3">
      <c r="A5918" s="12"/>
    </row>
    <row r="5919" spans="1:1" x14ac:dyDescent="0.3">
      <c r="A5919" s="12"/>
    </row>
    <row r="5920" spans="1:1" x14ac:dyDescent="0.3">
      <c r="A5920" s="12"/>
    </row>
    <row r="5921" spans="1:1" x14ac:dyDescent="0.3">
      <c r="A5921" s="12"/>
    </row>
    <row r="5922" spans="1:1" x14ac:dyDescent="0.3">
      <c r="A5922" s="12"/>
    </row>
    <row r="5923" spans="1:1" x14ac:dyDescent="0.3">
      <c r="A5923" s="12"/>
    </row>
    <row r="5924" spans="1:1" x14ac:dyDescent="0.3">
      <c r="A5924" s="12"/>
    </row>
    <row r="5925" spans="1:1" x14ac:dyDescent="0.3">
      <c r="A5925" s="12"/>
    </row>
    <row r="5926" spans="1:1" x14ac:dyDescent="0.3">
      <c r="A5926" s="12"/>
    </row>
    <row r="5927" spans="1:1" x14ac:dyDescent="0.3">
      <c r="A5927" s="12"/>
    </row>
    <row r="5928" spans="1:1" x14ac:dyDescent="0.3">
      <c r="A5928" s="12"/>
    </row>
    <row r="5929" spans="1:1" x14ac:dyDescent="0.3">
      <c r="A5929" s="12"/>
    </row>
    <row r="5930" spans="1:1" x14ac:dyDescent="0.3">
      <c r="A5930" s="12"/>
    </row>
    <row r="5931" spans="1:1" x14ac:dyDescent="0.3">
      <c r="A5931" s="12"/>
    </row>
    <row r="5932" spans="1:1" x14ac:dyDescent="0.3">
      <c r="A5932" s="12"/>
    </row>
    <row r="5933" spans="1:1" x14ac:dyDescent="0.3">
      <c r="A5933" s="12"/>
    </row>
    <row r="5934" spans="1:1" x14ac:dyDescent="0.3">
      <c r="A5934" s="12"/>
    </row>
    <row r="5935" spans="1:1" x14ac:dyDescent="0.3">
      <c r="A5935" s="12"/>
    </row>
    <row r="5936" spans="1:1" x14ac:dyDescent="0.3">
      <c r="A5936" s="12"/>
    </row>
    <row r="5937" spans="1:1" x14ac:dyDescent="0.3">
      <c r="A5937" s="12"/>
    </row>
    <row r="5938" spans="1:1" x14ac:dyDescent="0.3">
      <c r="A5938" s="12"/>
    </row>
    <row r="5939" spans="1:1" x14ac:dyDescent="0.3">
      <c r="A5939" s="12"/>
    </row>
    <row r="5940" spans="1:1" x14ac:dyDescent="0.3">
      <c r="A5940" s="12"/>
    </row>
    <row r="5941" spans="1:1" x14ac:dyDescent="0.3">
      <c r="A5941" s="12"/>
    </row>
    <row r="5942" spans="1:1" x14ac:dyDescent="0.3">
      <c r="A5942" s="12"/>
    </row>
    <row r="5943" spans="1:1" x14ac:dyDescent="0.3">
      <c r="A5943" s="12"/>
    </row>
    <row r="5944" spans="1:1" x14ac:dyDescent="0.3">
      <c r="A5944" s="12"/>
    </row>
    <row r="5945" spans="1:1" x14ac:dyDescent="0.3">
      <c r="A5945" s="12"/>
    </row>
    <row r="5946" spans="1:1" x14ac:dyDescent="0.3">
      <c r="A5946" s="12"/>
    </row>
    <row r="5947" spans="1:1" x14ac:dyDescent="0.3">
      <c r="A5947" s="12"/>
    </row>
    <row r="5948" spans="1:1" x14ac:dyDescent="0.3">
      <c r="A5948" s="12"/>
    </row>
    <row r="5949" spans="1:1" x14ac:dyDescent="0.3">
      <c r="A5949" s="12"/>
    </row>
    <row r="5950" spans="1:1" x14ac:dyDescent="0.3">
      <c r="A5950" s="12"/>
    </row>
    <row r="5951" spans="1:1" x14ac:dyDescent="0.3">
      <c r="A5951" s="12"/>
    </row>
    <row r="5952" spans="1:1" x14ac:dyDescent="0.3">
      <c r="A5952" s="12"/>
    </row>
    <row r="5953" spans="1:1" x14ac:dyDescent="0.3">
      <c r="A5953" s="12"/>
    </row>
    <row r="5954" spans="1:1" x14ac:dyDescent="0.3">
      <c r="A5954" s="12"/>
    </row>
    <row r="5955" spans="1:1" x14ac:dyDescent="0.3">
      <c r="A5955" s="12"/>
    </row>
    <row r="5956" spans="1:1" x14ac:dyDescent="0.3">
      <c r="A5956" s="12"/>
    </row>
    <row r="5957" spans="1:1" x14ac:dyDescent="0.3">
      <c r="A5957" s="12"/>
    </row>
    <row r="5958" spans="1:1" x14ac:dyDescent="0.3">
      <c r="A5958" s="12"/>
    </row>
    <row r="5959" spans="1:1" x14ac:dyDescent="0.3">
      <c r="A5959" s="12"/>
    </row>
    <row r="5960" spans="1:1" x14ac:dyDescent="0.3">
      <c r="A5960" s="12"/>
    </row>
    <row r="5961" spans="1:1" x14ac:dyDescent="0.3">
      <c r="A5961" s="12"/>
    </row>
    <row r="5962" spans="1:1" x14ac:dyDescent="0.3">
      <c r="A5962" s="12"/>
    </row>
    <row r="5963" spans="1:1" x14ac:dyDescent="0.3">
      <c r="A5963" s="12"/>
    </row>
    <row r="5964" spans="1:1" x14ac:dyDescent="0.3">
      <c r="A5964" s="12"/>
    </row>
    <row r="5965" spans="1:1" x14ac:dyDescent="0.3">
      <c r="A5965" s="12"/>
    </row>
    <row r="5966" spans="1:1" x14ac:dyDescent="0.3">
      <c r="A5966" s="12"/>
    </row>
    <row r="5967" spans="1:1" x14ac:dyDescent="0.3">
      <c r="A5967" s="12"/>
    </row>
    <row r="5968" spans="1:1" x14ac:dyDescent="0.3">
      <c r="A5968" s="12"/>
    </row>
    <row r="5969" spans="1:1" x14ac:dyDescent="0.3">
      <c r="A5969" s="12"/>
    </row>
    <row r="5970" spans="1:1" x14ac:dyDescent="0.3">
      <c r="A5970" s="12"/>
    </row>
    <row r="5971" spans="1:1" x14ac:dyDescent="0.3">
      <c r="A5971" s="12"/>
    </row>
    <row r="5972" spans="1:1" x14ac:dyDescent="0.3">
      <c r="A5972" s="12"/>
    </row>
    <row r="5973" spans="1:1" x14ac:dyDescent="0.3">
      <c r="A5973" s="12"/>
    </row>
    <row r="5974" spans="1:1" x14ac:dyDescent="0.3">
      <c r="A5974" s="12"/>
    </row>
    <row r="5975" spans="1:1" x14ac:dyDescent="0.3">
      <c r="A5975" s="12"/>
    </row>
    <row r="5976" spans="1:1" x14ac:dyDescent="0.3">
      <c r="A5976" s="12"/>
    </row>
    <row r="5977" spans="1:1" x14ac:dyDescent="0.3">
      <c r="A5977" s="12"/>
    </row>
    <row r="5978" spans="1:1" x14ac:dyDescent="0.3">
      <c r="A5978" s="12"/>
    </row>
    <row r="5979" spans="1:1" x14ac:dyDescent="0.3">
      <c r="A5979" s="12"/>
    </row>
    <row r="5980" spans="1:1" x14ac:dyDescent="0.3">
      <c r="A5980" s="12"/>
    </row>
    <row r="5981" spans="1:1" x14ac:dyDescent="0.3">
      <c r="A5981" s="12"/>
    </row>
    <row r="5982" spans="1:1" x14ac:dyDescent="0.3">
      <c r="A5982" s="12"/>
    </row>
    <row r="5983" spans="1:1" x14ac:dyDescent="0.3">
      <c r="A5983" s="12"/>
    </row>
    <row r="5984" spans="1:1" x14ac:dyDescent="0.3">
      <c r="A5984" s="12"/>
    </row>
    <row r="5985" spans="1:1" x14ac:dyDescent="0.3">
      <c r="A5985" s="12"/>
    </row>
    <row r="5986" spans="1:1" x14ac:dyDescent="0.3">
      <c r="A5986" s="12"/>
    </row>
    <row r="5987" spans="1:1" x14ac:dyDescent="0.3">
      <c r="A5987" s="12"/>
    </row>
    <row r="5988" spans="1:1" x14ac:dyDescent="0.3">
      <c r="A5988" s="12"/>
    </row>
    <row r="5989" spans="1:1" x14ac:dyDescent="0.3">
      <c r="A5989" s="12"/>
    </row>
    <row r="5990" spans="1:1" x14ac:dyDescent="0.3">
      <c r="A5990" s="12"/>
    </row>
    <row r="5991" spans="1:1" x14ac:dyDescent="0.3">
      <c r="A5991" s="12"/>
    </row>
    <row r="5992" spans="1:1" x14ac:dyDescent="0.3">
      <c r="A5992" s="12"/>
    </row>
    <row r="5993" spans="1:1" x14ac:dyDescent="0.3">
      <c r="A5993" s="12"/>
    </row>
    <row r="5994" spans="1:1" x14ac:dyDescent="0.3">
      <c r="A5994" s="12"/>
    </row>
    <row r="5995" spans="1:1" x14ac:dyDescent="0.3">
      <c r="A5995" s="12"/>
    </row>
    <row r="5996" spans="1:1" x14ac:dyDescent="0.3">
      <c r="A5996" s="12"/>
    </row>
    <row r="5997" spans="1:1" x14ac:dyDescent="0.3">
      <c r="A5997" s="12"/>
    </row>
    <row r="5998" spans="1:1" x14ac:dyDescent="0.3">
      <c r="A5998" s="12"/>
    </row>
    <row r="5999" spans="1:1" x14ac:dyDescent="0.3">
      <c r="A5999" s="12"/>
    </row>
    <row r="6000" spans="1:1" x14ac:dyDescent="0.3">
      <c r="A6000" s="12"/>
    </row>
    <row r="6001" spans="1:1" x14ac:dyDescent="0.3">
      <c r="A6001" s="12"/>
    </row>
    <row r="6002" spans="1:1" x14ac:dyDescent="0.3">
      <c r="A6002" s="12"/>
    </row>
    <row r="6003" spans="1:1" x14ac:dyDescent="0.3">
      <c r="A6003" s="12"/>
    </row>
    <row r="6004" spans="1:1" x14ac:dyDescent="0.3">
      <c r="A6004" s="12"/>
    </row>
    <row r="6005" spans="1:1" x14ac:dyDescent="0.3">
      <c r="A6005" s="12"/>
    </row>
    <row r="6006" spans="1:1" x14ac:dyDescent="0.3">
      <c r="A6006" s="12"/>
    </row>
    <row r="6007" spans="1:1" x14ac:dyDescent="0.3">
      <c r="A6007" s="12"/>
    </row>
    <row r="6008" spans="1:1" x14ac:dyDescent="0.3">
      <c r="A6008" s="12"/>
    </row>
    <row r="6009" spans="1:1" x14ac:dyDescent="0.3">
      <c r="A6009" s="12"/>
    </row>
    <row r="6010" spans="1:1" x14ac:dyDescent="0.3">
      <c r="A6010" s="12"/>
    </row>
    <row r="6011" spans="1:1" x14ac:dyDescent="0.3">
      <c r="A6011" s="12"/>
    </row>
    <row r="6012" spans="1:1" x14ac:dyDescent="0.3">
      <c r="A6012" s="12"/>
    </row>
    <row r="6013" spans="1:1" x14ac:dyDescent="0.3">
      <c r="A6013" s="12"/>
    </row>
    <row r="6014" spans="1:1" x14ac:dyDescent="0.3">
      <c r="A6014" s="12"/>
    </row>
    <row r="6015" spans="1:1" x14ac:dyDescent="0.3">
      <c r="A6015" s="12"/>
    </row>
    <row r="6016" spans="1:1" x14ac:dyDescent="0.3">
      <c r="A6016" s="12"/>
    </row>
    <row r="6017" spans="1:1" x14ac:dyDescent="0.3">
      <c r="A6017" s="12"/>
    </row>
    <row r="6018" spans="1:1" x14ac:dyDescent="0.3">
      <c r="A6018" s="12"/>
    </row>
    <row r="6019" spans="1:1" x14ac:dyDescent="0.3">
      <c r="A6019" s="12"/>
    </row>
    <row r="6020" spans="1:1" x14ac:dyDescent="0.3">
      <c r="A6020" s="12"/>
    </row>
    <row r="6021" spans="1:1" x14ac:dyDescent="0.3">
      <c r="A6021" s="12"/>
    </row>
    <row r="6022" spans="1:1" x14ac:dyDescent="0.3">
      <c r="A6022" s="12"/>
    </row>
    <row r="6023" spans="1:1" x14ac:dyDescent="0.3">
      <c r="A6023" s="12"/>
    </row>
    <row r="6024" spans="1:1" x14ac:dyDescent="0.3">
      <c r="A6024" s="12"/>
    </row>
    <row r="6025" spans="1:1" x14ac:dyDescent="0.3">
      <c r="A6025" s="12"/>
    </row>
    <row r="6026" spans="1:1" x14ac:dyDescent="0.3">
      <c r="A6026" s="12"/>
    </row>
    <row r="6027" spans="1:1" x14ac:dyDescent="0.3">
      <c r="A6027" s="12"/>
    </row>
    <row r="6028" spans="1:1" x14ac:dyDescent="0.3">
      <c r="A6028" s="12"/>
    </row>
    <row r="6029" spans="1:1" x14ac:dyDescent="0.3">
      <c r="A6029" s="12"/>
    </row>
    <row r="6030" spans="1:1" x14ac:dyDescent="0.3">
      <c r="A6030" s="12"/>
    </row>
    <row r="6031" spans="1:1" x14ac:dyDescent="0.3">
      <c r="A6031" s="12"/>
    </row>
    <row r="6032" spans="1:1" x14ac:dyDescent="0.3">
      <c r="A6032" s="12"/>
    </row>
    <row r="6033" spans="1:1" x14ac:dyDescent="0.3">
      <c r="A6033" s="12"/>
    </row>
    <row r="6034" spans="1:1" x14ac:dyDescent="0.3">
      <c r="A6034" s="12"/>
    </row>
    <row r="6035" spans="1:1" x14ac:dyDescent="0.3">
      <c r="A6035" s="12"/>
    </row>
    <row r="6036" spans="1:1" x14ac:dyDescent="0.3">
      <c r="A6036" s="12"/>
    </row>
    <row r="6037" spans="1:1" x14ac:dyDescent="0.3">
      <c r="A6037" s="12"/>
    </row>
    <row r="6038" spans="1:1" x14ac:dyDescent="0.3">
      <c r="A6038" s="12"/>
    </row>
    <row r="6039" spans="1:1" x14ac:dyDescent="0.3">
      <c r="A6039" s="12"/>
    </row>
    <row r="6040" spans="1:1" x14ac:dyDescent="0.3">
      <c r="A6040" s="12"/>
    </row>
    <row r="6041" spans="1:1" x14ac:dyDescent="0.3">
      <c r="A6041" s="12"/>
    </row>
    <row r="6042" spans="1:1" x14ac:dyDescent="0.3">
      <c r="A6042" s="12"/>
    </row>
    <row r="6043" spans="1:1" x14ac:dyDescent="0.3">
      <c r="A6043" s="12"/>
    </row>
    <row r="6044" spans="1:1" x14ac:dyDescent="0.3">
      <c r="A6044" s="12"/>
    </row>
    <row r="6045" spans="1:1" x14ac:dyDescent="0.3">
      <c r="A6045" s="12"/>
    </row>
    <row r="6046" spans="1:1" x14ac:dyDescent="0.3">
      <c r="A6046" s="12"/>
    </row>
    <row r="6047" spans="1:1" x14ac:dyDescent="0.3">
      <c r="A6047" s="12"/>
    </row>
    <row r="6048" spans="1:1" x14ac:dyDescent="0.3">
      <c r="A6048" s="12"/>
    </row>
    <row r="6049" spans="1:1" x14ac:dyDescent="0.3">
      <c r="A6049" s="12"/>
    </row>
    <row r="6050" spans="1:1" x14ac:dyDescent="0.3">
      <c r="A6050" s="12"/>
    </row>
    <row r="6051" spans="1:1" x14ac:dyDescent="0.3">
      <c r="A6051" s="12"/>
    </row>
    <row r="6052" spans="1:1" x14ac:dyDescent="0.3">
      <c r="A6052" s="12"/>
    </row>
    <row r="6053" spans="1:1" x14ac:dyDescent="0.3">
      <c r="A6053" s="12"/>
    </row>
    <row r="6054" spans="1:1" x14ac:dyDescent="0.3">
      <c r="A6054" s="12"/>
    </row>
    <row r="6055" spans="1:1" x14ac:dyDescent="0.3">
      <c r="A6055" s="12"/>
    </row>
    <row r="6056" spans="1:1" x14ac:dyDescent="0.3">
      <c r="A6056" s="12"/>
    </row>
    <row r="6057" spans="1:1" x14ac:dyDescent="0.3">
      <c r="A6057" s="12"/>
    </row>
    <row r="6058" spans="1:1" x14ac:dyDescent="0.3">
      <c r="A6058" s="12"/>
    </row>
    <row r="6059" spans="1:1" x14ac:dyDescent="0.3">
      <c r="A6059" s="12"/>
    </row>
    <row r="6060" spans="1:1" x14ac:dyDescent="0.3">
      <c r="A6060" s="12"/>
    </row>
    <row r="6061" spans="1:1" x14ac:dyDescent="0.3">
      <c r="A6061" s="12"/>
    </row>
    <row r="6062" spans="1:1" x14ac:dyDescent="0.3">
      <c r="A6062" s="12"/>
    </row>
    <row r="6063" spans="1:1" x14ac:dyDescent="0.3">
      <c r="A6063" s="12"/>
    </row>
    <row r="6064" spans="1:1" x14ac:dyDescent="0.3">
      <c r="A6064" s="12"/>
    </row>
    <row r="6065" spans="1:1" x14ac:dyDescent="0.3">
      <c r="A6065" s="12"/>
    </row>
    <row r="6066" spans="1:1" x14ac:dyDescent="0.3">
      <c r="A6066" s="12"/>
    </row>
    <row r="6067" spans="1:1" x14ac:dyDescent="0.3">
      <c r="A6067" s="12"/>
    </row>
    <row r="6068" spans="1:1" x14ac:dyDescent="0.3">
      <c r="A6068" s="12"/>
    </row>
    <row r="6069" spans="1:1" x14ac:dyDescent="0.3">
      <c r="A6069" s="12"/>
    </row>
    <row r="6070" spans="1:1" x14ac:dyDescent="0.3">
      <c r="A6070" s="12"/>
    </row>
    <row r="6071" spans="1:1" x14ac:dyDescent="0.3">
      <c r="A6071" s="12"/>
    </row>
    <row r="6072" spans="1:1" x14ac:dyDescent="0.3">
      <c r="A6072" s="12"/>
    </row>
    <row r="6073" spans="1:1" x14ac:dyDescent="0.3">
      <c r="A6073" s="12"/>
    </row>
    <row r="6074" spans="1:1" x14ac:dyDescent="0.3">
      <c r="A6074" s="12"/>
    </row>
    <row r="6075" spans="1:1" x14ac:dyDescent="0.3">
      <c r="A6075" s="12"/>
    </row>
    <row r="6076" spans="1:1" x14ac:dyDescent="0.3">
      <c r="A6076" s="12"/>
    </row>
    <row r="6077" spans="1:1" x14ac:dyDescent="0.3">
      <c r="A6077" s="12"/>
    </row>
    <row r="6078" spans="1:1" x14ac:dyDescent="0.3">
      <c r="A6078" s="12"/>
    </row>
    <row r="6079" spans="1:1" x14ac:dyDescent="0.3">
      <c r="A6079" s="12"/>
    </row>
    <row r="6080" spans="1:1" x14ac:dyDescent="0.3">
      <c r="A6080" s="12"/>
    </row>
    <row r="6081" spans="1:1" x14ac:dyDescent="0.3">
      <c r="A6081" s="12"/>
    </row>
    <row r="6082" spans="1:1" x14ac:dyDescent="0.3">
      <c r="A6082" s="12"/>
    </row>
    <row r="6083" spans="1:1" x14ac:dyDescent="0.3">
      <c r="A6083" s="12"/>
    </row>
    <row r="6084" spans="1:1" x14ac:dyDescent="0.3">
      <c r="A6084" s="12"/>
    </row>
    <row r="6085" spans="1:1" x14ac:dyDescent="0.3">
      <c r="A6085" s="12"/>
    </row>
    <row r="6086" spans="1:1" x14ac:dyDescent="0.3">
      <c r="A6086" s="12"/>
    </row>
    <row r="6087" spans="1:1" x14ac:dyDescent="0.3">
      <c r="A6087" s="12"/>
    </row>
    <row r="6088" spans="1:1" x14ac:dyDescent="0.3">
      <c r="A6088" s="12"/>
    </row>
    <row r="6089" spans="1:1" x14ac:dyDescent="0.3">
      <c r="A6089" s="12"/>
    </row>
    <row r="6090" spans="1:1" x14ac:dyDescent="0.3">
      <c r="A6090" s="12"/>
    </row>
    <row r="6091" spans="1:1" x14ac:dyDescent="0.3">
      <c r="A6091" s="12"/>
    </row>
    <row r="6092" spans="1:1" x14ac:dyDescent="0.3">
      <c r="A6092" s="12"/>
    </row>
    <row r="6093" spans="1:1" x14ac:dyDescent="0.3">
      <c r="A6093" s="12"/>
    </row>
    <row r="6094" spans="1:1" x14ac:dyDescent="0.3">
      <c r="A6094" s="12"/>
    </row>
    <row r="6095" spans="1:1" x14ac:dyDescent="0.3">
      <c r="A6095" s="12"/>
    </row>
    <row r="6096" spans="1:1" x14ac:dyDescent="0.3">
      <c r="A6096" s="12"/>
    </row>
    <row r="6097" spans="1:1" x14ac:dyDescent="0.3">
      <c r="A6097" s="12"/>
    </row>
    <row r="6098" spans="1:1" x14ac:dyDescent="0.3">
      <c r="A6098" s="12"/>
    </row>
    <row r="6099" spans="1:1" x14ac:dyDescent="0.3">
      <c r="A6099" s="12"/>
    </row>
    <row r="6100" spans="1:1" x14ac:dyDescent="0.3">
      <c r="A6100" s="12"/>
    </row>
    <row r="6101" spans="1:1" x14ac:dyDescent="0.3">
      <c r="A6101" s="12"/>
    </row>
    <row r="6102" spans="1:1" x14ac:dyDescent="0.3">
      <c r="A6102" s="12"/>
    </row>
    <row r="6103" spans="1:1" x14ac:dyDescent="0.3">
      <c r="A6103" s="12"/>
    </row>
    <row r="6104" spans="1:1" x14ac:dyDescent="0.3">
      <c r="A6104" s="12"/>
    </row>
    <row r="6105" spans="1:1" x14ac:dyDescent="0.3">
      <c r="A6105" s="12"/>
    </row>
    <row r="6106" spans="1:1" x14ac:dyDescent="0.3">
      <c r="A6106" s="12"/>
    </row>
    <row r="6107" spans="1:1" x14ac:dyDescent="0.3">
      <c r="A6107" s="12"/>
    </row>
    <row r="6108" spans="1:1" x14ac:dyDescent="0.3">
      <c r="A6108" s="12"/>
    </row>
    <row r="6109" spans="1:1" x14ac:dyDescent="0.3">
      <c r="A6109" s="12"/>
    </row>
    <row r="6110" spans="1:1" x14ac:dyDescent="0.3">
      <c r="A6110" s="12"/>
    </row>
    <row r="6111" spans="1:1" x14ac:dyDescent="0.3">
      <c r="A6111" s="12"/>
    </row>
    <row r="6112" spans="1:1" x14ac:dyDescent="0.3">
      <c r="A6112" s="12"/>
    </row>
    <row r="6113" spans="1:1" x14ac:dyDescent="0.3">
      <c r="A6113" s="12"/>
    </row>
    <row r="6114" spans="1:1" x14ac:dyDescent="0.3">
      <c r="A6114" s="12"/>
    </row>
    <row r="6115" spans="1:1" x14ac:dyDescent="0.3">
      <c r="A6115" s="12"/>
    </row>
    <row r="6116" spans="1:1" x14ac:dyDescent="0.3">
      <c r="A6116" s="12"/>
    </row>
    <row r="6117" spans="1:1" x14ac:dyDescent="0.3">
      <c r="A6117" s="12"/>
    </row>
    <row r="6118" spans="1:1" x14ac:dyDescent="0.3">
      <c r="A6118" s="12"/>
    </row>
    <row r="6119" spans="1:1" x14ac:dyDescent="0.3">
      <c r="A6119" s="12"/>
    </row>
    <row r="6120" spans="1:1" x14ac:dyDescent="0.3">
      <c r="A6120" s="12"/>
    </row>
    <row r="6121" spans="1:1" x14ac:dyDescent="0.3">
      <c r="A6121" s="12"/>
    </row>
    <row r="6122" spans="1:1" x14ac:dyDescent="0.3">
      <c r="A6122" s="12"/>
    </row>
    <row r="6123" spans="1:1" x14ac:dyDescent="0.3">
      <c r="A6123" s="12"/>
    </row>
    <row r="6124" spans="1:1" x14ac:dyDescent="0.3">
      <c r="A6124" s="12"/>
    </row>
    <row r="6125" spans="1:1" x14ac:dyDescent="0.3">
      <c r="A6125" s="12"/>
    </row>
    <row r="6126" spans="1:1" x14ac:dyDescent="0.3">
      <c r="A6126" s="12"/>
    </row>
    <row r="6127" spans="1:1" x14ac:dyDescent="0.3">
      <c r="A6127" s="12"/>
    </row>
    <row r="6128" spans="1:1" x14ac:dyDescent="0.3">
      <c r="A6128" s="12"/>
    </row>
    <row r="6129" spans="1:1" x14ac:dyDescent="0.3">
      <c r="A6129" s="12"/>
    </row>
    <row r="6130" spans="1:1" x14ac:dyDescent="0.3">
      <c r="A6130" s="12"/>
    </row>
    <row r="6131" spans="1:1" x14ac:dyDescent="0.3">
      <c r="A6131" s="12"/>
    </row>
    <row r="6132" spans="1:1" x14ac:dyDescent="0.3">
      <c r="A6132" s="12"/>
    </row>
    <row r="6133" spans="1:1" x14ac:dyDescent="0.3">
      <c r="A6133" s="12"/>
    </row>
    <row r="6134" spans="1:1" x14ac:dyDescent="0.3">
      <c r="A6134" s="12"/>
    </row>
    <row r="6135" spans="1:1" x14ac:dyDescent="0.3">
      <c r="A6135" s="12"/>
    </row>
    <row r="6136" spans="1:1" x14ac:dyDescent="0.3">
      <c r="A6136" s="12"/>
    </row>
    <row r="6137" spans="1:1" x14ac:dyDescent="0.3">
      <c r="A6137" s="12"/>
    </row>
    <row r="6138" spans="1:1" x14ac:dyDescent="0.3">
      <c r="A6138" s="12"/>
    </row>
    <row r="6139" spans="1:1" x14ac:dyDescent="0.3">
      <c r="A6139" s="12"/>
    </row>
    <row r="6140" spans="1:1" x14ac:dyDescent="0.3">
      <c r="A6140" s="12"/>
    </row>
    <row r="6141" spans="1:1" x14ac:dyDescent="0.3">
      <c r="A6141" s="12"/>
    </row>
    <row r="6142" spans="1:1" x14ac:dyDescent="0.3">
      <c r="A6142" s="12"/>
    </row>
    <row r="6143" spans="1:1" x14ac:dyDescent="0.3">
      <c r="A6143" s="12"/>
    </row>
    <row r="6144" spans="1:1" x14ac:dyDescent="0.3">
      <c r="A6144" s="12"/>
    </row>
    <row r="6145" spans="1:1" x14ac:dyDescent="0.3">
      <c r="A6145" s="12"/>
    </row>
    <row r="6146" spans="1:1" x14ac:dyDescent="0.3">
      <c r="A6146" s="12"/>
    </row>
    <row r="6147" spans="1:1" x14ac:dyDescent="0.3">
      <c r="A6147" s="12"/>
    </row>
    <row r="6148" spans="1:1" x14ac:dyDescent="0.3">
      <c r="A6148" s="12"/>
    </row>
    <row r="6149" spans="1:1" x14ac:dyDescent="0.3">
      <c r="A6149" s="12"/>
    </row>
    <row r="6150" spans="1:1" x14ac:dyDescent="0.3">
      <c r="A6150" s="12"/>
    </row>
    <row r="6151" spans="1:1" x14ac:dyDescent="0.3">
      <c r="A6151" s="12"/>
    </row>
    <row r="6152" spans="1:1" x14ac:dyDescent="0.3">
      <c r="A6152" s="12"/>
    </row>
    <row r="6153" spans="1:1" x14ac:dyDescent="0.3">
      <c r="A6153" s="12"/>
    </row>
    <row r="6154" spans="1:1" x14ac:dyDescent="0.3">
      <c r="A6154" s="12"/>
    </row>
    <row r="6155" spans="1:1" x14ac:dyDescent="0.3">
      <c r="A6155" s="12"/>
    </row>
    <row r="6156" spans="1:1" x14ac:dyDescent="0.3">
      <c r="A6156" s="12"/>
    </row>
    <row r="6157" spans="1:1" x14ac:dyDescent="0.3">
      <c r="A6157" s="12"/>
    </row>
    <row r="6158" spans="1:1" x14ac:dyDescent="0.3">
      <c r="A6158" s="12"/>
    </row>
    <row r="6159" spans="1:1" x14ac:dyDescent="0.3">
      <c r="A6159" s="12"/>
    </row>
    <row r="6160" spans="1:1" x14ac:dyDescent="0.3">
      <c r="A6160" s="12"/>
    </row>
    <row r="6161" spans="1:1" x14ac:dyDescent="0.3">
      <c r="A6161" s="12"/>
    </row>
    <row r="6162" spans="1:1" x14ac:dyDescent="0.3">
      <c r="A6162" s="12"/>
    </row>
    <row r="6163" spans="1:1" x14ac:dyDescent="0.3">
      <c r="A6163" s="12"/>
    </row>
    <row r="6164" spans="1:1" x14ac:dyDescent="0.3">
      <c r="A6164" s="12"/>
    </row>
    <row r="6165" spans="1:1" x14ac:dyDescent="0.3">
      <c r="A6165" s="12"/>
    </row>
    <row r="6166" spans="1:1" x14ac:dyDescent="0.3">
      <c r="A6166" s="12"/>
    </row>
    <row r="6167" spans="1:1" x14ac:dyDescent="0.3">
      <c r="A6167" s="12"/>
    </row>
    <row r="6168" spans="1:1" x14ac:dyDescent="0.3">
      <c r="A6168" s="12"/>
    </row>
    <row r="6169" spans="1:1" x14ac:dyDescent="0.3">
      <c r="A6169" s="12"/>
    </row>
    <row r="6170" spans="1:1" x14ac:dyDescent="0.3">
      <c r="A6170" s="12"/>
    </row>
    <row r="6171" spans="1:1" x14ac:dyDescent="0.3">
      <c r="A6171" s="12"/>
    </row>
    <row r="6172" spans="1:1" x14ac:dyDescent="0.3">
      <c r="A6172" s="12"/>
    </row>
    <row r="6173" spans="1:1" x14ac:dyDescent="0.3">
      <c r="A6173" s="12"/>
    </row>
    <row r="6174" spans="1:1" x14ac:dyDescent="0.3">
      <c r="A6174" s="12"/>
    </row>
    <row r="6175" spans="1:1" x14ac:dyDescent="0.3">
      <c r="A6175" s="12"/>
    </row>
    <row r="6176" spans="1:1" x14ac:dyDescent="0.3">
      <c r="A6176" s="12"/>
    </row>
    <row r="6177" spans="1:1" x14ac:dyDescent="0.3">
      <c r="A6177" s="12"/>
    </row>
    <row r="6178" spans="1:1" x14ac:dyDescent="0.3">
      <c r="A6178" s="12"/>
    </row>
    <row r="6179" spans="1:1" x14ac:dyDescent="0.3">
      <c r="A6179" s="12"/>
    </row>
    <row r="6180" spans="1:1" x14ac:dyDescent="0.3">
      <c r="A6180" s="12"/>
    </row>
    <row r="6181" spans="1:1" x14ac:dyDescent="0.3">
      <c r="A6181" s="12"/>
    </row>
    <row r="6182" spans="1:1" x14ac:dyDescent="0.3">
      <c r="A6182" s="12"/>
    </row>
    <row r="6183" spans="1:1" x14ac:dyDescent="0.3">
      <c r="A6183" s="12"/>
    </row>
    <row r="6184" spans="1:1" x14ac:dyDescent="0.3">
      <c r="A6184" s="12"/>
    </row>
    <row r="6185" spans="1:1" x14ac:dyDescent="0.3">
      <c r="A6185" s="12"/>
    </row>
    <row r="6186" spans="1:1" x14ac:dyDescent="0.3">
      <c r="A6186" s="12"/>
    </row>
    <row r="6187" spans="1:1" x14ac:dyDescent="0.3">
      <c r="A6187" s="12"/>
    </row>
    <row r="6188" spans="1:1" x14ac:dyDescent="0.3">
      <c r="A6188" s="12"/>
    </row>
    <row r="6189" spans="1:1" x14ac:dyDescent="0.3">
      <c r="A6189" s="12"/>
    </row>
    <row r="6190" spans="1:1" x14ac:dyDescent="0.3">
      <c r="A6190" s="12"/>
    </row>
    <row r="6191" spans="1:1" x14ac:dyDescent="0.3">
      <c r="A6191" s="12"/>
    </row>
    <row r="6192" spans="1:1" x14ac:dyDescent="0.3">
      <c r="A6192" s="12"/>
    </row>
    <row r="6193" spans="1:1" x14ac:dyDescent="0.3">
      <c r="A6193" s="12"/>
    </row>
    <row r="6194" spans="1:1" x14ac:dyDescent="0.3">
      <c r="A6194" s="12"/>
    </row>
    <row r="6195" spans="1:1" x14ac:dyDescent="0.3">
      <c r="A6195" s="12"/>
    </row>
    <row r="6196" spans="1:1" x14ac:dyDescent="0.3">
      <c r="A6196" s="12"/>
    </row>
    <row r="6197" spans="1:1" x14ac:dyDescent="0.3">
      <c r="A6197" s="12"/>
    </row>
    <row r="6198" spans="1:1" x14ac:dyDescent="0.3">
      <c r="A6198" s="12"/>
    </row>
    <row r="6199" spans="1:1" x14ac:dyDescent="0.3">
      <c r="A6199" s="12"/>
    </row>
    <row r="6200" spans="1:1" x14ac:dyDescent="0.3">
      <c r="A6200" s="12"/>
    </row>
    <row r="6201" spans="1:1" x14ac:dyDescent="0.3">
      <c r="A6201" s="12"/>
    </row>
    <row r="6202" spans="1:1" x14ac:dyDescent="0.3">
      <c r="A6202" s="12"/>
    </row>
    <row r="6203" spans="1:1" x14ac:dyDescent="0.3">
      <c r="A6203" s="12"/>
    </row>
    <row r="6204" spans="1:1" x14ac:dyDescent="0.3">
      <c r="A6204" s="12"/>
    </row>
    <row r="6205" spans="1:1" x14ac:dyDescent="0.3">
      <c r="A6205" s="12"/>
    </row>
    <row r="6206" spans="1:1" x14ac:dyDescent="0.3">
      <c r="A6206" s="12"/>
    </row>
    <row r="6207" spans="1:1" x14ac:dyDescent="0.3">
      <c r="A6207" s="12"/>
    </row>
    <row r="6208" spans="1:1" x14ac:dyDescent="0.3">
      <c r="A6208" s="12"/>
    </row>
    <row r="6209" spans="1:1" x14ac:dyDescent="0.3">
      <c r="A6209" s="12"/>
    </row>
    <row r="6210" spans="1:1" x14ac:dyDescent="0.3">
      <c r="A6210" s="12"/>
    </row>
    <row r="6211" spans="1:1" x14ac:dyDescent="0.3">
      <c r="A6211" s="12"/>
    </row>
    <row r="6212" spans="1:1" x14ac:dyDescent="0.3">
      <c r="A6212" s="12"/>
    </row>
    <row r="6213" spans="1:1" x14ac:dyDescent="0.3">
      <c r="A6213" s="12"/>
    </row>
    <row r="6214" spans="1:1" x14ac:dyDescent="0.3">
      <c r="A6214" s="12"/>
    </row>
    <row r="6215" spans="1:1" x14ac:dyDescent="0.3">
      <c r="A6215" s="12"/>
    </row>
    <row r="6216" spans="1:1" x14ac:dyDescent="0.3">
      <c r="A6216" s="12"/>
    </row>
    <row r="6217" spans="1:1" x14ac:dyDescent="0.3">
      <c r="A6217" s="12"/>
    </row>
    <row r="6218" spans="1:1" x14ac:dyDescent="0.3">
      <c r="A6218" s="12"/>
    </row>
    <row r="6219" spans="1:1" x14ac:dyDescent="0.3">
      <c r="A6219" s="12"/>
    </row>
    <row r="6220" spans="1:1" x14ac:dyDescent="0.3">
      <c r="A6220" s="12"/>
    </row>
    <row r="6221" spans="1:1" x14ac:dyDescent="0.3">
      <c r="A6221" s="12"/>
    </row>
    <row r="6222" spans="1:1" x14ac:dyDescent="0.3">
      <c r="A6222" s="12"/>
    </row>
    <row r="6223" spans="1:1" x14ac:dyDescent="0.3">
      <c r="A6223" s="12"/>
    </row>
    <row r="6224" spans="1:1" x14ac:dyDescent="0.3">
      <c r="A6224" s="12"/>
    </row>
    <row r="6225" spans="1:1" x14ac:dyDescent="0.3">
      <c r="A6225" s="12"/>
    </row>
    <row r="6226" spans="1:1" x14ac:dyDescent="0.3">
      <c r="A6226" s="12"/>
    </row>
    <row r="6227" spans="1:1" x14ac:dyDescent="0.3">
      <c r="A6227" s="12"/>
    </row>
    <row r="6228" spans="1:1" x14ac:dyDescent="0.3">
      <c r="A6228" s="12"/>
    </row>
    <row r="6229" spans="1:1" x14ac:dyDescent="0.3">
      <c r="A6229" s="12"/>
    </row>
    <row r="6230" spans="1:1" x14ac:dyDescent="0.3">
      <c r="A6230" s="12"/>
    </row>
    <row r="6231" spans="1:1" x14ac:dyDescent="0.3">
      <c r="A6231" s="12"/>
    </row>
    <row r="6232" spans="1:1" x14ac:dyDescent="0.3">
      <c r="A6232" s="12"/>
    </row>
    <row r="6233" spans="1:1" x14ac:dyDescent="0.3">
      <c r="A6233" s="12"/>
    </row>
    <row r="6234" spans="1:1" x14ac:dyDescent="0.3">
      <c r="A6234" s="12"/>
    </row>
    <row r="6235" spans="1:1" x14ac:dyDescent="0.3">
      <c r="A6235" s="12"/>
    </row>
    <row r="6236" spans="1:1" x14ac:dyDescent="0.3">
      <c r="A6236" s="12"/>
    </row>
    <row r="6237" spans="1:1" x14ac:dyDescent="0.3">
      <c r="A6237" s="12"/>
    </row>
    <row r="6238" spans="1:1" x14ac:dyDescent="0.3">
      <c r="A6238" s="12"/>
    </row>
    <row r="6239" spans="1:1" x14ac:dyDescent="0.3">
      <c r="A6239" s="12"/>
    </row>
    <row r="6240" spans="1:1" x14ac:dyDescent="0.3">
      <c r="A6240" s="12"/>
    </row>
    <row r="6241" spans="1:1" x14ac:dyDescent="0.3">
      <c r="A6241" s="12"/>
    </row>
    <row r="6242" spans="1:1" x14ac:dyDescent="0.3">
      <c r="A6242" s="12"/>
    </row>
    <row r="6243" spans="1:1" x14ac:dyDescent="0.3">
      <c r="A6243" s="12"/>
    </row>
    <row r="6244" spans="1:1" x14ac:dyDescent="0.3">
      <c r="A6244" s="12"/>
    </row>
    <row r="6245" spans="1:1" x14ac:dyDescent="0.3">
      <c r="A6245" s="12"/>
    </row>
    <row r="6246" spans="1:1" x14ac:dyDescent="0.3">
      <c r="A6246" s="12"/>
    </row>
    <row r="6247" spans="1:1" x14ac:dyDescent="0.3">
      <c r="A6247" s="12"/>
    </row>
    <row r="6248" spans="1:1" x14ac:dyDescent="0.3">
      <c r="A6248" s="12"/>
    </row>
    <row r="6249" spans="1:1" x14ac:dyDescent="0.3">
      <c r="A6249" s="12"/>
    </row>
    <row r="6250" spans="1:1" x14ac:dyDescent="0.3">
      <c r="A6250" s="12"/>
    </row>
    <row r="6251" spans="1:1" x14ac:dyDescent="0.3">
      <c r="A6251" s="12"/>
    </row>
    <row r="6252" spans="1:1" x14ac:dyDescent="0.3">
      <c r="A6252" s="12"/>
    </row>
    <row r="6253" spans="1:1" x14ac:dyDescent="0.3">
      <c r="A6253" s="12"/>
    </row>
    <row r="6254" spans="1:1" x14ac:dyDescent="0.3">
      <c r="A6254" s="12"/>
    </row>
    <row r="6255" spans="1:1" x14ac:dyDescent="0.3">
      <c r="A6255" s="12"/>
    </row>
    <row r="6256" spans="1:1" x14ac:dyDescent="0.3">
      <c r="A6256" s="12"/>
    </row>
    <row r="6257" spans="1:1" x14ac:dyDescent="0.3">
      <c r="A6257" s="12"/>
    </row>
    <row r="6258" spans="1:1" x14ac:dyDescent="0.3">
      <c r="A6258" s="12"/>
    </row>
    <row r="6259" spans="1:1" x14ac:dyDescent="0.3">
      <c r="A6259" s="12"/>
    </row>
    <row r="6260" spans="1:1" x14ac:dyDescent="0.3">
      <c r="A6260" s="12"/>
    </row>
    <row r="6261" spans="1:1" x14ac:dyDescent="0.3">
      <c r="A6261" s="12"/>
    </row>
    <row r="6262" spans="1:1" x14ac:dyDescent="0.3">
      <c r="A6262" s="12"/>
    </row>
    <row r="6263" spans="1:1" x14ac:dyDescent="0.3">
      <c r="A6263" s="12"/>
    </row>
    <row r="6264" spans="1:1" x14ac:dyDescent="0.3">
      <c r="A6264" s="12"/>
    </row>
    <row r="6265" spans="1:1" x14ac:dyDescent="0.3">
      <c r="A6265" s="12"/>
    </row>
    <row r="6266" spans="1:1" x14ac:dyDescent="0.3">
      <c r="A6266" s="12"/>
    </row>
    <row r="6267" spans="1:1" x14ac:dyDescent="0.3">
      <c r="A6267" s="12"/>
    </row>
    <row r="6268" spans="1:1" x14ac:dyDescent="0.3">
      <c r="A6268" s="12"/>
    </row>
    <row r="6269" spans="1:1" x14ac:dyDescent="0.3">
      <c r="A6269" s="12"/>
    </row>
    <row r="6270" spans="1:1" x14ac:dyDescent="0.3">
      <c r="A6270" s="12"/>
    </row>
    <row r="6271" spans="1:1" x14ac:dyDescent="0.3">
      <c r="A6271" s="12"/>
    </row>
    <row r="6272" spans="1:1" x14ac:dyDescent="0.3">
      <c r="A6272" s="12"/>
    </row>
    <row r="6273" spans="1:1" x14ac:dyDescent="0.3">
      <c r="A6273" s="12"/>
    </row>
    <row r="6274" spans="1:1" x14ac:dyDescent="0.3">
      <c r="A6274" s="12"/>
    </row>
    <row r="6275" spans="1:1" x14ac:dyDescent="0.3">
      <c r="A6275" s="12"/>
    </row>
    <row r="6276" spans="1:1" x14ac:dyDescent="0.3">
      <c r="A6276" s="12"/>
    </row>
    <row r="6277" spans="1:1" x14ac:dyDescent="0.3">
      <c r="A6277" s="12"/>
    </row>
    <row r="6278" spans="1:1" x14ac:dyDescent="0.3">
      <c r="A6278" s="12"/>
    </row>
    <row r="6279" spans="1:1" x14ac:dyDescent="0.3">
      <c r="A6279" s="12"/>
    </row>
    <row r="6280" spans="1:1" x14ac:dyDescent="0.3">
      <c r="A6280" s="12"/>
    </row>
    <row r="6281" spans="1:1" x14ac:dyDescent="0.3">
      <c r="A6281" s="12"/>
    </row>
    <row r="6282" spans="1:1" x14ac:dyDescent="0.3">
      <c r="A6282" s="12"/>
    </row>
    <row r="6283" spans="1:1" x14ac:dyDescent="0.3">
      <c r="A6283" s="12"/>
    </row>
    <row r="6284" spans="1:1" x14ac:dyDescent="0.3">
      <c r="A6284" s="12"/>
    </row>
    <row r="6285" spans="1:1" x14ac:dyDescent="0.3">
      <c r="A6285" s="12"/>
    </row>
    <row r="6286" spans="1:1" x14ac:dyDescent="0.3">
      <c r="A6286" s="12"/>
    </row>
    <row r="6287" spans="1:1" x14ac:dyDescent="0.3">
      <c r="A6287" s="12"/>
    </row>
    <row r="6288" spans="1:1" x14ac:dyDescent="0.3">
      <c r="A6288" s="12"/>
    </row>
    <row r="6289" spans="1:1" x14ac:dyDescent="0.3">
      <c r="A6289" s="12"/>
    </row>
    <row r="6290" spans="1:1" x14ac:dyDescent="0.3">
      <c r="A6290" s="12"/>
    </row>
    <row r="6291" spans="1:1" x14ac:dyDescent="0.3">
      <c r="A6291" s="12"/>
    </row>
    <row r="6292" spans="1:1" x14ac:dyDescent="0.3">
      <c r="A6292" s="12"/>
    </row>
    <row r="6293" spans="1:1" x14ac:dyDescent="0.3">
      <c r="A6293" s="12"/>
    </row>
    <row r="6294" spans="1:1" x14ac:dyDescent="0.3">
      <c r="A6294" s="12"/>
    </row>
    <row r="6295" spans="1:1" x14ac:dyDescent="0.3">
      <c r="A6295" s="12"/>
    </row>
    <row r="6296" spans="1:1" x14ac:dyDescent="0.3">
      <c r="A6296" s="12"/>
    </row>
    <row r="6297" spans="1:1" x14ac:dyDescent="0.3">
      <c r="A6297" s="12"/>
    </row>
    <row r="6298" spans="1:1" x14ac:dyDescent="0.3">
      <c r="A6298" s="12"/>
    </row>
    <row r="6299" spans="1:1" x14ac:dyDescent="0.3">
      <c r="A6299" s="12"/>
    </row>
    <row r="6300" spans="1:1" x14ac:dyDescent="0.3">
      <c r="A6300" s="12"/>
    </row>
    <row r="6301" spans="1:1" x14ac:dyDescent="0.3">
      <c r="A6301" s="12"/>
    </row>
    <row r="6302" spans="1:1" x14ac:dyDescent="0.3">
      <c r="A6302" s="12"/>
    </row>
    <row r="6303" spans="1:1" x14ac:dyDescent="0.3">
      <c r="A6303" s="12"/>
    </row>
    <row r="6304" spans="1:1" x14ac:dyDescent="0.3">
      <c r="A6304" s="12"/>
    </row>
    <row r="6305" spans="1:1" x14ac:dyDescent="0.3">
      <c r="A6305" s="12"/>
    </row>
    <row r="6306" spans="1:1" x14ac:dyDescent="0.3">
      <c r="A6306" s="12"/>
    </row>
    <row r="6307" spans="1:1" x14ac:dyDescent="0.3">
      <c r="A6307" s="12"/>
    </row>
    <row r="6308" spans="1:1" x14ac:dyDescent="0.3">
      <c r="A6308" s="12"/>
    </row>
    <row r="6309" spans="1:1" x14ac:dyDescent="0.3">
      <c r="A6309" s="12"/>
    </row>
    <row r="6310" spans="1:1" x14ac:dyDescent="0.3">
      <c r="A6310" s="12"/>
    </row>
    <row r="6311" spans="1:1" x14ac:dyDescent="0.3">
      <c r="A6311" s="12"/>
    </row>
    <row r="6312" spans="1:1" x14ac:dyDescent="0.3">
      <c r="A6312" s="12"/>
    </row>
    <row r="6313" spans="1:1" x14ac:dyDescent="0.3">
      <c r="A6313" s="12"/>
    </row>
    <row r="6314" spans="1:1" x14ac:dyDescent="0.3">
      <c r="A6314" s="12"/>
    </row>
    <row r="6315" spans="1:1" x14ac:dyDescent="0.3">
      <c r="A6315" s="12"/>
    </row>
    <row r="6316" spans="1:1" x14ac:dyDescent="0.3">
      <c r="A6316" s="12"/>
    </row>
    <row r="6317" spans="1:1" x14ac:dyDescent="0.3">
      <c r="A6317" s="12"/>
    </row>
    <row r="6318" spans="1:1" x14ac:dyDescent="0.3">
      <c r="A6318" s="12"/>
    </row>
    <row r="6319" spans="1:1" x14ac:dyDescent="0.3">
      <c r="A6319" s="12"/>
    </row>
    <row r="6320" spans="1:1" x14ac:dyDescent="0.3">
      <c r="A6320" s="12"/>
    </row>
    <row r="6321" spans="1:1" x14ac:dyDescent="0.3">
      <c r="A6321" s="12"/>
    </row>
    <row r="6322" spans="1:1" x14ac:dyDescent="0.3">
      <c r="A6322" s="12"/>
    </row>
    <row r="6323" spans="1:1" x14ac:dyDescent="0.3">
      <c r="A6323" s="12"/>
    </row>
    <row r="6324" spans="1:1" x14ac:dyDescent="0.3">
      <c r="A6324" s="12"/>
    </row>
    <row r="6325" spans="1:1" x14ac:dyDescent="0.3">
      <c r="A6325" s="12"/>
    </row>
    <row r="6326" spans="1:1" x14ac:dyDescent="0.3">
      <c r="A6326" s="12"/>
    </row>
    <row r="6327" spans="1:1" x14ac:dyDescent="0.3">
      <c r="A6327" s="12"/>
    </row>
    <row r="6328" spans="1:1" x14ac:dyDescent="0.3">
      <c r="A6328" s="12"/>
    </row>
    <row r="6329" spans="1:1" x14ac:dyDescent="0.3">
      <c r="A6329" s="12"/>
    </row>
    <row r="6330" spans="1:1" x14ac:dyDescent="0.3">
      <c r="A6330" s="12"/>
    </row>
    <row r="6331" spans="1:1" x14ac:dyDescent="0.3">
      <c r="A6331" s="12"/>
    </row>
    <row r="6332" spans="1:1" x14ac:dyDescent="0.3">
      <c r="A6332" s="12"/>
    </row>
    <row r="6333" spans="1:1" x14ac:dyDescent="0.3">
      <c r="A6333" s="12"/>
    </row>
    <row r="6334" spans="1:1" x14ac:dyDescent="0.3">
      <c r="A6334" s="12"/>
    </row>
    <row r="6335" spans="1:1" x14ac:dyDescent="0.3">
      <c r="A6335" s="12"/>
    </row>
    <row r="6336" spans="1:1" x14ac:dyDescent="0.3">
      <c r="A6336" s="12"/>
    </row>
    <row r="6337" spans="1:1" x14ac:dyDescent="0.3">
      <c r="A6337" s="12"/>
    </row>
    <row r="6338" spans="1:1" x14ac:dyDescent="0.3">
      <c r="A6338" s="12"/>
    </row>
    <row r="6339" spans="1:1" x14ac:dyDescent="0.3">
      <c r="A6339" s="12"/>
    </row>
    <row r="6340" spans="1:1" x14ac:dyDescent="0.3">
      <c r="A6340" s="12"/>
    </row>
    <row r="6341" spans="1:1" x14ac:dyDescent="0.3">
      <c r="A6341" s="12"/>
    </row>
    <row r="6342" spans="1:1" x14ac:dyDescent="0.3">
      <c r="A6342" s="12"/>
    </row>
    <row r="6343" spans="1:1" x14ac:dyDescent="0.3">
      <c r="A6343" s="12"/>
    </row>
    <row r="6344" spans="1:1" x14ac:dyDescent="0.3">
      <c r="A6344" s="12"/>
    </row>
    <row r="6345" spans="1:1" x14ac:dyDescent="0.3">
      <c r="A6345" s="12"/>
    </row>
    <row r="6346" spans="1:1" x14ac:dyDescent="0.3">
      <c r="A6346" s="12"/>
    </row>
    <row r="6347" spans="1:1" x14ac:dyDescent="0.3">
      <c r="A6347" s="12"/>
    </row>
    <row r="6348" spans="1:1" x14ac:dyDescent="0.3">
      <c r="A6348" s="12"/>
    </row>
    <row r="6349" spans="1:1" x14ac:dyDescent="0.3">
      <c r="A6349" s="12"/>
    </row>
    <row r="6350" spans="1:1" x14ac:dyDescent="0.3">
      <c r="A6350" s="12"/>
    </row>
    <row r="6351" spans="1:1" x14ac:dyDescent="0.3">
      <c r="A6351" s="12"/>
    </row>
    <row r="6352" spans="1:1" x14ac:dyDescent="0.3">
      <c r="A6352" s="12"/>
    </row>
    <row r="6353" spans="1:1" x14ac:dyDescent="0.3">
      <c r="A6353" s="12"/>
    </row>
    <row r="6354" spans="1:1" x14ac:dyDescent="0.3">
      <c r="A6354" s="12"/>
    </row>
    <row r="6355" spans="1:1" x14ac:dyDescent="0.3">
      <c r="A6355" s="12"/>
    </row>
    <row r="6356" spans="1:1" x14ac:dyDescent="0.3">
      <c r="A6356" s="12"/>
    </row>
    <row r="6357" spans="1:1" x14ac:dyDescent="0.3">
      <c r="A6357" s="12"/>
    </row>
    <row r="6358" spans="1:1" x14ac:dyDescent="0.3">
      <c r="A6358" s="12"/>
    </row>
    <row r="6359" spans="1:1" x14ac:dyDescent="0.3">
      <c r="A6359" s="12"/>
    </row>
    <row r="6360" spans="1:1" x14ac:dyDescent="0.3">
      <c r="A6360" s="12"/>
    </row>
    <row r="6361" spans="1:1" x14ac:dyDescent="0.3">
      <c r="A6361" s="12"/>
    </row>
    <row r="6362" spans="1:1" x14ac:dyDescent="0.3">
      <c r="A6362" s="12"/>
    </row>
    <row r="6363" spans="1:1" x14ac:dyDescent="0.3">
      <c r="A6363" s="12"/>
    </row>
    <row r="6364" spans="1:1" x14ac:dyDescent="0.3">
      <c r="A6364" s="12"/>
    </row>
    <row r="6365" spans="1:1" x14ac:dyDescent="0.3">
      <c r="A6365" s="12"/>
    </row>
    <row r="6366" spans="1:1" x14ac:dyDescent="0.3">
      <c r="A6366" s="12"/>
    </row>
    <row r="6367" spans="1:1" x14ac:dyDescent="0.3">
      <c r="A6367" s="12"/>
    </row>
    <row r="6368" spans="1:1" x14ac:dyDescent="0.3">
      <c r="A6368" s="12"/>
    </row>
    <row r="6369" spans="1:1" x14ac:dyDescent="0.3">
      <c r="A6369" s="12"/>
    </row>
    <row r="6370" spans="1:1" x14ac:dyDescent="0.3">
      <c r="A6370" s="12"/>
    </row>
    <row r="6371" spans="1:1" x14ac:dyDescent="0.3">
      <c r="A6371" s="12"/>
    </row>
    <row r="6372" spans="1:1" x14ac:dyDescent="0.3">
      <c r="A6372" s="12"/>
    </row>
    <row r="6373" spans="1:1" x14ac:dyDescent="0.3">
      <c r="A6373" s="12"/>
    </row>
    <row r="6374" spans="1:1" x14ac:dyDescent="0.3">
      <c r="A6374" s="12"/>
    </row>
    <row r="6375" spans="1:1" x14ac:dyDescent="0.3">
      <c r="A6375" s="12"/>
    </row>
    <row r="6376" spans="1:1" x14ac:dyDescent="0.3">
      <c r="A6376" s="12"/>
    </row>
    <row r="6377" spans="1:1" x14ac:dyDescent="0.3">
      <c r="A6377" s="12"/>
    </row>
    <row r="6378" spans="1:1" x14ac:dyDescent="0.3">
      <c r="A6378" s="12"/>
    </row>
    <row r="6379" spans="1:1" x14ac:dyDescent="0.3">
      <c r="A6379" s="12"/>
    </row>
    <row r="6380" spans="1:1" x14ac:dyDescent="0.3">
      <c r="A6380" s="12"/>
    </row>
    <row r="6381" spans="1:1" x14ac:dyDescent="0.3">
      <c r="A6381" s="12"/>
    </row>
    <row r="6382" spans="1:1" x14ac:dyDescent="0.3">
      <c r="A6382" s="12"/>
    </row>
    <row r="6383" spans="1:1" x14ac:dyDescent="0.3">
      <c r="A6383" s="12"/>
    </row>
    <row r="6384" spans="1:1" x14ac:dyDescent="0.3">
      <c r="A6384" s="12"/>
    </row>
    <row r="6385" spans="1:1" x14ac:dyDescent="0.3">
      <c r="A6385" s="12"/>
    </row>
    <row r="6386" spans="1:1" x14ac:dyDescent="0.3">
      <c r="A6386" s="12"/>
    </row>
    <row r="6387" spans="1:1" x14ac:dyDescent="0.3">
      <c r="A6387" s="12"/>
    </row>
    <row r="6388" spans="1:1" x14ac:dyDescent="0.3">
      <c r="A6388" s="12"/>
    </row>
    <row r="6389" spans="1:1" x14ac:dyDescent="0.3">
      <c r="A6389" s="12"/>
    </row>
    <row r="6390" spans="1:1" x14ac:dyDescent="0.3">
      <c r="A6390" s="12"/>
    </row>
    <row r="6391" spans="1:1" x14ac:dyDescent="0.3">
      <c r="A6391" s="12"/>
    </row>
    <row r="6392" spans="1:1" x14ac:dyDescent="0.3">
      <c r="A6392" s="12"/>
    </row>
    <row r="6393" spans="1:1" x14ac:dyDescent="0.3">
      <c r="A6393" s="12"/>
    </row>
    <row r="6394" spans="1:1" x14ac:dyDescent="0.3">
      <c r="A6394" s="12"/>
    </row>
    <row r="6395" spans="1:1" x14ac:dyDescent="0.3">
      <c r="A6395" s="12"/>
    </row>
    <row r="6396" spans="1:1" x14ac:dyDescent="0.3">
      <c r="A6396" s="12"/>
    </row>
    <row r="6397" spans="1:1" x14ac:dyDescent="0.3">
      <c r="A6397" s="12"/>
    </row>
    <row r="6398" spans="1:1" x14ac:dyDescent="0.3">
      <c r="A6398" s="12"/>
    </row>
    <row r="6399" spans="1:1" x14ac:dyDescent="0.3">
      <c r="A6399" s="12"/>
    </row>
    <row r="6400" spans="1:1" x14ac:dyDescent="0.3">
      <c r="A6400" s="12"/>
    </row>
    <row r="6401" spans="1:1" x14ac:dyDescent="0.3">
      <c r="A6401" s="12"/>
    </row>
    <row r="6402" spans="1:1" x14ac:dyDescent="0.3">
      <c r="A6402" s="12"/>
    </row>
    <row r="6403" spans="1:1" x14ac:dyDescent="0.3">
      <c r="A6403" s="12"/>
    </row>
    <row r="6404" spans="1:1" x14ac:dyDescent="0.3">
      <c r="A6404" s="12"/>
    </row>
    <row r="6405" spans="1:1" x14ac:dyDescent="0.3">
      <c r="A6405" s="12"/>
    </row>
    <row r="6406" spans="1:1" x14ac:dyDescent="0.3">
      <c r="A6406" s="12"/>
    </row>
    <row r="6407" spans="1:1" x14ac:dyDescent="0.3">
      <c r="A6407" s="12"/>
    </row>
    <row r="6408" spans="1:1" x14ac:dyDescent="0.3">
      <c r="A6408" s="12"/>
    </row>
    <row r="6409" spans="1:1" x14ac:dyDescent="0.3">
      <c r="A6409" s="12"/>
    </row>
    <row r="6410" spans="1:1" x14ac:dyDescent="0.3">
      <c r="A6410" s="12"/>
    </row>
    <row r="6411" spans="1:1" x14ac:dyDescent="0.3">
      <c r="A6411" s="12"/>
    </row>
    <row r="6412" spans="1:1" x14ac:dyDescent="0.3">
      <c r="A6412" s="12"/>
    </row>
    <row r="6413" spans="1:1" x14ac:dyDescent="0.3">
      <c r="A6413" s="12"/>
    </row>
    <row r="6414" spans="1:1" x14ac:dyDescent="0.3">
      <c r="A6414" s="12"/>
    </row>
    <row r="6415" spans="1:1" x14ac:dyDescent="0.3">
      <c r="A6415" s="12"/>
    </row>
    <row r="6416" spans="1:1" x14ac:dyDescent="0.3">
      <c r="A6416" s="12"/>
    </row>
    <row r="6417" spans="1:1" x14ac:dyDescent="0.3">
      <c r="A6417" s="12"/>
    </row>
    <row r="6418" spans="1:1" x14ac:dyDescent="0.3">
      <c r="A6418" s="12"/>
    </row>
    <row r="6419" spans="1:1" x14ac:dyDescent="0.3">
      <c r="A6419" s="12"/>
    </row>
    <row r="6420" spans="1:1" x14ac:dyDescent="0.3">
      <c r="A6420" s="12"/>
    </row>
    <row r="6421" spans="1:1" x14ac:dyDescent="0.3">
      <c r="A6421" s="12"/>
    </row>
    <row r="6422" spans="1:1" x14ac:dyDescent="0.3">
      <c r="A6422" s="12"/>
    </row>
    <row r="6423" spans="1:1" x14ac:dyDescent="0.3">
      <c r="A6423" s="12"/>
    </row>
    <row r="6424" spans="1:1" x14ac:dyDescent="0.3">
      <c r="A6424" s="12"/>
    </row>
    <row r="6425" spans="1:1" x14ac:dyDescent="0.3">
      <c r="A6425" s="12"/>
    </row>
    <row r="6426" spans="1:1" x14ac:dyDescent="0.3">
      <c r="A6426" s="12"/>
    </row>
    <row r="6427" spans="1:1" x14ac:dyDescent="0.3">
      <c r="A6427" s="12"/>
    </row>
    <row r="6428" spans="1:1" x14ac:dyDescent="0.3">
      <c r="A6428" s="12"/>
    </row>
    <row r="6429" spans="1:1" x14ac:dyDescent="0.3">
      <c r="A6429" s="12"/>
    </row>
    <row r="6430" spans="1:1" x14ac:dyDescent="0.3">
      <c r="A6430" s="12"/>
    </row>
    <row r="6431" spans="1:1" x14ac:dyDescent="0.3">
      <c r="A6431" s="12"/>
    </row>
    <row r="6432" spans="1:1" x14ac:dyDescent="0.3">
      <c r="A6432" s="12"/>
    </row>
    <row r="6433" spans="1:1" x14ac:dyDescent="0.3">
      <c r="A6433" s="12"/>
    </row>
    <row r="6434" spans="1:1" x14ac:dyDescent="0.3">
      <c r="A6434" s="12"/>
    </row>
    <row r="6435" spans="1:1" x14ac:dyDescent="0.3">
      <c r="A6435" s="12"/>
    </row>
    <row r="6436" spans="1:1" x14ac:dyDescent="0.3">
      <c r="A6436" s="12"/>
    </row>
    <row r="6437" spans="1:1" x14ac:dyDescent="0.3">
      <c r="A6437" s="12"/>
    </row>
    <row r="6438" spans="1:1" x14ac:dyDescent="0.3">
      <c r="A6438" s="12"/>
    </row>
    <row r="6439" spans="1:1" x14ac:dyDescent="0.3">
      <c r="A6439" s="12"/>
    </row>
    <row r="6440" spans="1:1" x14ac:dyDescent="0.3">
      <c r="A6440" s="12"/>
    </row>
    <row r="6441" spans="1:1" x14ac:dyDescent="0.3">
      <c r="A6441" s="12"/>
    </row>
    <row r="6442" spans="1:1" x14ac:dyDescent="0.3">
      <c r="A6442" s="12"/>
    </row>
    <row r="6443" spans="1:1" x14ac:dyDescent="0.3">
      <c r="A6443" s="12"/>
    </row>
    <row r="6444" spans="1:1" x14ac:dyDescent="0.3">
      <c r="A6444" s="12"/>
    </row>
    <row r="6445" spans="1:1" x14ac:dyDescent="0.3">
      <c r="A6445" s="12"/>
    </row>
    <row r="6446" spans="1:1" x14ac:dyDescent="0.3">
      <c r="A6446" s="12"/>
    </row>
    <row r="6447" spans="1:1" x14ac:dyDescent="0.3">
      <c r="A6447" s="12"/>
    </row>
    <row r="6448" spans="1:1" x14ac:dyDescent="0.3">
      <c r="A6448" s="12"/>
    </row>
    <row r="6449" spans="1:1" x14ac:dyDescent="0.3">
      <c r="A6449" s="12"/>
    </row>
    <row r="6450" spans="1:1" x14ac:dyDescent="0.3">
      <c r="A6450" s="12"/>
    </row>
    <row r="6451" spans="1:1" x14ac:dyDescent="0.3">
      <c r="A6451" s="12"/>
    </row>
    <row r="6452" spans="1:1" x14ac:dyDescent="0.3">
      <c r="A6452" s="12"/>
    </row>
    <row r="6453" spans="1:1" x14ac:dyDescent="0.3">
      <c r="A6453" s="12"/>
    </row>
    <row r="6454" spans="1:1" x14ac:dyDescent="0.3">
      <c r="A6454" s="12"/>
    </row>
    <row r="6455" spans="1:1" x14ac:dyDescent="0.3">
      <c r="A6455" s="12"/>
    </row>
    <row r="6456" spans="1:1" x14ac:dyDescent="0.3">
      <c r="A6456" s="12"/>
    </row>
    <row r="6457" spans="1:1" x14ac:dyDescent="0.3">
      <c r="A6457" s="12"/>
    </row>
    <row r="6458" spans="1:1" x14ac:dyDescent="0.3">
      <c r="A6458" s="12"/>
    </row>
    <row r="6459" spans="1:1" x14ac:dyDescent="0.3">
      <c r="A6459" s="12"/>
    </row>
    <row r="6460" spans="1:1" x14ac:dyDescent="0.3">
      <c r="A6460" s="12"/>
    </row>
    <row r="6461" spans="1:1" x14ac:dyDescent="0.3">
      <c r="A6461" s="12"/>
    </row>
    <row r="6462" spans="1:1" x14ac:dyDescent="0.3">
      <c r="A6462" s="12"/>
    </row>
    <row r="6463" spans="1:1" x14ac:dyDescent="0.3">
      <c r="A6463" s="12"/>
    </row>
    <row r="6464" spans="1:1" x14ac:dyDescent="0.3">
      <c r="A6464" s="12"/>
    </row>
    <row r="6465" spans="1:1" x14ac:dyDescent="0.3">
      <c r="A6465" s="12"/>
    </row>
    <row r="6466" spans="1:1" x14ac:dyDescent="0.3">
      <c r="A6466" s="12"/>
    </row>
    <row r="6467" spans="1:1" x14ac:dyDescent="0.3">
      <c r="A6467" s="12"/>
    </row>
    <row r="6468" spans="1:1" x14ac:dyDescent="0.3">
      <c r="A6468" s="12"/>
    </row>
    <row r="6469" spans="1:1" x14ac:dyDescent="0.3">
      <c r="A6469" s="12"/>
    </row>
    <row r="6470" spans="1:1" x14ac:dyDescent="0.3">
      <c r="A6470" s="12"/>
    </row>
    <row r="6471" spans="1:1" x14ac:dyDescent="0.3">
      <c r="A6471" s="12"/>
    </row>
    <row r="6472" spans="1:1" x14ac:dyDescent="0.3">
      <c r="A6472" s="12"/>
    </row>
    <row r="6473" spans="1:1" x14ac:dyDescent="0.3">
      <c r="A6473" s="12"/>
    </row>
    <row r="6474" spans="1:1" x14ac:dyDescent="0.3">
      <c r="A6474" s="12"/>
    </row>
    <row r="6475" spans="1:1" x14ac:dyDescent="0.3">
      <c r="A6475" s="12"/>
    </row>
    <row r="6476" spans="1:1" x14ac:dyDescent="0.3">
      <c r="A6476" s="12"/>
    </row>
    <row r="6477" spans="1:1" x14ac:dyDescent="0.3">
      <c r="A6477" s="12"/>
    </row>
    <row r="6478" spans="1:1" x14ac:dyDescent="0.3">
      <c r="A6478" s="12"/>
    </row>
    <row r="6479" spans="1:1" x14ac:dyDescent="0.3">
      <c r="A6479" s="12"/>
    </row>
    <row r="6480" spans="1:1" x14ac:dyDescent="0.3">
      <c r="A6480" s="12"/>
    </row>
    <row r="6481" spans="1:1" x14ac:dyDescent="0.3">
      <c r="A6481" s="12"/>
    </row>
    <row r="6482" spans="1:1" x14ac:dyDescent="0.3">
      <c r="A6482" s="12"/>
    </row>
    <row r="6483" spans="1:1" x14ac:dyDescent="0.3">
      <c r="A6483" s="12"/>
    </row>
    <row r="6484" spans="1:1" x14ac:dyDescent="0.3">
      <c r="A6484" s="12"/>
    </row>
    <row r="6485" spans="1:1" x14ac:dyDescent="0.3">
      <c r="A6485" s="12"/>
    </row>
    <row r="6486" spans="1:1" x14ac:dyDescent="0.3">
      <c r="A6486" s="12"/>
    </row>
    <row r="6487" spans="1:1" x14ac:dyDescent="0.3">
      <c r="A6487" s="12"/>
    </row>
    <row r="6488" spans="1:1" x14ac:dyDescent="0.3">
      <c r="A6488" s="12"/>
    </row>
    <row r="6489" spans="1:1" x14ac:dyDescent="0.3">
      <c r="A6489" s="12"/>
    </row>
    <row r="6490" spans="1:1" x14ac:dyDescent="0.3">
      <c r="A6490" s="12"/>
    </row>
    <row r="6491" spans="1:1" x14ac:dyDescent="0.3">
      <c r="A6491" s="12"/>
    </row>
    <row r="6492" spans="1:1" x14ac:dyDescent="0.3">
      <c r="A6492" s="12"/>
    </row>
    <row r="6493" spans="1:1" x14ac:dyDescent="0.3">
      <c r="A6493" s="12"/>
    </row>
    <row r="6494" spans="1:1" x14ac:dyDescent="0.3">
      <c r="A6494" s="12"/>
    </row>
    <row r="6495" spans="1:1" x14ac:dyDescent="0.3">
      <c r="A6495" s="12"/>
    </row>
    <row r="6496" spans="1:1" x14ac:dyDescent="0.3">
      <c r="A6496" s="12"/>
    </row>
    <row r="6497" spans="1:1" x14ac:dyDescent="0.3">
      <c r="A6497" s="12"/>
    </row>
    <row r="6498" spans="1:1" x14ac:dyDescent="0.3">
      <c r="A6498" s="12"/>
    </row>
    <row r="6499" spans="1:1" x14ac:dyDescent="0.3">
      <c r="A6499" s="12"/>
    </row>
    <row r="6500" spans="1:1" x14ac:dyDescent="0.3">
      <c r="A6500" s="12"/>
    </row>
    <row r="6501" spans="1:1" x14ac:dyDescent="0.3">
      <c r="A6501" s="12"/>
    </row>
    <row r="6502" spans="1:1" x14ac:dyDescent="0.3">
      <c r="A6502" s="12"/>
    </row>
    <row r="6503" spans="1:1" x14ac:dyDescent="0.3">
      <c r="A6503" s="12"/>
    </row>
    <row r="6504" spans="1:1" x14ac:dyDescent="0.3">
      <c r="A6504" s="12"/>
    </row>
    <row r="6505" spans="1:1" x14ac:dyDescent="0.3">
      <c r="A6505" s="12"/>
    </row>
    <row r="6506" spans="1:1" x14ac:dyDescent="0.3">
      <c r="A6506" s="12"/>
    </row>
    <row r="6507" spans="1:1" x14ac:dyDescent="0.3">
      <c r="A6507" s="12"/>
    </row>
    <row r="6508" spans="1:1" x14ac:dyDescent="0.3">
      <c r="A6508" s="12"/>
    </row>
    <row r="6509" spans="1:1" x14ac:dyDescent="0.3">
      <c r="A6509" s="12"/>
    </row>
    <row r="6510" spans="1:1" x14ac:dyDescent="0.3">
      <c r="A6510" s="12"/>
    </row>
    <row r="6511" spans="1:1" x14ac:dyDescent="0.3">
      <c r="A6511" s="12"/>
    </row>
    <row r="6512" spans="1:1" x14ac:dyDescent="0.3">
      <c r="A6512" s="12"/>
    </row>
    <row r="6513" spans="1:1" x14ac:dyDescent="0.3">
      <c r="A6513" s="12"/>
    </row>
    <row r="6514" spans="1:1" x14ac:dyDescent="0.3">
      <c r="A6514" s="12"/>
    </row>
    <row r="6515" spans="1:1" x14ac:dyDescent="0.3">
      <c r="A6515" s="12"/>
    </row>
    <row r="6516" spans="1:1" x14ac:dyDescent="0.3">
      <c r="A6516" s="12"/>
    </row>
    <row r="6517" spans="1:1" x14ac:dyDescent="0.3">
      <c r="A6517" s="12"/>
    </row>
    <row r="6518" spans="1:1" x14ac:dyDescent="0.3">
      <c r="A6518" s="12"/>
    </row>
    <row r="6519" spans="1:1" x14ac:dyDescent="0.3">
      <c r="A6519" s="12"/>
    </row>
    <row r="6520" spans="1:1" x14ac:dyDescent="0.3">
      <c r="A6520" s="12"/>
    </row>
    <row r="6521" spans="1:1" x14ac:dyDescent="0.3">
      <c r="A6521" s="12"/>
    </row>
    <row r="6522" spans="1:1" x14ac:dyDescent="0.3">
      <c r="A6522" s="12"/>
    </row>
    <row r="6523" spans="1:1" x14ac:dyDescent="0.3">
      <c r="A6523" s="12"/>
    </row>
    <row r="6524" spans="1:1" x14ac:dyDescent="0.3">
      <c r="A6524" s="12"/>
    </row>
    <row r="6525" spans="1:1" x14ac:dyDescent="0.3">
      <c r="A6525" s="12"/>
    </row>
    <row r="6526" spans="1:1" x14ac:dyDescent="0.3">
      <c r="A6526" s="12"/>
    </row>
    <row r="6527" spans="1:1" x14ac:dyDescent="0.3">
      <c r="A6527" s="12"/>
    </row>
    <row r="6528" spans="1:1" x14ac:dyDescent="0.3">
      <c r="A6528" s="12"/>
    </row>
    <row r="6529" spans="1:1" x14ac:dyDescent="0.3">
      <c r="A6529" s="12"/>
    </row>
    <row r="6530" spans="1:1" x14ac:dyDescent="0.3">
      <c r="A6530" s="12"/>
    </row>
    <row r="6531" spans="1:1" x14ac:dyDescent="0.3">
      <c r="A6531" s="12"/>
    </row>
    <row r="6532" spans="1:1" x14ac:dyDescent="0.3">
      <c r="A6532" s="12"/>
    </row>
    <row r="6533" spans="1:1" x14ac:dyDescent="0.3">
      <c r="A6533" s="12"/>
    </row>
    <row r="6534" spans="1:1" x14ac:dyDescent="0.3">
      <c r="A6534" s="12"/>
    </row>
    <row r="6535" spans="1:1" x14ac:dyDescent="0.3">
      <c r="A6535" s="12"/>
    </row>
    <row r="6536" spans="1:1" x14ac:dyDescent="0.3">
      <c r="A6536" s="12"/>
    </row>
    <row r="6537" spans="1:1" x14ac:dyDescent="0.3">
      <c r="A6537" s="12"/>
    </row>
    <row r="6538" spans="1:1" x14ac:dyDescent="0.3">
      <c r="A6538" s="12"/>
    </row>
    <row r="6539" spans="1:1" x14ac:dyDescent="0.3">
      <c r="A6539" s="12"/>
    </row>
    <row r="6540" spans="1:1" x14ac:dyDescent="0.3">
      <c r="A6540" s="12"/>
    </row>
    <row r="6541" spans="1:1" x14ac:dyDescent="0.3">
      <c r="A6541" s="12"/>
    </row>
    <row r="6542" spans="1:1" x14ac:dyDescent="0.3">
      <c r="A6542" s="12"/>
    </row>
    <row r="6543" spans="1:1" x14ac:dyDescent="0.3">
      <c r="A6543" s="12"/>
    </row>
    <row r="6544" spans="1:1" x14ac:dyDescent="0.3">
      <c r="A6544" s="12"/>
    </row>
    <row r="6545" spans="1:1" x14ac:dyDescent="0.3">
      <c r="A6545" s="12"/>
    </row>
    <row r="6546" spans="1:1" x14ac:dyDescent="0.3">
      <c r="A6546" s="12"/>
    </row>
    <row r="6547" spans="1:1" x14ac:dyDescent="0.3">
      <c r="A6547" s="12"/>
    </row>
    <row r="6548" spans="1:1" x14ac:dyDescent="0.3">
      <c r="A6548" s="12"/>
    </row>
    <row r="6549" spans="1:1" x14ac:dyDescent="0.3">
      <c r="A6549" s="12"/>
    </row>
    <row r="6550" spans="1:1" x14ac:dyDescent="0.3">
      <c r="A6550" s="12"/>
    </row>
    <row r="6551" spans="1:1" x14ac:dyDescent="0.3">
      <c r="A6551" s="12"/>
    </row>
    <row r="6552" spans="1:1" x14ac:dyDescent="0.3">
      <c r="A6552" s="12"/>
    </row>
    <row r="6553" spans="1:1" x14ac:dyDescent="0.3">
      <c r="A6553" s="12"/>
    </row>
    <row r="6554" spans="1:1" x14ac:dyDescent="0.3">
      <c r="A6554" s="12"/>
    </row>
    <row r="6555" spans="1:1" x14ac:dyDescent="0.3">
      <c r="A6555" s="12"/>
    </row>
    <row r="6556" spans="1:1" x14ac:dyDescent="0.3">
      <c r="A6556" s="12"/>
    </row>
    <row r="6557" spans="1:1" x14ac:dyDescent="0.3">
      <c r="A6557" s="12"/>
    </row>
    <row r="6558" spans="1:1" x14ac:dyDescent="0.3">
      <c r="A6558" s="12"/>
    </row>
    <row r="6559" spans="1:1" x14ac:dyDescent="0.3">
      <c r="A6559" s="12"/>
    </row>
    <row r="6560" spans="1:1" x14ac:dyDescent="0.3">
      <c r="A6560" s="12"/>
    </row>
    <row r="6561" spans="1:1" x14ac:dyDescent="0.3">
      <c r="A6561" s="12"/>
    </row>
    <row r="6562" spans="1:1" x14ac:dyDescent="0.3">
      <c r="A6562" s="12"/>
    </row>
    <row r="6563" spans="1:1" x14ac:dyDescent="0.3">
      <c r="A6563" s="12"/>
    </row>
    <row r="6564" spans="1:1" x14ac:dyDescent="0.3">
      <c r="A6564" s="12"/>
    </row>
    <row r="6565" spans="1:1" x14ac:dyDescent="0.3">
      <c r="A6565" s="12"/>
    </row>
    <row r="6566" spans="1:1" x14ac:dyDescent="0.3">
      <c r="A6566" s="12"/>
    </row>
    <row r="6567" spans="1:1" x14ac:dyDescent="0.3">
      <c r="A6567" s="12"/>
    </row>
    <row r="6568" spans="1:1" x14ac:dyDescent="0.3">
      <c r="A6568" s="12"/>
    </row>
    <row r="6569" spans="1:1" x14ac:dyDescent="0.3">
      <c r="A6569" s="12"/>
    </row>
    <row r="6570" spans="1:1" x14ac:dyDescent="0.3">
      <c r="A6570" s="12"/>
    </row>
    <row r="6571" spans="1:1" x14ac:dyDescent="0.3">
      <c r="A6571" s="12"/>
    </row>
    <row r="6572" spans="1:1" x14ac:dyDescent="0.3">
      <c r="A6572" s="12"/>
    </row>
    <row r="6573" spans="1:1" x14ac:dyDescent="0.3">
      <c r="A6573" s="12"/>
    </row>
    <row r="6574" spans="1:1" x14ac:dyDescent="0.3">
      <c r="A6574" s="12"/>
    </row>
    <row r="6575" spans="1:1" x14ac:dyDescent="0.3">
      <c r="A6575" s="12"/>
    </row>
    <row r="6576" spans="1:1" x14ac:dyDescent="0.3">
      <c r="A6576" s="12"/>
    </row>
    <row r="6577" spans="1:1" x14ac:dyDescent="0.3">
      <c r="A6577" s="12"/>
    </row>
    <row r="6578" spans="1:1" x14ac:dyDescent="0.3">
      <c r="A6578" s="12"/>
    </row>
    <row r="6579" spans="1:1" x14ac:dyDescent="0.3">
      <c r="A6579" s="12"/>
    </row>
    <row r="6580" spans="1:1" x14ac:dyDescent="0.3">
      <c r="A6580" s="12"/>
    </row>
    <row r="6581" spans="1:1" x14ac:dyDescent="0.3">
      <c r="A6581" s="12"/>
    </row>
    <row r="6582" spans="1:1" x14ac:dyDescent="0.3">
      <c r="A6582" s="12"/>
    </row>
    <row r="6583" spans="1:1" x14ac:dyDescent="0.3">
      <c r="A6583" s="12"/>
    </row>
    <row r="6584" spans="1:1" x14ac:dyDescent="0.3">
      <c r="A6584" s="12"/>
    </row>
    <row r="6585" spans="1:1" x14ac:dyDescent="0.3">
      <c r="A6585" s="12"/>
    </row>
    <row r="6586" spans="1:1" x14ac:dyDescent="0.3">
      <c r="A6586" s="12"/>
    </row>
    <row r="6587" spans="1:1" x14ac:dyDescent="0.3">
      <c r="A6587" s="12"/>
    </row>
    <row r="6588" spans="1:1" x14ac:dyDescent="0.3">
      <c r="A6588" s="12"/>
    </row>
    <row r="6589" spans="1:1" x14ac:dyDescent="0.3">
      <c r="A6589" s="12"/>
    </row>
    <row r="6590" spans="1:1" x14ac:dyDescent="0.3">
      <c r="A6590" s="12"/>
    </row>
    <row r="6591" spans="1:1" x14ac:dyDescent="0.3">
      <c r="A6591" s="12"/>
    </row>
    <row r="6592" spans="1:1" x14ac:dyDescent="0.3">
      <c r="A6592" s="12"/>
    </row>
    <row r="6593" spans="1:1" x14ac:dyDescent="0.3">
      <c r="A6593" s="12"/>
    </row>
    <row r="6594" spans="1:1" x14ac:dyDescent="0.3">
      <c r="A6594" s="12"/>
    </row>
    <row r="6595" spans="1:1" x14ac:dyDescent="0.3">
      <c r="A6595" s="12"/>
    </row>
    <row r="6596" spans="1:1" x14ac:dyDescent="0.3">
      <c r="A6596" s="12"/>
    </row>
    <row r="6597" spans="1:1" x14ac:dyDescent="0.3">
      <c r="A6597" s="12"/>
    </row>
    <row r="6598" spans="1:1" x14ac:dyDescent="0.3">
      <c r="A6598" s="12"/>
    </row>
    <row r="6599" spans="1:1" x14ac:dyDescent="0.3">
      <c r="A6599" s="12"/>
    </row>
    <row r="6600" spans="1:1" x14ac:dyDescent="0.3">
      <c r="A6600" s="12"/>
    </row>
    <row r="6601" spans="1:1" x14ac:dyDescent="0.3">
      <c r="A6601" s="12"/>
    </row>
    <row r="6602" spans="1:1" x14ac:dyDescent="0.3">
      <c r="A6602" s="12"/>
    </row>
    <row r="6603" spans="1:1" x14ac:dyDescent="0.3">
      <c r="A6603" s="12"/>
    </row>
    <row r="6604" spans="1:1" x14ac:dyDescent="0.3">
      <c r="A6604" s="12"/>
    </row>
    <row r="6605" spans="1:1" x14ac:dyDescent="0.3">
      <c r="A6605" s="12"/>
    </row>
    <row r="6606" spans="1:1" x14ac:dyDescent="0.3">
      <c r="A6606" s="12"/>
    </row>
    <row r="6607" spans="1:1" x14ac:dyDescent="0.3">
      <c r="A6607" s="12"/>
    </row>
    <row r="6608" spans="1:1" x14ac:dyDescent="0.3">
      <c r="A6608" s="12"/>
    </row>
    <row r="6609" spans="1:1" x14ac:dyDescent="0.3">
      <c r="A6609" s="12"/>
    </row>
    <row r="6610" spans="1:1" x14ac:dyDescent="0.3">
      <c r="A6610" s="12"/>
    </row>
    <row r="6611" spans="1:1" x14ac:dyDescent="0.3">
      <c r="A6611" s="12"/>
    </row>
    <row r="6612" spans="1:1" x14ac:dyDescent="0.3">
      <c r="A6612" s="12"/>
    </row>
    <row r="6613" spans="1:1" x14ac:dyDescent="0.3">
      <c r="A6613" s="12"/>
    </row>
    <row r="6614" spans="1:1" x14ac:dyDescent="0.3">
      <c r="A6614" s="12"/>
    </row>
    <row r="6615" spans="1:1" x14ac:dyDescent="0.3">
      <c r="A6615" s="12"/>
    </row>
    <row r="6616" spans="1:1" x14ac:dyDescent="0.3">
      <c r="A6616" s="12"/>
    </row>
    <row r="6617" spans="1:1" x14ac:dyDescent="0.3">
      <c r="A6617" s="12"/>
    </row>
    <row r="6618" spans="1:1" x14ac:dyDescent="0.3">
      <c r="A6618" s="12"/>
    </row>
    <row r="6619" spans="1:1" x14ac:dyDescent="0.3">
      <c r="A6619" s="12"/>
    </row>
    <row r="6620" spans="1:1" x14ac:dyDescent="0.3">
      <c r="A6620" s="12"/>
    </row>
    <row r="6621" spans="1:1" x14ac:dyDescent="0.3">
      <c r="A6621" s="12"/>
    </row>
    <row r="6622" spans="1:1" x14ac:dyDescent="0.3">
      <c r="A6622" s="12"/>
    </row>
    <row r="6623" spans="1:1" x14ac:dyDescent="0.3">
      <c r="A6623" s="12"/>
    </row>
    <row r="6624" spans="1:1" x14ac:dyDescent="0.3">
      <c r="A6624" s="12"/>
    </row>
    <row r="6625" spans="1:1" x14ac:dyDescent="0.3">
      <c r="A6625" s="12"/>
    </row>
    <row r="6626" spans="1:1" x14ac:dyDescent="0.3">
      <c r="A6626" s="12"/>
    </row>
    <row r="6627" spans="1:1" x14ac:dyDescent="0.3">
      <c r="A6627" s="12"/>
    </row>
    <row r="6628" spans="1:1" x14ac:dyDescent="0.3">
      <c r="A6628" s="12"/>
    </row>
    <row r="6629" spans="1:1" x14ac:dyDescent="0.3">
      <c r="A6629" s="12"/>
    </row>
    <row r="6630" spans="1:1" x14ac:dyDescent="0.3">
      <c r="A6630" s="12"/>
    </row>
    <row r="6631" spans="1:1" x14ac:dyDescent="0.3">
      <c r="A6631" s="12"/>
    </row>
    <row r="6632" spans="1:1" x14ac:dyDescent="0.3">
      <c r="A6632" s="12"/>
    </row>
    <row r="6633" spans="1:1" x14ac:dyDescent="0.3">
      <c r="A6633" s="12"/>
    </row>
    <row r="6634" spans="1:1" x14ac:dyDescent="0.3">
      <c r="A6634" s="12"/>
    </row>
    <row r="6635" spans="1:1" x14ac:dyDescent="0.3">
      <c r="A6635" s="12"/>
    </row>
    <row r="6636" spans="1:1" x14ac:dyDescent="0.3">
      <c r="A6636" s="12"/>
    </row>
    <row r="6637" spans="1:1" x14ac:dyDescent="0.3">
      <c r="A6637" s="12"/>
    </row>
    <row r="6638" spans="1:1" x14ac:dyDescent="0.3">
      <c r="A6638" s="12"/>
    </row>
    <row r="6639" spans="1:1" x14ac:dyDescent="0.3">
      <c r="A6639" s="12"/>
    </row>
    <row r="6640" spans="1:1" x14ac:dyDescent="0.3">
      <c r="A6640" s="12"/>
    </row>
    <row r="6641" spans="1:1" x14ac:dyDescent="0.3">
      <c r="A6641" s="12"/>
    </row>
    <row r="6642" spans="1:1" x14ac:dyDescent="0.3">
      <c r="A6642" s="12"/>
    </row>
    <row r="6643" spans="1:1" x14ac:dyDescent="0.3">
      <c r="A6643" s="12"/>
    </row>
    <row r="6644" spans="1:1" x14ac:dyDescent="0.3">
      <c r="A6644" s="12"/>
    </row>
    <row r="6645" spans="1:1" x14ac:dyDescent="0.3">
      <c r="A6645" s="12"/>
    </row>
    <row r="6646" spans="1:1" x14ac:dyDescent="0.3">
      <c r="A6646" s="12"/>
    </row>
    <row r="6647" spans="1:1" x14ac:dyDescent="0.3">
      <c r="A6647" s="12"/>
    </row>
    <row r="6648" spans="1:1" x14ac:dyDescent="0.3">
      <c r="A6648" s="12"/>
    </row>
    <row r="6649" spans="1:1" x14ac:dyDescent="0.3">
      <c r="A6649" s="12"/>
    </row>
    <row r="6650" spans="1:1" x14ac:dyDescent="0.3">
      <c r="A6650" s="12"/>
    </row>
    <row r="6651" spans="1:1" x14ac:dyDescent="0.3">
      <c r="A6651" s="12"/>
    </row>
    <row r="6652" spans="1:1" x14ac:dyDescent="0.3">
      <c r="A6652" s="12"/>
    </row>
    <row r="6653" spans="1:1" x14ac:dyDescent="0.3">
      <c r="A6653" s="12"/>
    </row>
    <row r="6654" spans="1:1" x14ac:dyDescent="0.3">
      <c r="A6654" s="12"/>
    </row>
    <row r="6655" spans="1:1" x14ac:dyDescent="0.3">
      <c r="A6655" s="12"/>
    </row>
    <row r="6656" spans="1:1" x14ac:dyDescent="0.3">
      <c r="A6656" s="12"/>
    </row>
    <row r="6657" spans="1:1" x14ac:dyDescent="0.3">
      <c r="A6657" s="12"/>
    </row>
    <row r="6658" spans="1:1" x14ac:dyDescent="0.3">
      <c r="A6658" s="12"/>
    </row>
    <row r="6659" spans="1:1" x14ac:dyDescent="0.3">
      <c r="A6659" s="12"/>
    </row>
    <row r="6660" spans="1:1" x14ac:dyDescent="0.3">
      <c r="A6660" s="12"/>
    </row>
    <row r="6661" spans="1:1" x14ac:dyDescent="0.3">
      <c r="A6661" s="12"/>
    </row>
    <row r="6662" spans="1:1" x14ac:dyDescent="0.3">
      <c r="A6662" s="12"/>
    </row>
    <row r="6663" spans="1:1" x14ac:dyDescent="0.3">
      <c r="A6663" s="12"/>
    </row>
    <row r="6664" spans="1:1" x14ac:dyDescent="0.3">
      <c r="A6664" s="12"/>
    </row>
    <row r="6665" spans="1:1" x14ac:dyDescent="0.3">
      <c r="A6665" s="12"/>
    </row>
    <row r="6666" spans="1:1" x14ac:dyDescent="0.3">
      <c r="A6666" s="12"/>
    </row>
    <row r="6667" spans="1:1" x14ac:dyDescent="0.3">
      <c r="A6667" s="12"/>
    </row>
    <row r="6668" spans="1:1" x14ac:dyDescent="0.3">
      <c r="A6668" s="12"/>
    </row>
    <row r="6669" spans="1:1" x14ac:dyDescent="0.3">
      <c r="A6669" s="12"/>
    </row>
    <row r="6670" spans="1:1" x14ac:dyDescent="0.3">
      <c r="A6670" s="12"/>
    </row>
    <row r="6671" spans="1:1" x14ac:dyDescent="0.3">
      <c r="A6671" s="12"/>
    </row>
    <row r="6672" spans="1:1" x14ac:dyDescent="0.3">
      <c r="A6672" s="12"/>
    </row>
    <row r="6673" spans="1:1" x14ac:dyDescent="0.3">
      <c r="A6673" s="12"/>
    </row>
    <row r="6674" spans="1:1" x14ac:dyDescent="0.3">
      <c r="A6674" s="12"/>
    </row>
    <row r="6675" spans="1:1" x14ac:dyDescent="0.3">
      <c r="A6675" s="12"/>
    </row>
    <row r="6676" spans="1:1" x14ac:dyDescent="0.3">
      <c r="A6676" s="12"/>
    </row>
    <row r="6677" spans="1:1" x14ac:dyDescent="0.3">
      <c r="A6677" s="12"/>
    </row>
    <row r="6678" spans="1:1" x14ac:dyDescent="0.3">
      <c r="A6678" s="12"/>
    </row>
    <row r="6679" spans="1:1" x14ac:dyDescent="0.3">
      <c r="A6679" s="12"/>
    </row>
    <row r="6680" spans="1:1" x14ac:dyDescent="0.3">
      <c r="A6680" s="12"/>
    </row>
    <row r="6681" spans="1:1" x14ac:dyDescent="0.3">
      <c r="A6681" s="12"/>
    </row>
    <row r="6682" spans="1:1" x14ac:dyDescent="0.3">
      <c r="A6682" s="12"/>
    </row>
    <row r="6683" spans="1:1" x14ac:dyDescent="0.3">
      <c r="A6683" s="12"/>
    </row>
    <row r="6684" spans="1:1" x14ac:dyDescent="0.3">
      <c r="A6684" s="12"/>
    </row>
    <row r="6685" spans="1:1" x14ac:dyDescent="0.3">
      <c r="A6685" s="12"/>
    </row>
    <row r="6686" spans="1:1" x14ac:dyDescent="0.3">
      <c r="A6686" s="12"/>
    </row>
    <row r="6687" spans="1:1" x14ac:dyDescent="0.3">
      <c r="A6687" s="12"/>
    </row>
    <row r="6688" spans="1:1" x14ac:dyDescent="0.3">
      <c r="A6688" s="12"/>
    </row>
    <row r="6689" spans="1:1" x14ac:dyDescent="0.3">
      <c r="A6689" s="12"/>
    </row>
    <row r="6690" spans="1:1" x14ac:dyDescent="0.3">
      <c r="A6690" s="12"/>
    </row>
    <row r="6691" spans="1:1" x14ac:dyDescent="0.3">
      <c r="A6691" s="12"/>
    </row>
    <row r="6692" spans="1:1" x14ac:dyDescent="0.3">
      <c r="A6692" s="12"/>
    </row>
    <row r="6693" spans="1:1" x14ac:dyDescent="0.3">
      <c r="A6693" s="12"/>
    </row>
    <row r="6694" spans="1:1" x14ac:dyDescent="0.3">
      <c r="A6694" s="12"/>
    </row>
    <row r="6695" spans="1:1" x14ac:dyDescent="0.3">
      <c r="A6695" s="12"/>
    </row>
    <row r="6696" spans="1:1" x14ac:dyDescent="0.3">
      <c r="A6696" s="12"/>
    </row>
    <row r="6697" spans="1:1" x14ac:dyDescent="0.3">
      <c r="A6697" s="12"/>
    </row>
    <row r="6698" spans="1:1" x14ac:dyDescent="0.3">
      <c r="A6698" s="12"/>
    </row>
    <row r="6699" spans="1:1" x14ac:dyDescent="0.3">
      <c r="A6699" s="12"/>
    </row>
    <row r="6700" spans="1:1" x14ac:dyDescent="0.3">
      <c r="A6700" s="12"/>
    </row>
    <row r="6701" spans="1:1" x14ac:dyDescent="0.3">
      <c r="A6701" s="12"/>
    </row>
    <row r="6702" spans="1:1" x14ac:dyDescent="0.3">
      <c r="A6702" s="12"/>
    </row>
    <row r="6703" spans="1:1" x14ac:dyDescent="0.3">
      <c r="A6703" s="12"/>
    </row>
    <row r="6704" spans="1:1" x14ac:dyDescent="0.3">
      <c r="A6704" s="12"/>
    </row>
    <row r="6705" spans="1:1" x14ac:dyDescent="0.3">
      <c r="A6705" s="12"/>
    </row>
    <row r="6706" spans="1:1" x14ac:dyDescent="0.3">
      <c r="A6706" s="12"/>
    </row>
    <row r="6707" spans="1:1" x14ac:dyDescent="0.3">
      <c r="A6707" s="12"/>
    </row>
    <row r="6708" spans="1:1" x14ac:dyDescent="0.3">
      <c r="A6708" s="12"/>
    </row>
    <row r="6709" spans="1:1" x14ac:dyDescent="0.3">
      <c r="A6709" s="12"/>
    </row>
    <row r="6710" spans="1:1" x14ac:dyDescent="0.3">
      <c r="A6710" s="12"/>
    </row>
    <row r="6711" spans="1:1" x14ac:dyDescent="0.3">
      <c r="A6711" s="12"/>
    </row>
    <row r="6712" spans="1:1" x14ac:dyDescent="0.3">
      <c r="A6712" s="12"/>
    </row>
    <row r="6713" spans="1:1" x14ac:dyDescent="0.3">
      <c r="A6713" s="12"/>
    </row>
    <row r="6714" spans="1:1" x14ac:dyDescent="0.3">
      <c r="A6714" s="12"/>
    </row>
    <row r="6715" spans="1:1" x14ac:dyDescent="0.3">
      <c r="A6715" s="12"/>
    </row>
    <row r="6716" spans="1:1" x14ac:dyDescent="0.3">
      <c r="A6716" s="12"/>
    </row>
    <row r="6717" spans="1:1" x14ac:dyDescent="0.3">
      <c r="A6717" s="12"/>
    </row>
    <row r="6718" spans="1:1" x14ac:dyDescent="0.3">
      <c r="A6718" s="12"/>
    </row>
    <row r="6719" spans="1:1" x14ac:dyDescent="0.3">
      <c r="A6719" s="12"/>
    </row>
    <row r="6720" spans="1:1" x14ac:dyDescent="0.3">
      <c r="A6720" s="12"/>
    </row>
    <row r="6721" spans="1:1" x14ac:dyDescent="0.3">
      <c r="A6721" s="12"/>
    </row>
    <row r="6722" spans="1:1" x14ac:dyDescent="0.3">
      <c r="A6722" s="12"/>
    </row>
    <row r="6723" spans="1:1" x14ac:dyDescent="0.3">
      <c r="A6723" s="12"/>
    </row>
    <row r="6724" spans="1:1" x14ac:dyDescent="0.3">
      <c r="A6724" s="12"/>
    </row>
    <row r="6725" spans="1:1" x14ac:dyDescent="0.3">
      <c r="A6725" s="12"/>
    </row>
    <row r="6726" spans="1:1" x14ac:dyDescent="0.3">
      <c r="A6726" s="12"/>
    </row>
    <row r="6727" spans="1:1" x14ac:dyDescent="0.3">
      <c r="A6727" s="12"/>
    </row>
    <row r="6728" spans="1:1" x14ac:dyDescent="0.3">
      <c r="A6728" s="12"/>
    </row>
    <row r="6729" spans="1:1" x14ac:dyDescent="0.3">
      <c r="A6729" s="12"/>
    </row>
    <row r="6730" spans="1:1" x14ac:dyDescent="0.3">
      <c r="A6730" s="12"/>
    </row>
    <row r="6731" spans="1:1" x14ac:dyDescent="0.3">
      <c r="A6731" s="12"/>
    </row>
    <row r="6732" spans="1:1" x14ac:dyDescent="0.3">
      <c r="A6732" s="12"/>
    </row>
    <row r="6733" spans="1:1" x14ac:dyDescent="0.3">
      <c r="A6733" s="12"/>
    </row>
    <row r="6734" spans="1:1" x14ac:dyDescent="0.3">
      <c r="A6734" s="12"/>
    </row>
    <row r="6735" spans="1:1" x14ac:dyDescent="0.3">
      <c r="A6735" s="12"/>
    </row>
    <row r="6736" spans="1:1" x14ac:dyDescent="0.3">
      <c r="A6736" s="12"/>
    </row>
    <row r="6737" spans="1:1" x14ac:dyDescent="0.3">
      <c r="A6737" s="12"/>
    </row>
    <row r="6738" spans="1:1" x14ac:dyDescent="0.3">
      <c r="A6738" s="12"/>
    </row>
    <row r="6739" spans="1:1" x14ac:dyDescent="0.3">
      <c r="A6739" s="12"/>
    </row>
    <row r="6740" spans="1:1" x14ac:dyDescent="0.3">
      <c r="A6740" s="12"/>
    </row>
    <row r="6741" spans="1:1" x14ac:dyDescent="0.3">
      <c r="A6741" s="12"/>
    </row>
    <row r="6742" spans="1:1" x14ac:dyDescent="0.3">
      <c r="A6742" s="12"/>
    </row>
    <row r="6743" spans="1:1" x14ac:dyDescent="0.3">
      <c r="A6743" s="12"/>
    </row>
    <row r="6744" spans="1:1" x14ac:dyDescent="0.3">
      <c r="A6744" s="12"/>
    </row>
    <row r="6745" spans="1:1" x14ac:dyDescent="0.3">
      <c r="A6745" s="12"/>
    </row>
    <row r="6746" spans="1:1" x14ac:dyDescent="0.3">
      <c r="A6746" s="12"/>
    </row>
    <row r="6747" spans="1:1" x14ac:dyDescent="0.3">
      <c r="A6747" s="12"/>
    </row>
    <row r="6748" spans="1:1" x14ac:dyDescent="0.3">
      <c r="A6748" s="12"/>
    </row>
    <row r="6749" spans="1:1" x14ac:dyDescent="0.3">
      <c r="A6749" s="12"/>
    </row>
    <row r="6750" spans="1:1" x14ac:dyDescent="0.3">
      <c r="A6750" s="12"/>
    </row>
    <row r="6751" spans="1:1" x14ac:dyDescent="0.3">
      <c r="A6751" s="12"/>
    </row>
    <row r="6752" spans="1:1" x14ac:dyDescent="0.3">
      <c r="A6752" s="12"/>
    </row>
    <row r="6753" spans="1:1" x14ac:dyDescent="0.3">
      <c r="A6753" s="12"/>
    </row>
    <row r="6754" spans="1:1" x14ac:dyDescent="0.3">
      <c r="A6754" s="12"/>
    </row>
    <row r="6755" spans="1:1" x14ac:dyDescent="0.3">
      <c r="A6755" s="12"/>
    </row>
    <row r="6756" spans="1:1" x14ac:dyDescent="0.3">
      <c r="A6756" s="12"/>
    </row>
    <row r="6757" spans="1:1" x14ac:dyDescent="0.3">
      <c r="A6757" s="12"/>
    </row>
    <row r="6758" spans="1:1" x14ac:dyDescent="0.3">
      <c r="A6758" s="12"/>
    </row>
    <row r="6759" spans="1:1" x14ac:dyDescent="0.3">
      <c r="A6759" s="12"/>
    </row>
    <row r="6760" spans="1:1" x14ac:dyDescent="0.3">
      <c r="A6760" s="12"/>
    </row>
    <row r="6761" spans="1:1" x14ac:dyDescent="0.3">
      <c r="A6761" s="12"/>
    </row>
    <row r="6762" spans="1:1" x14ac:dyDescent="0.3">
      <c r="A6762" s="12"/>
    </row>
    <row r="6763" spans="1:1" x14ac:dyDescent="0.3">
      <c r="A6763" s="12"/>
    </row>
    <row r="6764" spans="1:1" x14ac:dyDescent="0.3">
      <c r="A6764" s="12"/>
    </row>
    <row r="6765" spans="1:1" x14ac:dyDescent="0.3">
      <c r="A6765" s="12"/>
    </row>
    <row r="6766" spans="1:1" x14ac:dyDescent="0.3">
      <c r="A6766" s="12"/>
    </row>
    <row r="6767" spans="1:1" x14ac:dyDescent="0.3">
      <c r="A6767" s="12"/>
    </row>
    <row r="6768" spans="1:1" x14ac:dyDescent="0.3">
      <c r="A6768" s="12"/>
    </row>
    <row r="6769" spans="1:1" x14ac:dyDescent="0.3">
      <c r="A6769" s="12"/>
    </row>
    <row r="6770" spans="1:1" x14ac:dyDescent="0.3">
      <c r="A6770" s="12"/>
    </row>
    <row r="6771" spans="1:1" x14ac:dyDescent="0.3">
      <c r="A6771" s="12"/>
    </row>
    <row r="6772" spans="1:1" x14ac:dyDescent="0.3">
      <c r="A6772" s="12"/>
    </row>
    <row r="6773" spans="1:1" x14ac:dyDescent="0.3">
      <c r="A6773" s="12"/>
    </row>
    <row r="6774" spans="1:1" x14ac:dyDescent="0.3">
      <c r="A6774" s="12"/>
    </row>
    <row r="6775" spans="1:1" x14ac:dyDescent="0.3">
      <c r="A6775" s="12"/>
    </row>
    <row r="6776" spans="1:1" x14ac:dyDescent="0.3">
      <c r="A6776" s="12"/>
    </row>
    <row r="6777" spans="1:1" x14ac:dyDescent="0.3">
      <c r="A6777" s="12"/>
    </row>
    <row r="6778" spans="1:1" x14ac:dyDescent="0.3">
      <c r="A6778" s="12"/>
    </row>
    <row r="6779" spans="1:1" x14ac:dyDescent="0.3">
      <c r="A6779" s="12"/>
    </row>
    <row r="6780" spans="1:1" x14ac:dyDescent="0.3">
      <c r="A6780" s="12"/>
    </row>
    <row r="6781" spans="1:1" x14ac:dyDescent="0.3">
      <c r="A6781" s="12"/>
    </row>
    <row r="6782" spans="1:1" x14ac:dyDescent="0.3">
      <c r="A6782" s="12"/>
    </row>
    <row r="6783" spans="1:1" x14ac:dyDescent="0.3">
      <c r="A6783" s="12"/>
    </row>
    <row r="6784" spans="1:1" x14ac:dyDescent="0.3">
      <c r="A6784" s="12"/>
    </row>
    <row r="6785" spans="1:1" x14ac:dyDescent="0.3">
      <c r="A6785" s="12"/>
    </row>
    <row r="6786" spans="1:1" x14ac:dyDescent="0.3">
      <c r="A6786" s="12"/>
    </row>
    <row r="6787" spans="1:1" x14ac:dyDescent="0.3">
      <c r="A6787" s="12"/>
    </row>
    <row r="6788" spans="1:1" x14ac:dyDescent="0.3">
      <c r="A6788" s="12"/>
    </row>
    <row r="6789" spans="1:1" x14ac:dyDescent="0.3">
      <c r="A6789" s="12"/>
    </row>
    <row r="6790" spans="1:1" x14ac:dyDescent="0.3">
      <c r="A6790" s="12"/>
    </row>
    <row r="6791" spans="1:1" x14ac:dyDescent="0.3">
      <c r="A6791" s="12"/>
    </row>
    <row r="6792" spans="1:1" x14ac:dyDescent="0.3">
      <c r="A6792" s="12"/>
    </row>
    <row r="6793" spans="1:1" x14ac:dyDescent="0.3">
      <c r="A6793" s="12"/>
    </row>
    <row r="6794" spans="1:1" x14ac:dyDescent="0.3">
      <c r="A6794" s="12"/>
    </row>
    <row r="6795" spans="1:1" x14ac:dyDescent="0.3">
      <c r="A6795" s="12"/>
    </row>
    <row r="6796" spans="1:1" x14ac:dyDescent="0.3">
      <c r="A6796" s="12"/>
    </row>
    <row r="6797" spans="1:1" x14ac:dyDescent="0.3">
      <c r="A6797" s="12"/>
    </row>
    <row r="6798" spans="1:1" x14ac:dyDescent="0.3">
      <c r="A6798" s="12"/>
    </row>
    <row r="6799" spans="1:1" x14ac:dyDescent="0.3">
      <c r="A6799" s="12"/>
    </row>
    <row r="6800" spans="1:1" x14ac:dyDescent="0.3">
      <c r="A6800" s="12"/>
    </row>
    <row r="6801" spans="1:1" x14ac:dyDescent="0.3">
      <c r="A6801" s="12"/>
    </row>
    <row r="6802" spans="1:1" x14ac:dyDescent="0.3">
      <c r="A6802" s="12"/>
    </row>
    <row r="6803" spans="1:1" x14ac:dyDescent="0.3">
      <c r="A6803" s="12"/>
    </row>
    <row r="6804" spans="1:1" x14ac:dyDescent="0.3">
      <c r="A6804" s="12"/>
    </row>
    <row r="6805" spans="1:1" x14ac:dyDescent="0.3">
      <c r="A6805" s="12"/>
    </row>
    <row r="6806" spans="1:1" x14ac:dyDescent="0.3">
      <c r="A6806" s="12"/>
    </row>
    <row r="6807" spans="1:1" x14ac:dyDescent="0.3">
      <c r="A6807" s="12"/>
    </row>
    <row r="6808" spans="1:1" x14ac:dyDescent="0.3">
      <c r="A6808" s="12"/>
    </row>
    <row r="6809" spans="1:1" x14ac:dyDescent="0.3">
      <c r="A6809" s="12"/>
    </row>
    <row r="6810" spans="1:1" x14ac:dyDescent="0.3">
      <c r="A6810" s="12"/>
    </row>
    <row r="6811" spans="1:1" x14ac:dyDescent="0.3">
      <c r="A6811" s="12"/>
    </row>
    <row r="6812" spans="1:1" x14ac:dyDescent="0.3">
      <c r="A6812" s="12"/>
    </row>
    <row r="6813" spans="1:1" x14ac:dyDescent="0.3">
      <c r="A6813" s="12"/>
    </row>
    <row r="6814" spans="1:1" x14ac:dyDescent="0.3">
      <c r="A6814" s="12"/>
    </row>
    <row r="6815" spans="1:1" x14ac:dyDescent="0.3">
      <c r="A6815" s="12"/>
    </row>
    <row r="6816" spans="1:1" x14ac:dyDescent="0.3">
      <c r="A6816" s="12"/>
    </row>
    <row r="6817" spans="1:1" x14ac:dyDescent="0.3">
      <c r="A6817" s="12"/>
    </row>
    <row r="6818" spans="1:1" x14ac:dyDescent="0.3">
      <c r="A6818" s="12"/>
    </row>
    <row r="6819" spans="1:1" x14ac:dyDescent="0.3">
      <c r="A6819" s="12"/>
    </row>
    <row r="6820" spans="1:1" x14ac:dyDescent="0.3">
      <c r="A6820" s="12"/>
    </row>
    <row r="6821" spans="1:1" x14ac:dyDescent="0.3">
      <c r="A6821" s="12"/>
    </row>
    <row r="6822" spans="1:1" x14ac:dyDescent="0.3">
      <c r="A6822" s="12"/>
    </row>
    <row r="6823" spans="1:1" x14ac:dyDescent="0.3">
      <c r="A6823" s="12"/>
    </row>
    <row r="6824" spans="1:1" x14ac:dyDescent="0.3">
      <c r="A6824" s="12"/>
    </row>
    <row r="6825" spans="1:1" x14ac:dyDescent="0.3">
      <c r="A6825" s="12"/>
    </row>
    <row r="6826" spans="1:1" x14ac:dyDescent="0.3">
      <c r="A6826" s="12"/>
    </row>
    <row r="6827" spans="1:1" x14ac:dyDescent="0.3">
      <c r="A6827" s="12"/>
    </row>
    <row r="6828" spans="1:1" x14ac:dyDescent="0.3">
      <c r="A6828" s="12"/>
    </row>
    <row r="6829" spans="1:1" x14ac:dyDescent="0.3">
      <c r="A6829" s="12"/>
    </row>
    <row r="6830" spans="1:1" x14ac:dyDescent="0.3">
      <c r="A6830" s="12"/>
    </row>
    <row r="6831" spans="1:1" x14ac:dyDescent="0.3">
      <c r="A6831" s="12"/>
    </row>
    <row r="6832" spans="1:1" x14ac:dyDescent="0.3">
      <c r="A6832" s="12"/>
    </row>
    <row r="6833" spans="1:1" x14ac:dyDescent="0.3">
      <c r="A6833" s="12"/>
    </row>
    <row r="6834" spans="1:1" x14ac:dyDescent="0.3">
      <c r="A6834" s="12"/>
    </row>
    <row r="6835" spans="1:1" x14ac:dyDescent="0.3">
      <c r="A6835" s="12"/>
    </row>
    <row r="6836" spans="1:1" x14ac:dyDescent="0.3">
      <c r="A6836" s="12"/>
    </row>
    <row r="6837" spans="1:1" x14ac:dyDescent="0.3">
      <c r="A6837" s="12"/>
    </row>
    <row r="6838" spans="1:1" x14ac:dyDescent="0.3">
      <c r="A6838" s="12"/>
    </row>
    <row r="6839" spans="1:1" x14ac:dyDescent="0.3">
      <c r="A6839" s="12"/>
    </row>
    <row r="6840" spans="1:1" x14ac:dyDescent="0.3">
      <c r="A6840" s="12"/>
    </row>
    <row r="6841" spans="1:1" x14ac:dyDescent="0.3">
      <c r="A6841" s="12"/>
    </row>
    <row r="6842" spans="1:1" x14ac:dyDescent="0.3">
      <c r="A6842" s="12"/>
    </row>
    <row r="6843" spans="1:1" x14ac:dyDescent="0.3">
      <c r="A6843" s="12"/>
    </row>
    <row r="6844" spans="1:1" x14ac:dyDescent="0.3">
      <c r="A6844" s="12"/>
    </row>
    <row r="6845" spans="1:1" x14ac:dyDescent="0.3">
      <c r="A6845" s="12"/>
    </row>
    <row r="6846" spans="1:1" x14ac:dyDescent="0.3">
      <c r="A6846" s="12"/>
    </row>
    <row r="6847" spans="1:1" x14ac:dyDescent="0.3">
      <c r="A6847" s="12"/>
    </row>
    <row r="6848" spans="1:1" x14ac:dyDescent="0.3">
      <c r="A6848" s="12"/>
    </row>
    <row r="6849" spans="1:1" x14ac:dyDescent="0.3">
      <c r="A6849" s="12"/>
    </row>
    <row r="6850" spans="1:1" x14ac:dyDescent="0.3">
      <c r="A6850" s="12"/>
    </row>
    <row r="6851" spans="1:1" x14ac:dyDescent="0.3">
      <c r="A6851" s="12"/>
    </row>
    <row r="6852" spans="1:1" x14ac:dyDescent="0.3">
      <c r="A6852" s="12"/>
    </row>
    <row r="6853" spans="1:1" x14ac:dyDescent="0.3">
      <c r="A6853" s="12"/>
    </row>
    <row r="6854" spans="1:1" x14ac:dyDescent="0.3">
      <c r="A6854" s="12"/>
    </row>
    <row r="6855" spans="1:1" x14ac:dyDescent="0.3">
      <c r="A6855" s="12"/>
    </row>
    <row r="6856" spans="1:1" x14ac:dyDescent="0.3">
      <c r="A6856" s="12"/>
    </row>
    <row r="6857" spans="1:1" x14ac:dyDescent="0.3">
      <c r="A6857" s="12"/>
    </row>
    <row r="6858" spans="1:1" x14ac:dyDescent="0.3">
      <c r="A6858" s="12"/>
    </row>
    <row r="6859" spans="1:1" x14ac:dyDescent="0.3">
      <c r="A6859" s="12"/>
    </row>
    <row r="6860" spans="1:1" x14ac:dyDescent="0.3">
      <c r="A6860" s="12"/>
    </row>
    <row r="6861" spans="1:1" x14ac:dyDescent="0.3">
      <c r="A6861" s="12"/>
    </row>
    <row r="6862" spans="1:1" x14ac:dyDescent="0.3">
      <c r="A6862" s="12"/>
    </row>
    <row r="6863" spans="1:1" x14ac:dyDescent="0.3">
      <c r="A6863" s="12"/>
    </row>
    <row r="6864" spans="1:1" x14ac:dyDescent="0.3">
      <c r="A6864" s="12"/>
    </row>
    <row r="6865" spans="1:1" x14ac:dyDescent="0.3">
      <c r="A6865" s="12"/>
    </row>
    <row r="6866" spans="1:1" x14ac:dyDescent="0.3">
      <c r="A6866" s="12"/>
    </row>
    <row r="6867" spans="1:1" x14ac:dyDescent="0.3">
      <c r="A6867" s="12"/>
    </row>
    <row r="6868" spans="1:1" x14ac:dyDescent="0.3">
      <c r="A6868" s="12"/>
    </row>
    <row r="6869" spans="1:1" x14ac:dyDescent="0.3">
      <c r="A6869" s="12"/>
    </row>
    <row r="6870" spans="1:1" x14ac:dyDescent="0.3">
      <c r="A6870" s="12"/>
    </row>
    <row r="6871" spans="1:1" x14ac:dyDescent="0.3">
      <c r="A6871" s="12"/>
    </row>
    <row r="6872" spans="1:1" x14ac:dyDescent="0.3">
      <c r="A6872" s="12"/>
    </row>
    <row r="6873" spans="1:1" x14ac:dyDescent="0.3">
      <c r="A6873" s="12"/>
    </row>
    <row r="6874" spans="1:1" x14ac:dyDescent="0.3">
      <c r="A6874" s="12"/>
    </row>
    <row r="6875" spans="1:1" x14ac:dyDescent="0.3">
      <c r="A6875" s="12"/>
    </row>
    <row r="6876" spans="1:1" x14ac:dyDescent="0.3">
      <c r="A6876" s="12"/>
    </row>
    <row r="6877" spans="1:1" x14ac:dyDescent="0.3">
      <c r="A6877" s="12"/>
    </row>
    <row r="6878" spans="1:1" x14ac:dyDescent="0.3">
      <c r="A6878" s="12"/>
    </row>
    <row r="6879" spans="1:1" x14ac:dyDescent="0.3">
      <c r="A6879" s="12"/>
    </row>
    <row r="6880" spans="1:1" x14ac:dyDescent="0.3">
      <c r="A6880" s="12"/>
    </row>
    <row r="6881" spans="1:1" x14ac:dyDescent="0.3">
      <c r="A6881" s="12"/>
    </row>
    <row r="6882" spans="1:1" x14ac:dyDescent="0.3">
      <c r="A6882" s="12"/>
    </row>
    <row r="6883" spans="1:1" x14ac:dyDescent="0.3">
      <c r="A6883" s="12"/>
    </row>
    <row r="6884" spans="1:1" x14ac:dyDescent="0.3">
      <c r="A6884" s="12"/>
    </row>
    <row r="6885" spans="1:1" x14ac:dyDescent="0.3">
      <c r="A6885" s="12"/>
    </row>
    <row r="6886" spans="1:1" x14ac:dyDescent="0.3">
      <c r="A6886" s="12"/>
    </row>
    <row r="6887" spans="1:1" x14ac:dyDescent="0.3">
      <c r="A6887" s="12"/>
    </row>
    <row r="6888" spans="1:1" x14ac:dyDescent="0.3">
      <c r="A6888" s="12"/>
    </row>
    <row r="6889" spans="1:1" x14ac:dyDescent="0.3">
      <c r="A6889" s="12"/>
    </row>
    <row r="6890" spans="1:1" x14ac:dyDescent="0.3">
      <c r="A6890" s="12"/>
    </row>
    <row r="6891" spans="1:1" x14ac:dyDescent="0.3">
      <c r="A6891" s="12"/>
    </row>
    <row r="6892" spans="1:1" x14ac:dyDescent="0.3">
      <c r="A6892" s="12"/>
    </row>
    <row r="6893" spans="1:1" x14ac:dyDescent="0.3">
      <c r="A6893" s="12"/>
    </row>
    <row r="6894" spans="1:1" x14ac:dyDescent="0.3">
      <c r="A6894" s="12"/>
    </row>
    <row r="6895" spans="1:1" x14ac:dyDescent="0.3">
      <c r="A6895" s="12"/>
    </row>
    <row r="6896" spans="1:1" x14ac:dyDescent="0.3">
      <c r="A6896" s="12"/>
    </row>
    <row r="6897" spans="1:1" x14ac:dyDescent="0.3">
      <c r="A6897" s="12"/>
    </row>
    <row r="6898" spans="1:1" x14ac:dyDescent="0.3">
      <c r="A6898" s="12"/>
    </row>
    <row r="6899" spans="1:1" x14ac:dyDescent="0.3">
      <c r="A6899" s="12"/>
    </row>
    <row r="6900" spans="1:1" x14ac:dyDescent="0.3">
      <c r="A6900" s="12"/>
    </row>
    <row r="6901" spans="1:1" x14ac:dyDescent="0.3">
      <c r="A6901" s="12"/>
    </row>
    <row r="6902" spans="1:1" x14ac:dyDescent="0.3">
      <c r="A6902" s="12"/>
    </row>
    <row r="6903" spans="1:1" x14ac:dyDescent="0.3">
      <c r="A6903" s="12"/>
    </row>
    <row r="6904" spans="1:1" x14ac:dyDescent="0.3">
      <c r="A6904" s="12"/>
    </row>
    <row r="6905" spans="1:1" x14ac:dyDescent="0.3">
      <c r="A6905" s="12"/>
    </row>
    <row r="6906" spans="1:1" x14ac:dyDescent="0.3">
      <c r="A6906" s="12"/>
    </row>
    <row r="6907" spans="1:1" x14ac:dyDescent="0.3">
      <c r="A6907" s="12"/>
    </row>
    <row r="6908" spans="1:1" x14ac:dyDescent="0.3">
      <c r="A6908" s="12"/>
    </row>
    <row r="6909" spans="1:1" x14ac:dyDescent="0.3">
      <c r="A6909" s="12"/>
    </row>
    <row r="6910" spans="1:1" x14ac:dyDescent="0.3">
      <c r="A6910" s="12"/>
    </row>
    <row r="6911" spans="1:1" x14ac:dyDescent="0.3">
      <c r="A6911" s="12"/>
    </row>
    <row r="6912" spans="1:1" x14ac:dyDescent="0.3">
      <c r="A6912" s="12"/>
    </row>
    <row r="6913" spans="1:1" x14ac:dyDescent="0.3">
      <c r="A6913" s="12"/>
    </row>
    <row r="6914" spans="1:1" x14ac:dyDescent="0.3">
      <c r="A6914" s="12"/>
    </row>
    <row r="6915" spans="1:1" x14ac:dyDescent="0.3">
      <c r="A6915" s="12"/>
    </row>
    <row r="6916" spans="1:1" x14ac:dyDescent="0.3">
      <c r="A6916" s="12"/>
    </row>
    <row r="6917" spans="1:1" x14ac:dyDescent="0.3">
      <c r="A6917" s="12"/>
    </row>
    <row r="6918" spans="1:1" x14ac:dyDescent="0.3">
      <c r="A6918" s="12"/>
    </row>
    <row r="6919" spans="1:1" x14ac:dyDescent="0.3">
      <c r="A6919" s="12"/>
    </row>
    <row r="6920" spans="1:1" x14ac:dyDescent="0.3">
      <c r="A6920" s="12"/>
    </row>
    <row r="6921" spans="1:1" x14ac:dyDescent="0.3">
      <c r="A6921" s="12"/>
    </row>
    <row r="6922" spans="1:1" x14ac:dyDescent="0.3">
      <c r="A6922" s="12"/>
    </row>
    <row r="6923" spans="1:1" x14ac:dyDescent="0.3">
      <c r="A6923" s="12"/>
    </row>
    <row r="6924" spans="1:1" x14ac:dyDescent="0.3">
      <c r="A6924" s="12"/>
    </row>
    <row r="6925" spans="1:1" x14ac:dyDescent="0.3">
      <c r="A6925" s="12"/>
    </row>
    <row r="6926" spans="1:1" x14ac:dyDescent="0.3">
      <c r="A6926" s="12"/>
    </row>
    <row r="6927" spans="1:1" x14ac:dyDescent="0.3">
      <c r="A6927" s="12"/>
    </row>
    <row r="6928" spans="1:1" x14ac:dyDescent="0.3">
      <c r="A6928" s="12"/>
    </row>
    <row r="6929" spans="1:1" x14ac:dyDescent="0.3">
      <c r="A6929" s="12"/>
    </row>
    <row r="6930" spans="1:1" x14ac:dyDescent="0.3">
      <c r="A6930" s="12"/>
    </row>
    <row r="6931" spans="1:1" x14ac:dyDescent="0.3">
      <c r="A6931" s="12"/>
    </row>
    <row r="6932" spans="1:1" x14ac:dyDescent="0.3">
      <c r="A6932" s="12"/>
    </row>
    <row r="6933" spans="1:1" x14ac:dyDescent="0.3">
      <c r="A6933" s="12"/>
    </row>
    <row r="6934" spans="1:1" x14ac:dyDescent="0.3">
      <c r="A6934" s="12"/>
    </row>
    <row r="6935" spans="1:1" x14ac:dyDescent="0.3">
      <c r="A6935" s="12"/>
    </row>
    <row r="6936" spans="1:1" x14ac:dyDescent="0.3">
      <c r="A6936" s="12"/>
    </row>
    <row r="6937" spans="1:1" x14ac:dyDescent="0.3">
      <c r="A6937" s="12"/>
    </row>
    <row r="6938" spans="1:1" x14ac:dyDescent="0.3">
      <c r="A6938" s="12"/>
    </row>
    <row r="6939" spans="1:1" x14ac:dyDescent="0.3">
      <c r="A6939" s="12"/>
    </row>
    <row r="6940" spans="1:1" x14ac:dyDescent="0.3">
      <c r="A6940" s="12"/>
    </row>
    <row r="6941" spans="1:1" x14ac:dyDescent="0.3">
      <c r="A6941" s="12"/>
    </row>
    <row r="6942" spans="1:1" x14ac:dyDescent="0.3">
      <c r="A6942" s="12"/>
    </row>
    <row r="6943" spans="1:1" x14ac:dyDescent="0.3">
      <c r="A6943" s="12"/>
    </row>
    <row r="6944" spans="1:1" x14ac:dyDescent="0.3">
      <c r="A6944" s="12"/>
    </row>
    <row r="6945" spans="1:1" x14ac:dyDescent="0.3">
      <c r="A6945" s="12"/>
    </row>
    <row r="6946" spans="1:1" x14ac:dyDescent="0.3">
      <c r="A6946" s="12"/>
    </row>
    <row r="6947" spans="1:1" x14ac:dyDescent="0.3">
      <c r="A6947" s="12"/>
    </row>
    <row r="6948" spans="1:1" x14ac:dyDescent="0.3">
      <c r="A6948" s="12"/>
    </row>
    <row r="6949" spans="1:1" x14ac:dyDescent="0.3">
      <c r="A6949" s="12"/>
    </row>
    <row r="6950" spans="1:1" x14ac:dyDescent="0.3">
      <c r="A6950" s="12"/>
    </row>
    <row r="6951" spans="1:1" x14ac:dyDescent="0.3">
      <c r="A6951" s="12"/>
    </row>
    <row r="6952" spans="1:1" x14ac:dyDescent="0.3">
      <c r="A6952" s="12"/>
    </row>
    <row r="6953" spans="1:1" x14ac:dyDescent="0.3">
      <c r="A6953" s="12"/>
    </row>
    <row r="6954" spans="1:1" x14ac:dyDescent="0.3">
      <c r="A6954" s="12"/>
    </row>
    <row r="6955" spans="1:1" x14ac:dyDescent="0.3">
      <c r="A6955" s="12"/>
    </row>
    <row r="6956" spans="1:1" x14ac:dyDescent="0.3">
      <c r="A6956" s="12"/>
    </row>
    <row r="6957" spans="1:1" x14ac:dyDescent="0.3">
      <c r="A6957" s="12"/>
    </row>
    <row r="6958" spans="1:1" x14ac:dyDescent="0.3">
      <c r="A6958" s="12"/>
    </row>
    <row r="6959" spans="1:1" x14ac:dyDescent="0.3">
      <c r="A6959" s="12"/>
    </row>
    <row r="6960" spans="1:1" x14ac:dyDescent="0.3">
      <c r="A6960" s="12"/>
    </row>
    <row r="6961" spans="1:1" x14ac:dyDescent="0.3">
      <c r="A6961" s="12"/>
    </row>
    <row r="6962" spans="1:1" x14ac:dyDescent="0.3">
      <c r="A6962" s="12"/>
    </row>
    <row r="6963" spans="1:1" x14ac:dyDescent="0.3">
      <c r="A6963" s="12"/>
    </row>
    <row r="6964" spans="1:1" x14ac:dyDescent="0.3">
      <c r="A6964" s="12"/>
    </row>
    <row r="6965" spans="1:1" x14ac:dyDescent="0.3">
      <c r="A6965" s="12"/>
    </row>
    <row r="6966" spans="1:1" x14ac:dyDescent="0.3">
      <c r="A6966" s="12"/>
    </row>
    <row r="6967" spans="1:1" x14ac:dyDescent="0.3">
      <c r="A6967" s="12"/>
    </row>
    <row r="6968" spans="1:1" x14ac:dyDescent="0.3">
      <c r="A6968" s="12"/>
    </row>
    <row r="6969" spans="1:1" x14ac:dyDescent="0.3">
      <c r="A6969" s="12"/>
    </row>
    <row r="6970" spans="1:1" x14ac:dyDescent="0.3">
      <c r="A6970" s="12"/>
    </row>
    <row r="6971" spans="1:1" x14ac:dyDescent="0.3">
      <c r="A6971" s="12"/>
    </row>
    <row r="6972" spans="1:1" x14ac:dyDescent="0.3">
      <c r="A6972" s="12"/>
    </row>
    <row r="6973" spans="1:1" x14ac:dyDescent="0.3">
      <c r="A6973" s="12"/>
    </row>
    <row r="6974" spans="1:1" x14ac:dyDescent="0.3">
      <c r="A6974" s="12"/>
    </row>
    <row r="6975" spans="1:1" x14ac:dyDescent="0.3">
      <c r="A6975" s="12"/>
    </row>
    <row r="6976" spans="1:1" x14ac:dyDescent="0.3">
      <c r="A6976" s="12"/>
    </row>
    <row r="6977" spans="1:1" x14ac:dyDescent="0.3">
      <c r="A6977" s="12"/>
    </row>
    <row r="6978" spans="1:1" x14ac:dyDescent="0.3">
      <c r="A6978" s="12"/>
    </row>
    <row r="6979" spans="1:1" x14ac:dyDescent="0.3">
      <c r="A6979" s="12"/>
    </row>
    <row r="6980" spans="1:1" x14ac:dyDescent="0.3">
      <c r="A6980" s="12"/>
    </row>
    <row r="6981" spans="1:1" x14ac:dyDescent="0.3">
      <c r="A6981" s="12"/>
    </row>
    <row r="6982" spans="1:1" x14ac:dyDescent="0.3">
      <c r="A6982" s="12"/>
    </row>
    <row r="6983" spans="1:1" x14ac:dyDescent="0.3">
      <c r="A6983" s="12"/>
    </row>
    <row r="6984" spans="1:1" x14ac:dyDescent="0.3">
      <c r="A6984" s="12"/>
    </row>
    <row r="6985" spans="1:1" x14ac:dyDescent="0.3">
      <c r="A6985" s="12"/>
    </row>
    <row r="6986" spans="1:1" x14ac:dyDescent="0.3">
      <c r="A6986" s="12"/>
    </row>
    <row r="6987" spans="1:1" x14ac:dyDescent="0.3">
      <c r="A6987" s="12"/>
    </row>
    <row r="6988" spans="1:1" x14ac:dyDescent="0.3">
      <c r="A6988" s="12"/>
    </row>
    <row r="6989" spans="1:1" x14ac:dyDescent="0.3">
      <c r="A6989" s="12"/>
    </row>
    <row r="6990" spans="1:1" x14ac:dyDescent="0.3">
      <c r="A6990" s="12"/>
    </row>
    <row r="6991" spans="1:1" x14ac:dyDescent="0.3">
      <c r="A6991" s="12"/>
    </row>
    <row r="6992" spans="1:1" x14ac:dyDescent="0.3">
      <c r="A6992" s="12"/>
    </row>
    <row r="6993" spans="1:1" x14ac:dyDescent="0.3">
      <c r="A6993" s="12"/>
    </row>
    <row r="6994" spans="1:1" x14ac:dyDescent="0.3">
      <c r="A6994" s="12"/>
    </row>
    <row r="6995" spans="1:1" x14ac:dyDescent="0.3">
      <c r="A6995" s="12"/>
    </row>
    <row r="6996" spans="1:1" x14ac:dyDescent="0.3">
      <c r="A6996" s="12"/>
    </row>
    <row r="6997" spans="1:1" x14ac:dyDescent="0.3">
      <c r="A6997" s="12"/>
    </row>
    <row r="6998" spans="1:1" x14ac:dyDescent="0.3">
      <c r="A6998" s="12"/>
    </row>
    <row r="6999" spans="1:1" x14ac:dyDescent="0.3">
      <c r="A6999" s="12"/>
    </row>
    <row r="7000" spans="1:1" x14ac:dyDescent="0.3">
      <c r="A7000" s="12"/>
    </row>
    <row r="7001" spans="1:1" x14ac:dyDescent="0.3">
      <c r="A7001" s="12"/>
    </row>
    <row r="7002" spans="1:1" x14ac:dyDescent="0.3">
      <c r="A7002" s="12"/>
    </row>
    <row r="7003" spans="1:1" x14ac:dyDescent="0.3">
      <c r="A7003" s="12"/>
    </row>
    <row r="7004" spans="1:1" x14ac:dyDescent="0.3">
      <c r="A7004" s="12"/>
    </row>
    <row r="7005" spans="1:1" x14ac:dyDescent="0.3">
      <c r="A7005" s="12"/>
    </row>
    <row r="7006" spans="1:1" x14ac:dyDescent="0.3">
      <c r="A7006" s="12"/>
    </row>
    <row r="7007" spans="1:1" x14ac:dyDescent="0.3">
      <c r="A7007" s="12"/>
    </row>
    <row r="7008" spans="1:1" x14ac:dyDescent="0.3">
      <c r="A7008" s="12"/>
    </row>
    <row r="7009" spans="1:1" x14ac:dyDescent="0.3">
      <c r="A7009" s="12"/>
    </row>
    <row r="7010" spans="1:1" x14ac:dyDescent="0.3">
      <c r="A7010" s="12"/>
    </row>
    <row r="7011" spans="1:1" x14ac:dyDescent="0.3">
      <c r="A7011" s="12"/>
    </row>
    <row r="7012" spans="1:1" x14ac:dyDescent="0.3">
      <c r="A7012" s="12"/>
    </row>
    <row r="7013" spans="1:1" x14ac:dyDescent="0.3">
      <c r="A7013" s="12"/>
    </row>
    <row r="7014" spans="1:1" x14ac:dyDescent="0.3">
      <c r="A7014" s="12"/>
    </row>
    <row r="7015" spans="1:1" x14ac:dyDescent="0.3">
      <c r="A7015" s="12"/>
    </row>
    <row r="7016" spans="1:1" x14ac:dyDescent="0.3">
      <c r="A7016" s="12"/>
    </row>
    <row r="7017" spans="1:1" x14ac:dyDescent="0.3">
      <c r="A7017" s="12"/>
    </row>
    <row r="7018" spans="1:1" x14ac:dyDescent="0.3">
      <c r="A7018" s="12"/>
    </row>
    <row r="7019" spans="1:1" x14ac:dyDescent="0.3">
      <c r="A7019" s="12"/>
    </row>
    <row r="7020" spans="1:1" x14ac:dyDescent="0.3">
      <c r="A7020" s="12"/>
    </row>
    <row r="7021" spans="1:1" x14ac:dyDescent="0.3">
      <c r="A7021" s="12"/>
    </row>
    <row r="7022" spans="1:1" x14ac:dyDescent="0.3">
      <c r="A7022" s="12"/>
    </row>
    <row r="7023" spans="1:1" x14ac:dyDescent="0.3">
      <c r="A7023" s="12"/>
    </row>
    <row r="7024" spans="1:1" x14ac:dyDescent="0.3">
      <c r="A7024" s="12"/>
    </row>
    <row r="7025" spans="1:1" x14ac:dyDescent="0.3">
      <c r="A7025" s="12"/>
    </row>
    <row r="7026" spans="1:1" x14ac:dyDescent="0.3">
      <c r="A7026" s="12"/>
    </row>
    <row r="7027" spans="1:1" x14ac:dyDescent="0.3">
      <c r="A7027" s="12"/>
    </row>
    <row r="7028" spans="1:1" x14ac:dyDescent="0.3">
      <c r="A7028" s="12"/>
    </row>
    <row r="7029" spans="1:1" x14ac:dyDescent="0.3">
      <c r="A7029" s="12"/>
    </row>
    <row r="7030" spans="1:1" x14ac:dyDescent="0.3">
      <c r="A7030" s="12"/>
    </row>
    <row r="7031" spans="1:1" x14ac:dyDescent="0.3">
      <c r="A7031" s="12"/>
    </row>
    <row r="7032" spans="1:1" x14ac:dyDescent="0.3">
      <c r="A7032" s="12"/>
    </row>
    <row r="7033" spans="1:1" x14ac:dyDescent="0.3">
      <c r="A7033" s="12"/>
    </row>
    <row r="7034" spans="1:1" x14ac:dyDescent="0.3">
      <c r="A7034" s="12"/>
    </row>
    <row r="7035" spans="1:1" x14ac:dyDescent="0.3">
      <c r="A7035" s="12"/>
    </row>
    <row r="7036" spans="1:1" x14ac:dyDescent="0.3">
      <c r="A7036" s="12"/>
    </row>
    <row r="7037" spans="1:1" x14ac:dyDescent="0.3">
      <c r="A7037" s="12"/>
    </row>
    <row r="7038" spans="1:1" x14ac:dyDescent="0.3">
      <c r="A7038" s="12"/>
    </row>
    <row r="7039" spans="1:1" x14ac:dyDescent="0.3">
      <c r="A7039" s="12"/>
    </row>
    <row r="7040" spans="1:1" x14ac:dyDescent="0.3">
      <c r="A7040" s="12"/>
    </row>
    <row r="7041" spans="1:1" x14ac:dyDescent="0.3">
      <c r="A7041" s="12"/>
    </row>
    <row r="7042" spans="1:1" x14ac:dyDescent="0.3">
      <c r="A7042" s="12"/>
    </row>
    <row r="7043" spans="1:1" x14ac:dyDescent="0.3">
      <c r="A7043" s="12"/>
    </row>
    <row r="7044" spans="1:1" x14ac:dyDescent="0.3">
      <c r="A7044" s="12"/>
    </row>
    <row r="7045" spans="1:1" x14ac:dyDescent="0.3">
      <c r="A7045" s="12"/>
    </row>
    <row r="7046" spans="1:1" x14ac:dyDescent="0.3">
      <c r="A7046" s="12"/>
    </row>
    <row r="7047" spans="1:1" x14ac:dyDescent="0.3">
      <c r="A7047" s="12"/>
    </row>
    <row r="7048" spans="1:1" x14ac:dyDescent="0.3">
      <c r="A7048" s="12"/>
    </row>
    <row r="7049" spans="1:1" x14ac:dyDescent="0.3">
      <c r="A7049" s="12"/>
    </row>
    <row r="7050" spans="1:1" x14ac:dyDescent="0.3">
      <c r="A7050" s="12"/>
    </row>
    <row r="7051" spans="1:1" x14ac:dyDescent="0.3">
      <c r="A7051" s="12"/>
    </row>
    <row r="7052" spans="1:1" x14ac:dyDescent="0.3">
      <c r="A7052" s="12"/>
    </row>
    <row r="7053" spans="1:1" x14ac:dyDescent="0.3">
      <c r="A7053" s="12"/>
    </row>
    <row r="7054" spans="1:1" x14ac:dyDescent="0.3">
      <c r="A7054" s="12"/>
    </row>
    <row r="7055" spans="1:1" x14ac:dyDescent="0.3">
      <c r="A7055" s="12"/>
    </row>
    <row r="7056" spans="1:1" x14ac:dyDescent="0.3">
      <c r="A7056" s="12"/>
    </row>
    <row r="7057" spans="1:1" x14ac:dyDescent="0.3">
      <c r="A7057" s="12"/>
    </row>
    <row r="7058" spans="1:1" x14ac:dyDescent="0.3">
      <c r="A7058" s="12"/>
    </row>
    <row r="7059" spans="1:1" x14ac:dyDescent="0.3">
      <c r="A7059" s="12"/>
    </row>
    <row r="7060" spans="1:1" x14ac:dyDescent="0.3">
      <c r="A7060" s="12"/>
    </row>
    <row r="7061" spans="1:1" x14ac:dyDescent="0.3">
      <c r="A7061" s="12"/>
    </row>
    <row r="7062" spans="1:1" x14ac:dyDescent="0.3">
      <c r="A7062" s="12"/>
    </row>
    <row r="7063" spans="1:1" x14ac:dyDescent="0.3">
      <c r="A7063" s="12"/>
    </row>
    <row r="7064" spans="1:1" x14ac:dyDescent="0.3">
      <c r="A7064" s="12"/>
    </row>
    <row r="7065" spans="1:1" x14ac:dyDescent="0.3">
      <c r="A7065" s="12"/>
    </row>
    <row r="7066" spans="1:1" x14ac:dyDescent="0.3">
      <c r="A7066" s="12"/>
    </row>
    <row r="7067" spans="1:1" x14ac:dyDescent="0.3">
      <c r="A7067" s="12"/>
    </row>
    <row r="7068" spans="1:1" x14ac:dyDescent="0.3">
      <c r="A7068" s="12"/>
    </row>
    <row r="7069" spans="1:1" x14ac:dyDescent="0.3">
      <c r="A7069" s="12"/>
    </row>
    <row r="7070" spans="1:1" x14ac:dyDescent="0.3">
      <c r="A7070" s="12"/>
    </row>
    <row r="7071" spans="1:1" x14ac:dyDescent="0.3">
      <c r="A7071" s="12"/>
    </row>
    <row r="7072" spans="1:1" x14ac:dyDescent="0.3">
      <c r="A7072" s="12"/>
    </row>
    <row r="7073" spans="1:1" x14ac:dyDescent="0.3">
      <c r="A7073" s="12"/>
    </row>
    <row r="7074" spans="1:1" x14ac:dyDescent="0.3">
      <c r="A7074" s="12"/>
    </row>
    <row r="7075" spans="1:1" x14ac:dyDescent="0.3">
      <c r="A7075" s="12"/>
    </row>
    <row r="7076" spans="1:1" x14ac:dyDescent="0.3">
      <c r="A7076" s="12"/>
    </row>
    <row r="7077" spans="1:1" x14ac:dyDescent="0.3">
      <c r="A7077" s="12"/>
    </row>
    <row r="7078" spans="1:1" x14ac:dyDescent="0.3">
      <c r="A7078" s="12"/>
    </row>
    <row r="7079" spans="1:1" x14ac:dyDescent="0.3">
      <c r="A7079" s="12"/>
    </row>
    <row r="7080" spans="1:1" x14ac:dyDescent="0.3">
      <c r="A7080" s="12"/>
    </row>
    <row r="7081" spans="1:1" x14ac:dyDescent="0.3">
      <c r="A7081" s="12"/>
    </row>
    <row r="7082" spans="1:1" x14ac:dyDescent="0.3">
      <c r="A7082" s="12"/>
    </row>
    <row r="7083" spans="1:1" x14ac:dyDescent="0.3">
      <c r="A7083" s="12"/>
    </row>
    <row r="7084" spans="1:1" x14ac:dyDescent="0.3">
      <c r="A7084" s="12"/>
    </row>
    <row r="7085" spans="1:1" x14ac:dyDescent="0.3">
      <c r="A7085" s="12"/>
    </row>
    <row r="7086" spans="1:1" x14ac:dyDescent="0.3">
      <c r="A7086" s="12"/>
    </row>
    <row r="7087" spans="1:1" x14ac:dyDescent="0.3">
      <c r="A7087" s="12"/>
    </row>
    <row r="7088" spans="1:1" x14ac:dyDescent="0.3">
      <c r="A7088" s="12"/>
    </row>
    <row r="7089" spans="1:1" x14ac:dyDescent="0.3">
      <c r="A7089" s="12"/>
    </row>
    <row r="7090" spans="1:1" x14ac:dyDescent="0.3">
      <c r="A7090" s="12"/>
    </row>
    <row r="7091" spans="1:1" x14ac:dyDescent="0.3">
      <c r="A7091" s="12"/>
    </row>
    <row r="7092" spans="1:1" x14ac:dyDescent="0.3">
      <c r="A7092" s="12"/>
    </row>
    <row r="7093" spans="1:1" x14ac:dyDescent="0.3">
      <c r="A7093" s="12"/>
    </row>
    <row r="7094" spans="1:1" x14ac:dyDescent="0.3">
      <c r="A7094" s="12"/>
    </row>
    <row r="7095" spans="1:1" x14ac:dyDescent="0.3">
      <c r="A7095" s="12"/>
    </row>
    <row r="7096" spans="1:1" x14ac:dyDescent="0.3">
      <c r="A7096" s="12"/>
    </row>
    <row r="7097" spans="1:1" x14ac:dyDescent="0.3">
      <c r="A7097" s="12"/>
    </row>
    <row r="7098" spans="1:1" x14ac:dyDescent="0.3">
      <c r="A7098" s="12"/>
    </row>
    <row r="7099" spans="1:1" x14ac:dyDescent="0.3">
      <c r="A7099" s="12"/>
    </row>
    <row r="7100" spans="1:1" x14ac:dyDescent="0.3">
      <c r="A7100" s="12"/>
    </row>
    <row r="7101" spans="1:1" x14ac:dyDescent="0.3">
      <c r="A7101" s="12"/>
    </row>
    <row r="7102" spans="1:1" x14ac:dyDescent="0.3">
      <c r="A7102" s="12"/>
    </row>
    <row r="7103" spans="1:1" x14ac:dyDescent="0.3">
      <c r="A7103" s="12"/>
    </row>
    <row r="7104" spans="1:1" x14ac:dyDescent="0.3">
      <c r="A7104" s="12"/>
    </row>
    <row r="7105" spans="1:1" x14ac:dyDescent="0.3">
      <c r="A7105" s="12"/>
    </row>
    <row r="7106" spans="1:1" x14ac:dyDescent="0.3">
      <c r="A7106" s="12"/>
    </row>
    <row r="7107" spans="1:1" x14ac:dyDescent="0.3">
      <c r="A7107" s="12"/>
    </row>
    <row r="7108" spans="1:1" x14ac:dyDescent="0.3">
      <c r="A7108" s="12"/>
    </row>
    <row r="7109" spans="1:1" x14ac:dyDescent="0.3">
      <c r="A7109" s="12"/>
    </row>
    <row r="7110" spans="1:1" x14ac:dyDescent="0.3">
      <c r="A7110" s="12"/>
    </row>
    <row r="7111" spans="1:1" x14ac:dyDescent="0.3">
      <c r="A7111" s="12"/>
    </row>
    <row r="7112" spans="1:1" x14ac:dyDescent="0.3">
      <c r="A7112" s="12"/>
    </row>
    <row r="7113" spans="1:1" x14ac:dyDescent="0.3">
      <c r="A7113" s="12"/>
    </row>
    <row r="7114" spans="1:1" x14ac:dyDescent="0.3">
      <c r="A7114" s="12"/>
    </row>
    <row r="7115" spans="1:1" x14ac:dyDescent="0.3">
      <c r="A7115" s="12"/>
    </row>
    <row r="7116" spans="1:1" x14ac:dyDescent="0.3">
      <c r="A7116" s="12"/>
    </row>
    <row r="7117" spans="1:1" x14ac:dyDescent="0.3">
      <c r="A7117" s="12"/>
    </row>
    <row r="7118" spans="1:1" x14ac:dyDescent="0.3">
      <c r="A7118" s="12"/>
    </row>
    <row r="7119" spans="1:1" x14ac:dyDescent="0.3">
      <c r="A7119" s="12"/>
    </row>
    <row r="7120" spans="1:1" x14ac:dyDescent="0.3">
      <c r="A7120" s="12"/>
    </row>
    <row r="7121" spans="1:1" x14ac:dyDescent="0.3">
      <c r="A7121" s="12"/>
    </row>
    <row r="7122" spans="1:1" x14ac:dyDescent="0.3">
      <c r="A7122" s="12"/>
    </row>
    <row r="7123" spans="1:1" x14ac:dyDescent="0.3">
      <c r="A7123" s="12"/>
    </row>
    <row r="7124" spans="1:1" x14ac:dyDescent="0.3">
      <c r="A7124" s="12"/>
    </row>
    <row r="7125" spans="1:1" x14ac:dyDescent="0.3">
      <c r="A7125" s="12"/>
    </row>
    <row r="7126" spans="1:1" x14ac:dyDescent="0.3">
      <c r="A7126" s="12"/>
    </row>
    <row r="7127" spans="1:1" x14ac:dyDescent="0.3">
      <c r="A7127" s="12"/>
    </row>
    <row r="7128" spans="1:1" x14ac:dyDescent="0.3">
      <c r="A7128" s="12"/>
    </row>
    <row r="7129" spans="1:1" x14ac:dyDescent="0.3">
      <c r="A7129" s="12"/>
    </row>
    <row r="7130" spans="1:1" x14ac:dyDescent="0.3">
      <c r="A7130" s="12"/>
    </row>
    <row r="7131" spans="1:1" x14ac:dyDescent="0.3">
      <c r="A7131" s="12"/>
    </row>
    <row r="7132" spans="1:1" x14ac:dyDescent="0.3">
      <c r="A7132" s="12"/>
    </row>
    <row r="7133" spans="1:1" x14ac:dyDescent="0.3">
      <c r="A7133" s="12"/>
    </row>
    <row r="7134" spans="1:1" x14ac:dyDescent="0.3">
      <c r="A7134" s="12"/>
    </row>
    <row r="7135" spans="1:1" x14ac:dyDescent="0.3">
      <c r="A7135" s="12"/>
    </row>
    <row r="7136" spans="1:1" x14ac:dyDescent="0.3">
      <c r="A7136" s="12"/>
    </row>
    <row r="7137" spans="1:1" x14ac:dyDescent="0.3">
      <c r="A7137" s="12"/>
    </row>
    <row r="7138" spans="1:1" x14ac:dyDescent="0.3">
      <c r="A7138" s="12"/>
    </row>
    <row r="7139" spans="1:1" x14ac:dyDescent="0.3">
      <c r="A7139" s="12"/>
    </row>
    <row r="7140" spans="1:1" x14ac:dyDescent="0.3">
      <c r="A7140" s="12"/>
    </row>
    <row r="7141" spans="1:1" x14ac:dyDescent="0.3">
      <c r="A7141" s="12"/>
    </row>
    <row r="7142" spans="1:1" x14ac:dyDescent="0.3">
      <c r="A7142" s="12"/>
    </row>
    <row r="7143" spans="1:1" x14ac:dyDescent="0.3">
      <c r="A7143" s="12"/>
    </row>
    <row r="7144" spans="1:1" x14ac:dyDescent="0.3">
      <c r="A7144" s="12"/>
    </row>
    <row r="7145" spans="1:1" x14ac:dyDescent="0.3">
      <c r="A7145" s="12"/>
    </row>
    <row r="7146" spans="1:1" x14ac:dyDescent="0.3">
      <c r="A7146" s="12"/>
    </row>
    <row r="7147" spans="1:1" x14ac:dyDescent="0.3">
      <c r="A7147" s="12"/>
    </row>
    <row r="7148" spans="1:1" x14ac:dyDescent="0.3">
      <c r="A7148" s="12"/>
    </row>
    <row r="7149" spans="1:1" x14ac:dyDescent="0.3">
      <c r="A7149" s="12"/>
    </row>
    <row r="7150" spans="1:1" x14ac:dyDescent="0.3">
      <c r="A7150" s="12"/>
    </row>
    <row r="7151" spans="1:1" x14ac:dyDescent="0.3">
      <c r="A7151" s="12"/>
    </row>
    <row r="7152" spans="1:1" x14ac:dyDescent="0.3">
      <c r="A7152" s="12"/>
    </row>
    <row r="7153" spans="1:1" x14ac:dyDescent="0.3">
      <c r="A7153" s="12"/>
    </row>
    <row r="7154" spans="1:1" x14ac:dyDescent="0.3">
      <c r="A7154" s="12"/>
    </row>
    <row r="7155" spans="1:1" x14ac:dyDescent="0.3">
      <c r="A7155" s="12"/>
    </row>
    <row r="7156" spans="1:1" x14ac:dyDescent="0.3">
      <c r="A7156" s="12"/>
    </row>
    <row r="7157" spans="1:1" x14ac:dyDescent="0.3">
      <c r="A7157" s="12"/>
    </row>
    <row r="7158" spans="1:1" x14ac:dyDescent="0.3">
      <c r="A7158" s="12"/>
    </row>
    <row r="7159" spans="1:1" x14ac:dyDescent="0.3">
      <c r="A7159" s="12"/>
    </row>
    <row r="7160" spans="1:1" x14ac:dyDescent="0.3">
      <c r="A7160" s="12"/>
    </row>
    <row r="7161" spans="1:1" x14ac:dyDescent="0.3">
      <c r="A7161" s="12"/>
    </row>
    <row r="7162" spans="1:1" x14ac:dyDescent="0.3">
      <c r="A7162" s="12"/>
    </row>
    <row r="7163" spans="1:1" x14ac:dyDescent="0.3">
      <c r="A7163" s="12"/>
    </row>
    <row r="7164" spans="1:1" x14ac:dyDescent="0.3">
      <c r="A7164" s="12"/>
    </row>
    <row r="7165" spans="1:1" x14ac:dyDescent="0.3">
      <c r="A7165" s="12"/>
    </row>
    <row r="7166" spans="1:1" x14ac:dyDescent="0.3">
      <c r="A7166" s="12"/>
    </row>
    <row r="7167" spans="1:1" x14ac:dyDescent="0.3">
      <c r="A7167" s="12"/>
    </row>
    <row r="7168" spans="1:1" x14ac:dyDescent="0.3">
      <c r="A7168" s="12"/>
    </row>
    <row r="7169" spans="1:1" x14ac:dyDescent="0.3">
      <c r="A7169" s="12"/>
    </row>
    <row r="7170" spans="1:1" x14ac:dyDescent="0.3">
      <c r="A7170" s="12"/>
    </row>
    <row r="7171" spans="1:1" x14ac:dyDescent="0.3">
      <c r="A7171" s="12"/>
    </row>
    <row r="7172" spans="1:1" x14ac:dyDescent="0.3">
      <c r="A7172" s="12"/>
    </row>
    <row r="7173" spans="1:1" x14ac:dyDescent="0.3">
      <c r="A7173" s="12"/>
    </row>
    <row r="7174" spans="1:1" x14ac:dyDescent="0.3">
      <c r="A7174" s="12"/>
    </row>
    <row r="7175" spans="1:1" x14ac:dyDescent="0.3">
      <c r="A7175" s="12"/>
    </row>
    <row r="7176" spans="1:1" x14ac:dyDescent="0.3">
      <c r="A7176" s="12"/>
    </row>
    <row r="7177" spans="1:1" x14ac:dyDescent="0.3">
      <c r="A7177" s="12"/>
    </row>
    <row r="7178" spans="1:1" x14ac:dyDescent="0.3">
      <c r="A7178" s="12"/>
    </row>
    <row r="7179" spans="1:1" x14ac:dyDescent="0.3">
      <c r="A7179" s="12"/>
    </row>
    <row r="7180" spans="1:1" x14ac:dyDescent="0.3">
      <c r="A7180" s="12"/>
    </row>
    <row r="7181" spans="1:1" x14ac:dyDescent="0.3">
      <c r="A7181" s="12"/>
    </row>
    <row r="7182" spans="1:1" x14ac:dyDescent="0.3">
      <c r="A7182" s="12"/>
    </row>
    <row r="7183" spans="1:1" x14ac:dyDescent="0.3">
      <c r="A7183" s="12"/>
    </row>
    <row r="7184" spans="1:1" x14ac:dyDescent="0.3">
      <c r="A7184" s="12"/>
    </row>
    <row r="7185" spans="1:1" x14ac:dyDescent="0.3">
      <c r="A7185" s="12"/>
    </row>
    <row r="7186" spans="1:1" x14ac:dyDescent="0.3">
      <c r="A7186" s="12"/>
    </row>
    <row r="7187" spans="1:1" x14ac:dyDescent="0.3">
      <c r="A7187" s="12"/>
    </row>
    <row r="7188" spans="1:1" x14ac:dyDescent="0.3">
      <c r="A7188" s="12"/>
    </row>
    <row r="7189" spans="1:1" x14ac:dyDescent="0.3">
      <c r="A7189" s="12"/>
    </row>
    <row r="7190" spans="1:1" x14ac:dyDescent="0.3">
      <c r="A7190" s="12"/>
    </row>
    <row r="7191" spans="1:1" x14ac:dyDescent="0.3">
      <c r="A7191" s="12"/>
    </row>
    <row r="7192" spans="1:1" x14ac:dyDescent="0.3">
      <c r="A7192" s="12"/>
    </row>
    <row r="7193" spans="1:1" x14ac:dyDescent="0.3">
      <c r="A7193" s="12"/>
    </row>
    <row r="7194" spans="1:1" x14ac:dyDescent="0.3">
      <c r="A7194" s="12"/>
    </row>
    <row r="7195" spans="1:1" x14ac:dyDescent="0.3">
      <c r="A7195" s="12"/>
    </row>
    <row r="7196" spans="1:1" x14ac:dyDescent="0.3">
      <c r="A7196" s="12"/>
    </row>
    <row r="7197" spans="1:1" x14ac:dyDescent="0.3">
      <c r="A7197" s="12"/>
    </row>
    <row r="7198" spans="1:1" x14ac:dyDescent="0.3">
      <c r="A7198" s="12"/>
    </row>
    <row r="7199" spans="1:1" x14ac:dyDescent="0.3">
      <c r="A7199" s="12"/>
    </row>
    <row r="7200" spans="1:1" x14ac:dyDescent="0.3">
      <c r="A7200" s="12"/>
    </row>
    <row r="7201" spans="1:1" x14ac:dyDescent="0.3">
      <c r="A7201" s="12"/>
    </row>
    <row r="7202" spans="1:1" x14ac:dyDescent="0.3">
      <c r="A7202" s="12"/>
    </row>
    <row r="7203" spans="1:1" x14ac:dyDescent="0.3">
      <c r="A7203" s="12"/>
    </row>
    <row r="7204" spans="1:1" x14ac:dyDescent="0.3">
      <c r="A7204" s="12"/>
    </row>
    <row r="7205" spans="1:1" x14ac:dyDescent="0.3">
      <c r="A7205" s="12"/>
    </row>
    <row r="7206" spans="1:1" x14ac:dyDescent="0.3">
      <c r="A7206" s="12"/>
    </row>
    <row r="7207" spans="1:1" x14ac:dyDescent="0.3">
      <c r="A7207" s="12"/>
    </row>
    <row r="7208" spans="1:1" x14ac:dyDescent="0.3">
      <c r="A7208" s="12"/>
    </row>
    <row r="7209" spans="1:1" x14ac:dyDescent="0.3">
      <c r="A7209" s="12"/>
    </row>
    <row r="7210" spans="1:1" x14ac:dyDescent="0.3">
      <c r="A7210" s="12"/>
    </row>
    <row r="7211" spans="1:1" x14ac:dyDescent="0.3">
      <c r="A7211" s="12"/>
    </row>
    <row r="7212" spans="1:1" x14ac:dyDescent="0.3">
      <c r="A7212" s="12"/>
    </row>
    <row r="7213" spans="1:1" x14ac:dyDescent="0.3">
      <c r="A7213" s="12"/>
    </row>
    <row r="7214" spans="1:1" x14ac:dyDescent="0.3">
      <c r="A7214" s="12"/>
    </row>
    <row r="7215" spans="1:1" x14ac:dyDescent="0.3">
      <c r="A7215" s="12"/>
    </row>
    <row r="7216" spans="1:1" x14ac:dyDescent="0.3">
      <c r="A7216" s="12"/>
    </row>
    <row r="7217" spans="1:1" x14ac:dyDescent="0.3">
      <c r="A7217" s="12"/>
    </row>
    <row r="7218" spans="1:1" x14ac:dyDescent="0.3">
      <c r="A7218" s="12"/>
    </row>
    <row r="7219" spans="1:1" x14ac:dyDescent="0.3">
      <c r="A7219" s="12"/>
    </row>
    <row r="7220" spans="1:1" x14ac:dyDescent="0.3">
      <c r="A7220" s="12"/>
    </row>
    <row r="7221" spans="1:1" x14ac:dyDescent="0.3">
      <c r="A7221" s="12"/>
    </row>
    <row r="7222" spans="1:1" x14ac:dyDescent="0.3">
      <c r="A7222" s="12"/>
    </row>
    <row r="7223" spans="1:1" x14ac:dyDescent="0.3">
      <c r="A7223" s="12"/>
    </row>
    <row r="7224" spans="1:1" x14ac:dyDescent="0.3">
      <c r="A7224" s="12"/>
    </row>
    <row r="7225" spans="1:1" x14ac:dyDescent="0.3">
      <c r="A7225" s="12"/>
    </row>
    <row r="7226" spans="1:1" x14ac:dyDescent="0.3">
      <c r="A7226" s="12"/>
    </row>
    <row r="7227" spans="1:1" x14ac:dyDescent="0.3">
      <c r="A7227" s="12"/>
    </row>
    <row r="7228" spans="1:1" x14ac:dyDescent="0.3">
      <c r="A7228" s="12"/>
    </row>
    <row r="7229" spans="1:1" x14ac:dyDescent="0.3">
      <c r="A7229" s="12"/>
    </row>
    <row r="7230" spans="1:1" x14ac:dyDescent="0.3">
      <c r="A7230" s="12"/>
    </row>
    <row r="7231" spans="1:1" x14ac:dyDescent="0.3">
      <c r="A7231" s="12"/>
    </row>
    <row r="7232" spans="1:1" x14ac:dyDescent="0.3">
      <c r="A7232" s="12"/>
    </row>
    <row r="7233" spans="1:1" x14ac:dyDescent="0.3">
      <c r="A7233" s="12"/>
    </row>
    <row r="7234" spans="1:1" x14ac:dyDescent="0.3">
      <c r="A7234" s="12"/>
    </row>
    <row r="7235" spans="1:1" x14ac:dyDescent="0.3">
      <c r="A7235" s="12"/>
    </row>
    <row r="7236" spans="1:1" x14ac:dyDescent="0.3">
      <c r="A7236" s="12"/>
    </row>
    <row r="7237" spans="1:1" x14ac:dyDescent="0.3">
      <c r="A7237" s="12"/>
    </row>
    <row r="7238" spans="1:1" x14ac:dyDescent="0.3">
      <c r="A7238" s="12"/>
    </row>
    <row r="7239" spans="1:1" x14ac:dyDescent="0.3">
      <c r="A7239" s="12"/>
    </row>
    <row r="7240" spans="1:1" x14ac:dyDescent="0.3">
      <c r="A7240" s="12"/>
    </row>
    <row r="7241" spans="1:1" x14ac:dyDescent="0.3">
      <c r="A7241" s="12"/>
    </row>
    <row r="7242" spans="1:1" x14ac:dyDescent="0.3">
      <c r="A7242" s="12"/>
    </row>
    <row r="7243" spans="1:1" x14ac:dyDescent="0.3">
      <c r="A7243" s="12"/>
    </row>
    <row r="7244" spans="1:1" x14ac:dyDescent="0.3">
      <c r="A7244" s="12"/>
    </row>
    <row r="7245" spans="1:1" x14ac:dyDescent="0.3">
      <c r="A7245" s="12"/>
    </row>
    <row r="7246" spans="1:1" x14ac:dyDescent="0.3">
      <c r="A7246" s="12"/>
    </row>
    <row r="7247" spans="1:1" x14ac:dyDescent="0.3">
      <c r="A7247" s="12"/>
    </row>
    <row r="7248" spans="1:1" x14ac:dyDescent="0.3">
      <c r="A7248" s="12"/>
    </row>
    <row r="7249" spans="1:1" x14ac:dyDescent="0.3">
      <c r="A7249" s="12"/>
    </row>
    <row r="7250" spans="1:1" x14ac:dyDescent="0.3">
      <c r="A7250" s="12"/>
    </row>
    <row r="7251" spans="1:1" x14ac:dyDescent="0.3">
      <c r="A7251" s="12"/>
    </row>
    <row r="7252" spans="1:1" x14ac:dyDescent="0.3">
      <c r="A7252" s="12"/>
    </row>
    <row r="7253" spans="1:1" x14ac:dyDescent="0.3">
      <c r="A7253" s="12"/>
    </row>
    <row r="7254" spans="1:1" x14ac:dyDescent="0.3">
      <c r="A7254" s="12"/>
    </row>
    <row r="7255" spans="1:1" x14ac:dyDescent="0.3">
      <c r="A7255" s="12"/>
    </row>
    <row r="7256" spans="1:1" x14ac:dyDescent="0.3">
      <c r="A7256" s="12"/>
    </row>
    <row r="7257" spans="1:1" x14ac:dyDescent="0.3">
      <c r="A7257" s="12"/>
    </row>
    <row r="7258" spans="1:1" x14ac:dyDescent="0.3">
      <c r="A7258" s="12"/>
    </row>
    <row r="7259" spans="1:1" x14ac:dyDescent="0.3">
      <c r="A7259" s="12"/>
    </row>
    <row r="7260" spans="1:1" x14ac:dyDescent="0.3">
      <c r="A7260" s="12"/>
    </row>
    <row r="7261" spans="1:1" x14ac:dyDescent="0.3">
      <c r="A7261" s="12"/>
    </row>
    <row r="7262" spans="1:1" x14ac:dyDescent="0.3">
      <c r="A7262" s="12"/>
    </row>
    <row r="7263" spans="1:1" x14ac:dyDescent="0.3">
      <c r="A7263" s="12"/>
    </row>
    <row r="7264" spans="1:1" x14ac:dyDescent="0.3">
      <c r="A7264" s="12"/>
    </row>
    <row r="7265" spans="1:1" x14ac:dyDescent="0.3">
      <c r="A7265" s="12"/>
    </row>
    <row r="7266" spans="1:1" x14ac:dyDescent="0.3">
      <c r="A7266" s="12"/>
    </row>
    <row r="7267" spans="1:1" x14ac:dyDescent="0.3">
      <c r="A7267" s="12"/>
    </row>
    <row r="7268" spans="1:1" x14ac:dyDescent="0.3">
      <c r="A7268" s="12"/>
    </row>
    <row r="7269" spans="1:1" x14ac:dyDescent="0.3">
      <c r="A7269" s="12"/>
    </row>
    <row r="7270" spans="1:1" x14ac:dyDescent="0.3">
      <c r="A7270" s="12"/>
    </row>
    <row r="7271" spans="1:1" x14ac:dyDescent="0.3">
      <c r="A7271" s="12"/>
    </row>
    <row r="7272" spans="1:1" x14ac:dyDescent="0.3">
      <c r="A7272" s="12"/>
    </row>
    <row r="7273" spans="1:1" x14ac:dyDescent="0.3">
      <c r="A7273" s="12"/>
    </row>
    <row r="7274" spans="1:1" x14ac:dyDescent="0.3">
      <c r="A7274" s="12"/>
    </row>
    <row r="7275" spans="1:1" x14ac:dyDescent="0.3">
      <c r="A7275" s="12"/>
    </row>
    <row r="7276" spans="1:1" x14ac:dyDescent="0.3">
      <c r="A7276" s="12"/>
    </row>
    <row r="7277" spans="1:1" x14ac:dyDescent="0.3">
      <c r="A7277" s="12"/>
    </row>
    <row r="7278" spans="1:1" x14ac:dyDescent="0.3">
      <c r="A7278" s="12"/>
    </row>
    <row r="7279" spans="1:1" x14ac:dyDescent="0.3">
      <c r="A7279" s="12"/>
    </row>
    <row r="7280" spans="1:1" x14ac:dyDescent="0.3">
      <c r="A7280" s="12"/>
    </row>
    <row r="7281" spans="1:1" x14ac:dyDescent="0.3">
      <c r="A7281" s="12"/>
    </row>
    <row r="7282" spans="1:1" x14ac:dyDescent="0.3">
      <c r="A7282" s="12"/>
    </row>
    <row r="7283" spans="1:1" x14ac:dyDescent="0.3">
      <c r="A7283" s="12"/>
    </row>
    <row r="7284" spans="1:1" x14ac:dyDescent="0.3">
      <c r="A7284" s="12"/>
    </row>
    <row r="7285" spans="1:1" x14ac:dyDescent="0.3">
      <c r="A7285" s="12"/>
    </row>
    <row r="7286" spans="1:1" x14ac:dyDescent="0.3">
      <c r="A7286" s="12"/>
    </row>
    <row r="7287" spans="1:1" x14ac:dyDescent="0.3">
      <c r="A7287" s="12"/>
    </row>
    <row r="7288" spans="1:1" x14ac:dyDescent="0.3">
      <c r="A7288" s="12"/>
    </row>
    <row r="7289" spans="1:1" x14ac:dyDescent="0.3">
      <c r="A7289" s="12"/>
    </row>
    <row r="7290" spans="1:1" x14ac:dyDescent="0.3">
      <c r="A7290" s="12"/>
    </row>
    <row r="7291" spans="1:1" x14ac:dyDescent="0.3">
      <c r="A7291" s="12"/>
    </row>
    <row r="7292" spans="1:1" x14ac:dyDescent="0.3">
      <c r="A7292" s="12"/>
    </row>
    <row r="7293" spans="1:1" x14ac:dyDescent="0.3">
      <c r="A7293" s="12"/>
    </row>
    <row r="7294" spans="1:1" x14ac:dyDescent="0.3">
      <c r="A7294" s="12"/>
    </row>
    <row r="7295" spans="1:1" x14ac:dyDescent="0.3">
      <c r="A7295" s="12"/>
    </row>
    <row r="7296" spans="1:1" x14ac:dyDescent="0.3">
      <c r="A7296" s="12"/>
    </row>
    <row r="7297" spans="1:1" x14ac:dyDescent="0.3">
      <c r="A7297" s="12"/>
    </row>
    <row r="7298" spans="1:1" x14ac:dyDescent="0.3">
      <c r="A7298" s="12"/>
    </row>
    <row r="7299" spans="1:1" x14ac:dyDescent="0.3">
      <c r="A7299" s="12"/>
    </row>
    <row r="7300" spans="1:1" x14ac:dyDescent="0.3">
      <c r="A7300" s="12"/>
    </row>
    <row r="7301" spans="1:1" x14ac:dyDescent="0.3">
      <c r="A7301" s="12"/>
    </row>
    <row r="7302" spans="1:1" x14ac:dyDescent="0.3">
      <c r="A7302" s="12"/>
    </row>
    <row r="7303" spans="1:1" x14ac:dyDescent="0.3">
      <c r="A7303" s="12"/>
    </row>
    <row r="7304" spans="1:1" x14ac:dyDescent="0.3">
      <c r="A7304" s="12"/>
    </row>
    <row r="7305" spans="1:1" x14ac:dyDescent="0.3">
      <c r="A7305" s="12"/>
    </row>
    <row r="7306" spans="1:1" x14ac:dyDescent="0.3">
      <c r="A7306" s="12"/>
    </row>
    <row r="7307" spans="1:1" x14ac:dyDescent="0.3">
      <c r="A7307" s="12"/>
    </row>
    <row r="7308" spans="1:1" x14ac:dyDescent="0.3">
      <c r="A7308" s="12"/>
    </row>
    <row r="7309" spans="1:1" x14ac:dyDescent="0.3">
      <c r="A7309" s="12"/>
    </row>
    <row r="7310" spans="1:1" x14ac:dyDescent="0.3">
      <c r="A7310" s="12"/>
    </row>
    <row r="7311" spans="1:1" x14ac:dyDescent="0.3">
      <c r="A7311" s="12"/>
    </row>
    <row r="7312" spans="1:1" x14ac:dyDescent="0.3">
      <c r="A7312" s="12"/>
    </row>
    <row r="7313" spans="1:1" x14ac:dyDescent="0.3">
      <c r="A7313" s="12"/>
    </row>
    <row r="7314" spans="1:1" x14ac:dyDescent="0.3">
      <c r="A7314" s="12"/>
    </row>
    <row r="7315" spans="1:1" x14ac:dyDescent="0.3">
      <c r="A7315" s="12"/>
    </row>
    <row r="7316" spans="1:1" x14ac:dyDescent="0.3">
      <c r="A7316" s="12"/>
    </row>
    <row r="7317" spans="1:1" x14ac:dyDescent="0.3">
      <c r="A7317" s="12"/>
    </row>
    <row r="7318" spans="1:1" x14ac:dyDescent="0.3">
      <c r="A7318" s="12"/>
    </row>
    <row r="7319" spans="1:1" x14ac:dyDescent="0.3">
      <c r="A7319" s="12"/>
    </row>
    <row r="7320" spans="1:1" x14ac:dyDescent="0.3">
      <c r="A7320" s="12"/>
    </row>
    <row r="7321" spans="1:1" x14ac:dyDescent="0.3">
      <c r="A7321" s="12"/>
    </row>
    <row r="7322" spans="1:1" x14ac:dyDescent="0.3">
      <c r="A7322" s="12"/>
    </row>
    <row r="7323" spans="1:1" x14ac:dyDescent="0.3">
      <c r="A7323" s="12"/>
    </row>
    <row r="7324" spans="1:1" x14ac:dyDescent="0.3">
      <c r="A7324" s="12"/>
    </row>
    <row r="7325" spans="1:1" x14ac:dyDescent="0.3">
      <c r="A7325" s="12"/>
    </row>
    <row r="7326" spans="1:1" x14ac:dyDescent="0.3">
      <c r="A7326" s="12"/>
    </row>
    <row r="7327" spans="1:1" x14ac:dyDescent="0.3">
      <c r="A7327" s="12"/>
    </row>
    <row r="7328" spans="1:1" x14ac:dyDescent="0.3">
      <c r="A7328" s="12"/>
    </row>
    <row r="7329" spans="1:1" x14ac:dyDescent="0.3">
      <c r="A7329" s="12"/>
    </row>
    <row r="7330" spans="1:1" x14ac:dyDescent="0.3">
      <c r="A7330" s="12"/>
    </row>
    <row r="7331" spans="1:1" x14ac:dyDescent="0.3">
      <c r="A7331" s="12"/>
    </row>
    <row r="7332" spans="1:1" x14ac:dyDescent="0.3">
      <c r="A7332" s="12"/>
    </row>
    <row r="7333" spans="1:1" x14ac:dyDescent="0.3">
      <c r="A7333" s="12"/>
    </row>
    <row r="7334" spans="1:1" x14ac:dyDescent="0.3">
      <c r="A7334" s="12"/>
    </row>
    <row r="7335" spans="1:1" x14ac:dyDescent="0.3">
      <c r="A7335" s="12"/>
    </row>
    <row r="7336" spans="1:1" x14ac:dyDescent="0.3">
      <c r="A7336" s="12"/>
    </row>
    <row r="7337" spans="1:1" x14ac:dyDescent="0.3">
      <c r="A7337" s="12"/>
    </row>
    <row r="7338" spans="1:1" x14ac:dyDescent="0.3">
      <c r="A7338" s="12"/>
    </row>
    <row r="7339" spans="1:1" x14ac:dyDescent="0.3">
      <c r="A7339" s="12"/>
    </row>
    <row r="7340" spans="1:1" x14ac:dyDescent="0.3">
      <c r="A7340" s="12"/>
    </row>
    <row r="7341" spans="1:1" x14ac:dyDescent="0.3">
      <c r="A7341" s="12"/>
    </row>
    <row r="7342" spans="1:1" x14ac:dyDescent="0.3">
      <c r="A7342" s="12"/>
    </row>
    <row r="7343" spans="1:1" x14ac:dyDescent="0.3">
      <c r="A7343" s="12"/>
    </row>
    <row r="7344" spans="1:1" x14ac:dyDescent="0.3">
      <c r="A7344" s="12"/>
    </row>
    <row r="7345" spans="1:1" x14ac:dyDescent="0.3">
      <c r="A7345" s="12"/>
    </row>
    <row r="7346" spans="1:1" x14ac:dyDescent="0.3">
      <c r="A7346" s="12"/>
    </row>
    <row r="7347" spans="1:1" x14ac:dyDescent="0.3">
      <c r="A7347" s="12"/>
    </row>
    <row r="7348" spans="1:1" x14ac:dyDescent="0.3">
      <c r="A7348" s="12"/>
    </row>
    <row r="7349" spans="1:1" x14ac:dyDescent="0.3">
      <c r="A7349" s="12"/>
    </row>
    <row r="7350" spans="1:1" x14ac:dyDescent="0.3">
      <c r="A7350" s="12"/>
    </row>
    <row r="7351" spans="1:1" x14ac:dyDescent="0.3">
      <c r="A7351" s="12"/>
    </row>
    <row r="7352" spans="1:1" x14ac:dyDescent="0.3">
      <c r="A7352" s="12"/>
    </row>
    <row r="7353" spans="1:1" x14ac:dyDescent="0.3">
      <c r="A7353" s="12"/>
    </row>
    <row r="7354" spans="1:1" x14ac:dyDescent="0.3">
      <c r="A7354" s="12"/>
    </row>
    <row r="7355" spans="1:1" x14ac:dyDescent="0.3">
      <c r="A7355" s="12"/>
    </row>
    <row r="7356" spans="1:1" x14ac:dyDescent="0.3">
      <c r="A7356" s="12"/>
    </row>
    <row r="7357" spans="1:1" x14ac:dyDescent="0.3">
      <c r="A7357" s="12"/>
    </row>
    <row r="7358" spans="1:1" x14ac:dyDescent="0.3">
      <c r="A7358" s="12"/>
    </row>
    <row r="7359" spans="1:1" x14ac:dyDescent="0.3">
      <c r="A7359" s="12"/>
    </row>
    <row r="7360" spans="1:1" x14ac:dyDescent="0.3">
      <c r="A7360" s="12"/>
    </row>
    <row r="7361" spans="1:1" x14ac:dyDescent="0.3">
      <c r="A7361" s="12"/>
    </row>
    <row r="7362" spans="1:1" x14ac:dyDescent="0.3">
      <c r="A7362" s="12"/>
    </row>
    <row r="7363" spans="1:1" x14ac:dyDescent="0.3">
      <c r="A7363" s="12"/>
    </row>
    <row r="7364" spans="1:1" x14ac:dyDescent="0.3">
      <c r="A7364" s="12"/>
    </row>
    <row r="7365" spans="1:1" x14ac:dyDescent="0.3">
      <c r="A7365" s="12"/>
    </row>
    <row r="7366" spans="1:1" x14ac:dyDescent="0.3">
      <c r="A7366" s="12"/>
    </row>
    <row r="7367" spans="1:1" x14ac:dyDescent="0.3">
      <c r="A7367" s="12"/>
    </row>
    <row r="7368" spans="1:1" x14ac:dyDescent="0.3">
      <c r="A7368" s="12"/>
    </row>
    <row r="7369" spans="1:1" x14ac:dyDescent="0.3">
      <c r="A7369" s="12"/>
    </row>
    <row r="7370" spans="1:1" x14ac:dyDescent="0.3">
      <c r="A7370" s="12"/>
    </row>
    <row r="7371" spans="1:1" x14ac:dyDescent="0.3">
      <c r="A7371" s="12"/>
    </row>
    <row r="7372" spans="1:1" x14ac:dyDescent="0.3">
      <c r="A7372" s="12"/>
    </row>
    <row r="7373" spans="1:1" x14ac:dyDescent="0.3">
      <c r="A7373" s="12"/>
    </row>
    <row r="7374" spans="1:1" x14ac:dyDescent="0.3">
      <c r="A7374" s="12"/>
    </row>
    <row r="7375" spans="1:1" x14ac:dyDescent="0.3">
      <c r="A7375" s="12"/>
    </row>
    <row r="7376" spans="1:1" x14ac:dyDescent="0.3">
      <c r="A7376" s="12"/>
    </row>
    <row r="7377" spans="1:1" x14ac:dyDescent="0.3">
      <c r="A7377" s="12"/>
    </row>
    <row r="7378" spans="1:1" x14ac:dyDescent="0.3">
      <c r="A7378" s="12"/>
    </row>
    <row r="7379" spans="1:1" x14ac:dyDescent="0.3">
      <c r="A7379" s="12"/>
    </row>
    <row r="7380" spans="1:1" x14ac:dyDescent="0.3">
      <c r="A7380" s="12"/>
    </row>
    <row r="7381" spans="1:1" x14ac:dyDescent="0.3">
      <c r="A7381" s="12"/>
    </row>
    <row r="7382" spans="1:1" x14ac:dyDescent="0.3">
      <c r="A7382" s="12"/>
    </row>
    <row r="7383" spans="1:1" x14ac:dyDescent="0.3">
      <c r="A7383" s="12"/>
    </row>
    <row r="7384" spans="1:1" x14ac:dyDescent="0.3">
      <c r="A7384" s="12"/>
    </row>
    <row r="7385" spans="1:1" x14ac:dyDescent="0.3">
      <c r="A7385" s="12"/>
    </row>
    <row r="7386" spans="1:1" x14ac:dyDescent="0.3">
      <c r="A7386" s="12"/>
    </row>
    <row r="7387" spans="1:1" x14ac:dyDescent="0.3">
      <c r="A7387" s="12"/>
    </row>
    <row r="7388" spans="1:1" x14ac:dyDescent="0.3">
      <c r="A7388" s="12"/>
    </row>
    <row r="7389" spans="1:1" x14ac:dyDescent="0.3">
      <c r="A7389" s="12"/>
    </row>
    <row r="7390" spans="1:1" x14ac:dyDescent="0.3">
      <c r="A7390" s="12"/>
    </row>
    <row r="7391" spans="1:1" x14ac:dyDescent="0.3">
      <c r="A7391" s="12"/>
    </row>
    <row r="7392" spans="1:1" x14ac:dyDescent="0.3">
      <c r="A7392" s="12"/>
    </row>
    <row r="7393" spans="1:1" x14ac:dyDescent="0.3">
      <c r="A7393" s="12"/>
    </row>
    <row r="7394" spans="1:1" x14ac:dyDescent="0.3">
      <c r="A7394" s="12"/>
    </row>
    <row r="7395" spans="1:1" x14ac:dyDescent="0.3">
      <c r="A7395" s="12"/>
    </row>
    <row r="7396" spans="1:1" x14ac:dyDescent="0.3">
      <c r="A7396" s="12"/>
    </row>
    <row r="7397" spans="1:1" x14ac:dyDescent="0.3">
      <c r="A7397" s="12"/>
    </row>
    <row r="7398" spans="1:1" x14ac:dyDescent="0.3">
      <c r="A7398" s="12"/>
    </row>
    <row r="7399" spans="1:1" x14ac:dyDescent="0.3">
      <c r="A7399" s="12"/>
    </row>
    <row r="7400" spans="1:1" x14ac:dyDescent="0.3">
      <c r="A7400" s="12"/>
    </row>
    <row r="7401" spans="1:1" x14ac:dyDescent="0.3">
      <c r="A7401" s="12"/>
    </row>
    <row r="7402" spans="1:1" x14ac:dyDescent="0.3">
      <c r="A7402" s="12"/>
    </row>
    <row r="7403" spans="1:1" x14ac:dyDescent="0.3">
      <c r="A7403" s="12"/>
    </row>
    <row r="7404" spans="1:1" x14ac:dyDescent="0.3">
      <c r="A7404" s="12"/>
    </row>
    <row r="7405" spans="1:1" x14ac:dyDescent="0.3">
      <c r="A7405" s="12"/>
    </row>
    <row r="7406" spans="1:1" x14ac:dyDescent="0.3">
      <c r="A7406" s="12"/>
    </row>
    <row r="7407" spans="1:1" x14ac:dyDescent="0.3">
      <c r="A7407" s="12"/>
    </row>
    <row r="7408" spans="1:1" x14ac:dyDescent="0.3">
      <c r="A7408" s="12"/>
    </row>
    <row r="7409" spans="1:1" x14ac:dyDescent="0.3">
      <c r="A7409" s="12"/>
    </row>
    <row r="7410" spans="1:1" x14ac:dyDescent="0.3">
      <c r="A7410" s="12"/>
    </row>
    <row r="7411" spans="1:1" x14ac:dyDescent="0.3">
      <c r="A7411" s="12"/>
    </row>
    <row r="7412" spans="1:1" x14ac:dyDescent="0.3">
      <c r="A7412" s="12"/>
    </row>
    <row r="7413" spans="1:1" x14ac:dyDescent="0.3">
      <c r="A7413" s="12"/>
    </row>
    <row r="7414" spans="1:1" x14ac:dyDescent="0.3">
      <c r="A7414" s="12"/>
    </row>
    <row r="7415" spans="1:1" x14ac:dyDescent="0.3">
      <c r="A7415" s="12"/>
    </row>
    <row r="7416" spans="1:1" x14ac:dyDescent="0.3">
      <c r="A7416" s="12"/>
    </row>
    <row r="7417" spans="1:1" x14ac:dyDescent="0.3">
      <c r="A7417" s="12"/>
    </row>
    <row r="7418" spans="1:1" x14ac:dyDescent="0.3">
      <c r="A7418" s="12"/>
    </row>
    <row r="7419" spans="1:1" x14ac:dyDescent="0.3">
      <c r="A7419" s="12"/>
    </row>
    <row r="7420" spans="1:1" x14ac:dyDescent="0.3">
      <c r="A7420" s="12"/>
    </row>
    <row r="7421" spans="1:1" x14ac:dyDescent="0.3">
      <c r="A7421" s="12"/>
    </row>
    <row r="7422" spans="1:1" x14ac:dyDescent="0.3">
      <c r="A7422" s="12"/>
    </row>
    <row r="7423" spans="1:1" x14ac:dyDescent="0.3">
      <c r="A7423" s="12"/>
    </row>
    <row r="7424" spans="1:1" x14ac:dyDescent="0.3">
      <c r="A7424" s="12"/>
    </row>
    <row r="7425" spans="1:1" x14ac:dyDescent="0.3">
      <c r="A7425" s="12"/>
    </row>
    <row r="7426" spans="1:1" x14ac:dyDescent="0.3">
      <c r="A7426" s="12"/>
    </row>
    <row r="7427" spans="1:1" x14ac:dyDescent="0.3">
      <c r="A7427" s="12"/>
    </row>
    <row r="7428" spans="1:1" x14ac:dyDescent="0.3">
      <c r="A7428" s="12"/>
    </row>
    <row r="7429" spans="1:1" x14ac:dyDescent="0.3">
      <c r="A7429" s="12"/>
    </row>
    <row r="7430" spans="1:1" x14ac:dyDescent="0.3">
      <c r="A7430" s="12"/>
    </row>
    <row r="7431" spans="1:1" x14ac:dyDescent="0.3">
      <c r="A7431" s="12"/>
    </row>
    <row r="7432" spans="1:1" x14ac:dyDescent="0.3">
      <c r="A7432" s="12"/>
    </row>
    <row r="7433" spans="1:1" x14ac:dyDescent="0.3">
      <c r="A7433" s="12"/>
    </row>
    <row r="7434" spans="1:1" x14ac:dyDescent="0.3">
      <c r="A7434" s="12"/>
    </row>
    <row r="7435" spans="1:1" x14ac:dyDescent="0.3">
      <c r="A7435" s="12"/>
    </row>
    <row r="7436" spans="1:1" x14ac:dyDescent="0.3">
      <c r="A7436" s="12"/>
    </row>
    <row r="7437" spans="1:1" x14ac:dyDescent="0.3">
      <c r="A7437" s="12"/>
    </row>
    <row r="7438" spans="1:1" x14ac:dyDescent="0.3">
      <c r="A7438" s="12"/>
    </row>
    <row r="7439" spans="1:1" x14ac:dyDescent="0.3">
      <c r="A7439" s="12"/>
    </row>
    <row r="7440" spans="1:1" x14ac:dyDescent="0.3">
      <c r="A7440" s="12"/>
    </row>
    <row r="7441" spans="1:1" x14ac:dyDescent="0.3">
      <c r="A7441" s="12"/>
    </row>
    <row r="7442" spans="1:1" x14ac:dyDescent="0.3">
      <c r="A7442" s="12"/>
    </row>
    <row r="7443" spans="1:1" x14ac:dyDescent="0.3">
      <c r="A7443" s="12"/>
    </row>
    <row r="7444" spans="1:1" x14ac:dyDescent="0.3">
      <c r="A7444" s="12"/>
    </row>
    <row r="7445" spans="1:1" x14ac:dyDescent="0.3">
      <c r="A7445" s="12"/>
    </row>
    <row r="7446" spans="1:1" x14ac:dyDescent="0.3">
      <c r="A7446" s="12"/>
    </row>
    <row r="7447" spans="1:1" x14ac:dyDescent="0.3">
      <c r="A7447" s="12"/>
    </row>
    <row r="7448" spans="1:1" x14ac:dyDescent="0.3">
      <c r="A7448" s="12"/>
    </row>
    <row r="7449" spans="1:1" x14ac:dyDescent="0.3">
      <c r="A7449" s="12"/>
    </row>
    <row r="7450" spans="1:1" x14ac:dyDescent="0.3">
      <c r="A7450" s="12"/>
    </row>
    <row r="7451" spans="1:1" x14ac:dyDescent="0.3">
      <c r="A7451" s="12"/>
    </row>
    <row r="7452" spans="1:1" x14ac:dyDescent="0.3">
      <c r="A7452" s="12"/>
    </row>
    <row r="7453" spans="1:1" x14ac:dyDescent="0.3">
      <c r="A7453" s="12"/>
    </row>
    <row r="7454" spans="1:1" x14ac:dyDescent="0.3">
      <c r="A7454" s="12"/>
    </row>
    <row r="7455" spans="1:1" x14ac:dyDescent="0.3">
      <c r="A7455" s="12"/>
    </row>
    <row r="7456" spans="1:1" x14ac:dyDescent="0.3">
      <c r="A7456" s="12"/>
    </row>
    <row r="7457" spans="1:1" x14ac:dyDescent="0.3">
      <c r="A7457" s="12"/>
    </row>
    <row r="7458" spans="1:1" x14ac:dyDescent="0.3">
      <c r="A7458" s="12"/>
    </row>
    <row r="7459" spans="1:1" x14ac:dyDescent="0.3">
      <c r="A7459" s="12"/>
    </row>
    <row r="7460" spans="1:1" x14ac:dyDescent="0.3">
      <c r="A7460" s="12"/>
    </row>
    <row r="7461" spans="1:1" x14ac:dyDescent="0.3">
      <c r="A7461" s="12"/>
    </row>
    <row r="7462" spans="1:1" x14ac:dyDescent="0.3">
      <c r="A7462" s="12"/>
    </row>
    <row r="7463" spans="1:1" x14ac:dyDescent="0.3">
      <c r="A7463" s="12"/>
    </row>
    <row r="7464" spans="1:1" x14ac:dyDescent="0.3">
      <c r="A7464" s="12"/>
    </row>
    <row r="7465" spans="1:1" x14ac:dyDescent="0.3">
      <c r="A7465" s="12"/>
    </row>
    <row r="7466" spans="1:1" x14ac:dyDescent="0.3">
      <c r="A7466" s="12"/>
    </row>
    <row r="7467" spans="1:1" x14ac:dyDescent="0.3">
      <c r="A7467" s="12"/>
    </row>
    <row r="7468" spans="1:1" x14ac:dyDescent="0.3">
      <c r="A7468" s="12"/>
    </row>
    <row r="7469" spans="1:1" x14ac:dyDescent="0.3">
      <c r="A7469" s="12"/>
    </row>
    <row r="7470" spans="1:1" x14ac:dyDescent="0.3">
      <c r="A7470" s="12"/>
    </row>
    <row r="7471" spans="1:1" x14ac:dyDescent="0.3">
      <c r="A7471" s="12"/>
    </row>
    <row r="7472" spans="1:1" x14ac:dyDescent="0.3">
      <c r="A7472" s="12"/>
    </row>
    <row r="7473" spans="1:1" x14ac:dyDescent="0.3">
      <c r="A7473" s="12"/>
    </row>
    <row r="7474" spans="1:1" x14ac:dyDescent="0.3">
      <c r="A7474" s="12"/>
    </row>
    <row r="7475" spans="1:1" x14ac:dyDescent="0.3">
      <c r="A7475" s="12"/>
    </row>
    <row r="7476" spans="1:1" x14ac:dyDescent="0.3">
      <c r="A7476" s="12"/>
    </row>
    <row r="7477" spans="1:1" x14ac:dyDescent="0.3">
      <c r="A7477" s="12"/>
    </row>
    <row r="7478" spans="1:1" x14ac:dyDescent="0.3">
      <c r="A7478" s="12"/>
    </row>
    <row r="7479" spans="1:1" x14ac:dyDescent="0.3">
      <c r="A7479" s="12"/>
    </row>
    <row r="7480" spans="1:1" x14ac:dyDescent="0.3">
      <c r="A7480" s="12"/>
    </row>
    <row r="7481" spans="1:1" x14ac:dyDescent="0.3">
      <c r="A7481" s="12"/>
    </row>
    <row r="7482" spans="1:1" x14ac:dyDescent="0.3">
      <c r="A7482" s="12"/>
    </row>
    <row r="7483" spans="1:1" x14ac:dyDescent="0.3">
      <c r="A7483" s="12"/>
    </row>
    <row r="7484" spans="1:1" x14ac:dyDescent="0.3">
      <c r="A7484" s="12"/>
    </row>
    <row r="7485" spans="1:1" x14ac:dyDescent="0.3">
      <c r="A7485" s="12"/>
    </row>
    <row r="7486" spans="1:1" x14ac:dyDescent="0.3">
      <c r="A7486" s="12"/>
    </row>
    <row r="7487" spans="1:1" x14ac:dyDescent="0.3">
      <c r="A7487" s="12"/>
    </row>
    <row r="7488" spans="1:1" x14ac:dyDescent="0.3">
      <c r="A7488" s="12"/>
    </row>
    <row r="7489" spans="1:1" x14ac:dyDescent="0.3">
      <c r="A7489" s="12"/>
    </row>
    <row r="7490" spans="1:1" x14ac:dyDescent="0.3">
      <c r="A7490" s="12"/>
    </row>
    <row r="7491" spans="1:1" x14ac:dyDescent="0.3">
      <c r="A7491" s="12"/>
    </row>
    <row r="7492" spans="1:1" x14ac:dyDescent="0.3">
      <c r="A7492" s="12"/>
    </row>
    <row r="7493" spans="1:1" x14ac:dyDescent="0.3">
      <c r="A7493" s="12"/>
    </row>
    <row r="7494" spans="1:1" x14ac:dyDescent="0.3">
      <c r="A7494" s="12"/>
    </row>
    <row r="7495" spans="1:1" x14ac:dyDescent="0.3">
      <c r="A7495" s="12"/>
    </row>
    <row r="7496" spans="1:1" x14ac:dyDescent="0.3">
      <c r="A7496" s="12"/>
    </row>
    <row r="7497" spans="1:1" x14ac:dyDescent="0.3">
      <c r="A7497" s="12"/>
    </row>
    <row r="7498" spans="1:1" x14ac:dyDescent="0.3">
      <c r="A7498" s="12"/>
    </row>
    <row r="7499" spans="1:1" x14ac:dyDescent="0.3">
      <c r="A7499" s="12"/>
    </row>
    <row r="7500" spans="1:1" x14ac:dyDescent="0.3">
      <c r="A7500" s="12"/>
    </row>
    <row r="7501" spans="1:1" x14ac:dyDescent="0.3">
      <c r="A7501" s="12"/>
    </row>
    <row r="7502" spans="1:1" x14ac:dyDescent="0.3">
      <c r="A7502" s="12"/>
    </row>
    <row r="7503" spans="1:1" x14ac:dyDescent="0.3">
      <c r="A7503" s="12"/>
    </row>
    <row r="7504" spans="1:1" x14ac:dyDescent="0.3">
      <c r="A7504" s="12"/>
    </row>
    <row r="7505" spans="1:1" x14ac:dyDescent="0.3">
      <c r="A7505" s="12"/>
    </row>
    <row r="7506" spans="1:1" x14ac:dyDescent="0.3">
      <c r="A7506" s="12"/>
    </row>
    <row r="7507" spans="1:1" x14ac:dyDescent="0.3">
      <c r="A7507" s="12"/>
    </row>
    <row r="7508" spans="1:1" x14ac:dyDescent="0.3">
      <c r="A7508" s="12"/>
    </row>
    <row r="7509" spans="1:1" x14ac:dyDescent="0.3">
      <c r="A7509" s="12"/>
    </row>
    <row r="7510" spans="1:1" x14ac:dyDescent="0.3">
      <c r="A7510" s="12"/>
    </row>
    <row r="7511" spans="1:1" x14ac:dyDescent="0.3">
      <c r="A7511" s="12"/>
    </row>
    <row r="7512" spans="1:1" x14ac:dyDescent="0.3">
      <c r="A7512" s="12"/>
    </row>
    <row r="7513" spans="1:1" x14ac:dyDescent="0.3">
      <c r="A7513" s="12"/>
    </row>
    <row r="7514" spans="1:1" x14ac:dyDescent="0.3">
      <c r="A7514" s="12"/>
    </row>
    <row r="7515" spans="1:1" x14ac:dyDescent="0.3">
      <c r="A7515" s="12"/>
    </row>
    <row r="7516" spans="1:1" x14ac:dyDescent="0.3">
      <c r="A7516" s="12"/>
    </row>
    <row r="7517" spans="1:1" x14ac:dyDescent="0.3">
      <c r="A7517" s="12"/>
    </row>
    <row r="7518" spans="1:1" x14ac:dyDescent="0.3">
      <c r="A7518" s="12"/>
    </row>
    <row r="7519" spans="1:1" x14ac:dyDescent="0.3">
      <c r="A7519" s="12"/>
    </row>
    <row r="7520" spans="1:1" x14ac:dyDescent="0.3">
      <c r="A7520" s="12"/>
    </row>
    <row r="7521" spans="1:1" x14ac:dyDescent="0.3">
      <c r="A7521" s="12"/>
    </row>
    <row r="7522" spans="1:1" x14ac:dyDescent="0.3">
      <c r="A7522" s="12"/>
    </row>
    <row r="7523" spans="1:1" x14ac:dyDescent="0.3">
      <c r="A7523" s="12"/>
    </row>
    <row r="7524" spans="1:1" x14ac:dyDescent="0.3">
      <c r="A7524" s="12"/>
    </row>
    <row r="7525" spans="1:1" x14ac:dyDescent="0.3">
      <c r="A7525" s="12"/>
    </row>
    <row r="7526" spans="1:1" x14ac:dyDescent="0.3">
      <c r="A7526" s="12"/>
    </row>
    <row r="7527" spans="1:1" x14ac:dyDescent="0.3">
      <c r="A7527" s="12"/>
    </row>
    <row r="7528" spans="1:1" x14ac:dyDescent="0.3">
      <c r="A7528" s="12"/>
    </row>
    <row r="7529" spans="1:1" x14ac:dyDescent="0.3">
      <c r="A7529" s="12"/>
    </row>
    <row r="7530" spans="1:1" x14ac:dyDescent="0.3">
      <c r="A7530" s="12"/>
    </row>
    <row r="7531" spans="1:1" x14ac:dyDescent="0.3">
      <c r="A7531" s="12"/>
    </row>
    <row r="7532" spans="1:1" x14ac:dyDescent="0.3">
      <c r="A7532" s="12"/>
    </row>
    <row r="7533" spans="1:1" x14ac:dyDescent="0.3">
      <c r="A7533" s="12"/>
    </row>
    <row r="7534" spans="1:1" x14ac:dyDescent="0.3">
      <c r="A7534" s="12"/>
    </row>
    <row r="7535" spans="1:1" x14ac:dyDescent="0.3">
      <c r="A7535" s="12"/>
    </row>
    <row r="7536" spans="1:1" x14ac:dyDescent="0.3">
      <c r="A7536" s="12"/>
    </row>
    <row r="7537" spans="1:1" x14ac:dyDescent="0.3">
      <c r="A7537" s="12"/>
    </row>
    <row r="7538" spans="1:1" x14ac:dyDescent="0.3">
      <c r="A7538" s="12"/>
    </row>
    <row r="7539" spans="1:1" x14ac:dyDescent="0.3">
      <c r="A7539" s="12"/>
    </row>
    <row r="7540" spans="1:1" x14ac:dyDescent="0.3">
      <c r="A7540" s="12"/>
    </row>
    <row r="7541" spans="1:1" x14ac:dyDescent="0.3">
      <c r="A7541" s="12"/>
    </row>
    <row r="7542" spans="1:1" x14ac:dyDescent="0.3">
      <c r="A7542" s="12"/>
    </row>
    <row r="7543" spans="1:1" x14ac:dyDescent="0.3">
      <c r="A7543" s="12"/>
    </row>
    <row r="7544" spans="1:1" x14ac:dyDescent="0.3">
      <c r="A7544" s="12"/>
    </row>
    <row r="7545" spans="1:1" x14ac:dyDescent="0.3">
      <c r="A7545" s="12"/>
    </row>
    <row r="7546" spans="1:1" x14ac:dyDescent="0.3">
      <c r="A7546" s="12"/>
    </row>
    <row r="7547" spans="1:1" x14ac:dyDescent="0.3">
      <c r="A7547" s="12"/>
    </row>
    <row r="7548" spans="1:1" x14ac:dyDescent="0.3">
      <c r="A7548" s="12"/>
    </row>
    <row r="7549" spans="1:1" x14ac:dyDescent="0.3">
      <c r="A7549" s="12"/>
    </row>
    <row r="7550" spans="1:1" x14ac:dyDescent="0.3">
      <c r="A7550" s="12"/>
    </row>
    <row r="7551" spans="1:1" x14ac:dyDescent="0.3">
      <c r="A7551" s="12"/>
    </row>
    <row r="7552" spans="1:1" x14ac:dyDescent="0.3">
      <c r="A7552" s="12"/>
    </row>
    <row r="7553" spans="1:1" x14ac:dyDescent="0.3">
      <c r="A7553" s="12"/>
    </row>
    <row r="7554" spans="1:1" x14ac:dyDescent="0.3">
      <c r="A7554" s="12"/>
    </row>
    <row r="7555" spans="1:1" x14ac:dyDescent="0.3">
      <c r="A7555" s="12"/>
    </row>
    <row r="7556" spans="1:1" x14ac:dyDescent="0.3">
      <c r="A7556" s="12"/>
    </row>
    <row r="7557" spans="1:1" x14ac:dyDescent="0.3">
      <c r="A7557" s="12"/>
    </row>
    <row r="7558" spans="1:1" x14ac:dyDescent="0.3">
      <c r="A7558" s="12"/>
    </row>
    <row r="7559" spans="1:1" x14ac:dyDescent="0.3">
      <c r="A7559" s="12"/>
    </row>
    <row r="7560" spans="1:1" x14ac:dyDescent="0.3">
      <c r="A7560" s="12"/>
    </row>
    <row r="7561" spans="1:1" x14ac:dyDescent="0.3">
      <c r="A7561" s="12"/>
    </row>
    <row r="7562" spans="1:1" x14ac:dyDescent="0.3">
      <c r="A7562" s="12"/>
    </row>
    <row r="7563" spans="1:1" x14ac:dyDescent="0.3">
      <c r="A7563" s="12"/>
    </row>
    <row r="7564" spans="1:1" x14ac:dyDescent="0.3">
      <c r="A7564" s="12"/>
    </row>
    <row r="7565" spans="1:1" x14ac:dyDescent="0.3">
      <c r="A7565" s="12"/>
    </row>
    <row r="7566" spans="1:1" x14ac:dyDescent="0.3">
      <c r="A7566" s="12"/>
    </row>
    <row r="7567" spans="1:1" x14ac:dyDescent="0.3">
      <c r="A7567" s="12"/>
    </row>
    <row r="7568" spans="1:1" x14ac:dyDescent="0.3">
      <c r="A7568" s="12"/>
    </row>
    <row r="7569" spans="1:1" x14ac:dyDescent="0.3">
      <c r="A7569" s="12"/>
    </row>
    <row r="7570" spans="1:1" x14ac:dyDescent="0.3">
      <c r="A7570" s="12"/>
    </row>
    <row r="7571" spans="1:1" x14ac:dyDescent="0.3">
      <c r="A7571" s="12"/>
    </row>
    <row r="7572" spans="1:1" x14ac:dyDescent="0.3">
      <c r="A7572" s="12"/>
    </row>
    <row r="7573" spans="1:1" x14ac:dyDescent="0.3">
      <c r="A7573" s="12"/>
    </row>
    <row r="7574" spans="1:1" x14ac:dyDescent="0.3">
      <c r="A7574" s="12"/>
    </row>
    <row r="7575" spans="1:1" x14ac:dyDescent="0.3">
      <c r="A7575" s="12"/>
    </row>
    <row r="7576" spans="1:1" x14ac:dyDescent="0.3">
      <c r="A7576" s="12"/>
    </row>
    <row r="7577" spans="1:1" x14ac:dyDescent="0.3">
      <c r="A7577" s="12"/>
    </row>
    <row r="7578" spans="1:1" x14ac:dyDescent="0.3">
      <c r="A7578" s="12"/>
    </row>
    <row r="7579" spans="1:1" x14ac:dyDescent="0.3">
      <c r="A7579" s="12"/>
    </row>
    <row r="7580" spans="1:1" x14ac:dyDescent="0.3">
      <c r="A7580" s="12"/>
    </row>
    <row r="7581" spans="1:1" x14ac:dyDescent="0.3">
      <c r="A7581" s="12"/>
    </row>
    <row r="7582" spans="1:1" x14ac:dyDescent="0.3">
      <c r="A7582" s="12"/>
    </row>
    <row r="7583" spans="1:1" x14ac:dyDescent="0.3">
      <c r="A7583" s="12"/>
    </row>
    <row r="7584" spans="1:1" x14ac:dyDescent="0.3">
      <c r="A7584" s="12"/>
    </row>
    <row r="7585" spans="1:1" x14ac:dyDescent="0.3">
      <c r="A7585" s="12"/>
    </row>
    <row r="7586" spans="1:1" x14ac:dyDescent="0.3">
      <c r="A7586" s="12"/>
    </row>
    <row r="7587" spans="1:1" x14ac:dyDescent="0.3">
      <c r="A7587" s="12"/>
    </row>
    <row r="7588" spans="1:1" x14ac:dyDescent="0.3">
      <c r="A7588" s="12"/>
    </row>
    <row r="7589" spans="1:1" x14ac:dyDescent="0.3">
      <c r="A7589" s="12"/>
    </row>
    <row r="7590" spans="1:1" x14ac:dyDescent="0.3">
      <c r="A7590" s="12"/>
    </row>
    <row r="7591" spans="1:1" x14ac:dyDescent="0.3">
      <c r="A7591" s="12"/>
    </row>
    <row r="7592" spans="1:1" x14ac:dyDescent="0.3">
      <c r="A7592" s="12"/>
    </row>
    <row r="7593" spans="1:1" x14ac:dyDescent="0.3">
      <c r="A7593" s="12"/>
    </row>
    <row r="7594" spans="1:1" x14ac:dyDescent="0.3">
      <c r="A7594" s="12"/>
    </row>
    <row r="7595" spans="1:1" x14ac:dyDescent="0.3">
      <c r="A7595" s="12"/>
    </row>
    <row r="7596" spans="1:1" x14ac:dyDescent="0.3">
      <c r="A7596" s="12"/>
    </row>
    <row r="7597" spans="1:1" x14ac:dyDescent="0.3">
      <c r="A7597" s="12"/>
    </row>
    <row r="7598" spans="1:1" x14ac:dyDescent="0.3">
      <c r="A7598" s="12"/>
    </row>
    <row r="7599" spans="1:1" x14ac:dyDescent="0.3">
      <c r="A7599" s="12"/>
    </row>
    <row r="7600" spans="1:1" x14ac:dyDescent="0.3">
      <c r="A7600" s="12"/>
    </row>
    <row r="7601" spans="1:1" x14ac:dyDescent="0.3">
      <c r="A7601" s="12"/>
    </row>
    <row r="7602" spans="1:1" x14ac:dyDescent="0.3">
      <c r="A7602" s="12"/>
    </row>
    <row r="7603" spans="1:1" x14ac:dyDescent="0.3">
      <c r="A7603" s="12"/>
    </row>
    <row r="7604" spans="1:1" x14ac:dyDescent="0.3">
      <c r="A7604" s="12"/>
    </row>
    <row r="7605" spans="1:1" x14ac:dyDescent="0.3">
      <c r="A7605" s="12"/>
    </row>
    <row r="7606" spans="1:1" x14ac:dyDescent="0.3">
      <c r="A7606" s="12"/>
    </row>
    <row r="7607" spans="1:1" x14ac:dyDescent="0.3">
      <c r="A7607" s="12"/>
    </row>
    <row r="7608" spans="1:1" x14ac:dyDescent="0.3">
      <c r="A7608" s="12"/>
    </row>
    <row r="7609" spans="1:1" x14ac:dyDescent="0.3">
      <c r="A7609" s="12"/>
    </row>
    <row r="7610" spans="1:1" x14ac:dyDescent="0.3">
      <c r="A7610" s="12"/>
    </row>
    <row r="7611" spans="1:1" x14ac:dyDescent="0.3">
      <c r="A7611" s="12"/>
    </row>
    <row r="7612" spans="1:1" x14ac:dyDescent="0.3">
      <c r="A7612" s="12"/>
    </row>
    <row r="7613" spans="1:1" x14ac:dyDescent="0.3">
      <c r="A7613" s="12"/>
    </row>
    <row r="7614" spans="1:1" x14ac:dyDescent="0.3">
      <c r="A7614" s="12"/>
    </row>
    <row r="7615" spans="1:1" x14ac:dyDescent="0.3">
      <c r="A7615" s="12"/>
    </row>
    <row r="7616" spans="1:1" x14ac:dyDescent="0.3">
      <c r="A7616" s="12"/>
    </row>
    <row r="7617" spans="1:1" x14ac:dyDescent="0.3">
      <c r="A7617" s="12"/>
    </row>
    <row r="7618" spans="1:1" x14ac:dyDescent="0.3">
      <c r="A7618" s="12"/>
    </row>
    <row r="7619" spans="1:1" x14ac:dyDescent="0.3">
      <c r="A7619" s="12"/>
    </row>
    <row r="7620" spans="1:1" x14ac:dyDescent="0.3">
      <c r="A7620" s="12"/>
    </row>
    <row r="7621" spans="1:1" x14ac:dyDescent="0.3">
      <c r="A7621" s="12"/>
    </row>
    <row r="7622" spans="1:1" x14ac:dyDescent="0.3">
      <c r="A7622" s="12"/>
    </row>
    <row r="7623" spans="1:1" x14ac:dyDescent="0.3">
      <c r="A7623" s="12"/>
    </row>
    <row r="7624" spans="1:1" x14ac:dyDescent="0.3">
      <c r="A7624" s="12"/>
    </row>
    <row r="7625" spans="1:1" x14ac:dyDescent="0.3">
      <c r="A7625" s="12"/>
    </row>
    <row r="7626" spans="1:1" x14ac:dyDescent="0.3">
      <c r="A7626" s="12"/>
    </row>
    <row r="7627" spans="1:1" x14ac:dyDescent="0.3">
      <c r="A7627" s="12"/>
    </row>
    <row r="7628" spans="1:1" x14ac:dyDescent="0.3">
      <c r="A7628" s="12"/>
    </row>
    <row r="7629" spans="1:1" x14ac:dyDescent="0.3">
      <c r="A7629" s="12"/>
    </row>
    <row r="7630" spans="1:1" x14ac:dyDescent="0.3">
      <c r="A7630" s="12"/>
    </row>
    <row r="7631" spans="1:1" x14ac:dyDescent="0.3">
      <c r="A7631" s="12"/>
    </row>
    <row r="7632" spans="1:1" x14ac:dyDescent="0.3">
      <c r="A7632" s="12"/>
    </row>
    <row r="7633" spans="1:1" x14ac:dyDescent="0.3">
      <c r="A7633" s="12"/>
    </row>
    <row r="7634" spans="1:1" x14ac:dyDescent="0.3">
      <c r="A7634" s="12"/>
    </row>
    <row r="7635" spans="1:1" x14ac:dyDescent="0.3">
      <c r="A7635" s="12"/>
    </row>
    <row r="7636" spans="1:1" x14ac:dyDescent="0.3">
      <c r="A7636" s="12"/>
    </row>
    <row r="7637" spans="1:1" x14ac:dyDescent="0.3">
      <c r="A7637" s="12"/>
    </row>
    <row r="7638" spans="1:1" x14ac:dyDescent="0.3">
      <c r="A7638" s="12"/>
    </row>
    <row r="7639" spans="1:1" x14ac:dyDescent="0.3">
      <c r="A7639" s="12"/>
    </row>
    <row r="7640" spans="1:1" x14ac:dyDescent="0.3">
      <c r="A7640" s="12"/>
    </row>
    <row r="7641" spans="1:1" x14ac:dyDescent="0.3">
      <c r="A7641" s="12"/>
    </row>
    <row r="7642" spans="1:1" x14ac:dyDescent="0.3">
      <c r="A7642" s="12"/>
    </row>
    <row r="7643" spans="1:1" x14ac:dyDescent="0.3">
      <c r="A7643" s="12"/>
    </row>
    <row r="7644" spans="1:1" x14ac:dyDescent="0.3">
      <c r="A7644" s="12"/>
    </row>
    <row r="7645" spans="1:1" x14ac:dyDescent="0.3">
      <c r="A7645" s="12"/>
    </row>
    <row r="7646" spans="1:1" x14ac:dyDescent="0.3">
      <c r="A7646" s="12"/>
    </row>
    <row r="7647" spans="1:1" x14ac:dyDescent="0.3">
      <c r="A7647" s="12"/>
    </row>
    <row r="7648" spans="1:1" x14ac:dyDescent="0.3">
      <c r="A7648" s="12"/>
    </row>
    <row r="7649" spans="1:1" x14ac:dyDescent="0.3">
      <c r="A7649" s="12"/>
    </row>
    <row r="7650" spans="1:1" x14ac:dyDescent="0.3">
      <c r="A7650" s="12"/>
    </row>
    <row r="7651" spans="1:1" x14ac:dyDescent="0.3">
      <c r="A7651" s="12"/>
    </row>
    <row r="7652" spans="1:1" x14ac:dyDescent="0.3">
      <c r="A7652" s="12"/>
    </row>
    <row r="7653" spans="1:1" x14ac:dyDescent="0.3">
      <c r="A7653" s="12"/>
    </row>
    <row r="7654" spans="1:1" x14ac:dyDescent="0.3">
      <c r="A7654" s="12"/>
    </row>
    <row r="7655" spans="1:1" x14ac:dyDescent="0.3">
      <c r="A7655" s="12"/>
    </row>
    <row r="7656" spans="1:1" x14ac:dyDescent="0.3">
      <c r="A7656" s="12"/>
    </row>
    <row r="7657" spans="1:1" x14ac:dyDescent="0.3">
      <c r="A7657" s="12"/>
    </row>
    <row r="7658" spans="1:1" x14ac:dyDescent="0.3">
      <c r="A7658" s="12"/>
    </row>
    <row r="7659" spans="1:1" x14ac:dyDescent="0.3">
      <c r="A7659" s="12"/>
    </row>
    <row r="7660" spans="1:1" x14ac:dyDescent="0.3">
      <c r="A7660" s="12"/>
    </row>
    <row r="7661" spans="1:1" x14ac:dyDescent="0.3">
      <c r="A7661" s="12"/>
    </row>
    <row r="7662" spans="1:1" x14ac:dyDescent="0.3">
      <c r="A7662" s="12"/>
    </row>
    <row r="7663" spans="1:1" x14ac:dyDescent="0.3">
      <c r="A7663" s="12"/>
    </row>
    <row r="7664" spans="1:1" x14ac:dyDescent="0.3">
      <c r="A7664" s="12"/>
    </row>
    <row r="7665" spans="1:1" x14ac:dyDescent="0.3">
      <c r="A7665" s="12"/>
    </row>
    <row r="7666" spans="1:1" x14ac:dyDescent="0.3">
      <c r="A7666" s="12"/>
    </row>
    <row r="7667" spans="1:1" x14ac:dyDescent="0.3">
      <c r="A7667" s="12"/>
    </row>
    <row r="7668" spans="1:1" x14ac:dyDescent="0.3">
      <c r="A7668" s="12"/>
    </row>
    <row r="7669" spans="1:1" x14ac:dyDescent="0.3">
      <c r="A7669" s="12"/>
    </row>
    <row r="7670" spans="1:1" x14ac:dyDescent="0.3">
      <c r="A7670" s="12"/>
    </row>
    <row r="7671" spans="1:1" x14ac:dyDescent="0.3">
      <c r="A7671" s="12"/>
    </row>
    <row r="7672" spans="1:1" x14ac:dyDescent="0.3">
      <c r="A7672" s="12"/>
    </row>
    <row r="7673" spans="1:1" x14ac:dyDescent="0.3">
      <c r="A7673" s="12"/>
    </row>
    <row r="7674" spans="1:1" x14ac:dyDescent="0.3">
      <c r="A7674" s="12"/>
    </row>
    <row r="7675" spans="1:1" x14ac:dyDescent="0.3">
      <c r="A7675" s="12"/>
    </row>
    <row r="7676" spans="1:1" x14ac:dyDescent="0.3">
      <c r="A7676" s="12"/>
    </row>
    <row r="7677" spans="1:1" x14ac:dyDescent="0.3">
      <c r="A7677" s="12"/>
    </row>
    <row r="7678" spans="1:1" x14ac:dyDescent="0.3">
      <c r="A7678" s="12"/>
    </row>
    <row r="7679" spans="1:1" x14ac:dyDescent="0.3">
      <c r="A7679" s="12"/>
    </row>
    <row r="7680" spans="1:1" x14ac:dyDescent="0.3">
      <c r="A7680" s="12"/>
    </row>
    <row r="7681" spans="1:1" x14ac:dyDescent="0.3">
      <c r="A7681" s="12"/>
    </row>
    <row r="7682" spans="1:1" x14ac:dyDescent="0.3">
      <c r="A7682" s="12"/>
    </row>
    <row r="7683" spans="1:1" x14ac:dyDescent="0.3">
      <c r="A7683" s="12"/>
    </row>
    <row r="7684" spans="1:1" x14ac:dyDescent="0.3">
      <c r="A7684" s="12"/>
    </row>
    <row r="7685" spans="1:1" x14ac:dyDescent="0.3">
      <c r="A7685" s="12"/>
    </row>
    <row r="7686" spans="1:1" x14ac:dyDescent="0.3">
      <c r="A7686" s="12"/>
    </row>
    <row r="7687" spans="1:1" x14ac:dyDescent="0.3">
      <c r="A7687" s="12"/>
    </row>
    <row r="7688" spans="1:1" x14ac:dyDescent="0.3">
      <c r="A7688" s="12"/>
    </row>
    <row r="7689" spans="1:1" x14ac:dyDescent="0.3">
      <c r="A7689" s="12"/>
    </row>
    <row r="7690" spans="1:1" x14ac:dyDescent="0.3">
      <c r="A7690" s="12"/>
    </row>
    <row r="7691" spans="1:1" x14ac:dyDescent="0.3">
      <c r="A7691" s="12"/>
    </row>
    <row r="7692" spans="1:1" x14ac:dyDescent="0.3">
      <c r="A7692" s="12"/>
    </row>
    <row r="7693" spans="1:1" x14ac:dyDescent="0.3">
      <c r="A7693" s="12"/>
    </row>
    <row r="7694" spans="1:1" x14ac:dyDescent="0.3">
      <c r="A7694" s="12"/>
    </row>
    <row r="7695" spans="1:1" x14ac:dyDescent="0.3">
      <c r="A7695" s="12"/>
    </row>
    <row r="7696" spans="1:1" x14ac:dyDescent="0.3">
      <c r="A7696" s="12"/>
    </row>
    <row r="7697" spans="1:1" x14ac:dyDescent="0.3">
      <c r="A7697" s="12"/>
    </row>
    <row r="7698" spans="1:1" x14ac:dyDescent="0.3">
      <c r="A7698" s="12"/>
    </row>
    <row r="7699" spans="1:1" x14ac:dyDescent="0.3">
      <c r="A7699" s="12"/>
    </row>
    <row r="7700" spans="1:1" x14ac:dyDescent="0.3">
      <c r="A7700" s="12"/>
    </row>
    <row r="7701" spans="1:1" x14ac:dyDescent="0.3">
      <c r="A7701" s="12"/>
    </row>
    <row r="7702" spans="1:1" x14ac:dyDescent="0.3">
      <c r="A7702" s="12"/>
    </row>
    <row r="7703" spans="1:1" x14ac:dyDescent="0.3">
      <c r="A7703" s="12"/>
    </row>
    <row r="7704" spans="1:1" x14ac:dyDescent="0.3">
      <c r="A7704" s="12"/>
    </row>
    <row r="7705" spans="1:1" x14ac:dyDescent="0.3">
      <c r="A7705" s="12"/>
    </row>
    <row r="7706" spans="1:1" x14ac:dyDescent="0.3">
      <c r="A7706" s="12"/>
    </row>
    <row r="7707" spans="1:1" x14ac:dyDescent="0.3">
      <c r="A7707" s="12"/>
    </row>
    <row r="7708" spans="1:1" x14ac:dyDescent="0.3">
      <c r="A7708" s="12"/>
    </row>
    <row r="7709" spans="1:1" x14ac:dyDescent="0.3">
      <c r="A7709" s="12"/>
    </row>
    <row r="7710" spans="1:1" x14ac:dyDescent="0.3">
      <c r="A7710" s="12"/>
    </row>
    <row r="7711" spans="1:1" x14ac:dyDescent="0.3">
      <c r="A7711" s="12"/>
    </row>
    <row r="7712" spans="1:1" x14ac:dyDescent="0.3">
      <c r="A7712" s="12"/>
    </row>
    <row r="7713" spans="1:1" x14ac:dyDescent="0.3">
      <c r="A7713" s="12"/>
    </row>
    <row r="7714" spans="1:1" x14ac:dyDescent="0.3">
      <c r="A7714" s="12"/>
    </row>
    <row r="7715" spans="1:1" x14ac:dyDescent="0.3">
      <c r="A7715" s="12"/>
    </row>
    <row r="7716" spans="1:1" x14ac:dyDescent="0.3">
      <c r="A7716" s="12"/>
    </row>
    <row r="7717" spans="1:1" x14ac:dyDescent="0.3">
      <c r="A7717" s="12"/>
    </row>
    <row r="7718" spans="1:1" x14ac:dyDescent="0.3">
      <c r="A7718" s="12"/>
    </row>
    <row r="7719" spans="1:1" x14ac:dyDescent="0.3">
      <c r="A7719" s="12"/>
    </row>
    <row r="7720" spans="1:1" x14ac:dyDescent="0.3">
      <c r="A7720" s="12"/>
    </row>
    <row r="7721" spans="1:1" x14ac:dyDescent="0.3">
      <c r="A7721" s="12"/>
    </row>
    <row r="7722" spans="1:1" x14ac:dyDescent="0.3">
      <c r="A7722" s="12"/>
    </row>
    <row r="7723" spans="1:1" x14ac:dyDescent="0.3">
      <c r="A7723" s="12"/>
    </row>
    <row r="7724" spans="1:1" x14ac:dyDescent="0.3">
      <c r="A7724" s="12"/>
    </row>
    <row r="7725" spans="1:1" x14ac:dyDescent="0.3">
      <c r="A7725" s="12"/>
    </row>
    <row r="7726" spans="1:1" x14ac:dyDescent="0.3">
      <c r="A7726" s="12"/>
    </row>
    <row r="7727" spans="1:1" x14ac:dyDescent="0.3">
      <c r="A7727" s="12"/>
    </row>
    <row r="7728" spans="1:1" x14ac:dyDescent="0.3">
      <c r="A7728" s="12"/>
    </row>
    <row r="7729" spans="1:1" x14ac:dyDescent="0.3">
      <c r="A7729" s="12"/>
    </row>
    <row r="7730" spans="1:1" x14ac:dyDescent="0.3">
      <c r="A7730" s="12"/>
    </row>
    <row r="7731" spans="1:1" x14ac:dyDescent="0.3">
      <c r="A7731" s="12"/>
    </row>
    <row r="7732" spans="1:1" x14ac:dyDescent="0.3">
      <c r="A7732" s="12"/>
    </row>
    <row r="7733" spans="1:1" x14ac:dyDescent="0.3">
      <c r="A7733" s="12"/>
    </row>
    <row r="7734" spans="1:1" x14ac:dyDescent="0.3">
      <c r="A7734" s="12"/>
    </row>
    <row r="7735" spans="1:1" x14ac:dyDescent="0.3">
      <c r="A7735" s="12"/>
    </row>
    <row r="7736" spans="1:1" x14ac:dyDescent="0.3">
      <c r="A7736" s="12"/>
    </row>
    <row r="7737" spans="1:1" x14ac:dyDescent="0.3">
      <c r="A7737" s="12"/>
    </row>
    <row r="7738" spans="1:1" x14ac:dyDescent="0.3">
      <c r="A7738" s="12"/>
    </row>
    <row r="7739" spans="1:1" x14ac:dyDescent="0.3">
      <c r="A7739" s="12"/>
    </row>
    <row r="7740" spans="1:1" x14ac:dyDescent="0.3">
      <c r="A7740" s="12"/>
    </row>
    <row r="7741" spans="1:1" x14ac:dyDescent="0.3">
      <c r="A7741" s="12"/>
    </row>
    <row r="7742" spans="1:1" x14ac:dyDescent="0.3">
      <c r="A7742" s="12"/>
    </row>
    <row r="7743" spans="1:1" x14ac:dyDescent="0.3">
      <c r="A7743" s="12"/>
    </row>
    <row r="7744" spans="1:1" x14ac:dyDescent="0.3">
      <c r="A7744" s="12"/>
    </row>
    <row r="7745" spans="1:1" x14ac:dyDescent="0.3">
      <c r="A7745" s="12"/>
    </row>
    <row r="7746" spans="1:1" x14ac:dyDescent="0.3">
      <c r="A7746" s="12"/>
    </row>
    <row r="7747" spans="1:1" x14ac:dyDescent="0.3">
      <c r="A7747" s="12"/>
    </row>
    <row r="7748" spans="1:1" x14ac:dyDescent="0.3">
      <c r="A7748" s="12"/>
    </row>
    <row r="7749" spans="1:1" x14ac:dyDescent="0.3">
      <c r="A7749" s="12"/>
    </row>
    <row r="7750" spans="1:1" x14ac:dyDescent="0.3">
      <c r="A7750" s="12"/>
    </row>
    <row r="7751" spans="1:1" x14ac:dyDescent="0.3">
      <c r="A7751" s="12"/>
    </row>
    <row r="7752" spans="1:1" x14ac:dyDescent="0.3">
      <c r="A7752" s="12"/>
    </row>
    <row r="7753" spans="1:1" x14ac:dyDescent="0.3">
      <c r="A7753" s="12"/>
    </row>
    <row r="7754" spans="1:1" x14ac:dyDescent="0.3">
      <c r="A7754" s="12"/>
    </row>
    <row r="7755" spans="1:1" x14ac:dyDescent="0.3">
      <c r="A7755" s="12"/>
    </row>
    <row r="7756" spans="1:1" x14ac:dyDescent="0.3">
      <c r="A7756" s="12"/>
    </row>
    <row r="7757" spans="1:1" x14ac:dyDescent="0.3">
      <c r="A7757" s="12"/>
    </row>
    <row r="7758" spans="1:1" x14ac:dyDescent="0.3">
      <c r="A7758" s="12"/>
    </row>
    <row r="7759" spans="1:1" x14ac:dyDescent="0.3">
      <c r="A7759" s="12"/>
    </row>
    <row r="7760" spans="1:1" x14ac:dyDescent="0.3">
      <c r="A7760" s="12"/>
    </row>
    <row r="7761" spans="1:1" x14ac:dyDescent="0.3">
      <c r="A7761" s="12"/>
    </row>
    <row r="7762" spans="1:1" x14ac:dyDescent="0.3">
      <c r="A7762" s="12"/>
    </row>
    <row r="7763" spans="1:1" x14ac:dyDescent="0.3">
      <c r="A7763" s="12"/>
    </row>
    <row r="7764" spans="1:1" x14ac:dyDescent="0.3">
      <c r="A7764" s="12"/>
    </row>
    <row r="7765" spans="1:1" x14ac:dyDescent="0.3">
      <c r="A7765" s="12"/>
    </row>
    <row r="7766" spans="1:1" x14ac:dyDescent="0.3">
      <c r="A7766" s="12"/>
    </row>
    <row r="7767" spans="1:1" x14ac:dyDescent="0.3">
      <c r="A7767" s="12"/>
    </row>
    <row r="7768" spans="1:1" x14ac:dyDescent="0.3">
      <c r="A7768" s="12"/>
    </row>
    <row r="7769" spans="1:1" x14ac:dyDescent="0.3">
      <c r="A7769" s="12"/>
    </row>
    <row r="7770" spans="1:1" x14ac:dyDescent="0.3">
      <c r="A7770" s="12"/>
    </row>
    <row r="7771" spans="1:1" x14ac:dyDescent="0.3">
      <c r="A7771" s="12"/>
    </row>
    <row r="7772" spans="1:1" x14ac:dyDescent="0.3">
      <c r="A7772" s="12"/>
    </row>
    <row r="7773" spans="1:1" x14ac:dyDescent="0.3">
      <c r="A7773" s="12"/>
    </row>
    <row r="7774" spans="1:1" x14ac:dyDescent="0.3">
      <c r="A7774" s="12"/>
    </row>
    <row r="7775" spans="1:1" x14ac:dyDescent="0.3">
      <c r="A7775" s="12"/>
    </row>
    <row r="7776" spans="1:1" x14ac:dyDescent="0.3">
      <c r="A7776" s="12"/>
    </row>
    <row r="7777" spans="1:1" x14ac:dyDescent="0.3">
      <c r="A7777" s="12"/>
    </row>
    <row r="7778" spans="1:1" x14ac:dyDescent="0.3">
      <c r="A7778" s="12"/>
    </row>
    <row r="7779" spans="1:1" x14ac:dyDescent="0.3">
      <c r="A7779" s="12"/>
    </row>
    <row r="7780" spans="1:1" x14ac:dyDescent="0.3">
      <c r="A7780" s="12"/>
    </row>
    <row r="7781" spans="1:1" x14ac:dyDescent="0.3">
      <c r="A7781" s="12"/>
    </row>
    <row r="7782" spans="1:1" x14ac:dyDescent="0.3">
      <c r="A7782" s="12"/>
    </row>
    <row r="7783" spans="1:1" x14ac:dyDescent="0.3">
      <c r="A7783" s="12"/>
    </row>
    <row r="7784" spans="1:1" x14ac:dyDescent="0.3">
      <c r="A7784" s="12"/>
    </row>
    <row r="7785" spans="1:1" x14ac:dyDescent="0.3">
      <c r="A7785" s="12"/>
    </row>
    <row r="7786" spans="1:1" x14ac:dyDescent="0.3">
      <c r="A7786" s="12"/>
    </row>
    <row r="7787" spans="1:1" x14ac:dyDescent="0.3">
      <c r="A7787" s="12"/>
    </row>
    <row r="7788" spans="1:1" x14ac:dyDescent="0.3">
      <c r="A7788" s="12"/>
    </row>
    <row r="7789" spans="1:1" x14ac:dyDescent="0.3">
      <c r="A7789" s="12"/>
    </row>
    <row r="7790" spans="1:1" x14ac:dyDescent="0.3">
      <c r="A7790" s="12"/>
    </row>
    <row r="7791" spans="1:1" x14ac:dyDescent="0.3">
      <c r="A7791" s="12"/>
    </row>
    <row r="7792" spans="1:1" x14ac:dyDescent="0.3">
      <c r="A7792" s="12"/>
    </row>
    <row r="7793" spans="1:1" x14ac:dyDescent="0.3">
      <c r="A7793" s="12"/>
    </row>
    <row r="7794" spans="1:1" x14ac:dyDescent="0.3">
      <c r="A7794" s="12"/>
    </row>
    <row r="7795" spans="1:1" x14ac:dyDescent="0.3">
      <c r="A7795" s="12"/>
    </row>
    <row r="7796" spans="1:1" x14ac:dyDescent="0.3">
      <c r="A7796" s="12"/>
    </row>
    <row r="7797" spans="1:1" x14ac:dyDescent="0.3">
      <c r="A7797" s="12"/>
    </row>
    <row r="7798" spans="1:1" x14ac:dyDescent="0.3">
      <c r="A7798" s="12"/>
    </row>
    <row r="7799" spans="1:1" x14ac:dyDescent="0.3">
      <c r="A7799" s="12"/>
    </row>
    <row r="7800" spans="1:1" x14ac:dyDescent="0.3">
      <c r="A7800" s="12"/>
    </row>
    <row r="7801" spans="1:1" x14ac:dyDescent="0.3">
      <c r="A7801" s="12"/>
    </row>
    <row r="7802" spans="1:1" x14ac:dyDescent="0.3">
      <c r="A7802" s="12"/>
    </row>
    <row r="7803" spans="1:1" x14ac:dyDescent="0.3">
      <c r="A7803" s="12"/>
    </row>
    <row r="7804" spans="1:1" x14ac:dyDescent="0.3">
      <c r="A7804" s="12"/>
    </row>
    <row r="7805" spans="1:1" x14ac:dyDescent="0.3">
      <c r="A7805" s="12"/>
    </row>
    <row r="7806" spans="1:1" x14ac:dyDescent="0.3">
      <c r="A7806" s="12"/>
    </row>
    <row r="7807" spans="1:1" x14ac:dyDescent="0.3">
      <c r="A7807" s="12"/>
    </row>
    <row r="7808" spans="1:1" x14ac:dyDescent="0.3">
      <c r="A7808" s="12"/>
    </row>
    <row r="7809" spans="1:1" x14ac:dyDescent="0.3">
      <c r="A7809" s="12"/>
    </row>
    <row r="7810" spans="1:1" x14ac:dyDescent="0.3">
      <c r="A7810" s="12"/>
    </row>
    <row r="7811" spans="1:1" x14ac:dyDescent="0.3">
      <c r="A7811" s="12"/>
    </row>
    <row r="7812" spans="1:1" x14ac:dyDescent="0.3">
      <c r="A7812" s="12"/>
    </row>
    <row r="7813" spans="1:1" x14ac:dyDescent="0.3">
      <c r="A7813" s="12"/>
    </row>
    <row r="7814" spans="1:1" x14ac:dyDescent="0.3">
      <c r="A7814" s="12"/>
    </row>
    <row r="7815" spans="1:1" x14ac:dyDescent="0.3">
      <c r="A7815" s="12"/>
    </row>
    <row r="7816" spans="1:1" x14ac:dyDescent="0.3">
      <c r="A7816" s="12"/>
    </row>
    <row r="7817" spans="1:1" x14ac:dyDescent="0.3">
      <c r="A7817" s="12"/>
    </row>
    <row r="7818" spans="1:1" x14ac:dyDescent="0.3">
      <c r="A7818" s="12"/>
    </row>
    <row r="7819" spans="1:1" x14ac:dyDescent="0.3">
      <c r="A7819" s="12"/>
    </row>
    <row r="7820" spans="1:1" x14ac:dyDescent="0.3">
      <c r="A7820" s="12"/>
    </row>
    <row r="7821" spans="1:1" x14ac:dyDescent="0.3">
      <c r="A7821" s="12"/>
    </row>
    <row r="7822" spans="1:1" x14ac:dyDescent="0.3">
      <c r="A7822" s="12"/>
    </row>
    <row r="7823" spans="1:1" x14ac:dyDescent="0.3">
      <c r="A7823" s="12"/>
    </row>
    <row r="7824" spans="1:1" x14ac:dyDescent="0.3">
      <c r="A7824" s="12"/>
    </row>
    <row r="7825" spans="1:1" x14ac:dyDescent="0.3">
      <c r="A7825" s="12"/>
    </row>
    <row r="7826" spans="1:1" x14ac:dyDescent="0.3">
      <c r="A7826" s="12"/>
    </row>
    <row r="7827" spans="1:1" x14ac:dyDescent="0.3">
      <c r="A7827" s="12"/>
    </row>
    <row r="7828" spans="1:1" x14ac:dyDescent="0.3">
      <c r="A7828" s="12"/>
    </row>
    <row r="7829" spans="1:1" x14ac:dyDescent="0.3">
      <c r="A7829" s="12"/>
    </row>
    <row r="7830" spans="1:1" x14ac:dyDescent="0.3">
      <c r="A7830" s="12"/>
    </row>
    <row r="7831" spans="1:1" x14ac:dyDescent="0.3">
      <c r="A7831" s="12"/>
    </row>
    <row r="7832" spans="1:1" x14ac:dyDescent="0.3">
      <c r="A7832" s="12"/>
    </row>
    <row r="7833" spans="1:1" x14ac:dyDescent="0.3">
      <c r="A7833" s="12"/>
    </row>
    <row r="7834" spans="1:1" x14ac:dyDescent="0.3">
      <c r="A7834" s="12"/>
    </row>
    <row r="7835" spans="1:1" x14ac:dyDescent="0.3">
      <c r="A7835" s="12"/>
    </row>
    <row r="7836" spans="1:1" x14ac:dyDescent="0.3">
      <c r="A7836" s="12"/>
    </row>
    <row r="7837" spans="1:1" x14ac:dyDescent="0.3">
      <c r="A7837" s="12"/>
    </row>
    <row r="7838" spans="1:1" x14ac:dyDescent="0.3">
      <c r="A7838" s="12"/>
    </row>
    <row r="7839" spans="1:1" x14ac:dyDescent="0.3">
      <c r="A7839" s="12"/>
    </row>
    <row r="7840" spans="1:1" x14ac:dyDescent="0.3">
      <c r="A7840" s="12"/>
    </row>
    <row r="7841" spans="1:1" x14ac:dyDescent="0.3">
      <c r="A7841" s="12"/>
    </row>
    <row r="7842" spans="1:1" x14ac:dyDescent="0.3">
      <c r="A7842" s="12"/>
    </row>
    <row r="7843" spans="1:1" x14ac:dyDescent="0.3">
      <c r="A7843" s="12"/>
    </row>
    <row r="7844" spans="1:1" x14ac:dyDescent="0.3">
      <c r="A7844" s="12"/>
    </row>
    <row r="7845" spans="1:1" x14ac:dyDescent="0.3">
      <c r="A7845" s="12"/>
    </row>
    <row r="7846" spans="1:1" x14ac:dyDescent="0.3">
      <c r="A7846" s="12"/>
    </row>
    <row r="7847" spans="1:1" x14ac:dyDescent="0.3">
      <c r="A7847" s="12"/>
    </row>
    <row r="7848" spans="1:1" x14ac:dyDescent="0.3">
      <c r="A7848" s="12"/>
    </row>
    <row r="7849" spans="1:1" x14ac:dyDescent="0.3">
      <c r="A7849" s="12"/>
    </row>
    <row r="7850" spans="1:1" x14ac:dyDescent="0.3">
      <c r="A7850" s="12"/>
    </row>
    <row r="7851" spans="1:1" x14ac:dyDescent="0.3">
      <c r="A7851" s="12"/>
    </row>
    <row r="7852" spans="1:1" x14ac:dyDescent="0.3">
      <c r="A7852" s="12"/>
    </row>
    <row r="7853" spans="1:1" x14ac:dyDescent="0.3">
      <c r="A7853" s="12"/>
    </row>
    <row r="7854" spans="1:1" x14ac:dyDescent="0.3">
      <c r="A7854" s="12"/>
    </row>
    <row r="7855" spans="1:1" x14ac:dyDescent="0.3">
      <c r="A7855" s="12"/>
    </row>
    <row r="7856" spans="1:1" x14ac:dyDescent="0.3">
      <c r="A7856" s="12"/>
    </row>
    <row r="7857" spans="1:1" x14ac:dyDescent="0.3">
      <c r="A7857" s="12"/>
    </row>
    <row r="7858" spans="1:1" x14ac:dyDescent="0.3">
      <c r="A7858" s="12"/>
    </row>
    <row r="7859" spans="1:1" x14ac:dyDescent="0.3">
      <c r="A7859" s="12"/>
    </row>
    <row r="7860" spans="1:1" x14ac:dyDescent="0.3">
      <c r="A7860" s="12"/>
    </row>
    <row r="7861" spans="1:1" x14ac:dyDescent="0.3">
      <c r="A7861" s="12"/>
    </row>
    <row r="7862" spans="1:1" x14ac:dyDescent="0.3">
      <c r="A7862" s="12"/>
    </row>
    <row r="7863" spans="1:1" x14ac:dyDescent="0.3">
      <c r="A7863" s="12"/>
    </row>
    <row r="7864" spans="1:1" x14ac:dyDescent="0.3">
      <c r="A7864" s="12"/>
    </row>
    <row r="7865" spans="1:1" x14ac:dyDescent="0.3">
      <c r="A7865" s="12"/>
    </row>
    <row r="7866" spans="1:1" x14ac:dyDescent="0.3">
      <c r="A7866" s="12"/>
    </row>
    <row r="7867" spans="1:1" x14ac:dyDescent="0.3">
      <c r="A7867" s="12"/>
    </row>
    <row r="7868" spans="1:1" x14ac:dyDescent="0.3">
      <c r="A7868" s="12"/>
    </row>
    <row r="7869" spans="1:1" x14ac:dyDescent="0.3">
      <c r="A7869" s="12"/>
    </row>
    <row r="7870" spans="1:1" x14ac:dyDescent="0.3">
      <c r="A7870" s="12"/>
    </row>
    <row r="7871" spans="1:1" x14ac:dyDescent="0.3">
      <c r="A7871" s="12"/>
    </row>
    <row r="7872" spans="1:1" x14ac:dyDescent="0.3">
      <c r="A7872" s="12"/>
    </row>
    <row r="7873" spans="1:1" x14ac:dyDescent="0.3">
      <c r="A7873" s="12"/>
    </row>
    <row r="7874" spans="1:1" x14ac:dyDescent="0.3">
      <c r="A7874" s="12"/>
    </row>
    <row r="7875" spans="1:1" x14ac:dyDescent="0.3">
      <c r="A7875" s="12"/>
    </row>
    <row r="7876" spans="1:1" x14ac:dyDescent="0.3">
      <c r="A7876" s="12"/>
    </row>
    <row r="7877" spans="1:1" x14ac:dyDescent="0.3">
      <c r="A7877" s="12"/>
    </row>
    <row r="7878" spans="1:1" x14ac:dyDescent="0.3">
      <c r="A7878" s="12"/>
    </row>
    <row r="7879" spans="1:1" x14ac:dyDescent="0.3">
      <c r="A7879" s="12"/>
    </row>
    <row r="7880" spans="1:1" x14ac:dyDescent="0.3">
      <c r="A7880" s="12"/>
    </row>
    <row r="7881" spans="1:1" x14ac:dyDescent="0.3">
      <c r="A7881" s="12"/>
    </row>
    <row r="7882" spans="1:1" x14ac:dyDescent="0.3">
      <c r="A7882" s="12"/>
    </row>
    <row r="7883" spans="1:1" x14ac:dyDescent="0.3">
      <c r="A7883" s="12"/>
    </row>
    <row r="7884" spans="1:1" x14ac:dyDescent="0.3">
      <c r="A7884" s="12"/>
    </row>
    <row r="7885" spans="1:1" x14ac:dyDescent="0.3">
      <c r="A7885" s="12"/>
    </row>
    <row r="7886" spans="1:1" x14ac:dyDescent="0.3">
      <c r="A7886" s="12"/>
    </row>
    <row r="7887" spans="1:1" x14ac:dyDescent="0.3">
      <c r="A7887" s="12"/>
    </row>
    <row r="7888" spans="1:1" x14ac:dyDescent="0.3">
      <c r="A7888" s="12"/>
    </row>
    <row r="7889" spans="1:1" x14ac:dyDescent="0.3">
      <c r="A7889" s="12"/>
    </row>
    <row r="7890" spans="1:1" x14ac:dyDescent="0.3">
      <c r="A7890" s="12"/>
    </row>
    <row r="7891" spans="1:1" x14ac:dyDescent="0.3">
      <c r="A7891" s="12"/>
    </row>
    <row r="7892" spans="1:1" x14ac:dyDescent="0.3">
      <c r="A7892" s="12"/>
    </row>
    <row r="7893" spans="1:1" x14ac:dyDescent="0.3">
      <c r="A7893" s="12"/>
    </row>
    <row r="7894" spans="1:1" x14ac:dyDescent="0.3">
      <c r="A7894" s="12"/>
    </row>
    <row r="7895" spans="1:1" x14ac:dyDescent="0.3">
      <c r="A7895" s="12"/>
    </row>
    <row r="7896" spans="1:1" x14ac:dyDescent="0.3">
      <c r="A7896" s="12"/>
    </row>
    <row r="7897" spans="1:1" x14ac:dyDescent="0.3">
      <c r="A7897" s="12"/>
    </row>
    <row r="7898" spans="1:1" x14ac:dyDescent="0.3">
      <c r="A7898" s="12"/>
    </row>
    <row r="7899" spans="1:1" x14ac:dyDescent="0.3">
      <c r="A7899" s="12"/>
    </row>
    <row r="7900" spans="1:1" x14ac:dyDescent="0.3">
      <c r="A7900" s="12"/>
    </row>
    <row r="7901" spans="1:1" x14ac:dyDescent="0.3">
      <c r="A7901" s="12"/>
    </row>
    <row r="7902" spans="1:1" x14ac:dyDescent="0.3">
      <c r="A7902" s="12"/>
    </row>
    <row r="7903" spans="1:1" x14ac:dyDescent="0.3">
      <c r="A7903" s="12"/>
    </row>
    <row r="7904" spans="1:1" x14ac:dyDescent="0.3">
      <c r="A7904" s="12"/>
    </row>
    <row r="7905" spans="1:1" x14ac:dyDescent="0.3">
      <c r="A7905" s="12"/>
    </row>
    <row r="7906" spans="1:1" x14ac:dyDescent="0.3">
      <c r="A7906" s="12"/>
    </row>
    <row r="7907" spans="1:1" x14ac:dyDescent="0.3">
      <c r="A7907" s="12"/>
    </row>
    <row r="7908" spans="1:1" x14ac:dyDescent="0.3">
      <c r="A7908" s="12"/>
    </row>
    <row r="7909" spans="1:1" x14ac:dyDescent="0.3">
      <c r="A7909" s="12"/>
    </row>
    <row r="7910" spans="1:1" x14ac:dyDescent="0.3">
      <c r="A7910" s="12"/>
    </row>
    <row r="7911" spans="1:1" x14ac:dyDescent="0.3">
      <c r="A7911" s="12"/>
    </row>
    <row r="7912" spans="1:1" x14ac:dyDescent="0.3">
      <c r="A7912" s="12"/>
    </row>
    <row r="7913" spans="1:1" x14ac:dyDescent="0.3">
      <c r="A7913" s="12"/>
    </row>
    <row r="7914" spans="1:1" x14ac:dyDescent="0.3">
      <c r="A7914" s="12"/>
    </row>
    <row r="7915" spans="1:1" x14ac:dyDescent="0.3">
      <c r="A7915" s="12"/>
    </row>
    <row r="7916" spans="1:1" x14ac:dyDescent="0.3">
      <c r="A7916" s="12"/>
    </row>
    <row r="7917" spans="1:1" x14ac:dyDescent="0.3">
      <c r="A7917" s="12"/>
    </row>
    <row r="7918" spans="1:1" x14ac:dyDescent="0.3">
      <c r="A7918" s="12"/>
    </row>
    <row r="7919" spans="1:1" x14ac:dyDescent="0.3">
      <c r="A7919" s="12"/>
    </row>
    <row r="7920" spans="1:1" x14ac:dyDescent="0.3">
      <c r="A7920" s="12"/>
    </row>
    <row r="7921" spans="1:1" x14ac:dyDescent="0.3">
      <c r="A7921" s="12"/>
    </row>
    <row r="7922" spans="1:1" x14ac:dyDescent="0.3">
      <c r="A7922" s="12"/>
    </row>
    <row r="7923" spans="1:1" x14ac:dyDescent="0.3">
      <c r="A7923" s="12"/>
    </row>
    <row r="7924" spans="1:1" x14ac:dyDescent="0.3">
      <c r="A7924" s="12"/>
    </row>
    <row r="7925" spans="1:1" x14ac:dyDescent="0.3">
      <c r="A7925" s="12"/>
    </row>
    <row r="7926" spans="1:1" x14ac:dyDescent="0.3">
      <c r="A7926" s="12"/>
    </row>
    <row r="7927" spans="1:1" x14ac:dyDescent="0.3">
      <c r="A7927" s="12"/>
    </row>
    <row r="7928" spans="1:1" x14ac:dyDescent="0.3">
      <c r="A7928" s="12"/>
    </row>
    <row r="7929" spans="1:1" x14ac:dyDescent="0.3">
      <c r="A7929" s="12"/>
    </row>
    <row r="7930" spans="1:1" x14ac:dyDescent="0.3">
      <c r="A7930" s="12"/>
    </row>
    <row r="7931" spans="1:1" x14ac:dyDescent="0.3">
      <c r="A7931" s="12"/>
    </row>
    <row r="7932" spans="1:1" x14ac:dyDescent="0.3">
      <c r="A7932" s="12"/>
    </row>
    <row r="7933" spans="1:1" x14ac:dyDescent="0.3">
      <c r="A7933" s="12"/>
    </row>
    <row r="7934" spans="1:1" x14ac:dyDescent="0.3">
      <c r="A7934" s="12"/>
    </row>
    <row r="7935" spans="1:1" x14ac:dyDescent="0.3">
      <c r="A7935" s="12"/>
    </row>
    <row r="7936" spans="1:1" x14ac:dyDescent="0.3">
      <c r="A7936" s="12"/>
    </row>
    <row r="7937" spans="1:1" x14ac:dyDescent="0.3">
      <c r="A7937" s="12"/>
    </row>
    <row r="7938" spans="1:1" x14ac:dyDescent="0.3">
      <c r="A7938" s="12"/>
    </row>
    <row r="7939" spans="1:1" x14ac:dyDescent="0.3">
      <c r="A7939" s="12"/>
    </row>
    <row r="7940" spans="1:1" x14ac:dyDescent="0.3">
      <c r="A7940" s="12"/>
    </row>
    <row r="7941" spans="1:1" x14ac:dyDescent="0.3">
      <c r="A7941" s="12"/>
    </row>
    <row r="7942" spans="1:1" x14ac:dyDescent="0.3">
      <c r="A7942" s="12"/>
    </row>
    <row r="7943" spans="1:1" x14ac:dyDescent="0.3">
      <c r="A7943" s="12"/>
    </row>
    <row r="7944" spans="1:1" x14ac:dyDescent="0.3">
      <c r="A7944" s="12"/>
    </row>
    <row r="7945" spans="1:1" x14ac:dyDescent="0.3">
      <c r="A7945" s="12"/>
    </row>
    <row r="7946" spans="1:1" x14ac:dyDescent="0.3">
      <c r="A7946" s="12"/>
    </row>
    <row r="7947" spans="1:1" x14ac:dyDescent="0.3">
      <c r="A7947" s="12"/>
    </row>
    <row r="7948" spans="1:1" x14ac:dyDescent="0.3">
      <c r="A7948" s="12"/>
    </row>
    <row r="7949" spans="1:1" x14ac:dyDescent="0.3">
      <c r="A7949" s="12"/>
    </row>
    <row r="7950" spans="1:1" x14ac:dyDescent="0.3">
      <c r="A7950" s="12"/>
    </row>
    <row r="7951" spans="1:1" x14ac:dyDescent="0.3">
      <c r="A7951" s="12"/>
    </row>
    <row r="7952" spans="1:1" x14ac:dyDescent="0.3">
      <c r="A7952" s="12"/>
    </row>
    <row r="7953" spans="1:1" x14ac:dyDescent="0.3">
      <c r="A7953" s="12"/>
    </row>
    <row r="7954" spans="1:1" x14ac:dyDescent="0.3">
      <c r="A7954" s="12"/>
    </row>
    <row r="7955" spans="1:1" x14ac:dyDescent="0.3">
      <c r="A7955" s="12"/>
    </row>
    <row r="7956" spans="1:1" x14ac:dyDescent="0.3">
      <c r="A7956" s="12"/>
    </row>
    <row r="7957" spans="1:1" x14ac:dyDescent="0.3">
      <c r="A7957" s="12"/>
    </row>
    <row r="7958" spans="1:1" x14ac:dyDescent="0.3">
      <c r="A7958" s="12"/>
    </row>
    <row r="7959" spans="1:1" x14ac:dyDescent="0.3">
      <c r="A7959" s="12"/>
    </row>
    <row r="7960" spans="1:1" x14ac:dyDescent="0.3">
      <c r="A7960" s="12"/>
    </row>
    <row r="7961" spans="1:1" x14ac:dyDescent="0.3">
      <c r="A7961" s="12"/>
    </row>
    <row r="7962" spans="1:1" x14ac:dyDescent="0.3">
      <c r="A7962" s="12"/>
    </row>
    <row r="7963" spans="1:1" x14ac:dyDescent="0.3">
      <c r="A7963" s="12"/>
    </row>
    <row r="7964" spans="1:1" x14ac:dyDescent="0.3">
      <c r="A7964" s="12"/>
    </row>
    <row r="7965" spans="1:1" x14ac:dyDescent="0.3">
      <c r="A7965" s="12"/>
    </row>
    <row r="7966" spans="1:1" x14ac:dyDescent="0.3">
      <c r="A7966" s="12"/>
    </row>
    <row r="7967" spans="1:1" x14ac:dyDescent="0.3">
      <c r="A7967" s="12"/>
    </row>
    <row r="7968" spans="1:1" x14ac:dyDescent="0.3">
      <c r="A7968" s="12"/>
    </row>
    <row r="7969" spans="1:1" x14ac:dyDescent="0.3">
      <c r="A7969" s="12"/>
    </row>
    <row r="7970" spans="1:1" x14ac:dyDescent="0.3">
      <c r="A7970" s="12"/>
    </row>
    <row r="7971" spans="1:1" x14ac:dyDescent="0.3">
      <c r="A7971" s="12"/>
    </row>
    <row r="7972" spans="1:1" x14ac:dyDescent="0.3">
      <c r="A7972" s="12"/>
    </row>
    <row r="7973" spans="1:1" x14ac:dyDescent="0.3">
      <c r="A7973" s="12"/>
    </row>
    <row r="7974" spans="1:1" x14ac:dyDescent="0.3">
      <c r="A7974" s="12"/>
    </row>
    <row r="7975" spans="1:1" x14ac:dyDescent="0.3">
      <c r="A7975" s="12"/>
    </row>
    <row r="7976" spans="1:1" x14ac:dyDescent="0.3">
      <c r="A7976" s="12"/>
    </row>
    <row r="7977" spans="1:1" x14ac:dyDescent="0.3">
      <c r="A7977" s="12"/>
    </row>
    <row r="7978" spans="1:1" x14ac:dyDescent="0.3">
      <c r="A7978" s="12"/>
    </row>
    <row r="7979" spans="1:1" x14ac:dyDescent="0.3">
      <c r="A7979" s="12"/>
    </row>
    <row r="7980" spans="1:1" x14ac:dyDescent="0.3">
      <c r="A7980" s="12"/>
    </row>
    <row r="7981" spans="1:1" x14ac:dyDescent="0.3">
      <c r="A7981" s="12"/>
    </row>
    <row r="7982" spans="1:1" x14ac:dyDescent="0.3">
      <c r="A7982" s="12"/>
    </row>
    <row r="7983" spans="1:1" x14ac:dyDescent="0.3">
      <c r="A7983" s="12"/>
    </row>
    <row r="7984" spans="1:1" x14ac:dyDescent="0.3">
      <c r="A7984" s="12"/>
    </row>
    <row r="7985" spans="1:1" x14ac:dyDescent="0.3">
      <c r="A7985" s="12"/>
    </row>
    <row r="7986" spans="1:1" x14ac:dyDescent="0.3">
      <c r="A7986" s="12"/>
    </row>
    <row r="7987" spans="1:1" x14ac:dyDescent="0.3">
      <c r="A7987" s="12"/>
    </row>
    <row r="7988" spans="1:1" x14ac:dyDescent="0.3">
      <c r="A7988" s="12"/>
    </row>
    <row r="7989" spans="1:1" x14ac:dyDescent="0.3">
      <c r="A7989" s="12"/>
    </row>
    <row r="7990" spans="1:1" x14ac:dyDescent="0.3">
      <c r="A7990" s="12"/>
    </row>
    <row r="7991" spans="1:1" x14ac:dyDescent="0.3">
      <c r="A7991" s="12"/>
    </row>
    <row r="7992" spans="1:1" x14ac:dyDescent="0.3">
      <c r="A7992" s="12"/>
    </row>
    <row r="7993" spans="1:1" x14ac:dyDescent="0.3">
      <c r="A7993" s="12"/>
    </row>
    <row r="7994" spans="1:1" x14ac:dyDescent="0.3">
      <c r="A7994" s="12"/>
    </row>
    <row r="7995" spans="1:1" x14ac:dyDescent="0.3">
      <c r="A7995" s="12"/>
    </row>
    <row r="7996" spans="1:1" x14ac:dyDescent="0.3">
      <c r="A7996" s="12"/>
    </row>
    <row r="7997" spans="1:1" x14ac:dyDescent="0.3">
      <c r="A7997" s="12"/>
    </row>
    <row r="7998" spans="1:1" x14ac:dyDescent="0.3">
      <c r="A7998" s="12"/>
    </row>
    <row r="7999" spans="1:1" x14ac:dyDescent="0.3">
      <c r="A7999" s="12"/>
    </row>
    <row r="8000" spans="1:1" x14ac:dyDescent="0.3">
      <c r="A8000" s="12"/>
    </row>
    <row r="8001" spans="1:1" x14ac:dyDescent="0.3">
      <c r="A8001" s="12"/>
    </row>
    <row r="8002" spans="1:1" x14ac:dyDescent="0.3">
      <c r="A8002" s="12"/>
    </row>
    <row r="8003" spans="1:1" x14ac:dyDescent="0.3">
      <c r="A8003" s="12"/>
    </row>
    <row r="8004" spans="1:1" x14ac:dyDescent="0.3">
      <c r="A8004" s="12"/>
    </row>
    <row r="8005" spans="1:1" x14ac:dyDescent="0.3">
      <c r="A8005" s="12"/>
    </row>
    <row r="8006" spans="1:1" x14ac:dyDescent="0.3">
      <c r="A8006" s="12"/>
    </row>
    <row r="8007" spans="1:1" x14ac:dyDescent="0.3">
      <c r="A8007" s="12"/>
    </row>
    <row r="8008" spans="1:1" x14ac:dyDescent="0.3">
      <c r="A8008" s="12"/>
    </row>
    <row r="8009" spans="1:1" x14ac:dyDescent="0.3">
      <c r="A8009" s="12"/>
    </row>
    <row r="8010" spans="1:1" x14ac:dyDescent="0.3">
      <c r="A8010" s="12"/>
    </row>
    <row r="8011" spans="1:1" x14ac:dyDescent="0.3">
      <c r="A8011" s="12"/>
    </row>
    <row r="8012" spans="1:1" x14ac:dyDescent="0.3">
      <c r="A8012" s="12"/>
    </row>
    <row r="8013" spans="1:1" x14ac:dyDescent="0.3">
      <c r="A8013" s="12"/>
    </row>
    <row r="8014" spans="1:1" x14ac:dyDescent="0.3">
      <c r="A8014" s="12"/>
    </row>
    <row r="8015" spans="1:1" x14ac:dyDescent="0.3">
      <c r="A8015" s="12"/>
    </row>
    <row r="8016" spans="1:1" x14ac:dyDescent="0.3">
      <c r="A8016" s="12"/>
    </row>
    <row r="8017" spans="1:1" x14ac:dyDescent="0.3">
      <c r="A8017" s="12"/>
    </row>
    <row r="8018" spans="1:1" x14ac:dyDescent="0.3">
      <c r="A8018" s="12"/>
    </row>
    <row r="8019" spans="1:1" x14ac:dyDescent="0.3">
      <c r="A8019" s="12"/>
    </row>
    <row r="8020" spans="1:1" x14ac:dyDescent="0.3">
      <c r="A8020" s="12"/>
    </row>
    <row r="8021" spans="1:1" x14ac:dyDescent="0.3">
      <c r="A8021" s="12"/>
    </row>
    <row r="8022" spans="1:1" x14ac:dyDescent="0.3">
      <c r="A8022" s="12"/>
    </row>
    <row r="8023" spans="1:1" x14ac:dyDescent="0.3">
      <c r="A8023" s="12"/>
    </row>
    <row r="8024" spans="1:1" x14ac:dyDescent="0.3">
      <c r="A8024" s="12"/>
    </row>
    <row r="8025" spans="1:1" x14ac:dyDescent="0.3">
      <c r="A8025" s="12"/>
    </row>
    <row r="8026" spans="1:1" x14ac:dyDescent="0.3">
      <c r="A8026" s="12"/>
    </row>
    <row r="8027" spans="1:1" x14ac:dyDescent="0.3">
      <c r="A8027" s="12"/>
    </row>
    <row r="8028" spans="1:1" x14ac:dyDescent="0.3">
      <c r="A8028" s="12"/>
    </row>
    <row r="8029" spans="1:1" x14ac:dyDescent="0.3">
      <c r="A8029" s="12"/>
    </row>
    <row r="8030" spans="1:1" x14ac:dyDescent="0.3">
      <c r="A8030" s="12"/>
    </row>
    <row r="8031" spans="1:1" x14ac:dyDescent="0.3">
      <c r="A8031" s="12"/>
    </row>
    <row r="8032" spans="1:1" x14ac:dyDescent="0.3">
      <c r="A8032" s="12"/>
    </row>
    <row r="8033" spans="1:1" x14ac:dyDescent="0.3">
      <c r="A8033" s="12"/>
    </row>
    <row r="8034" spans="1:1" x14ac:dyDescent="0.3">
      <c r="A8034" s="12"/>
    </row>
    <row r="8035" spans="1:1" x14ac:dyDescent="0.3">
      <c r="A8035" s="12"/>
    </row>
    <row r="8036" spans="1:1" x14ac:dyDescent="0.3">
      <c r="A8036" s="12"/>
    </row>
    <row r="8037" spans="1:1" x14ac:dyDescent="0.3">
      <c r="A8037" s="12"/>
    </row>
    <row r="8038" spans="1:1" x14ac:dyDescent="0.3">
      <c r="A8038" s="12"/>
    </row>
    <row r="8039" spans="1:1" x14ac:dyDescent="0.3">
      <c r="A8039" s="12"/>
    </row>
    <row r="8040" spans="1:1" x14ac:dyDescent="0.3">
      <c r="A8040" s="12"/>
    </row>
    <row r="8041" spans="1:1" x14ac:dyDescent="0.3">
      <c r="A8041" s="12"/>
    </row>
    <row r="8042" spans="1:1" x14ac:dyDescent="0.3">
      <c r="A8042" s="12"/>
    </row>
    <row r="8043" spans="1:1" x14ac:dyDescent="0.3">
      <c r="A8043" s="12"/>
    </row>
    <row r="8044" spans="1:1" x14ac:dyDescent="0.3">
      <c r="A8044" s="12"/>
    </row>
    <row r="8045" spans="1:1" x14ac:dyDescent="0.3">
      <c r="A8045" s="12"/>
    </row>
    <row r="8046" spans="1:1" x14ac:dyDescent="0.3">
      <c r="A8046" s="12"/>
    </row>
    <row r="8047" spans="1:1" x14ac:dyDescent="0.3">
      <c r="A8047" s="12"/>
    </row>
    <row r="8048" spans="1:1" x14ac:dyDescent="0.3">
      <c r="A8048" s="12"/>
    </row>
    <row r="8049" spans="1:1" x14ac:dyDescent="0.3">
      <c r="A8049" s="12"/>
    </row>
    <row r="8050" spans="1:1" x14ac:dyDescent="0.3">
      <c r="A8050" s="12"/>
    </row>
    <row r="8051" spans="1:1" x14ac:dyDescent="0.3">
      <c r="A8051" s="12"/>
    </row>
    <row r="8052" spans="1:1" x14ac:dyDescent="0.3">
      <c r="A8052" s="12"/>
    </row>
    <row r="8053" spans="1:1" x14ac:dyDescent="0.3">
      <c r="A8053" s="12"/>
    </row>
    <row r="8054" spans="1:1" x14ac:dyDescent="0.3">
      <c r="A8054" s="12"/>
    </row>
    <row r="8055" spans="1:1" x14ac:dyDescent="0.3">
      <c r="A8055" s="12"/>
    </row>
    <row r="8056" spans="1:1" x14ac:dyDescent="0.3">
      <c r="A8056" s="12"/>
    </row>
    <row r="8057" spans="1:1" x14ac:dyDescent="0.3">
      <c r="A8057" s="12"/>
    </row>
    <row r="8058" spans="1:1" x14ac:dyDescent="0.3">
      <c r="A8058" s="12"/>
    </row>
    <row r="8059" spans="1:1" x14ac:dyDescent="0.3">
      <c r="A8059" s="12"/>
    </row>
    <row r="8060" spans="1:1" x14ac:dyDescent="0.3">
      <c r="A8060" s="12"/>
    </row>
    <row r="8061" spans="1:1" x14ac:dyDescent="0.3">
      <c r="A8061" s="12"/>
    </row>
    <row r="8062" spans="1:1" x14ac:dyDescent="0.3">
      <c r="A8062" s="12"/>
    </row>
    <row r="8063" spans="1:1" x14ac:dyDescent="0.3">
      <c r="A8063" s="12"/>
    </row>
    <row r="8064" spans="1:1" x14ac:dyDescent="0.3">
      <c r="A8064" s="12"/>
    </row>
    <row r="8065" spans="1:1" x14ac:dyDescent="0.3">
      <c r="A8065" s="12"/>
    </row>
    <row r="8066" spans="1:1" x14ac:dyDescent="0.3">
      <c r="A8066" s="12"/>
    </row>
    <row r="8067" spans="1:1" x14ac:dyDescent="0.3">
      <c r="A8067" s="12"/>
    </row>
    <row r="8068" spans="1:1" x14ac:dyDescent="0.3">
      <c r="A8068" s="12"/>
    </row>
    <row r="8069" spans="1:1" x14ac:dyDescent="0.3">
      <c r="A8069" s="12"/>
    </row>
    <row r="8070" spans="1:1" x14ac:dyDescent="0.3">
      <c r="A8070" s="12"/>
    </row>
    <row r="8071" spans="1:1" x14ac:dyDescent="0.3">
      <c r="A8071" s="12"/>
    </row>
    <row r="8072" spans="1:1" x14ac:dyDescent="0.3">
      <c r="A8072" s="12"/>
    </row>
    <row r="8073" spans="1:1" x14ac:dyDescent="0.3">
      <c r="A8073" s="12"/>
    </row>
    <row r="8074" spans="1:1" x14ac:dyDescent="0.3">
      <c r="A8074" s="12"/>
    </row>
    <row r="8075" spans="1:1" x14ac:dyDescent="0.3">
      <c r="A8075" s="12"/>
    </row>
    <row r="8076" spans="1:1" x14ac:dyDescent="0.3">
      <c r="A8076" s="12"/>
    </row>
    <row r="8077" spans="1:1" x14ac:dyDescent="0.3">
      <c r="A8077" s="12"/>
    </row>
    <row r="8078" spans="1:1" x14ac:dyDescent="0.3">
      <c r="A8078" s="12"/>
    </row>
    <row r="8079" spans="1:1" x14ac:dyDescent="0.3">
      <c r="A8079" s="12"/>
    </row>
    <row r="8080" spans="1:1" x14ac:dyDescent="0.3">
      <c r="A8080" s="12"/>
    </row>
    <row r="8081" spans="1:1" x14ac:dyDescent="0.3">
      <c r="A8081" s="12"/>
    </row>
    <row r="8082" spans="1:1" x14ac:dyDescent="0.3">
      <c r="A8082" s="12"/>
    </row>
    <row r="8083" spans="1:1" x14ac:dyDescent="0.3">
      <c r="A8083" s="12"/>
    </row>
    <row r="8084" spans="1:1" x14ac:dyDescent="0.3">
      <c r="A8084" s="12"/>
    </row>
    <row r="8085" spans="1:1" x14ac:dyDescent="0.3">
      <c r="A8085" s="12"/>
    </row>
    <row r="8086" spans="1:1" x14ac:dyDescent="0.3">
      <c r="A8086" s="12"/>
    </row>
    <row r="8087" spans="1:1" x14ac:dyDescent="0.3">
      <c r="A8087" s="12"/>
    </row>
    <row r="8088" spans="1:1" x14ac:dyDescent="0.3">
      <c r="A8088" s="12"/>
    </row>
    <row r="8089" spans="1:1" x14ac:dyDescent="0.3">
      <c r="A8089" s="12"/>
    </row>
    <row r="8090" spans="1:1" x14ac:dyDescent="0.3">
      <c r="A8090" s="12"/>
    </row>
    <row r="8091" spans="1:1" x14ac:dyDescent="0.3">
      <c r="A8091" s="12"/>
    </row>
    <row r="8092" spans="1:1" x14ac:dyDescent="0.3">
      <c r="A8092" s="12"/>
    </row>
    <row r="8093" spans="1:1" x14ac:dyDescent="0.3">
      <c r="A8093" s="12"/>
    </row>
    <row r="8094" spans="1:1" x14ac:dyDescent="0.3">
      <c r="A8094" s="12"/>
    </row>
    <row r="8095" spans="1:1" x14ac:dyDescent="0.3">
      <c r="A8095" s="12"/>
    </row>
    <row r="8096" spans="1:1" x14ac:dyDescent="0.3">
      <c r="A8096" s="12"/>
    </row>
    <row r="8097" spans="1:1" x14ac:dyDescent="0.3">
      <c r="A8097" s="12"/>
    </row>
    <row r="8098" spans="1:1" x14ac:dyDescent="0.3">
      <c r="A8098" s="12"/>
    </row>
    <row r="8099" spans="1:1" x14ac:dyDescent="0.3">
      <c r="A8099" s="12"/>
    </row>
    <row r="8100" spans="1:1" x14ac:dyDescent="0.3">
      <c r="A8100" s="12"/>
    </row>
    <row r="8101" spans="1:1" x14ac:dyDescent="0.3">
      <c r="A8101" s="12"/>
    </row>
    <row r="8102" spans="1:1" x14ac:dyDescent="0.3">
      <c r="A8102" s="12"/>
    </row>
    <row r="8103" spans="1:1" x14ac:dyDescent="0.3">
      <c r="A8103" s="12"/>
    </row>
    <row r="8104" spans="1:1" x14ac:dyDescent="0.3">
      <c r="A8104" s="12"/>
    </row>
    <row r="8105" spans="1:1" x14ac:dyDescent="0.3">
      <c r="A8105" s="12"/>
    </row>
    <row r="8106" spans="1:1" x14ac:dyDescent="0.3">
      <c r="A8106" s="12"/>
    </row>
    <row r="8107" spans="1:1" x14ac:dyDescent="0.3">
      <c r="A8107" s="12"/>
    </row>
    <row r="8108" spans="1:1" x14ac:dyDescent="0.3">
      <c r="A8108" s="12"/>
    </row>
    <row r="8109" spans="1:1" x14ac:dyDescent="0.3">
      <c r="A8109" s="12"/>
    </row>
    <row r="8110" spans="1:1" x14ac:dyDescent="0.3">
      <c r="A8110" s="12"/>
    </row>
    <row r="8111" spans="1:1" x14ac:dyDescent="0.3">
      <c r="A8111" s="12"/>
    </row>
    <row r="8112" spans="1:1" x14ac:dyDescent="0.3">
      <c r="A8112" s="12"/>
    </row>
    <row r="8113" spans="1:1" x14ac:dyDescent="0.3">
      <c r="A8113" s="12"/>
    </row>
    <row r="8114" spans="1:1" x14ac:dyDescent="0.3">
      <c r="A8114" s="12"/>
    </row>
    <row r="8115" spans="1:1" x14ac:dyDescent="0.3">
      <c r="A8115" s="12"/>
    </row>
    <row r="8116" spans="1:1" x14ac:dyDescent="0.3">
      <c r="A8116" s="12"/>
    </row>
    <row r="8117" spans="1:1" x14ac:dyDescent="0.3">
      <c r="A8117" s="12"/>
    </row>
    <row r="8118" spans="1:1" x14ac:dyDescent="0.3">
      <c r="A8118" s="12"/>
    </row>
    <row r="8119" spans="1:1" x14ac:dyDescent="0.3">
      <c r="A8119" s="12"/>
    </row>
    <row r="8120" spans="1:1" x14ac:dyDescent="0.3">
      <c r="A8120" s="12"/>
    </row>
    <row r="8121" spans="1:1" x14ac:dyDescent="0.3">
      <c r="A8121" s="12"/>
    </row>
    <row r="8122" spans="1:1" x14ac:dyDescent="0.3">
      <c r="A8122" s="12"/>
    </row>
    <row r="8123" spans="1:1" x14ac:dyDescent="0.3">
      <c r="A8123" s="12"/>
    </row>
    <row r="8124" spans="1:1" x14ac:dyDescent="0.3">
      <c r="A8124" s="12"/>
    </row>
    <row r="8125" spans="1:1" x14ac:dyDescent="0.3">
      <c r="A8125" s="12"/>
    </row>
    <row r="8126" spans="1:1" x14ac:dyDescent="0.3">
      <c r="A8126" s="12"/>
    </row>
    <row r="8127" spans="1:1" x14ac:dyDescent="0.3">
      <c r="A8127" s="12"/>
    </row>
    <row r="8128" spans="1:1" x14ac:dyDescent="0.3">
      <c r="A8128" s="12"/>
    </row>
    <row r="8129" spans="1:1" x14ac:dyDescent="0.3">
      <c r="A8129" s="12"/>
    </row>
    <row r="8130" spans="1:1" x14ac:dyDescent="0.3">
      <c r="A8130" s="12"/>
    </row>
    <row r="8131" spans="1:1" x14ac:dyDescent="0.3">
      <c r="A8131" s="12"/>
    </row>
    <row r="8132" spans="1:1" x14ac:dyDescent="0.3">
      <c r="A8132" s="12"/>
    </row>
    <row r="8133" spans="1:1" x14ac:dyDescent="0.3">
      <c r="A8133" s="12"/>
    </row>
    <row r="8134" spans="1:1" x14ac:dyDescent="0.3">
      <c r="A8134" s="12"/>
    </row>
    <row r="8135" spans="1:1" x14ac:dyDescent="0.3">
      <c r="A8135" s="12"/>
    </row>
    <row r="8136" spans="1:1" x14ac:dyDescent="0.3">
      <c r="A8136" s="12"/>
    </row>
    <row r="8137" spans="1:1" x14ac:dyDescent="0.3">
      <c r="A8137" s="12"/>
    </row>
    <row r="8138" spans="1:1" x14ac:dyDescent="0.3">
      <c r="A8138" s="12"/>
    </row>
    <row r="8139" spans="1:1" x14ac:dyDescent="0.3">
      <c r="A8139" s="12"/>
    </row>
    <row r="8140" spans="1:1" x14ac:dyDescent="0.3">
      <c r="A8140" s="12"/>
    </row>
    <row r="8141" spans="1:1" x14ac:dyDescent="0.3">
      <c r="A8141" s="12"/>
    </row>
    <row r="8142" spans="1:1" x14ac:dyDescent="0.3">
      <c r="A8142" s="12"/>
    </row>
    <row r="8143" spans="1:1" x14ac:dyDescent="0.3">
      <c r="A8143" s="12"/>
    </row>
    <row r="8144" spans="1:1" x14ac:dyDescent="0.3">
      <c r="A8144" s="12"/>
    </row>
    <row r="8145" spans="1:1" x14ac:dyDescent="0.3">
      <c r="A8145" s="12"/>
    </row>
    <row r="8146" spans="1:1" x14ac:dyDescent="0.3">
      <c r="A8146" s="12"/>
    </row>
    <row r="8147" spans="1:1" x14ac:dyDescent="0.3">
      <c r="A8147" s="12"/>
    </row>
    <row r="8148" spans="1:1" x14ac:dyDescent="0.3">
      <c r="A8148" s="12"/>
    </row>
    <row r="8149" spans="1:1" x14ac:dyDescent="0.3">
      <c r="A8149" s="12"/>
    </row>
    <row r="8150" spans="1:1" x14ac:dyDescent="0.3">
      <c r="A8150" s="12"/>
    </row>
    <row r="8151" spans="1:1" x14ac:dyDescent="0.3">
      <c r="A8151" s="12"/>
    </row>
    <row r="8152" spans="1:1" x14ac:dyDescent="0.3">
      <c r="A8152" s="12"/>
    </row>
    <row r="8153" spans="1:1" x14ac:dyDescent="0.3">
      <c r="A8153" s="12"/>
    </row>
    <row r="8154" spans="1:1" x14ac:dyDescent="0.3">
      <c r="A8154" s="12"/>
    </row>
    <row r="8155" spans="1:1" x14ac:dyDescent="0.3">
      <c r="A8155" s="12"/>
    </row>
    <row r="8156" spans="1:1" x14ac:dyDescent="0.3">
      <c r="A8156" s="12"/>
    </row>
    <row r="8157" spans="1:1" x14ac:dyDescent="0.3">
      <c r="A8157" s="12"/>
    </row>
    <row r="8158" spans="1:1" x14ac:dyDescent="0.3">
      <c r="A8158" s="12"/>
    </row>
    <row r="8159" spans="1:1" x14ac:dyDescent="0.3">
      <c r="A8159" s="12"/>
    </row>
    <row r="8160" spans="1:1" x14ac:dyDescent="0.3">
      <c r="A8160" s="12"/>
    </row>
    <row r="8161" spans="1:1" x14ac:dyDescent="0.3">
      <c r="A8161" s="12"/>
    </row>
    <row r="8162" spans="1:1" x14ac:dyDescent="0.3">
      <c r="A8162" s="12"/>
    </row>
    <row r="8163" spans="1:1" x14ac:dyDescent="0.3">
      <c r="A8163" s="12"/>
    </row>
    <row r="8164" spans="1:1" x14ac:dyDescent="0.3">
      <c r="A8164" s="12"/>
    </row>
    <row r="8165" spans="1:1" x14ac:dyDescent="0.3">
      <c r="A8165" s="12"/>
    </row>
    <row r="8166" spans="1:1" x14ac:dyDescent="0.3">
      <c r="A8166" s="12"/>
    </row>
    <row r="8167" spans="1:1" x14ac:dyDescent="0.3">
      <c r="A8167" s="12"/>
    </row>
    <row r="8168" spans="1:1" x14ac:dyDescent="0.3">
      <c r="A8168" s="12"/>
    </row>
    <row r="8169" spans="1:1" x14ac:dyDescent="0.3">
      <c r="A8169" s="12"/>
    </row>
    <row r="8170" spans="1:1" x14ac:dyDescent="0.3">
      <c r="A8170" s="12"/>
    </row>
    <row r="8171" spans="1:1" x14ac:dyDescent="0.3">
      <c r="A8171" s="12"/>
    </row>
    <row r="8172" spans="1:1" x14ac:dyDescent="0.3">
      <c r="A8172" s="12"/>
    </row>
    <row r="8173" spans="1:1" x14ac:dyDescent="0.3">
      <c r="A8173" s="12"/>
    </row>
    <row r="8174" spans="1:1" x14ac:dyDescent="0.3">
      <c r="A8174" s="12"/>
    </row>
    <row r="8175" spans="1:1" x14ac:dyDescent="0.3">
      <c r="A8175" s="12"/>
    </row>
    <row r="8176" spans="1:1" x14ac:dyDescent="0.3">
      <c r="A8176" s="12"/>
    </row>
    <row r="8177" spans="1:1" x14ac:dyDescent="0.3">
      <c r="A8177" s="12"/>
    </row>
    <row r="8178" spans="1:1" x14ac:dyDescent="0.3">
      <c r="A8178" s="12"/>
    </row>
    <row r="8179" spans="1:1" x14ac:dyDescent="0.3">
      <c r="A8179" s="12"/>
    </row>
    <row r="8180" spans="1:1" x14ac:dyDescent="0.3">
      <c r="A8180" s="12"/>
    </row>
    <row r="8181" spans="1:1" x14ac:dyDescent="0.3">
      <c r="A8181" s="12"/>
    </row>
    <row r="8182" spans="1:1" x14ac:dyDescent="0.3">
      <c r="A8182" s="12"/>
    </row>
    <row r="8183" spans="1:1" x14ac:dyDescent="0.3">
      <c r="A8183" s="12"/>
    </row>
    <row r="8184" spans="1:1" x14ac:dyDescent="0.3">
      <c r="A8184" s="12"/>
    </row>
    <row r="8185" spans="1:1" x14ac:dyDescent="0.3">
      <c r="A8185" s="12"/>
    </row>
    <row r="8186" spans="1:1" x14ac:dyDescent="0.3">
      <c r="A8186" s="12"/>
    </row>
    <row r="8187" spans="1:1" x14ac:dyDescent="0.3">
      <c r="A8187" s="12"/>
    </row>
    <row r="8188" spans="1:1" x14ac:dyDescent="0.3">
      <c r="A8188" s="12"/>
    </row>
    <row r="8189" spans="1:1" x14ac:dyDescent="0.3">
      <c r="A8189" s="12"/>
    </row>
    <row r="8190" spans="1:1" x14ac:dyDescent="0.3">
      <c r="A8190" s="12"/>
    </row>
    <row r="8191" spans="1:1" x14ac:dyDescent="0.3">
      <c r="A8191" s="12"/>
    </row>
    <row r="8192" spans="1:1" x14ac:dyDescent="0.3">
      <c r="A8192" s="12"/>
    </row>
    <row r="8193" spans="1:1" x14ac:dyDescent="0.3">
      <c r="A8193" s="12"/>
    </row>
    <row r="8194" spans="1:1" x14ac:dyDescent="0.3">
      <c r="A8194" s="12"/>
    </row>
    <row r="8195" spans="1:1" x14ac:dyDescent="0.3">
      <c r="A8195" s="12"/>
    </row>
    <row r="8196" spans="1:1" x14ac:dyDescent="0.3">
      <c r="A8196" s="12"/>
    </row>
    <row r="8197" spans="1:1" x14ac:dyDescent="0.3">
      <c r="A8197" s="12"/>
    </row>
    <row r="8198" spans="1:1" x14ac:dyDescent="0.3">
      <c r="A8198" s="12"/>
    </row>
    <row r="8199" spans="1:1" x14ac:dyDescent="0.3">
      <c r="A8199" s="12"/>
    </row>
    <row r="8200" spans="1:1" x14ac:dyDescent="0.3">
      <c r="A8200" s="12"/>
    </row>
    <row r="8201" spans="1:1" x14ac:dyDescent="0.3">
      <c r="A8201" s="12"/>
    </row>
    <row r="8202" spans="1:1" x14ac:dyDescent="0.3">
      <c r="A8202" s="12"/>
    </row>
    <row r="8203" spans="1:1" x14ac:dyDescent="0.3">
      <c r="A8203" s="12"/>
    </row>
    <row r="8204" spans="1:1" x14ac:dyDescent="0.3">
      <c r="A8204" s="12"/>
    </row>
    <row r="8205" spans="1:1" x14ac:dyDescent="0.3">
      <c r="A8205" s="12"/>
    </row>
    <row r="8206" spans="1:1" x14ac:dyDescent="0.3">
      <c r="A8206" s="12"/>
    </row>
    <row r="8207" spans="1:1" x14ac:dyDescent="0.3">
      <c r="A8207" s="12"/>
    </row>
    <row r="8208" spans="1:1" x14ac:dyDescent="0.3">
      <c r="A8208" s="12"/>
    </row>
    <row r="8209" spans="1:1" x14ac:dyDescent="0.3">
      <c r="A8209" s="12"/>
    </row>
    <row r="8210" spans="1:1" x14ac:dyDescent="0.3">
      <c r="A8210" s="12"/>
    </row>
    <row r="8211" spans="1:1" x14ac:dyDescent="0.3">
      <c r="A8211" s="12"/>
    </row>
    <row r="8212" spans="1:1" x14ac:dyDescent="0.3">
      <c r="A8212" s="12"/>
    </row>
    <row r="8213" spans="1:1" x14ac:dyDescent="0.3">
      <c r="A8213" s="12"/>
    </row>
    <row r="8214" spans="1:1" x14ac:dyDescent="0.3">
      <c r="A8214" s="12"/>
    </row>
    <row r="8215" spans="1:1" x14ac:dyDescent="0.3">
      <c r="A8215" s="12"/>
    </row>
    <row r="8216" spans="1:1" x14ac:dyDescent="0.3">
      <c r="A8216" s="12"/>
    </row>
    <row r="8217" spans="1:1" x14ac:dyDescent="0.3">
      <c r="A8217" s="12"/>
    </row>
    <row r="8218" spans="1:1" x14ac:dyDescent="0.3">
      <c r="A8218" s="12"/>
    </row>
    <row r="8219" spans="1:1" x14ac:dyDescent="0.3">
      <c r="A8219" s="12"/>
    </row>
    <row r="8220" spans="1:1" x14ac:dyDescent="0.3">
      <c r="A8220" s="12"/>
    </row>
    <row r="8221" spans="1:1" x14ac:dyDescent="0.3">
      <c r="A8221" s="12"/>
    </row>
    <row r="8222" spans="1:1" x14ac:dyDescent="0.3">
      <c r="A8222" s="12"/>
    </row>
    <row r="8223" spans="1:1" x14ac:dyDescent="0.3">
      <c r="A8223" s="12"/>
    </row>
    <row r="8224" spans="1:1" x14ac:dyDescent="0.3">
      <c r="A8224" s="12"/>
    </row>
    <row r="8225" spans="1:1" x14ac:dyDescent="0.3">
      <c r="A8225" s="12"/>
    </row>
    <row r="8226" spans="1:1" x14ac:dyDescent="0.3">
      <c r="A8226" s="12"/>
    </row>
    <row r="8227" spans="1:1" x14ac:dyDescent="0.3">
      <c r="A8227" s="12"/>
    </row>
    <row r="8228" spans="1:1" x14ac:dyDescent="0.3">
      <c r="A8228" s="12"/>
    </row>
    <row r="8229" spans="1:1" x14ac:dyDescent="0.3">
      <c r="A8229" s="12"/>
    </row>
    <row r="8230" spans="1:1" x14ac:dyDescent="0.3">
      <c r="A8230" s="12"/>
    </row>
    <row r="8231" spans="1:1" x14ac:dyDescent="0.3">
      <c r="A8231" s="12"/>
    </row>
    <row r="8232" spans="1:1" x14ac:dyDescent="0.3">
      <c r="A8232" s="12"/>
    </row>
    <row r="8233" spans="1:1" x14ac:dyDescent="0.3">
      <c r="A8233" s="12"/>
    </row>
    <row r="8234" spans="1:1" x14ac:dyDescent="0.3">
      <c r="A8234" s="12"/>
    </row>
    <row r="8235" spans="1:1" x14ac:dyDescent="0.3">
      <c r="A8235" s="12"/>
    </row>
    <row r="8236" spans="1:1" x14ac:dyDescent="0.3">
      <c r="A8236" s="12"/>
    </row>
    <row r="8237" spans="1:1" x14ac:dyDescent="0.3">
      <c r="A8237" s="12"/>
    </row>
    <row r="8238" spans="1:1" x14ac:dyDescent="0.3">
      <c r="A8238" s="12"/>
    </row>
    <row r="8239" spans="1:1" x14ac:dyDescent="0.3">
      <c r="A8239" s="12"/>
    </row>
    <row r="8240" spans="1:1" x14ac:dyDescent="0.3">
      <c r="A8240" s="12"/>
    </row>
    <row r="8241" spans="1:1" x14ac:dyDescent="0.3">
      <c r="A8241" s="12"/>
    </row>
    <row r="8242" spans="1:1" x14ac:dyDescent="0.3">
      <c r="A8242" s="12"/>
    </row>
    <row r="8243" spans="1:1" x14ac:dyDescent="0.3">
      <c r="A8243" s="12"/>
    </row>
    <row r="8244" spans="1:1" x14ac:dyDescent="0.3">
      <c r="A8244" s="12"/>
    </row>
    <row r="8245" spans="1:1" x14ac:dyDescent="0.3">
      <c r="A8245" s="12"/>
    </row>
    <row r="8246" spans="1:1" x14ac:dyDescent="0.3">
      <c r="A8246" s="12"/>
    </row>
    <row r="8247" spans="1:1" x14ac:dyDescent="0.3">
      <c r="A8247" s="12"/>
    </row>
    <row r="8248" spans="1:1" x14ac:dyDescent="0.3">
      <c r="A8248" s="12"/>
    </row>
    <row r="8249" spans="1:1" x14ac:dyDescent="0.3">
      <c r="A8249" s="12"/>
    </row>
    <row r="8250" spans="1:1" x14ac:dyDescent="0.3">
      <c r="A8250" s="12"/>
    </row>
    <row r="8251" spans="1:1" x14ac:dyDescent="0.3">
      <c r="A8251" s="12"/>
    </row>
    <row r="8252" spans="1:1" x14ac:dyDescent="0.3">
      <c r="A8252" s="12"/>
    </row>
    <row r="8253" spans="1:1" x14ac:dyDescent="0.3">
      <c r="A8253" s="12"/>
    </row>
    <row r="8254" spans="1:1" x14ac:dyDescent="0.3">
      <c r="A8254" s="12"/>
    </row>
    <row r="8255" spans="1:1" x14ac:dyDescent="0.3">
      <c r="A8255" s="12"/>
    </row>
    <row r="8256" spans="1:1" x14ac:dyDescent="0.3">
      <c r="A8256" s="12"/>
    </row>
    <row r="8257" spans="1:1" x14ac:dyDescent="0.3">
      <c r="A8257" s="12"/>
    </row>
    <row r="8258" spans="1:1" x14ac:dyDescent="0.3">
      <c r="A8258" s="12"/>
    </row>
    <row r="8259" spans="1:1" x14ac:dyDescent="0.3">
      <c r="A8259" s="12"/>
    </row>
    <row r="8260" spans="1:1" x14ac:dyDescent="0.3">
      <c r="A8260" s="12"/>
    </row>
    <row r="8261" spans="1:1" x14ac:dyDescent="0.3">
      <c r="A8261" s="12"/>
    </row>
    <row r="8262" spans="1:1" x14ac:dyDescent="0.3">
      <c r="A8262" s="12"/>
    </row>
    <row r="8263" spans="1:1" x14ac:dyDescent="0.3">
      <c r="A8263" s="12"/>
    </row>
    <row r="8264" spans="1:1" x14ac:dyDescent="0.3">
      <c r="A8264" s="12"/>
    </row>
    <row r="8265" spans="1:1" x14ac:dyDescent="0.3">
      <c r="A8265" s="12"/>
    </row>
    <row r="8266" spans="1:1" x14ac:dyDescent="0.3">
      <c r="A8266" s="12"/>
    </row>
    <row r="8267" spans="1:1" x14ac:dyDescent="0.3">
      <c r="A8267" s="12"/>
    </row>
    <row r="8268" spans="1:1" x14ac:dyDescent="0.3">
      <c r="A8268" s="12"/>
    </row>
    <row r="8269" spans="1:1" x14ac:dyDescent="0.3">
      <c r="A8269" s="12"/>
    </row>
    <row r="8270" spans="1:1" x14ac:dyDescent="0.3">
      <c r="A8270" s="12"/>
    </row>
    <row r="8271" spans="1:1" x14ac:dyDescent="0.3">
      <c r="A8271" s="12"/>
    </row>
    <row r="8272" spans="1:1" x14ac:dyDescent="0.3">
      <c r="A8272" s="12"/>
    </row>
    <row r="8273" spans="1:1" x14ac:dyDescent="0.3">
      <c r="A8273" s="12"/>
    </row>
    <row r="8274" spans="1:1" x14ac:dyDescent="0.3">
      <c r="A8274" s="12"/>
    </row>
    <row r="8275" spans="1:1" x14ac:dyDescent="0.3">
      <c r="A8275" s="12"/>
    </row>
    <row r="8276" spans="1:1" x14ac:dyDescent="0.3">
      <c r="A8276" s="12"/>
    </row>
    <row r="8277" spans="1:1" x14ac:dyDescent="0.3">
      <c r="A8277" s="12"/>
    </row>
    <row r="8278" spans="1:1" x14ac:dyDescent="0.3">
      <c r="A8278" s="12"/>
    </row>
    <row r="8279" spans="1:1" x14ac:dyDescent="0.3">
      <c r="A8279" s="12"/>
    </row>
    <row r="8280" spans="1:1" x14ac:dyDescent="0.3">
      <c r="A8280" s="12"/>
    </row>
    <row r="8281" spans="1:1" x14ac:dyDescent="0.3">
      <c r="A8281" s="12"/>
    </row>
    <row r="8282" spans="1:1" x14ac:dyDescent="0.3">
      <c r="A8282" s="12"/>
    </row>
    <row r="8283" spans="1:1" x14ac:dyDescent="0.3">
      <c r="A8283" s="12"/>
    </row>
    <row r="8284" spans="1:1" x14ac:dyDescent="0.3">
      <c r="A8284" s="12"/>
    </row>
    <row r="8285" spans="1:1" x14ac:dyDescent="0.3">
      <c r="A8285" s="12"/>
    </row>
    <row r="8286" spans="1:1" x14ac:dyDescent="0.3">
      <c r="A8286" s="12"/>
    </row>
    <row r="8287" spans="1:1" x14ac:dyDescent="0.3">
      <c r="A8287" s="12"/>
    </row>
    <row r="8288" spans="1:1" x14ac:dyDescent="0.3">
      <c r="A8288" s="12"/>
    </row>
    <row r="8289" spans="1:1" x14ac:dyDescent="0.3">
      <c r="A8289" s="12"/>
    </row>
    <row r="8290" spans="1:1" x14ac:dyDescent="0.3">
      <c r="A8290" s="12"/>
    </row>
    <row r="8291" spans="1:1" x14ac:dyDescent="0.3">
      <c r="A8291" s="12"/>
    </row>
    <row r="8292" spans="1:1" x14ac:dyDescent="0.3">
      <c r="A8292" s="12"/>
    </row>
    <row r="8293" spans="1:1" x14ac:dyDescent="0.3">
      <c r="A8293" s="12"/>
    </row>
    <row r="8294" spans="1:1" x14ac:dyDescent="0.3">
      <c r="A8294" s="12"/>
    </row>
    <row r="8295" spans="1:1" x14ac:dyDescent="0.3">
      <c r="A8295" s="12"/>
    </row>
    <row r="8296" spans="1:1" x14ac:dyDescent="0.3">
      <c r="A8296" s="12"/>
    </row>
    <row r="8297" spans="1:1" x14ac:dyDescent="0.3">
      <c r="A8297" s="12"/>
    </row>
    <row r="8298" spans="1:1" x14ac:dyDescent="0.3">
      <c r="A8298" s="12"/>
    </row>
    <row r="8299" spans="1:1" x14ac:dyDescent="0.3">
      <c r="A8299" s="12"/>
    </row>
    <row r="8300" spans="1:1" x14ac:dyDescent="0.3">
      <c r="A8300" s="12"/>
    </row>
    <row r="8301" spans="1:1" x14ac:dyDescent="0.3">
      <c r="A8301" s="12"/>
    </row>
    <row r="8302" spans="1:1" x14ac:dyDescent="0.3">
      <c r="A8302" s="12"/>
    </row>
    <row r="8303" spans="1:1" x14ac:dyDescent="0.3">
      <c r="A8303" s="12"/>
    </row>
    <row r="8304" spans="1:1" x14ac:dyDescent="0.3">
      <c r="A8304" s="12"/>
    </row>
    <row r="8305" spans="1:1" x14ac:dyDescent="0.3">
      <c r="A8305" s="12"/>
    </row>
    <row r="8306" spans="1:1" x14ac:dyDescent="0.3">
      <c r="A8306" s="12"/>
    </row>
    <row r="8307" spans="1:1" x14ac:dyDescent="0.3">
      <c r="A8307" s="12"/>
    </row>
    <row r="8308" spans="1:1" x14ac:dyDescent="0.3">
      <c r="A8308" s="12"/>
    </row>
    <row r="8309" spans="1:1" x14ac:dyDescent="0.3">
      <c r="A8309" s="12"/>
    </row>
    <row r="8310" spans="1:1" x14ac:dyDescent="0.3">
      <c r="A8310" s="12"/>
    </row>
    <row r="8311" spans="1:1" x14ac:dyDescent="0.3">
      <c r="A8311" s="12"/>
    </row>
    <row r="8312" spans="1:1" x14ac:dyDescent="0.3">
      <c r="A8312" s="12"/>
    </row>
    <row r="8313" spans="1:1" x14ac:dyDescent="0.3">
      <c r="A8313" s="12"/>
    </row>
    <row r="8314" spans="1:1" x14ac:dyDescent="0.3">
      <c r="A8314" s="12"/>
    </row>
    <row r="8315" spans="1:1" x14ac:dyDescent="0.3">
      <c r="A8315" s="12"/>
    </row>
    <row r="8316" spans="1:1" x14ac:dyDescent="0.3">
      <c r="A8316" s="12"/>
    </row>
    <row r="8317" spans="1:1" x14ac:dyDescent="0.3">
      <c r="A8317" s="12"/>
    </row>
    <row r="8318" spans="1:1" x14ac:dyDescent="0.3">
      <c r="A8318" s="12"/>
    </row>
    <row r="8319" spans="1:1" x14ac:dyDescent="0.3">
      <c r="A8319" s="12"/>
    </row>
    <row r="8320" spans="1:1" x14ac:dyDescent="0.3">
      <c r="A8320" s="12"/>
    </row>
    <row r="8321" spans="1:1" x14ac:dyDescent="0.3">
      <c r="A8321" s="12"/>
    </row>
    <row r="8322" spans="1:1" x14ac:dyDescent="0.3">
      <c r="A8322" s="12"/>
    </row>
    <row r="8323" spans="1:1" x14ac:dyDescent="0.3">
      <c r="A8323" s="12"/>
    </row>
    <row r="8324" spans="1:1" x14ac:dyDescent="0.3">
      <c r="A8324" s="12"/>
    </row>
    <row r="8325" spans="1:1" x14ac:dyDescent="0.3">
      <c r="A8325" s="12"/>
    </row>
    <row r="8326" spans="1:1" x14ac:dyDescent="0.3">
      <c r="A8326" s="12"/>
    </row>
    <row r="8327" spans="1:1" x14ac:dyDescent="0.3">
      <c r="A8327" s="12"/>
    </row>
    <row r="8328" spans="1:1" x14ac:dyDescent="0.3">
      <c r="A8328" s="12"/>
    </row>
    <row r="8329" spans="1:1" x14ac:dyDescent="0.3">
      <c r="A8329" s="12"/>
    </row>
    <row r="8330" spans="1:1" x14ac:dyDescent="0.3">
      <c r="A8330" s="12"/>
    </row>
    <row r="8331" spans="1:1" x14ac:dyDescent="0.3">
      <c r="A8331" s="12"/>
    </row>
    <row r="8332" spans="1:1" x14ac:dyDescent="0.3">
      <c r="A8332" s="12"/>
    </row>
    <row r="8333" spans="1:1" x14ac:dyDescent="0.3">
      <c r="A8333" s="12"/>
    </row>
    <row r="8334" spans="1:1" x14ac:dyDescent="0.3">
      <c r="A8334" s="12"/>
    </row>
    <row r="8335" spans="1:1" x14ac:dyDescent="0.3">
      <c r="A8335" s="12"/>
    </row>
    <row r="8336" spans="1:1" x14ac:dyDescent="0.3">
      <c r="A8336" s="12"/>
    </row>
    <row r="8337" spans="1:1" x14ac:dyDescent="0.3">
      <c r="A8337" s="12"/>
    </row>
    <row r="8338" spans="1:1" x14ac:dyDescent="0.3">
      <c r="A8338" s="12"/>
    </row>
    <row r="8339" spans="1:1" x14ac:dyDescent="0.3">
      <c r="A8339" s="12"/>
    </row>
    <row r="8340" spans="1:1" x14ac:dyDescent="0.3">
      <c r="A8340" s="12"/>
    </row>
    <row r="8341" spans="1:1" x14ac:dyDescent="0.3">
      <c r="A8341" s="12"/>
    </row>
    <row r="8342" spans="1:1" x14ac:dyDescent="0.3">
      <c r="A8342" s="12"/>
    </row>
    <row r="8343" spans="1:1" x14ac:dyDescent="0.3">
      <c r="A8343" s="12"/>
    </row>
    <row r="8344" spans="1:1" x14ac:dyDescent="0.3">
      <c r="A8344" s="12"/>
    </row>
    <row r="8345" spans="1:1" x14ac:dyDescent="0.3">
      <c r="A8345" s="12"/>
    </row>
    <row r="8346" spans="1:1" x14ac:dyDescent="0.3">
      <c r="A8346" s="12"/>
    </row>
    <row r="8347" spans="1:1" x14ac:dyDescent="0.3">
      <c r="A8347" s="12"/>
    </row>
    <row r="8348" spans="1:1" x14ac:dyDescent="0.3">
      <c r="A8348" s="12"/>
    </row>
    <row r="8349" spans="1:1" x14ac:dyDescent="0.3">
      <c r="A8349" s="12"/>
    </row>
    <row r="8350" spans="1:1" x14ac:dyDescent="0.3">
      <c r="A8350" s="12"/>
    </row>
    <row r="8351" spans="1:1" x14ac:dyDescent="0.3">
      <c r="A8351" s="12"/>
    </row>
    <row r="8352" spans="1:1" x14ac:dyDescent="0.3">
      <c r="A8352" s="12"/>
    </row>
    <row r="8353" spans="1:1" x14ac:dyDescent="0.3">
      <c r="A8353" s="12"/>
    </row>
    <row r="8354" spans="1:1" x14ac:dyDescent="0.3">
      <c r="A8354" s="12"/>
    </row>
    <row r="8355" spans="1:1" x14ac:dyDescent="0.3">
      <c r="A8355" s="12"/>
    </row>
    <row r="8356" spans="1:1" x14ac:dyDescent="0.3">
      <c r="A8356" s="12"/>
    </row>
    <row r="8357" spans="1:1" x14ac:dyDescent="0.3">
      <c r="A8357" s="12"/>
    </row>
    <row r="8358" spans="1:1" x14ac:dyDescent="0.3">
      <c r="A8358" s="12"/>
    </row>
    <row r="8359" spans="1:1" x14ac:dyDescent="0.3">
      <c r="A8359" s="12"/>
    </row>
    <row r="8360" spans="1:1" x14ac:dyDescent="0.3">
      <c r="A8360" s="12"/>
    </row>
    <row r="8361" spans="1:1" x14ac:dyDescent="0.3">
      <c r="A8361" s="12"/>
    </row>
    <row r="8362" spans="1:1" x14ac:dyDescent="0.3">
      <c r="A8362" s="12"/>
    </row>
    <row r="8363" spans="1:1" x14ac:dyDescent="0.3">
      <c r="A8363" s="12"/>
    </row>
    <row r="8364" spans="1:1" x14ac:dyDescent="0.3">
      <c r="A8364" s="12"/>
    </row>
    <row r="8365" spans="1:1" x14ac:dyDescent="0.3">
      <c r="A8365" s="12"/>
    </row>
    <row r="8366" spans="1:1" x14ac:dyDescent="0.3">
      <c r="A8366" s="12"/>
    </row>
    <row r="8367" spans="1:1" x14ac:dyDescent="0.3">
      <c r="A8367" s="12"/>
    </row>
    <row r="8368" spans="1:1" x14ac:dyDescent="0.3">
      <c r="A8368" s="12"/>
    </row>
    <row r="8369" spans="1:1" x14ac:dyDescent="0.3">
      <c r="A8369" s="12"/>
    </row>
    <row r="8370" spans="1:1" x14ac:dyDescent="0.3">
      <c r="A8370" s="12"/>
    </row>
    <row r="8371" spans="1:1" x14ac:dyDescent="0.3">
      <c r="A8371" s="12"/>
    </row>
    <row r="8372" spans="1:1" x14ac:dyDescent="0.3">
      <c r="A8372" s="12"/>
    </row>
    <row r="8373" spans="1:1" x14ac:dyDescent="0.3">
      <c r="A8373" s="12"/>
    </row>
    <row r="8374" spans="1:1" x14ac:dyDescent="0.3">
      <c r="A8374" s="12"/>
    </row>
    <row r="8375" spans="1:1" x14ac:dyDescent="0.3">
      <c r="A8375" s="12"/>
    </row>
    <row r="8376" spans="1:1" x14ac:dyDescent="0.3">
      <c r="A8376" s="12"/>
    </row>
    <row r="8377" spans="1:1" x14ac:dyDescent="0.3">
      <c r="A8377" s="12"/>
    </row>
    <row r="8378" spans="1:1" x14ac:dyDescent="0.3">
      <c r="A8378" s="12"/>
    </row>
    <row r="8379" spans="1:1" x14ac:dyDescent="0.3">
      <c r="A8379" s="12"/>
    </row>
    <row r="8380" spans="1:1" x14ac:dyDescent="0.3">
      <c r="A8380" s="12"/>
    </row>
    <row r="8381" spans="1:1" x14ac:dyDescent="0.3">
      <c r="A8381" s="12"/>
    </row>
    <row r="8382" spans="1:1" x14ac:dyDescent="0.3">
      <c r="A8382" s="12"/>
    </row>
    <row r="8383" spans="1:1" x14ac:dyDescent="0.3">
      <c r="A8383" s="12"/>
    </row>
    <row r="8384" spans="1:1" x14ac:dyDescent="0.3">
      <c r="A8384" s="12"/>
    </row>
    <row r="8385" spans="1:1" x14ac:dyDescent="0.3">
      <c r="A8385" s="12"/>
    </row>
    <row r="8386" spans="1:1" x14ac:dyDescent="0.3">
      <c r="A8386" s="12"/>
    </row>
    <row r="8387" spans="1:1" x14ac:dyDescent="0.3">
      <c r="A8387" s="12"/>
    </row>
    <row r="8388" spans="1:1" x14ac:dyDescent="0.3">
      <c r="A8388" s="12"/>
    </row>
    <row r="8389" spans="1:1" x14ac:dyDescent="0.3">
      <c r="A8389" s="12"/>
    </row>
    <row r="8390" spans="1:1" x14ac:dyDescent="0.3">
      <c r="A8390" s="12"/>
    </row>
    <row r="8391" spans="1:1" x14ac:dyDescent="0.3">
      <c r="A8391" s="12"/>
    </row>
    <row r="8392" spans="1:1" x14ac:dyDescent="0.3">
      <c r="A8392" s="12"/>
    </row>
    <row r="8393" spans="1:1" x14ac:dyDescent="0.3">
      <c r="A8393" s="12"/>
    </row>
    <row r="8394" spans="1:1" x14ac:dyDescent="0.3">
      <c r="A8394" s="12"/>
    </row>
    <row r="8395" spans="1:1" x14ac:dyDescent="0.3">
      <c r="A8395" s="12"/>
    </row>
    <row r="8396" spans="1:1" x14ac:dyDescent="0.3">
      <c r="A8396" s="12"/>
    </row>
    <row r="8397" spans="1:1" x14ac:dyDescent="0.3">
      <c r="A8397" s="12"/>
    </row>
    <row r="8398" spans="1:1" x14ac:dyDescent="0.3">
      <c r="A8398" s="12"/>
    </row>
    <row r="8399" spans="1:1" x14ac:dyDescent="0.3">
      <c r="A8399" s="12"/>
    </row>
    <row r="8400" spans="1:1" x14ac:dyDescent="0.3">
      <c r="A8400" s="12"/>
    </row>
    <row r="8401" spans="1:1" x14ac:dyDescent="0.3">
      <c r="A8401" s="12"/>
    </row>
    <row r="8402" spans="1:1" x14ac:dyDescent="0.3">
      <c r="A8402" s="12"/>
    </row>
    <row r="8403" spans="1:1" x14ac:dyDescent="0.3">
      <c r="A8403" s="12"/>
    </row>
    <row r="8404" spans="1:1" x14ac:dyDescent="0.3">
      <c r="A8404" s="12"/>
    </row>
    <row r="8405" spans="1:1" x14ac:dyDescent="0.3">
      <c r="A8405" s="12"/>
    </row>
    <row r="8406" spans="1:1" x14ac:dyDescent="0.3">
      <c r="A8406" s="12"/>
    </row>
    <row r="8407" spans="1:1" x14ac:dyDescent="0.3">
      <c r="A8407" s="12"/>
    </row>
    <row r="8408" spans="1:1" x14ac:dyDescent="0.3">
      <c r="A8408" s="12"/>
    </row>
    <row r="8409" spans="1:1" x14ac:dyDescent="0.3">
      <c r="A8409" s="12"/>
    </row>
    <row r="8410" spans="1:1" x14ac:dyDescent="0.3">
      <c r="A8410" s="12"/>
    </row>
    <row r="8411" spans="1:1" x14ac:dyDescent="0.3">
      <c r="A8411" s="12"/>
    </row>
    <row r="8412" spans="1:1" x14ac:dyDescent="0.3">
      <c r="A8412" s="12"/>
    </row>
    <row r="8413" spans="1:1" x14ac:dyDescent="0.3">
      <c r="A8413" s="12"/>
    </row>
    <row r="8414" spans="1:1" x14ac:dyDescent="0.3">
      <c r="A8414" s="12"/>
    </row>
    <row r="8415" spans="1:1" x14ac:dyDescent="0.3">
      <c r="A8415" s="12"/>
    </row>
    <row r="8416" spans="1:1" x14ac:dyDescent="0.3">
      <c r="A8416" s="12"/>
    </row>
    <row r="8417" spans="1:1" x14ac:dyDescent="0.3">
      <c r="A8417" s="12"/>
    </row>
    <row r="8418" spans="1:1" x14ac:dyDescent="0.3">
      <c r="A8418" s="12"/>
    </row>
    <row r="8419" spans="1:1" x14ac:dyDescent="0.3">
      <c r="A8419" s="12"/>
    </row>
    <row r="8420" spans="1:1" x14ac:dyDescent="0.3">
      <c r="A8420" s="12"/>
    </row>
    <row r="8421" spans="1:1" x14ac:dyDescent="0.3">
      <c r="A8421" s="12"/>
    </row>
    <row r="8422" spans="1:1" x14ac:dyDescent="0.3">
      <c r="A8422" s="12"/>
    </row>
    <row r="8423" spans="1:1" x14ac:dyDescent="0.3">
      <c r="A8423" s="12"/>
    </row>
    <row r="8424" spans="1:1" x14ac:dyDescent="0.3">
      <c r="A8424" s="12"/>
    </row>
    <row r="8425" spans="1:1" x14ac:dyDescent="0.3">
      <c r="A8425" s="12"/>
    </row>
    <row r="8426" spans="1:1" x14ac:dyDescent="0.3">
      <c r="A8426" s="12"/>
    </row>
    <row r="8427" spans="1:1" x14ac:dyDescent="0.3">
      <c r="A8427" s="12"/>
    </row>
    <row r="8428" spans="1:1" x14ac:dyDescent="0.3">
      <c r="A8428" s="12"/>
    </row>
    <row r="8429" spans="1:1" x14ac:dyDescent="0.3">
      <c r="A8429" s="12"/>
    </row>
    <row r="8430" spans="1:1" x14ac:dyDescent="0.3">
      <c r="A8430" s="12"/>
    </row>
    <row r="8431" spans="1:1" x14ac:dyDescent="0.3">
      <c r="A8431" s="12"/>
    </row>
    <row r="8432" spans="1:1" x14ac:dyDescent="0.3">
      <c r="A8432" s="12"/>
    </row>
    <row r="8433" spans="1:1" x14ac:dyDescent="0.3">
      <c r="A8433" s="12"/>
    </row>
    <row r="8434" spans="1:1" x14ac:dyDescent="0.3">
      <c r="A8434" s="12"/>
    </row>
    <row r="8435" spans="1:1" x14ac:dyDescent="0.3">
      <c r="A8435" s="12"/>
    </row>
    <row r="8436" spans="1:1" x14ac:dyDescent="0.3">
      <c r="A8436" s="12"/>
    </row>
    <row r="8437" spans="1:1" x14ac:dyDescent="0.3">
      <c r="A8437" s="12"/>
    </row>
    <row r="8438" spans="1:1" x14ac:dyDescent="0.3">
      <c r="A8438" s="12"/>
    </row>
    <row r="8439" spans="1:1" x14ac:dyDescent="0.3">
      <c r="A8439" s="12"/>
    </row>
    <row r="8440" spans="1:1" x14ac:dyDescent="0.3">
      <c r="A8440" s="12"/>
    </row>
    <row r="8441" spans="1:1" x14ac:dyDescent="0.3">
      <c r="A8441" s="12"/>
    </row>
    <row r="8442" spans="1:1" x14ac:dyDescent="0.3">
      <c r="A8442" s="12"/>
    </row>
    <row r="8443" spans="1:1" x14ac:dyDescent="0.3">
      <c r="A8443" s="12"/>
    </row>
    <row r="8444" spans="1:1" x14ac:dyDescent="0.3">
      <c r="A8444" s="12"/>
    </row>
    <row r="8445" spans="1:1" x14ac:dyDescent="0.3">
      <c r="A8445" s="12"/>
    </row>
    <row r="8446" spans="1:1" x14ac:dyDescent="0.3">
      <c r="A8446" s="12"/>
    </row>
    <row r="8447" spans="1:1" x14ac:dyDescent="0.3">
      <c r="A8447" s="12"/>
    </row>
    <row r="8448" spans="1:1" x14ac:dyDescent="0.3">
      <c r="A8448" s="12"/>
    </row>
    <row r="8449" spans="1:1" x14ac:dyDescent="0.3">
      <c r="A8449" s="12"/>
    </row>
    <row r="8450" spans="1:1" x14ac:dyDescent="0.3">
      <c r="A8450" s="12"/>
    </row>
    <row r="8451" spans="1:1" x14ac:dyDescent="0.3">
      <c r="A8451" s="12"/>
    </row>
    <row r="8452" spans="1:1" x14ac:dyDescent="0.3">
      <c r="A8452" s="12"/>
    </row>
    <row r="8453" spans="1:1" x14ac:dyDescent="0.3">
      <c r="A8453" s="12"/>
    </row>
    <row r="8454" spans="1:1" x14ac:dyDescent="0.3">
      <c r="A8454" s="12"/>
    </row>
    <row r="8455" spans="1:1" x14ac:dyDescent="0.3">
      <c r="A8455" s="12"/>
    </row>
    <row r="8456" spans="1:1" x14ac:dyDescent="0.3">
      <c r="A8456" s="12"/>
    </row>
    <row r="8457" spans="1:1" x14ac:dyDescent="0.3">
      <c r="A8457" s="12"/>
    </row>
    <row r="8458" spans="1:1" x14ac:dyDescent="0.3">
      <c r="A8458" s="12"/>
    </row>
    <row r="8459" spans="1:1" x14ac:dyDescent="0.3">
      <c r="A8459" s="12"/>
    </row>
    <row r="8460" spans="1:1" x14ac:dyDescent="0.3">
      <c r="A8460" s="12"/>
    </row>
    <row r="8461" spans="1:1" x14ac:dyDescent="0.3">
      <c r="A8461" s="12"/>
    </row>
    <row r="8462" spans="1:1" x14ac:dyDescent="0.3">
      <c r="A8462" s="12"/>
    </row>
    <row r="8463" spans="1:1" x14ac:dyDescent="0.3">
      <c r="A8463" s="12"/>
    </row>
    <row r="8464" spans="1:1" x14ac:dyDescent="0.3">
      <c r="A8464" s="12"/>
    </row>
    <row r="8465" spans="1:1" x14ac:dyDescent="0.3">
      <c r="A8465" s="12"/>
    </row>
    <row r="8466" spans="1:1" x14ac:dyDescent="0.3">
      <c r="A8466" s="12"/>
    </row>
    <row r="8467" spans="1:1" x14ac:dyDescent="0.3">
      <c r="A8467" s="12"/>
    </row>
    <row r="8468" spans="1:1" x14ac:dyDescent="0.3">
      <c r="A8468" s="12"/>
    </row>
    <row r="8469" spans="1:1" x14ac:dyDescent="0.3">
      <c r="A8469" s="12"/>
    </row>
    <row r="8470" spans="1:1" x14ac:dyDescent="0.3">
      <c r="A8470" s="12"/>
    </row>
    <row r="8471" spans="1:1" x14ac:dyDescent="0.3">
      <c r="A8471" s="12"/>
    </row>
    <row r="8472" spans="1:1" x14ac:dyDescent="0.3">
      <c r="A8472" s="12"/>
    </row>
    <row r="8473" spans="1:1" x14ac:dyDescent="0.3">
      <c r="A8473" s="12"/>
    </row>
    <row r="8474" spans="1:1" x14ac:dyDescent="0.3">
      <c r="A8474" s="12"/>
    </row>
    <row r="8475" spans="1:1" x14ac:dyDescent="0.3">
      <c r="A8475" s="12"/>
    </row>
    <row r="8476" spans="1:1" x14ac:dyDescent="0.3">
      <c r="A8476" s="12"/>
    </row>
    <row r="8477" spans="1:1" x14ac:dyDescent="0.3">
      <c r="A8477" s="12"/>
    </row>
    <row r="8478" spans="1:1" x14ac:dyDescent="0.3">
      <c r="A8478" s="12"/>
    </row>
    <row r="8479" spans="1:1" x14ac:dyDescent="0.3">
      <c r="A8479" s="12"/>
    </row>
    <row r="8480" spans="1:1" x14ac:dyDescent="0.3">
      <c r="A8480" s="12"/>
    </row>
    <row r="8481" spans="1:1" x14ac:dyDescent="0.3">
      <c r="A8481" s="12"/>
    </row>
    <row r="8482" spans="1:1" x14ac:dyDescent="0.3">
      <c r="A8482" s="12"/>
    </row>
    <row r="8483" spans="1:1" x14ac:dyDescent="0.3">
      <c r="A8483" s="12"/>
    </row>
    <row r="8484" spans="1:1" x14ac:dyDescent="0.3">
      <c r="A8484" s="12"/>
    </row>
    <row r="8485" spans="1:1" x14ac:dyDescent="0.3">
      <c r="A8485" s="12"/>
    </row>
    <row r="8486" spans="1:1" x14ac:dyDescent="0.3">
      <c r="A8486" s="12"/>
    </row>
    <row r="8487" spans="1:1" x14ac:dyDescent="0.3">
      <c r="A8487" s="12"/>
    </row>
    <row r="8488" spans="1:1" x14ac:dyDescent="0.3">
      <c r="A8488" s="12"/>
    </row>
    <row r="8489" spans="1:1" x14ac:dyDescent="0.3">
      <c r="A8489" s="12"/>
    </row>
    <row r="8490" spans="1:1" x14ac:dyDescent="0.3">
      <c r="A8490" s="12"/>
    </row>
    <row r="8491" spans="1:1" x14ac:dyDescent="0.3">
      <c r="A8491" s="12"/>
    </row>
    <row r="8492" spans="1:1" x14ac:dyDescent="0.3">
      <c r="A8492" s="12"/>
    </row>
    <row r="8493" spans="1:1" x14ac:dyDescent="0.3">
      <c r="A8493" s="12"/>
    </row>
    <row r="8494" spans="1:1" x14ac:dyDescent="0.3">
      <c r="A8494" s="12"/>
    </row>
    <row r="8495" spans="1:1" x14ac:dyDescent="0.3">
      <c r="A8495" s="12"/>
    </row>
    <row r="8496" spans="1:1" x14ac:dyDescent="0.3">
      <c r="A8496" s="12"/>
    </row>
    <row r="8497" spans="1:1" x14ac:dyDescent="0.3">
      <c r="A8497" s="12"/>
    </row>
    <row r="8498" spans="1:1" x14ac:dyDescent="0.3">
      <c r="A8498" s="12"/>
    </row>
    <row r="8499" spans="1:1" x14ac:dyDescent="0.3">
      <c r="A8499" s="12"/>
    </row>
    <row r="8500" spans="1:1" x14ac:dyDescent="0.3">
      <c r="A8500" s="12"/>
    </row>
    <row r="8501" spans="1:1" x14ac:dyDescent="0.3">
      <c r="A8501" s="12"/>
    </row>
    <row r="8502" spans="1:1" x14ac:dyDescent="0.3">
      <c r="A8502" s="12"/>
    </row>
    <row r="8503" spans="1:1" x14ac:dyDescent="0.3">
      <c r="A8503" s="12"/>
    </row>
    <row r="8504" spans="1:1" x14ac:dyDescent="0.3">
      <c r="A8504" s="12"/>
    </row>
    <row r="8505" spans="1:1" x14ac:dyDescent="0.3">
      <c r="A8505" s="12"/>
    </row>
    <row r="8506" spans="1:1" x14ac:dyDescent="0.3">
      <c r="A8506" s="12"/>
    </row>
    <row r="8507" spans="1:1" x14ac:dyDescent="0.3">
      <c r="A8507" s="12"/>
    </row>
    <row r="8508" spans="1:1" x14ac:dyDescent="0.3">
      <c r="A8508" s="12"/>
    </row>
    <row r="8509" spans="1:1" x14ac:dyDescent="0.3">
      <c r="A8509" s="12"/>
    </row>
    <row r="8510" spans="1:1" x14ac:dyDescent="0.3">
      <c r="A8510" s="12"/>
    </row>
    <row r="8511" spans="1:1" x14ac:dyDescent="0.3">
      <c r="A8511" s="12"/>
    </row>
    <row r="8512" spans="1:1" x14ac:dyDescent="0.3">
      <c r="A8512" s="12"/>
    </row>
    <row r="8513" spans="1:1" x14ac:dyDescent="0.3">
      <c r="A8513" s="12"/>
    </row>
    <row r="8514" spans="1:1" x14ac:dyDescent="0.3">
      <c r="A8514" s="12"/>
    </row>
    <row r="8515" spans="1:1" x14ac:dyDescent="0.3">
      <c r="A8515" s="12"/>
    </row>
    <row r="8516" spans="1:1" x14ac:dyDescent="0.3">
      <c r="A8516" s="12"/>
    </row>
    <row r="8517" spans="1:1" x14ac:dyDescent="0.3">
      <c r="A8517" s="12"/>
    </row>
    <row r="8518" spans="1:1" x14ac:dyDescent="0.3">
      <c r="A8518" s="12"/>
    </row>
    <row r="8519" spans="1:1" x14ac:dyDescent="0.3">
      <c r="A8519" s="12"/>
    </row>
    <row r="8520" spans="1:1" x14ac:dyDescent="0.3">
      <c r="A8520" s="12"/>
    </row>
    <row r="8521" spans="1:1" x14ac:dyDescent="0.3">
      <c r="A8521" s="12"/>
    </row>
    <row r="8522" spans="1:1" x14ac:dyDescent="0.3">
      <c r="A8522" s="12"/>
    </row>
    <row r="8523" spans="1:1" x14ac:dyDescent="0.3">
      <c r="A8523" s="12"/>
    </row>
    <row r="8524" spans="1:1" x14ac:dyDescent="0.3">
      <c r="A8524" s="12"/>
    </row>
    <row r="8525" spans="1:1" x14ac:dyDescent="0.3">
      <c r="A8525" s="12"/>
    </row>
    <row r="8526" spans="1:1" x14ac:dyDescent="0.3">
      <c r="A8526" s="12"/>
    </row>
    <row r="8527" spans="1:1" x14ac:dyDescent="0.3">
      <c r="A8527" s="12"/>
    </row>
    <row r="8528" spans="1:1" x14ac:dyDescent="0.3">
      <c r="A8528" s="12"/>
    </row>
    <row r="8529" spans="1:1" x14ac:dyDescent="0.3">
      <c r="A8529" s="12"/>
    </row>
    <row r="8530" spans="1:1" x14ac:dyDescent="0.3">
      <c r="A8530" s="12"/>
    </row>
    <row r="8531" spans="1:1" x14ac:dyDescent="0.3">
      <c r="A8531" s="12"/>
    </row>
    <row r="8532" spans="1:1" x14ac:dyDescent="0.3">
      <c r="A8532" s="12"/>
    </row>
    <row r="8533" spans="1:1" x14ac:dyDescent="0.3">
      <c r="A8533" s="12"/>
    </row>
    <row r="8534" spans="1:1" x14ac:dyDescent="0.3">
      <c r="A8534" s="12"/>
    </row>
    <row r="8535" spans="1:1" x14ac:dyDescent="0.3">
      <c r="A8535" s="12"/>
    </row>
    <row r="8536" spans="1:1" x14ac:dyDescent="0.3">
      <c r="A8536" s="12"/>
    </row>
    <row r="8537" spans="1:1" x14ac:dyDescent="0.3">
      <c r="A8537" s="12"/>
    </row>
    <row r="8538" spans="1:1" x14ac:dyDescent="0.3">
      <c r="A8538" s="12"/>
    </row>
    <row r="8539" spans="1:1" x14ac:dyDescent="0.3">
      <c r="A8539" s="12"/>
    </row>
    <row r="8540" spans="1:1" x14ac:dyDescent="0.3">
      <c r="A8540" s="12"/>
    </row>
    <row r="8541" spans="1:1" x14ac:dyDescent="0.3">
      <c r="A8541" s="12"/>
    </row>
    <row r="8542" spans="1:1" x14ac:dyDescent="0.3">
      <c r="A8542" s="12"/>
    </row>
    <row r="8543" spans="1:1" x14ac:dyDescent="0.3">
      <c r="A8543" s="12"/>
    </row>
    <row r="8544" spans="1:1" x14ac:dyDescent="0.3">
      <c r="A8544" s="12"/>
    </row>
    <row r="8545" spans="1:1" x14ac:dyDescent="0.3">
      <c r="A8545" s="12"/>
    </row>
    <row r="8546" spans="1:1" x14ac:dyDescent="0.3">
      <c r="A8546" s="12"/>
    </row>
    <row r="8547" spans="1:1" x14ac:dyDescent="0.3">
      <c r="A8547" s="12"/>
    </row>
    <row r="8548" spans="1:1" x14ac:dyDescent="0.3">
      <c r="A8548" s="12"/>
    </row>
    <row r="8549" spans="1:1" x14ac:dyDescent="0.3">
      <c r="A8549" s="12"/>
    </row>
    <row r="8550" spans="1:1" x14ac:dyDescent="0.3">
      <c r="A8550" s="12"/>
    </row>
    <row r="8551" spans="1:1" x14ac:dyDescent="0.3">
      <c r="A8551" s="12"/>
    </row>
    <row r="8552" spans="1:1" x14ac:dyDescent="0.3">
      <c r="A8552" s="12"/>
    </row>
    <row r="8553" spans="1:1" x14ac:dyDescent="0.3">
      <c r="A8553" s="12"/>
    </row>
    <row r="8554" spans="1:1" x14ac:dyDescent="0.3">
      <c r="A8554" s="12"/>
    </row>
    <row r="8555" spans="1:1" x14ac:dyDescent="0.3">
      <c r="A8555" s="12"/>
    </row>
    <row r="8556" spans="1:1" x14ac:dyDescent="0.3">
      <c r="A8556" s="12"/>
    </row>
    <row r="8557" spans="1:1" x14ac:dyDescent="0.3">
      <c r="A8557" s="12"/>
    </row>
    <row r="8558" spans="1:1" x14ac:dyDescent="0.3">
      <c r="A8558" s="12"/>
    </row>
    <row r="8559" spans="1:1" x14ac:dyDescent="0.3">
      <c r="A8559" s="12"/>
    </row>
    <row r="8560" spans="1:1" x14ac:dyDescent="0.3">
      <c r="A8560" s="12"/>
    </row>
    <row r="8561" spans="1:1" x14ac:dyDescent="0.3">
      <c r="A8561" s="12"/>
    </row>
    <row r="8562" spans="1:1" x14ac:dyDescent="0.3">
      <c r="A8562" s="12"/>
    </row>
    <row r="8563" spans="1:1" x14ac:dyDescent="0.3">
      <c r="A8563" s="12"/>
    </row>
    <row r="8564" spans="1:1" x14ac:dyDescent="0.3">
      <c r="A8564" s="12"/>
    </row>
    <row r="8565" spans="1:1" x14ac:dyDescent="0.3">
      <c r="A8565" s="12"/>
    </row>
    <row r="8566" spans="1:1" x14ac:dyDescent="0.3">
      <c r="A8566" s="12"/>
    </row>
    <row r="8567" spans="1:1" x14ac:dyDescent="0.3">
      <c r="A8567" s="12"/>
    </row>
    <row r="8568" spans="1:1" x14ac:dyDescent="0.3">
      <c r="A8568" s="12"/>
    </row>
    <row r="8569" spans="1:1" x14ac:dyDescent="0.3">
      <c r="A8569" s="12"/>
    </row>
    <row r="8570" spans="1:1" x14ac:dyDescent="0.3">
      <c r="A8570" s="12"/>
    </row>
    <row r="8571" spans="1:1" x14ac:dyDescent="0.3">
      <c r="A8571" s="12"/>
    </row>
    <row r="8572" spans="1:1" x14ac:dyDescent="0.3">
      <c r="A8572" s="12"/>
    </row>
    <row r="8573" spans="1:1" x14ac:dyDescent="0.3">
      <c r="A8573" s="12"/>
    </row>
    <row r="8574" spans="1:1" x14ac:dyDescent="0.3">
      <c r="A8574" s="12"/>
    </row>
    <row r="8575" spans="1:1" x14ac:dyDescent="0.3">
      <c r="A8575" s="12"/>
    </row>
    <row r="8576" spans="1:1" x14ac:dyDescent="0.3">
      <c r="A8576" s="12"/>
    </row>
    <row r="8577" spans="1:1" x14ac:dyDescent="0.3">
      <c r="A8577" s="12"/>
    </row>
    <row r="8578" spans="1:1" x14ac:dyDescent="0.3">
      <c r="A8578" s="12"/>
    </row>
    <row r="8579" spans="1:1" x14ac:dyDescent="0.3">
      <c r="A8579" s="12"/>
    </row>
    <row r="8580" spans="1:1" x14ac:dyDescent="0.3">
      <c r="A8580" s="12"/>
    </row>
    <row r="8581" spans="1:1" x14ac:dyDescent="0.3">
      <c r="A8581" s="12"/>
    </row>
    <row r="8582" spans="1:1" x14ac:dyDescent="0.3">
      <c r="A8582" s="12"/>
    </row>
    <row r="8583" spans="1:1" x14ac:dyDescent="0.3">
      <c r="A8583" s="12"/>
    </row>
    <row r="8584" spans="1:1" x14ac:dyDescent="0.3">
      <c r="A8584" s="12"/>
    </row>
    <row r="8585" spans="1:1" x14ac:dyDescent="0.3">
      <c r="A8585" s="12"/>
    </row>
    <row r="8586" spans="1:1" x14ac:dyDescent="0.3">
      <c r="A8586" s="12"/>
    </row>
    <row r="8587" spans="1:1" x14ac:dyDescent="0.3">
      <c r="A8587" s="12"/>
    </row>
    <row r="8588" spans="1:1" x14ac:dyDescent="0.3">
      <c r="A8588" s="12"/>
    </row>
    <row r="8589" spans="1:1" x14ac:dyDescent="0.3">
      <c r="A8589" s="12"/>
    </row>
    <row r="8590" spans="1:1" x14ac:dyDescent="0.3">
      <c r="A8590" s="12"/>
    </row>
    <row r="8591" spans="1:1" x14ac:dyDescent="0.3">
      <c r="A8591" s="12"/>
    </row>
    <row r="8592" spans="1:1" x14ac:dyDescent="0.3">
      <c r="A8592" s="12"/>
    </row>
    <row r="8593" spans="1:1" x14ac:dyDescent="0.3">
      <c r="A8593" s="12"/>
    </row>
    <row r="8594" spans="1:1" x14ac:dyDescent="0.3">
      <c r="A8594" s="12"/>
    </row>
    <row r="8595" spans="1:1" x14ac:dyDescent="0.3">
      <c r="A8595" s="12"/>
    </row>
    <row r="8596" spans="1:1" x14ac:dyDescent="0.3">
      <c r="A8596" s="12"/>
    </row>
    <row r="8597" spans="1:1" x14ac:dyDescent="0.3">
      <c r="A8597" s="12"/>
    </row>
    <row r="8598" spans="1:1" x14ac:dyDescent="0.3">
      <c r="A8598" s="12"/>
    </row>
    <row r="8599" spans="1:1" x14ac:dyDescent="0.3">
      <c r="A8599" s="12"/>
    </row>
    <row r="8600" spans="1:1" x14ac:dyDescent="0.3">
      <c r="A8600" s="12"/>
    </row>
    <row r="8601" spans="1:1" x14ac:dyDescent="0.3">
      <c r="A8601" s="12"/>
    </row>
    <row r="8602" spans="1:1" x14ac:dyDescent="0.3">
      <c r="A8602" s="12"/>
    </row>
    <row r="8603" spans="1:1" x14ac:dyDescent="0.3">
      <c r="A8603" s="12"/>
    </row>
    <row r="8604" spans="1:1" x14ac:dyDescent="0.3">
      <c r="A8604" s="12"/>
    </row>
    <row r="8605" spans="1:1" x14ac:dyDescent="0.3">
      <c r="A8605" s="12"/>
    </row>
    <row r="8606" spans="1:1" x14ac:dyDescent="0.3">
      <c r="A8606" s="12"/>
    </row>
    <row r="8607" spans="1:1" x14ac:dyDescent="0.3">
      <c r="A8607" s="12"/>
    </row>
    <row r="8608" spans="1:1" x14ac:dyDescent="0.3">
      <c r="A8608" s="12"/>
    </row>
    <row r="8609" spans="1:1" x14ac:dyDescent="0.3">
      <c r="A8609" s="12"/>
    </row>
    <row r="8610" spans="1:1" x14ac:dyDescent="0.3">
      <c r="A8610" s="12"/>
    </row>
    <row r="8611" spans="1:1" x14ac:dyDescent="0.3">
      <c r="A8611" s="12"/>
    </row>
    <row r="8612" spans="1:1" x14ac:dyDescent="0.3">
      <c r="A8612" s="12"/>
    </row>
    <row r="8613" spans="1:1" x14ac:dyDescent="0.3">
      <c r="A8613" s="12"/>
    </row>
    <row r="8614" spans="1:1" x14ac:dyDescent="0.3">
      <c r="A8614" s="12"/>
    </row>
    <row r="8615" spans="1:1" x14ac:dyDescent="0.3">
      <c r="A8615" s="12"/>
    </row>
    <row r="8616" spans="1:1" x14ac:dyDescent="0.3">
      <c r="A8616" s="12"/>
    </row>
    <row r="8617" spans="1:1" x14ac:dyDescent="0.3">
      <c r="A8617" s="12"/>
    </row>
    <row r="8618" spans="1:1" x14ac:dyDescent="0.3">
      <c r="A8618" s="12"/>
    </row>
    <row r="8619" spans="1:1" x14ac:dyDescent="0.3">
      <c r="A8619" s="12"/>
    </row>
    <row r="8620" spans="1:1" x14ac:dyDescent="0.3">
      <c r="A8620" s="12"/>
    </row>
    <row r="8621" spans="1:1" x14ac:dyDescent="0.3">
      <c r="A8621" s="12"/>
    </row>
    <row r="8622" spans="1:1" x14ac:dyDescent="0.3">
      <c r="A8622" s="12"/>
    </row>
    <row r="8623" spans="1:1" x14ac:dyDescent="0.3">
      <c r="A8623" s="12"/>
    </row>
    <row r="8624" spans="1:1" x14ac:dyDescent="0.3">
      <c r="A8624" s="12"/>
    </row>
    <row r="8625" spans="1:1" x14ac:dyDescent="0.3">
      <c r="A8625" s="12"/>
    </row>
    <row r="8626" spans="1:1" x14ac:dyDescent="0.3">
      <c r="A8626" s="12"/>
    </row>
    <row r="8627" spans="1:1" x14ac:dyDescent="0.3">
      <c r="A8627" s="12"/>
    </row>
    <row r="8628" spans="1:1" x14ac:dyDescent="0.3">
      <c r="A8628" s="12"/>
    </row>
    <row r="8629" spans="1:1" x14ac:dyDescent="0.3">
      <c r="A8629" s="12"/>
    </row>
    <row r="8630" spans="1:1" x14ac:dyDescent="0.3">
      <c r="A8630" s="12"/>
    </row>
    <row r="8631" spans="1:1" x14ac:dyDescent="0.3">
      <c r="A8631" s="12"/>
    </row>
    <row r="8632" spans="1:1" x14ac:dyDescent="0.3">
      <c r="A8632" s="12"/>
    </row>
    <row r="8633" spans="1:1" x14ac:dyDescent="0.3">
      <c r="A8633" s="12"/>
    </row>
    <row r="8634" spans="1:1" x14ac:dyDescent="0.3">
      <c r="A8634" s="12"/>
    </row>
    <row r="8635" spans="1:1" x14ac:dyDescent="0.3">
      <c r="A8635" s="12"/>
    </row>
    <row r="8636" spans="1:1" x14ac:dyDescent="0.3">
      <c r="A8636" s="12"/>
    </row>
    <row r="8637" spans="1:1" x14ac:dyDescent="0.3">
      <c r="A8637" s="12"/>
    </row>
    <row r="8638" spans="1:1" x14ac:dyDescent="0.3">
      <c r="A8638" s="12"/>
    </row>
    <row r="8639" spans="1:1" x14ac:dyDescent="0.3">
      <c r="A8639" s="12"/>
    </row>
    <row r="8640" spans="1:1" x14ac:dyDescent="0.3">
      <c r="A8640" s="12"/>
    </row>
    <row r="8641" spans="1:1" x14ac:dyDescent="0.3">
      <c r="A8641" s="12"/>
    </row>
    <row r="8642" spans="1:1" x14ac:dyDescent="0.3">
      <c r="A8642" s="12"/>
    </row>
    <row r="8643" spans="1:1" x14ac:dyDescent="0.3">
      <c r="A8643" s="12"/>
    </row>
    <row r="8644" spans="1:1" x14ac:dyDescent="0.3">
      <c r="A8644" s="12"/>
    </row>
    <row r="8645" spans="1:1" x14ac:dyDescent="0.3">
      <c r="A8645" s="12"/>
    </row>
    <row r="8646" spans="1:1" x14ac:dyDescent="0.3">
      <c r="A8646" s="12"/>
    </row>
    <row r="8647" spans="1:1" x14ac:dyDescent="0.3">
      <c r="A8647" s="12"/>
    </row>
    <row r="8648" spans="1:1" x14ac:dyDescent="0.3">
      <c r="A8648" s="12"/>
    </row>
    <row r="8649" spans="1:1" x14ac:dyDescent="0.3">
      <c r="A8649" s="12"/>
    </row>
    <row r="8650" spans="1:1" x14ac:dyDescent="0.3">
      <c r="A8650" s="12"/>
    </row>
    <row r="8651" spans="1:1" x14ac:dyDescent="0.3">
      <c r="A8651" s="12"/>
    </row>
    <row r="8652" spans="1:1" x14ac:dyDescent="0.3">
      <c r="A8652" s="12"/>
    </row>
    <row r="8653" spans="1:1" x14ac:dyDescent="0.3">
      <c r="A8653" s="12"/>
    </row>
    <row r="8654" spans="1:1" x14ac:dyDescent="0.3">
      <c r="A8654" s="12"/>
    </row>
    <row r="8655" spans="1:1" x14ac:dyDescent="0.3">
      <c r="A8655" s="12"/>
    </row>
    <row r="8656" spans="1:1" x14ac:dyDescent="0.3">
      <c r="A8656" s="12"/>
    </row>
    <row r="8657" spans="1:1" x14ac:dyDescent="0.3">
      <c r="A8657" s="12"/>
    </row>
    <row r="8658" spans="1:1" x14ac:dyDescent="0.3">
      <c r="A8658" s="12"/>
    </row>
    <row r="8659" spans="1:1" x14ac:dyDescent="0.3">
      <c r="A8659" s="12"/>
    </row>
    <row r="8660" spans="1:1" x14ac:dyDescent="0.3">
      <c r="A8660" s="12"/>
    </row>
    <row r="8661" spans="1:1" x14ac:dyDescent="0.3">
      <c r="A8661" s="12"/>
    </row>
    <row r="8662" spans="1:1" x14ac:dyDescent="0.3">
      <c r="A8662" s="12"/>
    </row>
    <row r="8663" spans="1:1" x14ac:dyDescent="0.3">
      <c r="A8663" s="12"/>
    </row>
    <row r="8664" spans="1:1" x14ac:dyDescent="0.3">
      <c r="A8664" s="12"/>
    </row>
    <row r="8665" spans="1:1" x14ac:dyDescent="0.3">
      <c r="A8665" s="12"/>
    </row>
    <row r="8666" spans="1:1" x14ac:dyDescent="0.3">
      <c r="A8666" s="12"/>
    </row>
    <row r="8667" spans="1:1" x14ac:dyDescent="0.3">
      <c r="A8667" s="12"/>
    </row>
    <row r="8668" spans="1:1" x14ac:dyDescent="0.3">
      <c r="A8668" s="12"/>
    </row>
    <row r="8669" spans="1:1" x14ac:dyDescent="0.3">
      <c r="A8669" s="12"/>
    </row>
    <row r="8670" spans="1:1" x14ac:dyDescent="0.3">
      <c r="A8670" s="12"/>
    </row>
    <row r="8671" spans="1:1" x14ac:dyDescent="0.3">
      <c r="A8671" s="12"/>
    </row>
    <row r="8672" spans="1:1" x14ac:dyDescent="0.3">
      <c r="A8672" s="12"/>
    </row>
    <row r="8673" spans="1:1" x14ac:dyDescent="0.3">
      <c r="A8673" s="12"/>
    </row>
    <row r="8674" spans="1:1" x14ac:dyDescent="0.3">
      <c r="A8674" s="12"/>
    </row>
    <row r="8675" spans="1:1" x14ac:dyDescent="0.3">
      <c r="A8675" s="12"/>
    </row>
    <row r="8676" spans="1:1" x14ac:dyDescent="0.3">
      <c r="A8676" s="12"/>
    </row>
    <row r="8677" spans="1:1" x14ac:dyDescent="0.3">
      <c r="A8677" s="12"/>
    </row>
    <row r="8678" spans="1:1" x14ac:dyDescent="0.3">
      <c r="A8678" s="12"/>
    </row>
    <row r="8679" spans="1:1" x14ac:dyDescent="0.3">
      <c r="A8679" s="12"/>
    </row>
    <row r="8680" spans="1:1" x14ac:dyDescent="0.3">
      <c r="A8680" s="12"/>
    </row>
    <row r="8681" spans="1:1" x14ac:dyDescent="0.3">
      <c r="A8681" s="12"/>
    </row>
    <row r="8682" spans="1:1" x14ac:dyDescent="0.3">
      <c r="A8682" s="12"/>
    </row>
    <row r="8683" spans="1:1" x14ac:dyDescent="0.3">
      <c r="A8683" s="12"/>
    </row>
    <row r="8684" spans="1:1" x14ac:dyDescent="0.3">
      <c r="A8684" s="12"/>
    </row>
    <row r="8685" spans="1:1" x14ac:dyDescent="0.3">
      <c r="A8685" s="12"/>
    </row>
    <row r="8686" spans="1:1" x14ac:dyDescent="0.3">
      <c r="A8686" s="12"/>
    </row>
    <row r="8687" spans="1:1" x14ac:dyDescent="0.3">
      <c r="A8687" s="12"/>
    </row>
    <row r="8688" spans="1:1" x14ac:dyDescent="0.3">
      <c r="A8688" s="12"/>
    </row>
    <row r="8689" spans="1:1" x14ac:dyDescent="0.3">
      <c r="A8689" s="12"/>
    </row>
    <row r="8690" spans="1:1" x14ac:dyDescent="0.3">
      <c r="A8690" s="12"/>
    </row>
    <row r="8691" spans="1:1" x14ac:dyDescent="0.3">
      <c r="A8691" s="12"/>
    </row>
    <row r="8692" spans="1:1" x14ac:dyDescent="0.3">
      <c r="A8692" s="12"/>
    </row>
    <row r="8693" spans="1:1" x14ac:dyDescent="0.3">
      <c r="A8693" s="12"/>
    </row>
    <row r="8694" spans="1:1" x14ac:dyDescent="0.3">
      <c r="A8694" s="12"/>
    </row>
    <row r="8695" spans="1:1" x14ac:dyDescent="0.3">
      <c r="A8695" s="12"/>
    </row>
    <row r="8696" spans="1:1" x14ac:dyDescent="0.3">
      <c r="A8696" s="12"/>
    </row>
    <row r="8697" spans="1:1" x14ac:dyDescent="0.3">
      <c r="A8697" s="12"/>
    </row>
    <row r="8698" spans="1:1" x14ac:dyDescent="0.3">
      <c r="A8698" s="12"/>
    </row>
    <row r="8699" spans="1:1" x14ac:dyDescent="0.3">
      <c r="A8699" s="12"/>
    </row>
    <row r="8700" spans="1:1" x14ac:dyDescent="0.3">
      <c r="A8700" s="12"/>
    </row>
    <row r="8701" spans="1:1" x14ac:dyDescent="0.3">
      <c r="A8701" s="12"/>
    </row>
    <row r="8702" spans="1:1" x14ac:dyDescent="0.3">
      <c r="A8702" s="12"/>
    </row>
    <row r="8703" spans="1:1" x14ac:dyDescent="0.3">
      <c r="A8703" s="12"/>
    </row>
    <row r="8704" spans="1:1" x14ac:dyDescent="0.3">
      <c r="A8704" s="12"/>
    </row>
    <row r="8705" spans="1:1" x14ac:dyDescent="0.3">
      <c r="A8705" s="12"/>
    </row>
    <row r="8706" spans="1:1" x14ac:dyDescent="0.3">
      <c r="A8706" s="12"/>
    </row>
    <row r="8707" spans="1:1" x14ac:dyDescent="0.3">
      <c r="A8707" s="12"/>
    </row>
    <row r="8708" spans="1:1" x14ac:dyDescent="0.3">
      <c r="A8708" s="12"/>
    </row>
    <row r="8709" spans="1:1" x14ac:dyDescent="0.3">
      <c r="A8709" s="12"/>
    </row>
    <row r="8710" spans="1:1" x14ac:dyDescent="0.3">
      <c r="A8710" s="12"/>
    </row>
    <row r="8711" spans="1:1" x14ac:dyDescent="0.3">
      <c r="A8711" s="12"/>
    </row>
    <row r="8712" spans="1:1" x14ac:dyDescent="0.3">
      <c r="A8712" s="12"/>
    </row>
    <row r="8713" spans="1:1" x14ac:dyDescent="0.3">
      <c r="A8713" s="12"/>
    </row>
    <row r="8714" spans="1:1" x14ac:dyDescent="0.3">
      <c r="A8714" s="12"/>
    </row>
    <row r="8715" spans="1:1" x14ac:dyDescent="0.3">
      <c r="A8715" s="12"/>
    </row>
    <row r="8716" spans="1:1" x14ac:dyDescent="0.3">
      <c r="A8716" s="12"/>
    </row>
    <row r="8717" spans="1:1" x14ac:dyDescent="0.3">
      <c r="A8717" s="12"/>
    </row>
    <row r="8718" spans="1:1" x14ac:dyDescent="0.3">
      <c r="A8718" s="12"/>
    </row>
    <row r="8719" spans="1:1" x14ac:dyDescent="0.3">
      <c r="A8719" s="12"/>
    </row>
    <row r="8720" spans="1:1" x14ac:dyDescent="0.3">
      <c r="A8720" s="12"/>
    </row>
    <row r="8721" spans="1:1" x14ac:dyDescent="0.3">
      <c r="A8721" s="12"/>
    </row>
    <row r="8722" spans="1:1" x14ac:dyDescent="0.3">
      <c r="A8722" s="12"/>
    </row>
    <row r="8723" spans="1:1" x14ac:dyDescent="0.3">
      <c r="A8723" s="12"/>
    </row>
    <row r="8724" spans="1:1" x14ac:dyDescent="0.3">
      <c r="A8724" s="12"/>
    </row>
    <row r="8725" spans="1:1" x14ac:dyDescent="0.3">
      <c r="A8725" s="12"/>
    </row>
    <row r="8726" spans="1:1" x14ac:dyDescent="0.3">
      <c r="A8726" s="12"/>
    </row>
    <row r="8727" spans="1:1" x14ac:dyDescent="0.3">
      <c r="A8727" s="12"/>
    </row>
    <row r="8728" spans="1:1" x14ac:dyDescent="0.3">
      <c r="A8728" s="12"/>
    </row>
    <row r="8729" spans="1:1" x14ac:dyDescent="0.3">
      <c r="A8729" s="12"/>
    </row>
    <row r="8730" spans="1:1" x14ac:dyDescent="0.3">
      <c r="A8730" s="12"/>
    </row>
    <row r="8731" spans="1:1" x14ac:dyDescent="0.3">
      <c r="A8731" s="12"/>
    </row>
    <row r="8732" spans="1:1" x14ac:dyDescent="0.3">
      <c r="A8732" s="12"/>
    </row>
    <row r="8733" spans="1:1" x14ac:dyDescent="0.3">
      <c r="A8733" s="12"/>
    </row>
    <row r="8734" spans="1:1" x14ac:dyDescent="0.3">
      <c r="A8734" s="12"/>
    </row>
    <row r="8735" spans="1:1" x14ac:dyDescent="0.3">
      <c r="A8735" s="12"/>
    </row>
    <row r="8736" spans="1:1" x14ac:dyDescent="0.3">
      <c r="A8736" s="12"/>
    </row>
    <row r="8737" spans="1:1" x14ac:dyDescent="0.3">
      <c r="A8737" s="12"/>
    </row>
    <row r="8738" spans="1:1" x14ac:dyDescent="0.3">
      <c r="A8738" s="12"/>
    </row>
    <row r="8739" spans="1:1" x14ac:dyDescent="0.3">
      <c r="A8739" s="12"/>
    </row>
    <row r="8740" spans="1:1" x14ac:dyDescent="0.3">
      <c r="A8740" s="12"/>
    </row>
    <row r="8741" spans="1:1" x14ac:dyDescent="0.3">
      <c r="A8741" s="12"/>
    </row>
    <row r="8742" spans="1:1" x14ac:dyDescent="0.3">
      <c r="A8742" s="12"/>
    </row>
    <row r="8743" spans="1:1" x14ac:dyDescent="0.3">
      <c r="A8743" s="12"/>
    </row>
    <row r="8744" spans="1:1" x14ac:dyDescent="0.3">
      <c r="A8744" s="12"/>
    </row>
    <row r="8745" spans="1:1" x14ac:dyDescent="0.3">
      <c r="A8745" s="12"/>
    </row>
    <row r="8746" spans="1:1" x14ac:dyDescent="0.3">
      <c r="A8746" s="12"/>
    </row>
    <row r="8747" spans="1:1" x14ac:dyDescent="0.3">
      <c r="A8747" s="12"/>
    </row>
    <row r="8748" spans="1:1" x14ac:dyDescent="0.3">
      <c r="A8748" s="12"/>
    </row>
    <row r="8749" spans="1:1" x14ac:dyDescent="0.3">
      <c r="A8749" s="12"/>
    </row>
    <row r="8750" spans="1:1" x14ac:dyDescent="0.3">
      <c r="A8750" s="12"/>
    </row>
    <row r="8751" spans="1:1" x14ac:dyDescent="0.3">
      <c r="A8751" s="12"/>
    </row>
    <row r="8752" spans="1:1" x14ac:dyDescent="0.3">
      <c r="A8752" s="12"/>
    </row>
    <row r="8753" spans="1:1" x14ac:dyDescent="0.3">
      <c r="A8753" s="12"/>
    </row>
    <row r="8754" spans="1:1" x14ac:dyDescent="0.3">
      <c r="A8754" s="12"/>
    </row>
    <row r="8755" spans="1:1" x14ac:dyDescent="0.3">
      <c r="A8755" s="12"/>
    </row>
    <row r="8756" spans="1:1" x14ac:dyDescent="0.3">
      <c r="A8756" s="12"/>
    </row>
    <row r="8757" spans="1:1" x14ac:dyDescent="0.3">
      <c r="A8757" s="12"/>
    </row>
    <row r="8758" spans="1:1" x14ac:dyDescent="0.3">
      <c r="A8758" s="12"/>
    </row>
    <row r="8759" spans="1:1" x14ac:dyDescent="0.3">
      <c r="A8759" s="12"/>
    </row>
    <row r="8760" spans="1:1" x14ac:dyDescent="0.3">
      <c r="A8760" s="12"/>
    </row>
    <row r="8761" spans="1:1" x14ac:dyDescent="0.3">
      <c r="A8761" s="12"/>
    </row>
    <row r="8762" spans="1:1" x14ac:dyDescent="0.3">
      <c r="A8762" s="12"/>
    </row>
    <row r="8763" spans="1:1" x14ac:dyDescent="0.3">
      <c r="A8763" s="12"/>
    </row>
    <row r="8764" spans="1:1" x14ac:dyDescent="0.3">
      <c r="A8764" s="12"/>
    </row>
    <row r="8765" spans="1:1" x14ac:dyDescent="0.3">
      <c r="A8765" s="12"/>
    </row>
    <row r="8766" spans="1:1" x14ac:dyDescent="0.3">
      <c r="A8766" s="12"/>
    </row>
    <row r="8767" spans="1:1" x14ac:dyDescent="0.3">
      <c r="A8767" s="12"/>
    </row>
    <row r="8768" spans="1:1" x14ac:dyDescent="0.3">
      <c r="A8768" s="12"/>
    </row>
    <row r="8769" spans="1:1" x14ac:dyDescent="0.3">
      <c r="A8769" s="12"/>
    </row>
    <row r="8770" spans="1:1" x14ac:dyDescent="0.3">
      <c r="A8770" s="12"/>
    </row>
    <row r="8771" spans="1:1" x14ac:dyDescent="0.3">
      <c r="A8771" s="12"/>
    </row>
    <row r="8772" spans="1:1" x14ac:dyDescent="0.3">
      <c r="A8772" s="12"/>
    </row>
    <row r="8773" spans="1:1" x14ac:dyDescent="0.3">
      <c r="A8773" s="12"/>
    </row>
    <row r="8774" spans="1:1" x14ac:dyDescent="0.3">
      <c r="A8774" s="12"/>
    </row>
    <row r="8775" spans="1:1" x14ac:dyDescent="0.3">
      <c r="A8775" s="12"/>
    </row>
    <row r="8776" spans="1:1" x14ac:dyDescent="0.3">
      <c r="A8776" s="12"/>
    </row>
    <row r="8777" spans="1:1" x14ac:dyDescent="0.3">
      <c r="A8777" s="12"/>
    </row>
    <row r="8778" spans="1:1" x14ac:dyDescent="0.3">
      <c r="A8778" s="12"/>
    </row>
    <row r="8779" spans="1:1" x14ac:dyDescent="0.3">
      <c r="A8779" s="12"/>
    </row>
    <row r="8780" spans="1:1" x14ac:dyDescent="0.3">
      <c r="A8780" s="12"/>
    </row>
    <row r="8781" spans="1:1" x14ac:dyDescent="0.3">
      <c r="A8781" s="12"/>
    </row>
    <row r="8782" spans="1:1" x14ac:dyDescent="0.3">
      <c r="A8782" s="12"/>
    </row>
    <row r="8783" spans="1:1" x14ac:dyDescent="0.3">
      <c r="A8783" s="12"/>
    </row>
    <row r="8784" spans="1:1" x14ac:dyDescent="0.3">
      <c r="A8784" s="12"/>
    </row>
    <row r="8785" spans="1:1" x14ac:dyDescent="0.3">
      <c r="A8785" s="12"/>
    </row>
    <row r="8786" spans="1:1" x14ac:dyDescent="0.3">
      <c r="A8786" s="12"/>
    </row>
    <row r="8787" spans="1:1" x14ac:dyDescent="0.3">
      <c r="A8787" s="12"/>
    </row>
    <row r="8788" spans="1:1" x14ac:dyDescent="0.3">
      <c r="A8788" s="12"/>
    </row>
    <row r="8789" spans="1:1" x14ac:dyDescent="0.3">
      <c r="A8789" s="12"/>
    </row>
    <row r="8790" spans="1:1" x14ac:dyDescent="0.3">
      <c r="A8790" s="12"/>
    </row>
    <row r="8791" spans="1:1" x14ac:dyDescent="0.3">
      <c r="A8791" s="12"/>
    </row>
    <row r="8792" spans="1:1" x14ac:dyDescent="0.3">
      <c r="A8792" s="12"/>
    </row>
    <row r="8793" spans="1:1" x14ac:dyDescent="0.3">
      <c r="A8793" s="12"/>
    </row>
    <row r="8794" spans="1:1" x14ac:dyDescent="0.3">
      <c r="A8794" s="12"/>
    </row>
    <row r="8795" spans="1:1" x14ac:dyDescent="0.3">
      <c r="A8795" s="12"/>
    </row>
    <row r="8796" spans="1:1" x14ac:dyDescent="0.3">
      <c r="A8796" s="12"/>
    </row>
    <row r="8797" spans="1:1" x14ac:dyDescent="0.3">
      <c r="A8797" s="12"/>
    </row>
    <row r="8798" spans="1:1" x14ac:dyDescent="0.3">
      <c r="A8798" s="12"/>
    </row>
    <row r="8799" spans="1:1" x14ac:dyDescent="0.3">
      <c r="A8799" s="12"/>
    </row>
    <row r="8800" spans="1:1" x14ac:dyDescent="0.3">
      <c r="A8800" s="12"/>
    </row>
    <row r="8801" spans="1:1" x14ac:dyDescent="0.3">
      <c r="A8801" s="12"/>
    </row>
    <row r="8802" spans="1:1" x14ac:dyDescent="0.3">
      <c r="A8802" s="12"/>
    </row>
    <row r="8803" spans="1:1" x14ac:dyDescent="0.3">
      <c r="A8803" s="12"/>
    </row>
    <row r="8804" spans="1:1" x14ac:dyDescent="0.3">
      <c r="A8804" s="12"/>
    </row>
    <row r="8805" spans="1:1" x14ac:dyDescent="0.3">
      <c r="A8805" s="12"/>
    </row>
    <row r="8806" spans="1:1" x14ac:dyDescent="0.3">
      <c r="A8806" s="12"/>
    </row>
    <row r="8807" spans="1:1" x14ac:dyDescent="0.3">
      <c r="A8807" s="12"/>
    </row>
    <row r="8808" spans="1:1" x14ac:dyDescent="0.3">
      <c r="A8808" s="12"/>
    </row>
    <row r="8809" spans="1:1" x14ac:dyDescent="0.3">
      <c r="A8809" s="12"/>
    </row>
    <row r="8810" spans="1:1" x14ac:dyDescent="0.3">
      <c r="A8810" s="12"/>
    </row>
    <row r="8811" spans="1:1" x14ac:dyDescent="0.3">
      <c r="A8811" s="12"/>
    </row>
    <row r="8812" spans="1:1" x14ac:dyDescent="0.3">
      <c r="A8812" s="12"/>
    </row>
    <row r="8813" spans="1:1" x14ac:dyDescent="0.3">
      <c r="A8813" s="12"/>
    </row>
    <row r="8814" spans="1:1" x14ac:dyDescent="0.3">
      <c r="A8814" s="12"/>
    </row>
    <row r="8815" spans="1:1" x14ac:dyDescent="0.3">
      <c r="A8815" s="12"/>
    </row>
    <row r="8816" spans="1:1" x14ac:dyDescent="0.3">
      <c r="A8816" s="12"/>
    </row>
    <row r="8817" spans="1:1" x14ac:dyDescent="0.3">
      <c r="A8817" s="12"/>
    </row>
    <row r="8818" spans="1:1" x14ac:dyDescent="0.3">
      <c r="A8818" s="12"/>
    </row>
    <row r="8819" spans="1:1" x14ac:dyDescent="0.3">
      <c r="A8819" s="12"/>
    </row>
    <row r="8820" spans="1:1" x14ac:dyDescent="0.3">
      <c r="A8820" s="12"/>
    </row>
    <row r="8821" spans="1:1" x14ac:dyDescent="0.3">
      <c r="A8821" s="12"/>
    </row>
    <row r="8822" spans="1:1" x14ac:dyDescent="0.3">
      <c r="A8822" s="12"/>
    </row>
    <row r="8823" spans="1:1" x14ac:dyDescent="0.3">
      <c r="A8823" s="12"/>
    </row>
    <row r="8824" spans="1:1" x14ac:dyDescent="0.3">
      <c r="A8824" s="12"/>
    </row>
    <row r="8825" spans="1:1" x14ac:dyDescent="0.3">
      <c r="A8825" s="12"/>
    </row>
    <row r="8826" spans="1:1" x14ac:dyDescent="0.3">
      <c r="A8826" s="12"/>
    </row>
    <row r="8827" spans="1:1" x14ac:dyDescent="0.3">
      <c r="A8827" s="12"/>
    </row>
    <row r="8828" spans="1:1" x14ac:dyDescent="0.3">
      <c r="A8828" s="12"/>
    </row>
    <row r="8829" spans="1:1" x14ac:dyDescent="0.3">
      <c r="A8829" s="12"/>
    </row>
    <row r="8830" spans="1:1" x14ac:dyDescent="0.3">
      <c r="A8830" s="12"/>
    </row>
    <row r="8831" spans="1:1" x14ac:dyDescent="0.3">
      <c r="A8831" s="12"/>
    </row>
    <row r="8832" spans="1:1" x14ac:dyDescent="0.3">
      <c r="A8832" s="12"/>
    </row>
    <row r="8833" spans="1:1" x14ac:dyDescent="0.3">
      <c r="A8833" s="12"/>
    </row>
    <row r="8834" spans="1:1" x14ac:dyDescent="0.3">
      <c r="A8834" s="12"/>
    </row>
    <row r="8835" spans="1:1" x14ac:dyDescent="0.3">
      <c r="A8835" s="12"/>
    </row>
    <row r="8836" spans="1:1" x14ac:dyDescent="0.3">
      <c r="A8836" s="12"/>
    </row>
    <row r="8837" spans="1:1" x14ac:dyDescent="0.3">
      <c r="A8837" s="12"/>
    </row>
    <row r="8838" spans="1:1" x14ac:dyDescent="0.3">
      <c r="A8838" s="12"/>
    </row>
    <row r="8839" spans="1:1" x14ac:dyDescent="0.3">
      <c r="A8839" s="12"/>
    </row>
    <row r="8840" spans="1:1" x14ac:dyDescent="0.3">
      <c r="A8840" s="12"/>
    </row>
    <row r="8841" spans="1:1" x14ac:dyDescent="0.3">
      <c r="A8841" s="12"/>
    </row>
    <row r="8842" spans="1:1" x14ac:dyDescent="0.3">
      <c r="A8842" s="12"/>
    </row>
    <row r="8843" spans="1:1" x14ac:dyDescent="0.3">
      <c r="A8843" s="12"/>
    </row>
    <row r="8844" spans="1:1" x14ac:dyDescent="0.3">
      <c r="A8844" s="12"/>
    </row>
    <row r="8845" spans="1:1" x14ac:dyDescent="0.3">
      <c r="A8845" s="12"/>
    </row>
    <row r="8846" spans="1:1" x14ac:dyDescent="0.3">
      <c r="A8846" s="12"/>
    </row>
    <row r="8847" spans="1:1" x14ac:dyDescent="0.3">
      <c r="A8847" s="12"/>
    </row>
    <row r="8848" spans="1:1" x14ac:dyDescent="0.3">
      <c r="A8848" s="12"/>
    </row>
    <row r="8849" spans="1:1" x14ac:dyDescent="0.3">
      <c r="A8849" s="12"/>
    </row>
    <row r="8850" spans="1:1" x14ac:dyDescent="0.3">
      <c r="A8850" s="12"/>
    </row>
    <row r="8851" spans="1:1" x14ac:dyDescent="0.3">
      <c r="A8851" s="12"/>
    </row>
    <row r="8852" spans="1:1" x14ac:dyDescent="0.3">
      <c r="A8852" s="12"/>
    </row>
    <row r="8853" spans="1:1" x14ac:dyDescent="0.3">
      <c r="A8853" s="12"/>
    </row>
    <row r="8854" spans="1:1" x14ac:dyDescent="0.3">
      <c r="A8854" s="12"/>
    </row>
    <row r="8855" spans="1:1" x14ac:dyDescent="0.3">
      <c r="A8855" s="12"/>
    </row>
    <row r="8856" spans="1:1" x14ac:dyDescent="0.3">
      <c r="A8856" s="12"/>
    </row>
    <row r="8857" spans="1:1" x14ac:dyDescent="0.3">
      <c r="A8857" s="12"/>
    </row>
    <row r="8858" spans="1:1" x14ac:dyDescent="0.3">
      <c r="A8858" s="12"/>
    </row>
    <row r="8859" spans="1:1" x14ac:dyDescent="0.3">
      <c r="A8859" s="12"/>
    </row>
    <row r="8860" spans="1:1" x14ac:dyDescent="0.3">
      <c r="A8860" s="12"/>
    </row>
    <row r="8861" spans="1:1" x14ac:dyDescent="0.3">
      <c r="A8861" s="12"/>
    </row>
    <row r="8862" spans="1:1" x14ac:dyDescent="0.3">
      <c r="A8862" s="12"/>
    </row>
    <row r="8863" spans="1:1" x14ac:dyDescent="0.3">
      <c r="A8863" s="12"/>
    </row>
    <row r="8864" spans="1:1" x14ac:dyDescent="0.3">
      <c r="A8864" s="12"/>
    </row>
    <row r="8865" spans="1:1" x14ac:dyDescent="0.3">
      <c r="A8865" s="12"/>
    </row>
    <row r="8866" spans="1:1" x14ac:dyDescent="0.3">
      <c r="A8866" s="12"/>
    </row>
    <row r="8867" spans="1:1" x14ac:dyDescent="0.3">
      <c r="A8867" s="12"/>
    </row>
    <row r="8868" spans="1:1" x14ac:dyDescent="0.3">
      <c r="A8868" s="12"/>
    </row>
    <row r="8869" spans="1:1" x14ac:dyDescent="0.3">
      <c r="A8869" s="12"/>
    </row>
    <row r="8870" spans="1:1" x14ac:dyDescent="0.3">
      <c r="A8870" s="12"/>
    </row>
    <row r="8871" spans="1:1" x14ac:dyDescent="0.3">
      <c r="A8871" s="12"/>
    </row>
    <row r="8872" spans="1:1" x14ac:dyDescent="0.3">
      <c r="A8872" s="12"/>
    </row>
    <row r="8873" spans="1:1" x14ac:dyDescent="0.3">
      <c r="A8873" s="12"/>
    </row>
    <row r="8874" spans="1:1" x14ac:dyDescent="0.3">
      <c r="A8874" s="12"/>
    </row>
    <row r="8875" spans="1:1" x14ac:dyDescent="0.3">
      <c r="A8875" s="12"/>
    </row>
    <row r="8876" spans="1:1" x14ac:dyDescent="0.3">
      <c r="A8876" s="12"/>
    </row>
    <row r="8877" spans="1:1" x14ac:dyDescent="0.3">
      <c r="A8877" s="12"/>
    </row>
    <row r="8878" spans="1:1" x14ac:dyDescent="0.3">
      <c r="A8878" s="12"/>
    </row>
    <row r="8879" spans="1:1" x14ac:dyDescent="0.3">
      <c r="A8879" s="12"/>
    </row>
    <row r="8880" spans="1:1" x14ac:dyDescent="0.3">
      <c r="A8880" s="12"/>
    </row>
    <row r="8881" spans="1:1" x14ac:dyDescent="0.3">
      <c r="A8881" s="12"/>
    </row>
    <row r="8882" spans="1:1" x14ac:dyDescent="0.3">
      <c r="A8882" s="12"/>
    </row>
    <row r="8883" spans="1:1" x14ac:dyDescent="0.3">
      <c r="A8883" s="12"/>
    </row>
    <row r="8884" spans="1:1" x14ac:dyDescent="0.3">
      <c r="A8884" s="12"/>
    </row>
    <row r="8885" spans="1:1" x14ac:dyDescent="0.3">
      <c r="A8885" s="12"/>
    </row>
    <row r="8886" spans="1:1" x14ac:dyDescent="0.3">
      <c r="A8886" s="12"/>
    </row>
    <row r="8887" spans="1:1" x14ac:dyDescent="0.3">
      <c r="A8887" s="12"/>
    </row>
    <row r="8888" spans="1:1" x14ac:dyDescent="0.3">
      <c r="A8888" s="12"/>
    </row>
    <row r="8889" spans="1:1" x14ac:dyDescent="0.3">
      <c r="A8889" s="12"/>
    </row>
    <row r="8890" spans="1:1" x14ac:dyDescent="0.3">
      <c r="A8890" s="12"/>
    </row>
    <row r="8891" spans="1:1" x14ac:dyDescent="0.3">
      <c r="A8891" s="12"/>
    </row>
    <row r="8892" spans="1:1" x14ac:dyDescent="0.3">
      <c r="A8892" s="12"/>
    </row>
    <row r="8893" spans="1:1" x14ac:dyDescent="0.3">
      <c r="A8893" s="12"/>
    </row>
    <row r="8894" spans="1:1" x14ac:dyDescent="0.3">
      <c r="A8894" s="12"/>
    </row>
    <row r="8895" spans="1:1" x14ac:dyDescent="0.3">
      <c r="A8895" s="12"/>
    </row>
    <row r="8896" spans="1:1" x14ac:dyDescent="0.3">
      <c r="A8896" s="12"/>
    </row>
    <row r="8897" spans="1:1" x14ac:dyDescent="0.3">
      <c r="A8897" s="12"/>
    </row>
    <row r="8898" spans="1:1" x14ac:dyDescent="0.3">
      <c r="A8898" s="12"/>
    </row>
    <row r="8899" spans="1:1" x14ac:dyDescent="0.3">
      <c r="A8899" s="12"/>
    </row>
    <row r="8900" spans="1:1" x14ac:dyDescent="0.3">
      <c r="A8900" s="12"/>
    </row>
    <row r="8901" spans="1:1" x14ac:dyDescent="0.3">
      <c r="A8901" s="12"/>
    </row>
    <row r="8902" spans="1:1" x14ac:dyDescent="0.3">
      <c r="A8902" s="12"/>
    </row>
    <row r="8903" spans="1:1" x14ac:dyDescent="0.3">
      <c r="A8903" s="12"/>
    </row>
    <row r="8904" spans="1:1" x14ac:dyDescent="0.3">
      <c r="A8904" s="12"/>
    </row>
    <row r="8905" spans="1:1" x14ac:dyDescent="0.3">
      <c r="A8905" s="12"/>
    </row>
    <row r="8906" spans="1:1" x14ac:dyDescent="0.3">
      <c r="A8906" s="12"/>
    </row>
    <row r="8907" spans="1:1" x14ac:dyDescent="0.3">
      <c r="A8907" s="12"/>
    </row>
    <row r="8908" spans="1:1" x14ac:dyDescent="0.3">
      <c r="A8908" s="12"/>
    </row>
    <row r="8909" spans="1:1" x14ac:dyDescent="0.3">
      <c r="A8909" s="12"/>
    </row>
    <row r="8910" spans="1:1" x14ac:dyDescent="0.3">
      <c r="A8910" s="12"/>
    </row>
    <row r="8911" spans="1:1" x14ac:dyDescent="0.3">
      <c r="A8911" s="12"/>
    </row>
    <row r="8912" spans="1:1" x14ac:dyDescent="0.3">
      <c r="A8912" s="12"/>
    </row>
    <row r="8913" spans="1:1" x14ac:dyDescent="0.3">
      <c r="A8913" s="12"/>
    </row>
    <row r="8914" spans="1:1" x14ac:dyDescent="0.3">
      <c r="A8914" s="12"/>
    </row>
    <row r="8915" spans="1:1" x14ac:dyDescent="0.3">
      <c r="A8915" s="12"/>
    </row>
    <row r="8916" spans="1:1" x14ac:dyDescent="0.3">
      <c r="A8916" s="12"/>
    </row>
    <row r="8917" spans="1:1" x14ac:dyDescent="0.3">
      <c r="A8917" s="12"/>
    </row>
    <row r="8918" spans="1:1" x14ac:dyDescent="0.3">
      <c r="A8918" s="12"/>
    </row>
    <row r="8919" spans="1:1" x14ac:dyDescent="0.3">
      <c r="A8919" s="12"/>
    </row>
    <row r="8920" spans="1:1" x14ac:dyDescent="0.3">
      <c r="A8920" s="12"/>
    </row>
    <row r="8921" spans="1:1" x14ac:dyDescent="0.3">
      <c r="A8921" s="12"/>
    </row>
    <row r="8922" spans="1:1" x14ac:dyDescent="0.3">
      <c r="A8922" s="12"/>
    </row>
    <row r="8923" spans="1:1" x14ac:dyDescent="0.3">
      <c r="A8923" s="12"/>
    </row>
    <row r="8924" spans="1:1" x14ac:dyDescent="0.3">
      <c r="A8924" s="12"/>
    </row>
    <row r="8925" spans="1:1" x14ac:dyDescent="0.3">
      <c r="A8925" s="12"/>
    </row>
    <row r="8926" spans="1:1" x14ac:dyDescent="0.3">
      <c r="A8926" s="12"/>
    </row>
    <row r="8927" spans="1:1" x14ac:dyDescent="0.3">
      <c r="A8927" s="12"/>
    </row>
    <row r="8928" spans="1:1" x14ac:dyDescent="0.3">
      <c r="A8928" s="12"/>
    </row>
    <row r="8929" spans="1:1" x14ac:dyDescent="0.3">
      <c r="A8929" s="12"/>
    </row>
    <row r="8930" spans="1:1" x14ac:dyDescent="0.3">
      <c r="A8930" s="12"/>
    </row>
    <row r="8931" spans="1:1" x14ac:dyDescent="0.3">
      <c r="A8931" s="12"/>
    </row>
    <row r="8932" spans="1:1" x14ac:dyDescent="0.3">
      <c r="A8932" s="12"/>
    </row>
    <row r="8933" spans="1:1" x14ac:dyDescent="0.3">
      <c r="A8933" s="12"/>
    </row>
    <row r="8934" spans="1:1" x14ac:dyDescent="0.3">
      <c r="A8934" s="12"/>
    </row>
    <row r="8935" spans="1:1" x14ac:dyDescent="0.3">
      <c r="A8935" s="12"/>
    </row>
    <row r="8936" spans="1:1" x14ac:dyDescent="0.3">
      <c r="A8936" s="12"/>
    </row>
    <row r="8937" spans="1:1" x14ac:dyDescent="0.3">
      <c r="A8937" s="12"/>
    </row>
    <row r="8938" spans="1:1" x14ac:dyDescent="0.3">
      <c r="A8938" s="12"/>
    </row>
    <row r="8939" spans="1:1" x14ac:dyDescent="0.3">
      <c r="A8939" s="12"/>
    </row>
    <row r="8940" spans="1:1" x14ac:dyDescent="0.3">
      <c r="A8940" s="12"/>
    </row>
    <row r="8941" spans="1:1" x14ac:dyDescent="0.3">
      <c r="A8941" s="12"/>
    </row>
    <row r="8942" spans="1:1" x14ac:dyDescent="0.3">
      <c r="A8942" s="12"/>
    </row>
    <row r="8943" spans="1:1" x14ac:dyDescent="0.3">
      <c r="A8943" s="12"/>
    </row>
    <row r="8944" spans="1:1" x14ac:dyDescent="0.3">
      <c r="A8944" s="12"/>
    </row>
    <row r="8945" spans="1:1" x14ac:dyDescent="0.3">
      <c r="A8945" s="12"/>
    </row>
    <row r="8946" spans="1:1" x14ac:dyDescent="0.3">
      <c r="A8946" s="12"/>
    </row>
    <row r="8947" spans="1:1" x14ac:dyDescent="0.3">
      <c r="A8947" s="12"/>
    </row>
    <row r="8948" spans="1:1" x14ac:dyDescent="0.3">
      <c r="A8948" s="12"/>
    </row>
    <row r="8949" spans="1:1" x14ac:dyDescent="0.3">
      <c r="A8949" s="12"/>
    </row>
    <row r="8950" spans="1:1" x14ac:dyDescent="0.3">
      <c r="A8950" s="12"/>
    </row>
    <row r="8951" spans="1:1" x14ac:dyDescent="0.3">
      <c r="A8951" s="12"/>
    </row>
    <row r="8952" spans="1:1" x14ac:dyDescent="0.3">
      <c r="A8952" s="12"/>
    </row>
    <row r="8953" spans="1:1" x14ac:dyDescent="0.3">
      <c r="A8953" s="12"/>
    </row>
    <row r="8954" spans="1:1" x14ac:dyDescent="0.3">
      <c r="A8954" s="12"/>
    </row>
    <row r="8955" spans="1:1" x14ac:dyDescent="0.3">
      <c r="A8955" s="12"/>
    </row>
    <row r="8956" spans="1:1" x14ac:dyDescent="0.3">
      <c r="A8956" s="12"/>
    </row>
    <row r="8957" spans="1:1" x14ac:dyDescent="0.3">
      <c r="A8957" s="12"/>
    </row>
    <row r="8958" spans="1:1" x14ac:dyDescent="0.3">
      <c r="A8958" s="12"/>
    </row>
    <row r="8959" spans="1:1" x14ac:dyDescent="0.3">
      <c r="A8959" s="12"/>
    </row>
    <row r="8960" spans="1:1" x14ac:dyDescent="0.3">
      <c r="A8960" s="12"/>
    </row>
    <row r="8961" spans="1:1" x14ac:dyDescent="0.3">
      <c r="A8961" s="12"/>
    </row>
    <row r="8962" spans="1:1" x14ac:dyDescent="0.3">
      <c r="A8962" s="12"/>
    </row>
    <row r="8963" spans="1:1" x14ac:dyDescent="0.3">
      <c r="A8963" s="12"/>
    </row>
    <row r="8964" spans="1:1" x14ac:dyDescent="0.3">
      <c r="A8964" s="12"/>
    </row>
    <row r="8965" spans="1:1" x14ac:dyDescent="0.3">
      <c r="A8965" s="12"/>
    </row>
    <row r="8966" spans="1:1" x14ac:dyDescent="0.3">
      <c r="A8966" s="12"/>
    </row>
    <row r="8967" spans="1:1" x14ac:dyDescent="0.3">
      <c r="A8967" s="12"/>
    </row>
    <row r="8968" spans="1:1" x14ac:dyDescent="0.3">
      <c r="A8968" s="12"/>
    </row>
    <row r="8969" spans="1:1" x14ac:dyDescent="0.3">
      <c r="A8969" s="12"/>
    </row>
    <row r="8970" spans="1:1" x14ac:dyDescent="0.3">
      <c r="A8970" s="12"/>
    </row>
    <row r="8971" spans="1:1" x14ac:dyDescent="0.3">
      <c r="A8971" s="12"/>
    </row>
    <row r="8972" spans="1:1" x14ac:dyDescent="0.3">
      <c r="A8972" s="12"/>
    </row>
    <row r="8973" spans="1:1" x14ac:dyDescent="0.3">
      <c r="A8973" s="12"/>
    </row>
    <row r="8974" spans="1:1" x14ac:dyDescent="0.3">
      <c r="A8974" s="12"/>
    </row>
    <row r="8975" spans="1:1" x14ac:dyDescent="0.3">
      <c r="A8975" s="12"/>
    </row>
    <row r="8976" spans="1:1" x14ac:dyDescent="0.3">
      <c r="A8976" s="12"/>
    </row>
    <row r="8977" spans="1:1" x14ac:dyDescent="0.3">
      <c r="A8977" s="12"/>
    </row>
    <row r="8978" spans="1:1" x14ac:dyDescent="0.3">
      <c r="A8978" s="12"/>
    </row>
    <row r="8979" spans="1:1" x14ac:dyDescent="0.3">
      <c r="A8979" s="12"/>
    </row>
    <row r="8980" spans="1:1" x14ac:dyDescent="0.3">
      <c r="A8980" s="12"/>
    </row>
    <row r="8981" spans="1:1" x14ac:dyDescent="0.3">
      <c r="A8981" s="12"/>
    </row>
    <row r="8982" spans="1:1" x14ac:dyDescent="0.3">
      <c r="A8982" s="12"/>
    </row>
    <row r="8983" spans="1:1" x14ac:dyDescent="0.3">
      <c r="A8983" s="12"/>
    </row>
    <row r="8984" spans="1:1" x14ac:dyDescent="0.3">
      <c r="A8984" s="12"/>
    </row>
    <row r="8985" spans="1:1" x14ac:dyDescent="0.3">
      <c r="A8985" s="12"/>
    </row>
    <row r="8986" spans="1:1" x14ac:dyDescent="0.3">
      <c r="A8986" s="12"/>
    </row>
    <row r="8987" spans="1:1" x14ac:dyDescent="0.3">
      <c r="A8987" s="12"/>
    </row>
    <row r="8988" spans="1:1" x14ac:dyDescent="0.3">
      <c r="A8988" s="12"/>
    </row>
    <row r="8989" spans="1:1" x14ac:dyDescent="0.3">
      <c r="A8989" s="12"/>
    </row>
    <row r="8990" spans="1:1" x14ac:dyDescent="0.3">
      <c r="A8990" s="12"/>
    </row>
    <row r="8991" spans="1:1" x14ac:dyDescent="0.3">
      <c r="A8991" s="12"/>
    </row>
    <row r="8992" spans="1:1" x14ac:dyDescent="0.3">
      <c r="A8992" s="12"/>
    </row>
    <row r="8993" spans="1:1" x14ac:dyDescent="0.3">
      <c r="A8993" s="12"/>
    </row>
    <row r="8994" spans="1:1" x14ac:dyDescent="0.3">
      <c r="A8994" s="12"/>
    </row>
    <row r="8995" spans="1:1" x14ac:dyDescent="0.3">
      <c r="A8995" s="12"/>
    </row>
    <row r="8996" spans="1:1" x14ac:dyDescent="0.3">
      <c r="A8996" s="12"/>
    </row>
    <row r="8997" spans="1:1" x14ac:dyDescent="0.3">
      <c r="A8997" s="12"/>
    </row>
    <row r="8998" spans="1:1" x14ac:dyDescent="0.3">
      <c r="A8998" s="12"/>
    </row>
    <row r="8999" spans="1:1" x14ac:dyDescent="0.3">
      <c r="A8999" s="12"/>
    </row>
    <row r="9000" spans="1:1" x14ac:dyDescent="0.3">
      <c r="A9000" s="12"/>
    </row>
    <row r="9001" spans="1:1" x14ac:dyDescent="0.3">
      <c r="A9001" s="12"/>
    </row>
    <row r="9002" spans="1:1" x14ac:dyDescent="0.3">
      <c r="A9002" s="12"/>
    </row>
    <row r="9003" spans="1:1" x14ac:dyDescent="0.3">
      <c r="A9003" s="12"/>
    </row>
    <row r="9004" spans="1:1" x14ac:dyDescent="0.3">
      <c r="A9004" s="12"/>
    </row>
    <row r="9005" spans="1:1" x14ac:dyDescent="0.3">
      <c r="A9005" s="12"/>
    </row>
    <row r="9006" spans="1:1" x14ac:dyDescent="0.3">
      <c r="A9006" s="12"/>
    </row>
    <row r="9007" spans="1:1" x14ac:dyDescent="0.3">
      <c r="A9007" s="12"/>
    </row>
    <row r="9008" spans="1:1" x14ac:dyDescent="0.3">
      <c r="A9008" s="12"/>
    </row>
    <row r="9009" spans="1:1" x14ac:dyDescent="0.3">
      <c r="A9009" s="12"/>
    </row>
    <row r="9010" spans="1:1" x14ac:dyDescent="0.3">
      <c r="A9010" s="12"/>
    </row>
    <row r="9011" spans="1:1" x14ac:dyDescent="0.3">
      <c r="A9011" s="12"/>
    </row>
    <row r="9012" spans="1:1" x14ac:dyDescent="0.3">
      <c r="A9012" s="12"/>
    </row>
    <row r="9013" spans="1:1" x14ac:dyDescent="0.3">
      <c r="A9013" s="12"/>
    </row>
    <row r="9014" spans="1:1" x14ac:dyDescent="0.3">
      <c r="A9014" s="12"/>
    </row>
    <row r="9015" spans="1:1" x14ac:dyDescent="0.3">
      <c r="A9015" s="12"/>
    </row>
    <row r="9016" spans="1:1" x14ac:dyDescent="0.3">
      <c r="A9016" s="12"/>
    </row>
    <row r="9017" spans="1:1" x14ac:dyDescent="0.3">
      <c r="A9017" s="12"/>
    </row>
    <row r="9018" spans="1:1" x14ac:dyDescent="0.3">
      <c r="A9018" s="12"/>
    </row>
    <row r="9019" spans="1:1" x14ac:dyDescent="0.3">
      <c r="A9019" s="12"/>
    </row>
    <row r="9020" spans="1:1" x14ac:dyDescent="0.3">
      <c r="A9020" s="12"/>
    </row>
    <row r="9021" spans="1:1" x14ac:dyDescent="0.3">
      <c r="A9021" s="12"/>
    </row>
    <row r="9022" spans="1:1" x14ac:dyDescent="0.3">
      <c r="A9022" s="12"/>
    </row>
    <row r="9023" spans="1:1" x14ac:dyDescent="0.3">
      <c r="A9023" s="12"/>
    </row>
    <row r="9024" spans="1:1" x14ac:dyDescent="0.3">
      <c r="A9024" s="12"/>
    </row>
    <row r="9025" spans="1:1" x14ac:dyDescent="0.3">
      <c r="A9025" s="12"/>
    </row>
    <row r="9026" spans="1:1" x14ac:dyDescent="0.3">
      <c r="A9026" s="12"/>
    </row>
    <row r="9027" spans="1:1" x14ac:dyDescent="0.3">
      <c r="A9027" s="12"/>
    </row>
    <row r="9028" spans="1:1" x14ac:dyDescent="0.3">
      <c r="A9028" s="12"/>
    </row>
    <row r="9029" spans="1:1" x14ac:dyDescent="0.3">
      <c r="A9029" s="12"/>
    </row>
    <row r="9030" spans="1:1" x14ac:dyDescent="0.3">
      <c r="A9030" s="12"/>
    </row>
    <row r="9031" spans="1:1" x14ac:dyDescent="0.3">
      <c r="A9031" s="12"/>
    </row>
    <row r="9032" spans="1:1" x14ac:dyDescent="0.3">
      <c r="A9032" s="12"/>
    </row>
    <row r="9033" spans="1:1" x14ac:dyDescent="0.3">
      <c r="A9033" s="12"/>
    </row>
    <row r="9034" spans="1:1" x14ac:dyDescent="0.3">
      <c r="A9034" s="12"/>
    </row>
    <row r="9035" spans="1:1" x14ac:dyDescent="0.3">
      <c r="A9035" s="12"/>
    </row>
    <row r="9036" spans="1:1" x14ac:dyDescent="0.3">
      <c r="A9036" s="12"/>
    </row>
    <row r="9037" spans="1:1" x14ac:dyDescent="0.3">
      <c r="A9037" s="12"/>
    </row>
    <row r="9038" spans="1:1" x14ac:dyDescent="0.3">
      <c r="A9038" s="12"/>
    </row>
    <row r="9039" spans="1:1" x14ac:dyDescent="0.3">
      <c r="A9039" s="12"/>
    </row>
    <row r="9040" spans="1:1" x14ac:dyDescent="0.3">
      <c r="A9040" s="12"/>
    </row>
    <row r="9041" spans="1:1" x14ac:dyDescent="0.3">
      <c r="A9041" s="12"/>
    </row>
    <row r="9042" spans="1:1" x14ac:dyDescent="0.3">
      <c r="A9042" s="12"/>
    </row>
    <row r="9043" spans="1:1" x14ac:dyDescent="0.3">
      <c r="A9043" s="12"/>
    </row>
    <row r="9044" spans="1:1" x14ac:dyDescent="0.3">
      <c r="A9044" s="12"/>
    </row>
    <row r="9045" spans="1:1" x14ac:dyDescent="0.3">
      <c r="A9045" s="12"/>
    </row>
    <row r="9046" spans="1:1" x14ac:dyDescent="0.3">
      <c r="A9046" s="12"/>
    </row>
    <row r="9047" spans="1:1" x14ac:dyDescent="0.3">
      <c r="A9047" s="12"/>
    </row>
    <row r="9048" spans="1:1" x14ac:dyDescent="0.3">
      <c r="A9048" s="12"/>
    </row>
    <row r="9049" spans="1:1" x14ac:dyDescent="0.3">
      <c r="A9049" s="12"/>
    </row>
    <row r="9050" spans="1:1" x14ac:dyDescent="0.3">
      <c r="A9050" s="12"/>
    </row>
    <row r="9051" spans="1:1" x14ac:dyDescent="0.3">
      <c r="A9051" s="12"/>
    </row>
    <row r="9052" spans="1:1" x14ac:dyDescent="0.3">
      <c r="A9052" s="12"/>
    </row>
    <row r="9053" spans="1:1" x14ac:dyDescent="0.3">
      <c r="A9053" s="12"/>
    </row>
    <row r="9054" spans="1:1" x14ac:dyDescent="0.3">
      <c r="A9054" s="12"/>
    </row>
    <row r="9055" spans="1:1" x14ac:dyDescent="0.3">
      <c r="A9055" s="12"/>
    </row>
    <row r="9056" spans="1:1" x14ac:dyDescent="0.3">
      <c r="A9056" s="12"/>
    </row>
    <row r="9057" spans="1:1" x14ac:dyDescent="0.3">
      <c r="A9057" s="12"/>
    </row>
    <row r="9058" spans="1:1" x14ac:dyDescent="0.3">
      <c r="A9058" s="12"/>
    </row>
    <row r="9059" spans="1:1" x14ac:dyDescent="0.3">
      <c r="A9059" s="12"/>
    </row>
    <row r="9060" spans="1:1" x14ac:dyDescent="0.3">
      <c r="A9060" s="12"/>
    </row>
    <row r="9061" spans="1:1" x14ac:dyDescent="0.3">
      <c r="A9061" s="12"/>
    </row>
    <row r="9062" spans="1:1" x14ac:dyDescent="0.3">
      <c r="A9062" s="12"/>
    </row>
    <row r="9063" spans="1:1" x14ac:dyDescent="0.3">
      <c r="A9063" s="12"/>
    </row>
    <row r="9064" spans="1:1" x14ac:dyDescent="0.3">
      <c r="A9064" s="12"/>
    </row>
    <row r="9065" spans="1:1" x14ac:dyDescent="0.3">
      <c r="A9065" s="12"/>
    </row>
    <row r="9066" spans="1:1" x14ac:dyDescent="0.3">
      <c r="A9066" s="12"/>
    </row>
    <row r="9067" spans="1:1" x14ac:dyDescent="0.3">
      <c r="A9067" s="12"/>
    </row>
    <row r="9068" spans="1:1" x14ac:dyDescent="0.3">
      <c r="A9068" s="12"/>
    </row>
    <row r="9069" spans="1:1" x14ac:dyDescent="0.3">
      <c r="A9069" s="12"/>
    </row>
    <row r="9070" spans="1:1" x14ac:dyDescent="0.3">
      <c r="A9070" s="12"/>
    </row>
    <row r="9071" spans="1:1" x14ac:dyDescent="0.3">
      <c r="A9071" s="12"/>
    </row>
    <row r="9072" spans="1:1" x14ac:dyDescent="0.3">
      <c r="A9072" s="12"/>
    </row>
    <row r="9073" spans="1:1" x14ac:dyDescent="0.3">
      <c r="A9073" s="12"/>
    </row>
    <row r="9074" spans="1:1" x14ac:dyDescent="0.3">
      <c r="A9074" s="12"/>
    </row>
    <row r="9075" spans="1:1" x14ac:dyDescent="0.3">
      <c r="A9075" s="12"/>
    </row>
    <row r="9076" spans="1:1" x14ac:dyDescent="0.3">
      <c r="A9076" s="12"/>
    </row>
    <row r="9077" spans="1:1" x14ac:dyDescent="0.3">
      <c r="A9077" s="12"/>
    </row>
    <row r="9078" spans="1:1" x14ac:dyDescent="0.3">
      <c r="A9078" s="12"/>
    </row>
    <row r="9079" spans="1:1" x14ac:dyDescent="0.3">
      <c r="A9079" s="12"/>
    </row>
    <row r="9080" spans="1:1" x14ac:dyDescent="0.3">
      <c r="A9080" s="12"/>
    </row>
    <row r="9081" spans="1:1" x14ac:dyDescent="0.3">
      <c r="A9081" s="12"/>
    </row>
    <row r="9082" spans="1:1" x14ac:dyDescent="0.3">
      <c r="A9082" s="12"/>
    </row>
    <row r="9083" spans="1:1" x14ac:dyDescent="0.3">
      <c r="A9083" s="12"/>
    </row>
    <row r="9084" spans="1:1" x14ac:dyDescent="0.3">
      <c r="A9084" s="12"/>
    </row>
    <row r="9085" spans="1:1" x14ac:dyDescent="0.3">
      <c r="A9085" s="12"/>
    </row>
    <row r="9086" spans="1:1" x14ac:dyDescent="0.3">
      <c r="A9086" s="12"/>
    </row>
    <row r="9087" spans="1:1" x14ac:dyDescent="0.3">
      <c r="A9087" s="12"/>
    </row>
    <row r="9088" spans="1:1" x14ac:dyDescent="0.3">
      <c r="A9088" s="12"/>
    </row>
    <row r="9089" spans="1:1" x14ac:dyDescent="0.3">
      <c r="A9089" s="12"/>
    </row>
    <row r="9090" spans="1:1" x14ac:dyDescent="0.3">
      <c r="A9090" s="12"/>
    </row>
    <row r="9091" spans="1:1" x14ac:dyDescent="0.3">
      <c r="A9091" s="12"/>
    </row>
    <row r="9092" spans="1:1" x14ac:dyDescent="0.3">
      <c r="A9092" s="12"/>
    </row>
    <row r="9093" spans="1:1" x14ac:dyDescent="0.3">
      <c r="A9093" s="12"/>
    </row>
    <row r="9094" spans="1:1" x14ac:dyDescent="0.3">
      <c r="A9094" s="12"/>
    </row>
    <row r="9095" spans="1:1" x14ac:dyDescent="0.3">
      <c r="A9095" s="12"/>
    </row>
    <row r="9096" spans="1:1" x14ac:dyDescent="0.3">
      <c r="A9096" s="12"/>
    </row>
    <row r="9097" spans="1:1" x14ac:dyDescent="0.3">
      <c r="A9097" s="12"/>
    </row>
    <row r="9098" spans="1:1" x14ac:dyDescent="0.3">
      <c r="A9098" s="12"/>
    </row>
    <row r="9099" spans="1:1" x14ac:dyDescent="0.3">
      <c r="A9099" s="12"/>
    </row>
    <row r="9100" spans="1:1" x14ac:dyDescent="0.3">
      <c r="A9100" s="12"/>
    </row>
    <row r="9101" spans="1:1" x14ac:dyDescent="0.3">
      <c r="A9101" s="12"/>
    </row>
    <row r="9102" spans="1:1" x14ac:dyDescent="0.3">
      <c r="A9102" s="12"/>
    </row>
    <row r="9103" spans="1:1" x14ac:dyDescent="0.3">
      <c r="A9103" s="12"/>
    </row>
    <row r="9104" spans="1:1" x14ac:dyDescent="0.3">
      <c r="A9104" s="12"/>
    </row>
    <row r="9105" spans="1:1" x14ac:dyDescent="0.3">
      <c r="A9105" s="12"/>
    </row>
    <row r="9106" spans="1:1" x14ac:dyDescent="0.3">
      <c r="A9106" s="12"/>
    </row>
    <row r="9107" spans="1:1" x14ac:dyDescent="0.3">
      <c r="A9107" s="12"/>
    </row>
    <row r="9108" spans="1:1" x14ac:dyDescent="0.3">
      <c r="A9108" s="12"/>
    </row>
    <row r="9109" spans="1:1" x14ac:dyDescent="0.3">
      <c r="A9109" s="12"/>
    </row>
    <row r="9110" spans="1:1" x14ac:dyDescent="0.3">
      <c r="A9110" s="12"/>
    </row>
    <row r="9111" spans="1:1" x14ac:dyDescent="0.3">
      <c r="A9111" s="12"/>
    </row>
    <row r="9112" spans="1:1" x14ac:dyDescent="0.3">
      <c r="A9112" s="12"/>
    </row>
    <row r="9113" spans="1:1" x14ac:dyDescent="0.3">
      <c r="A9113" s="12"/>
    </row>
    <row r="9114" spans="1:1" x14ac:dyDescent="0.3">
      <c r="A9114" s="12"/>
    </row>
    <row r="9115" spans="1:1" x14ac:dyDescent="0.3">
      <c r="A9115" s="12"/>
    </row>
    <row r="9116" spans="1:1" x14ac:dyDescent="0.3">
      <c r="A9116" s="12"/>
    </row>
    <row r="9117" spans="1:1" x14ac:dyDescent="0.3">
      <c r="A9117" s="12"/>
    </row>
    <row r="9118" spans="1:1" x14ac:dyDescent="0.3">
      <c r="A9118" s="12"/>
    </row>
    <row r="9119" spans="1:1" x14ac:dyDescent="0.3">
      <c r="A9119" s="12"/>
    </row>
    <row r="9120" spans="1:1" x14ac:dyDescent="0.3">
      <c r="A9120" s="12"/>
    </row>
    <row r="9121" spans="1:1" x14ac:dyDescent="0.3">
      <c r="A9121" s="12"/>
    </row>
    <row r="9122" spans="1:1" x14ac:dyDescent="0.3">
      <c r="A9122" s="12"/>
    </row>
    <row r="9123" spans="1:1" x14ac:dyDescent="0.3">
      <c r="A9123" s="12"/>
    </row>
    <row r="9124" spans="1:1" x14ac:dyDescent="0.3">
      <c r="A9124" s="12"/>
    </row>
    <row r="9125" spans="1:1" x14ac:dyDescent="0.3">
      <c r="A9125" s="12"/>
    </row>
    <row r="9126" spans="1:1" x14ac:dyDescent="0.3">
      <c r="A9126" s="12"/>
    </row>
    <row r="9127" spans="1:1" x14ac:dyDescent="0.3">
      <c r="A9127" s="12"/>
    </row>
    <row r="9128" spans="1:1" x14ac:dyDescent="0.3">
      <c r="A9128" s="12"/>
    </row>
    <row r="9129" spans="1:1" x14ac:dyDescent="0.3">
      <c r="A9129" s="12"/>
    </row>
    <row r="9130" spans="1:1" x14ac:dyDescent="0.3">
      <c r="A9130" s="12"/>
    </row>
    <row r="9131" spans="1:1" x14ac:dyDescent="0.3">
      <c r="A9131" s="12"/>
    </row>
    <row r="9132" spans="1:1" x14ac:dyDescent="0.3">
      <c r="A9132" s="12"/>
    </row>
    <row r="9133" spans="1:1" x14ac:dyDescent="0.3">
      <c r="A9133" s="12"/>
    </row>
    <row r="9134" spans="1:1" x14ac:dyDescent="0.3">
      <c r="A9134" s="12"/>
    </row>
    <row r="9135" spans="1:1" x14ac:dyDescent="0.3">
      <c r="A9135" s="12"/>
    </row>
    <row r="9136" spans="1:1" x14ac:dyDescent="0.3">
      <c r="A9136" s="12"/>
    </row>
    <row r="9137" spans="1:1" x14ac:dyDescent="0.3">
      <c r="A9137" s="12"/>
    </row>
    <row r="9138" spans="1:1" x14ac:dyDescent="0.3">
      <c r="A9138" s="12"/>
    </row>
    <row r="9139" spans="1:1" x14ac:dyDescent="0.3">
      <c r="A9139" s="12"/>
    </row>
    <row r="9140" spans="1:1" x14ac:dyDescent="0.3">
      <c r="A9140" s="12"/>
    </row>
    <row r="9141" spans="1:1" x14ac:dyDescent="0.3">
      <c r="A9141" s="12"/>
    </row>
    <row r="9142" spans="1:1" x14ac:dyDescent="0.3">
      <c r="A9142" s="12"/>
    </row>
    <row r="9143" spans="1:1" x14ac:dyDescent="0.3">
      <c r="A9143" s="12"/>
    </row>
    <row r="9144" spans="1:1" x14ac:dyDescent="0.3">
      <c r="A9144" s="12"/>
    </row>
    <row r="9145" spans="1:1" x14ac:dyDescent="0.3">
      <c r="A9145" s="12"/>
    </row>
    <row r="9146" spans="1:1" x14ac:dyDescent="0.3">
      <c r="A9146" s="12"/>
    </row>
    <row r="9147" spans="1:1" x14ac:dyDescent="0.3">
      <c r="A9147" s="12"/>
    </row>
    <row r="9148" spans="1:1" x14ac:dyDescent="0.3">
      <c r="A9148" s="12"/>
    </row>
    <row r="9149" spans="1:1" x14ac:dyDescent="0.3">
      <c r="A9149" s="12"/>
    </row>
    <row r="9150" spans="1:1" x14ac:dyDescent="0.3">
      <c r="A9150" s="12"/>
    </row>
    <row r="9151" spans="1:1" x14ac:dyDescent="0.3">
      <c r="A9151" s="12"/>
    </row>
    <row r="9152" spans="1:1" x14ac:dyDescent="0.3">
      <c r="A9152" s="12"/>
    </row>
    <row r="9153" spans="1:1" x14ac:dyDescent="0.3">
      <c r="A9153" s="12"/>
    </row>
    <row r="9154" spans="1:1" x14ac:dyDescent="0.3">
      <c r="A9154" s="12"/>
    </row>
    <row r="9155" spans="1:1" x14ac:dyDescent="0.3">
      <c r="A9155" s="12"/>
    </row>
    <row r="9156" spans="1:1" x14ac:dyDescent="0.3">
      <c r="A9156" s="12"/>
    </row>
    <row r="9157" spans="1:1" x14ac:dyDescent="0.3">
      <c r="A9157" s="12"/>
    </row>
    <row r="9158" spans="1:1" x14ac:dyDescent="0.3">
      <c r="A9158" s="12"/>
    </row>
    <row r="9159" spans="1:1" x14ac:dyDescent="0.3">
      <c r="A9159" s="12"/>
    </row>
    <row r="9160" spans="1:1" x14ac:dyDescent="0.3">
      <c r="A9160" s="12"/>
    </row>
    <row r="9161" spans="1:1" x14ac:dyDescent="0.3">
      <c r="A9161" s="12"/>
    </row>
    <row r="9162" spans="1:1" x14ac:dyDescent="0.3">
      <c r="A9162" s="12"/>
    </row>
    <row r="9163" spans="1:1" x14ac:dyDescent="0.3">
      <c r="A9163" s="12"/>
    </row>
    <row r="9164" spans="1:1" x14ac:dyDescent="0.3">
      <c r="A9164" s="12"/>
    </row>
    <row r="9165" spans="1:1" x14ac:dyDescent="0.3">
      <c r="A9165" s="12"/>
    </row>
    <row r="9166" spans="1:1" x14ac:dyDescent="0.3">
      <c r="A9166" s="12"/>
    </row>
    <row r="9167" spans="1:1" x14ac:dyDescent="0.3">
      <c r="A9167" s="12"/>
    </row>
    <row r="9168" spans="1:1" x14ac:dyDescent="0.3">
      <c r="A9168" s="12"/>
    </row>
    <row r="9169" spans="1:1" x14ac:dyDescent="0.3">
      <c r="A9169" s="12"/>
    </row>
    <row r="9170" spans="1:1" x14ac:dyDescent="0.3">
      <c r="A9170" s="12"/>
    </row>
    <row r="9171" spans="1:1" x14ac:dyDescent="0.3">
      <c r="A9171" s="12"/>
    </row>
    <row r="9172" spans="1:1" x14ac:dyDescent="0.3">
      <c r="A9172" s="12"/>
    </row>
    <row r="9173" spans="1:1" x14ac:dyDescent="0.3">
      <c r="A9173" s="12"/>
    </row>
    <row r="9174" spans="1:1" x14ac:dyDescent="0.3">
      <c r="A9174" s="12"/>
    </row>
    <row r="9175" spans="1:1" x14ac:dyDescent="0.3">
      <c r="A9175" s="12"/>
    </row>
    <row r="9176" spans="1:1" x14ac:dyDescent="0.3">
      <c r="A9176" s="12"/>
    </row>
    <row r="9177" spans="1:1" x14ac:dyDescent="0.3">
      <c r="A9177" s="12"/>
    </row>
    <row r="9178" spans="1:1" x14ac:dyDescent="0.3">
      <c r="A9178" s="12"/>
    </row>
    <row r="9179" spans="1:1" x14ac:dyDescent="0.3">
      <c r="A9179" s="12"/>
    </row>
    <row r="9180" spans="1:1" x14ac:dyDescent="0.3">
      <c r="A9180" s="12"/>
    </row>
    <row r="9181" spans="1:1" x14ac:dyDescent="0.3">
      <c r="A9181" s="12"/>
    </row>
    <row r="9182" spans="1:1" x14ac:dyDescent="0.3">
      <c r="A9182" s="12"/>
    </row>
    <row r="9183" spans="1:1" x14ac:dyDescent="0.3">
      <c r="A9183" s="12"/>
    </row>
    <row r="9184" spans="1:1" x14ac:dyDescent="0.3">
      <c r="A9184" s="12"/>
    </row>
    <row r="9185" spans="1:1" x14ac:dyDescent="0.3">
      <c r="A9185" s="12"/>
    </row>
    <row r="9186" spans="1:1" x14ac:dyDescent="0.3">
      <c r="A9186" s="12"/>
    </row>
    <row r="9187" spans="1:1" x14ac:dyDescent="0.3">
      <c r="A9187" s="12"/>
    </row>
    <row r="9188" spans="1:1" x14ac:dyDescent="0.3">
      <c r="A9188" s="12"/>
    </row>
    <row r="9189" spans="1:1" x14ac:dyDescent="0.3">
      <c r="A9189" s="12"/>
    </row>
    <row r="9190" spans="1:1" x14ac:dyDescent="0.3">
      <c r="A9190" s="12"/>
    </row>
    <row r="9191" spans="1:1" x14ac:dyDescent="0.3">
      <c r="A9191" s="12"/>
    </row>
    <row r="9192" spans="1:1" x14ac:dyDescent="0.3">
      <c r="A9192" s="12"/>
    </row>
    <row r="9193" spans="1:1" x14ac:dyDescent="0.3">
      <c r="A9193" s="12"/>
    </row>
    <row r="9194" spans="1:1" x14ac:dyDescent="0.3">
      <c r="A9194" s="12"/>
    </row>
    <row r="9195" spans="1:1" x14ac:dyDescent="0.3">
      <c r="A9195" s="12"/>
    </row>
    <row r="9196" spans="1:1" x14ac:dyDescent="0.3">
      <c r="A9196" s="12"/>
    </row>
    <row r="9197" spans="1:1" x14ac:dyDescent="0.3">
      <c r="A9197" s="12"/>
    </row>
    <row r="9198" spans="1:1" x14ac:dyDescent="0.3">
      <c r="A9198" s="12"/>
    </row>
    <row r="9199" spans="1:1" x14ac:dyDescent="0.3">
      <c r="A9199" s="12"/>
    </row>
    <row r="9200" spans="1:1" x14ac:dyDescent="0.3">
      <c r="A9200" s="12"/>
    </row>
    <row r="9201" spans="1:1" x14ac:dyDescent="0.3">
      <c r="A9201" s="12"/>
    </row>
    <row r="9202" spans="1:1" x14ac:dyDescent="0.3">
      <c r="A9202" s="12"/>
    </row>
    <row r="9203" spans="1:1" x14ac:dyDescent="0.3">
      <c r="A9203" s="12"/>
    </row>
    <row r="9204" spans="1:1" x14ac:dyDescent="0.3">
      <c r="A9204" s="12"/>
    </row>
    <row r="9205" spans="1:1" x14ac:dyDescent="0.3">
      <c r="A9205" s="12"/>
    </row>
    <row r="9206" spans="1:1" x14ac:dyDescent="0.3">
      <c r="A9206" s="12"/>
    </row>
    <row r="9207" spans="1:1" x14ac:dyDescent="0.3">
      <c r="A9207" s="12"/>
    </row>
    <row r="9208" spans="1:1" x14ac:dyDescent="0.3">
      <c r="A9208" s="12"/>
    </row>
    <row r="9209" spans="1:1" x14ac:dyDescent="0.3">
      <c r="A9209" s="12"/>
    </row>
    <row r="9210" spans="1:1" x14ac:dyDescent="0.3">
      <c r="A9210" s="12"/>
    </row>
    <row r="9211" spans="1:1" x14ac:dyDescent="0.3">
      <c r="A9211" s="12"/>
    </row>
    <row r="9212" spans="1:1" x14ac:dyDescent="0.3">
      <c r="A9212" s="12"/>
    </row>
    <row r="9213" spans="1:1" x14ac:dyDescent="0.3">
      <c r="A9213" s="12"/>
    </row>
    <row r="9214" spans="1:1" x14ac:dyDescent="0.3">
      <c r="A9214" s="12"/>
    </row>
    <row r="9215" spans="1:1" x14ac:dyDescent="0.3">
      <c r="A9215" s="12"/>
    </row>
    <row r="9216" spans="1:1" x14ac:dyDescent="0.3">
      <c r="A9216" s="12"/>
    </row>
    <row r="9217" spans="1:1" x14ac:dyDescent="0.3">
      <c r="A9217" s="12"/>
    </row>
    <row r="9218" spans="1:1" x14ac:dyDescent="0.3">
      <c r="A9218" s="12"/>
    </row>
    <row r="9219" spans="1:1" x14ac:dyDescent="0.3">
      <c r="A9219" s="12"/>
    </row>
    <row r="9220" spans="1:1" x14ac:dyDescent="0.3">
      <c r="A9220" s="12"/>
    </row>
    <row r="9221" spans="1:1" x14ac:dyDescent="0.3">
      <c r="A9221" s="12"/>
    </row>
    <row r="9222" spans="1:1" x14ac:dyDescent="0.3">
      <c r="A9222" s="12"/>
    </row>
    <row r="9223" spans="1:1" x14ac:dyDescent="0.3">
      <c r="A9223" s="12"/>
    </row>
    <row r="9224" spans="1:1" x14ac:dyDescent="0.3">
      <c r="A9224" s="12"/>
    </row>
    <row r="9225" spans="1:1" x14ac:dyDescent="0.3">
      <c r="A9225" s="12"/>
    </row>
    <row r="9226" spans="1:1" x14ac:dyDescent="0.3">
      <c r="A9226" s="12"/>
    </row>
    <row r="9227" spans="1:1" x14ac:dyDescent="0.3">
      <c r="A9227" s="12"/>
    </row>
    <row r="9228" spans="1:1" x14ac:dyDescent="0.3">
      <c r="A9228" s="12"/>
    </row>
    <row r="9229" spans="1:1" x14ac:dyDescent="0.3">
      <c r="A9229" s="12"/>
    </row>
    <row r="9230" spans="1:1" x14ac:dyDescent="0.3">
      <c r="A9230" s="12"/>
    </row>
    <row r="9231" spans="1:1" x14ac:dyDescent="0.3">
      <c r="A9231" s="12"/>
    </row>
    <row r="9232" spans="1:1" x14ac:dyDescent="0.3">
      <c r="A9232" s="12"/>
    </row>
    <row r="9233" spans="1:1" x14ac:dyDescent="0.3">
      <c r="A9233" s="12"/>
    </row>
    <row r="9234" spans="1:1" x14ac:dyDescent="0.3">
      <c r="A9234" s="12"/>
    </row>
    <row r="9235" spans="1:1" x14ac:dyDescent="0.3">
      <c r="A9235" s="12"/>
    </row>
    <row r="9236" spans="1:1" x14ac:dyDescent="0.3">
      <c r="A9236" s="12"/>
    </row>
    <row r="9237" spans="1:1" x14ac:dyDescent="0.3">
      <c r="A9237" s="12"/>
    </row>
    <row r="9238" spans="1:1" x14ac:dyDescent="0.3">
      <c r="A9238" s="12"/>
    </row>
    <row r="9239" spans="1:1" x14ac:dyDescent="0.3">
      <c r="A9239" s="12"/>
    </row>
    <row r="9240" spans="1:1" x14ac:dyDescent="0.3">
      <c r="A9240" s="12"/>
    </row>
    <row r="9241" spans="1:1" x14ac:dyDescent="0.3">
      <c r="A9241" s="12"/>
    </row>
    <row r="9242" spans="1:1" x14ac:dyDescent="0.3">
      <c r="A9242" s="12"/>
    </row>
    <row r="9243" spans="1:1" x14ac:dyDescent="0.3">
      <c r="A9243" s="12"/>
    </row>
    <row r="9244" spans="1:1" x14ac:dyDescent="0.3">
      <c r="A9244" s="12"/>
    </row>
    <row r="9245" spans="1:1" x14ac:dyDescent="0.3">
      <c r="A9245" s="12"/>
    </row>
    <row r="9246" spans="1:1" x14ac:dyDescent="0.3">
      <c r="A9246" s="12"/>
    </row>
    <row r="9247" spans="1:1" x14ac:dyDescent="0.3">
      <c r="A9247" s="12"/>
    </row>
    <row r="9248" spans="1:1" x14ac:dyDescent="0.3">
      <c r="A9248" s="12"/>
    </row>
    <row r="9249" spans="1:1" x14ac:dyDescent="0.3">
      <c r="A9249" s="12"/>
    </row>
    <row r="9250" spans="1:1" x14ac:dyDescent="0.3">
      <c r="A9250" s="12"/>
    </row>
    <row r="9251" spans="1:1" x14ac:dyDescent="0.3">
      <c r="A9251" s="12"/>
    </row>
    <row r="9252" spans="1:1" x14ac:dyDescent="0.3">
      <c r="A9252" s="12"/>
    </row>
    <row r="9253" spans="1:1" x14ac:dyDescent="0.3">
      <c r="A9253" s="12"/>
    </row>
    <row r="9254" spans="1:1" x14ac:dyDescent="0.3">
      <c r="A9254" s="12"/>
    </row>
    <row r="9255" spans="1:1" x14ac:dyDescent="0.3">
      <c r="A9255" s="12"/>
    </row>
    <row r="9256" spans="1:1" x14ac:dyDescent="0.3">
      <c r="A9256" s="12"/>
    </row>
    <row r="9257" spans="1:1" x14ac:dyDescent="0.3">
      <c r="A9257" s="12"/>
    </row>
    <row r="9258" spans="1:1" x14ac:dyDescent="0.3">
      <c r="A9258" s="12"/>
    </row>
    <row r="9259" spans="1:1" x14ac:dyDescent="0.3">
      <c r="A9259" s="12"/>
    </row>
    <row r="9260" spans="1:1" x14ac:dyDescent="0.3">
      <c r="A9260" s="12"/>
    </row>
    <row r="9261" spans="1:1" x14ac:dyDescent="0.3">
      <c r="A9261" s="12"/>
    </row>
    <row r="9262" spans="1:1" x14ac:dyDescent="0.3">
      <c r="A9262" s="12"/>
    </row>
    <row r="9263" spans="1:1" x14ac:dyDescent="0.3">
      <c r="A9263" s="12"/>
    </row>
    <row r="9264" spans="1:1" x14ac:dyDescent="0.3">
      <c r="A9264" s="12"/>
    </row>
    <row r="9265" spans="1:1" x14ac:dyDescent="0.3">
      <c r="A9265" s="12"/>
    </row>
    <row r="9266" spans="1:1" x14ac:dyDescent="0.3">
      <c r="A9266" s="12"/>
    </row>
    <row r="9267" spans="1:1" x14ac:dyDescent="0.3">
      <c r="A9267" s="12"/>
    </row>
    <row r="9268" spans="1:1" x14ac:dyDescent="0.3">
      <c r="A9268" s="12"/>
    </row>
    <row r="9269" spans="1:1" x14ac:dyDescent="0.3">
      <c r="A9269" s="12"/>
    </row>
    <row r="9270" spans="1:1" x14ac:dyDescent="0.3">
      <c r="A9270" s="12"/>
    </row>
    <row r="9271" spans="1:1" x14ac:dyDescent="0.3">
      <c r="A9271" s="12"/>
    </row>
    <row r="9272" spans="1:1" x14ac:dyDescent="0.3">
      <c r="A9272" s="12"/>
    </row>
    <row r="9273" spans="1:1" x14ac:dyDescent="0.3">
      <c r="A9273" s="12"/>
    </row>
    <row r="9274" spans="1:1" x14ac:dyDescent="0.3">
      <c r="A9274" s="12"/>
    </row>
    <row r="9275" spans="1:1" x14ac:dyDescent="0.3">
      <c r="A9275" s="12"/>
    </row>
    <row r="9276" spans="1:1" x14ac:dyDescent="0.3">
      <c r="A9276" s="12"/>
    </row>
    <row r="9277" spans="1:1" x14ac:dyDescent="0.3">
      <c r="A9277" s="12"/>
    </row>
    <row r="9278" spans="1:1" x14ac:dyDescent="0.3">
      <c r="A9278" s="12"/>
    </row>
    <row r="9279" spans="1:1" x14ac:dyDescent="0.3">
      <c r="A9279" s="12"/>
    </row>
    <row r="9280" spans="1:1" x14ac:dyDescent="0.3">
      <c r="A9280" s="12"/>
    </row>
    <row r="9281" spans="1:1" x14ac:dyDescent="0.3">
      <c r="A9281" s="12"/>
    </row>
    <row r="9282" spans="1:1" x14ac:dyDescent="0.3">
      <c r="A9282" s="12"/>
    </row>
    <row r="9283" spans="1:1" x14ac:dyDescent="0.3">
      <c r="A9283" s="12"/>
    </row>
    <row r="9284" spans="1:1" x14ac:dyDescent="0.3">
      <c r="A9284" s="12"/>
    </row>
    <row r="9285" spans="1:1" x14ac:dyDescent="0.3">
      <c r="A9285" s="12"/>
    </row>
    <row r="9286" spans="1:1" x14ac:dyDescent="0.3">
      <c r="A9286" s="12"/>
    </row>
    <row r="9287" spans="1:1" x14ac:dyDescent="0.3">
      <c r="A9287" s="12"/>
    </row>
    <row r="9288" spans="1:1" x14ac:dyDescent="0.3">
      <c r="A9288" s="12"/>
    </row>
    <row r="9289" spans="1:1" x14ac:dyDescent="0.3">
      <c r="A9289" s="12"/>
    </row>
    <row r="9290" spans="1:1" x14ac:dyDescent="0.3">
      <c r="A9290" s="12"/>
    </row>
    <row r="9291" spans="1:1" x14ac:dyDescent="0.3">
      <c r="A9291" s="12"/>
    </row>
    <row r="9292" spans="1:1" x14ac:dyDescent="0.3">
      <c r="A9292" s="12"/>
    </row>
    <row r="9293" spans="1:1" x14ac:dyDescent="0.3">
      <c r="A9293" s="12"/>
    </row>
    <row r="9294" spans="1:1" x14ac:dyDescent="0.3">
      <c r="A9294" s="12"/>
    </row>
    <row r="9295" spans="1:1" x14ac:dyDescent="0.3">
      <c r="A9295" s="12"/>
    </row>
    <row r="9296" spans="1:1" x14ac:dyDescent="0.3">
      <c r="A9296" s="12"/>
    </row>
    <row r="9297" spans="1:1" x14ac:dyDescent="0.3">
      <c r="A9297" s="12"/>
    </row>
    <row r="9298" spans="1:1" x14ac:dyDescent="0.3">
      <c r="A9298" s="12"/>
    </row>
    <row r="9299" spans="1:1" x14ac:dyDescent="0.3">
      <c r="A9299" s="12"/>
    </row>
    <row r="9300" spans="1:1" x14ac:dyDescent="0.3">
      <c r="A9300" s="12"/>
    </row>
    <row r="9301" spans="1:1" x14ac:dyDescent="0.3">
      <c r="A9301" s="12"/>
    </row>
    <row r="9302" spans="1:1" x14ac:dyDescent="0.3">
      <c r="A9302" s="12"/>
    </row>
    <row r="9303" spans="1:1" x14ac:dyDescent="0.3">
      <c r="A9303" s="12"/>
    </row>
    <row r="9304" spans="1:1" x14ac:dyDescent="0.3">
      <c r="A9304" s="12"/>
    </row>
    <row r="9305" spans="1:1" x14ac:dyDescent="0.3">
      <c r="A9305" s="12"/>
    </row>
    <row r="9306" spans="1:1" x14ac:dyDescent="0.3">
      <c r="A9306" s="12"/>
    </row>
    <row r="9307" spans="1:1" x14ac:dyDescent="0.3">
      <c r="A9307" s="12"/>
    </row>
    <row r="9308" spans="1:1" x14ac:dyDescent="0.3">
      <c r="A9308" s="12"/>
    </row>
    <row r="9309" spans="1:1" x14ac:dyDescent="0.3">
      <c r="A9309" s="12"/>
    </row>
    <row r="9310" spans="1:1" x14ac:dyDescent="0.3">
      <c r="A9310" s="12"/>
    </row>
    <row r="9311" spans="1:1" x14ac:dyDescent="0.3">
      <c r="A9311" s="12"/>
    </row>
    <row r="9312" spans="1:1" x14ac:dyDescent="0.3">
      <c r="A9312" s="12"/>
    </row>
    <row r="9313" spans="1:1" x14ac:dyDescent="0.3">
      <c r="A9313" s="12"/>
    </row>
    <row r="9314" spans="1:1" x14ac:dyDescent="0.3">
      <c r="A9314" s="12"/>
    </row>
    <row r="9315" spans="1:1" x14ac:dyDescent="0.3">
      <c r="A9315" s="12"/>
    </row>
    <row r="9316" spans="1:1" x14ac:dyDescent="0.3">
      <c r="A9316" s="12"/>
    </row>
    <row r="9317" spans="1:1" x14ac:dyDescent="0.3">
      <c r="A9317" s="12"/>
    </row>
    <row r="9318" spans="1:1" x14ac:dyDescent="0.3">
      <c r="A9318" s="12"/>
    </row>
    <row r="9319" spans="1:1" x14ac:dyDescent="0.3">
      <c r="A9319" s="12"/>
    </row>
    <row r="9320" spans="1:1" x14ac:dyDescent="0.3">
      <c r="A9320" s="12"/>
    </row>
    <row r="9321" spans="1:1" x14ac:dyDescent="0.3">
      <c r="A9321" s="12"/>
    </row>
    <row r="9322" spans="1:1" x14ac:dyDescent="0.3">
      <c r="A9322" s="12"/>
    </row>
    <row r="9323" spans="1:1" x14ac:dyDescent="0.3">
      <c r="A9323" s="12"/>
    </row>
    <row r="9324" spans="1:1" x14ac:dyDescent="0.3">
      <c r="A9324" s="12"/>
    </row>
    <row r="9325" spans="1:1" x14ac:dyDescent="0.3">
      <c r="A9325" s="12"/>
    </row>
    <row r="9326" spans="1:1" x14ac:dyDescent="0.3">
      <c r="A9326" s="12"/>
    </row>
    <row r="9327" spans="1:1" x14ac:dyDescent="0.3">
      <c r="A9327" s="12"/>
    </row>
    <row r="9328" spans="1:1" x14ac:dyDescent="0.3">
      <c r="A9328" s="12"/>
    </row>
    <row r="9329" spans="1:1" x14ac:dyDescent="0.3">
      <c r="A9329" s="12"/>
    </row>
    <row r="9330" spans="1:1" x14ac:dyDescent="0.3">
      <c r="A9330" s="12"/>
    </row>
    <row r="9331" spans="1:1" x14ac:dyDescent="0.3">
      <c r="A9331" s="12"/>
    </row>
    <row r="9332" spans="1:1" x14ac:dyDescent="0.3">
      <c r="A9332" s="12"/>
    </row>
    <row r="9333" spans="1:1" x14ac:dyDescent="0.3">
      <c r="A9333" s="12"/>
    </row>
    <row r="9334" spans="1:1" x14ac:dyDescent="0.3">
      <c r="A9334" s="12"/>
    </row>
    <row r="9335" spans="1:1" x14ac:dyDescent="0.3">
      <c r="A9335" s="12"/>
    </row>
    <row r="9336" spans="1:1" x14ac:dyDescent="0.3">
      <c r="A9336" s="12"/>
    </row>
    <row r="9337" spans="1:1" x14ac:dyDescent="0.3">
      <c r="A9337" s="12"/>
    </row>
    <row r="9338" spans="1:1" x14ac:dyDescent="0.3">
      <c r="A9338" s="12"/>
    </row>
    <row r="9339" spans="1:1" x14ac:dyDescent="0.3">
      <c r="A9339" s="12"/>
    </row>
    <row r="9340" spans="1:1" x14ac:dyDescent="0.3">
      <c r="A9340" s="12"/>
    </row>
    <row r="9341" spans="1:1" x14ac:dyDescent="0.3">
      <c r="A9341" s="12"/>
    </row>
    <row r="9342" spans="1:1" x14ac:dyDescent="0.3">
      <c r="A9342" s="12"/>
    </row>
    <row r="9343" spans="1:1" x14ac:dyDescent="0.3">
      <c r="A9343" s="12"/>
    </row>
    <row r="9344" spans="1:1" x14ac:dyDescent="0.3">
      <c r="A9344" s="12"/>
    </row>
    <row r="9345" spans="1:1" x14ac:dyDescent="0.3">
      <c r="A9345" s="12"/>
    </row>
    <row r="9346" spans="1:1" x14ac:dyDescent="0.3">
      <c r="A9346" s="12"/>
    </row>
    <row r="9347" spans="1:1" x14ac:dyDescent="0.3">
      <c r="A9347" s="12"/>
    </row>
    <row r="9348" spans="1:1" x14ac:dyDescent="0.3">
      <c r="A9348" s="12"/>
    </row>
    <row r="9349" spans="1:1" x14ac:dyDescent="0.3">
      <c r="A9349" s="12"/>
    </row>
    <row r="9350" spans="1:1" x14ac:dyDescent="0.3">
      <c r="A9350" s="12"/>
    </row>
    <row r="9351" spans="1:1" x14ac:dyDescent="0.3">
      <c r="A9351" s="12"/>
    </row>
    <row r="9352" spans="1:1" x14ac:dyDescent="0.3">
      <c r="A9352" s="12"/>
    </row>
    <row r="9353" spans="1:1" x14ac:dyDescent="0.3">
      <c r="A9353" s="12"/>
    </row>
    <row r="9354" spans="1:1" x14ac:dyDescent="0.3">
      <c r="A9354" s="12"/>
    </row>
    <row r="9355" spans="1:1" x14ac:dyDescent="0.3">
      <c r="A9355" s="12"/>
    </row>
    <row r="9356" spans="1:1" x14ac:dyDescent="0.3">
      <c r="A9356" s="12"/>
    </row>
    <row r="9357" spans="1:1" x14ac:dyDescent="0.3">
      <c r="A9357" s="12"/>
    </row>
    <row r="9358" spans="1:1" x14ac:dyDescent="0.3">
      <c r="A9358" s="12"/>
    </row>
    <row r="9359" spans="1:1" x14ac:dyDescent="0.3">
      <c r="A9359" s="12"/>
    </row>
    <row r="9360" spans="1:1" x14ac:dyDescent="0.3">
      <c r="A9360" s="12"/>
    </row>
    <row r="9361" spans="1:1" x14ac:dyDescent="0.3">
      <c r="A9361" s="12"/>
    </row>
    <row r="9362" spans="1:1" x14ac:dyDescent="0.3">
      <c r="A9362" s="12"/>
    </row>
    <row r="9363" spans="1:1" x14ac:dyDescent="0.3">
      <c r="A9363" s="12"/>
    </row>
    <row r="9364" spans="1:1" x14ac:dyDescent="0.3">
      <c r="A9364" s="12"/>
    </row>
    <row r="9365" spans="1:1" x14ac:dyDescent="0.3">
      <c r="A9365" s="12"/>
    </row>
    <row r="9366" spans="1:1" x14ac:dyDescent="0.3">
      <c r="A9366" s="12"/>
    </row>
    <row r="9367" spans="1:1" x14ac:dyDescent="0.3">
      <c r="A9367" s="12"/>
    </row>
    <row r="9368" spans="1:1" x14ac:dyDescent="0.3">
      <c r="A9368" s="12"/>
    </row>
    <row r="9369" spans="1:1" x14ac:dyDescent="0.3">
      <c r="A9369" s="12"/>
    </row>
    <row r="9370" spans="1:1" x14ac:dyDescent="0.3">
      <c r="A9370" s="12"/>
    </row>
    <row r="9371" spans="1:1" x14ac:dyDescent="0.3">
      <c r="A9371" s="12"/>
    </row>
    <row r="9372" spans="1:1" x14ac:dyDescent="0.3">
      <c r="A9372" s="12"/>
    </row>
    <row r="9373" spans="1:1" x14ac:dyDescent="0.3">
      <c r="A9373" s="12"/>
    </row>
    <row r="9374" spans="1:1" x14ac:dyDescent="0.3">
      <c r="A9374" s="12"/>
    </row>
    <row r="9375" spans="1:1" x14ac:dyDescent="0.3">
      <c r="A9375" s="12"/>
    </row>
    <row r="9376" spans="1:1" x14ac:dyDescent="0.3">
      <c r="A9376" s="12"/>
    </row>
    <row r="9377" spans="1:1" x14ac:dyDescent="0.3">
      <c r="A9377" s="12"/>
    </row>
    <row r="9378" spans="1:1" x14ac:dyDescent="0.3">
      <c r="A9378" s="12"/>
    </row>
    <row r="9379" spans="1:1" x14ac:dyDescent="0.3">
      <c r="A9379" s="12"/>
    </row>
    <row r="9380" spans="1:1" x14ac:dyDescent="0.3">
      <c r="A9380" s="12"/>
    </row>
    <row r="9381" spans="1:1" x14ac:dyDescent="0.3">
      <c r="A9381" s="12"/>
    </row>
    <row r="9382" spans="1:1" x14ac:dyDescent="0.3">
      <c r="A9382" s="12"/>
    </row>
    <row r="9383" spans="1:1" x14ac:dyDescent="0.3">
      <c r="A9383" s="12"/>
    </row>
    <row r="9384" spans="1:1" x14ac:dyDescent="0.3">
      <c r="A9384" s="12"/>
    </row>
    <row r="9385" spans="1:1" x14ac:dyDescent="0.3">
      <c r="A9385" s="12"/>
    </row>
    <row r="9386" spans="1:1" x14ac:dyDescent="0.3">
      <c r="A9386" s="12"/>
    </row>
    <row r="9387" spans="1:1" x14ac:dyDescent="0.3">
      <c r="A9387" s="12"/>
    </row>
    <row r="9388" spans="1:1" x14ac:dyDescent="0.3">
      <c r="A9388" s="12"/>
    </row>
    <row r="9389" spans="1:1" x14ac:dyDescent="0.3">
      <c r="A9389" s="12"/>
    </row>
    <row r="9390" spans="1:1" x14ac:dyDescent="0.3">
      <c r="A9390" s="12"/>
    </row>
    <row r="9391" spans="1:1" x14ac:dyDescent="0.3">
      <c r="A9391" s="12"/>
    </row>
    <row r="9392" spans="1:1" x14ac:dyDescent="0.3">
      <c r="A9392" s="12"/>
    </row>
    <row r="9393" spans="1:1" x14ac:dyDescent="0.3">
      <c r="A9393" s="12"/>
    </row>
    <row r="9394" spans="1:1" x14ac:dyDescent="0.3">
      <c r="A9394" s="12"/>
    </row>
    <row r="9395" spans="1:1" x14ac:dyDescent="0.3">
      <c r="A9395" s="12"/>
    </row>
    <row r="9396" spans="1:1" x14ac:dyDescent="0.3">
      <c r="A9396" s="12"/>
    </row>
    <row r="9397" spans="1:1" x14ac:dyDescent="0.3">
      <c r="A9397" s="12"/>
    </row>
    <row r="9398" spans="1:1" x14ac:dyDescent="0.3">
      <c r="A9398" s="12"/>
    </row>
    <row r="9399" spans="1:1" x14ac:dyDescent="0.3">
      <c r="A9399" s="12"/>
    </row>
    <row r="9400" spans="1:1" x14ac:dyDescent="0.3">
      <c r="A9400" s="12"/>
    </row>
    <row r="9401" spans="1:1" x14ac:dyDescent="0.3">
      <c r="A9401" s="12"/>
    </row>
    <row r="9402" spans="1:1" x14ac:dyDescent="0.3">
      <c r="A9402" s="12"/>
    </row>
    <row r="9403" spans="1:1" x14ac:dyDescent="0.3">
      <c r="A9403" s="12"/>
    </row>
    <row r="9404" spans="1:1" x14ac:dyDescent="0.3">
      <c r="A9404" s="12"/>
    </row>
    <row r="9405" spans="1:1" x14ac:dyDescent="0.3">
      <c r="A9405" s="12"/>
    </row>
    <row r="9406" spans="1:1" x14ac:dyDescent="0.3">
      <c r="A9406" s="12"/>
    </row>
    <row r="9407" spans="1:1" x14ac:dyDescent="0.3">
      <c r="A9407" s="12"/>
    </row>
    <row r="9408" spans="1:1" x14ac:dyDescent="0.3">
      <c r="A9408" s="12"/>
    </row>
    <row r="9409" spans="1:1" x14ac:dyDescent="0.3">
      <c r="A9409" s="12"/>
    </row>
    <row r="9410" spans="1:1" x14ac:dyDescent="0.3">
      <c r="A9410" s="12"/>
    </row>
    <row r="9411" spans="1:1" x14ac:dyDescent="0.3">
      <c r="A9411" s="12"/>
    </row>
    <row r="9412" spans="1:1" x14ac:dyDescent="0.3">
      <c r="A9412" s="12"/>
    </row>
    <row r="9413" spans="1:1" x14ac:dyDescent="0.3">
      <c r="A9413" s="12"/>
    </row>
    <row r="9414" spans="1:1" x14ac:dyDescent="0.3">
      <c r="A9414" s="12"/>
    </row>
    <row r="9415" spans="1:1" x14ac:dyDescent="0.3">
      <c r="A9415" s="12"/>
    </row>
    <row r="9416" spans="1:1" x14ac:dyDescent="0.3">
      <c r="A9416" s="12"/>
    </row>
    <row r="9417" spans="1:1" x14ac:dyDescent="0.3">
      <c r="A9417" s="12"/>
    </row>
    <row r="9418" spans="1:1" x14ac:dyDescent="0.3">
      <c r="A9418" s="12"/>
    </row>
    <row r="9419" spans="1:1" x14ac:dyDescent="0.3">
      <c r="A9419" s="12"/>
    </row>
    <row r="9420" spans="1:1" x14ac:dyDescent="0.3">
      <c r="A9420" s="12"/>
    </row>
    <row r="9421" spans="1:1" x14ac:dyDescent="0.3">
      <c r="A9421" s="12"/>
    </row>
    <row r="9422" spans="1:1" x14ac:dyDescent="0.3">
      <c r="A9422" s="12"/>
    </row>
    <row r="9423" spans="1:1" x14ac:dyDescent="0.3">
      <c r="A9423" s="12"/>
    </row>
    <row r="9424" spans="1:1" x14ac:dyDescent="0.3">
      <c r="A9424" s="12"/>
    </row>
    <row r="9425" spans="1:1" x14ac:dyDescent="0.3">
      <c r="A9425" s="12"/>
    </row>
    <row r="9426" spans="1:1" x14ac:dyDescent="0.3">
      <c r="A9426" s="12"/>
    </row>
    <row r="9427" spans="1:1" x14ac:dyDescent="0.3">
      <c r="A9427" s="12"/>
    </row>
    <row r="9428" spans="1:1" x14ac:dyDescent="0.3">
      <c r="A9428" s="12"/>
    </row>
    <row r="9429" spans="1:1" x14ac:dyDescent="0.3">
      <c r="A9429" s="12"/>
    </row>
    <row r="9430" spans="1:1" x14ac:dyDescent="0.3">
      <c r="A9430" s="12"/>
    </row>
    <row r="9431" spans="1:1" x14ac:dyDescent="0.3">
      <c r="A9431" s="12"/>
    </row>
    <row r="9432" spans="1:1" x14ac:dyDescent="0.3">
      <c r="A9432" s="12"/>
    </row>
    <row r="9433" spans="1:1" x14ac:dyDescent="0.3">
      <c r="A9433" s="12"/>
    </row>
    <row r="9434" spans="1:1" x14ac:dyDescent="0.3">
      <c r="A9434" s="12"/>
    </row>
    <row r="9435" spans="1:1" x14ac:dyDescent="0.3">
      <c r="A9435" s="12"/>
    </row>
    <row r="9436" spans="1:1" x14ac:dyDescent="0.3">
      <c r="A9436" s="12"/>
    </row>
    <row r="9437" spans="1:1" x14ac:dyDescent="0.3">
      <c r="A9437" s="12"/>
    </row>
    <row r="9438" spans="1:1" x14ac:dyDescent="0.3">
      <c r="A9438" s="12"/>
    </row>
    <row r="9439" spans="1:1" x14ac:dyDescent="0.3">
      <c r="A9439" s="12"/>
    </row>
    <row r="9440" spans="1:1" x14ac:dyDescent="0.3">
      <c r="A9440" s="12"/>
    </row>
    <row r="9441" spans="1:1" x14ac:dyDescent="0.3">
      <c r="A9441" s="12"/>
    </row>
    <row r="9442" spans="1:1" x14ac:dyDescent="0.3">
      <c r="A9442" s="12"/>
    </row>
    <row r="9443" spans="1:1" x14ac:dyDescent="0.3">
      <c r="A9443" s="12"/>
    </row>
    <row r="9444" spans="1:1" x14ac:dyDescent="0.3">
      <c r="A9444" s="12"/>
    </row>
    <row r="9445" spans="1:1" x14ac:dyDescent="0.3">
      <c r="A9445" s="12"/>
    </row>
    <row r="9446" spans="1:1" x14ac:dyDescent="0.3">
      <c r="A9446" s="12"/>
    </row>
    <row r="9447" spans="1:1" x14ac:dyDescent="0.3">
      <c r="A9447" s="12"/>
    </row>
    <row r="9448" spans="1:1" x14ac:dyDescent="0.3">
      <c r="A9448" s="12"/>
    </row>
    <row r="9449" spans="1:1" x14ac:dyDescent="0.3">
      <c r="A9449" s="12"/>
    </row>
    <row r="9450" spans="1:1" x14ac:dyDescent="0.3">
      <c r="A9450" s="12"/>
    </row>
    <row r="9451" spans="1:1" x14ac:dyDescent="0.3">
      <c r="A9451" s="12"/>
    </row>
    <row r="9452" spans="1:1" x14ac:dyDescent="0.3">
      <c r="A9452" s="12"/>
    </row>
    <row r="9453" spans="1:1" x14ac:dyDescent="0.3">
      <c r="A9453" s="12"/>
    </row>
    <row r="9454" spans="1:1" x14ac:dyDescent="0.3">
      <c r="A9454" s="12"/>
    </row>
    <row r="9455" spans="1:1" x14ac:dyDescent="0.3">
      <c r="A9455" s="12"/>
    </row>
    <row r="9456" spans="1:1" x14ac:dyDescent="0.3">
      <c r="A9456" s="12"/>
    </row>
    <row r="9457" spans="1:1" x14ac:dyDescent="0.3">
      <c r="A9457" s="12"/>
    </row>
    <row r="9458" spans="1:1" x14ac:dyDescent="0.3">
      <c r="A9458" s="12"/>
    </row>
    <row r="9459" spans="1:1" x14ac:dyDescent="0.3">
      <c r="A9459" s="12"/>
    </row>
    <row r="9460" spans="1:1" x14ac:dyDescent="0.3">
      <c r="A9460" s="12"/>
    </row>
    <row r="9461" spans="1:1" x14ac:dyDescent="0.3">
      <c r="A9461" s="12"/>
    </row>
    <row r="9462" spans="1:1" x14ac:dyDescent="0.3">
      <c r="A9462" s="12"/>
    </row>
    <row r="9463" spans="1:1" x14ac:dyDescent="0.3">
      <c r="A9463" s="12"/>
    </row>
    <row r="9464" spans="1:1" x14ac:dyDescent="0.3">
      <c r="A9464" s="12"/>
    </row>
    <row r="9465" spans="1:1" x14ac:dyDescent="0.3">
      <c r="A9465" s="12"/>
    </row>
    <row r="9466" spans="1:1" x14ac:dyDescent="0.3">
      <c r="A9466" s="12"/>
    </row>
    <row r="9467" spans="1:1" x14ac:dyDescent="0.3">
      <c r="A9467" s="12"/>
    </row>
    <row r="9468" spans="1:1" x14ac:dyDescent="0.3">
      <c r="A9468" s="12"/>
    </row>
    <row r="9469" spans="1:1" x14ac:dyDescent="0.3">
      <c r="A9469" s="12"/>
    </row>
    <row r="9470" spans="1:1" x14ac:dyDescent="0.3">
      <c r="A9470" s="12"/>
    </row>
    <row r="9471" spans="1:1" x14ac:dyDescent="0.3">
      <c r="A9471" s="12"/>
    </row>
    <row r="9472" spans="1:1" x14ac:dyDescent="0.3">
      <c r="A9472" s="12"/>
    </row>
    <row r="9473" spans="1:1" x14ac:dyDescent="0.3">
      <c r="A9473" s="12"/>
    </row>
    <row r="9474" spans="1:1" x14ac:dyDescent="0.3">
      <c r="A9474" s="12"/>
    </row>
    <row r="9475" spans="1:1" x14ac:dyDescent="0.3">
      <c r="A9475" s="12"/>
    </row>
    <row r="9476" spans="1:1" x14ac:dyDescent="0.3">
      <c r="A9476" s="12"/>
    </row>
    <row r="9477" spans="1:1" x14ac:dyDescent="0.3">
      <c r="A9477" s="12"/>
    </row>
    <row r="9478" spans="1:1" x14ac:dyDescent="0.3">
      <c r="A9478" s="12"/>
    </row>
    <row r="9479" spans="1:1" x14ac:dyDescent="0.3">
      <c r="A9479" s="12"/>
    </row>
    <row r="9480" spans="1:1" x14ac:dyDescent="0.3">
      <c r="A9480" s="12"/>
    </row>
    <row r="9481" spans="1:1" x14ac:dyDescent="0.3">
      <c r="A9481" s="12"/>
    </row>
    <row r="9482" spans="1:1" x14ac:dyDescent="0.3">
      <c r="A9482" s="12"/>
    </row>
    <row r="9483" spans="1:1" x14ac:dyDescent="0.3">
      <c r="A9483" s="12"/>
    </row>
    <row r="9484" spans="1:1" x14ac:dyDescent="0.3">
      <c r="A9484" s="12"/>
    </row>
    <row r="9485" spans="1:1" x14ac:dyDescent="0.3">
      <c r="A9485" s="12"/>
    </row>
    <row r="9486" spans="1:1" x14ac:dyDescent="0.3">
      <c r="A9486" s="12"/>
    </row>
    <row r="9487" spans="1:1" x14ac:dyDescent="0.3">
      <c r="A9487" s="12"/>
    </row>
    <row r="9488" spans="1:1" x14ac:dyDescent="0.3">
      <c r="A9488" s="12"/>
    </row>
    <row r="9489" spans="1:1" x14ac:dyDescent="0.3">
      <c r="A9489" s="12"/>
    </row>
    <row r="9490" spans="1:1" x14ac:dyDescent="0.3">
      <c r="A9490" s="12"/>
    </row>
    <row r="9491" spans="1:1" x14ac:dyDescent="0.3">
      <c r="A9491" s="12"/>
    </row>
    <row r="9492" spans="1:1" x14ac:dyDescent="0.3">
      <c r="A9492" s="12"/>
    </row>
    <row r="9493" spans="1:1" x14ac:dyDescent="0.3">
      <c r="A9493" s="12"/>
    </row>
    <row r="9494" spans="1:1" x14ac:dyDescent="0.3">
      <c r="A9494" s="12"/>
    </row>
    <row r="9495" spans="1:1" x14ac:dyDescent="0.3">
      <c r="A9495" s="12"/>
    </row>
    <row r="9496" spans="1:1" x14ac:dyDescent="0.3">
      <c r="A9496" s="12"/>
    </row>
    <row r="9497" spans="1:1" x14ac:dyDescent="0.3">
      <c r="A9497" s="12"/>
    </row>
    <row r="9498" spans="1:1" x14ac:dyDescent="0.3">
      <c r="A9498" s="12"/>
    </row>
    <row r="9499" spans="1:1" x14ac:dyDescent="0.3">
      <c r="A9499" s="12"/>
    </row>
    <row r="9500" spans="1:1" x14ac:dyDescent="0.3">
      <c r="A9500" s="12"/>
    </row>
    <row r="9501" spans="1:1" x14ac:dyDescent="0.3">
      <c r="A9501" s="12"/>
    </row>
    <row r="9502" spans="1:1" x14ac:dyDescent="0.3">
      <c r="A9502" s="12"/>
    </row>
    <row r="9503" spans="1:1" x14ac:dyDescent="0.3">
      <c r="A9503" s="12"/>
    </row>
    <row r="9504" spans="1:1" x14ac:dyDescent="0.3">
      <c r="A9504" s="12"/>
    </row>
    <row r="9505" spans="1:1" x14ac:dyDescent="0.3">
      <c r="A9505" s="12"/>
    </row>
    <row r="9506" spans="1:1" x14ac:dyDescent="0.3">
      <c r="A9506" s="12"/>
    </row>
    <row r="9507" spans="1:1" x14ac:dyDescent="0.3">
      <c r="A9507" s="12"/>
    </row>
    <row r="9508" spans="1:1" x14ac:dyDescent="0.3">
      <c r="A9508" s="12"/>
    </row>
    <row r="9509" spans="1:1" x14ac:dyDescent="0.3">
      <c r="A9509" s="12"/>
    </row>
    <row r="9510" spans="1:1" x14ac:dyDescent="0.3">
      <c r="A9510" s="12"/>
    </row>
    <row r="9511" spans="1:1" x14ac:dyDescent="0.3">
      <c r="A9511" s="12"/>
    </row>
    <row r="9512" spans="1:1" x14ac:dyDescent="0.3">
      <c r="A9512" s="12"/>
    </row>
    <row r="9513" spans="1:1" x14ac:dyDescent="0.3">
      <c r="A9513" s="12"/>
    </row>
    <row r="9514" spans="1:1" x14ac:dyDescent="0.3">
      <c r="A9514" s="12"/>
    </row>
    <row r="9515" spans="1:1" x14ac:dyDescent="0.3">
      <c r="A9515" s="12"/>
    </row>
    <row r="9516" spans="1:1" x14ac:dyDescent="0.3">
      <c r="A9516" s="12"/>
    </row>
    <row r="9517" spans="1:1" x14ac:dyDescent="0.3">
      <c r="A9517" s="12"/>
    </row>
    <row r="9518" spans="1:1" x14ac:dyDescent="0.3">
      <c r="A9518" s="12"/>
    </row>
    <row r="9519" spans="1:1" x14ac:dyDescent="0.3">
      <c r="A9519" s="12"/>
    </row>
    <row r="9520" spans="1:1" x14ac:dyDescent="0.3">
      <c r="A9520" s="12"/>
    </row>
    <row r="9521" spans="1:1" x14ac:dyDescent="0.3">
      <c r="A9521" s="12"/>
    </row>
    <row r="9522" spans="1:1" x14ac:dyDescent="0.3">
      <c r="A9522" s="12"/>
    </row>
    <row r="9523" spans="1:1" x14ac:dyDescent="0.3">
      <c r="A9523" s="12"/>
    </row>
    <row r="9524" spans="1:1" x14ac:dyDescent="0.3">
      <c r="A9524" s="12"/>
    </row>
    <row r="9525" spans="1:1" x14ac:dyDescent="0.3">
      <c r="A9525" s="12"/>
    </row>
    <row r="9526" spans="1:1" x14ac:dyDescent="0.3">
      <c r="A9526" s="12"/>
    </row>
    <row r="9527" spans="1:1" x14ac:dyDescent="0.3">
      <c r="A9527" s="12"/>
    </row>
    <row r="9528" spans="1:1" x14ac:dyDescent="0.3">
      <c r="A9528" s="12"/>
    </row>
    <row r="9529" spans="1:1" x14ac:dyDescent="0.3">
      <c r="A9529" s="12"/>
    </row>
    <row r="9530" spans="1:1" x14ac:dyDescent="0.3">
      <c r="A9530" s="12"/>
    </row>
    <row r="9531" spans="1:1" x14ac:dyDescent="0.3">
      <c r="A9531" s="12"/>
    </row>
    <row r="9532" spans="1:1" x14ac:dyDescent="0.3">
      <c r="A9532" s="12"/>
    </row>
    <row r="9533" spans="1:1" x14ac:dyDescent="0.3">
      <c r="A9533" s="12"/>
    </row>
    <row r="9534" spans="1:1" x14ac:dyDescent="0.3">
      <c r="A9534" s="12"/>
    </row>
    <row r="9535" spans="1:1" x14ac:dyDescent="0.3">
      <c r="A9535" s="12"/>
    </row>
    <row r="9536" spans="1:1" x14ac:dyDescent="0.3">
      <c r="A9536" s="12"/>
    </row>
    <row r="9537" spans="1:1" x14ac:dyDescent="0.3">
      <c r="A9537" s="12"/>
    </row>
    <row r="9538" spans="1:1" x14ac:dyDescent="0.3">
      <c r="A9538" s="12"/>
    </row>
    <row r="9539" spans="1:1" x14ac:dyDescent="0.3">
      <c r="A9539" s="12"/>
    </row>
    <row r="9540" spans="1:1" x14ac:dyDescent="0.3">
      <c r="A9540" s="12"/>
    </row>
    <row r="9541" spans="1:1" x14ac:dyDescent="0.3">
      <c r="A9541" s="12"/>
    </row>
    <row r="9542" spans="1:1" x14ac:dyDescent="0.3">
      <c r="A9542" s="12"/>
    </row>
    <row r="9543" spans="1:1" x14ac:dyDescent="0.3">
      <c r="A9543" s="12"/>
    </row>
    <row r="9544" spans="1:1" x14ac:dyDescent="0.3">
      <c r="A9544" s="12"/>
    </row>
    <row r="9545" spans="1:1" x14ac:dyDescent="0.3">
      <c r="A9545" s="12"/>
    </row>
    <row r="9546" spans="1:1" x14ac:dyDescent="0.3">
      <c r="A9546" s="12"/>
    </row>
    <row r="9547" spans="1:1" x14ac:dyDescent="0.3">
      <c r="A9547" s="12"/>
    </row>
    <row r="9548" spans="1:1" x14ac:dyDescent="0.3">
      <c r="A9548" s="12"/>
    </row>
    <row r="9549" spans="1:1" x14ac:dyDescent="0.3">
      <c r="A9549" s="12"/>
    </row>
    <row r="9550" spans="1:1" x14ac:dyDescent="0.3">
      <c r="A9550" s="12"/>
    </row>
    <row r="9551" spans="1:1" x14ac:dyDescent="0.3">
      <c r="A9551" s="12"/>
    </row>
    <row r="9552" spans="1:1" x14ac:dyDescent="0.3">
      <c r="A9552" s="12"/>
    </row>
    <row r="9553" spans="1:1" x14ac:dyDescent="0.3">
      <c r="A9553" s="12"/>
    </row>
    <row r="9554" spans="1:1" x14ac:dyDescent="0.3">
      <c r="A9554" s="12"/>
    </row>
    <row r="9555" spans="1:1" x14ac:dyDescent="0.3">
      <c r="A9555" s="12"/>
    </row>
    <row r="9556" spans="1:1" x14ac:dyDescent="0.3">
      <c r="A9556" s="12"/>
    </row>
    <row r="9557" spans="1:1" x14ac:dyDescent="0.3">
      <c r="A9557" s="12"/>
    </row>
    <row r="9558" spans="1:1" x14ac:dyDescent="0.3">
      <c r="A9558" s="12"/>
    </row>
    <row r="9559" spans="1:1" x14ac:dyDescent="0.3">
      <c r="A9559" s="12"/>
    </row>
    <row r="9560" spans="1:1" x14ac:dyDescent="0.3">
      <c r="A9560" s="12"/>
    </row>
    <row r="9561" spans="1:1" x14ac:dyDescent="0.3">
      <c r="A9561" s="12"/>
    </row>
    <row r="9562" spans="1:1" x14ac:dyDescent="0.3">
      <c r="A9562" s="12"/>
    </row>
    <row r="9563" spans="1:1" x14ac:dyDescent="0.3">
      <c r="A9563" s="12"/>
    </row>
    <row r="9564" spans="1:1" x14ac:dyDescent="0.3">
      <c r="A9564" s="12"/>
    </row>
    <row r="9565" spans="1:1" x14ac:dyDescent="0.3">
      <c r="A9565" s="12"/>
    </row>
    <row r="9566" spans="1:1" x14ac:dyDescent="0.3">
      <c r="A9566" s="12"/>
    </row>
    <row r="9567" spans="1:1" x14ac:dyDescent="0.3">
      <c r="A9567" s="12"/>
    </row>
    <row r="9568" spans="1:1" x14ac:dyDescent="0.3">
      <c r="A9568" s="12"/>
    </row>
    <row r="9569" spans="1:1" x14ac:dyDescent="0.3">
      <c r="A9569" s="12"/>
    </row>
    <row r="9570" spans="1:1" x14ac:dyDescent="0.3">
      <c r="A9570" s="12"/>
    </row>
    <row r="9571" spans="1:1" x14ac:dyDescent="0.3">
      <c r="A9571" s="12"/>
    </row>
    <row r="9572" spans="1:1" x14ac:dyDescent="0.3">
      <c r="A9572" s="12"/>
    </row>
    <row r="9573" spans="1:1" x14ac:dyDescent="0.3">
      <c r="A9573" s="12"/>
    </row>
    <row r="9574" spans="1:1" x14ac:dyDescent="0.3">
      <c r="A9574" s="12"/>
    </row>
    <row r="9575" spans="1:1" x14ac:dyDescent="0.3">
      <c r="A9575" s="12"/>
    </row>
    <row r="9576" spans="1:1" x14ac:dyDescent="0.3">
      <c r="A9576" s="12"/>
    </row>
    <row r="9577" spans="1:1" x14ac:dyDescent="0.3">
      <c r="A9577" s="12"/>
    </row>
    <row r="9578" spans="1:1" x14ac:dyDescent="0.3">
      <c r="A9578" s="12"/>
    </row>
    <row r="9579" spans="1:1" x14ac:dyDescent="0.3">
      <c r="A9579" s="12"/>
    </row>
    <row r="9580" spans="1:1" x14ac:dyDescent="0.3">
      <c r="A9580" s="12"/>
    </row>
    <row r="9581" spans="1:1" x14ac:dyDescent="0.3">
      <c r="A9581" s="12"/>
    </row>
    <row r="9582" spans="1:1" x14ac:dyDescent="0.3">
      <c r="A9582" s="12"/>
    </row>
    <row r="9583" spans="1:1" x14ac:dyDescent="0.3">
      <c r="A9583" s="12"/>
    </row>
    <row r="9584" spans="1:1" x14ac:dyDescent="0.3">
      <c r="A9584" s="12"/>
    </row>
    <row r="9585" spans="1:1" x14ac:dyDescent="0.3">
      <c r="A9585" s="12"/>
    </row>
    <row r="9586" spans="1:1" x14ac:dyDescent="0.3">
      <c r="A9586" s="12"/>
    </row>
    <row r="9587" spans="1:1" x14ac:dyDescent="0.3">
      <c r="A9587" s="12"/>
    </row>
    <row r="9588" spans="1:1" x14ac:dyDescent="0.3">
      <c r="A9588" s="12"/>
    </row>
    <row r="9589" spans="1:1" x14ac:dyDescent="0.3">
      <c r="A9589" s="12"/>
    </row>
    <row r="9590" spans="1:1" x14ac:dyDescent="0.3">
      <c r="A9590" s="12"/>
    </row>
    <row r="9591" spans="1:1" x14ac:dyDescent="0.3">
      <c r="A9591" s="12"/>
    </row>
    <row r="9592" spans="1:1" x14ac:dyDescent="0.3">
      <c r="A9592" s="12"/>
    </row>
    <row r="9593" spans="1:1" x14ac:dyDescent="0.3">
      <c r="A9593" s="12"/>
    </row>
    <row r="9594" spans="1:1" x14ac:dyDescent="0.3">
      <c r="A9594" s="12"/>
    </row>
    <row r="9595" spans="1:1" x14ac:dyDescent="0.3">
      <c r="A9595" s="12"/>
    </row>
    <row r="9596" spans="1:1" x14ac:dyDescent="0.3">
      <c r="A9596" s="12"/>
    </row>
    <row r="9597" spans="1:1" x14ac:dyDescent="0.3">
      <c r="A9597" s="12"/>
    </row>
    <row r="9598" spans="1:1" x14ac:dyDescent="0.3">
      <c r="A9598" s="12"/>
    </row>
    <row r="9599" spans="1:1" x14ac:dyDescent="0.3">
      <c r="A9599" s="12"/>
    </row>
    <row r="9600" spans="1:1" x14ac:dyDescent="0.3">
      <c r="A9600" s="12"/>
    </row>
    <row r="9601" spans="1:1" x14ac:dyDescent="0.3">
      <c r="A9601" s="12"/>
    </row>
    <row r="9602" spans="1:1" x14ac:dyDescent="0.3">
      <c r="A9602" s="12"/>
    </row>
    <row r="9603" spans="1:1" x14ac:dyDescent="0.3">
      <c r="A9603" s="12"/>
    </row>
    <row r="9604" spans="1:1" x14ac:dyDescent="0.3">
      <c r="A9604" s="12"/>
    </row>
    <row r="9605" spans="1:1" x14ac:dyDescent="0.3">
      <c r="A9605" s="12"/>
    </row>
    <row r="9606" spans="1:1" x14ac:dyDescent="0.3">
      <c r="A9606" s="12"/>
    </row>
    <row r="9607" spans="1:1" x14ac:dyDescent="0.3">
      <c r="A9607" s="12"/>
    </row>
    <row r="9608" spans="1:1" x14ac:dyDescent="0.3">
      <c r="A9608" s="12"/>
    </row>
    <row r="9609" spans="1:1" x14ac:dyDescent="0.3">
      <c r="A9609" s="12"/>
    </row>
    <row r="9610" spans="1:1" x14ac:dyDescent="0.3">
      <c r="A9610" s="12"/>
    </row>
    <row r="9611" spans="1:1" x14ac:dyDescent="0.3">
      <c r="A9611" s="12"/>
    </row>
    <row r="9612" spans="1:1" x14ac:dyDescent="0.3">
      <c r="A9612" s="12"/>
    </row>
    <row r="9613" spans="1:1" x14ac:dyDescent="0.3">
      <c r="A9613" s="12"/>
    </row>
    <row r="9614" spans="1:1" x14ac:dyDescent="0.3">
      <c r="A9614" s="12"/>
    </row>
    <row r="9615" spans="1:1" x14ac:dyDescent="0.3">
      <c r="A9615" s="12"/>
    </row>
    <row r="9616" spans="1:1" x14ac:dyDescent="0.3">
      <c r="A9616" s="12"/>
    </row>
    <row r="9617" spans="1:1" x14ac:dyDescent="0.3">
      <c r="A9617" s="12"/>
    </row>
    <row r="9618" spans="1:1" x14ac:dyDescent="0.3">
      <c r="A9618" s="12"/>
    </row>
    <row r="9619" spans="1:1" x14ac:dyDescent="0.3">
      <c r="A9619" s="12"/>
    </row>
    <row r="9620" spans="1:1" x14ac:dyDescent="0.3">
      <c r="A9620" s="12"/>
    </row>
    <row r="9621" spans="1:1" x14ac:dyDescent="0.3">
      <c r="A9621" s="12"/>
    </row>
    <row r="9622" spans="1:1" x14ac:dyDescent="0.3">
      <c r="A9622" s="12"/>
    </row>
    <row r="9623" spans="1:1" x14ac:dyDescent="0.3">
      <c r="A9623" s="12"/>
    </row>
    <row r="9624" spans="1:1" x14ac:dyDescent="0.3">
      <c r="A9624" s="12"/>
    </row>
    <row r="9625" spans="1:1" x14ac:dyDescent="0.3">
      <c r="A9625" s="12"/>
    </row>
    <row r="9626" spans="1:1" x14ac:dyDescent="0.3">
      <c r="A9626" s="12"/>
    </row>
    <row r="9627" spans="1:1" x14ac:dyDescent="0.3">
      <c r="A9627" s="12"/>
    </row>
    <row r="9628" spans="1:1" x14ac:dyDescent="0.3">
      <c r="A9628" s="12"/>
    </row>
    <row r="9629" spans="1:1" x14ac:dyDescent="0.3">
      <c r="A9629" s="12"/>
    </row>
    <row r="9630" spans="1:1" x14ac:dyDescent="0.3">
      <c r="A9630" s="12"/>
    </row>
    <row r="9631" spans="1:1" x14ac:dyDescent="0.3">
      <c r="A9631" s="12"/>
    </row>
    <row r="9632" spans="1:1" x14ac:dyDescent="0.3">
      <c r="A9632" s="12"/>
    </row>
    <row r="9633" spans="1:1" x14ac:dyDescent="0.3">
      <c r="A9633" s="12"/>
    </row>
    <row r="9634" spans="1:1" x14ac:dyDescent="0.3">
      <c r="A9634" s="12"/>
    </row>
    <row r="9635" spans="1:1" x14ac:dyDescent="0.3">
      <c r="A9635" s="12"/>
    </row>
    <row r="9636" spans="1:1" x14ac:dyDescent="0.3">
      <c r="A9636" s="12"/>
    </row>
    <row r="9637" spans="1:1" x14ac:dyDescent="0.3">
      <c r="A9637" s="12"/>
    </row>
    <row r="9638" spans="1:1" x14ac:dyDescent="0.3">
      <c r="A9638" s="12"/>
    </row>
    <row r="9639" spans="1:1" x14ac:dyDescent="0.3">
      <c r="A9639" s="12"/>
    </row>
    <row r="9640" spans="1:1" x14ac:dyDescent="0.3">
      <c r="A9640" s="12"/>
    </row>
    <row r="9641" spans="1:1" x14ac:dyDescent="0.3">
      <c r="A9641" s="12"/>
    </row>
    <row r="9642" spans="1:1" x14ac:dyDescent="0.3">
      <c r="A9642" s="12"/>
    </row>
    <row r="9643" spans="1:1" x14ac:dyDescent="0.3">
      <c r="A9643" s="12"/>
    </row>
    <row r="9644" spans="1:1" x14ac:dyDescent="0.3">
      <c r="A9644" s="12"/>
    </row>
    <row r="9645" spans="1:1" x14ac:dyDescent="0.3">
      <c r="A9645" s="12"/>
    </row>
    <row r="9646" spans="1:1" x14ac:dyDescent="0.3">
      <c r="A9646" s="12"/>
    </row>
    <row r="9647" spans="1:1" x14ac:dyDescent="0.3">
      <c r="A9647" s="12"/>
    </row>
    <row r="9648" spans="1:1" x14ac:dyDescent="0.3">
      <c r="A9648" s="12"/>
    </row>
    <row r="9649" spans="1:1" x14ac:dyDescent="0.3">
      <c r="A9649" s="12"/>
    </row>
    <row r="9650" spans="1:1" x14ac:dyDescent="0.3">
      <c r="A9650" s="12"/>
    </row>
    <row r="9651" spans="1:1" x14ac:dyDescent="0.3">
      <c r="A9651" s="12"/>
    </row>
    <row r="9652" spans="1:1" x14ac:dyDescent="0.3">
      <c r="A9652" s="12"/>
    </row>
    <row r="9653" spans="1:1" x14ac:dyDescent="0.3">
      <c r="A9653" s="12"/>
    </row>
    <row r="9654" spans="1:1" x14ac:dyDescent="0.3">
      <c r="A9654" s="12"/>
    </row>
    <row r="9655" spans="1:1" x14ac:dyDescent="0.3">
      <c r="A9655" s="12"/>
    </row>
    <row r="9656" spans="1:1" x14ac:dyDescent="0.3">
      <c r="A9656" s="12"/>
    </row>
    <row r="9657" spans="1:1" x14ac:dyDescent="0.3">
      <c r="A9657" s="12"/>
    </row>
    <row r="9658" spans="1:1" x14ac:dyDescent="0.3">
      <c r="A9658" s="12"/>
    </row>
    <row r="9659" spans="1:1" x14ac:dyDescent="0.3">
      <c r="A9659" s="12"/>
    </row>
    <row r="9660" spans="1:1" x14ac:dyDescent="0.3">
      <c r="A9660" s="12"/>
    </row>
    <row r="9661" spans="1:1" x14ac:dyDescent="0.3">
      <c r="A9661" s="12"/>
    </row>
    <row r="9662" spans="1:1" x14ac:dyDescent="0.3">
      <c r="A9662" s="12"/>
    </row>
    <row r="9663" spans="1:1" x14ac:dyDescent="0.3">
      <c r="A9663" s="12"/>
    </row>
    <row r="9664" spans="1:1" x14ac:dyDescent="0.3">
      <c r="A9664" s="12"/>
    </row>
    <row r="9665" spans="1:1" x14ac:dyDescent="0.3">
      <c r="A9665" s="12"/>
    </row>
    <row r="9666" spans="1:1" x14ac:dyDescent="0.3">
      <c r="A9666" s="12"/>
    </row>
    <row r="9667" spans="1:1" x14ac:dyDescent="0.3">
      <c r="A9667" s="12"/>
    </row>
    <row r="9668" spans="1:1" x14ac:dyDescent="0.3">
      <c r="A9668" s="12"/>
    </row>
    <row r="9669" spans="1:1" x14ac:dyDescent="0.3">
      <c r="A9669" s="12"/>
    </row>
    <row r="9670" spans="1:1" x14ac:dyDescent="0.3">
      <c r="A9670" s="12"/>
    </row>
    <row r="9671" spans="1:1" x14ac:dyDescent="0.3">
      <c r="A9671" s="12"/>
    </row>
    <row r="9672" spans="1:1" x14ac:dyDescent="0.3">
      <c r="A9672" s="12"/>
    </row>
    <row r="9673" spans="1:1" x14ac:dyDescent="0.3">
      <c r="A9673" s="12"/>
    </row>
    <row r="9674" spans="1:1" x14ac:dyDescent="0.3">
      <c r="A9674" s="12"/>
    </row>
    <row r="9675" spans="1:1" x14ac:dyDescent="0.3">
      <c r="A9675" s="12"/>
    </row>
    <row r="9676" spans="1:1" x14ac:dyDescent="0.3">
      <c r="A9676" s="12"/>
    </row>
    <row r="9677" spans="1:1" x14ac:dyDescent="0.3">
      <c r="A9677" s="12"/>
    </row>
    <row r="9678" spans="1:1" x14ac:dyDescent="0.3">
      <c r="A9678" s="12"/>
    </row>
    <row r="9679" spans="1:1" x14ac:dyDescent="0.3">
      <c r="A9679" s="12"/>
    </row>
    <row r="9680" spans="1:1" x14ac:dyDescent="0.3">
      <c r="A9680" s="12"/>
    </row>
    <row r="9681" spans="1:1" x14ac:dyDescent="0.3">
      <c r="A9681" s="12"/>
    </row>
    <row r="9682" spans="1:1" x14ac:dyDescent="0.3">
      <c r="A9682" s="12"/>
    </row>
    <row r="9683" spans="1:1" x14ac:dyDescent="0.3">
      <c r="A9683" s="12"/>
    </row>
    <row r="9684" spans="1:1" x14ac:dyDescent="0.3">
      <c r="A9684" s="12"/>
    </row>
    <row r="9685" spans="1:1" x14ac:dyDescent="0.3">
      <c r="A9685" s="12"/>
    </row>
    <row r="9686" spans="1:1" x14ac:dyDescent="0.3">
      <c r="A9686" s="12"/>
    </row>
    <row r="9687" spans="1:1" x14ac:dyDescent="0.3">
      <c r="A9687" s="12"/>
    </row>
    <row r="9688" spans="1:1" x14ac:dyDescent="0.3">
      <c r="A9688" s="12"/>
    </row>
    <row r="9689" spans="1:1" x14ac:dyDescent="0.3">
      <c r="A9689" s="12"/>
    </row>
    <row r="9690" spans="1:1" x14ac:dyDescent="0.3">
      <c r="A9690" s="12"/>
    </row>
    <row r="9691" spans="1:1" x14ac:dyDescent="0.3">
      <c r="A9691" s="12"/>
    </row>
    <row r="9692" spans="1:1" x14ac:dyDescent="0.3">
      <c r="A9692" s="12"/>
    </row>
    <row r="9693" spans="1:1" x14ac:dyDescent="0.3">
      <c r="A9693" s="12"/>
    </row>
    <row r="9694" spans="1:1" x14ac:dyDescent="0.3">
      <c r="A9694" s="12"/>
    </row>
    <row r="9695" spans="1:1" x14ac:dyDescent="0.3">
      <c r="A9695" s="12"/>
    </row>
    <row r="9696" spans="1:1" x14ac:dyDescent="0.3">
      <c r="A9696" s="12"/>
    </row>
    <row r="9697" spans="1:1" x14ac:dyDescent="0.3">
      <c r="A9697" s="12"/>
    </row>
    <row r="9698" spans="1:1" x14ac:dyDescent="0.3">
      <c r="A9698" s="12"/>
    </row>
    <row r="9699" spans="1:1" x14ac:dyDescent="0.3">
      <c r="A9699" s="12"/>
    </row>
    <row r="9700" spans="1:1" x14ac:dyDescent="0.3">
      <c r="A9700" s="12"/>
    </row>
    <row r="9701" spans="1:1" x14ac:dyDescent="0.3">
      <c r="A9701" s="12"/>
    </row>
    <row r="9702" spans="1:1" x14ac:dyDescent="0.3">
      <c r="A9702" s="12"/>
    </row>
    <row r="9703" spans="1:1" x14ac:dyDescent="0.3">
      <c r="A9703" s="12"/>
    </row>
    <row r="9704" spans="1:1" x14ac:dyDescent="0.3">
      <c r="A9704" s="12"/>
    </row>
    <row r="9705" spans="1:1" x14ac:dyDescent="0.3">
      <c r="A9705" s="12"/>
    </row>
    <row r="9706" spans="1:1" x14ac:dyDescent="0.3">
      <c r="A9706" s="12"/>
    </row>
    <row r="9707" spans="1:1" x14ac:dyDescent="0.3">
      <c r="A9707" s="12"/>
    </row>
    <row r="9708" spans="1:1" x14ac:dyDescent="0.3">
      <c r="A9708" s="12"/>
    </row>
    <row r="9709" spans="1:1" x14ac:dyDescent="0.3">
      <c r="A9709" s="12"/>
    </row>
    <row r="9710" spans="1:1" x14ac:dyDescent="0.3">
      <c r="A9710" s="12"/>
    </row>
    <row r="9711" spans="1:1" x14ac:dyDescent="0.3">
      <c r="A9711" s="12"/>
    </row>
    <row r="9712" spans="1:1" x14ac:dyDescent="0.3">
      <c r="A9712" s="12"/>
    </row>
    <row r="9713" spans="1:1" x14ac:dyDescent="0.3">
      <c r="A9713" s="12"/>
    </row>
    <row r="9714" spans="1:1" x14ac:dyDescent="0.3">
      <c r="A9714" s="12"/>
    </row>
    <row r="9715" spans="1:1" x14ac:dyDescent="0.3">
      <c r="A9715" s="12"/>
    </row>
    <row r="9716" spans="1:1" x14ac:dyDescent="0.3">
      <c r="A9716" s="12"/>
    </row>
    <row r="9717" spans="1:1" x14ac:dyDescent="0.3">
      <c r="A9717" s="12"/>
    </row>
    <row r="9718" spans="1:1" x14ac:dyDescent="0.3">
      <c r="A9718" s="12"/>
    </row>
    <row r="9719" spans="1:1" x14ac:dyDescent="0.3">
      <c r="A9719" s="12"/>
    </row>
    <row r="9720" spans="1:1" x14ac:dyDescent="0.3">
      <c r="A9720" s="12"/>
    </row>
    <row r="9721" spans="1:1" x14ac:dyDescent="0.3">
      <c r="A9721" s="12"/>
    </row>
    <row r="9722" spans="1:1" x14ac:dyDescent="0.3">
      <c r="A9722" s="12"/>
    </row>
    <row r="9723" spans="1:1" x14ac:dyDescent="0.3">
      <c r="A9723" s="12"/>
    </row>
    <row r="9724" spans="1:1" x14ac:dyDescent="0.3">
      <c r="A9724" s="12"/>
    </row>
    <row r="9725" spans="1:1" x14ac:dyDescent="0.3">
      <c r="A9725" s="12"/>
    </row>
    <row r="9726" spans="1:1" x14ac:dyDescent="0.3">
      <c r="A9726" s="12"/>
    </row>
    <row r="9727" spans="1:1" x14ac:dyDescent="0.3">
      <c r="A9727" s="12"/>
    </row>
    <row r="9728" spans="1:1" x14ac:dyDescent="0.3">
      <c r="A9728" s="12"/>
    </row>
    <row r="9729" spans="1:1" x14ac:dyDescent="0.3">
      <c r="A9729" s="12"/>
    </row>
    <row r="9730" spans="1:1" x14ac:dyDescent="0.3">
      <c r="A9730" s="12"/>
    </row>
    <row r="9731" spans="1:1" x14ac:dyDescent="0.3">
      <c r="A9731" s="12"/>
    </row>
    <row r="9732" spans="1:1" x14ac:dyDescent="0.3">
      <c r="A9732" s="12"/>
    </row>
    <row r="9733" spans="1:1" x14ac:dyDescent="0.3">
      <c r="A9733" s="12"/>
    </row>
    <row r="9734" spans="1:1" x14ac:dyDescent="0.3">
      <c r="A9734" s="12"/>
    </row>
    <row r="9735" spans="1:1" x14ac:dyDescent="0.3">
      <c r="A9735" s="12"/>
    </row>
    <row r="9736" spans="1:1" x14ac:dyDescent="0.3">
      <c r="A9736" s="12"/>
    </row>
    <row r="9737" spans="1:1" x14ac:dyDescent="0.3">
      <c r="A9737" s="12"/>
    </row>
    <row r="9738" spans="1:1" x14ac:dyDescent="0.3">
      <c r="A9738" s="12"/>
    </row>
    <row r="9739" spans="1:1" x14ac:dyDescent="0.3">
      <c r="A9739" s="12"/>
    </row>
    <row r="9740" spans="1:1" x14ac:dyDescent="0.3">
      <c r="A9740" s="12"/>
    </row>
    <row r="9741" spans="1:1" x14ac:dyDescent="0.3">
      <c r="A9741" s="12"/>
    </row>
    <row r="9742" spans="1:1" x14ac:dyDescent="0.3">
      <c r="A9742" s="12"/>
    </row>
    <row r="9743" spans="1:1" x14ac:dyDescent="0.3">
      <c r="A9743" s="12"/>
    </row>
    <row r="9744" spans="1:1" x14ac:dyDescent="0.3">
      <c r="A9744" s="12"/>
    </row>
    <row r="9745" spans="1:1" x14ac:dyDescent="0.3">
      <c r="A9745" s="12"/>
    </row>
    <row r="9746" spans="1:1" x14ac:dyDescent="0.3">
      <c r="A9746" s="12"/>
    </row>
    <row r="9747" spans="1:1" x14ac:dyDescent="0.3">
      <c r="A9747" s="12"/>
    </row>
    <row r="9748" spans="1:1" x14ac:dyDescent="0.3">
      <c r="A9748" s="12"/>
    </row>
    <row r="9749" spans="1:1" x14ac:dyDescent="0.3">
      <c r="A9749" s="12"/>
    </row>
    <row r="9750" spans="1:1" x14ac:dyDescent="0.3">
      <c r="A9750" s="12"/>
    </row>
    <row r="9751" spans="1:1" x14ac:dyDescent="0.3">
      <c r="A9751" s="12"/>
    </row>
    <row r="9752" spans="1:1" x14ac:dyDescent="0.3">
      <c r="A9752" s="12"/>
    </row>
    <row r="9753" spans="1:1" x14ac:dyDescent="0.3">
      <c r="A9753" s="12"/>
    </row>
    <row r="9754" spans="1:1" x14ac:dyDescent="0.3">
      <c r="A9754" s="12"/>
    </row>
    <row r="9755" spans="1:1" x14ac:dyDescent="0.3">
      <c r="A9755" s="12"/>
    </row>
    <row r="9756" spans="1:1" x14ac:dyDescent="0.3">
      <c r="A9756" s="12"/>
    </row>
    <row r="9757" spans="1:1" x14ac:dyDescent="0.3">
      <c r="A9757" s="12"/>
    </row>
    <row r="9758" spans="1:1" x14ac:dyDescent="0.3">
      <c r="A9758" s="12"/>
    </row>
    <row r="9759" spans="1:1" x14ac:dyDescent="0.3">
      <c r="A9759" s="12"/>
    </row>
    <row r="9760" spans="1:1" x14ac:dyDescent="0.3">
      <c r="A9760" s="12"/>
    </row>
    <row r="9761" spans="1:1" x14ac:dyDescent="0.3">
      <c r="A9761" s="12"/>
    </row>
    <row r="9762" spans="1:1" x14ac:dyDescent="0.3">
      <c r="A9762" s="12"/>
    </row>
    <row r="9763" spans="1:1" x14ac:dyDescent="0.3">
      <c r="A9763" s="12"/>
    </row>
    <row r="9764" spans="1:1" x14ac:dyDescent="0.3">
      <c r="A9764" s="12"/>
    </row>
    <row r="9765" spans="1:1" x14ac:dyDescent="0.3">
      <c r="A9765" s="12"/>
    </row>
    <row r="9766" spans="1:1" x14ac:dyDescent="0.3">
      <c r="A9766" s="12"/>
    </row>
    <row r="9767" spans="1:1" x14ac:dyDescent="0.3">
      <c r="A9767" s="12"/>
    </row>
    <row r="9768" spans="1:1" x14ac:dyDescent="0.3">
      <c r="A9768" s="12"/>
    </row>
    <row r="9769" spans="1:1" x14ac:dyDescent="0.3">
      <c r="A9769" s="12"/>
    </row>
    <row r="9770" spans="1:1" x14ac:dyDescent="0.3">
      <c r="A9770" s="12"/>
    </row>
    <row r="9771" spans="1:1" x14ac:dyDescent="0.3">
      <c r="A9771" s="12"/>
    </row>
    <row r="9772" spans="1:1" x14ac:dyDescent="0.3">
      <c r="A9772" s="12"/>
    </row>
    <row r="9773" spans="1:1" x14ac:dyDescent="0.3">
      <c r="A9773" s="12"/>
    </row>
    <row r="9774" spans="1:1" x14ac:dyDescent="0.3">
      <c r="A9774" s="12"/>
    </row>
    <row r="9775" spans="1:1" x14ac:dyDescent="0.3">
      <c r="A9775" s="12"/>
    </row>
    <row r="9776" spans="1:1" x14ac:dyDescent="0.3">
      <c r="A9776" s="12"/>
    </row>
    <row r="9777" spans="1:1" x14ac:dyDescent="0.3">
      <c r="A9777" s="12"/>
    </row>
    <row r="9778" spans="1:1" x14ac:dyDescent="0.3">
      <c r="A9778" s="12"/>
    </row>
    <row r="9779" spans="1:1" x14ac:dyDescent="0.3">
      <c r="A9779" s="12"/>
    </row>
    <row r="9780" spans="1:1" x14ac:dyDescent="0.3">
      <c r="A9780" s="12"/>
    </row>
    <row r="9781" spans="1:1" x14ac:dyDescent="0.3">
      <c r="A9781" s="12"/>
    </row>
    <row r="9782" spans="1:1" x14ac:dyDescent="0.3">
      <c r="A9782" s="12"/>
    </row>
    <row r="9783" spans="1:1" x14ac:dyDescent="0.3">
      <c r="A9783" s="12"/>
    </row>
    <row r="9784" spans="1:1" x14ac:dyDescent="0.3">
      <c r="A9784" s="12"/>
    </row>
    <row r="9785" spans="1:1" x14ac:dyDescent="0.3">
      <c r="A9785" s="12"/>
    </row>
    <row r="9786" spans="1:1" x14ac:dyDescent="0.3">
      <c r="A9786" s="12"/>
    </row>
    <row r="9787" spans="1:1" x14ac:dyDescent="0.3">
      <c r="A9787" s="12"/>
    </row>
    <row r="9788" spans="1:1" x14ac:dyDescent="0.3">
      <c r="A9788" s="12"/>
    </row>
    <row r="9789" spans="1:1" x14ac:dyDescent="0.3">
      <c r="A9789" s="12"/>
    </row>
    <row r="9790" spans="1:1" x14ac:dyDescent="0.3">
      <c r="A9790" s="12"/>
    </row>
    <row r="9791" spans="1:1" x14ac:dyDescent="0.3">
      <c r="A9791" s="12"/>
    </row>
    <row r="9792" spans="1:1" x14ac:dyDescent="0.3">
      <c r="A9792" s="12"/>
    </row>
    <row r="9793" spans="1:1" x14ac:dyDescent="0.3">
      <c r="A9793" s="12"/>
    </row>
    <row r="9794" spans="1:1" x14ac:dyDescent="0.3">
      <c r="A9794" s="12"/>
    </row>
    <row r="9795" spans="1:1" x14ac:dyDescent="0.3">
      <c r="A9795" s="12"/>
    </row>
    <row r="9796" spans="1:1" x14ac:dyDescent="0.3">
      <c r="A9796" s="12"/>
    </row>
    <row r="9797" spans="1:1" x14ac:dyDescent="0.3">
      <c r="A9797" s="12"/>
    </row>
    <row r="9798" spans="1:1" x14ac:dyDescent="0.3">
      <c r="A9798" s="12"/>
    </row>
    <row r="9799" spans="1:1" x14ac:dyDescent="0.3">
      <c r="A9799" s="12"/>
    </row>
    <row r="9800" spans="1:1" x14ac:dyDescent="0.3">
      <c r="A9800" s="12"/>
    </row>
    <row r="9801" spans="1:1" x14ac:dyDescent="0.3">
      <c r="A9801" s="12"/>
    </row>
    <row r="9802" spans="1:1" x14ac:dyDescent="0.3">
      <c r="A9802" s="12"/>
    </row>
    <row r="9803" spans="1:1" x14ac:dyDescent="0.3">
      <c r="A9803" s="12"/>
    </row>
    <row r="9804" spans="1:1" x14ac:dyDescent="0.3">
      <c r="A9804" s="12"/>
    </row>
    <row r="9805" spans="1:1" x14ac:dyDescent="0.3">
      <c r="A9805" s="12"/>
    </row>
    <row r="9806" spans="1:1" x14ac:dyDescent="0.3">
      <c r="A9806" s="12"/>
    </row>
    <row r="9807" spans="1:1" x14ac:dyDescent="0.3">
      <c r="A9807" s="12"/>
    </row>
    <row r="9808" spans="1:1" x14ac:dyDescent="0.3">
      <c r="A9808" s="12"/>
    </row>
    <row r="9809" spans="1:1" x14ac:dyDescent="0.3">
      <c r="A9809" s="12"/>
    </row>
    <row r="9810" spans="1:1" x14ac:dyDescent="0.3">
      <c r="A9810" s="12"/>
    </row>
    <row r="9811" spans="1:1" x14ac:dyDescent="0.3">
      <c r="A9811" s="12"/>
    </row>
    <row r="9812" spans="1:1" x14ac:dyDescent="0.3">
      <c r="A9812" s="12"/>
    </row>
    <row r="9813" spans="1:1" x14ac:dyDescent="0.3">
      <c r="A9813" s="12"/>
    </row>
    <row r="9814" spans="1:1" x14ac:dyDescent="0.3">
      <c r="A9814" s="12"/>
    </row>
    <row r="9815" spans="1:1" x14ac:dyDescent="0.3">
      <c r="A9815" s="12"/>
    </row>
    <row r="9816" spans="1:1" x14ac:dyDescent="0.3">
      <c r="A9816" s="12"/>
    </row>
    <row r="9817" spans="1:1" x14ac:dyDescent="0.3">
      <c r="A9817" s="12"/>
    </row>
    <row r="9818" spans="1:1" x14ac:dyDescent="0.3">
      <c r="A9818" s="12"/>
    </row>
    <row r="9819" spans="1:1" x14ac:dyDescent="0.3">
      <c r="A9819" s="12"/>
    </row>
    <row r="9820" spans="1:1" x14ac:dyDescent="0.3">
      <c r="A9820" s="12"/>
    </row>
    <row r="9821" spans="1:1" x14ac:dyDescent="0.3">
      <c r="A9821" s="12"/>
    </row>
    <row r="9822" spans="1:1" x14ac:dyDescent="0.3">
      <c r="A9822" s="12"/>
    </row>
    <row r="9823" spans="1:1" x14ac:dyDescent="0.3">
      <c r="A9823" s="12"/>
    </row>
    <row r="9824" spans="1:1" x14ac:dyDescent="0.3">
      <c r="A9824" s="12"/>
    </row>
    <row r="9825" spans="1:1" x14ac:dyDescent="0.3">
      <c r="A9825" s="12"/>
    </row>
    <row r="9826" spans="1:1" x14ac:dyDescent="0.3">
      <c r="A9826" s="12"/>
    </row>
    <row r="9827" spans="1:1" x14ac:dyDescent="0.3">
      <c r="A9827" s="12"/>
    </row>
    <row r="9828" spans="1:1" x14ac:dyDescent="0.3">
      <c r="A9828" s="12"/>
    </row>
    <row r="9829" spans="1:1" x14ac:dyDescent="0.3">
      <c r="A9829" s="12"/>
    </row>
    <row r="9830" spans="1:1" x14ac:dyDescent="0.3">
      <c r="A9830" s="12"/>
    </row>
    <row r="9831" spans="1:1" x14ac:dyDescent="0.3">
      <c r="A9831" s="12"/>
    </row>
    <row r="9832" spans="1:1" x14ac:dyDescent="0.3">
      <c r="A9832" s="12"/>
    </row>
    <row r="9833" spans="1:1" x14ac:dyDescent="0.3">
      <c r="A9833" s="12"/>
    </row>
    <row r="9834" spans="1:1" x14ac:dyDescent="0.3">
      <c r="A9834" s="12"/>
    </row>
    <row r="9835" spans="1:1" x14ac:dyDescent="0.3">
      <c r="A9835" s="12"/>
    </row>
    <row r="9836" spans="1:1" x14ac:dyDescent="0.3">
      <c r="A9836" s="12"/>
    </row>
    <row r="9837" spans="1:1" x14ac:dyDescent="0.3">
      <c r="A9837" s="12"/>
    </row>
    <row r="9838" spans="1:1" x14ac:dyDescent="0.3">
      <c r="A9838" s="12"/>
    </row>
    <row r="9839" spans="1:1" x14ac:dyDescent="0.3">
      <c r="A9839" s="12"/>
    </row>
    <row r="9840" spans="1:1" x14ac:dyDescent="0.3">
      <c r="A9840" s="12"/>
    </row>
    <row r="9841" spans="1:1" x14ac:dyDescent="0.3">
      <c r="A9841" s="12"/>
    </row>
    <row r="9842" spans="1:1" x14ac:dyDescent="0.3">
      <c r="A9842" s="12"/>
    </row>
    <row r="9843" spans="1:1" x14ac:dyDescent="0.3">
      <c r="A9843" s="12"/>
    </row>
    <row r="9844" spans="1:1" x14ac:dyDescent="0.3">
      <c r="A9844" s="12"/>
    </row>
    <row r="9845" spans="1:1" x14ac:dyDescent="0.3">
      <c r="A9845" s="12"/>
    </row>
    <row r="9846" spans="1:1" x14ac:dyDescent="0.3">
      <c r="A9846" s="12"/>
    </row>
    <row r="9847" spans="1:1" x14ac:dyDescent="0.3">
      <c r="A9847" s="12"/>
    </row>
    <row r="9848" spans="1:1" x14ac:dyDescent="0.3">
      <c r="A9848" s="12"/>
    </row>
    <row r="9849" spans="1:1" x14ac:dyDescent="0.3">
      <c r="A9849" s="12"/>
    </row>
    <row r="9850" spans="1:1" x14ac:dyDescent="0.3">
      <c r="A9850" s="12"/>
    </row>
    <row r="9851" spans="1:1" x14ac:dyDescent="0.3">
      <c r="A9851" s="12"/>
    </row>
    <row r="9852" spans="1:1" x14ac:dyDescent="0.3">
      <c r="A9852" s="12"/>
    </row>
    <row r="9853" spans="1:1" x14ac:dyDescent="0.3">
      <c r="A9853" s="12"/>
    </row>
    <row r="9854" spans="1:1" x14ac:dyDescent="0.3">
      <c r="A9854" s="12"/>
    </row>
    <row r="9855" spans="1:1" x14ac:dyDescent="0.3">
      <c r="A9855" s="12"/>
    </row>
    <row r="9856" spans="1:1" x14ac:dyDescent="0.3">
      <c r="A9856" s="12"/>
    </row>
    <row r="9857" spans="1:1" x14ac:dyDescent="0.3">
      <c r="A9857" s="12"/>
    </row>
    <row r="9858" spans="1:1" x14ac:dyDescent="0.3">
      <c r="A9858" s="12"/>
    </row>
    <row r="9859" spans="1:1" x14ac:dyDescent="0.3">
      <c r="A9859" s="12"/>
    </row>
    <row r="9860" spans="1:1" x14ac:dyDescent="0.3">
      <c r="A9860" s="12"/>
    </row>
    <row r="9861" spans="1:1" x14ac:dyDescent="0.3">
      <c r="A9861" s="12"/>
    </row>
    <row r="9862" spans="1:1" x14ac:dyDescent="0.3">
      <c r="A9862" s="12"/>
    </row>
    <row r="9863" spans="1:1" x14ac:dyDescent="0.3">
      <c r="A9863" s="12"/>
    </row>
    <row r="9864" spans="1:1" x14ac:dyDescent="0.3">
      <c r="A9864" s="12"/>
    </row>
    <row r="9865" spans="1:1" x14ac:dyDescent="0.3">
      <c r="A9865" s="12"/>
    </row>
    <row r="9866" spans="1:1" x14ac:dyDescent="0.3">
      <c r="A9866" s="12"/>
    </row>
    <row r="9867" spans="1:1" x14ac:dyDescent="0.3">
      <c r="A9867" s="12"/>
    </row>
    <row r="9868" spans="1:1" x14ac:dyDescent="0.3">
      <c r="A9868" s="12"/>
    </row>
    <row r="9869" spans="1:1" x14ac:dyDescent="0.3">
      <c r="A9869" s="12"/>
    </row>
    <row r="9870" spans="1:1" x14ac:dyDescent="0.3">
      <c r="A9870" s="12"/>
    </row>
    <row r="9871" spans="1:1" x14ac:dyDescent="0.3">
      <c r="A9871" s="12"/>
    </row>
    <row r="9872" spans="1:1" x14ac:dyDescent="0.3">
      <c r="A9872" s="12"/>
    </row>
    <row r="9873" spans="1:1" x14ac:dyDescent="0.3">
      <c r="A9873" s="12"/>
    </row>
    <row r="9874" spans="1:1" x14ac:dyDescent="0.3">
      <c r="A9874" s="12"/>
    </row>
    <row r="9875" spans="1:1" x14ac:dyDescent="0.3">
      <c r="A9875" s="12"/>
    </row>
    <row r="9876" spans="1:1" x14ac:dyDescent="0.3">
      <c r="A9876" s="12"/>
    </row>
    <row r="9877" spans="1:1" x14ac:dyDescent="0.3">
      <c r="A9877" s="12"/>
    </row>
    <row r="9878" spans="1:1" x14ac:dyDescent="0.3">
      <c r="A9878" s="12"/>
    </row>
    <row r="9879" spans="1:1" x14ac:dyDescent="0.3">
      <c r="A9879" s="12"/>
    </row>
    <row r="9880" spans="1:1" x14ac:dyDescent="0.3">
      <c r="A9880" s="12"/>
    </row>
    <row r="9881" spans="1:1" x14ac:dyDescent="0.3">
      <c r="A9881" s="12"/>
    </row>
    <row r="9882" spans="1:1" x14ac:dyDescent="0.3">
      <c r="A9882" s="12"/>
    </row>
    <row r="9883" spans="1:1" x14ac:dyDescent="0.3">
      <c r="A9883" s="12"/>
    </row>
    <row r="9884" spans="1:1" x14ac:dyDescent="0.3">
      <c r="A9884" s="12"/>
    </row>
    <row r="9885" spans="1:1" x14ac:dyDescent="0.3">
      <c r="A9885" s="12"/>
    </row>
    <row r="9886" spans="1:1" x14ac:dyDescent="0.3">
      <c r="A9886" s="12"/>
    </row>
    <row r="9887" spans="1:1" x14ac:dyDescent="0.3">
      <c r="A9887" s="12"/>
    </row>
    <row r="9888" spans="1:1" x14ac:dyDescent="0.3">
      <c r="A9888" s="12"/>
    </row>
    <row r="9889" spans="1:1" x14ac:dyDescent="0.3">
      <c r="A9889" s="12"/>
    </row>
    <row r="9890" spans="1:1" x14ac:dyDescent="0.3">
      <c r="A9890" s="12"/>
    </row>
    <row r="9891" spans="1:1" x14ac:dyDescent="0.3">
      <c r="A9891" s="12"/>
    </row>
    <row r="9892" spans="1:1" x14ac:dyDescent="0.3">
      <c r="A9892" s="12"/>
    </row>
    <row r="9893" spans="1:1" x14ac:dyDescent="0.3">
      <c r="A9893" s="12"/>
    </row>
    <row r="9894" spans="1:1" x14ac:dyDescent="0.3">
      <c r="A9894" s="12"/>
    </row>
    <row r="9895" spans="1:1" x14ac:dyDescent="0.3">
      <c r="A9895" s="12"/>
    </row>
    <row r="9896" spans="1:1" x14ac:dyDescent="0.3">
      <c r="A9896" s="12"/>
    </row>
    <row r="9897" spans="1:1" x14ac:dyDescent="0.3">
      <c r="A9897" s="12"/>
    </row>
    <row r="9898" spans="1:1" x14ac:dyDescent="0.3">
      <c r="A9898" s="12"/>
    </row>
    <row r="9899" spans="1:1" x14ac:dyDescent="0.3">
      <c r="A9899" s="12"/>
    </row>
    <row r="9900" spans="1:1" x14ac:dyDescent="0.3">
      <c r="A9900" s="12"/>
    </row>
    <row r="9901" spans="1:1" x14ac:dyDescent="0.3">
      <c r="A9901" s="12"/>
    </row>
    <row r="9902" spans="1:1" x14ac:dyDescent="0.3">
      <c r="A9902" s="12"/>
    </row>
    <row r="9903" spans="1:1" x14ac:dyDescent="0.3">
      <c r="A9903" s="12"/>
    </row>
    <row r="9904" spans="1:1" x14ac:dyDescent="0.3">
      <c r="A9904" s="12"/>
    </row>
    <row r="9905" spans="1:1" x14ac:dyDescent="0.3">
      <c r="A9905" s="12"/>
    </row>
    <row r="9906" spans="1:1" x14ac:dyDescent="0.3">
      <c r="A9906" s="12"/>
    </row>
    <row r="9907" spans="1:1" x14ac:dyDescent="0.3">
      <c r="A9907" s="12"/>
    </row>
    <row r="9908" spans="1:1" x14ac:dyDescent="0.3">
      <c r="A9908" s="12"/>
    </row>
    <row r="9909" spans="1:1" x14ac:dyDescent="0.3">
      <c r="A9909" s="12"/>
    </row>
    <row r="9910" spans="1:1" x14ac:dyDescent="0.3">
      <c r="A9910" s="12"/>
    </row>
    <row r="9911" spans="1:1" x14ac:dyDescent="0.3">
      <c r="A9911" s="12"/>
    </row>
    <row r="9912" spans="1:1" x14ac:dyDescent="0.3">
      <c r="A9912" s="12"/>
    </row>
    <row r="9913" spans="1:1" x14ac:dyDescent="0.3">
      <c r="A9913" s="12"/>
    </row>
    <row r="9914" spans="1:1" x14ac:dyDescent="0.3">
      <c r="A9914" s="12"/>
    </row>
    <row r="9915" spans="1:1" x14ac:dyDescent="0.3">
      <c r="A9915" s="12"/>
    </row>
    <row r="9916" spans="1:1" x14ac:dyDescent="0.3">
      <c r="A9916" s="12"/>
    </row>
    <row r="9917" spans="1:1" x14ac:dyDescent="0.3">
      <c r="A9917" s="12"/>
    </row>
    <row r="9918" spans="1:1" x14ac:dyDescent="0.3">
      <c r="A9918" s="12"/>
    </row>
    <row r="9919" spans="1:1" x14ac:dyDescent="0.3">
      <c r="A9919" s="12"/>
    </row>
    <row r="9920" spans="1:1" x14ac:dyDescent="0.3">
      <c r="A9920" s="12"/>
    </row>
    <row r="9921" spans="1:1" x14ac:dyDescent="0.3">
      <c r="A9921" s="12"/>
    </row>
    <row r="9922" spans="1:1" x14ac:dyDescent="0.3">
      <c r="A9922" s="12"/>
    </row>
    <row r="9923" spans="1:1" x14ac:dyDescent="0.3">
      <c r="A9923" s="12"/>
    </row>
    <row r="9924" spans="1:1" x14ac:dyDescent="0.3">
      <c r="A9924" s="12"/>
    </row>
    <row r="9925" spans="1:1" x14ac:dyDescent="0.3">
      <c r="A9925" s="12"/>
    </row>
    <row r="9926" spans="1:1" x14ac:dyDescent="0.3">
      <c r="A9926" s="12"/>
    </row>
    <row r="9927" spans="1:1" x14ac:dyDescent="0.3">
      <c r="A9927" s="12"/>
    </row>
    <row r="9928" spans="1:1" x14ac:dyDescent="0.3">
      <c r="A9928" s="12"/>
    </row>
    <row r="9929" spans="1:1" x14ac:dyDescent="0.3">
      <c r="A9929" s="12"/>
    </row>
    <row r="9930" spans="1:1" x14ac:dyDescent="0.3">
      <c r="A9930" s="12"/>
    </row>
    <row r="9931" spans="1:1" x14ac:dyDescent="0.3">
      <c r="A9931" s="12"/>
    </row>
    <row r="9932" spans="1:1" x14ac:dyDescent="0.3">
      <c r="A9932" s="12"/>
    </row>
    <row r="9933" spans="1:1" x14ac:dyDescent="0.3">
      <c r="A9933" s="12"/>
    </row>
    <row r="9934" spans="1:1" x14ac:dyDescent="0.3">
      <c r="A9934" s="12"/>
    </row>
    <row r="9935" spans="1:1" x14ac:dyDescent="0.3">
      <c r="A9935" s="12"/>
    </row>
    <row r="9936" spans="1:1" x14ac:dyDescent="0.3">
      <c r="A9936" s="12"/>
    </row>
    <row r="9937" spans="1:1" x14ac:dyDescent="0.3">
      <c r="A9937" s="12"/>
    </row>
    <row r="9938" spans="1:1" x14ac:dyDescent="0.3">
      <c r="A9938" s="12"/>
    </row>
    <row r="9939" spans="1:1" x14ac:dyDescent="0.3">
      <c r="A9939" s="12"/>
    </row>
    <row r="9940" spans="1:1" x14ac:dyDescent="0.3">
      <c r="A9940" s="12"/>
    </row>
    <row r="9941" spans="1:1" x14ac:dyDescent="0.3">
      <c r="A9941" s="12"/>
    </row>
    <row r="9942" spans="1:1" x14ac:dyDescent="0.3">
      <c r="A9942" s="12"/>
    </row>
    <row r="9943" spans="1:1" x14ac:dyDescent="0.3">
      <c r="A9943" s="12"/>
    </row>
    <row r="9944" spans="1:1" x14ac:dyDescent="0.3">
      <c r="A9944" s="12"/>
    </row>
    <row r="9945" spans="1:1" x14ac:dyDescent="0.3">
      <c r="A9945" s="12"/>
    </row>
    <row r="9946" spans="1:1" x14ac:dyDescent="0.3">
      <c r="A9946" s="12"/>
    </row>
    <row r="9947" spans="1:1" x14ac:dyDescent="0.3">
      <c r="A9947" s="12"/>
    </row>
    <row r="9948" spans="1:1" x14ac:dyDescent="0.3">
      <c r="A9948" s="12"/>
    </row>
    <row r="9949" spans="1:1" x14ac:dyDescent="0.3">
      <c r="A9949" s="12"/>
    </row>
    <row r="9950" spans="1:1" x14ac:dyDescent="0.3">
      <c r="A9950" s="12"/>
    </row>
    <row r="9951" spans="1:1" x14ac:dyDescent="0.3">
      <c r="A9951" s="12"/>
    </row>
    <row r="9952" spans="1:1" x14ac:dyDescent="0.3">
      <c r="A9952" s="12"/>
    </row>
    <row r="9953" spans="1:1" x14ac:dyDescent="0.3">
      <c r="A9953" s="12"/>
    </row>
    <row r="9954" spans="1:1" x14ac:dyDescent="0.3">
      <c r="A9954" s="12"/>
    </row>
    <row r="9955" spans="1:1" x14ac:dyDescent="0.3">
      <c r="A9955" s="12"/>
    </row>
    <row r="9956" spans="1:1" x14ac:dyDescent="0.3">
      <c r="A9956" s="12"/>
    </row>
    <row r="9957" spans="1:1" x14ac:dyDescent="0.3">
      <c r="A9957" s="12"/>
    </row>
    <row r="9958" spans="1:1" x14ac:dyDescent="0.3">
      <c r="A9958" s="12"/>
    </row>
    <row r="9959" spans="1:1" x14ac:dyDescent="0.3">
      <c r="A9959" s="12"/>
    </row>
    <row r="9960" spans="1:1" x14ac:dyDescent="0.3">
      <c r="A9960" s="12"/>
    </row>
    <row r="9961" spans="1:1" x14ac:dyDescent="0.3">
      <c r="A9961" s="12"/>
    </row>
    <row r="9962" spans="1:1" x14ac:dyDescent="0.3">
      <c r="A9962" s="12"/>
    </row>
    <row r="9963" spans="1:1" x14ac:dyDescent="0.3">
      <c r="A9963" s="12"/>
    </row>
    <row r="9964" spans="1:1" x14ac:dyDescent="0.3">
      <c r="A9964" s="12"/>
    </row>
    <row r="9965" spans="1:1" x14ac:dyDescent="0.3">
      <c r="A9965" s="12"/>
    </row>
    <row r="9966" spans="1:1" x14ac:dyDescent="0.3">
      <c r="A9966" s="12"/>
    </row>
    <row r="9967" spans="1:1" x14ac:dyDescent="0.3">
      <c r="A9967" s="12"/>
    </row>
    <row r="9968" spans="1:1" x14ac:dyDescent="0.3">
      <c r="A9968" s="12"/>
    </row>
    <row r="9969" spans="1:1" x14ac:dyDescent="0.3">
      <c r="A9969" s="12"/>
    </row>
    <row r="9970" spans="1:1" x14ac:dyDescent="0.3">
      <c r="A9970" s="12"/>
    </row>
    <row r="9971" spans="1:1" x14ac:dyDescent="0.3">
      <c r="A9971" s="12"/>
    </row>
    <row r="9972" spans="1:1" x14ac:dyDescent="0.3">
      <c r="A9972" s="12"/>
    </row>
    <row r="9973" spans="1:1" x14ac:dyDescent="0.3">
      <c r="A9973" s="12"/>
    </row>
    <row r="9974" spans="1:1" x14ac:dyDescent="0.3">
      <c r="A9974" s="12"/>
    </row>
    <row r="9975" spans="1:1" x14ac:dyDescent="0.3">
      <c r="A9975" s="12"/>
    </row>
    <row r="9976" spans="1:1" x14ac:dyDescent="0.3">
      <c r="A9976" s="12"/>
    </row>
    <row r="9977" spans="1:1" x14ac:dyDescent="0.3">
      <c r="A9977" s="12"/>
    </row>
    <row r="9978" spans="1:1" x14ac:dyDescent="0.3">
      <c r="A9978" s="12"/>
    </row>
    <row r="9979" spans="1:1" x14ac:dyDescent="0.3">
      <c r="A9979" s="12"/>
    </row>
    <row r="9980" spans="1:1" x14ac:dyDescent="0.3">
      <c r="A9980" s="12"/>
    </row>
    <row r="9981" spans="1:1" x14ac:dyDescent="0.3">
      <c r="A9981" s="12"/>
    </row>
    <row r="9982" spans="1:1" x14ac:dyDescent="0.3">
      <c r="A9982" s="12"/>
    </row>
    <row r="9983" spans="1:1" x14ac:dyDescent="0.3">
      <c r="A9983" s="12"/>
    </row>
    <row r="9984" spans="1:1" x14ac:dyDescent="0.3">
      <c r="A9984" s="12"/>
    </row>
    <row r="9985" spans="1:1" x14ac:dyDescent="0.3">
      <c r="A9985" s="12"/>
    </row>
    <row r="9986" spans="1:1" x14ac:dyDescent="0.3">
      <c r="A9986" s="12"/>
    </row>
    <row r="9987" spans="1:1" x14ac:dyDescent="0.3">
      <c r="A9987" s="12"/>
    </row>
    <row r="9988" spans="1:1" x14ac:dyDescent="0.3">
      <c r="A9988" s="12"/>
    </row>
    <row r="9989" spans="1:1" x14ac:dyDescent="0.3">
      <c r="A9989" s="12"/>
    </row>
    <row r="9990" spans="1:1" x14ac:dyDescent="0.3">
      <c r="A9990" s="12"/>
    </row>
    <row r="9991" spans="1:1" x14ac:dyDescent="0.3">
      <c r="A9991" s="12"/>
    </row>
    <row r="9992" spans="1:1" x14ac:dyDescent="0.3">
      <c r="A9992" s="12"/>
    </row>
    <row r="9993" spans="1:1" x14ac:dyDescent="0.3">
      <c r="A9993" s="12"/>
    </row>
    <row r="9994" spans="1:1" x14ac:dyDescent="0.3">
      <c r="A9994" s="12"/>
    </row>
    <row r="9995" spans="1:1" x14ac:dyDescent="0.3">
      <c r="A9995" s="12"/>
    </row>
    <row r="9996" spans="1:1" x14ac:dyDescent="0.3">
      <c r="A9996" s="12"/>
    </row>
    <row r="9997" spans="1:1" x14ac:dyDescent="0.3">
      <c r="A9997" s="12"/>
    </row>
    <row r="9998" spans="1:1" x14ac:dyDescent="0.3">
      <c r="A9998" s="12"/>
    </row>
    <row r="9999" spans="1:1" x14ac:dyDescent="0.3">
      <c r="A9999" s="12"/>
    </row>
    <row r="10000" spans="1:1" x14ac:dyDescent="0.3">
      <c r="A10000" s="12"/>
    </row>
    <row r="10001" spans="1:1" x14ac:dyDescent="0.3">
      <c r="A10001" s="12"/>
    </row>
    <row r="10002" spans="1:1" x14ac:dyDescent="0.3">
      <c r="A10002" s="12"/>
    </row>
    <row r="10003" spans="1:1" x14ac:dyDescent="0.3">
      <c r="A10003" s="12"/>
    </row>
    <row r="10004" spans="1:1" x14ac:dyDescent="0.3">
      <c r="A10004" s="12"/>
    </row>
    <row r="10005" spans="1:1" x14ac:dyDescent="0.3">
      <c r="A10005" s="12"/>
    </row>
    <row r="10006" spans="1:1" x14ac:dyDescent="0.3">
      <c r="A10006" s="12"/>
    </row>
    <row r="10007" spans="1:1" x14ac:dyDescent="0.3">
      <c r="A10007" s="12"/>
    </row>
    <row r="10008" spans="1:1" x14ac:dyDescent="0.3">
      <c r="A10008" s="12"/>
    </row>
    <row r="10009" spans="1:1" x14ac:dyDescent="0.3">
      <c r="A10009" s="12"/>
    </row>
    <row r="10010" spans="1:1" x14ac:dyDescent="0.3">
      <c r="A10010" s="12"/>
    </row>
    <row r="10011" spans="1:1" x14ac:dyDescent="0.3">
      <c r="A10011" s="12"/>
    </row>
    <row r="10012" spans="1:1" x14ac:dyDescent="0.3">
      <c r="A10012" s="12"/>
    </row>
    <row r="10013" spans="1:1" x14ac:dyDescent="0.3">
      <c r="A10013" s="12"/>
    </row>
    <row r="10014" spans="1:1" x14ac:dyDescent="0.3">
      <c r="A10014" s="12"/>
    </row>
    <row r="10015" spans="1:1" x14ac:dyDescent="0.3">
      <c r="A10015" s="12"/>
    </row>
    <row r="10016" spans="1:1" x14ac:dyDescent="0.3">
      <c r="A10016" s="12"/>
    </row>
    <row r="10017" spans="1:1" x14ac:dyDescent="0.3">
      <c r="A10017" s="12"/>
    </row>
    <row r="10018" spans="1:1" x14ac:dyDescent="0.3">
      <c r="A10018" s="12"/>
    </row>
    <row r="10019" spans="1:1" x14ac:dyDescent="0.3">
      <c r="A10019" s="12"/>
    </row>
    <row r="10020" spans="1:1" x14ac:dyDescent="0.3">
      <c r="A10020" s="12"/>
    </row>
    <row r="10021" spans="1:1" x14ac:dyDescent="0.3">
      <c r="A10021" s="12"/>
    </row>
    <row r="10022" spans="1:1" x14ac:dyDescent="0.3">
      <c r="A10022" s="12"/>
    </row>
    <row r="10023" spans="1:1" x14ac:dyDescent="0.3">
      <c r="A10023" s="12"/>
    </row>
    <row r="10024" spans="1:1" x14ac:dyDescent="0.3">
      <c r="A10024" s="12"/>
    </row>
    <row r="10025" spans="1:1" x14ac:dyDescent="0.3">
      <c r="A10025" s="12"/>
    </row>
    <row r="10026" spans="1:1" x14ac:dyDescent="0.3">
      <c r="A10026" s="12"/>
    </row>
    <row r="10027" spans="1:1" x14ac:dyDescent="0.3">
      <c r="A10027" s="12"/>
    </row>
    <row r="10028" spans="1:1" x14ac:dyDescent="0.3">
      <c r="A10028" s="12"/>
    </row>
    <row r="10029" spans="1:1" x14ac:dyDescent="0.3">
      <c r="A10029" s="12"/>
    </row>
    <row r="10030" spans="1:1" x14ac:dyDescent="0.3">
      <c r="A10030" s="12"/>
    </row>
    <row r="10031" spans="1:1" x14ac:dyDescent="0.3">
      <c r="A10031" s="12"/>
    </row>
    <row r="10032" spans="1:1" x14ac:dyDescent="0.3">
      <c r="A10032" s="12"/>
    </row>
    <row r="10033" spans="1:1" x14ac:dyDescent="0.3">
      <c r="A10033" s="12"/>
    </row>
    <row r="10034" spans="1:1" x14ac:dyDescent="0.3">
      <c r="A10034" s="12"/>
    </row>
    <row r="10035" spans="1:1" x14ac:dyDescent="0.3">
      <c r="A10035" s="12"/>
    </row>
    <row r="10036" spans="1:1" x14ac:dyDescent="0.3">
      <c r="A10036" s="12"/>
    </row>
    <row r="10037" spans="1:1" x14ac:dyDescent="0.3">
      <c r="A10037" s="12"/>
    </row>
    <row r="10038" spans="1:1" x14ac:dyDescent="0.3">
      <c r="A10038" s="12"/>
    </row>
    <row r="10039" spans="1:1" x14ac:dyDescent="0.3">
      <c r="A10039" s="12"/>
    </row>
    <row r="10040" spans="1:1" x14ac:dyDescent="0.3">
      <c r="A10040" s="12"/>
    </row>
    <row r="10041" spans="1:1" x14ac:dyDescent="0.3">
      <c r="A10041" s="12"/>
    </row>
    <row r="10042" spans="1:1" x14ac:dyDescent="0.3">
      <c r="A10042" s="12"/>
    </row>
    <row r="10043" spans="1:1" x14ac:dyDescent="0.3">
      <c r="A10043" s="12"/>
    </row>
    <row r="10044" spans="1:1" x14ac:dyDescent="0.3">
      <c r="A10044" s="12"/>
    </row>
    <row r="10045" spans="1:1" x14ac:dyDescent="0.3">
      <c r="A10045" s="12"/>
    </row>
    <row r="10046" spans="1:1" x14ac:dyDescent="0.3">
      <c r="A10046" s="12"/>
    </row>
    <row r="10047" spans="1:1" x14ac:dyDescent="0.3">
      <c r="A10047" s="12"/>
    </row>
    <row r="10048" spans="1:1" x14ac:dyDescent="0.3">
      <c r="A10048" s="12"/>
    </row>
    <row r="10049" spans="1:1" x14ac:dyDescent="0.3">
      <c r="A10049" s="12"/>
    </row>
    <row r="10050" spans="1:1" x14ac:dyDescent="0.3">
      <c r="A10050" s="12"/>
    </row>
    <row r="10051" spans="1:1" x14ac:dyDescent="0.3">
      <c r="A10051" s="12"/>
    </row>
    <row r="10052" spans="1:1" x14ac:dyDescent="0.3">
      <c r="A10052" s="12"/>
    </row>
    <row r="10053" spans="1:1" x14ac:dyDescent="0.3">
      <c r="A10053" s="12"/>
    </row>
    <row r="10054" spans="1:1" x14ac:dyDescent="0.3">
      <c r="A10054" s="12"/>
    </row>
    <row r="10055" spans="1:1" x14ac:dyDescent="0.3">
      <c r="A10055" s="12"/>
    </row>
    <row r="10056" spans="1:1" x14ac:dyDescent="0.3">
      <c r="A10056" s="12"/>
    </row>
    <row r="10057" spans="1:1" x14ac:dyDescent="0.3">
      <c r="A10057" s="12"/>
    </row>
    <row r="10058" spans="1:1" x14ac:dyDescent="0.3">
      <c r="A10058" s="12"/>
    </row>
    <row r="10059" spans="1:1" x14ac:dyDescent="0.3">
      <c r="A10059" s="12"/>
    </row>
    <row r="10060" spans="1:1" x14ac:dyDescent="0.3">
      <c r="A10060" s="12"/>
    </row>
    <row r="10061" spans="1:1" x14ac:dyDescent="0.3">
      <c r="A10061" s="12"/>
    </row>
    <row r="10062" spans="1:1" x14ac:dyDescent="0.3">
      <c r="A10062" s="12"/>
    </row>
    <row r="10063" spans="1:1" x14ac:dyDescent="0.3">
      <c r="A10063" s="12"/>
    </row>
    <row r="10064" spans="1:1" x14ac:dyDescent="0.3">
      <c r="A10064" s="12"/>
    </row>
    <row r="10065" spans="1:1" x14ac:dyDescent="0.3">
      <c r="A10065" s="12"/>
    </row>
    <row r="10066" spans="1:1" x14ac:dyDescent="0.3">
      <c r="A10066" s="12"/>
    </row>
    <row r="10067" spans="1:1" x14ac:dyDescent="0.3">
      <c r="A10067" s="12"/>
    </row>
    <row r="10068" spans="1:1" x14ac:dyDescent="0.3">
      <c r="A10068" s="12"/>
    </row>
    <row r="10069" spans="1:1" x14ac:dyDescent="0.3">
      <c r="A10069" s="12"/>
    </row>
    <row r="10070" spans="1:1" x14ac:dyDescent="0.3">
      <c r="A10070" s="12"/>
    </row>
    <row r="10071" spans="1:1" x14ac:dyDescent="0.3">
      <c r="A10071" s="12"/>
    </row>
    <row r="10072" spans="1:1" x14ac:dyDescent="0.3">
      <c r="A10072" s="12"/>
    </row>
    <row r="10073" spans="1:1" x14ac:dyDescent="0.3">
      <c r="A10073" s="12"/>
    </row>
    <row r="10074" spans="1:1" x14ac:dyDescent="0.3">
      <c r="A10074" s="12"/>
    </row>
    <row r="10075" spans="1:1" x14ac:dyDescent="0.3">
      <c r="A10075" s="12"/>
    </row>
    <row r="10076" spans="1:1" x14ac:dyDescent="0.3">
      <c r="A10076" s="12"/>
    </row>
    <row r="10077" spans="1:1" x14ac:dyDescent="0.3">
      <c r="A10077" s="12"/>
    </row>
    <row r="10078" spans="1:1" x14ac:dyDescent="0.3">
      <c r="A10078" s="12"/>
    </row>
    <row r="10079" spans="1:1" x14ac:dyDescent="0.3">
      <c r="A10079" s="12"/>
    </row>
    <row r="10080" spans="1:1" x14ac:dyDescent="0.3">
      <c r="A10080" s="12"/>
    </row>
    <row r="10081" spans="1:1" x14ac:dyDescent="0.3">
      <c r="A10081" s="12"/>
    </row>
    <row r="10082" spans="1:1" x14ac:dyDescent="0.3">
      <c r="A10082" s="12"/>
    </row>
    <row r="10083" spans="1:1" x14ac:dyDescent="0.3">
      <c r="A10083" s="12"/>
    </row>
    <row r="10084" spans="1:1" x14ac:dyDescent="0.3">
      <c r="A10084" s="12"/>
    </row>
    <row r="10085" spans="1:1" x14ac:dyDescent="0.3">
      <c r="A10085" s="12"/>
    </row>
    <row r="10086" spans="1:1" x14ac:dyDescent="0.3">
      <c r="A10086" s="12"/>
    </row>
    <row r="10087" spans="1:1" x14ac:dyDescent="0.3">
      <c r="A10087" s="12"/>
    </row>
    <row r="10088" spans="1:1" x14ac:dyDescent="0.3">
      <c r="A10088" s="12"/>
    </row>
    <row r="10089" spans="1:1" x14ac:dyDescent="0.3">
      <c r="A10089" s="12"/>
    </row>
    <row r="10090" spans="1:1" x14ac:dyDescent="0.3">
      <c r="A10090" s="12"/>
    </row>
    <row r="10091" spans="1:1" x14ac:dyDescent="0.3">
      <c r="A10091" s="12"/>
    </row>
    <row r="10092" spans="1:1" x14ac:dyDescent="0.3">
      <c r="A10092" s="12"/>
    </row>
    <row r="10093" spans="1:1" x14ac:dyDescent="0.3">
      <c r="A10093" s="12"/>
    </row>
    <row r="10094" spans="1:1" x14ac:dyDescent="0.3">
      <c r="A10094" s="12"/>
    </row>
    <row r="10095" spans="1:1" x14ac:dyDescent="0.3">
      <c r="A10095" s="12"/>
    </row>
    <row r="10096" spans="1:1" x14ac:dyDescent="0.3">
      <c r="A10096" s="12"/>
    </row>
    <row r="10097" spans="1:1" x14ac:dyDescent="0.3">
      <c r="A10097" s="12"/>
    </row>
    <row r="10098" spans="1:1" x14ac:dyDescent="0.3">
      <c r="A10098" s="12"/>
    </row>
    <row r="10099" spans="1:1" x14ac:dyDescent="0.3">
      <c r="A10099" s="12"/>
    </row>
    <row r="10100" spans="1:1" x14ac:dyDescent="0.3">
      <c r="A10100" s="12"/>
    </row>
    <row r="10101" spans="1:1" x14ac:dyDescent="0.3">
      <c r="A10101" s="12"/>
    </row>
    <row r="10102" spans="1:1" x14ac:dyDescent="0.3">
      <c r="A10102" s="12"/>
    </row>
    <row r="10103" spans="1:1" x14ac:dyDescent="0.3">
      <c r="A10103" s="12"/>
    </row>
    <row r="10104" spans="1:1" x14ac:dyDescent="0.3">
      <c r="A10104" s="12"/>
    </row>
    <row r="10105" spans="1:1" x14ac:dyDescent="0.3">
      <c r="A10105" s="12"/>
    </row>
    <row r="10106" spans="1:1" x14ac:dyDescent="0.3">
      <c r="A10106" s="12"/>
    </row>
    <row r="10107" spans="1:1" x14ac:dyDescent="0.3">
      <c r="A10107" s="12"/>
    </row>
    <row r="10108" spans="1:1" x14ac:dyDescent="0.3">
      <c r="A10108" s="12"/>
    </row>
    <row r="10109" spans="1:1" x14ac:dyDescent="0.3">
      <c r="A10109" s="12"/>
    </row>
    <row r="10110" spans="1:1" x14ac:dyDescent="0.3">
      <c r="A10110" s="12"/>
    </row>
    <row r="10111" spans="1:1" x14ac:dyDescent="0.3">
      <c r="A10111" s="12"/>
    </row>
    <row r="10112" spans="1:1" x14ac:dyDescent="0.3">
      <c r="A10112" s="12"/>
    </row>
    <row r="10113" spans="1:1" x14ac:dyDescent="0.3">
      <c r="A10113" s="12"/>
    </row>
    <row r="10114" spans="1:1" x14ac:dyDescent="0.3">
      <c r="A10114" s="12"/>
    </row>
    <row r="10115" spans="1:1" x14ac:dyDescent="0.3">
      <c r="A10115" s="12"/>
    </row>
    <row r="10116" spans="1:1" x14ac:dyDescent="0.3">
      <c r="A10116" s="12"/>
    </row>
    <row r="10117" spans="1:1" x14ac:dyDescent="0.3">
      <c r="A10117" s="12"/>
    </row>
    <row r="10118" spans="1:1" x14ac:dyDescent="0.3">
      <c r="A10118" s="12"/>
    </row>
    <row r="10119" spans="1:1" x14ac:dyDescent="0.3">
      <c r="A10119" s="12"/>
    </row>
    <row r="10120" spans="1:1" x14ac:dyDescent="0.3">
      <c r="A10120" s="12"/>
    </row>
    <row r="10121" spans="1:1" x14ac:dyDescent="0.3">
      <c r="A10121" s="12"/>
    </row>
    <row r="10122" spans="1:1" x14ac:dyDescent="0.3">
      <c r="A10122" s="12"/>
    </row>
    <row r="10123" spans="1:1" x14ac:dyDescent="0.3">
      <c r="A10123" s="12"/>
    </row>
    <row r="10124" spans="1:1" x14ac:dyDescent="0.3">
      <c r="A10124" s="12"/>
    </row>
    <row r="10125" spans="1:1" x14ac:dyDescent="0.3">
      <c r="A10125" s="12"/>
    </row>
    <row r="10126" spans="1:1" x14ac:dyDescent="0.3">
      <c r="A10126" s="12"/>
    </row>
    <row r="10127" spans="1:1" x14ac:dyDescent="0.3">
      <c r="A10127" s="12"/>
    </row>
    <row r="10128" spans="1:1" x14ac:dyDescent="0.3">
      <c r="A10128" s="12"/>
    </row>
    <row r="10129" spans="1:1" x14ac:dyDescent="0.3">
      <c r="A10129" s="12"/>
    </row>
    <row r="10130" spans="1:1" x14ac:dyDescent="0.3">
      <c r="A10130" s="12"/>
    </row>
    <row r="10131" spans="1:1" x14ac:dyDescent="0.3">
      <c r="A10131" s="12"/>
    </row>
    <row r="10132" spans="1:1" x14ac:dyDescent="0.3">
      <c r="A10132" s="12"/>
    </row>
    <row r="10133" spans="1:1" x14ac:dyDescent="0.3">
      <c r="A10133" s="12"/>
    </row>
    <row r="10134" spans="1:1" x14ac:dyDescent="0.3">
      <c r="A10134" s="12"/>
    </row>
    <row r="10135" spans="1:1" x14ac:dyDescent="0.3">
      <c r="A10135" s="12"/>
    </row>
    <row r="10136" spans="1:1" x14ac:dyDescent="0.3">
      <c r="A10136" s="12"/>
    </row>
    <row r="10137" spans="1:1" x14ac:dyDescent="0.3">
      <c r="A10137" s="12"/>
    </row>
    <row r="10138" spans="1:1" x14ac:dyDescent="0.3">
      <c r="A10138" s="12"/>
    </row>
    <row r="10139" spans="1:1" x14ac:dyDescent="0.3">
      <c r="A10139" s="12"/>
    </row>
    <row r="10140" spans="1:1" x14ac:dyDescent="0.3">
      <c r="A10140" s="12"/>
    </row>
    <row r="10141" spans="1:1" x14ac:dyDescent="0.3">
      <c r="A10141" s="12"/>
    </row>
    <row r="10142" spans="1:1" x14ac:dyDescent="0.3">
      <c r="A10142" s="12"/>
    </row>
    <row r="10143" spans="1:1" x14ac:dyDescent="0.3">
      <c r="A10143" s="12"/>
    </row>
    <row r="10144" spans="1:1" x14ac:dyDescent="0.3">
      <c r="A10144" s="12"/>
    </row>
    <row r="10145" spans="1:1" x14ac:dyDescent="0.3">
      <c r="A10145" s="12"/>
    </row>
    <row r="10146" spans="1:1" x14ac:dyDescent="0.3">
      <c r="A10146" s="12"/>
    </row>
    <row r="10147" spans="1:1" x14ac:dyDescent="0.3">
      <c r="A10147" s="12"/>
    </row>
    <row r="10148" spans="1:1" x14ac:dyDescent="0.3">
      <c r="A10148" s="12"/>
    </row>
    <row r="10149" spans="1:1" x14ac:dyDescent="0.3">
      <c r="A10149" s="12"/>
    </row>
    <row r="10150" spans="1:1" x14ac:dyDescent="0.3">
      <c r="A10150" s="12"/>
    </row>
    <row r="10151" spans="1:1" x14ac:dyDescent="0.3">
      <c r="A10151" s="12"/>
    </row>
    <row r="10152" spans="1:1" x14ac:dyDescent="0.3">
      <c r="A10152" s="12"/>
    </row>
    <row r="10153" spans="1:1" x14ac:dyDescent="0.3">
      <c r="A10153" s="12"/>
    </row>
    <row r="10154" spans="1:1" x14ac:dyDescent="0.3">
      <c r="A10154" s="12"/>
    </row>
    <row r="10155" spans="1:1" x14ac:dyDescent="0.3">
      <c r="A10155" s="12"/>
    </row>
    <row r="10156" spans="1:1" x14ac:dyDescent="0.3">
      <c r="A10156" s="12"/>
    </row>
    <row r="10157" spans="1:1" x14ac:dyDescent="0.3">
      <c r="A10157" s="12"/>
    </row>
    <row r="10158" spans="1:1" x14ac:dyDescent="0.3">
      <c r="A10158" s="12"/>
    </row>
    <row r="10159" spans="1:1" x14ac:dyDescent="0.3">
      <c r="A10159" s="12"/>
    </row>
    <row r="10160" spans="1:1" x14ac:dyDescent="0.3">
      <c r="A10160" s="12"/>
    </row>
    <row r="10161" spans="1:1" x14ac:dyDescent="0.3">
      <c r="A10161" s="12"/>
    </row>
    <row r="10162" spans="1:1" x14ac:dyDescent="0.3">
      <c r="A10162" s="12"/>
    </row>
    <row r="10163" spans="1:1" x14ac:dyDescent="0.3">
      <c r="A10163" s="12"/>
    </row>
    <row r="10164" spans="1:1" x14ac:dyDescent="0.3">
      <c r="A10164" s="12"/>
    </row>
    <row r="10165" spans="1:1" x14ac:dyDescent="0.3">
      <c r="A10165" s="12"/>
    </row>
    <row r="10166" spans="1:1" x14ac:dyDescent="0.3">
      <c r="A10166" s="12"/>
    </row>
    <row r="10167" spans="1:1" x14ac:dyDescent="0.3">
      <c r="A10167" s="12"/>
    </row>
    <row r="10168" spans="1:1" x14ac:dyDescent="0.3">
      <c r="A10168" s="12"/>
    </row>
    <row r="10169" spans="1:1" x14ac:dyDescent="0.3">
      <c r="A10169" s="12"/>
    </row>
    <row r="10170" spans="1:1" x14ac:dyDescent="0.3">
      <c r="A10170" s="12"/>
    </row>
    <row r="10171" spans="1:1" x14ac:dyDescent="0.3">
      <c r="A10171" s="12"/>
    </row>
    <row r="10172" spans="1:1" x14ac:dyDescent="0.3">
      <c r="A10172" s="12"/>
    </row>
    <row r="10173" spans="1:1" x14ac:dyDescent="0.3">
      <c r="A10173" s="12"/>
    </row>
    <row r="10174" spans="1:1" x14ac:dyDescent="0.3">
      <c r="A10174" s="12"/>
    </row>
    <row r="10175" spans="1:1" x14ac:dyDescent="0.3">
      <c r="A10175" s="12"/>
    </row>
    <row r="10176" spans="1:1" x14ac:dyDescent="0.3">
      <c r="A10176" s="12"/>
    </row>
    <row r="10177" spans="1:1" x14ac:dyDescent="0.3">
      <c r="A10177" s="12"/>
    </row>
    <row r="10178" spans="1:1" x14ac:dyDescent="0.3">
      <c r="A10178" s="12"/>
    </row>
    <row r="10179" spans="1:1" x14ac:dyDescent="0.3">
      <c r="A10179" s="12"/>
    </row>
    <row r="10180" spans="1:1" x14ac:dyDescent="0.3">
      <c r="A10180" s="12"/>
    </row>
    <row r="10181" spans="1:1" x14ac:dyDescent="0.3">
      <c r="A10181" s="12"/>
    </row>
    <row r="10182" spans="1:1" x14ac:dyDescent="0.3">
      <c r="A10182" s="12"/>
    </row>
    <row r="10183" spans="1:1" x14ac:dyDescent="0.3">
      <c r="A10183" s="12"/>
    </row>
    <row r="10184" spans="1:1" x14ac:dyDescent="0.3">
      <c r="A10184" s="12"/>
    </row>
    <row r="10185" spans="1:1" x14ac:dyDescent="0.3">
      <c r="A10185" s="12"/>
    </row>
    <row r="10186" spans="1:1" x14ac:dyDescent="0.3">
      <c r="A10186" s="12"/>
    </row>
    <row r="10187" spans="1:1" x14ac:dyDescent="0.3">
      <c r="A10187" s="12"/>
    </row>
    <row r="10188" spans="1:1" x14ac:dyDescent="0.3">
      <c r="A10188" s="12"/>
    </row>
    <row r="10189" spans="1:1" x14ac:dyDescent="0.3">
      <c r="A10189" s="12"/>
    </row>
    <row r="10190" spans="1:1" x14ac:dyDescent="0.3">
      <c r="A10190" s="12"/>
    </row>
    <row r="10191" spans="1:1" x14ac:dyDescent="0.3">
      <c r="A10191" s="12"/>
    </row>
    <row r="10192" spans="1:1" x14ac:dyDescent="0.3">
      <c r="A10192" s="12"/>
    </row>
    <row r="10193" spans="1:1" x14ac:dyDescent="0.3">
      <c r="A10193" s="12"/>
    </row>
    <row r="10194" spans="1:1" x14ac:dyDescent="0.3">
      <c r="A10194" s="12"/>
    </row>
    <row r="10195" spans="1:1" x14ac:dyDescent="0.3">
      <c r="A10195" s="12"/>
    </row>
    <row r="10196" spans="1:1" x14ac:dyDescent="0.3">
      <c r="A10196" s="12"/>
    </row>
    <row r="10197" spans="1:1" x14ac:dyDescent="0.3">
      <c r="A10197" s="12"/>
    </row>
    <row r="10198" spans="1:1" x14ac:dyDescent="0.3">
      <c r="A10198" s="12"/>
    </row>
    <row r="10199" spans="1:1" x14ac:dyDescent="0.3">
      <c r="A10199" s="12"/>
    </row>
    <row r="10200" spans="1:1" x14ac:dyDescent="0.3">
      <c r="A10200" s="12"/>
    </row>
    <row r="10201" spans="1:1" x14ac:dyDescent="0.3">
      <c r="A10201" s="12"/>
    </row>
    <row r="10202" spans="1:1" x14ac:dyDescent="0.3">
      <c r="A10202" s="12"/>
    </row>
    <row r="10203" spans="1:1" x14ac:dyDescent="0.3">
      <c r="A10203" s="12"/>
    </row>
    <row r="10204" spans="1:1" x14ac:dyDescent="0.3">
      <c r="A10204" s="12"/>
    </row>
    <row r="10205" spans="1:1" x14ac:dyDescent="0.3">
      <c r="A10205" s="12"/>
    </row>
    <row r="10206" spans="1:1" x14ac:dyDescent="0.3">
      <c r="A10206" s="12"/>
    </row>
    <row r="10207" spans="1:1" x14ac:dyDescent="0.3">
      <c r="A10207" s="12"/>
    </row>
    <row r="10208" spans="1:1" x14ac:dyDescent="0.3">
      <c r="A10208" s="12"/>
    </row>
    <row r="10209" spans="1:1" x14ac:dyDescent="0.3">
      <c r="A10209" s="12"/>
    </row>
    <row r="10210" spans="1:1" x14ac:dyDescent="0.3">
      <c r="A10210" s="12"/>
    </row>
    <row r="10211" spans="1:1" x14ac:dyDescent="0.3">
      <c r="A10211" s="12"/>
    </row>
    <row r="10212" spans="1:1" x14ac:dyDescent="0.3">
      <c r="A10212" s="12"/>
    </row>
    <row r="10213" spans="1:1" x14ac:dyDescent="0.3">
      <c r="A10213" s="12"/>
    </row>
    <row r="10214" spans="1:1" x14ac:dyDescent="0.3">
      <c r="A10214" s="12"/>
    </row>
    <row r="10215" spans="1:1" x14ac:dyDescent="0.3">
      <c r="A10215" s="12"/>
    </row>
    <row r="10216" spans="1:1" x14ac:dyDescent="0.3">
      <c r="A10216" s="12"/>
    </row>
    <row r="10217" spans="1:1" x14ac:dyDescent="0.3">
      <c r="A10217" s="12"/>
    </row>
    <row r="10218" spans="1:1" x14ac:dyDescent="0.3">
      <c r="A10218" s="12"/>
    </row>
    <row r="10219" spans="1:1" x14ac:dyDescent="0.3">
      <c r="A10219" s="12"/>
    </row>
    <row r="10220" spans="1:1" x14ac:dyDescent="0.3">
      <c r="A10220" s="12"/>
    </row>
    <row r="10221" spans="1:1" x14ac:dyDescent="0.3">
      <c r="A10221" s="12"/>
    </row>
    <row r="10222" spans="1:1" x14ac:dyDescent="0.3">
      <c r="A10222" s="12"/>
    </row>
    <row r="10223" spans="1:1" x14ac:dyDescent="0.3">
      <c r="A10223" s="12"/>
    </row>
    <row r="10224" spans="1:1" x14ac:dyDescent="0.3">
      <c r="A10224" s="12"/>
    </row>
    <row r="10225" spans="1:1" x14ac:dyDescent="0.3">
      <c r="A10225" s="12"/>
    </row>
    <row r="10226" spans="1:1" x14ac:dyDescent="0.3">
      <c r="A10226" s="12"/>
    </row>
    <row r="10227" spans="1:1" x14ac:dyDescent="0.3">
      <c r="A10227" s="12"/>
    </row>
    <row r="10228" spans="1:1" x14ac:dyDescent="0.3">
      <c r="A10228" s="12"/>
    </row>
    <row r="10229" spans="1:1" x14ac:dyDescent="0.3">
      <c r="A10229" s="12"/>
    </row>
    <row r="10230" spans="1:1" x14ac:dyDescent="0.3">
      <c r="A10230" s="12"/>
    </row>
    <row r="10231" spans="1:1" x14ac:dyDescent="0.3">
      <c r="A10231" s="12"/>
    </row>
    <row r="10232" spans="1:1" x14ac:dyDescent="0.3">
      <c r="A10232" s="12"/>
    </row>
    <row r="10233" spans="1:1" x14ac:dyDescent="0.3">
      <c r="A10233" s="12"/>
    </row>
    <row r="10234" spans="1:1" x14ac:dyDescent="0.3">
      <c r="A10234" s="12"/>
    </row>
    <row r="10235" spans="1:1" x14ac:dyDescent="0.3">
      <c r="A10235" s="12"/>
    </row>
    <row r="10236" spans="1:1" x14ac:dyDescent="0.3">
      <c r="A10236" s="12"/>
    </row>
    <row r="10237" spans="1:1" x14ac:dyDescent="0.3">
      <c r="A10237" s="12"/>
    </row>
    <row r="10238" spans="1:1" x14ac:dyDescent="0.3">
      <c r="A10238" s="12"/>
    </row>
    <row r="10239" spans="1:1" x14ac:dyDescent="0.3">
      <c r="A10239" s="12"/>
    </row>
    <row r="10240" spans="1:1" x14ac:dyDescent="0.3">
      <c r="A10240" s="12"/>
    </row>
    <row r="10241" spans="1:1" x14ac:dyDescent="0.3">
      <c r="A10241" s="12"/>
    </row>
    <row r="10242" spans="1:1" x14ac:dyDescent="0.3">
      <c r="A10242" s="12"/>
    </row>
    <row r="10243" spans="1:1" x14ac:dyDescent="0.3">
      <c r="A10243" s="12"/>
    </row>
    <row r="10244" spans="1:1" x14ac:dyDescent="0.3">
      <c r="A10244" s="12"/>
    </row>
    <row r="10245" spans="1:1" x14ac:dyDescent="0.3">
      <c r="A10245" s="12"/>
    </row>
    <row r="10246" spans="1:1" x14ac:dyDescent="0.3">
      <c r="A10246" s="12"/>
    </row>
    <row r="10247" spans="1:1" x14ac:dyDescent="0.3">
      <c r="A10247" s="12"/>
    </row>
    <row r="10248" spans="1:1" x14ac:dyDescent="0.3">
      <c r="A10248" s="12"/>
    </row>
    <row r="10249" spans="1:1" x14ac:dyDescent="0.3">
      <c r="A10249" s="12"/>
    </row>
    <row r="10250" spans="1:1" x14ac:dyDescent="0.3">
      <c r="A10250" s="12"/>
    </row>
    <row r="10251" spans="1:1" x14ac:dyDescent="0.3">
      <c r="A10251" s="12"/>
    </row>
    <row r="10252" spans="1:1" x14ac:dyDescent="0.3">
      <c r="A10252" s="12"/>
    </row>
    <row r="10253" spans="1:1" x14ac:dyDescent="0.3">
      <c r="A10253" s="12"/>
    </row>
    <row r="10254" spans="1:1" x14ac:dyDescent="0.3">
      <c r="A10254" s="12"/>
    </row>
    <row r="10255" spans="1:1" x14ac:dyDescent="0.3">
      <c r="A10255" s="12"/>
    </row>
    <row r="10256" spans="1:1" x14ac:dyDescent="0.3">
      <c r="A10256" s="12"/>
    </row>
    <row r="10257" spans="1:1" x14ac:dyDescent="0.3">
      <c r="A10257" s="12"/>
    </row>
    <row r="10258" spans="1:1" x14ac:dyDescent="0.3">
      <c r="A10258" s="12"/>
    </row>
    <row r="10259" spans="1:1" x14ac:dyDescent="0.3">
      <c r="A10259" s="12"/>
    </row>
    <row r="10260" spans="1:1" x14ac:dyDescent="0.3">
      <c r="A10260" s="12"/>
    </row>
    <row r="10261" spans="1:1" x14ac:dyDescent="0.3">
      <c r="A10261" s="12"/>
    </row>
    <row r="10262" spans="1:1" x14ac:dyDescent="0.3">
      <c r="A10262" s="12"/>
    </row>
    <row r="10263" spans="1:1" x14ac:dyDescent="0.3">
      <c r="A10263" s="12"/>
    </row>
    <row r="10264" spans="1:1" x14ac:dyDescent="0.3">
      <c r="A10264" s="12"/>
    </row>
    <row r="10265" spans="1:1" x14ac:dyDescent="0.3">
      <c r="A10265" s="12"/>
    </row>
    <row r="10266" spans="1:1" x14ac:dyDescent="0.3">
      <c r="A10266" s="12"/>
    </row>
    <row r="10267" spans="1:1" x14ac:dyDescent="0.3">
      <c r="A10267" s="12"/>
    </row>
    <row r="10268" spans="1:1" x14ac:dyDescent="0.3">
      <c r="A10268" s="12"/>
    </row>
    <row r="10269" spans="1:1" x14ac:dyDescent="0.3">
      <c r="A10269" s="12"/>
    </row>
    <row r="10270" spans="1:1" x14ac:dyDescent="0.3">
      <c r="A10270" s="12"/>
    </row>
    <row r="10271" spans="1:1" x14ac:dyDescent="0.3">
      <c r="A10271" s="12"/>
    </row>
    <row r="10272" spans="1:1" x14ac:dyDescent="0.3">
      <c r="A10272" s="12"/>
    </row>
    <row r="10273" spans="1:1" x14ac:dyDescent="0.3">
      <c r="A10273" s="12"/>
    </row>
    <row r="10274" spans="1:1" x14ac:dyDescent="0.3">
      <c r="A10274" s="12"/>
    </row>
    <row r="10275" spans="1:1" x14ac:dyDescent="0.3">
      <c r="A10275" s="12"/>
    </row>
    <row r="10276" spans="1:1" x14ac:dyDescent="0.3">
      <c r="A10276" s="12"/>
    </row>
    <row r="10277" spans="1:1" x14ac:dyDescent="0.3">
      <c r="A10277" s="12"/>
    </row>
    <row r="10278" spans="1:1" x14ac:dyDescent="0.3">
      <c r="A10278" s="12"/>
    </row>
    <row r="10279" spans="1:1" x14ac:dyDescent="0.3">
      <c r="A10279" s="12"/>
    </row>
    <row r="10280" spans="1:1" x14ac:dyDescent="0.3">
      <c r="A10280" s="12"/>
    </row>
    <row r="10281" spans="1:1" x14ac:dyDescent="0.3">
      <c r="A10281" s="12"/>
    </row>
    <row r="10282" spans="1:1" x14ac:dyDescent="0.3">
      <c r="A10282" s="12"/>
    </row>
    <row r="10283" spans="1:1" x14ac:dyDescent="0.3">
      <c r="A10283" s="12"/>
    </row>
    <row r="10284" spans="1:1" x14ac:dyDescent="0.3">
      <c r="A10284" s="12"/>
    </row>
    <row r="10285" spans="1:1" x14ac:dyDescent="0.3">
      <c r="A10285" s="12"/>
    </row>
    <row r="10286" spans="1:1" x14ac:dyDescent="0.3">
      <c r="A10286" s="12"/>
    </row>
    <row r="10287" spans="1:1" x14ac:dyDescent="0.3">
      <c r="A10287" s="12"/>
    </row>
    <row r="10288" spans="1:1" x14ac:dyDescent="0.3">
      <c r="A10288" s="12"/>
    </row>
    <row r="10289" spans="1:1" x14ac:dyDescent="0.3">
      <c r="A10289" s="12"/>
    </row>
    <row r="10290" spans="1:1" x14ac:dyDescent="0.3">
      <c r="A10290" s="12"/>
    </row>
    <row r="10291" spans="1:1" x14ac:dyDescent="0.3">
      <c r="A10291" s="12"/>
    </row>
    <row r="10292" spans="1:1" x14ac:dyDescent="0.3">
      <c r="A10292" s="12"/>
    </row>
    <row r="10293" spans="1:1" x14ac:dyDescent="0.3">
      <c r="A10293" s="12"/>
    </row>
    <row r="10294" spans="1:1" x14ac:dyDescent="0.3">
      <c r="A10294" s="12"/>
    </row>
    <row r="10295" spans="1:1" x14ac:dyDescent="0.3">
      <c r="A10295" s="12"/>
    </row>
    <row r="10296" spans="1:1" x14ac:dyDescent="0.3">
      <c r="A10296" s="12"/>
    </row>
    <row r="10297" spans="1:1" x14ac:dyDescent="0.3">
      <c r="A10297" s="12"/>
    </row>
    <row r="10298" spans="1:1" x14ac:dyDescent="0.3">
      <c r="A10298" s="12"/>
    </row>
    <row r="10299" spans="1:1" x14ac:dyDescent="0.3">
      <c r="A10299" s="12"/>
    </row>
    <row r="10300" spans="1:1" x14ac:dyDescent="0.3">
      <c r="A10300" s="12"/>
    </row>
    <row r="10301" spans="1:1" x14ac:dyDescent="0.3">
      <c r="A10301" s="12"/>
    </row>
    <row r="10302" spans="1:1" x14ac:dyDescent="0.3">
      <c r="A10302" s="12"/>
    </row>
    <row r="10303" spans="1:1" x14ac:dyDescent="0.3">
      <c r="A10303" s="12"/>
    </row>
    <row r="10304" spans="1:1" x14ac:dyDescent="0.3">
      <c r="A10304" s="12"/>
    </row>
    <row r="10305" spans="1:1" x14ac:dyDescent="0.3">
      <c r="A10305" s="12"/>
    </row>
    <row r="10306" spans="1:1" x14ac:dyDescent="0.3">
      <c r="A10306" s="12"/>
    </row>
    <row r="10307" spans="1:1" x14ac:dyDescent="0.3">
      <c r="A10307" s="12"/>
    </row>
    <row r="10308" spans="1:1" x14ac:dyDescent="0.3">
      <c r="A10308" s="12"/>
    </row>
    <row r="10309" spans="1:1" x14ac:dyDescent="0.3">
      <c r="A10309" s="12"/>
    </row>
    <row r="10310" spans="1:1" x14ac:dyDescent="0.3">
      <c r="A10310" s="12"/>
    </row>
    <row r="10311" spans="1:1" x14ac:dyDescent="0.3">
      <c r="A10311" s="12"/>
    </row>
    <row r="10312" spans="1:1" x14ac:dyDescent="0.3">
      <c r="A10312" s="12"/>
    </row>
    <row r="10313" spans="1:1" x14ac:dyDescent="0.3">
      <c r="A10313" s="12"/>
    </row>
    <row r="10314" spans="1:1" x14ac:dyDescent="0.3">
      <c r="A10314" s="12"/>
    </row>
    <row r="10315" spans="1:1" x14ac:dyDescent="0.3">
      <c r="A10315" s="12"/>
    </row>
    <row r="10316" spans="1:1" x14ac:dyDescent="0.3">
      <c r="A10316" s="12"/>
    </row>
    <row r="10317" spans="1:1" x14ac:dyDescent="0.3">
      <c r="A10317" s="12"/>
    </row>
    <row r="10318" spans="1:1" x14ac:dyDescent="0.3">
      <c r="A10318" s="12"/>
    </row>
    <row r="10319" spans="1:1" x14ac:dyDescent="0.3">
      <c r="A10319" s="12"/>
    </row>
    <row r="10320" spans="1:1" x14ac:dyDescent="0.3">
      <c r="A10320" s="12"/>
    </row>
    <row r="10321" spans="1:1" x14ac:dyDescent="0.3">
      <c r="A10321" s="12"/>
    </row>
    <row r="10322" spans="1:1" x14ac:dyDescent="0.3">
      <c r="A10322" s="12"/>
    </row>
    <row r="10323" spans="1:1" x14ac:dyDescent="0.3">
      <c r="A10323" s="12"/>
    </row>
    <row r="10324" spans="1:1" x14ac:dyDescent="0.3">
      <c r="A10324" s="12"/>
    </row>
    <row r="10325" spans="1:1" x14ac:dyDescent="0.3">
      <c r="A10325" s="12"/>
    </row>
    <row r="10326" spans="1:1" x14ac:dyDescent="0.3">
      <c r="A10326" s="12"/>
    </row>
    <row r="10327" spans="1:1" x14ac:dyDescent="0.3">
      <c r="A10327" s="12"/>
    </row>
    <row r="10328" spans="1:1" x14ac:dyDescent="0.3">
      <c r="A10328" s="12"/>
    </row>
    <row r="10329" spans="1:1" x14ac:dyDescent="0.3">
      <c r="A10329" s="12"/>
    </row>
    <row r="10330" spans="1:1" x14ac:dyDescent="0.3">
      <c r="A10330" s="12"/>
    </row>
    <row r="10331" spans="1:1" x14ac:dyDescent="0.3">
      <c r="A10331" s="12"/>
    </row>
    <row r="10332" spans="1:1" x14ac:dyDescent="0.3">
      <c r="A10332" s="12"/>
    </row>
    <row r="10333" spans="1:1" x14ac:dyDescent="0.3">
      <c r="A10333" s="12"/>
    </row>
    <row r="10334" spans="1:1" x14ac:dyDescent="0.3">
      <c r="A10334" s="12"/>
    </row>
    <row r="10335" spans="1:1" x14ac:dyDescent="0.3">
      <c r="A10335" s="12"/>
    </row>
    <row r="10336" spans="1:1" x14ac:dyDescent="0.3">
      <c r="A10336" s="12"/>
    </row>
    <row r="10337" spans="1:1" x14ac:dyDescent="0.3">
      <c r="A10337" s="12"/>
    </row>
    <row r="10338" spans="1:1" x14ac:dyDescent="0.3">
      <c r="A10338" s="12"/>
    </row>
    <row r="10339" spans="1:1" x14ac:dyDescent="0.3">
      <c r="A10339" s="12"/>
    </row>
    <row r="10340" spans="1:1" x14ac:dyDescent="0.3">
      <c r="A10340" s="12"/>
    </row>
    <row r="10341" spans="1:1" x14ac:dyDescent="0.3">
      <c r="A10341" s="12"/>
    </row>
    <row r="10342" spans="1:1" x14ac:dyDescent="0.3">
      <c r="A10342" s="12"/>
    </row>
    <row r="10343" spans="1:1" x14ac:dyDescent="0.3">
      <c r="A10343" s="12"/>
    </row>
    <row r="10344" spans="1:1" x14ac:dyDescent="0.3">
      <c r="A10344" s="12"/>
    </row>
    <row r="10345" spans="1:1" x14ac:dyDescent="0.3">
      <c r="A10345" s="12"/>
    </row>
    <row r="10346" spans="1:1" x14ac:dyDescent="0.3">
      <c r="A10346" s="12"/>
    </row>
    <row r="10347" spans="1:1" x14ac:dyDescent="0.3">
      <c r="A10347" s="12"/>
    </row>
    <row r="10348" spans="1:1" x14ac:dyDescent="0.3">
      <c r="A10348" s="12"/>
    </row>
    <row r="10349" spans="1:1" x14ac:dyDescent="0.3">
      <c r="A10349" s="12"/>
    </row>
    <row r="10350" spans="1:1" x14ac:dyDescent="0.3">
      <c r="A10350" s="12"/>
    </row>
    <row r="10351" spans="1:1" x14ac:dyDescent="0.3">
      <c r="A10351" s="12"/>
    </row>
    <row r="10352" spans="1:1" x14ac:dyDescent="0.3">
      <c r="A10352" s="12"/>
    </row>
    <row r="10353" spans="1:1" x14ac:dyDescent="0.3">
      <c r="A10353" s="12"/>
    </row>
    <row r="10354" spans="1:1" x14ac:dyDescent="0.3">
      <c r="A10354" s="12"/>
    </row>
    <row r="10355" spans="1:1" x14ac:dyDescent="0.3">
      <c r="A10355" s="12"/>
    </row>
    <row r="10356" spans="1:1" x14ac:dyDescent="0.3">
      <c r="A10356" s="12"/>
    </row>
    <row r="10357" spans="1:1" x14ac:dyDescent="0.3">
      <c r="A10357" s="12"/>
    </row>
    <row r="10358" spans="1:1" x14ac:dyDescent="0.3">
      <c r="A10358" s="12"/>
    </row>
    <row r="10359" spans="1:1" x14ac:dyDescent="0.3">
      <c r="A10359" s="12"/>
    </row>
    <row r="10360" spans="1:1" x14ac:dyDescent="0.3">
      <c r="A10360" s="12"/>
    </row>
    <row r="10361" spans="1:1" x14ac:dyDescent="0.3">
      <c r="A10361" s="12"/>
    </row>
    <row r="10362" spans="1:1" x14ac:dyDescent="0.3">
      <c r="A10362" s="12"/>
    </row>
    <row r="10363" spans="1:1" x14ac:dyDescent="0.3">
      <c r="A10363" s="12"/>
    </row>
    <row r="10364" spans="1:1" x14ac:dyDescent="0.3">
      <c r="A10364" s="12"/>
    </row>
    <row r="10365" spans="1:1" x14ac:dyDescent="0.3">
      <c r="A10365" s="12"/>
    </row>
    <row r="10366" spans="1:1" x14ac:dyDescent="0.3">
      <c r="A10366" s="12"/>
    </row>
    <row r="10367" spans="1:1" x14ac:dyDescent="0.3">
      <c r="A10367" s="12"/>
    </row>
    <row r="10368" spans="1:1" x14ac:dyDescent="0.3">
      <c r="A10368" s="12"/>
    </row>
    <row r="10369" spans="1:1" x14ac:dyDescent="0.3">
      <c r="A10369" s="12"/>
    </row>
    <row r="10370" spans="1:1" x14ac:dyDescent="0.3">
      <c r="A10370" s="12"/>
    </row>
    <row r="10371" spans="1:1" x14ac:dyDescent="0.3">
      <c r="A10371" s="12"/>
    </row>
    <row r="10372" spans="1:1" x14ac:dyDescent="0.3">
      <c r="A10372" s="12"/>
    </row>
    <row r="10373" spans="1:1" x14ac:dyDescent="0.3">
      <c r="A10373" s="12"/>
    </row>
    <row r="10374" spans="1:1" x14ac:dyDescent="0.3">
      <c r="A10374" s="12"/>
    </row>
    <row r="10375" spans="1:1" x14ac:dyDescent="0.3">
      <c r="A10375" s="12"/>
    </row>
    <row r="10376" spans="1:1" x14ac:dyDescent="0.3">
      <c r="A10376" s="12"/>
    </row>
    <row r="10377" spans="1:1" x14ac:dyDescent="0.3">
      <c r="A10377" s="12"/>
    </row>
    <row r="10378" spans="1:1" x14ac:dyDescent="0.3">
      <c r="A10378" s="12"/>
    </row>
    <row r="10379" spans="1:1" x14ac:dyDescent="0.3">
      <c r="A10379" s="12"/>
    </row>
    <row r="10380" spans="1:1" x14ac:dyDescent="0.3">
      <c r="A10380" s="12"/>
    </row>
    <row r="10381" spans="1:1" x14ac:dyDescent="0.3">
      <c r="A10381" s="12"/>
    </row>
    <row r="10382" spans="1:1" x14ac:dyDescent="0.3">
      <c r="A10382" s="12"/>
    </row>
    <row r="10383" spans="1:1" x14ac:dyDescent="0.3">
      <c r="A10383" s="12"/>
    </row>
    <row r="10384" spans="1:1" x14ac:dyDescent="0.3">
      <c r="A10384" s="12"/>
    </row>
    <row r="10385" spans="1:1" x14ac:dyDescent="0.3">
      <c r="A10385" s="12"/>
    </row>
    <row r="10386" spans="1:1" x14ac:dyDescent="0.3">
      <c r="A10386" s="12"/>
    </row>
    <row r="10387" spans="1:1" x14ac:dyDescent="0.3">
      <c r="A10387" s="12"/>
    </row>
    <row r="10388" spans="1:1" x14ac:dyDescent="0.3">
      <c r="A10388" s="12"/>
    </row>
    <row r="10389" spans="1:1" x14ac:dyDescent="0.3">
      <c r="A10389" s="12"/>
    </row>
    <row r="10390" spans="1:1" x14ac:dyDescent="0.3">
      <c r="A10390" s="12"/>
    </row>
    <row r="10391" spans="1:1" x14ac:dyDescent="0.3">
      <c r="A10391" s="12"/>
    </row>
    <row r="10392" spans="1:1" x14ac:dyDescent="0.3">
      <c r="A10392" s="12"/>
    </row>
    <row r="10393" spans="1:1" x14ac:dyDescent="0.3">
      <c r="A10393" s="12"/>
    </row>
    <row r="10394" spans="1:1" x14ac:dyDescent="0.3">
      <c r="A10394" s="12"/>
    </row>
    <row r="10395" spans="1:1" x14ac:dyDescent="0.3">
      <c r="A10395" s="12"/>
    </row>
    <row r="10396" spans="1:1" x14ac:dyDescent="0.3">
      <c r="A10396" s="12"/>
    </row>
    <row r="10397" spans="1:1" x14ac:dyDescent="0.3">
      <c r="A10397" s="12"/>
    </row>
    <row r="10398" spans="1:1" x14ac:dyDescent="0.3">
      <c r="A10398" s="12"/>
    </row>
    <row r="10399" spans="1:1" x14ac:dyDescent="0.3">
      <c r="A10399" s="12"/>
    </row>
    <row r="10400" spans="1:1" x14ac:dyDescent="0.3">
      <c r="A10400" s="12"/>
    </row>
    <row r="10401" spans="1:1" x14ac:dyDescent="0.3">
      <c r="A10401" s="12"/>
    </row>
    <row r="10402" spans="1:1" x14ac:dyDescent="0.3">
      <c r="A10402" s="12"/>
    </row>
    <row r="10403" spans="1:1" x14ac:dyDescent="0.3">
      <c r="A10403" s="12"/>
    </row>
    <row r="10404" spans="1:1" x14ac:dyDescent="0.3">
      <c r="A10404" s="12"/>
    </row>
    <row r="10405" spans="1:1" x14ac:dyDescent="0.3">
      <c r="A10405" s="12"/>
    </row>
    <row r="10406" spans="1:1" x14ac:dyDescent="0.3">
      <c r="A10406" s="12"/>
    </row>
    <row r="10407" spans="1:1" x14ac:dyDescent="0.3">
      <c r="A10407" s="12"/>
    </row>
    <row r="10408" spans="1:1" x14ac:dyDescent="0.3">
      <c r="A10408" s="12"/>
    </row>
    <row r="10409" spans="1:1" x14ac:dyDescent="0.3">
      <c r="A10409" s="12"/>
    </row>
    <row r="10410" spans="1:1" x14ac:dyDescent="0.3">
      <c r="A10410" s="12"/>
    </row>
    <row r="10411" spans="1:1" x14ac:dyDescent="0.3">
      <c r="A10411" s="12"/>
    </row>
    <row r="10412" spans="1:1" x14ac:dyDescent="0.3">
      <c r="A10412" s="12"/>
    </row>
    <row r="10413" spans="1:1" x14ac:dyDescent="0.3">
      <c r="A10413" s="12"/>
    </row>
    <row r="10414" spans="1:1" x14ac:dyDescent="0.3">
      <c r="A10414" s="12"/>
    </row>
    <row r="10415" spans="1:1" x14ac:dyDescent="0.3">
      <c r="A10415" s="12"/>
    </row>
    <row r="10416" spans="1:1" x14ac:dyDescent="0.3">
      <c r="A10416" s="12"/>
    </row>
    <row r="10417" spans="1:1" x14ac:dyDescent="0.3">
      <c r="A10417" s="12"/>
    </row>
    <row r="10418" spans="1:1" x14ac:dyDescent="0.3">
      <c r="A10418" s="12"/>
    </row>
    <row r="10419" spans="1:1" x14ac:dyDescent="0.3">
      <c r="A10419" s="12"/>
    </row>
    <row r="10420" spans="1:1" x14ac:dyDescent="0.3">
      <c r="A10420" s="12"/>
    </row>
    <row r="10421" spans="1:1" x14ac:dyDescent="0.3">
      <c r="A10421" s="12"/>
    </row>
    <row r="10422" spans="1:1" x14ac:dyDescent="0.3">
      <c r="A10422" s="12"/>
    </row>
    <row r="10423" spans="1:1" x14ac:dyDescent="0.3">
      <c r="A10423" s="12"/>
    </row>
    <row r="10424" spans="1:1" x14ac:dyDescent="0.3">
      <c r="A10424" s="12"/>
    </row>
    <row r="10425" spans="1:1" x14ac:dyDescent="0.3">
      <c r="A10425" s="12"/>
    </row>
    <row r="10426" spans="1:1" x14ac:dyDescent="0.3">
      <c r="A10426" s="12"/>
    </row>
    <row r="10427" spans="1:1" x14ac:dyDescent="0.3">
      <c r="A10427" s="12"/>
    </row>
    <row r="10428" spans="1:1" x14ac:dyDescent="0.3">
      <c r="A10428" s="12"/>
    </row>
    <row r="10429" spans="1:1" x14ac:dyDescent="0.3">
      <c r="A10429" s="12"/>
    </row>
    <row r="10430" spans="1:1" x14ac:dyDescent="0.3">
      <c r="A10430" s="12"/>
    </row>
    <row r="10431" spans="1:1" x14ac:dyDescent="0.3">
      <c r="A10431" s="12"/>
    </row>
    <row r="10432" spans="1:1" x14ac:dyDescent="0.3">
      <c r="A10432" s="12"/>
    </row>
    <row r="10433" spans="1:1" x14ac:dyDescent="0.3">
      <c r="A10433" s="12"/>
    </row>
    <row r="10434" spans="1:1" x14ac:dyDescent="0.3">
      <c r="A10434" s="12"/>
    </row>
    <row r="10435" spans="1:1" x14ac:dyDescent="0.3">
      <c r="A10435" s="12"/>
    </row>
    <row r="10436" spans="1:1" x14ac:dyDescent="0.3">
      <c r="A10436" s="12"/>
    </row>
    <row r="10437" spans="1:1" x14ac:dyDescent="0.3">
      <c r="A10437" s="12"/>
    </row>
    <row r="10438" spans="1:1" x14ac:dyDescent="0.3">
      <c r="A10438" s="12"/>
    </row>
    <row r="10439" spans="1:1" x14ac:dyDescent="0.3">
      <c r="A10439" s="12"/>
    </row>
    <row r="10440" spans="1:1" x14ac:dyDescent="0.3">
      <c r="A10440" s="12"/>
    </row>
    <row r="10441" spans="1:1" x14ac:dyDescent="0.3">
      <c r="A10441" s="12"/>
    </row>
    <row r="10442" spans="1:1" x14ac:dyDescent="0.3">
      <c r="A10442" s="12"/>
    </row>
    <row r="10443" spans="1:1" x14ac:dyDescent="0.3">
      <c r="A10443" s="12"/>
    </row>
    <row r="10444" spans="1:1" x14ac:dyDescent="0.3">
      <c r="A10444" s="12"/>
    </row>
    <row r="10445" spans="1:1" x14ac:dyDescent="0.3">
      <c r="A10445" s="12"/>
    </row>
    <row r="10446" spans="1:1" x14ac:dyDescent="0.3">
      <c r="A10446" s="12"/>
    </row>
    <row r="10447" spans="1:1" x14ac:dyDescent="0.3">
      <c r="A10447" s="12"/>
    </row>
    <row r="10448" spans="1:1" x14ac:dyDescent="0.3">
      <c r="A10448" s="12"/>
    </row>
    <row r="10449" spans="1:1" x14ac:dyDescent="0.3">
      <c r="A10449" s="12"/>
    </row>
    <row r="10450" spans="1:1" x14ac:dyDescent="0.3">
      <c r="A10450" s="12"/>
    </row>
    <row r="10451" spans="1:1" x14ac:dyDescent="0.3">
      <c r="A10451" s="12"/>
    </row>
    <row r="10452" spans="1:1" x14ac:dyDescent="0.3">
      <c r="A10452" s="12"/>
    </row>
    <row r="10453" spans="1:1" x14ac:dyDescent="0.3">
      <c r="A10453" s="12"/>
    </row>
    <row r="10454" spans="1:1" x14ac:dyDescent="0.3">
      <c r="A10454" s="12"/>
    </row>
    <row r="10455" spans="1:1" x14ac:dyDescent="0.3">
      <c r="A10455" s="12"/>
    </row>
    <row r="10456" spans="1:1" x14ac:dyDescent="0.3">
      <c r="A10456" s="12"/>
    </row>
    <row r="10457" spans="1:1" x14ac:dyDescent="0.3">
      <c r="A10457" s="12"/>
    </row>
    <row r="10458" spans="1:1" x14ac:dyDescent="0.3">
      <c r="A10458" s="12"/>
    </row>
    <row r="10459" spans="1:1" x14ac:dyDescent="0.3">
      <c r="A10459" s="12"/>
    </row>
    <row r="10460" spans="1:1" x14ac:dyDescent="0.3">
      <c r="A10460" s="12"/>
    </row>
    <row r="10461" spans="1:1" x14ac:dyDescent="0.3">
      <c r="A10461" s="12"/>
    </row>
    <row r="10462" spans="1:1" x14ac:dyDescent="0.3">
      <c r="A10462" s="12"/>
    </row>
    <row r="10463" spans="1:1" x14ac:dyDescent="0.3">
      <c r="A10463" s="12"/>
    </row>
    <row r="10464" spans="1:1" x14ac:dyDescent="0.3">
      <c r="A10464" s="12"/>
    </row>
    <row r="10465" spans="1:1" x14ac:dyDescent="0.3">
      <c r="A10465" s="12"/>
    </row>
    <row r="10466" spans="1:1" x14ac:dyDescent="0.3">
      <c r="A10466" s="12"/>
    </row>
    <row r="10467" spans="1:1" x14ac:dyDescent="0.3">
      <c r="A10467" s="12"/>
    </row>
    <row r="10468" spans="1:1" x14ac:dyDescent="0.3">
      <c r="A10468" s="12"/>
    </row>
    <row r="10469" spans="1:1" x14ac:dyDescent="0.3">
      <c r="A10469" s="12"/>
    </row>
    <row r="10470" spans="1:1" x14ac:dyDescent="0.3">
      <c r="A10470" s="12"/>
    </row>
    <row r="10471" spans="1:1" x14ac:dyDescent="0.3">
      <c r="A10471" s="12"/>
    </row>
    <row r="10472" spans="1:1" x14ac:dyDescent="0.3">
      <c r="A10472" s="12"/>
    </row>
    <row r="10473" spans="1:1" x14ac:dyDescent="0.3">
      <c r="A10473" s="12"/>
    </row>
    <row r="10474" spans="1:1" x14ac:dyDescent="0.3">
      <c r="A10474" s="12"/>
    </row>
    <row r="10475" spans="1:1" x14ac:dyDescent="0.3">
      <c r="A10475" s="12"/>
    </row>
    <row r="10476" spans="1:1" x14ac:dyDescent="0.3">
      <c r="A10476" s="12"/>
    </row>
    <row r="10477" spans="1:1" x14ac:dyDescent="0.3">
      <c r="A10477" s="12"/>
    </row>
    <row r="10478" spans="1:1" x14ac:dyDescent="0.3">
      <c r="A10478" s="12"/>
    </row>
    <row r="10479" spans="1:1" x14ac:dyDescent="0.3">
      <c r="A10479" s="12"/>
    </row>
    <row r="10480" spans="1:1" x14ac:dyDescent="0.3">
      <c r="A10480" s="12"/>
    </row>
    <row r="10481" spans="1:1" x14ac:dyDescent="0.3">
      <c r="A10481" s="12"/>
    </row>
    <row r="10482" spans="1:1" x14ac:dyDescent="0.3">
      <c r="A10482" s="12"/>
    </row>
    <row r="10483" spans="1:1" x14ac:dyDescent="0.3">
      <c r="A10483" s="12"/>
    </row>
    <row r="10484" spans="1:1" x14ac:dyDescent="0.3">
      <c r="A10484" s="12"/>
    </row>
    <row r="10485" spans="1:1" x14ac:dyDescent="0.3">
      <c r="A10485" s="12"/>
    </row>
    <row r="10486" spans="1:1" x14ac:dyDescent="0.3">
      <c r="A10486" s="12"/>
    </row>
    <row r="10487" spans="1:1" x14ac:dyDescent="0.3">
      <c r="A10487" s="12"/>
    </row>
    <row r="10488" spans="1:1" x14ac:dyDescent="0.3">
      <c r="A10488" s="12"/>
    </row>
    <row r="10489" spans="1:1" x14ac:dyDescent="0.3">
      <c r="A10489" s="12"/>
    </row>
    <row r="10490" spans="1:1" x14ac:dyDescent="0.3">
      <c r="A10490" s="12"/>
    </row>
    <row r="10491" spans="1:1" x14ac:dyDescent="0.3">
      <c r="A10491" s="12"/>
    </row>
    <row r="10492" spans="1:1" x14ac:dyDescent="0.3">
      <c r="A10492" s="12"/>
    </row>
    <row r="10493" spans="1:1" x14ac:dyDescent="0.3">
      <c r="A10493" s="12"/>
    </row>
    <row r="10494" spans="1:1" x14ac:dyDescent="0.3">
      <c r="A10494" s="12"/>
    </row>
    <row r="10495" spans="1:1" x14ac:dyDescent="0.3">
      <c r="A10495" s="12"/>
    </row>
    <row r="10496" spans="1:1" x14ac:dyDescent="0.3">
      <c r="A10496" s="12"/>
    </row>
    <row r="10497" spans="1:1" x14ac:dyDescent="0.3">
      <c r="A10497" s="12"/>
    </row>
    <row r="10498" spans="1:1" x14ac:dyDescent="0.3">
      <c r="A10498" s="12"/>
    </row>
    <row r="10499" spans="1:1" x14ac:dyDescent="0.3">
      <c r="A10499" s="12"/>
    </row>
    <row r="10500" spans="1:1" x14ac:dyDescent="0.3">
      <c r="A10500" s="12"/>
    </row>
    <row r="10501" spans="1:1" x14ac:dyDescent="0.3">
      <c r="A10501" s="12"/>
    </row>
    <row r="10502" spans="1:1" x14ac:dyDescent="0.3">
      <c r="A10502" s="12"/>
    </row>
    <row r="10503" spans="1:1" x14ac:dyDescent="0.3">
      <c r="A10503" s="12"/>
    </row>
    <row r="10504" spans="1:1" x14ac:dyDescent="0.3">
      <c r="A10504" s="12"/>
    </row>
    <row r="10505" spans="1:1" x14ac:dyDescent="0.3">
      <c r="A10505" s="12"/>
    </row>
    <row r="10506" spans="1:1" x14ac:dyDescent="0.3">
      <c r="A10506" s="12"/>
    </row>
    <row r="10507" spans="1:1" x14ac:dyDescent="0.3">
      <c r="A10507" s="12"/>
    </row>
    <row r="10508" spans="1:1" x14ac:dyDescent="0.3">
      <c r="A10508" s="12"/>
    </row>
    <row r="10509" spans="1:1" x14ac:dyDescent="0.3">
      <c r="A10509" s="12"/>
    </row>
    <row r="10510" spans="1:1" x14ac:dyDescent="0.3">
      <c r="A10510" s="12"/>
    </row>
    <row r="10511" spans="1:1" x14ac:dyDescent="0.3">
      <c r="A10511" s="12"/>
    </row>
    <row r="10512" spans="1:1" x14ac:dyDescent="0.3">
      <c r="A10512" s="12"/>
    </row>
    <row r="10513" spans="1:1" x14ac:dyDescent="0.3">
      <c r="A10513" s="12"/>
    </row>
    <row r="10514" spans="1:1" x14ac:dyDescent="0.3">
      <c r="A10514" s="12"/>
    </row>
    <row r="10515" spans="1:1" x14ac:dyDescent="0.3">
      <c r="A10515" s="12"/>
    </row>
    <row r="10516" spans="1:1" x14ac:dyDescent="0.3">
      <c r="A10516" s="12"/>
    </row>
    <row r="10517" spans="1:1" x14ac:dyDescent="0.3">
      <c r="A10517" s="12"/>
    </row>
    <row r="10518" spans="1:1" x14ac:dyDescent="0.3">
      <c r="A10518" s="12"/>
    </row>
    <row r="10519" spans="1:1" x14ac:dyDescent="0.3">
      <c r="A10519" s="12"/>
    </row>
    <row r="10520" spans="1:1" x14ac:dyDescent="0.3">
      <c r="A10520" s="12"/>
    </row>
    <row r="10521" spans="1:1" x14ac:dyDescent="0.3">
      <c r="A10521" s="12"/>
    </row>
    <row r="10522" spans="1:1" x14ac:dyDescent="0.3">
      <c r="A10522" s="12"/>
    </row>
    <row r="10523" spans="1:1" x14ac:dyDescent="0.3">
      <c r="A10523" s="12"/>
    </row>
    <row r="10524" spans="1:1" x14ac:dyDescent="0.3">
      <c r="A10524" s="12"/>
    </row>
    <row r="10525" spans="1:1" x14ac:dyDescent="0.3">
      <c r="A10525" s="12"/>
    </row>
    <row r="10526" spans="1:1" x14ac:dyDescent="0.3">
      <c r="A10526" s="12"/>
    </row>
    <row r="10527" spans="1:1" x14ac:dyDescent="0.3">
      <c r="A10527" s="12"/>
    </row>
    <row r="10528" spans="1:1" x14ac:dyDescent="0.3">
      <c r="A10528" s="12"/>
    </row>
    <row r="10529" spans="1:1" x14ac:dyDescent="0.3">
      <c r="A10529" s="12"/>
    </row>
    <row r="10530" spans="1:1" x14ac:dyDescent="0.3">
      <c r="A10530" s="12"/>
    </row>
    <row r="10531" spans="1:1" x14ac:dyDescent="0.3">
      <c r="A10531" s="12"/>
    </row>
    <row r="10532" spans="1:1" x14ac:dyDescent="0.3">
      <c r="A10532" s="12"/>
    </row>
    <row r="10533" spans="1:1" x14ac:dyDescent="0.3">
      <c r="A10533" s="12"/>
    </row>
    <row r="10534" spans="1:1" x14ac:dyDescent="0.3">
      <c r="A10534" s="12"/>
    </row>
    <row r="10535" spans="1:1" x14ac:dyDescent="0.3">
      <c r="A10535" s="12"/>
    </row>
    <row r="10536" spans="1:1" x14ac:dyDescent="0.3">
      <c r="A10536" s="12"/>
    </row>
    <row r="10537" spans="1:1" x14ac:dyDescent="0.3">
      <c r="A10537" s="12"/>
    </row>
    <row r="10538" spans="1:1" x14ac:dyDescent="0.3">
      <c r="A10538" s="12"/>
    </row>
    <row r="10539" spans="1:1" x14ac:dyDescent="0.3">
      <c r="A10539" s="12"/>
    </row>
    <row r="10540" spans="1:1" x14ac:dyDescent="0.3">
      <c r="A10540" s="12"/>
    </row>
    <row r="10541" spans="1:1" x14ac:dyDescent="0.3">
      <c r="A10541" s="12"/>
    </row>
    <row r="10542" spans="1:1" x14ac:dyDescent="0.3">
      <c r="A10542" s="12"/>
    </row>
    <row r="10543" spans="1:1" x14ac:dyDescent="0.3">
      <c r="A10543" s="12"/>
    </row>
    <row r="10544" spans="1:1" x14ac:dyDescent="0.3">
      <c r="A10544" s="12"/>
    </row>
    <row r="10545" spans="1:1" x14ac:dyDescent="0.3">
      <c r="A10545" s="12"/>
    </row>
    <row r="10546" spans="1:1" x14ac:dyDescent="0.3">
      <c r="A10546" s="12"/>
    </row>
    <row r="10547" spans="1:1" x14ac:dyDescent="0.3">
      <c r="A10547" s="12"/>
    </row>
    <row r="10548" spans="1:1" x14ac:dyDescent="0.3">
      <c r="A10548" s="12"/>
    </row>
    <row r="10549" spans="1:1" x14ac:dyDescent="0.3">
      <c r="A10549" s="12"/>
    </row>
    <row r="10550" spans="1:1" x14ac:dyDescent="0.3">
      <c r="A10550" s="12"/>
    </row>
    <row r="10551" spans="1:1" x14ac:dyDescent="0.3">
      <c r="A10551" s="12"/>
    </row>
    <row r="10552" spans="1:1" x14ac:dyDescent="0.3">
      <c r="A10552" s="12"/>
    </row>
    <row r="10553" spans="1:1" x14ac:dyDescent="0.3">
      <c r="A10553" s="12"/>
    </row>
    <row r="10554" spans="1:1" x14ac:dyDescent="0.3">
      <c r="A10554" s="12"/>
    </row>
    <row r="10555" spans="1:1" x14ac:dyDescent="0.3">
      <c r="A10555" s="12"/>
    </row>
    <row r="10556" spans="1:1" x14ac:dyDescent="0.3">
      <c r="A10556" s="12"/>
    </row>
    <row r="10557" spans="1:1" x14ac:dyDescent="0.3">
      <c r="A10557" s="12"/>
    </row>
    <row r="10558" spans="1:1" x14ac:dyDescent="0.3">
      <c r="A10558" s="12"/>
    </row>
    <row r="10559" spans="1:1" x14ac:dyDescent="0.3">
      <c r="A10559" s="12"/>
    </row>
    <row r="10560" spans="1:1" x14ac:dyDescent="0.3">
      <c r="A10560" s="12"/>
    </row>
    <row r="10561" spans="1:1" x14ac:dyDescent="0.3">
      <c r="A10561" s="12"/>
    </row>
    <row r="10562" spans="1:1" x14ac:dyDescent="0.3">
      <c r="A10562" s="12"/>
    </row>
    <row r="10563" spans="1:1" x14ac:dyDescent="0.3">
      <c r="A10563" s="12"/>
    </row>
    <row r="10564" spans="1:1" x14ac:dyDescent="0.3">
      <c r="A10564" s="12"/>
    </row>
    <row r="10565" spans="1:1" x14ac:dyDescent="0.3">
      <c r="A10565" s="12"/>
    </row>
    <row r="10566" spans="1:1" x14ac:dyDescent="0.3">
      <c r="A10566" s="12"/>
    </row>
    <row r="10567" spans="1:1" x14ac:dyDescent="0.3">
      <c r="A10567" s="12"/>
    </row>
    <row r="10568" spans="1:1" x14ac:dyDescent="0.3">
      <c r="A10568" s="12"/>
    </row>
    <row r="10569" spans="1:1" x14ac:dyDescent="0.3">
      <c r="A10569" s="12"/>
    </row>
    <row r="10570" spans="1:1" x14ac:dyDescent="0.3">
      <c r="A10570" s="12"/>
    </row>
    <row r="10571" spans="1:1" x14ac:dyDescent="0.3">
      <c r="A10571" s="12"/>
    </row>
    <row r="10572" spans="1:1" x14ac:dyDescent="0.3">
      <c r="A10572" s="12"/>
    </row>
    <row r="10573" spans="1:1" x14ac:dyDescent="0.3">
      <c r="A10573" s="12"/>
    </row>
    <row r="10574" spans="1:1" x14ac:dyDescent="0.3">
      <c r="A10574" s="12"/>
    </row>
    <row r="10575" spans="1:1" x14ac:dyDescent="0.3">
      <c r="A10575" s="12"/>
    </row>
    <row r="10576" spans="1:1" x14ac:dyDescent="0.3">
      <c r="A10576" s="12"/>
    </row>
    <row r="10577" spans="1:1" x14ac:dyDescent="0.3">
      <c r="A10577" s="12"/>
    </row>
    <row r="10578" spans="1:1" x14ac:dyDescent="0.3">
      <c r="A10578" s="12"/>
    </row>
    <row r="10579" spans="1:1" x14ac:dyDescent="0.3">
      <c r="A10579" s="12"/>
    </row>
    <row r="10580" spans="1:1" x14ac:dyDescent="0.3">
      <c r="A10580" s="12"/>
    </row>
    <row r="10581" spans="1:1" x14ac:dyDescent="0.3">
      <c r="A10581" s="12"/>
    </row>
    <row r="10582" spans="1:1" x14ac:dyDescent="0.3">
      <c r="A10582" s="12"/>
    </row>
    <row r="10583" spans="1:1" x14ac:dyDescent="0.3">
      <c r="A10583" s="12"/>
    </row>
    <row r="10584" spans="1:1" x14ac:dyDescent="0.3">
      <c r="A10584" s="12"/>
    </row>
    <row r="10585" spans="1:1" x14ac:dyDescent="0.3">
      <c r="A10585" s="12"/>
    </row>
    <row r="10586" spans="1:1" x14ac:dyDescent="0.3">
      <c r="A10586" s="12"/>
    </row>
    <row r="10587" spans="1:1" x14ac:dyDescent="0.3">
      <c r="A10587" s="12"/>
    </row>
    <row r="10588" spans="1:1" x14ac:dyDescent="0.3">
      <c r="A10588" s="12"/>
    </row>
    <row r="10589" spans="1:1" x14ac:dyDescent="0.3">
      <c r="A10589" s="12"/>
    </row>
    <row r="10590" spans="1:1" x14ac:dyDescent="0.3">
      <c r="A10590" s="12"/>
    </row>
    <row r="10591" spans="1:1" x14ac:dyDescent="0.3">
      <c r="A10591" s="12"/>
    </row>
    <row r="10592" spans="1:1" x14ac:dyDescent="0.3">
      <c r="A10592" s="12"/>
    </row>
    <row r="10593" spans="1:1" x14ac:dyDescent="0.3">
      <c r="A10593" s="12"/>
    </row>
    <row r="10594" spans="1:1" x14ac:dyDescent="0.3">
      <c r="A10594" s="12"/>
    </row>
    <row r="10595" spans="1:1" x14ac:dyDescent="0.3">
      <c r="A10595" s="12"/>
    </row>
    <row r="10596" spans="1:1" x14ac:dyDescent="0.3">
      <c r="A10596" s="12"/>
    </row>
    <row r="10597" spans="1:1" x14ac:dyDescent="0.3">
      <c r="A10597" s="12"/>
    </row>
    <row r="10598" spans="1:1" x14ac:dyDescent="0.3">
      <c r="A10598" s="12"/>
    </row>
    <row r="10599" spans="1:1" x14ac:dyDescent="0.3">
      <c r="A10599" s="12"/>
    </row>
    <row r="10600" spans="1:1" x14ac:dyDescent="0.3">
      <c r="A10600" s="12"/>
    </row>
    <row r="10601" spans="1:1" x14ac:dyDescent="0.3">
      <c r="A10601" s="12"/>
    </row>
    <row r="10602" spans="1:1" x14ac:dyDescent="0.3">
      <c r="A10602" s="12"/>
    </row>
    <row r="10603" spans="1:1" x14ac:dyDescent="0.3">
      <c r="A10603" s="12"/>
    </row>
    <row r="10604" spans="1:1" x14ac:dyDescent="0.3">
      <c r="A10604" s="12"/>
    </row>
    <row r="10605" spans="1:1" x14ac:dyDescent="0.3">
      <c r="A10605" s="12"/>
    </row>
    <row r="10606" spans="1:1" x14ac:dyDescent="0.3">
      <c r="A10606" s="12"/>
    </row>
    <row r="10607" spans="1:1" x14ac:dyDescent="0.3">
      <c r="A10607" s="12"/>
    </row>
    <row r="10608" spans="1:1" x14ac:dyDescent="0.3">
      <c r="A10608" s="12"/>
    </row>
    <row r="10609" spans="1:1" x14ac:dyDescent="0.3">
      <c r="A10609" s="12"/>
    </row>
    <row r="10610" spans="1:1" x14ac:dyDescent="0.3">
      <c r="A10610" s="12"/>
    </row>
    <row r="10611" spans="1:1" x14ac:dyDescent="0.3">
      <c r="A10611" s="12"/>
    </row>
    <row r="10612" spans="1:1" x14ac:dyDescent="0.3">
      <c r="A10612" s="12"/>
    </row>
    <row r="10613" spans="1:1" x14ac:dyDescent="0.3">
      <c r="A10613" s="12"/>
    </row>
    <row r="10614" spans="1:1" x14ac:dyDescent="0.3">
      <c r="A10614" s="12"/>
    </row>
    <row r="10615" spans="1:1" x14ac:dyDescent="0.3">
      <c r="A10615" s="12"/>
    </row>
    <row r="10616" spans="1:1" x14ac:dyDescent="0.3">
      <c r="A10616" s="12"/>
    </row>
    <row r="10617" spans="1:1" x14ac:dyDescent="0.3">
      <c r="A10617" s="12"/>
    </row>
    <row r="10618" spans="1:1" x14ac:dyDescent="0.3">
      <c r="A10618" s="12"/>
    </row>
    <row r="10619" spans="1:1" x14ac:dyDescent="0.3">
      <c r="A10619" s="12"/>
    </row>
    <row r="10620" spans="1:1" x14ac:dyDescent="0.3">
      <c r="A10620" s="12"/>
    </row>
    <row r="10621" spans="1:1" x14ac:dyDescent="0.3">
      <c r="A10621" s="12"/>
    </row>
    <row r="10622" spans="1:1" x14ac:dyDescent="0.3">
      <c r="A10622" s="12"/>
    </row>
    <row r="10623" spans="1:1" x14ac:dyDescent="0.3">
      <c r="A10623" s="12"/>
    </row>
    <row r="10624" spans="1:1" x14ac:dyDescent="0.3">
      <c r="A10624" s="12"/>
    </row>
    <row r="10625" spans="1:1" x14ac:dyDescent="0.3">
      <c r="A10625" s="12"/>
    </row>
    <row r="10626" spans="1:1" x14ac:dyDescent="0.3">
      <c r="A10626" s="12"/>
    </row>
    <row r="10627" spans="1:1" x14ac:dyDescent="0.3">
      <c r="A10627" s="12"/>
    </row>
    <row r="10628" spans="1:1" x14ac:dyDescent="0.3">
      <c r="A10628" s="12"/>
    </row>
    <row r="10629" spans="1:1" x14ac:dyDescent="0.3">
      <c r="A10629" s="12"/>
    </row>
    <row r="10630" spans="1:1" x14ac:dyDescent="0.3">
      <c r="A10630" s="12"/>
    </row>
    <row r="10631" spans="1:1" x14ac:dyDescent="0.3">
      <c r="A10631" s="12"/>
    </row>
    <row r="10632" spans="1:1" x14ac:dyDescent="0.3">
      <c r="A10632" s="12"/>
    </row>
    <row r="10633" spans="1:1" x14ac:dyDescent="0.3">
      <c r="A10633" s="12"/>
    </row>
    <row r="10634" spans="1:1" x14ac:dyDescent="0.3">
      <c r="A10634" s="12"/>
    </row>
    <row r="10635" spans="1:1" x14ac:dyDescent="0.3">
      <c r="A10635" s="12"/>
    </row>
    <row r="10636" spans="1:1" x14ac:dyDescent="0.3">
      <c r="A10636" s="12"/>
    </row>
    <row r="10637" spans="1:1" x14ac:dyDescent="0.3">
      <c r="A10637" s="12"/>
    </row>
    <row r="10638" spans="1:1" x14ac:dyDescent="0.3">
      <c r="A10638" s="12"/>
    </row>
    <row r="10639" spans="1:1" x14ac:dyDescent="0.3">
      <c r="A10639" s="12"/>
    </row>
    <row r="10640" spans="1:1" x14ac:dyDescent="0.3">
      <c r="A10640" s="12"/>
    </row>
    <row r="10641" spans="1:1" x14ac:dyDescent="0.3">
      <c r="A10641" s="12"/>
    </row>
    <row r="10642" spans="1:1" x14ac:dyDescent="0.3">
      <c r="A10642" s="12"/>
    </row>
    <row r="10643" spans="1:1" x14ac:dyDescent="0.3">
      <c r="A10643" s="12"/>
    </row>
    <row r="10644" spans="1:1" x14ac:dyDescent="0.3">
      <c r="A10644" s="12"/>
    </row>
    <row r="10645" spans="1:1" x14ac:dyDescent="0.3">
      <c r="A10645" s="12"/>
    </row>
    <row r="10646" spans="1:1" x14ac:dyDescent="0.3">
      <c r="A10646" s="12"/>
    </row>
    <row r="10647" spans="1:1" x14ac:dyDescent="0.3">
      <c r="A10647" s="12"/>
    </row>
    <row r="10648" spans="1:1" x14ac:dyDescent="0.3">
      <c r="A10648" s="12"/>
    </row>
    <row r="10649" spans="1:1" x14ac:dyDescent="0.3">
      <c r="A10649" s="12"/>
    </row>
    <row r="10650" spans="1:1" x14ac:dyDescent="0.3">
      <c r="A10650" s="12"/>
    </row>
    <row r="10651" spans="1:1" x14ac:dyDescent="0.3">
      <c r="A10651" s="12"/>
    </row>
    <row r="10652" spans="1:1" x14ac:dyDescent="0.3">
      <c r="A10652" s="12"/>
    </row>
    <row r="10653" spans="1:1" x14ac:dyDescent="0.3">
      <c r="A10653" s="12"/>
    </row>
    <row r="10654" spans="1:1" x14ac:dyDescent="0.3">
      <c r="A10654" s="12"/>
    </row>
    <row r="10655" spans="1:1" x14ac:dyDescent="0.3">
      <c r="A10655" s="12"/>
    </row>
    <row r="10656" spans="1:1" x14ac:dyDescent="0.3">
      <c r="A10656" s="12"/>
    </row>
    <row r="10657" spans="1:1" x14ac:dyDescent="0.3">
      <c r="A10657" s="12"/>
    </row>
    <row r="10658" spans="1:1" x14ac:dyDescent="0.3">
      <c r="A10658" s="12"/>
    </row>
    <row r="10659" spans="1:1" x14ac:dyDescent="0.3">
      <c r="A10659" s="12"/>
    </row>
    <row r="10660" spans="1:1" x14ac:dyDescent="0.3">
      <c r="A10660" s="12"/>
    </row>
    <row r="10661" spans="1:1" x14ac:dyDescent="0.3">
      <c r="A10661" s="12"/>
    </row>
    <row r="10662" spans="1:1" x14ac:dyDescent="0.3">
      <c r="A10662" s="12"/>
    </row>
    <row r="10663" spans="1:1" x14ac:dyDescent="0.3">
      <c r="A10663" s="12"/>
    </row>
    <row r="10664" spans="1:1" x14ac:dyDescent="0.3">
      <c r="A10664" s="12"/>
    </row>
    <row r="10665" spans="1:1" x14ac:dyDescent="0.3">
      <c r="A10665" s="12"/>
    </row>
    <row r="10666" spans="1:1" x14ac:dyDescent="0.3">
      <c r="A10666" s="12"/>
    </row>
    <row r="10667" spans="1:1" x14ac:dyDescent="0.3">
      <c r="A10667" s="12"/>
    </row>
    <row r="10668" spans="1:1" x14ac:dyDescent="0.3">
      <c r="A10668" s="12"/>
    </row>
    <row r="10669" spans="1:1" x14ac:dyDescent="0.3">
      <c r="A10669" s="12"/>
    </row>
    <row r="10670" spans="1:1" x14ac:dyDescent="0.3">
      <c r="A10670" s="12"/>
    </row>
    <row r="10671" spans="1:1" x14ac:dyDescent="0.3">
      <c r="A10671" s="12"/>
    </row>
    <row r="10672" spans="1:1" x14ac:dyDescent="0.3">
      <c r="A10672" s="12"/>
    </row>
    <row r="10673" spans="1:1" x14ac:dyDescent="0.3">
      <c r="A10673" s="12"/>
    </row>
    <row r="10674" spans="1:1" x14ac:dyDescent="0.3">
      <c r="A10674" s="12"/>
    </row>
    <row r="10675" spans="1:1" x14ac:dyDescent="0.3">
      <c r="A10675" s="12"/>
    </row>
    <row r="10676" spans="1:1" x14ac:dyDescent="0.3">
      <c r="A10676" s="12"/>
    </row>
    <row r="10677" spans="1:1" x14ac:dyDescent="0.3">
      <c r="A10677" s="12"/>
    </row>
    <row r="10678" spans="1:1" x14ac:dyDescent="0.3">
      <c r="A10678" s="12"/>
    </row>
    <row r="10679" spans="1:1" x14ac:dyDescent="0.3">
      <c r="A10679" s="12"/>
    </row>
    <row r="10680" spans="1:1" x14ac:dyDescent="0.3">
      <c r="A10680" s="12"/>
    </row>
    <row r="10681" spans="1:1" x14ac:dyDescent="0.3">
      <c r="A10681" s="12"/>
    </row>
    <row r="10682" spans="1:1" x14ac:dyDescent="0.3">
      <c r="A10682" s="12"/>
    </row>
    <row r="10683" spans="1:1" x14ac:dyDescent="0.3">
      <c r="A10683" s="12"/>
    </row>
    <row r="10684" spans="1:1" x14ac:dyDescent="0.3">
      <c r="A10684" s="12"/>
    </row>
    <row r="10685" spans="1:1" x14ac:dyDescent="0.3">
      <c r="A10685" s="12"/>
    </row>
    <row r="10686" spans="1:1" x14ac:dyDescent="0.3">
      <c r="A10686" s="12"/>
    </row>
    <row r="10687" spans="1:1" x14ac:dyDescent="0.3">
      <c r="A10687" s="12"/>
    </row>
    <row r="10688" spans="1:1" x14ac:dyDescent="0.3">
      <c r="A10688" s="12"/>
    </row>
    <row r="10689" spans="1:1" x14ac:dyDescent="0.3">
      <c r="A10689" s="12"/>
    </row>
    <row r="10690" spans="1:1" x14ac:dyDescent="0.3">
      <c r="A10690" s="12"/>
    </row>
    <row r="10691" spans="1:1" x14ac:dyDescent="0.3">
      <c r="A10691" s="12"/>
    </row>
    <row r="10692" spans="1:1" x14ac:dyDescent="0.3">
      <c r="A10692" s="12"/>
    </row>
    <row r="10693" spans="1:1" x14ac:dyDescent="0.3">
      <c r="A10693" s="12"/>
    </row>
    <row r="10694" spans="1:1" x14ac:dyDescent="0.3">
      <c r="A10694" s="12"/>
    </row>
    <row r="10695" spans="1:1" x14ac:dyDescent="0.3">
      <c r="A10695" s="12"/>
    </row>
    <row r="10696" spans="1:1" x14ac:dyDescent="0.3">
      <c r="A10696" s="12"/>
    </row>
    <row r="10697" spans="1:1" x14ac:dyDescent="0.3">
      <c r="A10697" s="12"/>
    </row>
    <row r="10698" spans="1:1" x14ac:dyDescent="0.3">
      <c r="A10698" s="12"/>
    </row>
    <row r="10699" spans="1:1" x14ac:dyDescent="0.3">
      <c r="A10699" s="12"/>
    </row>
    <row r="10700" spans="1:1" x14ac:dyDescent="0.3">
      <c r="A10700" s="12"/>
    </row>
    <row r="10701" spans="1:1" x14ac:dyDescent="0.3">
      <c r="A10701" s="12"/>
    </row>
    <row r="10702" spans="1:1" x14ac:dyDescent="0.3">
      <c r="A10702" s="12"/>
    </row>
    <row r="10703" spans="1:1" x14ac:dyDescent="0.3">
      <c r="A10703" s="12"/>
    </row>
    <row r="10704" spans="1:1" x14ac:dyDescent="0.3">
      <c r="A10704" s="12"/>
    </row>
    <row r="10705" spans="1:1" x14ac:dyDescent="0.3">
      <c r="A10705" s="12"/>
    </row>
    <row r="10706" spans="1:1" x14ac:dyDescent="0.3">
      <c r="A10706" s="12"/>
    </row>
    <row r="10707" spans="1:1" x14ac:dyDescent="0.3">
      <c r="A10707" s="12"/>
    </row>
    <row r="10708" spans="1:1" x14ac:dyDescent="0.3">
      <c r="A10708" s="12"/>
    </row>
    <row r="10709" spans="1:1" x14ac:dyDescent="0.3">
      <c r="A10709" s="12"/>
    </row>
    <row r="10710" spans="1:1" x14ac:dyDescent="0.3">
      <c r="A10710" s="12"/>
    </row>
    <row r="10711" spans="1:1" x14ac:dyDescent="0.3">
      <c r="A10711" s="12"/>
    </row>
    <row r="10712" spans="1:1" x14ac:dyDescent="0.3">
      <c r="A10712" s="12"/>
    </row>
    <row r="10713" spans="1:1" x14ac:dyDescent="0.3">
      <c r="A10713" s="12"/>
    </row>
    <row r="10714" spans="1:1" x14ac:dyDescent="0.3">
      <c r="A10714" s="12"/>
    </row>
    <row r="10715" spans="1:1" x14ac:dyDescent="0.3">
      <c r="A10715" s="12"/>
    </row>
    <row r="10716" spans="1:1" x14ac:dyDescent="0.3">
      <c r="A10716" s="12"/>
    </row>
    <row r="10717" spans="1:1" x14ac:dyDescent="0.3">
      <c r="A10717" s="12"/>
    </row>
    <row r="10718" spans="1:1" x14ac:dyDescent="0.3">
      <c r="A10718" s="12"/>
    </row>
    <row r="10719" spans="1:1" x14ac:dyDescent="0.3">
      <c r="A10719" s="12"/>
    </row>
    <row r="10720" spans="1:1" x14ac:dyDescent="0.3">
      <c r="A10720" s="12"/>
    </row>
    <row r="10721" spans="1:1" x14ac:dyDescent="0.3">
      <c r="A10721" s="12"/>
    </row>
    <row r="10722" spans="1:1" x14ac:dyDescent="0.3">
      <c r="A10722" s="12"/>
    </row>
    <row r="10723" spans="1:1" x14ac:dyDescent="0.3">
      <c r="A10723" s="12"/>
    </row>
    <row r="10724" spans="1:1" x14ac:dyDescent="0.3">
      <c r="A10724" s="12"/>
    </row>
    <row r="10725" spans="1:1" x14ac:dyDescent="0.3">
      <c r="A10725" s="12"/>
    </row>
    <row r="10726" spans="1:1" x14ac:dyDescent="0.3">
      <c r="A10726" s="12"/>
    </row>
    <row r="10727" spans="1:1" x14ac:dyDescent="0.3">
      <c r="A10727" s="12"/>
    </row>
    <row r="10728" spans="1:1" x14ac:dyDescent="0.3">
      <c r="A10728" s="12"/>
    </row>
    <row r="10729" spans="1:1" x14ac:dyDescent="0.3">
      <c r="A10729" s="12"/>
    </row>
    <row r="10730" spans="1:1" x14ac:dyDescent="0.3">
      <c r="A10730" s="12"/>
    </row>
    <row r="10731" spans="1:1" x14ac:dyDescent="0.3">
      <c r="A10731" s="12"/>
    </row>
    <row r="10732" spans="1:1" x14ac:dyDescent="0.3">
      <c r="A10732" s="12"/>
    </row>
    <row r="10733" spans="1:1" x14ac:dyDescent="0.3">
      <c r="A10733" s="12"/>
    </row>
    <row r="10734" spans="1:1" x14ac:dyDescent="0.3">
      <c r="A10734" s="12"/>
    </row>
    <row r="10735" spans="1:1" x14ac:dyDescent="0.3">
      <c r="A10735" s="12"/>
    </row>
    <row r="10736" spans="1:1" x14ac:dyDescent="0.3">
      <c r="A10736" s="12"/>
    </row>
    <row r="10737" spans="1:1" x14ac:dyDescent="0.3">
      <c r="A10737" s="12"/>
    </row>
    <row r="10738" spans="1:1" x14ac:dyDescent="0.3">
      <c r="A10738" s="12"/>
    </row>
    <row r="10739" spans="1:1" x14ac:dyDescent="0.3">
      <c r="A10739" s="12"/>
    </row>
    <row r="10740" spans="1:1" x14ac:dyDescent="0.3">
      <c r="A10740" s="12"/>
    </row>
    <row r="10741" spans="1:1" x14ac:dyDescent="0.3">
      <c r="A10741" s="12"/>
    </row>
    <row r="10742" spans="1:1" x14ac:dyDescent="0.3">
      <c r="A10742" s="12"/>
    </row>
    <row r="10743" spans="1:1" x14ac:dyDescent="0.3">
      <c r="A10743" s="12"/>
    </row>
    <row r="10744" spans="1:1" x14ac:dyDescent="0.3">
      <c r="A10744" s="12"/>
    </row>
    <row r="10745" spans="1:1" x14ac:dyDescent="0.3">
      <c r="A10745" s="12"/>
    </row>
    <row r="10746" spans="1:1" x14ac:dyDescent="0.3">
      <c r="A10746" s="12"/>
    </row>
    <row r="10747" spans="1:1" x14ac:dyDescent="0.3">
      <c r="A10747" s="12"/>
    </row>
    <row r="10748" spans="1:1" x14ac:dyDescent="0.3">
      <c r="A10748" s="12"/>
    </row>
    <row r="10749" spans="1:1" x14ac:dyDescent="0.3">
      <c r="A10749" s="12"/>
    </row>
    <row r="10750" spans="1:1" x14ac:dyDescent="0.3">
      <c r="A10750" s="12"/>
    </row>
    <row r="10751" spans="1:1" x14ac:dyDescent="0.3">
      <c r="A10751" s="12"/>
    </row>
    <row r="10752" spans="1:1" x14ac:dyDescent="0.3">
      <c r="A10752" s="12"/>
    </row>
    <row r="10753" spans="1:1" x14ac:dyDescent="0.3">
      <c r="A10753" s="12"/>
    </row>
    <row r="10754" spans="1:1" x14ac:dyDescent="0.3">
      <c r="A10754" s="12"/>
    </row>
    <row r="10755" spans="1:1" x14ac:dyDescent="0.3">
      <c r="A10755" s="12"/>
    </row>
    <row r="10756" spans="1:1" x14ac:dyDescent="0.3">
      <c r="A10756" s="12"/>
    </row>
    <row r="10757" spans="1:1" x14ac:dyDescent="0.3">
      <c r="A10757" s="12"/>
    </row>
    <row r="10758" spans="1:1" x14ac:dyDescent="0.3">
      <c r="A10758" s="12"/>
    </row>
    <row r="10759" spans="1:1" x14ac:dyDescent="0.3">
      <c r="A10759" s="12"/>
    </row>
    <row r="10760" spans="1:1" x14ac:dyDescent="0.3">
      <c r="A10760" s="12"/>
    </row>
    <row r="10761" spans="1:1" x14ac:dyDescent="0.3">
      <c r="A10761" s="12"/>
    </row>
    <row r="10762" spans="1:1" x14ac:dyDescent="0.3">
      <c r="A10762" s="12"/>
    </row>
    <row r="10763" spans="1:1" x14ac:dyDescent="0.3">
      <c r="A10763" s="12"/>
    </row>
    <row r="10764" spans="1:1" x14ac:dyDescent="0.3">
      <c r="A10764" s="12"/>
    </row>
    <row r="10765" spans="1:1" x14ac:dyDescent="0.3">
      <c r="A10765" s="12"/>
    </row>
    <row r="10766" spans="1:1" x14ac:dyDescent="0.3">
      <c r="A10766" s="12"/>
    </row>
    <row r="10767" spans="1:1" x14ac:dyDescent="0.3">
      <c r="A10767" s="12"/>
    </row>
    <row r="10768" spans="1:1" x14ac:dyDescent="0.3">
      <c r="A10768" s="12"/>
    </row>
    <row r="10769" spans="1:1" x14ac:dyDescent="0.3">
      <c r="A10769" s="12"/>
    </row>
    <row r="10770" spans="1:1" x14ac:dyDescent="0.3">
      <c r="A10770" s="12"/>
    </row>
    <row r="10771" spans="1:1" x14ac:dyDescent="0.3">
      <c r="A10771" s="12"/>
    </row>
    <row r="10772" spans="1:1" x14ac:dyDescent="0.3">
      <c r="A10772" s="12"/>
    </row>
    <row r="10773" spans="1:1" x14ac:dyDescent="0.3">
      <c r="A10773" s="12"/>
    </row>
    <row r="10774" spans="1:1" x14ac:dyDescent="0.3">
      <c r="A10774" s="12"/>
    </row>
    <row r="10775" spans="1:1" x14ac:dyDescent="0.3">
      <c r="A10775" s="12"/>
    </row>
    <row r="10776" spans="1:1" x14ac:dyDescent="0.3">
      <c r="A10776" s="12"/>
    </row>
    <row r="10777" spans="1:1" x14ac:dyDescent="0.3">
      <c r="A10777" s="12"/>
    </row>
    <row r="10778" spans="1:1" x14ac:dyDescent="0.3">
      <c r="A10778" s="12"/>
    </row>
    <row r="10779" spans="1:1" x14ac:dyDescent="0.3">
      <c r="A10779" s="12"/>
    </row>
    <row r="10780" spans="1:1" x14ac:dyDescent="0.3">
      <c r="A10780" s="12"/>
    </row>
    <row r="10781" spans="1:1" x14ac:dyDescent="0.3">
      <c r="A10781" s="12"/>
    </row>
    <row r="10782" spans="1:1" x14ac:dyDescent="0.3">
      <c r="A10782" s="12"/>
    </row>
    <row r="10783" spans="1:1" x14ac:dyDescent="0.3">
      <c r="A10783" s="12"/>
    </row>
    <row r="10784" spans="1:1" x14ac:dyDescent="0.3">
      <c r="A10784" s="12"/>
    </row>
    <row r="10785" spans="1:1" x14ac:dyDescent="0.3">
      <c r="A10785" s="12"/>
    </row>
    <row r="10786" spans="1:1" x14ac:dyDescent="0.3">
      <c r="A10786" s="12"/>
    </row>
    <row r="10787" spans="1:1" x14ac:dyDescent="0.3">
      <c r="A10787" s="12"/>
    </row>
    <row r="10788" spans="1:1" x14ac:dyDescent="0.3">
      <c r="A10788" s="12"/>
    </row>
    <row r="10789" spans="1:1" x14ac:dyDescent="0.3">
      <c r="A10789" s="12"/>
    </row>
    <row r="10790" spans="1:1" x14ac:dyDescent="0.3">
      <c r="A10790" s="12"/>
    </row>
    <row r="10791" spans="1:1" x14ac:dyDescent="0.3">
      <c r="A10791" s="12"/>
    </row>
    <row r="10792" spans="1:1" x14ac:dyDescent="0.3">
      <c r="A10792" s="12"/>
    </row>
    <row r="10793" spans="1:1" x14ac:dyDescent="0.3">
      <c r="A10793" s="12"/>
    </row>
    <row r="10794" spans="1:1" x14ac:dyDescent="0.3">
      <c r="A10794" s="12"/>
    </row>
    <row r="10795" spans="1:1" x14ac:dyDescent="0.3">
      <c r="A10795" s="12"/>
    </row>
    <row r="10796" spans="1:1" x14ac:dyDescent="0.3">
      <c r="A10796" s="12"/>
    </row>
    <row r="10797" spans="1:1" x14ac:dyDescent="0.3">
      <c r="A10797" s="12"/>
    </row>
    <row r="10798" spans="1:1" x14ac:dyDescent="0.3">
      <c r="A10798" s="12"/>
    </row>
    <row r="10799" spans="1:1" x14ac:dyDescent="0.3">
      <c r="A10799" s="12"/>
    </row>
    <row r="10800" spans="1:1" x14ac:dyDescent="0.3">
      <c r="A10800" s="12"/>
    </row>
    <row r="10801" spans="1:1" x14ac:dyDescent="0.3">
      <c r="A10801" s="12"/>
    </row>
    <row r="10802" spans="1:1" x14ac:dyDescent="0.3">
      <c r="A10802" s="12"/>
    </row>
    <row r="10803" spans="1:1" x14ac:dyDescent="0.3">
      <c r="A10803" s="12"/>
    </row>
    <row r="10804" spans="1:1" x14ac:dyDescent="0.3">
      <c r="A10804" s="12"/>
    </row>
    <row r="10805" spans="1:1" x14ac:dyDescent="0.3">
      <c r="A10805" s="12"/>
    </row>
    <row r="10806" spans="1:1" x14ac:dyDescent="0.3">
      <c r="A10806" s="12"/>
    </row>
    <row r="10807" spans="1:1" x14ac:dyDescent="0.3">
      <c r="A10807" s="12"/>
    </row>
    <row r="10808" spans="1:1" x14ac:dyDescent="0.3">
      <c r="A10808" s="12"/>
    </row>
    <row r="10809" spans="1:1" x14ac:dyDescent="0.3">
      <c r="A10809" s="12"/>
    </row>
    <row r="10810" spans="1:1" x14ac:dyDescent="0.3">
      <c r="A10810" s="12"/>
    </row>
    <row r="10811" spans="1:1" x14ac:dyDescent="0.3">
      <c r="A10811" s="12"/>
    </row>
    <row r="10812" spans="1:1" x14ac:dyDescent="0.3">
      <c r="A10812" s="12"/>
    </row>
    <row r="10813" spans="1:1" x14ac:dyDescent="0.3">
      <c r="A10813" s="12"/>
    </row>
    <row r="10814" spans="1:1" x14ac:dyDescent="0.3">
      <c r="A10814" s="12"/>
    </row>
    <row r="10815" spans="1:1" x14ac:dyDescent="0.3">
      <c r="A10815" s="12"/>
    </row>
    <row r="10816" spans="1:1" x14ac:dyDescent="0.3">
      <c r="A10816" s="12"/>
    </row>
    <row r="10817" spans="1:1" x14ac:dyDescent="0.3">
      <c r="A10817" s="12"/>
    </row>
    <row r="10818" spans="1:1" x14ac:dyDescent="0.3">
      <c r="A10818" s="12"/>
    </row>
    <row r="10819" spans="1:1" x14ac:dyDescent="0.3">
      <c r="A10819" s="12"/>
    </row>
    <row r="10820" spans="1:1" x14ac:dyDescent="0.3">
      <c r="A10820" s="12"/>
    </row>
    <row r="10821" spans="1:1" x14ac:dyDescent="0.3">
      <c r="A10821" s="12"/>
    </row>
    <row r="10822" spans="1:1" x14ac:dyDescent="0.3">
      <c r="A10822" s="12"/>
    </row>
    <row r="10823" spans="1:1" x14ac:dyDescent="0.3">
      <c r="A10823" s="12"/>
    </row>
    <row r="10824" spans="1:1" x14ac:dyDescent="0.3">
      <c r="A10824" s="12"/>
    </row>
    <row r="10825" spans="1:1" x14ac:dyDescent="0.3">
      <c r="A10825" s="12"/>
    </row>
    <row r="10826" spans="1:1" x14ac:dyDescent="0.3">
      <c r="A10826" s="12"/>
    </row>
    <row r="10827" spans="1:1" x14ac:dyDescent="0.3">
      <c r="A10827" s="12"/>
    </row>
    <row r="10828" spans="1:1" x14ac:dyDescent="0.3">
      <c r="A10828" s="12"/>
    </row>
    <row r="10829" spans="1:1" x14ac:dyDescent="0.3">
      <c r="A10829" s="12"/>
    </row>
    <row r="10830" spans="1:1" x14ac:dyDescent="0.3">
      <c r="A10830" s="12"/>
    </row>
    <row r="10831" spans="1:1" x14ac:dyDescent="0.3">
      <c r="A10831" s="12"/>
    </row>
    <row r="10832" spans="1:1" x14ac:dyDescent="0.3">
      <c r="A10832" s="12"/>
    </row>
    <row r="10833" spans="1:1" x14ac:dyDescent="0.3">
      <c r="A10833" s="12"/>
    </row>
    <row r="10834" spans="1:1" x14ac:dyDescent="0.3">
      <c r="A10834" s="12"/>
    </row>
    <row r="10835" spans="1:1" x14ac:dyDescent="0.3">
      <c r="A10835" s="12"/>
    </row>
    <row r="10836" spans="1:1" x14ac:dyDescent="0.3">
      <c r="A10836" s="12"/>
    </row>
    <row r="10837" spans="1:1" x14ac:dyDescent="0.3">
      <c r="A10837" s="12"/>
    </row>
    <row r="10838" spans="1:1" x14ac:dyDescent="0.3">
      <c r="A10838" s="12"/>
    </row>
    <row r="10839" spans="1:1" x14ac:dyDescent="0.3">
      <c r="A10839" s="12"/>
    </row>
    <row r="10840" spans="1:1" x14ac:dyDescent="0.3">
      <c r="A10840" s="12"/>
    </row>
    <row r="10841" spans="1:1" x14ac:dyDescent="0.3">
      <c r="A10841" s="12"/>
    </row>
    <row r="10842" spans="1:1" x14ac:dyDescent="0.3">
      <c r="A10842" s="12"/>
    </row>
    <row r="10843" spans="1:1" x14ac:dyDescent="0.3">
      <c r="A10843" s="12"/>
    </row>
    <row r="10844" spans="1:1" x14ac:dyDescent="0.3">
      <c r="A10844" s="12"/>
    </row>
    <row r="10845" spans="1:1" x14ac:dyDescent="0.3">
      <c r="A10845" s="12"/>
    </row>
    <row r="10846" spans="1:1" x14ac:dyDescent="0.3">
      <c r="A10846" s="12"/>
    </row>
    <row r="10847" spans="1:1" x14ac:dyDescent="0.3">
      <c r="A10847" s="12"/>
    </row>
    <row r="10848" spans="1:1" x14ac:dyDescent="0.3">
      <c r="A10848" s="12"/>
    </row>
    <row r="10849" spans="1:1" x14ac:dyDescent="0.3">
      <c r="A10849" s="12"/>
    </row>
    <row r="10850" spans="1:1" x14ac:dyDescent="0.3">
      <c r="A10850" s="12"/>
    </row>
    <row r="10851" spans="1:1" x14ac:dyDescent="0.3">
      <c r="A10851" s="12"/>
    </row>
    <row r="10852" spans="1:1" x14ac:dyDescent="0.3">
      <c r="A10852" s="12"/>
    </row>
    <row r="10853" spans="1:1" x14ac:dyDescent="0.3">
      <c r="A10853" s="12"/>
    </row>
    <row r="10854" spans="1:1" x14ac:dyDescent="0.3">
      <c r="A10854" s="12"/>
    </row>
    <row r="10855" spans="1:1" x14ac:dyDescent="0.3">
      <c r="A10855" s="12"/>
    </row>
    <row r="10856" spans="1:1" x14ac:dyDescent="0.3">
      <c r="A10856" s="12"/>
    </row>
    <row r="10857" spans="1:1" x14ac:dyDescent="0.3">
      <c r="A10857" s="12"/>
    </row>
    <row r="10858" spans="1:1" x14ac:dyDescent="0.3">
      <c r="A10858" s="12"/>
    </row>
    <row r="10859" spans="1:1" x14ac:dyDescent="0.3">
      <c r="A10859" s="12"/>
    </row>
    <row r="10860" spans="1:1" x14ac:dyDescent="0.3">
      <c r="A10860" s="12"/>
    </row>
    <row r="10861" spans="1:1" x14ac:dyDescent="0.3">
      <c r="A10861" s="12"/>
    </row>
    <row r="10862" spans="1:1" x14ac:dyDescent="0.3">
      <c r="A10862" s="12"/>
    </row>
    <row r="10863" spans="1:1" x14ac:dyDescent="0.3">
      <c r="A10863" s="12"/>
    </row>
    <row r="10864" spans="1:1" x14ac:dyDescent="0.3">
      <c r="A10864" s="12"/>
    </row>
    <row r="10865" spans="1:1" x14ac:dyDescent="0.3">
      <c r="A10865" s="12"/>
    </row>
    <row r="10866" spans="1:1" x14ac:dyDescent="0.3">
      <c r="A10866" s="12"/>
    </row>
    <row r="10867" spans="1:1" x14ac:dyDescent="0.3">
      <c r="A10867" s="12"/>
    </row>
    <row r="10868" spans="1:1" x14ac:dyDescent="0.3">
      <c r="A10868" s="12"/>
    </row>
    <row r="10869" spans="1:1" x14ac:dyDescent="0.3">
      <c r="A10869" s="12"/>
    </row>
    <row r="10870" spans="1:1" x14ac:dyDescent="0.3">
      <c r="A10870" s="12"/>
    </row>
    <row r="10871" spans="1:1" x14ac:dyDescent="0.3">
      <c r="A10871" s="12"/>
    </row>
    <row r="10872" spans="1:1" x14ac:dyDescent="0.3">
      <c r="A10872" s="12"/>
    </row>
    <row r="10873" spans="1:1" x14ac:dyDescent="0.3">
      <c r="A10873" s="12"/>
    </row>
    <row r="10874" spans="1:1" x14ac:dyDescent="0.3">
      <c r="A10874" s="12"/>
    </row>
    <row r="10875" spans="1:1" x14ac:dyDescent="0.3">
      <c r="A10875" s="12"/>
    </row>
    <row r="10876" spans="1:1" x14ac:dyDescent="0.3">
      <c r="A10876" s="12"/>
    </row>
    <row r="10877" spans="1:1" x14ac:dyDescent="0.3">
      <c r="A10877" s="12"/>
    </row>
    <row r="10878" spans="1:1" x14ac:dyDescent="0.3">
      <c r="A10878" s="12"/>
    </row>
    <row r="10879" spans="1:1" x14ac:dyDescent="0.3">
      <c r="A10879" s="12"/>
    </row>
    <row r="10880" spans="1:1" x14ac:dyDescent="0.3">
      <c r="A10880" s="12"/>
    </row>
    <row r="10881" spans="1:1" x14ac:dyDescent="0.3">
      <c r="A10881" s="12"/>
    </row>
    <row r="10882" spans="1:1" x14ac:dyDescent="0.3">
      <c r="A10882" s="12"/>
    </row>
    <row r="10883" spans="1:1" x14ac:dyDescent="0.3">
      <c r="A10883" s="12"/>
    </row>
    <row r="10884" spans="1:1" x14ac:dyDescent="0.3">
      <c r="A10884" s="12"/>
    </row>
    <row r="10885" spans="1:1" x14ac:dyDescent="0.3">
      <c r="A10885" s="12"/>
    </row>
    <row r="10886" spans="1:1" x14ac:dyDescent="0.3">
      <c r="A10886" s="12"/>
    </row>
    <row r="10887" spans="1:1" x14ac:dyDescent="0.3">
      <c r="A10887" s="12"/>
    </row>
    <row r="10888" spans="1:1" x14ac:dyDescent="0.3">
      <c r="A10888" s="12"/>
    </row>
    <row r="10889" spans="1:1" x14ac:dyDescent="0.3">
      <c r="A10889" s="12"/>
    </row>
    <row r="10890" spans="1:1" x14ac:dyDescent="0.3">
      <c r="A10890" s="12"/>
    </row>
    <row r="10891" spans="1:1" x14ac:dyDescent="0.3">
      <c r="A10891" s="12"/>
    </row>
    <row r="10892" spans="1:1" x14ac:dyDescent="0.3">
      <c r="A10892" s="12"/>
    </row>
    <row r="10893" spans="1:1" x14ac:dyDescent="0.3">
      <c r="A10893" s="12"/>
    </row>
    <row r="10894" spans="1:1" x14ac:dyDescent="0.3">
      <c r="A10894" s="12"/>
    </row>
    <row r="10895" spans="1:1" x14ac:dyDescent="0.3">
      <c r="A10895" s="12"/>
    </row>
    <row r="10896" spans="1:1" x14ac:dyDescent="0.3">
      <c r="A10896" s="12"/>
    </row>
    <row r="10897" spans="1:1" x14ac:dyDescent="0.3">
      <c r="A10897" s="12"/>
    </row>
    <row r="10898" spans="1:1" x14ac:dyDescent="0.3">
      <c r="A10898" s="12"/>
    </row>
    <row r="10899" spans="1:1" x14ac:dyDescent="0.3">
      <c r="A10899" s="12"/>
    </row>
    <row r="10900" spans="1:1" x14ac:dyDescent="0.3">
      <c r="A10900" s="12"/>
    </row>
    <row r="10901" spans="1:1" x14ac:dyDescent="0.3">
      <c r="A10901" s="12"/>
    </row>
    <row r="10902" spans="1:1" x14ac:dyDescent="0.3">
      <c r="A10902" s="12"/>
    </row>
    <row r="10903" spans="1:1" x14ac:dyDescent="0.3">
      <c r="A10903" s="12"/>
    </row>
    <row r="10904" spans="1:1" x14ac:dyDescent="0.3">
      <c r="A10904" s="12"/>
    </row>
    <row r="10905" spans="1:1" x14ac:dyDescent="0.3">
      <c r="A10905" s="12"/>
    </row>
    <row r="10906" spans="1:1" x14ac:dyDescent="0.3">
      <c r="A10906" s="12"/>
    </row>
    <row r="10907" spans="1:1" x14ac:dyDescent="0.3">
      <c r="A10907" s="12"/>
    </row>
    <row r="10908" spans="1:1" x14ac:dyDescent="0.3">
      <c r="A10908" s="12"/>
    </row>
    <row r="10909" spans="1:1" x14ac:dyDescent="0.3">
      <c r="A10909" s="12"/>
    </row>
    <row r="10910" spans="1:1" x14ac:dyDescent="0.3">
      <c r="A10910" s="12"/>
    </row>
    <row r="10911" spans="1:1" x14ac:dyDescent="0.3">
      <c r="A10911" s="12"/>
    </row>
    <row r="10912" spans="1:1" x14ac:dyDescent="0.3">
      <c r="A10912" s="12"/>
    </row>
    <row r="10913" spans="1:1" x14ac:dyDescent="0.3">
      <c r="A10913" s="12"/>
    </row>
    <row r="10914" spans="1:1" x14ac:dyDescent="0.3">
      <c r="A10914" s="12"/>
    </row>
    <row r="10915" spans="1:1" x14ac:dyDescent="0.3">
      <c r="A10915" s="12"/>
    </row>
    <row r="10916" spans="1:1" x14ac:dyDescent="0.3">
      <c r="A10916" s="12"/>
    </row>
    <row r="10917" spans="1:1" x14ac:dyDescent="0.3">
      <c r="A10917" s="12"/>
    </row>
    <row r="10918" spans="1:1" x14ac:dyDescent="0.3">
      <c r="A10918" s="12"/>
    </row>
    <row r="10919" spans="1:1" x14ac:dyDescent="0.3">
      <c r="A10919" s="12"/>
    </row>
    <row r="10920" spans="1:1" x14ac:dyDescent="0.3">
      <c r="A10920" s="12"/>
    </row>
    <row r="10921" spans="1:1" x14ac:dyDescent="0.3">
      <c r="A10921" s="12"/>
    </row>
    <row r="10922" spans="1:1" x14ac:dyDescent="0.3">
      <c r="A10922" s="12"/>
    </row>
    <row r="10923" spans="1:1" x14ac:dyDescent="0.3">
      <c r="A10923" s="12"/>
    </row>
    <row r="10924" spans="1:1" x14ac:dyDescent="0.3">
      <c r="A10924" s="12"/>
    </row>
    <row r="10925" spans="1:1" x14ac:dyDescent="0.3">
      <c r="A10925" s="12"/>
    </row>
    <row r="10926" spans="1:1" x14ac:dyDescent="0.3">
      <c r="A10926" s="12"/>
    </row>
    <row r="10927" spans="1:1" x14ac:dyDescent="0.3">
      <c r="A10927" s="12"/>
    </row>
    <row r="10928" spans="1:1" x14ac:dyDescent="0.3">
      <c r="A10928" s="12"/>
    </row>
    <row r="10929" spans="1:1" x14ac:dyDescent="0.3">
      <c r="A10929" s="12"/>
    </row>
    <row r="10930" spans="1:1" x14ac:dyDescent="0.3">
      <c r="A10930" s="12"/>
    </row>
    <row r="10931" spans="1:1" x14ac:dyDescent="0.3">
      <c r="A10931" s="12"/>
    </row>
    <row r="10932" spans="1:1" x14ac:dyDescent="0.3">
      <c r="A10932" s="12"/>
    </row>
    <row r="10933" spans="1:1" x14ac:dyDescent="0.3">
      <c r="A10933" s="12"/>
    </row>
    <row r="10934" spans="1:1" x14ac:dyDescent="0.3">
      <c r="A10934" s="12"/>
    </row>
    <row r="10935" spans="1:1" x14ac:dyDescent="0.3">
      <c r="A10935" s="12"/>
    </row>
    <row r="10936" spans="1:1" x14ac:dyDescent="0.3">
      <c r="A10936" s="12"/>
    </row>
    <row r="10937" spans="1:1" x14ac:dyDescent="0.3">
      <c r="A10937" s="12"/>
    </row>
    <row r="10938" spans="1:1" x14ac:dyDescent="0.3">
      <c r="A10938" s="12"/>
    </row>
    <row r="10939" spans="1:1" x14ac:dyDescent="0.3">
      <c r="A10939" s="12"/>
    </row>
    <row r="10940" spans="1:1" x14ac:dyDescent="0.3">
      <c r="A10940" s="12"/>
    </row>
    <row r="10941" spans="1:1" x14ac:dyDescent="0.3">
      <c r="A10941" s="12"/>
    </row>
    <row r="10942" spans="1:1" x14ac:dyDescent="0.3">
      <c r="A10942" s="12"/>
    </row>
    <row r="10943" spans="1:1" x14ac:dyDescent="0.3">
      <c r="A10943" s="12"/>
    </row>
    <row r="10944" spans="1:1" x14ac:dyDescent="0.3">
      <c r="A10944" s="12"/>
    </row>
    <row r="10945" spans="1:1" x14ac:dyDescent="0.3">
      <c r="A10945" s="12"/>
    </row>
    <row r="10946" spans="1:1" x14ac:dyDescent="0.3">
      <c r="A10946" s="12"/>
    </row>
    <row r="10947" spans="1:1" x14ac:dyDescent="0.3">
      <c r="A10947" s="12"/>
    </row>
    <row r="10948" spans="1:1" x14ac:dyDescent="0.3">
      <c r="A10948" s="12"/>
    </row>
    <row r="10949" spans="1:1" x14ac:dyDescent="0.3">
      <c r="A10949" s="12"/>
    </row>
    <row r="10950" spans="1:1" x14ac:dyDescent="0.3">
      <c r="A10950" s="12"/>
    </row>
    <row r="10951" spans="1:1" x14ac:dyDescent="0.3">
      <c r="A10951" s="12"/>
    </row>
    <row r="10952" spans="1:1" x14ac:dyDescent="0.3">
      <c r="A10952" s="12"/>
    </row>
    <row r="10953" spans="1:1" x14ac:dyDescent="0.3">
      <c r="A10953" s="12"/>
    </row>
    <row r="10954" spans="1:1" x14ac:dyDescent="0.3">
      <c r="A10954" s="12"/>
    </row>
    <row r="10955" spans="1:1" x14ac:dyDescent="0.3">
      <c r="A10955" s="12"/>
    </row>
    <row r="10956" spans="1:1" x14ac:dyDescent="0.3">
      <c r="A10956" s="12"/>
    </row>
    <row r="10957" spans="1:1" x14ac:dyDescent="0.3">
      <c r="A10957" s="12"/>
    </row>
    <row r="10958" spans="1:1" x14ac:dyDescent="0.3">
      <c r="A10958" s="12"/>
    </row>
    <row r="10959" spans="1:1" x14ac:dyDescent="0.3">
      <c r="A10959" s="12"/>
    </row>
    <row r="10960" spans="1:1" x14ac:dyDescent="0.3">
      <c r="A10960" s="12"/>
    </row>
    <row r="10961" spans="1:1" x14ac:dyDescent="0.3">
      <c r="A10961" s="12"/>
    </row>
    <row r="10962" spans="1:1" x14ac:dyDescent="0.3">
      <c r="A10962" s="12"/>
    </row>
    <row r="10963" spans="1:1" x14ac:dyDescent="0.3">
      <c r="A10963" s="12"/>
    </row>
    <row r="10964" spans="1:1" x14ac:dyDescent="0.3">
      <c r="A10964" s="12"/>
    </row>
    <row r="10965" spans="1:1" x14ac:dyDescent="0.3">
      <c r="A10965" s="12"/>
    </row>
    <row r="10966" spans="1:1" x14ac:dyDescent="0.3">
      <c r="A10966" s="12"/>
    </row>
    <row r="10967" spans="1:1" x14ac:dyDescent="0.3">
      <c r="A10967" s="12"/>
    </row>
    <row r="10968" spans="1:1" x14ac:dyDescent="0.3">
      <c r="A10968" s="12"/>
    </row>
    <row r="10969" spans="1:1" x14ac:dyDescent="0.3">
      <c r="A10969" s="12"/>
    </row>
    <row r="10970" spans="1:1" x14ac:dyDescent="0.3">
      <c r="A10970" s="12"/>
    </row>
    <row r="10971" spans="1:1" x14ac:dyDescent="0.3">
      <c r="A10971" s="12"/>
    </row>
    <row r="10972" spans="1:1" x14ac:dyDescent="0.3">
      <c r="A10972" s="12"/>
    </row>
    <row r="10973" spans="1:1" x14ac:dyDescent="0.3">
      <c r="A10973" s="12"/>
    </row>
    <row r="10974" spans="1:1" x14ac:dyDescent="0.3">
      <c r="A10974" s="12"/>
    </row>
    <row r="10975" spans="1:1" x14ac:dyDescent="0.3">
      <c r="A10975" s="12"/>
    </row>
    <row r="10976" spans="1:1" x14ac:dyDescent="0.3">
      <c r="A10976" s="12"/>
    </row>
    <row r="10977" spans="1:1" x14ac:dyDescent="0.3">
      <c r="A10977" s="12"/>
    </row>
    <row r="10978" spans="1:1" x14ac:dyDescent="0.3">
      <c r="A10978" s="12"/>
    </row>
    <row r="10979" spans="1:1" x14ac:dyDescent="0.3">
      <c r="A10979" s="12"/>
    </row>
    <row r="10980" spans="1:1" x14ac:dyDescent="0.3">
      <c r="A10980" s="12"/>
    </row>
    <row r="10981" spans="1:1" x14ac:dyDescent="0.3">
      <c r="A10981" s="12"/>
    </row>
    <row r="10982" spans="1:1" x14ac:dyDescent="0.3">
      <c r="A10982" s="12"/>
    </row>
    <row r="10983" spans="1:1" x14ac:dyDescent="0.3">
      <c r="A10983" s="12"/>
    </row>
    <row r="10984" spans="1:1" x14ac:dyDescent="0.3">
      <c r="A10984" s="12"/>
    </row>
    <row r="10985" spans="1:1" x14ac:dyDescent="0.3">
      <c r="A10985" s="12"/>
    </row>
    <row r="10986" spans="1:1" x14ac:dyDescent="0.3">
      <c r="A10986" s="12"/>
    </row>
    <row r="10987" spans="1:1" x14ac:dyDescent="0.3">
      <c r="A10987" s="12"/>
    </row>
    <row r="10988" spans="1:1" x14ac:dyDescent="0.3">
      <c r="A10988" s="12"/>
    </row>
    <row r="10989" spans="1:1" x14ac:dyDescent="0.3">
      <c r="A10989" s="12"/>
    </row>
    <row r="10990" spans="1:1" x14ac:dyDescent="0.3">
      <c r="A10990" s="12"/>
    </row>
    <row r="10991" spans="1:1" x14ac:dyDescent="0.3">
      <c r="A10991" s="12"/>
    </row>
    <row r="10992" spans="1:1" x14ac:dyDescent="0.3">
      <c r="A10992" s="12"/>
    </row>
    <row r="10993" spans="1:1" x14ac:dyDescent="0.3">
      <c r="A10993" s="12"/>
    </row>
    <row r="10994" spans="1:1" x14ac:dyDescent="0.3">
      <c r="A10994" s="12"/>
    </row>
    <row r="10995" spans="1:1" x14ac:dyDescent="0.3">
      <c r="A10995" s="12"/>
    </row>
    <row r="10996" spans="1:1" x14ac:dyDescent="0.3">
      <c r="A10996" s="12"/>
    </row>
    <row r="10997" spans="1:1" x14ac:dyDescent="0.3">
      <c r="A10997" s="12"/>
    </row>
    <row r="10998" spans="1:1" x14ac:dyDescent="0.3">
      <c r="A10998" s="12"/>
    </row>
    <row r="10999" spans="1:1" x14ac:dyDescent="0.3">
      <c r="A10999" s="12"/>
    </row>
    <row r="11000" spans="1:1" x14ac:dyDescent="0.3">
      <c r="A11000" s="12"/>
    </row>
    <row r="11001" spans="1:1" x14ac:dyDescent="0.3">
      <c r="A11001" s="12"/>
    </row>
    <row r="11002" spans="1:1" x14ac:dyDescent="0.3">
      <c r="A11002" s="12"/>
    </row>
    <row r="11003" spans="1:1" x14ac:dyDescent="0.3">
      <c r="A11003" s="12"/>
    </row>
    <row r="11004" spans="1:1" x14ac:dyDescent="0.3">
      <c r="A11004" s="12"/>
    </row>
    <row r="11005" spans="1:1" x14ac:dyDescent="0.3">
      <c r="A11005" s="12"/>
    </row>
    <row r="11006" spans="1:1" x14ac:dyDescent="0.3">
      <c r="A11006" s="12"/>
    </row>
    <row r="11007" spans="1:1" x14ac:dyDescent="0.3">
      <c r="A11007" s="12"/>
    </row>
    <row r="11008" spans="1:1" x14ac:dyDescent="0.3">
      <c r="A11008" s="12"/>
    </row>
    <row r="11009" spans="1:1" x14ac:dyDescent="0.3">
      <c r="A11009" s="12"/>
    </row>
    <row r="11010" spans="1:1" x14ac:dyDescent="0.3">
      <c r="A11010" s="12"/>
    </row>
    <row r="11011" spans="1:1" x14ac:dyDescent="0.3">
      <c r="A11011" s="12"/>
    </row>
    <row r="11012" spans="1:1" x14ac:dyDescent="0.3">
      <c r="A11012" s="12"/>
    </row>
    <row r="11013" spans="1:1" x14ac:dyDescent="0.3">
      <c r="A11013" s="12"/>
    </row>
    <row r="11014" spans="1:1" x14ac:dyDescent="0.3">
      <c r="A11014" s="12"/>
    </row>
    <row r="11015" spans="1:1" x14ac:dyDescent="0.3">
      <c r="A11015" s="12"/>
    </row>
    <row r="11016" spans="1:1" x14ac:dyDescent="0.3">
      <c r="A11016" s="12"/>
    </row>
    <row r="11017" spans="1:1" x14ac:dyDescent="0.3">
      <c r="A11017" s="12"/>
    </row>
    <row r="11018" spans="1:1" x14ac:dyDescent="0.3">
      <c r="A11018" s="12"/>
    </row>
    <row r="11019" spans="1:1" x14ac:dyDescent="0.3">
      <c r="A11019" s="12"/>
    </row>
    <row r="11020" spans="1:1" x14ac:dyDescent="0.3">
      <c r="A11020" s="12"/>
    </row>
    <row r="11021" spans="1:1" x14ac:dyDescent="0.3">
      <c r="A11021" s="12"/>
    </row>
    <row r="11022" spans="1:1" x14ac:dyDescent="0.3">
      <c r="A11022" s="12"/>
    </row>
    <row r="11023" spans="1:1" x14ac:dyDescent="0.3">
      <c r="A11023" s="12"/>
    </row>
    <row r="11024" spans="1:1" x14ac:dyDescent="0.3">
      <c r="A11024" s="12"/>
    </row>
    <row r="11025" spans="1:1" x14ac:dyDescent="0.3">
      <c r="A11025" s="12"/>
    </row>
    <row r="11026" spans="1:1" x14ac:dyDescent="0.3">
      <c r="A11026" s="12"/>
    </row>
    <row r="11027" spans="1:1" x14ac:dyDescent="0.3">
      <c r="A11027" s="12"/>
    </row>
    <row r="11028" spans="1:1" x14ac:dyDescent="0.3">
      <c r="A11028" s="12"/>
    </row>
    <row r="11029" spans="1:1" x14ac:dyDescent="0.3">
      <c r="A11029" s="12"/>
    </row>
    <row r="11030" spans="1:1" x14ac:dyDescent="0.3">
      <c r="A11030" s="12"/>
    </row>
    <row r="11031" spans="1:1" x14ac:dyDescent="0.3">
      <c r="A11031" s="12"/>
    </row>
    <row r="11032" spans="1:1" x14ac:dyDescent="0.3">
      <c r="A11032" s="12"/>
    </row>
    <row r="11033" spans="1:1" x14ac:dyDescent="0.3">
      <c r="A11033" s="12"/>
    </row>
    <row r="11034" spans="1:1" x14ac:dyDescent="0.3">
      <c r="A11034" s="12"/>
    </row>
    <row r="11035" spans="1:1" x14ac:dyDescent="0.3">
      <c r="A11035" s="12"/>
    </row>
    <row r="11036" spans="1:1" x14ac:dyDescent="0.3">
      <c r="A11036" s="12"/>
    </row>
    <row r="11037" spans="1:1" x14ac:dyDescent="0.3">
      <c r="A11037" s="12"/>
    </row>
    <row r="11038" spans="1:1" x14ac:dyDescent="0.3">
      <c r="A11038" s="12"/>
    </row>
    <row r="11039" spans="1:1" x14ac:dyDescent="0.3">
      <c r="A11039" s="12"/>
    </row>
    <row r="11040" spans="1:1" x14ac:dyDescent="0.3">
      <c r="A11040" s="12"/>
    </row>
    <row r="11041" spans="1:1" x14ac:dyDescent="0.3">
      <c r="A11041" s="12"/>
    </row>
    <row r="11042" spans="1:1" x14ac:dyDescent="0.3">
      <c r="A11042" s="12"/>
    </row>
    <row r="11043" spans="1:1" x14ac:dyDescent="0.3">
      <c r="A11043" s="12"/>
    </row>
    <row r="11044" spans="1:1" x14ac:dyDescent="0.3">
      <c r="A11044" s="12"/>
    </row>
    <row r="11045" spans="1:1" x14ac:dyDescent="0.3">
      <c r="A11045" s="12"/>
    </row>
    <row r="11046" spans="1:1" x14ac:dyDescent="0.3">
      <c r="A11046" s="12"/>
    </row>
    <row r="11047" spans="1:1" x14ac:dyDescent="0.3">
      <c r="A11047" s="12"/>
    </row>
    <row r="11048" spans="1:1" x14ac:dyDescent="0.3">
      <c r="A11048" s="12"/>
    </row>
    <row r="11049" spans="1:1" x14ac:dyDescent="0.3">
      <c r="A11049" s="12"/>
    </row>
    <row r="11050" spans="1:1" x14ac:dyDescent="0.3">
      <c r="A11050" s="12"/>
    </row>
    <row r="11051" spans="1:1" x14ac:dyDescent="0.3">
      <c r="A11051" s="12"/>
    </row>
    <row r="11052" spans="1:1" x14ac:dyDescent="0.3">
      <c r="A11052" s="12"/>
    </row>
    <row r="11053" spans="1:1" x14ac:dyDescent="0.3">
      <c r="A11053" s="12"/>
    </row>
    <row r="11054" spans="1:1" x14ac:dyDescent="0.3">
      <c r="A11054" s="12"/>
    </row>
    <row r="11055" spans="1:1" x14ac:dyDescent="0.3">
      <c r="A11055" s="12"/>
    </row>
    <row r="11056" spans="1:1" x14ac:dyDescent="0.3">
      <c r="A11056" s="12"/>
    </row>
    <row r="11057" spans="1:1" x14ac:dyDescent="0.3">
      <c r="A11057" s="12"/>
    </row>
    <row r="11058" spans="1:1" x14ac:dyDescent="0.3">
      <c r="A11058" s="12"/>
    </row>
    <row r="11059" spans="1:1" x14ac:dyDescent="0.3">
      <c r="A11059" s="12"/>
    </row>
    <row r="11060" spans="1:1" x14ac:dyDescent="0.3">
      <c r="A11060" s="12"/>
    </row>
    <row r="11061" spans="1:1" x14ac:dyDescent="0.3">
      <c r="A11061" s="12"/>
    </row>
    <row r="11062" spans="1:1" x14ac:dyDescent="0.3">
      <c r="A11062" s="12"/>
    </row>
    <row r="11063" spans="1:1" x14ac:dyDescent="0.3">
      <c r="A11063" s="12"/>
    </row>
    <row r="11064" spans="1:1" x14ac:dyDescent="0.3">
      <c r="A11064" s="12"/>
    </row>
    <row r="11065" spans="1:1" x14ac:dyDescent="0.3">
      <c r="A11065" s="12"/>
    </row>
    <row r="11066" spans="1:1" x14ac:dyDescent="0.3">
      <c r="A11066" s="12"/>
    </row>
    <row r="11067" spans="1:1" x14ac:dyDescent="0.3">
      <c r="A11067" s="12"/>
    </row>
    <row r="11068" spans="1:1" x14ac:dyDescent="0.3">
      <c r="A11068" s="12"/>
    </row>
    <row r="11069" spans="1:1" x14ac:dyDescent="0.3">
      <c r="A11069" s="12"/>
    </row>
    <row r="11070" spans="1:1" x14ac:dyDescent="0.3">
      <c r="A11070" s="12"/>
    </row>
    <row r="11071" spans="1:1" x14ac:dyDescent="0.3">
      <c r="A11071" s="12"/>
    </row>
    <row r="11072" spans="1:1" x14ac:dyDescent="0.3">
      <c r="A11072" s="12"/>
    </row>
    <row r="11073" spans="1:1" x14ac:dyDescent="0.3">
      <c r="A11073" s="12"/>
    </row>
    <row r="11074" spans="1:1" x14ac:dyDescent="0.3">
      <c r="A11074" s="12"/>
    </row>
    <row r="11075" spans="1:1" x14ac:dyDescent="0.3">
      <c r="A11075" s="12"/>
    </row>
    <row r="11076" spans="1:1" x14ac:dyDescent="0.3">
      <c r="A11076" s="12"/>
    </row>
    <row r="11077" spans="1:1" x14ac:dyDescent="0.3">
      <c r="A11077" s="12"/>
    </row>
    <row r="11078" spans="1:1" x14ac:dyDescent="0.3">
      <c r="A11078" s="12"/>
    </row>
    <row r="11079" spans="1:1" x14ac:dyDescent="0.3">
      <c r="A11079" s="12"/>
    </row>
    <row r="11080" spans="1:1" x14ac:dyDescent="0.3">
      <c r="A11080" s="12"/>
    </row>
    <row r="11081" spans="1:1" x14ac:dyDescent="0.3">
      <c r="A11081" s="12"/>
    </row>
    <row r="11082" spans="1:1" x14ac:dyDescent="0.3">
      <c r="A11082" s="12"/>
    </row>
    <row r="11083" spans="1:1" x14ac:dyDescent="0.3">
      <c r="A11083" s="12"/>
    </row>
    <row r="11084" spans="1:1" x14ac:dyDescent="0.3">
      <c r="A11084" s="12"/>
    </row>
    <row r="11085" spans="1:1" x14ac:dyDescent="0.3">
      <c r="A11085" s="12"/>
    </row>
    <row r="11086" spans="1:1" x14ac:dyDescent="0.3">
      <c r="A11086" s="12"/>
    </row>
    <row r="11087" spans="1:1" x14ac:dyDescent="0.3">
      <c r="A11087" s="12"/>
    </row>
    <row r="11088" spans="1:1" x14ac:dyDescent="0.3">
      <c r="A11088" s="12"/>
    </row>
    <row r="11089" spans="1:1" x14ac:dyDescent="0.3">
      <c r="A11089" s="12"/>
    </row>
    <row r="11090" spans="1:1" x14ac:dyDescent="0.3">
      <c r="A11090" s="12"/>
    </row>
    <row r="11091" spans="1:1" x14ac:dyDescent="0.3">
      <c r="A11091" s="12"/>
    </row>
    <row r="11092" spans="1:1" x14ac:dyDescent="0.3">
      <c r="A11092" s="12"/>
    </row>
    <row r="11093" spans="1:1" x14ac:dyDescent="0.3">
      <c r="A11093" s="12"/>
    </row>
    <row r="11094" spans="1:1" x14ac:dyDescent="0.3">
      <c r="A11094" s="12"/>
    </row>
    <row r="11095" spans="1:1" x14ac:dyDescent="0.3">
      <c r="A11095" s="12"/>
    </row>
    <row r="11096" spans="1:1" x14ac:dyDescent="0.3">
      <c r="A11096" s="12"/>
    </row>
    <row r="11097" spans="1:1" x14ac:dyDescent="0.3">
      <c r="A11097" s="12"/>
    </row>
    <row r="11098" spans="1:1" x14ac:dyDescent="0.3">
      <c r="A11098" s="12"/>
    </row>
    <row r="11099" spans="1:1" x14ac:dyDescent="0.3">
      <c r="A11099" s="12"/>
    </row>
    <row r="11100" spans="1:1" x14ac:dyDescent="0.3">
      <c r="A11100" s="12"/>
    </row>
    <row r="11101" spans="1:1" x14ac:dyDescent="0.3">
      <c r="A11101" s="12"/>
    </row>
    <row r="11102" spans="1:1" x14ac:dyDescent="0.3">
      <c r="A11102" s="12"/>
    </row>
    <row r="11103" spans="1:1" x14ac:dyDescent="0.3">
      <c r="A11103" s="12"/>
    </row>
    <row r="11104" spans="1:1" x14ac:dyDescent="0.3">
      <c r="A11104" s="12"/>
    </row>
    <row r="11105" spans="1:1" x14ac:dyDescent="0.3">
      <c r="A11105" s="12"/>
    </row>
    <row r="11106" spans="1:1" x14ac:dyDescent="0.3">
      <c r="A11106" s="12"/>
    </row>
    <row r="11107" spans="1:1" x14ac:dyDescent="0.3">
      <c r="A11107" s="12"/>
    </row>
    <row r="11108" spans="1:1" x14ac:dyDescent="0.3">
      <c r="A11108" s="12"/>
    </row>
    <row r="11109" spans="1:1" x14ac:dyDescent="0.3">
      <c r="A11109" s="12"/>
    </row>
    <row r="11110" spans="1:1" x14ac:dyDescent="0.3">
      <c r="A11110" s="12"/>
    </row>
    <row r="11111" spans="1:1" x14ac:dyDescent="0.3">
      <c r="A11111" s="12"/>
    </row>
    <row r="11112" spans="1:1" x14ac:dyDescent="0.3">
      <c r="A11112" s="12"/>
    </row>
    <row r="11113" spans="1:1" x14ac:dyDescent="0.3">
      <c r="A11113" s="12"/>
    </row>
    <row r="11114" spans="1:1" x14ac:dyDescent="0.3">
      <c r="A11114" s="12"/>
    </row>
    <row r="11115" spans="1:1" x14ac:dyDescent="0.3">
      <c r="A11115" s="12"/>
    </row>
    <row r="11116" spans="1:1" x14ac:dyDescent="0.3">
      <c r="A11116" s="12"/>
    </row>
    <row r="11117" spans="1:1" x14ac:dyDescent="0.3">
      <c r="A11117" s="12"/>
    </row>
    <row r="11118" spans="1:1" x14ac:dyDescent="0.3">
      <c r="A11118" s="12"/>
    </row>
    <row r="11119" spans="1:1" x14ac:dyDescent="0.3">
      <c r="A11119" s="12"/>
    </row>
    <row r="11120" spans="1:1" x14ac:dyDescent="0.3">
      <c r="A11120" s="12"/>
    </row>
    <row r="11121" spans="1:1" x14ac:dyDescent="0.3">
      <c r="A11121" s="12"/>
    </row>
    <row r="11122" spans="1:1" x14ac:dyDescent="0.3">
      <c r="A11122" s="12"/>
    </row>
    <row r="11123" spans="1:1" x14ac:dyDescent="0.3">
      <c r="A11123" s="12"/>
    </row>
    <row r="11124" spans="1:1" x14ac:dyDescent="0.3">
      <c r="A11124" s="12"/>
    </row>
    <row r="11125" spans="1:1" x14ac:dyDescent="0.3">
      <c r="A11125" s="12"/>
    </row>
    <row r="11126" spans="1:1" x14ac:dyDescent="0.3">
      <c r="A11126" s="12"/>
    </row>
    <row r="11127" spans="1:1" x14ac:dyDescent="0.3">
      <c r="A11127" s="12"/>
    </row>
    <row r="11128" spans="1:1" x14ac:dyDescent="0.3">
      <c r="A11128" s="12"/>
    </row>
    <row r="11129" spans="1:1" x14ac:dyDescent="0.3">
      <c r="A11129" s="12"/>
    </row>
    <row r="11130" spans="1:1" x14ac:dyDescent="0.3">
      <c r="A11130" s="12"/>
    </row>
    <row r="11131" spans="1:1" x14ac:dyDescent="0.3">
      <c r="A11131" s="12"/>
    </row>
    <row r="11132" spans="1:1" x14ac:dyDescent="0.3">
      <c r="A11132" s="12"/>
    </row>
    <row r="11133" spans="1:1" x14ac:dyDescent="0.3">
      <c r="A11133" s="12"/>
    </row>
    <row r="11134" spans="1:1" x14ac:dyDescent="0.3">
      <c r="A11134" s="12"/>
    </row>
    <row r="11135" spans="1:1" x14ac:dyDescent="0.3">
      <c r="A11135" s="12"/>
    </row>
    <row r="11136" spans="1:1" x14ac:dyDescent="0.3">
      <c r="A11136" s="12"/>
    </row>
    <row r="11137" spans="1:1" x14ac:dyDescent="0.3">
      <c r="A11137" s="12"/>
    </row>
    <row r="11138" spans="1:1" x14ac:dyDescent="0.3">
      <c r="A11138" s="12"/>
    </row>
    <row r="11139" spans="1:1" x14ac:dyDescent="0.3">
      <c r="A11139" s="12"/>
    </row>
    <row r="11140" spans="1:1" x14ac:dyDescent="0.3">
      <c r="A11140" s="12"/>
    </row>
    <row r="11141" spans="1:1" x14ac:dyDescent="0.3">
      <c r="A11141" s="12"/>
    </row>
    <row r="11142" spans="1:1" x14ac:dyDescent="0.3">
      <c r="A11142" s="12"/>
    </row>
    <row r="11143" spans="1:1" x14ac:dyDescent="0.3">
      <c r="A11143" s="12"/>
    </row>
    <row r="11144" spans="1:1" x14ac:dyDescent="0.3">
      <c r="A11144" s="12"/>
    </row>
    <row r="11145" spans="1:1" x14ac:dyDescent="0.3">
      <c r="A11145" s="12"/>
    </row>
    <row r="11146" spans="1:1" x14ac:dyDescent="0.3">
      <c r="A11146" s="12"/>
    </row>
    <row r="11147" spans="1:1" x14ac:dyDescent="0.3">
      <c r="A11147" s="12"/>
    </row>
    <row r="11148" spans="1:1" x14ac:dyDescent="0.3">
      <c r="A11148" s="12"/>
    </row>
    <row r="11149" spans="1:1" x14ac:dyDescent="0.3">
      <c r="A11149" s="12"/>
    </row>
    <row r="11150" spans="1:1" x14ac:dyDescent="0.3">
      <c r="A11150" s="12"/>
    </row>
    <row r="11151" spans="1:1" x14ac:dyDescent="0.3">
      <c r="A11151" s="12"/>
    </row>
    <row r="11152" spans="1:1" x14ac:dyDescent="0.3">
      <c r="A11152" s="12"/>
    </row>
    <row r="11153" spans="1:1" x14ac:dyDescent="0.3">
      <c r="A11153" s="12"/>
    </row>
    <row r="11154" spans="1:1" x14ac:dyDescent="0.3">
      <c r="A11154" s="12"/>
    </row>
    <row r="11155" spans="1:1" x14ac:dyDescent="0.3">
      <c r="A11155" s="12"/>
    </row>
    <row r="11156" spans="1:1" x14ac:dyDescent="0.3">
      <c r="A11156" s="12"/>
    </row>
    <row r="11157" spans="1:1" x14ac:dyDescent="0.3">
      <c r="A11157" s="12"/>
    </row>
    <row r="11158" spans="1:1" x14ac:dyDescent="0.3">
      <c r="A11158" s="12"/>
    </row>
    <row r="11159" spans="1:1" x14ac:dyDescent="0.3">
      <c r="A11159" s="12"/>
    </row>
    <row r="11160" spans="1:1" x14ac:dyDescent="0.3">
      <c r="A11160" s="12"/>
    </row>
    <row r="11161" spans="1:1" x14ac:dyDescent="0.3">
      <c r="A11161" s="12"/>
    </row>
    <row r="11162" spans="1:1" x14ac:dyDescent="0.3">
      <c r="A11162" s="12"/>
    </row>
    <row r="11163" spans="1:1" x14ac:dyDescent="0.3">
      <c r="A11163" s="12"/>
    </row>
    <row r="11164" spans="1:1" x14ac:dyDescent="0.3">
      <c r="A11164" s="12"/>
    </row>
    <row r="11165" spans="1:1" x14ac:dyDescent="0.3">
      <c r="A11165" s="12"/>
    </row>
    <row r="11166" spans="1:1" x14ac:dyDescent="0.3">
      <c r="A11166" s="12"/>
    </row>
    <row r="11167" spans="1:1" x14ac:dyDescent="0.3">
      <c r="A11167" s="12"/>
    </row>
    <row r="11168" spans="1:1" x14ac:dyDescent="0.3">
      <c r="A11168" s="12"/>
    </row>
    <row r="11169" spans="1:1" x14ac:dyDescent="0.3">
      <c r="A11169" s="12"/>
    </row>
    <row r="11170" spans="1:1" x14ac:dyDescent="0.3">
      <c r="A11170" s="12"/>
    </row>
    <row r="11171" spans="1:1" x14ac:dyDescent="0.3">
      <c r="A11171" s="12"/>
    </row>
    <row r="11172" spans="1:1" x14ac:dyDescent="0.3">
      <c r="A11172" s="12"/>
    </row>
    <row r="11173" spans="1:1" x14ac:dyDescent="0.3">
      <c r="A11173" s="12"/>
    </row>
    <row r="11174" spans="1:1" x14ac:dyDescent="0.3">
      <c r="A11174" s="12"/>
    </row>
    <row r="11175" spans="1:1" x14ac:dyDescent="0.3">
      <c r="A11175" s="12"/>
    </row>
    <row r="11176" spans="1:1" x14ac:dyDescent="0.3">
      <c r="A11176" s="12"/>
    </row>
    <row r="11177" spans="1:1" x14ac:dyDescent="0.3">
      <c r="A11177" s="12"/>
    </row>
    <row r="11178" spans="1:1" x14ac:dyDescent="0.3">
      <c r="A11178" s="12"/>
    </row>
    <row r="11179" spans="1:1" x14ac:dyDescent="0.3">
      <c r="A11179" s="12"/>
    </row>
    <row r="11180" spans="1:1" x14ac:dyDescent="0.3">
      <c r="A11180" s="12"/>
    </row>
    <row r="11181" spans="1:1" x14ac:dyDescent="0.3">
      <c r="A11181" s="12"/>
    </row>
    <row r="11182" spans="1:1" x14ac:dyDescent="0.3">
      <c r="A11182" s="12"/>
    </row>
    <row r="11183" spans="1:1" x14ac:dyDescent="0.3">
      <c r="A11183" s="12"/>
    </row>
    <row r="11184" spans="1:1" x14ac:dyDescent="0.3">
      <c r="A11184" s="12"/>
    </row>
    <row r="11185" spans="1:1" x14ac:dyDescent="0.3">
      <c r="A11185" s="12"/>
    </row>
    <row r="11186" spans="1:1" x14ac:dyDescent="0.3">
      <c r="A11186" s="12"/>
    </row>
    <row r="11187" spans="1:1" x14ac:dyDescent="0.3">
      <c r="A11187" s="12"/>
    </row>
    <row r="11188" spans="1:1" x14ac:dyDescent="0.3">
      <c r="A11188" s="12"/>
    </row>
    <row r="11189" spans="1:1" x14ac:dyDescent="0.3">
      <c r="A11189" s="12"/>
    </row>
    <row r="11190" spans="1:1" x14ac:dyDescent="0.3">
      <c r="A11190" s="12"/>
    </row>
    <row r="11191" spans="1:1" x14ac:dyDescent="0.3">
      <c r="A11191" s="12"/>
    </row>
    <row r="11192" spans="1:1" x14ac:dyDescent="0.3">
      <c r="A11192" s="12"/>
    </row>
    <row r="11193" spans="1:1" x14ac:dyDescent="0.3">
      <c r="A11193" s="12"/>
    </row>
    <row r="11194" spans="1:1" x14ac:dyDescent="0.3">
      <c r="A11194" s="12"/>
    </row>
    <row r="11195" spans="1:1" x14ac:dyDescent="0.3">
      <c r="A11195" s="12"/>
    </row>
    <row r="11196" spans="1:1" x14ac:dyDescent="0.3">
      <c r="A11196" s="12"/>
    </row>
    <row r="11197" spans="1:1" x14ac:dyDescent="0.3">
      <c r="A11197" s="12"/>
    </row>
    <row r="11198" spans="1:1" x14ac:dyDescent="0.3">
      <c r="A11198" s="12"/>
    </row>
    <row r="11199" spans="1:1" x14ac:dyDescent="0.3">
      <c r="A11199" s="12"/>
    </row>
    <row r="11200" spans="1:1" x14ac:dyDescent="0.3">
      <c r="A11200" s="12"/>
    </row>
    <row r="11201" spans="1:1" x14ac:dyDescent="0.3">
      <c r="A11201" s="12"/>
    </row>
    <row r="11202" spans="1:1" x14ac:dyDescent="0.3">
      <c r="A11202" s="12"/>
    </row>
    <row r="11203" spans="1:1" x14ac:dyDescent="0.3">
      <c r="A11203" s="12"/>
    </row>
    <row r="11204" spans="1:1" x14ac:dyDescent="0.3">
      <c r="A11204" s="12"/>
    </row>
    <row r="11205" spans="1:1" x14ac:dyDescent="0.3">
      <c r="A11205" s="12"/>
    </row>
    <row r="11206" spans="1:1" x14ac:dyDescent="0.3">
      <c r="A11206" s="12"/>
    </row>
    <row r="11207" spans="1:1" x14ac:dyDescent="0.3">
      <c r="A11207" s="12"/>
    </row>
    <row r="11208" spans="1:1" x14ac:dyDescent="0.3">
      <c r="A11208" s="12"/>
    </row>
    <row r="11209" spans="1:1" x14ac:dyDescent="0.3">
      <c r="A11209" s="12"/>
    </row>
    <row r="11210" spans="1:1" x14ac:dyDescent="0.3">
      <c r="A11210" s="12"/>
    </row>
    <row r="11211" spans="1:1" x14ac:dyDescent="0.3">
      <c r="A11211" s="12"/>
    </row>
    <row r="11212" spans="1:1" x14ac:dyDescent="0.3">
      <c r="A11212" s="12"/>
    </row>
    <row r="11213" spans="1:1" x14ac:dyDescent="0.3">
      <c r="A11213" s="12"/>
    </row>
    <row r="11214" spans="1:1" x14ac:dyDescent="0.3">
      <c r="A11214" s="12"/>
    </row>
    <row r="11215" spans="1:1" x14ac:dyDescent="0.3">
      <c r="A11215" s="12"/>
    </row>
    <row r="11216" spans="1:1" x14ac:dyDescent="0.3">
      <c r="A11216" s="12"/>
    </row>
    <row r="11217" spans="1:1" x14ac:dyDescent="0.3">
      <c r="A11217" s="12"/>
    </row>
    <row r="11218" spans="1:1" x14ac:dyDescent="0.3">
      <c r="A11218" s="12"/>
    </row>
    <row r="11219" spans="1:1" x14ac:dyDescent="0.3">
      <c r="A11219" s="12"/>
    </row>
    <row r="11220" spans="1:1" x14ac:dyDescent="0.3">
      <c r="A11220" s="12"/>
    </row>
    <row r="11221" spans="1:1" x14ac:dyDescent="0.3">
      <c r="A11221" s="12"/>
    </row>
    <row r="11222" spans="1:1" x14ac:dyDescent="0.3">
      <c r="A11222" s="12"/>
    </row>
    <row r="11223" spans="1:1" x14ac:dyDescent="0.3">
      <c r="A11223" s="12"/>
    </row>
    <row r="11224" spans="1:1" x14ac:dyDescent="0.3">
      <c r="A11224" s="12"/>
    </row>
    <row r="11225" spans="1:1" x14ac:dyDescent="0.3">
      <c r="A11225" s="12"/>
    </row>
    <row r="11226" spans="1:1" x14ac:dyDescent="0.3">
      <c r="A11226" s="12"/>
    </row>
    <row r="11227" spans="1:1" x14ac:dyDescent="0.3">
      <c r="A11227" s="12"/>
    </row>
    <row r="11228" spans="1:1" x14ac:dyDescent="0.3">
      <c r="A11228" s="12"/>
    </row>
    <row r="11229" spans="1:1" x14ac:dyDescent="0.3">
      <c r="A11229" s="12"/>
    </row>
    <row r="11230" spans="1:1" x14ac:dyDescent="0.3">
      <c r="A11230" s="12"/>
    </row>
    <row r="11231" spans="1:1" x14ac:dyDescent="0.3">
      <c r="A11231" s="12"/>
    </row>
    <row r="11232" spans="1:1" x14ac:dyDescent="0.3">
      <c r="A11232" s="12"/>
    </row>
    <row r="11233" spans="1:1" x14ac:dyDescent="0.3">
      <c r="A11233" s="12"/>
    </row>
    <row r="11234" spans="1:1" x14ac:dyDescent="0.3">
      <c r="A11234" s="12"/>
    </row>
    <row r="11235" spans="1:1" x14ac:dyDescent="0.3">
      <c r="A11235" s="12"/>
    </row>
    <row r="11236" spans="1:1" x14ac:dyDescent="0.3">
      <c r="A11236" s="12"/>
    </row>
    <row r="11237" spans="1:1" x14ac:dyDescent="0.3">
      <c r="A11237" s="12"/>
    </row>
    <row r="11238" spans="1:1" x14ac:dyDescent="0.3">
      <c r="A11238" s="12"/>
    </row>
    <row r="11239" spans="1:1" x14ac:dyDescent="0.3">
      <c r="A11239" s="12"/>
    </row>
    <row r="11240" spans="1:1" x14ac:dyDescent="0.3">
      <c r="A11240" s="12"/>
    </row>
    <row r="11241" spans="1:1" x14ac:dyDescent="0.3">
      <c r="A11241" s="12"/>
    </row>
    <row r="11242" spans="1:1" x14ac:dyDescent="0.3">
      <c r="A11242" s="12"/>
    </row>
    <row r="11243" spans="1:1" x14ac:dyDescent="0.3">
      <c r="A11243" s="12"/>
    </row>
    <row r="11244" spans="1:1" x14ac:dyDescent="0.3">
      <c r="A11244" s="12"/>
    </row>
    <row r="11245" spans="1:1" x14ac:dyDescent="0.3">
      <c r="A11245" s="12"/>
    </row>
    <row r="11246" spans="1:1" x14ac:dyDescent="0.3">
      <c r="A11246" s="12"/>
    </row>
    <row r="11247" spans="1:1" x14ac:dyDescent="0.3">
      <c r="A11247" s="12"/>
    </row>
    <row r="11248" spans="1:1" x14ac:dyDescent="0.3">
      <c r="A11248" s="12"/>
    </row>
    <row r="11249" spans="1:1" x14ac:dyDescent="0.3">
      <c r="A11249" s="12"/>
    </row>
    <row r="11250" spans="1:1" x14ac:dyDescent="0.3">
      <c r="A11250" s="12"/>
    </row>
    <row r="11251" spans="1:1" x14ac:dyDescent="0.3">
      <c r="A11251" s="12"/>
    </row>
    <row r="11252" spans="1:1" x14ac:dyDescent="0.3">
      <c r="A11252" s="12"/>
    </row>
    <row r="11253" spans="1:1" x14ac:dyDescent="0.3">
      <c r="A11253" s="12"/>
    </row>
    <row r="11254" spans="1:1" x14ac:dyDescent="0.3">
      <c r="A11254" s="12"/>
    </row>
    <row r="11255" spans="1:1" x14ac:dyDescent="0.3">
      <c r="A11255" s="12"/>
    </row>
    <row r="11256" spans="1:1" x14ac:dyDescent="0.3">
      <c r="A11256" s="12"/>
    </row>
    <row r="11257" spans="1:1" x14ac:dyDescent="0.3">
      <c r="A11257" s="12"/>
    </row>
    <row r="11258" spans="1:1" x14ac:dyDescent="0.3">
      <c r="A11258" s="12"/>
    </row>
    <row r="11259" spans="1:1" x14ac:dyDescent="0.3">
      <c r="A11259" s="12"/>
    </row>
    <row r="11260" spans="1:1" x14ac:dyDescent="0.3">
      <c r="A11260" s="12"/>
    </row>
    <row r="11261" spans="1:1" x14ac:dyDescent="0.3">
      <c r="A11261" s="12"/>
    </row>
    <row r="11262" spans="1:1" x14ac:dyDescent="0.3">
      <c r="A11262" s="12"/>
    </row>
    <row r="11263" spans="1:1" x14ac:dyDescent="0.3">
      <c r="A11263" s="12"/>
    </row>
    <row r="11264" spans="1:1" x14ac:dyDescent="0.3">
      <c r="A11264" s="12"/>
    </row>
    <row r="11265" spans="1:1" x14ac:dyDescent="0.3">
      <c r="A11265" s="12"/>
    </row>
    <row r="11266" spans="1:1" x14ac:dyDescent="0.3">
      <c r="A11266" s="12"/>
    </row>
    <row r="11267" spans="1:1" x14ac:dyDescent="0.3">
      <c r="A11267" s="12"/>
    </row>
    <row r="11268" spans="1:1" x14ac:dyDescent="0.3">
      <c r="A11268" s="12"/>
    </row>
    <row r="11269" spans="1:1" x14ac:dyDescent="0.3">
      <c r="A11269" s="12"/>
    </row>
    <row r="11270" spans="1:1" x14ac:dyDescent="0.3">
      <c r="A11270" s="12"/>
    </row>
    <row r="11271" spans="1:1" x14ac:dyDescent="0.3">
      <c r="A11271" s="12"/>
    </row>
    <row r="11272" spans="1:1" x14ac:dyDescent="0.3">
      <c r="A11272" s="12"/>
    </row>
    <row r="11273" spans="1:1" x14ac:dyDescent="0.3">
      <c r="A11273" s="12"/>
    </row>
    <row r="11274" spans="1:1" x14ac:dyDescent="0.3">
      <c r="A11274" s="12"/>
    </row>
    <row r="11275" spans="1:1" x14ac:dyDescent="0.3">
      <c r="A11275" s="12"/>
    </row>
    <row r="11276" spans="1:1" x14ac:dyDescent="0.3">
      <c r="A11276" s="12"/>
    </row>
    <row r="11277" spans="1:1" x14ac:dyDescent="0.3">
      <c r="A11277" s="12"/>
    </row>
    <row r="11278" spans="1:1" x14ac:dyDescent="0.3">
      <c r="A11278" s="12"/>
    </row>
    <row r="11279" spans="1:1" x14ac:dyDescent="0.3">
      <c r="A11279" s="12"/>
    </row>
    <row r="11280" spans="1:1" x14ac:dyDescent="0.3">
      <c r="A11280" s="12"/>
    </row>
    <row r="11281" spans="1:1" x14ac:dyDescent="0.3">
      <c r="A11281" s="12"/>
    </row>
    <row r="11282" spans="1:1" x14ac:dyDescent="0.3">
      <c r="A11282" s="12"/>
    </row>
    <row r="11283" spans="1:1" x14ac:dyDescent="0.3">
      <c r="A11283" s="12"/>
    </row>
    <row r="11284" spans="1:1" x14ac:dyDescent="0.3">
      <c r="A11284" s="12"/>
    </row>
    <row r="11285" spans="1:1" x14ac:dyDescent="0.3">
      <c r="A11285" s="12"/>
    </row>
    <row r="11286" spans="1:1" x14ac:dyDescent="0.3">
      <c r="A11286" s="12"/>
    </row>
    <row r="11287" spans="1:1" x14ac:dyDescent="0.3">
      <c r="A11287" s="12"/>
    </row>
    <row r="11288" spans="1:1" x14ac:dyDescent="0.3">
      <c r="A11288" s="12"/>
    </row>
    <row r="11289" spans="1:1" x14ac:dyDescent="0.3">
      <c r="A11289" s="12"/>
    </row>
    <row r="11290" spans="1:1" x14ac:dyDescent="0.3">
      <c r="A11290" s="12"/>
    </row>
    <row r="11291" spans="1:1" x14ac:dyDescent="0.3">
      <c r="A11291" s="12"/>
    </row>
    <row r="11292" spans="1:1" x14ac:dyDescent="0.3">
      <c r="A11292" s="12"/>
    </row>
    <row r="11293" spans="1:1" x14ac:dyDescent="0.3">
      <c r="A11293" s="12"/>
    </row>
    <row r="11294" spans="1:1" x14ac:dyDescent="0.3">
      <c r="A11294" s="12"/>
    </row>
    <row r="11295" spans="1:1" x14ac:dyDescent="0.3">
      <c r="A11295" s="12"/>
    </row>
    <row r="11296" spans="1:1" x14ac:dyDescent="0.3">
      <c r="A11296" s="12"/>
    </row>
    <row r="11297" spans="1:1" x14ac:dyDescent="0.3">
      <c r="A11297" s="12"/>
    </row>
    <row r="11298" spans="1:1" x14ac:dyDescent="0.3">
      <c r="A11298" s="12"/>
    </row>
    <row r="11299" spans="1:1" x14ac:dyDescent="0.3">
      <c r="A11299" s="12"/>
    </row>
    <row r="11300" spans="1:1" x14ac:dyDescent="0.3">
      <c r="A11300" s="12"/>
    </row>
    <row r="11301" spans="1:1" x14ac:dyDescent="0.3">
      <c r="A11301" s="12"/>
    </row>
    <row r="11302" spans="1:1" x14ac:dyDescent="0.3">
      <c r="A11302" s="12"/>
    </row>
    <row r="11303" spans="1:1" x14ac:dyDescent="0.3">
      <c r="A11303" s="12"/>
    </row>
    <row r="11304" spans="1:1" x14ac:dyDescent="0.3">
      <c r="A11304" s="12"/>
    </row>
    <row r="11305" spans="1:1" x14ac:dyDescent="0.3">
      <c r="A11305" s="12"/>
    </row>
    <row r="11306" spans="1:1" x14ac:dyDescent="0.3">
      <c r="A11306" s="12"/>
    </row>
    <row r="11307" spans="1:1" x14ac:dyDescent="0.3">
      <c r="A11307" s="12"/>
    </row>
    <row r="11308" spans="1:1" x14ac:dyDescent="0.3">
      <c r="A11308" s="12"/>
    </row>
    <row r="11309" spans="1:1" x14ac:dyDescent="0.3">
      <c r="A11309" s="12"/>
    </row>
    <row r="11310" spans="1:1" x14ac:dyDescent="0.3">
      <c r="A11310" s="12"/>
    </row>
    <row r="11311" spans="1:1" x14ac:dyDescent="0.3">
      <c r="A11311" s="12"/>
    </row>
    <row r="11312" spans="1:1" x14ac:dyDescent="0.3">
      <c r="A11312" s="12"/>
    </row>
    <row r="11313" spans="1:1" x14ac:dyDescent="0.3">
      <c r="A11313" s="12"/>
    </row>
    <row r="11314" spans="1:1" x14ac:dyDescent="0.3">
      <c r="A11314" s="12"/>
    </row>
    <row r="11315" spans="1:1" x14ac:dyDescent="0.3">
      <c r="A11315" s="12"/>
    </row>
    <row r="11316" spans="1:1" x14ac:dyDescent="0.3">
      <c r="A11316" s="12"/>
    </row>
    <row r="11317" spans="1:1" x14ac:dyDescent="0.3">
      <c r="A11317" s="12"/>
    </row>
    <row r="11318" spans="1:1" x14ac:dyDescent="0.3">
      <c r="A11318" s="12"/>
    </row>
    <row r="11319" spans="1:1" x14ac:dyDescent="0.3">
      <c r="A11319" s="12"/>
    </row>
    <row r="11320" spans="1:1" x14ac:dyDescent="0.3">
      <c r="A11320" s="12"/>
    </row>
    <row r="11321" spans="1:1" x14ac:dyDescent="0.3">
      <c r="A11321" s="12"/>
    </row>
    <row r="11322" spans="1:1" x14ac:dyDescent="0.3">
      <c r="A11322" s="12"/>
    </row>
    <row r="11323" spans="1:1" x14ac:dyDescent="0.3">
      <c r="A11323" s="12"/>
    </row>
    <row r="11324" spans="1:1" x14ac:dyDescent="0.3">
      <c r="A11324" s="12"/>
    </row>
    <row r="11325" spans="1:1" x14ac:dyDescent="0.3">
      <c r="A11325" s="12"/>
    </row>
    <row r="11326" spans="1:1" x14ac:dyDescent="0.3">
      <c r="A11326" s="12"/>
    </row>
    <row r="11327" spans="1:1" x14ac:dyDescent="0.3">
      <c r="A11327" s="12"/>
    </row>
    <row r="11328" spans="1:1" x14ac:dyDescent="0.3">
      <c r="A11328" s="12"/>
    </row>
    <row r="11329" spans="1:1" x14ac:dyDescent="0.3">
      <c r="A11329" s="12"/>
    </row>
    <row r="11330" spans="1:1" x14ac:dyDescent="0.3">
      <c r="A11330" s="12"/>
    </row>
    <row r="11331" spans="1:1" x14ac:dyDescent="0.3">
      <c r="A11331" s="12"/>
    </row>
    <row r="11332" spans="1:1" x14ac:dyDescent="0.3">
      <c r="A11332" s="12"/>
    </row>
    <row r="11333" spans="1:1" x14ac:dyDescent="0.3">
      <c r="A11333" s="12"/>
    </row>
    <row r="11334" spans="1:1" x14ac:dyDescent="0.3">
      <c r="A11334" s="12"/>
    </row>
    <row r="11335" spans="1:1" x14ac:dyDescent="0.3">
      <c r="A11335" s="12"/>
    </row>
    <row r="11336" spans="1:1" x14ac:dyDescent="0.3">
      <c r="A11336" s="12"/>
    </row>
    <row r="11337" spans="1:1" x14ac:dyDescent="0.3">
      <c r="A11337" s="12"/>
    </row>
    <row r="11338" spans="1:1" x14ac:dyDescent="0.3">
      <c r="A11338" s="12"/>
    </row>
    <row r="11339" spans="1:1" x14ac:dyDescent="0.3">
      <c r="A11339" s="12"/>
    </row>
    <row r="11340" spans="1:1" x14ac:dyDescent="0.3">
      <c r="A11340" s="12"/>
    </row>
    <row r="11341" spans="1:1" x14ac:dyDescent="0.3">
      <c r="A11341" s="12"/>
    </row>
    <row r="11342" spans="1:1" x14ac:dyDescent="0.3">
      <c r="A11342" s="12"/>
    </row>
    <row r="11343" spans="1:1" x14ac:dyDescent="0.3">
      <c r="A11343" s="12"/>
    </row>
    <row r="11344" spans="1:1" x14ac:dyDescent="0.3">
      <c r="A11344" s="12"/>
    </row>
    <row r="11345" spans="1:1" x14ac:dyDescent="0.3">
      <c r="A11345" s="12"/>
    </row>
    <row r="11346" spans="1:1" x14ac:dyDescent="0.3">
      <c r="A11346" s="12"/>
    </row>
    <row r="11347" spans="1:1" x14ac:dyDescent="0.3">
      <c r="A11347" s="12"/>
    </row>
    <row r="11348" spans="1:1" x14ac:dyDescent="0.3">
      <c r="A11348" s="12"/>
    </row>
    <row r="11349" spans="1:1" x14ac:dyDescent="0.3">
      <c r="A11349" s="12"/>
    </row>
    <row r="11350" spans="1:1" x14ac:dyDescent="0.3">
      <c r="A11350" s="12"/>
    </row>
    <row r="11351" spans="1:1" x14ac:dyDescent="0.3">
      <c r="A11351" s="12"/>
    </row>
    <row r="11352" spans="1:1" x14ac:dyDescent="0.3">
      <c r="A11352" s="12"/>
    </row>
    <row r="11353" spans="1:1" x14ac:dyDescent="0.3">
      <c r="A11353" s="12"/>
    </row>
    <row r="11354" spans="1:1" x14ac:dyDescent="0.3">
      <c r="A11354" s="12"/>
    </row>
    <row r="11355" spans="1:1" x14ac:dyDescent="0.3">
      <c r="A11355" s="12"/>
    </row>
    <row r="11356" spans="1:1" x14ac:dyDescent="0.3">
      <c r="A11356" s="12"/>
    </row>
    <row r="11357" spans="1:1" x14ac:dyDescent="0.3">
      <c r="A11357" s="12"/>
    </row>
    <row r="11358" spans="1:1" x14ac:dyDescent="0.3">
      <c r="A11358" s="12"/>
    </row>
    <row r="11359" spans="1:1" x14ac:dyDescent="0.3">
      <c r="A11359" s="12"/>
    </row>
    <row r="11360" spans="1:1" x14ac:dyDescent="0.3">
      <c r="A11360" s="12"/>
    </row>
    <row r="11361" spans="1:1" x14ac:dyDescent="0.3">
      <c r="A11361" s="12"/>
    </row>
    <row r="11362" spans="1:1" x14ac:dyDescent="0.3">
      <c r="A11362" s="12"/>
    </row>
    <row r="11363" spans="1:1" x14ac:dyDescent="0.3">
      <c r="A11363" s="12"/>
    </row>
    <row r="11364" spans="1:1" x14ac:dyDescent="0.3">
      <c r="A11364" s="12"/>
    </row>
    <row r="11365" spans="1:1" x14ac:dyDescent="0.3">
      <c r="A11365" s="12"/>
    </row>
    <row r="11366" spans="1:1" x14ac:dyDescent="0.3">
      <c r="A11366" s="12"/>
    </row>
    <row r="11367" spans="1:1" x14ac:dyDescent="0.3">
      <c r="A11367" s="12"/>
    </row>
    <row r="11368" spans="1:1" x14ac:dyDescent="0.3">
      <c r="A11368" s="12"/>
    </row>
    <row r="11369" spans="1:1" x14ac:dyDescent="0.3">
      <c r="A11369" s="12"/>
    </row>
    <row r="11370" spans="1:1" x14ac:dyDescent="0.3">
      <c r="A11370" s="12"/>
    </row>
    <row r="11371" spans="1:1" x14ac:dyDescent="0.3">
      <c r="A11371" s="12"/>
    </row>
    <row r="11372" spans="1:1" x14ac:dyDescent="0.3">
      <c r="A11372" s="12"/>
    </row>
    <row r="11373" spans="1:1" x14ac:dyDescent="0.3">
      <c r="A11373" s="12"/>
    </row>
    <row r="11374" spans="1:1" x14ac:dyDescent="0.3">
      <c r="A11374" s="12"/>
    </row>
    <row r="11375" spans="1:1" x14ac:dyDescent="0.3">
      <c r="A11375" s="12"/>
    </row>
    <row r="11376" spans="1:1" x14ac:dyDescent="0.3">
      <c r="A11376" s="12"/>
    </row>
    <row r="11377" spans="1:1" x14ac:dyDescent="0.3">
      <c r="A11377" s="12"/>
    </row>
    <row r="11378" spans="1:1" x14ac:dyDescent="0.3">
      <c r="A11378" s="12"/>
    </row>
    <row r="11379" spans="1:1" x14ac:dyDescent="0.3">
      <c r="A11379" s="12"/>
    </row>
    <row r="11380" spans="1:1" x14ac:dyDescent="0.3">
      <c r="A11380" s="12"/>
    </row>
    <row r="11381" spans="1:1" x14ac:dyDescent="0.3">
      <c r="A11381" s="12"/>
    </row>
    <row r="11382" spans="1:1" x14ac:dyDescent="0.3">
      <c r="A11382" s="12"/>
    </row>
    <row r="11383" spans="1:1" x14ac:dyDescent="0.3">
      <c r="A11383" s="12"/>
    </row>
    <row r="11384" spans="1:1" x14ac:dyDescent="0.3">
      <c r="A11384" s="12"/>
    </row>
    <row r="11385" spans="1:1" x14ac:dyDescent="0.3">
      <c r="A11385" s="12"/>
    </row>
    <row r="11386" spans="1:1" x14ac:dyDescent="0.3">
      <c r="A11386" s="12"/>
    </row>
    <row r="11387" spans="1:1" x14ac:dyDescent="0.3">
      <c r="A11387" s="12"/>
    </row>
    <row r="11388" spans="1:1" x14ac:dyDescent="0.3">
      <c r="A11388" s="12"/>
    </row>
    <row r="11389" spans="1:1" x14ac:dyDescent="0.3">
      <c r="A11389" s="12"/>
    </row>
    <row r="11390" spans="1:1" x14ac:dyDescent="0.3">
      <c r="A11390" s="12"/>
    </row>
    <row r="11391" spans="1:1" x14ac:dyDescent="0.3">
      <c r="A11391" s="12"/>
    </row>
    <row r="11392" spans="1:1" x14ac:dyDescent="0.3">
      <c r="A11392" s="12"/>
    </row>
    <row r="11393" spans="1:1" x14ac:dyDescent="0.3">
      <c r="A11393" s="12"/>
    </row>
    <row r="11394" spans="1:1" x14ac:dyDescent="0.3">
      <c r="A11394" s="12"/>
    </row>
    <row r="11395" spans="1:1" x14ac:dyDescent="0.3">
      <c r="A11395" s="12"/>
    </row>
    <row r="11396" spans="1:1" x14ac:dyDescent="0.3">
      <c r="A11396" s="12"/>
    </row>
    <row r="11397" spans="1:1" x14ac:dyDescent="0.3">
      <c r="A11397" s="12"/>
    </row>
    <row r="11398" spans="1:1" x14ac:dyDescent="0.3">
      <c r="A11398" s="12"/>
    </row>
    <row r="11399" spans="1:1" x14ac:dyDescent="0.3">
      <c r="A11399" s="12"/>
    </row>
    <row r="11400" spans="1:1" x14ac:dyDescent="0.3">
      <c r="A11400" s="12"/>
    </row>
    <row r="11401" spans="1:1" x14ac:dyDescent="0.3">
      <c r="A11401" s="12"/>
    </row>
    <row r="11402" spans="1:1" x14ac:dyDescent="0.3">
      <c r="A11402" s="12"/>
    </row>
    <row r="11403" spans="1:1" x14ac:dyDescent="0.3">
      <c r="A11403" s="12"/>
    </row>
    <row r="11404" spans="1:1" x14ac:dyDescent="0.3">
      <c r="A11404" s="12"/>
    </row>
    <row r="11405" spans="1:1" x14ac:dyDescent="0.3">
      <c r="A11405" s="12"/>
    </row>
    <row r="11406" spans="1:1" x14ac:dyDescent="0.3">
      <c r="A11406" s="12"/>
    </row>
    <row r="11407" spans="1:1" x14ac:dyDescent="0.3">
      <c r="A11407" s="12"/>
    </row>
    <row r="11408" spans="1:1" x14ac:dyDescent="0.3">
      <c r="A11408" s="12"/>
    </row>
    <row r="11409" spans="1:1" x14ac:dyDescent="0.3">
      <c r="A11409" s="12"/>
    </row>
    <row r="11410" spans="1:1" x14ac:dyDescent="0.3">
      <c r="A11410" s="12"/>
    </row>
    <row r="11411" spans="1:1" x14ac:dyDescent="0.3">
      <c r="A11411" s="12"/>
    </row>
    <row r="11412" spans="1:1" x14ac:dyDescent="0.3">
      <c r="A11412" s="12"/>
    </row>
    <row r="11413" spans="1:1" x14ac:dyDescent="0.3">
      <c r="A11413" s="12"/>
    </row>
    <row r="11414" spans="1:1" x14ac:dyDescent="0.3">
      <c r="A11414" s="12"/>
    </row>
    <row r="11415" spans="1:1" x14ac:dyDescent="0.3">
      <c r="A11415" s="12"/>
    </row>
    <row r="11416" spans="1:1" x14ac:dyDescent="0.3">
      <c r="A11416" s="12"/>
    </row>
    <row r="11417" spans="1:1" x14ac:dyDescent="0.3">
      <c r="A11417" s="12"/>
    </row>
    <row r="11418" spans="1:1" x14ac:dyDescent="0.3">
      <c r="A11418" s="12"/>
    </row>
    <row r="11419" spans="1:1" x14ac:dyDescent="0.3">
      <c r="A11419" s="12"/>
    </row>
    <row r="11420" spans="1:1" x14ac:dyDescent="0.3">
      <c r="A11420" s="12"/>
    </row>
    <row r="11421" spans="1:1" x14ac:dyDescent="0.3">
      <c r="A11421" s="12"/>
    </row>
    <row r="11422" spans="1:1" x14ac:dyDescent="0.3">
      <c r="A11422" s="12"/>
    </row>
    <row r="11423" spans="1:1" x14ac:dyDescent="0.3">
      <c r="A11423" s="12"/>
    </row>
    <row r="11424" spans="1:1" x14ac:dyDescent="0.3">
      <c r="A11424" s="12"/>
    </row>
    <row r="11425" spans="1:1" x14ac:dyDescent="0.3">
      <c r="A11425" s="12"/>
    </row>
    <row r="11426" spans="1:1" x14ac:dyDescent="0.3">
      <c r="A11426" s="12"/>
    </row>
    <row r="11427" spans="1:1" x14ac:dyDescent="0.3">
      <c r="A11427" s="12"/>
    </row>
    <row r="11428" spans="1:1" x14ac:dyDescent="0.3">
      <c r="A11428" s="12"/>
    </row>
    <row r="11429" spans="1:1" x14ac:dyDescent="0.3">
      <c r="A11429" s="12"/>
    </row>
    <row r="11430" spans="1:1" x14ac:dyDescent="0.3">
      <c r="A11430" s="12"/>
    </row>
    <row r="11431" spans="1:1" x14ac:dyDescent="0.3">
      <c r="A11431" s="12"/>
    </row>
    <row r="11432" spans="1:1" x14ac:dyDescent="0.3">
      <c r="A11432" s="12"/>
    </row>
    <row r="11433" spans="1:1" x14ac:dyDescent="0.3">
      <c r="A11433" s="12"/>
    </row>
    <row r="11434" spans="1:1" x14ac:dyDescent="0.3">
      <c r="A11434" s="12"/>
    </row>
    <row r="11435" spans="1:1" x14ac:dyDescent="0.3">
      <c r="A11435" s="12"/>
    </row>
    <row r="11436" spans="1:1" x14ac:dyDescent="0.3">
      <c r="A11436" s="12"/>
    </row>
    <row r="11437" spans="1:1" x14ac:dyDescent="0.3">
      <c r="A11437" s="12"/>
    </row>
    <row r="11438" spans="1:1" x14ac:dyDescent="0.3">
      <c r="A11438" s="12"/>
    </row>
    <row r="11439" spans="1:1" x14ac:dyDescent="0.3">
      <c r="A11439" s="12"/>
    </row>
    <row r="11440" spans="1:1" x14ac:dyDescent="0.3">
      <c r="A11440" s="12"/>
    </row>
    <row r="11441" spans="1:1" x14ac:dyDescent="0.3">
      <c r="A11441" s="12"/>
    </row>
    <row r="11442" spans="1:1" x14ac:dyDescent="0.3">
      <c r="A11442" s="12"/>
    </row>
    <row r="11443" spans="1:1" x14ac:dyDescent="0.3">
      <c r="A11443" s="12"/>
    </row>
    <row r="11444" spans="1:1" x14ac:dyDescent="0.3">
      <c r="A11444" s="12"/>
    </row>
    <row r="11445" spans="1:1" x14ac:dyDescent="0.3">
      <c r="A11445" s="12"/>
    </row>
    <row r="11446" spans="1:1" x14ac:dyDescent="0.3">
      <c r="A11446" s="12"/>
    </row>
    <row r="11447" spans="1:1" x14ac:dyDescent="0.3">
      <c r="A11447" s="12"/>
    </row>
    <row r="11448" spans="1:1" x14ac:dyDescent="0.3">
      <c r="A11448" s="12"/>
    </row>
    <row r="11449" spans="1:1" x14ac:dyDescent="0.3">
      <c r="A11449" s="12"/>
    </row>
    <row r="11450" spans="1:1" x14ac:dyDescent="0.3">
      <c r="A11450" s="12"/>
    </row>
    <row r="11451" spans="1:1" x14ac:dyDescent="0.3">
      <c r="A11451" s="12"/>
    </row>
    <row r="11452" spans="1:1" x14ac:dyDescent="0.3">
      <c r="A11452" s="12"/>
    </row>
    <row r="11453" spans="1:1" x14ac:dyDescent="0.3">
      <c r="A11453" s="12"/>
    </row>
    <row r="11454" spans="1:1" x14ac:dyDescent="0.3">
      <c r="A11454" s="12"/>
    </row>
    <row r="11455" spans="1:1" x14ac:dyDescent="0.3">
      <c r="A11455" s="12"/>
    </row>
    <row r="11456" spans="1:1" x14ac:dyDescent="0.3">
      <c r="A11456" s="12"/>
    </row>
    <row r="11457" spans="1:1" x14ac:dyDescent="0.3">
      <c r="A11457" s="12"/>
    </row>
    <row r="11458" spans="1:1" x14ac:dyDescent="0.3">
      <c r="A11458" s="12"/>
    </row>
    <row r="11459" spans="1:1" x14ac:dyDescent="0.3">
      <c r="A11459" s="12"/>
    </row>
    <row r="11460" spans="1:1" x14ac:dyDescent="0.3">
      <c r="A11460" s="12"/>
    </row>
    <row r="11461" spans="1:1" x14ac:dyDescent="0.3">
      <c r="A11461" s="12"/>
    </row>
    <row r="11462" spans="1:1" x14ac:dyDescent="0.3">
      <c r="A11462" s="12"/>
    </row>
    <row r="11463" spans="1:1" x14ac:dyDescent="0.3">
      <c r="A11463" s="12"/>
    </row>
    <row r="11464" spans="1:1" x14ac:dyDescent="0.3">
      <c r="A11464" s="12"/>
    </row>
    <row r="11465" spans="1:1" x14ac:dyDescent="0.3">
      <c r="A11465" s="12"/>
    </row>
    <row r="11466" spans="1:1" x14ac:dyDescent="0.3">
      <c r="A11466" s="12"/>
    </row>
    <row r="11467" spans="1:1" x14ac:dyDescent="0.3">
      <c r="A11467" s="12"/>
    </row>
    <row r="11468" spans="1:1" x14ac:dyDescent="0.3">
      <c r="A11468" s="12"/>
    </row>
    <row r="11469" spans="1:1" x14ac:dyDescent="0.3">
      <c r="A11469" s="12"/>
    </row>
    <row r="11470" spans="1:1" x14ac:dyDescent="0.3">
      <c r="A11470" s="12"/>
    </row>
    <row r="11471" spans="1:1" x14ac:dyDescent="0.3">
      <c r="A11471" s="12"/>
    </row>
    <row r="11472" spans="1:1" x14ac:dyDescent="0.3">
      <c r="A11472" s="12"/>
    </row>
    <row r="11473" spans="1:1" x14ac:dyDescent="0.3">
      <c r="A11473" s="12"/>
    </row>
    <row r="11474" spans="1:1" x14ac:dyDescent="0.3">
      <c r="A11474" s="12"/>
    </row>
    <row r="11475" spans="1:1" x14ac:dyDescent="0.3">
      <c r="A11475" s="12"/>
    </row>
    <row r="11476" spans="1:1" x14ac:dyDescent="0.3">
      <c r="A11476" s="12"/>
    </row>
    <row r="11477" spans="1:1" x14ac:dyDescent="0.3">
      <c r="A11477" s="12"/>
    </row>
    <row r="11478" spans="1:1" x14ac:dyDescent="0.3">
      <c r="A11478" s="12"/>
    </row>
    <row r="11479" spans="1:1" x14ac:dyDescent="0.3">
      <c r="A11479" s="12"/>
    </row>
    <row r="11480" spans="1:1" x14ac:dyDescent="0.3">
      <c r="A11480" s="12"/>
    </row>
    <row r="11481" spans="1:1" x14ac:dyDescent="0.3">
      <c r="A11481" s="12"/>
    </row>
    <row r="11482" spans="1:1" x14ac:dyDescent="0.3">
      <c r="A11482" s="12"/>
    </row>
    <row r="11483" spans="1:1" x14ac:dyDescent="0.3">
      <c r="A11483" s="12"/>
    </row>
    <row r="11484" spans="1:1" x14ac:dyDescent="0.3">
      <c r="A11484" s="12"/>
    </row>
    <row r="11485" spans="1:1" x14ac:dyDescent="0.3">
      <c r="A11485" s="12"/>
    </row>
    <row r="11486" spans="1:1" x14ac:dyDescent="0.3">
      <c r="A11486" s="12"/>
    </row>
    <row r="11487" spans="1:1" x14ac:dyDescent="0.3">
      <c r="A11487" s="12"/>
    </row>
    <row r="11488" spans="1:1" x14ac:dyDescent="0.3">
      <c r="A11488" s="12"/>
    </row>
    <row r="11489" spans="1:1" x14ac:dyDescent="0.3">
      <c r="A11489" s="12"/>
    </row>
    <row r="11490" spans="1:1" x14ac:dyDescent="0.3">
      <c r="A11490" s="12"/>
    </row>
    <row r="11491" spans="1:1" x14ac:dyDescent="0.3">
      <c r="A11491" s="12"/>
    </row>
    <row r="11492" spans="1:1" x14ac:dyDescent="0.3">
      <c r="A11492" s="12"/>
    </row>
    <row r="11493" spans="1:1" x14ac:dyDescent="0.3">
      <c r="A11493" s="12"/>
    </row>
    <row r="11494" spans="1:1" x14ac:dyDescent="0.3">
      <c r="A11494" s="12"/>
    </row>
    <row r="11495" spans="1:1" x14ac:dyDescent="0.3">
      <c r="A11495" s="12"/>
    </row>
    <row r="11496" spans="1:1" x14ac:dyDescent="0.3">
      <c r="A11496" s="12"/>
    </row>
    <row r="11497" spans="1:1" x14ac:dyDescent="0.3">
      <c r="A11497" s="12"/>
    </row>
    <row r="11498" spans="1:1" x14ac:dyDescent="0.3">
      <c r="A11498" s="12"/>
    </row>
    <row r="11499" spans="1:1" x14ac:dyDescent="0.3">
      <c r="A11499" s="12"/>
    </row>
    <row r="11500" spans="1:1" x14ac:dyDescent="0.3">
      <c r="A11500" s="12"/>
    </row>
    <row r="11501" spans="1:1" x14ac:dyDescent="0.3">
      <c r="A11501" s="12"/>
    </row>
    <row r="11502" spans="1:1" x14ac:dyDescent="0.3">
      <c r="A11502" s="12"/>
    </row>
    <row r="11503" spans="1:1" x14ac:dyDescent="0.3">
      <c r="A11503" s="12"/>
    </row>
    <row r="11504" spans="1:1" x14ac:dyDescent="0.3">
      <c r="A11504" s="12"/>
    </row>
    <row r="11505" spans="1:1" x14ac:dyDescent="0.3">
      <c r="A11505" s="12"/>
    </row>
    <row r="11506" spans="1:1" x14ac:dyDescent="0.3">
      <c r="A11506" s="12"/>
    </row>
    <row r="11507" spans="1:1" x14ac:dyDescent="0.3">
      <c r="A11507" s="12"/>
    </row>
    <row r="11508" spans="1:1" x14ac:dyDescent="0.3">
      <c r="A11508" s="12"/>
    </row>
    <row r="11509" spans="1:1" x14ac:dyDescent="0.3">
      <c r="A11509" s="12"/>
    </row>
    <row r="11510" spans="1:1" x14ac:dyDescent="0.3">
      <c r="A11510" s="12"/>
    </row>
    <row r="11511" spans="1:1" x14ac:dyDescent="0.3">
      <c r="A11511" s="12"/>
    </row>
    <row r="11512" spans="1:1" x14ac:dyDescent="0.3">
      <c r="A11512" s="12"/>
    </row>
    <row r="11513" spans="1:1" x14ac:dyDescent="0.3">
      <c r="A11513" s="12"/>
    </row>
    <row r="11514" spans="1:1" x14ac:dyDescent="0.3">
      <c r="A11514" s="12"/>
    </row>
    <row r="11515" spans="1:1" x14ac:dyDescent="0.3">
      <c r="A11515" s="12"/>
    </row>
    <row r="11516" spans="1:1" x14ac:dyDescent="0.3">
      <c r="A11516" s="12"/>
    </row>
    <row r="11517" spans="1:1" x14ac:dyDescent="0.3">
      <c r="A11517" s="12"/>
    </row>
    <row r="11518" spans="1:1" x14ac:dyDescent="0.3">
      <c r="A11518" s="12"/>
    </row>
    <row r="11519" spans="1:1" x14ac:dyDescent="0.3">
      <c r="A11519" s="12"/>
    </row>
    <row r="11520" spans="1:1" x14ac:dyDescent="0.3">
      <c r="A11520" s="12"/>
    </row>
    <row r="11521" spans="1:1" x14ac:dyDescent="0.3">
      <c r="A11521" s="12"/>
    </row>
    <row r="11522" spans="1:1" x14ac:dyDescent="0.3">
      <c r="A11522" s="12"/>
    </row>
    <row r="11523" spans="1:1" x14ac:dyDescent="0.3">
      <c r="A11523" s="12"/>
    </row>
    <row r="11524" spans="1:1" x14ac:dyDescent="0.3">
      <c r="A11524" s="12"/>
    </row>
    <row r="11525" spans="1:1" x14ac:dyDescent="0.3">
      <c r="A11525" s="12"/>
    </row>
    <row r="11526" spans="1:1" x14ac:dyDescent="0.3">
      <c r="A11526" s="12"/>
    </row>
    <row r="11527" spans="1:1" x14ac:dyDescent="0.3">
      <c r="A11527" s="12"/>
    </row>
    <row r="11528" spans="1:1" x14ac:dyDescent="0.3">
      <c r="A11528" s="12"/>
    </row>
    <row r="11529" spans="1:1" x14ac:dyDescent="0.3">
      <c r="A11529" s="12"/>
    </row>
    <row r="11530" spans="1:1" x14ac:dyDescent="0.3">
      <c r="A11530" s="12"/>
    </row>
    <row r="11531" spans="1:1" x14ac:dyDescent="0.3">
      <c r="A11531" s="12"/>
    </row>
    <row r="11532" spans="1:1" x14ac:dyDescent="0.3">
      <c r="A11532" s="12"/>
    </row>
    <row r="11533" spans="1:1" x14ac:dyDescent="0.3">
      <c r="A11533" s="12"/>
    </row>
    <row r="11534" spans="1:1" x14ac:dyDescent="0.3">
      <c r="A11534" s="12"/>
    </row>
    <row r="11535" spans="1:1" x14ac:dyDescent="0.3">
      <c r="A11535" s="12"/>
    </row>
    <row r="11536" spans="1:1" x14ac:dyDescent="0.3">
      <c r="A11536" s="12"/>
    </row>
    <row r="11537" spans="1:1" x14ac:dyDescent="0.3">
      <c r="A11537" s="12"/>
    </row>
    <row r="11538" spans="1:1" x14ac:dyDescent="0.3">
      <c r="A11538" s="12"/>
    </row>
    <row r="11539" spans="1:1" x14ac:dyDescent="0.3">
      <c r="A11539" s="12"/>
    </row>
    <row r="11540" spans="1:1" x14ac:dyDescent="0.3">
      <c r="A11540" s="12"/>
    </row>
    <row r="11541" spans="1:1" x14ac:dyDescent="0.3">
      <c r="A11541" s="12"/>
    </row>
    <row r="11542" spans="1:1" x14ac:dyDescent="0.3">
      <c r="A11542" s="12"/>
    </row>
    <row r="11543" spans="1:1" x14ac:dyDescent="0.3">
      <c r="A11543" s="12"/>
    </row>
    <row r="11544" spans="1:1" x14ac:dyDescent="0.3">
      <c r="A11544" s="12"/>
    </row>
    <row r="11545" spans="1:1" x14ac:dyDescent="0.3">
      <c r="A11545" s="12"/>
    </row>
    <row r="11546" spans="1:1" x14ac:dyDescent="0.3">
      <c r="A11546" s="12"/>
    </row>
    <row r="11547" spans="1:1" x14ac:dyDescent="0.3">
      <c r="A11547" s="12"/>
    </row>
    <row r="11548" spans="1:1" x14ac:dyDescent="0.3">
      <c r="A11548" s="12"/>
    </row>
    <row r="11549" spans="1:1" x14ac:dyDescent="0.3">
      <c r="A11549" s="12"/>
    </row>
    <row r="11550" spans="1:1" x14ac:dyDescent="0.3">
      <c r="A11550" s="12"/>
    </row>
    <row r="11551" spans="1:1" x14ac:dyDescent="0.3">
      <c r="A11551" s="12"/>
    </row>
    <row r="11552" spans="1:1" x14ac:dyDescent="0.3">
      <c r="A11552" s="12"/>
    </row>
    <row r="11553" spans="1:1" x14ac:dyDescent="0.3">
      <c r="A11553" s="12"/>
    </row>
    <row r="11554" spans="1:1" x14ac:dyDescent="0.3">
      <c r="A11554" s="12"/>
    </row>
    <row r="11555" spans="1:1" x14ac:dyDescent="0.3">
      <c r="A11555" s="12"/>
    </row>
    <row r="11556" spans="1:1" x14ac:dyDescent="0.3">
      <c r="A11556" s="12"/>
    </row>
    <row r="11557" spans="1:1" x14ac:dyDescent="0.3">
      <c r="A11557" s="12"/>
    </row>
    <row r="11558" spans="1:1" x14ac:dyDescent="0.3">
      <c r="A11558" s="12"/>
    </row>
    <row r="11559" spans="1:1" x14ac:dyDescent="0.3">
      <c r="A11559" s="12"/>
    </row>
    <row r="11560" spans="1:1" x14ac:dyDescent="0.3">
      <c r="A11560" s="12"/>
    </row>
    <row r="11561" spans="1:1" x14ac:dyDescent="0.3">
      <c r="A11561" s="12"/>
    </row>
    <row r="11562" spans="1:1" x14ac:dyDescent="0.3">
      <c r="A11562" s="12"/>
    </row>
    <row r="11563" spans="1:1" x14ac:dyDescent="0.3">
      <c r="A11563" s="12"/>
    </row>
    <row r="11564" spans="1:1" x14ac:dyDescent="0.3">
      <c r="A11564" s="12"/>
    </row>
    <row r="11565" spans="1:1" x14ac:dyDescent="0.3">
      <c r="A11565" s="12"/>
    </row>
    <row r="11566" spans="1:1" x14ac:dyDescent="0.3">
      <c r="A11566" s="12"/>
    </row>
    <row r="11567" spans="1:1" x14ac:dyDescent="0.3">
      <c r="A11567" s="12"/>
    </row>
    <row r="11568" spans="1:1" x14ac:dyDescent="0.3">
      <c r="A11568" s="12"/>
    </row>
    <row r="11569" spans="1:1" x14ac:dyDescent="0.3">
      <c r="A11569" s="12"/>
    </row>
    <row r="11570" spans="1:1" x14ac:dyDescent="0.3">
      <c r="A11570" s="12"/>
    </row>
    <row r="11571" spans="1:1" x14ac:dyDescent="0.3">
      <c r="A11571" s="12"/>
    </row>
    <row r="11572" spans="1:1" x14ac:dyDescent="0.3">
      <c r="A11572" s="12"/>
    </row>
    <row r="11573" spans="1:1" x14ac:dyDescent="0.3">
      <c r="A11573" s="12"/>
    </row>
    <row r="11574" spans="1:1" x14ac:dyDescent="0.3">
      <c r="A11574" s="12"/>
    </row>
    <row r="11575" spans="1:1" x14ac:dyDescent="0.3">
      <c r="A11575" s="12"/>
    </row>
    <row r="11576" spans="1:1" x14ac:dyDescent="0.3">
      <c r="A11576" s="12"/>
    </row>
    <row r="11577" spans="1:1" x14ac:dyDescent="0.3">
      <c r="A11577" s="12"/>
    </row>
    <row r="11578" spans="1:1" x14ac:dyDescent="0.3">
      <c r="A11578" s="12"/>
    </row>
    <row r="11579" spans="1:1" x14ac:dyDescent="0.3">
      <c r="A11579" s="12"/>
    </row>
    <row r="11580" spans="1:1" x14ac:dyDescent="0.3">
      <c r="A11580" s="12"/>
    </row>
    <row r="11581" spans="1:1" x14ac:dyDescent="0.3">
      <c r="A11581" s="12"/>
    </row>
    <row r="11582" spans="1:1" x14ac:dyDescent="0.3">
      <c r="A11582" s="12"/>
    </row>
    <row r="11583" spans="1:1" x14ac:dyDescent="0.3">
      <c r="A11583" s="12"/>
    </row>
    <row r="11584" spans="1:1" x14ac:dyDescent="0.3">
      <c r="A11584" s="12"/>
    </row>
    <row r="11585" spans="1:1" x14ac:dyDescent="0.3">
      <c r="A11585" s="12"/>
    </row>
    <row r="11586" spans="1:1" x14ac:dyDescent="0.3">
      <c r="A11586" s="12"/>
    </row>
    <row r="11587" spans="1:1" x14ac:dyDescent="0.3">
      <c r="A11587" s="12"/>
    </row>
    <row r="11588" spans="1:1" x14ac:dyDescent="0.3">
      <c r="A11588" s="12"/>
    </row>
    <row r="11589" spans="1:1" x14ac:dyDescent="0.3">
      <c r="A11589" s="12"/>
    </row>
    <row r="11590" spans="1:1" x14ac:dyDescent="0.3">
      <c r="A11590" s="12"/>
    </row>
    <row r="11591" spans="1:1" x14ac:dyDescent="0.3">
      <c r="A11591" s="12"/>
    </row>
    <row r="11592" spans="1:1" x14ac:dyDescent="0.3">
      <c r="A11592" s="12"/>
    </row>
    <row r="11593" spans="1:1" x14ac:dyDescent="0.3">
      <c r="A11593" s="12"/>
    </row>
    <row r="11594" spans="1:1" x14ac:dyDescent="0.3">
      <c r="A11594" s="12"/>
    </row>
    <row r="11595" spans="1:1" x14ac:dyDescent="0.3">
      <c r="A11595" s="12"/>
    </row>
    <row r="11596" spans="1:1" x14ac:dyDescent="0.3">
      <c r="A11596" s="12"/>
    </row>
    <row r="11597" spans="1:1" x14ac:dyDescent="0.3">
      <c r="A11597" s="12"/>
    </row>
    <row r="11598" spans="1:1" x14ac:dyDescent="0.3">
      <c r="A11598" s="12"/>
    </row>
    <row r="11599" spans="1:1" x14ac:dyDescent="0.3">
      <c r="A11599" s="12"/>
    </row>
    <row r="11600" spans="1:1" x14ac:dyDescent="0.3">
      <c r="A11600" s="12"/>
    </row>
    <row r="11601" spans="1:1" x14ac:dyDescent="0.3">
      <c r="A11601" s="12"/>
    </row>
    <row r="11602" spans="1:1" x14ac:dyDescent="0.3">
      <c r="A11602" s="12"/>
    </row>
    <row r="11603" spans="1:1" x14ac:dyDescent="0.3">
      <c r="A11603" s="12"/>
    </row>
    <row r="11604" spans="1:1" x14ac:dyDescent="0.3">
      <c r="A11604" s="12"/>
    </row>
    <row r="11605" spans="1:1" x14ac:dyDescent="0.3">
      <c r="A11605" s="12"/>
    </row>
    <row r="11606" spans="1:1" x14ac:dyDescent="0.3">
      <c r="A11606" s="12"/>
    </row>
    <row r="11607" spans="1:1" x14ac:dyDescent="0.3">
      <c r="A11607" s="12"/>
    </row>
    <row r="11608" spans="1:1" x14ac:dyDescent="0.3">
      <c r="A11608" s="12"/>
    </row>
    <row r="11609" spans="1:1" x14ac:dyDescent="0.3">
      <c r="A11609" s="12"/>
    </row>
    <row r="11610" spans="1:1" x14ac:dyDescent="0.3">
      <c r="A11610" s="12"/>
    </row>
    <row r="11611" spans="1:1" x14ac:dyDescent="0.3">
      <c r="A11611" s="12"/>
    </row>
    <row r="11612" spans="1:1" x14ac:dyDescent="0.3">
      <c r="A11612" s="12"/>
    </row>
    <row r="11613" spans="1:1" x14ac:dyDescent="0.3">
      <c r="A11613" s="12"/>
    </row>
    <row r="11614" spans="1:1" x14ac:dyDescent="0.3">
      <c r="A11614" s="12"/>
    </row>
    <row r="11615" spans="1:1" x14ac:dyDescent="0.3">
      <c r="A11615" s="12"/>
    </row>
    <row r="11616" spans="1:1" x14ac:dyDescent="0.3">
      <c r="A11616" s="12"/>
    </row>
    <row r="11617" spans="1:1" x14ac:dyDescent="0.3">
      <c r="A11617" s="12"/>
    </row>
    <row r="11618" spans="1:1" x14ac:dyDescent="0.3">
      <c r="A11618" s="12"/>
    </row>
    <row r="11619" spans="1:1" x14ac:dyDescent="0.3">
      <c r="A11619" s="12"/>
    </row>
    <row r="11620" spans="1:1" x14ac:dyDescent="0.3">
      <c r="A11620" s="12"/>
    </row>
    <row r="11621" spans="1:1" x14ac:dyDescent="0.3">
      <c r="A11621" s="12"/>
    </row>
    <row r="11622" spans="1:1" x14ac:dyDescent="0.3">
      <c r="A11622" s="12"/>
    </row>
    <row r="11623" spans="1:1" x14ac:dyDescent="0.3">
      <c r="A11623" s="12"/>
    </row>
    <row r="11624" spans="1:1" x14ac:dyDescent="0.3">
      <c r="A11624" s="12"/>
    </row>
    <row r="11625" spans="1:1" x14ac:dyDescent="0.3">
      <c r="A11625" s="12"/>
    </row>
    <row r="11626" spans="1:1" x14ac:dyDescent="0.3">
      <c r="A11626" s="12"/>
    </row>
    <row r="11627" spans="1:1" x14ac:dyDescent="0.3">
      <c r="A11627" s="12"/>
    </row>
    <row r="11628" spans="1:1" x14ac:dyDescent="0.3">
      <c r="A11628" s="12"/>
    </row>
    <row r="11629" spans="1:1" x14ac:dyDescent="0.3">
      <c r="A11629" s="12"/>
    </row>
    <row r="11630" spans="1:1" x14ac:dyDescent="0.3">
      <c r="A11630" s="12"/>
    </row>
    <row r="11631" spans="1:1" x14ac:dyDescent="0.3">
      <c r="A11631" s="12"/>
    </row>
    <row r="11632" spans="1:1" x14ac:dyDescent="0.3">
      <c r="A11632" s="12"/>
    </row>
    <row r="11633" spans="1:1" x14ac:dyDescent="0.3">
      <c r="A11633" s="12"/>
    </row>
    <row r="11634" spans="1:1" x14ac:dyDescent="0.3">
      <c r="A11634" s="12"/>
    </row>
    <row r="11635" spans="1:1" x14ac:dyDescent="0.3">
      <c r="A11635" s="12"/>
    </row>
    <row r="11636" spans="1:1" x14ac:dyDescent="0.3">
      <c r="A11636" s="12"/>
    </row>
    <row r="11637" spans="1:1" x14ac:dyDescent="0.3">
      <c r="A11637" s="12"/>
    </row>
    <row r="11638" spans="1:1" x14ac:dyDescent="0.3">
      <c r="A11638" s="12"/>
    </row>
    <row r="11639" spans="1:1" x14ac:dyDescent="0.3">
      <c r="A11639" s="12"/>
    </row>
    <row r="11640" spans="1:1" x14ac:dyDescent="0.3">
      <c r="A11640" s="12"/>
    </row>
    <row r="11641" spans="1:1" x14ac:dyDescent="0.3">
      <c r="A11641" s="12"/>
    </row>
    <row r="11642" spans="1:1" x14ac:dyDescent="0.3">
      <c r="A11642" s="12"/>
    </row>
    <row r="11643" spans="1:1" x14ac:dyDescent="0.3">
      <c r="A11643" s="12"/>
    </row>
    <row r="11644" spans="1:1" x14ac:dyDescent="0.3">
      <c r="A11644" s="12"/>
    </row>
    <row r="11645" spans="1:1" x14ac:dyDescent="0.3">
      <c r="A11645" s="12"/>
    </row>
    <row r="11646" spans="1:1" x14ac:dyDescent="0.3">
      <c r="A11646" s="12"/>
    </row>
    <row r="11647" spans="1:1" x14ac:dyDescent="0.3">
      <c r="A11647" s="12"/>
    </row>
    <row r="11648" spans="1:1" x14ac:dyDescent="0.3">
      <c r="A11648" s="12"/>
    </row>
    <row r="11649" spans="1:1" x14ac:dyDescent="0.3">
      <c r="A11649" s="12"/>
    </row>
    <row r="11650" spans="1:1" x14ac:dyDescent="0.3">
      <c r="A11650" s="12"/>
    </row>
    <row r="11651" spans="1:1" x14ac:dyDescent="0.3">
      <c r="A11651" s="12"/>
    </row>
    <row r="11652" spans="1:1" x14ac:dyDescent="0.3">
      <c r="A11652" s="12"/>
    </row>
    <row r="11653" spans="1:1" x14ac:dyDescent="0.3">
      <c r="A11653" s="12"/>
    </row>
    <row r="11654" spans="1:1" x14ac:dyDescent="0.3">
      <c r="A11654" s="12"/>
    </row>
    <row r="11655" spans="1:1" x14ac:dyDescent="0.3">
      <c r="A11655" s="12"/>
    </row>
    <row r="11656" spans="1:1" x14ac:dyDescent="0.3">
      <c r="A11656" s="12"/>
    </row>
    <row r="11657" spans="1:1" x14ac:dyDescent="0.3">
      <c r="A11657" s="12"/>
    </row>
    <row r="11658" spans="1:1" x14ac:dyDescent="0.3">
      <c r="A11658" s="12"/>
    </row>
    <row r="11659" spans="1:1" x14ac:dyDescent="0.3">
      <c r="A11659" s="12"/>
    </row>
    <row r="11660" spans="1:1" x14ac:dyDescent="0.3">
      <c r="A11660" s="12"/>
    </row>
    <row r="11661" spans="1:1" x14ac:dyDescent="0.3">
      <c r="A11661" s="12"/>
    </row>
    <row r="11662" spans="1:1" x14ac:dyDescent="0.3">
      <c r="A11662" s="12"/>
    </row>
    <row r="11663" spans="1:1" x14ac:dyDescent="0.3">
      <c r="A11663" s="12"/>
    </row>
    <row r="11664" spans="1:1" x14ac:dyDescent="0.3">
      <c r="A11664" s="12"/>
    </row>
    <row r="11665" spans="1:1" x14ac:dyDescent="0.3">
      <c r="A11665" s="12"/>
    </row>
    <row r="11666" spans="1:1" x14ac:dyDescent="0.3">
      <c r="A11666" s="12"/>
    </row>
    <row r="11667" spans="1:1" x14ac:dyDescent="0.3">
      <c r="A11667" s="12"/>
    </row>
    <row r="11668" spans="1:1" x14ac:dyDescent="0.3">
      <c r="A11668" s="12"/>
    </row>
    <row r="11669" spans="1:1" x14ac:dyDescent="0.3">
      <c r="A11669" s="12"/>
    </row>
    <row r="11670" spans="1:1" x14ac:dyDescent="0.3">
      <c r="A11670" s="12"/>
    </row>
    <row r="11671" spans="1:1" x14ac:dyDescent="0.3">
      <c r="A11671" s="12"/>
    </row>
    <row r="11672" spans="1:1" x14ac:dyDescent="0.3">
      <c r="A11672" s="12"/>
    </row>
    <row r="11673" spans="1:1" x14ac:dyDescent="0.3">
      <c r="A11673" s="12"/>
    </row>
    <row r="11674" spans="1:1" x14ac:dyDescent="0.3">
      <c r="A11674" s="12"/>
    </row>
    <row r="11675" spans="1:1" x14ac:dyDescent="0.3">
      <c r="A11675" s="12"/>
    </row>
    <row r="11676" spans="1:1" x14ac:dyDescent="0.3">
      <c r="A11676" s="12"/>
    </row>
    <row r="11677" spans="1:1" x14ac:dyDescent="0.3">
      <c r="A11677" s="12"/>
    </row>
    <row r="11678" spans="1:1" x14ac:dyDescent="0.3">
      <c r="A11678" s="12"/>
    </row>
    <row r="11679" spans="1:1" x14ac:dyDescent="0.3">
      <c r="A11679" s="12"/>
    </row>
    <row r="11680" spans="1:1" x14ac:dyDescent="0.3">
      <c r="A11680" s="12"/>
    </row>
    <row r="11681" spans="1:1" x14ac:dyDescent="0.3">
      <c r="A11681" s="12"/>
    </row>
    <row r="11682" spans="1:1" x14ac:dyDescent="0.3">
      <c r="A11682" s="12"/>
    </row>
    <row r="11683" spans="1:1" x14ac:dyDescent="0.3">
      <c r="A11683" s="12"/>
    </row>
    <row r="11684" spans="1:1" x14ac:dyDescent="0.3">
      <c r="A11684" s="12"/>
    </row>
    <row r="11685" spans="1:1" x14ac:dyDescent="0.3">
      <c r="A11685" s="12"/>
    </row>
    <row r="11686" spans="1:1" x14ac:dyDescent="0.3">
      <c r="A11686" s="12"/>
    </row>
    <row r="11687" spans="1:1" x14ac:dyDescent="0.3">
      <c r="A11687" s="12"/>
    </row>
    <row r="11688" spans="1:1" x14ac:dyDescent="0.3">
      <c r="A11688" s="12"/>
    </row>
    <row r="11689" spans="1:1" x14ac:dyDescent="0.3">
      <c r="A11689" s="12"/>
    </row>
    <row r="11690" spans="1:1" x14ac:dyDescent="0.3">
      <c r="A11690" s="12"/>
    </row>
    <row r="11691" spans="1:1" x14ac:dyDescent="0.3">
      <c r="A11691" s="12"/>
    </row>
    <row r="11692" spans="1:1" x14ac:dyDescent="0.3">
      <c r="A11692" s="12"/>
    </row>
    <row r="11693" spans="1:1" x14ac:dyDescent="0.3">
      <c r="A11693" s="12"/>
    </row>
    <row r="11694" spans="1:1" x14ac:dyDescent="0.3">
      <c r="A11694" s="12"/>
    </row>
    <row r="11695" spans="1:1" x14ac:dyDescent="0.3">
      <c r="A11695" s="12"/>
    </row>
    <row r="11696" spans="1:1" x14ac:dyDescent="0.3">
      <c r="A11696" s="12"/>
    </row>
    <row r="11697" spans="1:1" x14ac:dyDescent="0.3">
      <c r="A11697" s="12"/>
    </row>
    <row r="11698" spans="1:1" x14ac:dyDescent="0.3">
      <c r="A11698" s="12"/>
    </row>
    <row r="11699" spans="1:1" x14ac:dyDescent="0.3">
      <c r="A11699" s="12"/>
    </row>
    <row r="11700" spans="1:1" x14ac:dyDescent="0.3">
      <c r="A11700" s="12"/>
    </row>
    <row r="11701" spans="1:1" x14ac:dyDescent="0.3">
      <c r="A11701" s="12"/>
    </row>
    <row r="11702" spans="1:1" x14ac:dyDescent="0.3">
      <c r="A11702" s="12"/>
    </row>
    <row r="11703" spans="1:1" x14ac:dyDescent="0.3">
      <c r="A11703" s="12"/>
    </row>
    <row r="11704" spans="1:1" x14ac:dyDescent="0.3">
      <c r="A11704" s="12"/>
    </row>
    <row r="11705" spans="1:1" x14ac:dyDescent="0.3">
      <c r="A11705" s="12"/>
    </row>
    <row r="11706" spans="1:1" x14ac:dyDescent="0.3">
      <c r="A11706" s="12"/>
    </row>
    <row r="11707" spans="1:1" x14ac:dyDescent="0.3">
      <c r="A11707" s="12"/>
    </row>
    <row r="11708" spans="1:1" x14ac:dyDescent="0.3">
      <c r="A11708" s="12"/>
    </row>
    <row r="11709" spans="1:1" x14ac:dyDescent="0.3">
      <c r="A11709" s="12"/>
    </row>
    <row r="11710" spans="1:1" x14ac:dyDescent="0.3">
      <c r="A11710" s="12"/>
    </row>
    <row r="11711" spans="1:1" x14ac:dyDescent="0.3">
      <c r="A11711" s="12"/>
    </row>
    <row r="11712" spans="1:1" x14ac:dyDescent="0.3">
      <c r="A11712" s="12"/>
    </row>
    <row r="11713" spans="1:1" x14ac:dyDescent="0.3">
      <c r="A11713" s="12"/>
    </row>
    <row r="11714" spans="1:1" x14ac:dyDescent="0.3">
      <c r="A11714" s="12"/>
    </row>
    <row r="11715" spans="1:1" x14ac:dyDescent="0.3">
      <c r="A11715" s="12"/>
    </row>
    <row r="11716" spans="1:1" x14ac:dyDescent="0.3">
      <c r="A11716" s="12"/>
    </row>
    <row r="11717" spans="1:1" x14ac:dyDescent="0.3">
      <c r="A11717" s="12"/>
    </row>
    <row r="11718" spans="1:1" x14ac:dyDescent="0.3">
      <c r="A11718" s="12"/>
    </row>
    <row r="11719" spans="1:1" x14ac:dyDescent="0.3">
      <c r="A11719" s="12"/>
    </row>
    <row r="11720" spans="1:1" x14ac:dyDescent="0.3">
      <c r="A11720" s="12"/>
    </row>
    <row r="11721" spans="1:1" x14ac:dyDescent="0.3">
      <c r="A11721" s="12"/>
    </row>
    <row r="11722" spans="1:1" x14ac:dyDescent="0.3">
      <c r="A11722" s="12"/>
    </row>
    <row r="11723" spans="1:1" x14ac:dyDescent="0.3">
      <c r="A11723" s="12"/>
    </row>
    <row r="11724" spans="1:1" x14ac:dyDescent="0.3">
      <c r="A11724" s="12"/>
    </row>
    <row r="11725" spans="1:1" x14ac:dyDescent="0.3">
      <c r="A11725" s="12"/>
    </row>
    <row r="11726" spans="1:1" x14ac:dyDescent="0.3">
      <c r="A11726" s="12"/>
    </row>
    <row r="11727" spans="1:1" x14ac:dyDescent="0.3">
      <c r="A11727" s="12"/>
    </row>
    <row r="11728" spans="1:1" x14ac:dyDescent="0.3">
      <c r="A11728" s="12"/>
    </row>
    <row r="11729" spans="1:1" x14ac:dyDescent="0.3">
      <c r="A11729" s="12"/>
    </row>
    <row r="11730" spans="1:1" x14ac:dyDescent="0.3">
      <c r="A11730" s="12"/>
    </row>
    <row r="11731" spans="1:1" x14ac:dyDescent="0.3">
      <c r="A11731" s="12"/>
    </row>
    <row r="11732" spans="1:1" x14ac:dyDescent="0.3">
      <c r="A11732" s="12"/>
    </row>
    <row r="11733" spans="1:1" x14ac:dyDescent="0.3">
      <c r="A11733" s="12"/>
    </row>
    <row r="11734" spans="1:1" x14ac:dyDescent="0.3">
      <c r="A11734" s="12"/>
    </row>
    <row r="11735" spans="1:1" x14ac:dyDescent="0.3">
      <c r="A11735" s="12"/>
    </row>
    <row r="11736" spans="1:1" x14ac:dyDescent="0.3">
      <c r="A11736" s="12"/>
    </row>
    <row r="11737" spans="1:1" x14ac:dyDescent="0.3">
      <c r="A11737" s="12"/>
    </row>
    <row r="11738" spans="1:1" x14ac:dyDescent="0.3">
      <c r="A11738" s="12"/>
    </row>
    <row r="11739" spans="1:1" x14ac:dyDescent="0.3">
      <c r="A11739" s="12"/>
    </row>
    <row r="11740" spans="1:1" x14ac:dyDescent="0.3">
      <c r="A11740" s="12"/>
    </row>
    <row r="11741" spans="1:1" x14ac:dyDescent="0.3">
      <c r="A11741" s="12"/>
    </row>
    <row r="11742" spans="1:1" x14ac:dyDescent="0.3">
      <c r="A11742" s="12"/>
    </row>
    <row r="11743" spans="1:1" x14ac:dyDescent="0.3">
      <c r="A11743" s="12"/>
    </row>
    <row r="11744" spans="1:1" x14ac:dyDescent="0.3">
      <c r="A11744" s="12"/>
    </row>
    <row r="11745" spans="1:1" x14ac:dyDescent="0.3">
      <c r="A11745" s="12"/>
    </row>
    <row r="11746" spans="1:1" x14ac:dyDescent="0.3">
      <c r="A11746" s="12"/>
    </row>
    <row r="11747" spans="1:1" x14ac:dyDescent="0.3">
      <c r="A11747" s="12"/>
    </row>
    <row r="11748" spans="1:1" x14ac:dyDescent="0.3">
      <c r="A11748" s="12"/>
    </row>
    <row r="11749" spans="1:1" x14ac:dyDescent="0.3">
      <c r="A11749" s="12"/>
    </row>
    <row r="11750" spans="1:1" x14ac:dyDescent="0.3">
      <c r="A11750" s="12"/>
    </row>
    <row r="11751" spans="1:1" x14ac:dyDescent="0.3">
      <c r="A11751" s="12"/>
    </row>
    <row r="11752" spans="1:1" x14ac:dyDescent="0.3">
      <c r="A11752" s="12"/>
    </row>
    <row r="11753" spans="1:1" x14ac:dyDescent="0.3">
      <c r="A11753" s="12"/>
    </row>
    <row r="11754" spans="1:1" x14ac:dyDescent="0.3">
      <c r="A11754" s="12"/>
    </row>
    <row r="11755" spans="1:1" x14ac:dyDescent="0.3">
      <c r="A11755" s="12"/>
    </row>
    <row r="11756" spans="1:1" x14ac:dyDescent="0.3">
      <c r="A11756" s="12"/>
    </row>
    <row r="11757" spans="1:1" x14ac:dyDescent="0.3">
      <c r="A11757" s="12"/>
    </row>
    <row r="11758" spans="1:1" x14ac:dyDescent="0.3">
      <c r="A11758" s="12"/>
    </row>
    <row r="11759" spans="1:1" x14ac:dyDescent="0.3">
      <c r="A11759" s="12"/>
    </row>
    <row r="11760" spans="1:1" x14ac:dyDescent="0.3">
      <c r="A11760" s="12"/>
    </row>
    <row r="11761" spans="1:1" x14ac:dyDescent="0.3">
      <c r="A11761" s="12"/>
    </row>
    <row r="11762" spans="1:1" x14ac:dyDescent="0.3">
      <c r="A11762" s="12"/>
    </row>
    <row r="11763" spans="1:1" x14ac:dyDescent="0.3">
      <c r="A11763" s="12"/>
    </row>
    <row r="11764" spans="1:1" x14ac:dyDescent="0.3">
      <c r="A11764" s="12"/>
    </row>
    <row r="11765" spans="1:1" x14ac:dyDescent="0.3">
      <c r="A11765" s="12"/>
    </row>
    <row r="11766" spans="1:1" x14ac:dyDescent="0.3">
      <c r="A11766" s="12"/>
    </row>
    <row r="11767" spans="1:1" x14ac:dyDescent="0.3">
      <c r="A11767" s="12"/>
    </row>
    <row r="11768" spans="1:1" x14ac:dyDescent="0.3">
      <c r="A11768" s="12"/>
    </row>
    <row r="11769" spans="1:1" x14ac:dyDescent="0.3">
      <c r="A11769" s="12"/>
    </row>
    <row r="11770" spans="1:1" x14ac:dyDescent="0.3">
      <c r="A11770" s="12"/>
    </row>
    <row r="11771" spans="1:1" x14ac:dyDescent="0.3">
      <c r="A11771" s="12"/>
    </row>
    <row r="11772" spans="1:1" x14ac:dyDescent="0.3">
      <c r="A11772" s="12"/>
    </row>
    <row r="11773" spans="1:1" x14ac:dyDescent="0.3">
      <c r="A11773" s="12"/>
    </row>
    <row r="11774" spans="1:1" x14ac:dyDescent="0.3">
      <c r="A11774" s="12"/>
    </row>
    <row r="11775" spans="1:1" x14ac:dyDescent="0.3">
      <c r="A11775" s="12"/>
    </row>
    <row r="11776" spans="1:1" x14ac:dyDescent="0.3">
      <c r="A11776" s="12"/>
    </row>
    <row r="11777" spans="1:1" x14ac:dyDescent="0.3">
      <c r="A11777" s="12"/>
    </row>
    <row r="11778" spans="1:1" x14ac:dyDescent="0.3">
      <c r="A11778" s="12"/>
    </row>
    <row r="11779" spans="1:1" x14ac:dyDescent="0.3">
      <c r="A11779" s="12"/>
    </row>
    <row r="11780" spans="1:1" x14ac:dyDescent="0.3">
      <c r="A11780" s="12"/>
    </row>
    <row r="11781" spans="1:1" x14ac:dyDescent="0.3">
      <c r="A11781" s="12"/>
    </row>
    <row r="11782" spans="1:1" x14ac:dyDescent="0.3">
      <c r="A11782" s="12"/>
    </row>
    <row r="11783" spans="1:1" x14ac:dyDescent="0.3">
      <c r="A11783" s="12"/>
    </row>
    <row r="11784" spans="1:1" x14ac:dyDescent="0.3">
      <c r="A11784" s="12"/>
    </row>
    <row r="11785" spans="1:1" x14ac:dyDescent="0.3">
      <c r="A11785" s="12"/>
    </row>
    <row r="11786" spans="1:1" x14ac:dyDescent="0.3">
      <c r="A11786" s="12"/>
    </row>
    <row r="11787" spans="1:1" x14ac:dyDescent="0.3">
      <c r="A11787" s="12"/>
    </row>
    <row r="11788" spans="1:1" x14ac:dyDescent="0.3">
      <c r="A11788" s="12"/>
    </row>
    <row r="11789" spans="1:1" x14ac:dyDescent="0.3">
      <c r="A11789" s="12"/>
    </row>
    <row r="11790" spans="1:1" x14ac:dyDescent="0.3">
      <c r="A11790" s="12"/>
    </row>
    <row r="11791" spans="1:1" x14ac:dyDescent="0.3">
      <c r="A11791" s="12"/>
    </row>
    <row r="11792" spans="1:1" x14ac:dyDescent="0.3">
      <c r="A11792" s="12"/>
    </row>
    <row r="11793" spans="1:1" x14ac:dyDescent="0.3">
      <c r="A11793" s="12"/>
    </row>
    <row r="11794" spans="1:1" x14ac:dyDescent="0.3">
      <c r="A11794" s="12"/>
    </row>
    <row r="11795" spans="1:1" x14ac:dyDescent="0.3">
      <c r="A11795" s="12"/>
    </row>
    <row r="11796" spans="1:1" x14ac:dyDescent="0.3">
      <c r="A11796" s="12"/>
    </row>
    <row r="11797" spans="1:1" x14ac:dyDescent="0.3">
      <c r="A11797" s="12"/>
    </row>
    <row r="11798" spans="1:1" x14ac:dyDescent="0.3">
      <c r="A11798" s="12"/>
    </row>
    <row r="11799" spans="1:1" x14ac:dyDescent="0.3">
      <c r="A11799" s="12"/>
    </row>
    <row r="11800" spans="1:1" x14ac:dyDescent="0.3">
      <c r="A11800" s="12"/>
    </row>
    <row r="11801" spans="1:1" x14ac:dyDescent="0.3">
      <c r="A11801" s="12"/>
    </row>
    <row r="11802" spans="1:1" x14ac:dyDescent="0.3">
      <c r="A11802" s="12"/>
    </row>
    <row r="11803" spans="1:1" x14ac:dyDescent="0.3">
      <c r="A11803" s="12"/>
    </row>
    <row r="11804" spans="1:1" x14ac:dyDescent="0.3">
      <c r="A11804" s="12"/>
    </row>
    <row r="11805" spans="1:1" x14ac:dyDescent="0.3">
      <c r="A11805" s="12"/>
    </row>
    <row r="11806" spans="1:1" x14ac:dyDescent="0.3">
      <c r="A11806" s="12"/>
    </row>
    <row r="11807" spans="1:1" x14ac:dyDescent="0.3">
      <c r="A11807" s="12"/>
    </row>
    <row r="11808" spans="1:1" x14ac:dyDescent="0.3">
      <c r="A11808" s="12"/>
    </row>
    <row r="11809" spans="1:1" x14ac:dyDescent="0.3">
      <c r="A11809" s="12"/>
    </row>
    <row r="11810" spans="1:1" x14ac:dyDescent="0.3">
      <c r="A11810" s="12"/>
    </row>
    <row r="11811" spans="1:1" x14ac:dyDescent="0.3">
      <c r="A11811" s="12"/>
    </row>
    <row r="11812" spans="1:1" x14ac:dyDescent="0.3">
      <c r="A11812" s="12"/>
    </row>
    <row r="11813" spans="1:1" x14ac:dyDescent="0.3">
      <c r="A11813" s="12"/>
    </row>
    <row r="11814" spans="1:1" x14ac:dyDescent="0.3">
      <c r="A11814" s="12"/>
    </row>
    <row r="11815" spans="1:1" x14ac:dyDescent="0.3">
      <c r="A11815" s="12"/>
    </row>
    <row r="11816" spans="1:1" x14ac:dyDescent="0.3">
      <c r="A11816" s="12"/>
    </row>
    <row r="11817" spans="1:1" x14ac:dyDescent="0.3">
      <c r="A11817" s="12"/>
    </row>
    <row r="11818" spans="1:1" x14ac:dyDescent="0.3">
      <c r="A11818" s="12"/>
    </row>
    <row r="11819" spans="1:1" x14ac:dyDescent="0.3">
      <c r="A11819" s="12"/>
    </row>
    <row r="11820" spans="1:1" x14ac:dyDescent="0.3">
      <c r="A11820" s="12"/>
    </row>
    <row r="11821" spans="1:1" x14ac:dyDescent="0.3">
      <c r="A11821" s="12"/>
    </row>
    <row r="11822" spans="1:1" x14ac:dyDescent="0.3">
      <c r="A11822" s="12"/>
    </row>
    <row r="11823" spans="1:1" x14ac:dyDescent="0.3">
      <c r="A11823" s="12"/>
    </row>
    <row r="11824" spans="1:1" x14ac:dyDescent="0.3">
      <c r="A11824" s="12"/>
    </row>
    <row r="11825" spans="1:1" x14ac:dyDescent="0.3">
      <c r="A11825" s="12"/>
    </row>
    <row r="11826" spans="1:1" x14ac:dyDescent="0.3">
      <c r="A11826" s="12"/>
    </row>
    <row r="11827" spans="1:1" x14ac:dyDescent="0.3">
      <c r="A11827" s="12"/>
    </row>
    <row r="11828" spans="1:1" x14ac:dyDescent="0.3">
      <c r="A11828" s="12"/>
    </row>
    <row r="11829" spans="1:1" x14ac:dyDescent="0.3">
      <c r="A11829" s="12"/>
    </row>
    <row r="11830" spans="1:1" x14ac:dyDescent="0.3">
      <c r="A11830" s="12"/>
    </row>
    <row r="11831" spans="1:1" x14ac:dyDescent="0.3">
      <c r="A11831" s="12"/>
    </row>
    <row r="11832" spans="1:1" x14ac:dyDescent="0.3">
      <c r="A11832" s="12"/>
    </row>
    <row r="11833" spans="1:1" x14ac:dyDescent="0.3">
      <c r="A11833" s="12"/>
    </row>
    <row r="11834" spans="1:1" x14ac:dyDescent="0.3">
      <c r="A11834" s="12"/>
    </row>
    <row r="11835" spans="1:1" x14ac:dyDescent="0.3">
      <c r="A11835" s="12"/>
    </row>
    <row r="11836" spans="1:1" x14ac:dyDescent="0.3">
      <c r="A11836" s="12"/>
    </row>
    <row r="11837" spans="1:1" x14ac:dyDescent="0.3">
      <c r="A11837" s="12"/>
    </row>
    <row r="11838" spans="1:1" x14ac:dyDescent="0.3">
      <c r="A11838" s="12"/>
    </row>
    <row r="11839" spans="1:1" x14ac:dyDescent="0.3">
      <c r="A11839" s="12"/>
    </row>
    <row r="11840" spans="1:1" x14ac:dyDescent="0.3">
      <c r="A11840" s="12"/>
    </row>
    <row r="11841" spans="1:1" x14ac:dyDescent="0.3">
      <c r="A11841" s="12"/>
    </row>
    <row r="11842" spans="1:1" x14ac:dyDescent="0.3">
      <c r="A11842" s="12"/>
    </row>
    <row r="11843" spans="1:1" x14ac:dyDescent="0.3">
      <c r="A11843" s="12"/>
    </row>
    <row r="11844" spans="1:1" x14ac:dyDescent="0.3">
      <c r="A11844" s="12"/>
    </row>
    <row r="11845" spans="1:1" x14ac:dyDescent="0.3">
      <c r="A11845" s="12"/>
    </row>
    <row r="11846" spans="1:1" x14ac:dyDescent="0.3">
      <c r="A11846" s="12"/>
    </row>
    <row r="11847" spans="1:1" x14ac:dyDescent="0.3">
      <c r="A11847" s="12"/>
    </row>
    <row r="11848" spans="1:1" x14ac:dyDescent="0.3">
      <c r="A11848" s="12"/>
    </row>
    <row r="11849" spans="1:1" x14ac:dyDescent="0.3">
      <c r="A11849" s="12"/>
    </row>
    <row r="11850" spans="1:1" x14ac:dyDescent="0.3">
      <c r="A11850" s="12"/>
    </row>
    <row r="11851" spans="1:1" x14ac:dyDescent="0.3">
      <c r="A11851" s="12"/>
    </row>
    <row r="11852" spans="1:1" x14ac:dyDescent="0.3">
      <c r="A11852" s="12"/>
    </row>
    <row r="11853" spans="1:1" x14ac:dyDescent="0.3">
      <c r="A11853" s="12"/>
    </row>
    <row r="11854" spans="1:1" x14ac:dyDescent="0.3">
      <c r="A11854" s="12"/>
    </row>
    <row r="11855" spans="1:1" x14ac:dyDescent="0.3">
      <c r="A11855" s="12"/>
    </row>
    <row r="11856" spans="1:1" x14ac:dyDescent="0.3">
      <c r="A11856" s="12"/>
    </row>
    <row r="11857" spans="1:1" x14ac:dyDescent="0.3">
      <c r="A11857" s="12"/>
    </row>
    <row r="11858" spans="1:1" x14ac:dyDescent="0.3">
      <c r="A11858" s="12"/>
    </row>
    <row r="11859" spans="1:1" x14ac:dyDescent="0.3">
      <c r="A11859" s="12"/>
    </row>
    <row r="11860" spans="1:1" x14ac:dyDescent="0.3">
      <c r="A11860" s="12"/>
    </row>
    <row r="11861" spans="1:1" x14ac:dyDescent="0.3">
      <c r="A11861" s="12"/>
    </row>
    <row r="11862" spans="1:1" x14ac:dyDescent="0.3">
      <c r="A11862" s="12"/>
    </row>
    <row r="11863" spans="1:1" x14ac:dyDescent="0.3">
      <c r="A11863" s="12"/>
    </row>
    <row r="11864" spans="1:1" x14ac:dyDescent="0.3">
      <c r="A11864" s="12"/>
    </row>
    <row r="11865" spans="1:1" x14ac:dyDescent="0.3">
      <c r="A11865" s="12"/>
    </row>
    <row r="11866" spans="1:1" x14ac:dyDescent="0.3">
      <c r="A11866" s="12"/>
    </row>
    <row r="11867" spans="1:1" x14ac:dyDescent="0.3">
      <c r="A11867" s="12"/>
    </row>
    <row r="11868" spans="1:1" x14ac:dyDescent="0.3">
      <c r="A11868" s="12"/>
    </row>
    <row r="11869" spans="1:1" x14ac:dyDescent="0.3">
      <c r="A11869" s="12"/>
    </row>
    <row r="11870" spans="1:1" x14ac:dyDescent="0.3">
      <c r="A11870" s="12"/>
    </row>
    <row r="11871" spans="1:1" x14ac:dyDescent="0.3">
      <c r="A11871" s="12"/>
    </row>
    <row r="11872" spans="1:1" x14ac:dyDescent="0.3">
      <c r="A11872" s="12"/>
    </row>
    <row r="11873" spans="1:1" x14ac:dyDescent="0.3">
      <c r="A11873" s="12"/>
    </row>
    <row r="11874" spans="1:1" x14ac:dyDescent="0.3">
      <c r="A11874" s="12"/>
    </row>
    <row r="11875" spans="1:1" x14ac:dyDescent="0.3">
      <c r="A11875" s="12"/>
    </row>
    <row r="11876" spans="1:1" x14ac:dyDescent="0.3">
      <c r="A11876" s="12"/>
    </row>
    <row r="11877" spans="1:1" x14ac:dyDescent="0.3">
      <c r="A11877" s="12"/>
    </row>
    <row r="11878" spans="1:1" x14ac:dyDescent="0.3">
      <c r="A11878" s="12"/>
    </row>
    <row r="11879" spans="1:1" x14ac:dyDescent="0.3">
      <c r="A11879" s="12"/>
    </row>
    <row r="11880" spans="1:1" x14ac:dyDescent="0.3">
      <c r="A11880" s="12"/>
    </row>
    <row r="11881" spans="1:1" x14ac:dyDescent="0.3">
      <c r="A11881" s="12"/>
    </row>
    <row r="11882" spans="1:1" x14ac:dyDescent="0.3">
      <c r="A11882" s="12"/>
    </row>
    <row r="11883" spans="1:1" x14ac:dyDescent="0.3">
      <c r="A11883" s="12"/>
    </row>
    <row r="11884" spans="1:1" x14ac:dyDescent="0.3">
      <c r="A11884" s="12"/>
    </row>
    <row r="11885" spans="1:1" x14ac:dyDescent="0.3">
      <c r="A11885" s="12"/>
    </row>
    <row r="11886" spans="1:1" x14ac:dyDescent="0.3">
      <c r="A11886" s="12"/>
    </row>
    <row r="11887" spans="1:1" x14ac:dyDescent="0.3">
      <c r="A11887" s="12"/>
    </row>
    <row r="11888" spans="1:1" x14ac:dyDescent="0.3">
      <c r="A11888" s="12"/>
    </row>
    <row r="11889" spans="1:1" x14ac:dyDescent="0.3">
      <c r="A11889" s="12"/>
    </row>
    <row r="11890" spans="1:1" x14ac:dyDescent="0.3">
      <c r="A11890" s="12"/>
    </row>
    <row r="11891" spans="1:1" x14ac:dyDescent="0.3">
      <c r="A11891" s="12"/>
    </row>
    <row r="11892" spans="1:1" x14ac:dyDescent="0.3">
      <c r="A11892" s="12"/>
    </row>
    <row r="11893" spans="1:1" x14ac:dyDescent="0.3">
      <c r="A11893" s="12"/>
    </row>
    <row r="11894" spans="1:1" x14ac:dyDescent="0.3">
      <c r="A11894" s="12"/>
    </row>
    <row r="11895" spans="1:1" x14ac:dyDescent="0.3">
      <c r="A11895" s="12"/>
    </row>
    <row r="11896" spans="1:1" x14ac:dyDescent="0.3">
      <c r="A11896" s="12"/>
    </row>
    <row r="11897" spans="1:1" x14ac:dyDescent="0.3">
      <c r="A11897" s="12"/>
    </row>
    <row r="11898" spans="1:1" x14ac:dyDescent="0.3">
      <c r="A11898" s="12"/>
    </row>
    <row r="11899" spans="1:1" x14ac:dyDescent="0.3">
      <c r="A11899" s="12"/>
    </row>
    <row r="11900" spans="1:1" x14ac:dyDescent="0.3">
      <c r="A11900" s="12"/>
    </row>
    <row r="11901" spans="1:1" x14ac:dyDescent="0.3">
      <c r="A11901" s="12"/>
    </row>
    <row r="11902" spans="1:1" x14ac:dyDescent="0.3">
      <c r="A11902" s="12"/>
    </row>
    <row r="11903" spans="1:1" x14ac:dyDescent="0.3">
      <c r="A11903" s="12"/>
    </row>
    <row r="11904" spans="1:1" x14ac:dyDescent="0.3">
      <c r="A11904" s="12"/>
    </row>
    <row r="11905" spans="1:1" x14ac:dyDescent="0.3">
      <c r="A11905" s="12"/>
    </row>
    <row r="11906" spans="1:1" x14ac:dyDescent="0.3">
      <c r="A11906" s="12"/>
    </row>
    <row r="11907" spans="1:1" x14ac:dyDescent="0.3">
      <c r="A11907" s="12"/>
    </row>
    <row r="11908" spans="1:1" x14ac:dyDescent="0.3">
      <c r="A11908" s="12"/>
    </row>
    <row r="11909" spans="1:1" x14ac:dyDescent="0.3">
      <c r="A11909" s="12"/>
    </row>
    <row r="11910" spans="1:1" x14ac:dyDescent="0.3">
      <c r="A11910" s="12"/>
    </row>
    <row r="11911" spans="1:1" x14ac:dyDescent="0.3">
      <c r="A11911" s="12"/>
    </row>
    <row r="11912" spans="1:1" x14ac:dyDescent="0.3">
      <c r="A11912" s="12"/>
    </row>
    <row r="11913" spans="1:1" x14ac:dyDescent="0.3">
      <c r="A11913" s="12"/>
    </row>
    <row r="11914" spans="1:1" x14ac:dyDescent="0.3">
      <c r="A11914" s="12"/>
    </row>
    <row r="11915" spans="1:1" x14ac:dyDescent="0.3">
      <c r="A11915" s="12"/>
    </row>
    <row r="11916" spans="1:1" x14ac:dyDescent="0.3">
      <c r="A11916" s="12"/>
    </row>
    <row r="11917" spans="1:1" x14ac:dyDescent="0.3">
      <c r="A11917" s="12"/>
    </row>
    <row r="11918" spans="1:1" x14ac:dyDescent="0.3">
      <c r="A11918" s="12"/>
    </row>
    <row r="11919" spans="1:1" x14ac:dyDescent="0.3">
      <c r="A11919" s="12"/>
    </row>
    <row r="11920" spans="1:1" x14ac:dyDescent="0.3">
      <c r="A11920" s="12"/>
    </row>
    <row r="11921" spans="1:1" x14ac:dyDescent="0.3">
      <c r="A11921" s="12"/>
    </row>
    <row r="11922" spans="1:1" x14ac:dyDescent="0.3">
      <c r="A11922" s="12"/>
    </row>
    <row r="11923" spans="1:1" x14ac:dyDescent="0.3">
      <c r="A11923" s="12"/>
    </row>
    <row r="11924" spans="1:1" x14ac:dyDescent="0.3">
      <c r="A11924" s="12"/>
    </row>
    <row r="11925" spans="1:1" x14ac:dyDescent="0.3">
      <c r="A11925" s="12"/>
    </row>
    <row r="11926" spans="1:1" x14ac:dyDescent="0.3">
      <c r="A11926" s="12"/>
    </row>
    <row r="11927" spans="1:1" x14ac:dyDescent="0.3">
      <c r="A11927" s="12"/>
    </row>
    <row r="11928" spans="1:1" x14ac:dyDescent="0.3">
      <c r="A11928" s="12"/>
    </row>
    <row r="11929" spans="1:1" x14ac:dyDescent="0.3">
      <c r="A11929" s="12"/>
    </row>
    <row r="11930" spans="1:1" x14ac:dyDescent="0.3">
      <c r="A11930" s="12"/>
    </row>
    <row r="11931" spans="1:1" x14ac:dyDescent="0.3">
      <c r="A11931" s="12"/>
    </row>
    <row r="11932" spans="1:1" x14ac:dyDescent="0.3">
      <c r="A11932" s="12"/>
    </row>
    <row r="11933" spans="1:1" x14ac:dyDescent="0.3">
      <c r="A11933" s="12"/>
    </row>
    <row r="11934" spans="1:1" x14ac:dyDescent="0.3">
      <c r="A11934" s="12"/>
    </row>
    <row r="11935" spans="1:1" x14ac:dyDescent="0.3">
      <c r="A11935" s="12"/>
    </row>
    <row r="11936" spans="1:1" x14ac:dyDescent="0.3">
      <c r="A11936" s="12"/>
    </row>
    <row r="11937" spans="1:1" x14ac:dyDescent="0.3">
      <c r="A11937" s="12"/>
    </row>
    <row r="11938" spans="1:1" x14ac:dyDescent="0.3">
      <c r="A11938" s="12"/>
    </row>
    <row r="11939" spans="1:1" x14ac:dyDescent="0.3">
      <c r="A11939" s="12"/>
    </row>
    <row r="11940" spans="1:1" x14ac:dyDescent="0.3">
      <c r="A11940" s="12"/>
    </row>
    <row r="11941" spans="1:1" x14ac:dyDescent="0.3">
      <c r="A11941" s="12"/>
    </row>
    <row r="11942" spans="1:1" x14ac:dyDescent="0.3">
      <c r="A11942" s="12"/>
    </row>
    <row r="11943" spans="1:1" x14ac:dyDescent="0.3">
      <c r="A11943" s="12"/>
    </row>
    <row r="11944" spans="1:1" x14ac:dyDescent="0.3">
      <c r="A11944" s="12"/>
    </row>
    <row r="11945" spans="1:1" x14ac:dyDescent="0.3">
      <c r="A11945" s="12"/>
    </row>
    <row r="11946" spans="1:1" x14ac:dyDescent="0.3">
      <c r="A11946" s="12"/>
    </row>
    <row r="11947" spans="1:1" x14ac:dyDescent="0.3">
      <c r="A11947" s="12"/>
    </row>
    <row r="11948" spans="1:1" x14ac:dyDescent="0.3">
      <c r="A11948" s="12"/>
    </row>
    <row r="11949" spans="1:1" x14ac:dyDescent="0.3">
      <c r="A11949" s="12"/>
    </row>
    <row r="11950" spans="1:1" x14ac:dyDescent="0.3">
      <c r="A11950" s="12"/>
    </row>
    <row r="11951" spans="1:1" x14ac:dyDescent="0.3">
      <c r="A11951" s="12"/>
    </row>
    <row r="11952" spans="1:1" x14ac:dyDescent="0.3">
      <c r="A11952" s="12"/>
    </row>
    <row r="11953" spans="1:1" x14ac:dyDescent="0.3">
      <c r="A11953" s="12"/>
    </row>
    <row r="11954" spans="1:1" x14ac:dyDescent="0.3">
      <c r="A11954" s="12"/>
    </row>
    <row r="11955" spans="1:1" x14ac:dyDescent="0.3">
      <c r="A11955" s="12"/>
    </row>
    <row r="11956" spans="1:1" x14ac:dyDescent="0.3">
      <c r="A11956" s="12"/>
    </row>
    <row r="11957" spans="1:1" x14ac:dyDescent="0.3">
      <c r="A11957" s="12"/>
    </row>
    <row r="11958" spans="1:1" x14ac:dyDescent="0.3">
      <c r="A11958" s="12"/>
    </row>
    <row r="11959" spans="1:1" x14ac:dyDescent="0.3">
      <c r="A11959" s="12"/>
    </row>
    <row r="11960" spans="1:1" x14ac:dyDescent="0.3">
      <c r="A11960" s="12"/>
    </row>
    <row r="11961" spans="1:1" x14ac:dyDescent="0.3">
      <c r="A11961" s="12"/>
    </row>
    <row r="11962" spans="1:1" x14ac:dyDescent="0.3">
      <c r="A11962" s="12"/>
    </row>
    <row r="11963" spans="1:1" x14ac:dyDescent="0.3">
      <c r="A11963" s="12"/>
    </row>
    <row r="11964" spans="1:1" x14ac:dyDescent="0.3">
      <c r="A11964" s="12"/>
    </row>
    <row r="11965" spans="1:1" x14ac:dyDescent="0.3">
      <c r="A11965" s="12"/>
    </row>
    <row r="11966" spans="1:1" x14ac:dyDescent="0.3">
      <c r="A11966" s="12"/>
    </row>
    <row r="11967" spans="1:1" x14ac:dyDescent="0.3">
      <c r="A11967" s="12"/>
    </row>
    <row r="11968" spans="1:1" x14ac:dyDescent="0.3">
      <c r="A11968" s="12"/>
    </row>
    <row r="11969" spans="1:1" x14ac:dyDescent="0.3">
      <c r="A11969" s="12"/>
    </row>
    <row r="11970" spans="1:1" x14ac:dyDescent="0.3">
      <c r="A11970" s="12"/>
    </row>
    <row r="11971" spans="1:1" x14ac:dyDescent="0.3">
      <c r="A11971" s="12"/>
    </row>
    <row r="11972" spans="1:1" x14ac:dyDescent="0.3">
      <c r="A11972" s="12"/>
    </row>
    <row r="11973" spans="1:1" x14ac:dyDescent="0.3">
      <c r="A11973" s="12"/>
    </row>
    <row r="11974" spans="1:1" x14ac:dyDescent="0.3">
      <c r="A11974" s="12"/>
    </row>
    <row r="11975" spans="1:1" x14ac:dyDescent="0.3">
      <c r="A11975" s="12"/>
    </row>
    <row r="11976" spans="1:1" x14ac:dyDescent="0.3">
      <c r="A11976" s="12"/>
    </row>
    <row r="11977" spans="1:1" x14ac:dyDescent="0.3">
      <c r="A11977" s="12"/>
    </row>
    <row r="11978" spans="1:1" x14ac:dyDescent="0.3">
      <c r="A11978" s="12"/>
    </row>
    <row r="11979" spans="1:1" x14ac:dyDescent="0.3">
      <c r="A11979" s="12"/>
    </row>
    <row r="11980" spans="1:1" x14ac:dyDescent="0.3">
      <c r="A11980" s="12"/>
    </row>
    <row r="11981" spans="1:1" x14ac:dyDescent="0.3">
      <c r="A11981" s="12"/>
    </row>
    <row r="11982" spans="1:1" x14ac:dyDescent="0.3">
      <c r="A11982" s="12"/>
    </row>
    <row r="11983" spans="1:1" x14ac:dyDescent="0.3">
      <c r="A11983" s="12"/>
    </row>
    <row r="11984" spans="1:1" x14ac:dyDescent="0.3">
      <c r="A11984" s="12"/>
    </row>
    <row r="11985" spans="1:1" x14ac:dyDescent="0.3">
      <c r="A11985" s="12"/>
    </row>
    <row r="11986" spans="1:1" x14ac:dyDescent="0.3">
      <c r="A11986" s="12"/>
    </row>
    <row r="11987" spans="1:1" x14ac:dyDescent="0.3">
      <c r="A11987" s="12"/>
    </row>
    <row r="11988" spans="1:1" x14ac:dyDescent="0.3">
      <c r="A11988" s="12"/>
    </row>
    <row r="11989" spans="1:1" x14ac:dyDescent="0.3">
      <c r="A11989" s="12"/>
    </row>
    <row r="11990" spans="1:1" x14ac:dyDescent="0.3">
      <c r="A11990" s="12"/>
    </row>
    <row r="11991" spans="1:1" x14ac:dyDescent="0.3">
      <c r="A11991" s="12"/>
    </row>
    <row r="11992" spans="1:1" x14ac:dyDescent="0.3">
      <c r="A11992" s="12"/>
    </row>
    <row r="11993" spans="1:1" x14ac:dyDescent="0.3">
      <c r="A11993" s="12"/>
    </row>
    <row r="11994" spans="1:1" x14ac:dyDescent="0.3">
      <c r="A11994" s="12"/>
    </row>
    <row r="11995" spans="1:1" x14ac:dyDescent="0.3">
      <c r="A11995" s="12"/>
    </row>
    <row r="11996" spans="1:1" x14ac:dyDescent="0.3">
      <c r="A11996" s="12"/>
    </row>
    <row r="11997" spans="1:1" x14ac:dyDescent="0.3">
      <c r="A11997" s="12"/>
    </row>
    <row r="11998" spans="1:1" x14ac:dyDescent="0.3">
      <c r="A11998" s="12"/>
    </row>
    <row r="11999" spans="1:1" x14ac:dyDescent="0.3">
      <c r="A11999" s="12"/>
    </row>
    <row r="12000" spans="1:1" x14ac:dyDescent="0.3">
      <c r="A12000" s="12"/>
    </row>
    <row r="12001" spans="1:1" x14ac:dyDescent="0.3">
      <c r="A12001" s="12"/>
    </row>
    <row r="12002" spans="1:1" x14ac:dyDescent="0.3">
      <c r="A12002" s="12"/>
    </row>
    <row r="12003" spans="1:1" x14ac:dyDescent="0.3">
      <c r="A12003" s="12"/>
    </row>
    <row r="12004" spans="1:1" x14ac:dyDescent="0.3">
      <c r="A12004" s="12"/>
    </row>
    <row r="12005" spans="1:1" x14ac:dyDescent="0.3">
      <c r="A12005" s="12"/>
    </row>
    <row r="12006" spans="1:1" x14ac:dyDescent="0.3">
      <c r="A12006" s="12"/>
    </row>
    <row r="12007" spans="1:1" x14ac:dyDescent="0.3">
      <c r="A12007" s="12"/>
    </row>
    <row r="12008" spans="1:1" x14ac:dyDescent="0.3">
      <c r="A12008" s="12"/>
    </row>
    <row r="12009" spans="1:1" x14ac:dyDescent="0.3">
      <c r="A12009" s="12"/>
    </row>
    <row r="12010" spans="1:1" x14ac:dyDescent="0.3">
      <c r="A12010" s="12"/>
    </row>
    <row r="12011" spans="1:1" x14ac:dyDescent="0.3">
      <c r="A12011" s="12"/>
    </row>
    <row r="12012" spans="1:1" x14ac:dyDescent="0.3">
      <c r="A12012" s="12"/>
    </row>
    <row r="12013" spans="1:1" x14ac:dyDescent="0.3">
      <c r="A12013" s="12"/>
    </row>
    <row r="12014" spans="1:1" x14ac:dyDescent="0.3">
      <c r="A12014" s="12"/>
    </row>
    <row r="12015" spans="1:1" x14ac:dyDescent="0.3">
      <c r="A12015" s="12"/>
    </row>
    <row r="12016" spans="1:1" x14ac:dyDescent="0.3">
      <c r="A12016" s="12"/>
    </row>
    <row r="12017" spans="1:1" x14ac:dyDescent="0.3">
      <c r="A12017" s="12"/>
    </row>
    <row r="12018" spans="1:1" x14ac:dyDescent="0.3">
      <c r="A12018" s="12"/>
    </row>
    <row r="12019" spans="1:1" x14ac:dyDescent="0.3">
      <c r="A12019" s="12"/>
    </row>
    <row r="12020" spans="1:1" x14ac:dyDescent="0.3">
      <c r="A12020" s="12"/>
    </row>
    <row r="12021" spans="1:1" x14ac:dyDescent="0.3">
      <c r="A12021" s="12"/>
    </row>
    <row r="12022" spans="1:1" x14ac:dyDescent="0.3">
      <c r="A12022" s="12"/>
    </row>
    <row r="12023" spans="1:1" x14ac:dyDescent="0.3">
      <c r="A12023" s="12"/>
    </row>
    <row r="12024" spans="1:1" x14ac:dyDescent="0.3">
      <c r="A12024" s="12"/>
    </row>
    <row r="12025" spans="1:1" x14ac:dyDescent="0.3">
      <c r="A12025" s="12"/>
    </row>
    <row r="12026" spans="1:1" x14ac:dyDescent="0.3">
      <c r="A12026" s="12"/>
    </row>
    <row r="12027" spans="1:1" x14ac:dyDescent="0.3">
      <c r="A12027" s="12"/>
    </row>
    <row r="12028" spans="1:1" x14ac:dyDescent="0.3">
      <c r="A12028" s="12"/>
    </row>
    <row r="12029" spans="1:1" x14ac:dyDescent="0.3">
      <c r="A12029" s="12"/>
    </row>
    <row r="12030" spans="1:1" x14ac:dyDescent="0.3">
      <c r="A12030" s="12"/>
    </row>
    <row r="12031" spans="1:1" x14ac:dyDescent="0.3">
      <c r="A12031" s="12"/>
    </row>
    <row r="12032" spans="1:1" x14ac:dyDescent="0.3">
      <c r="A12032" s="12"/>
    </row>
    <row r="12033" spans="1:1" x14ac:dyDescent="0.3">
      <c r="A12033" s="12"/>
    </row>
    <row r="12034" spans="1:1" x14ac:dyDescent="0.3">
      <c r="A12034" s="12"/>
    </row>
    <row r="12035" spans="1:1" x14ac:dyDescent="0.3">
      <c r="A12035" s="12"/>
    </row>
    <row r="12036" spans="1:1" x14ac:dyDescent="0.3">
      <c r="A12036" s="12"/>
    </row>
    <row r="12037" spans="1:1" x14ac:dyDescent="0.3">
      <c r="A12037" s="12"/>
    </row>
    <row r="12038" spans="1:1" x14ac:dyDescent="0.3">
      <c r="A12038" s="12"/>
    </row>
    <row r="12039" spans="1:1" x14ac:dyDescent="0.3">
      <c r="A12039" s="12"/>
    </row>
    <row r="12040" spans="1:1" x14ac:dyDescent="0.3">
      <c r="A12040" s="12"/>
    </row>
    <row r="12041" spans="1:1" x14ac:dyDescent="0.3">
      <c r="A12041" s="12"/>
    </row>
    <row r="12042" spans="1:1" x14ac:dyDescent="0.3">
      <c r="A12042" s="12"/>
    </row>
    <row r="12043" spans="1:1" x14ac:dyDescent="0.3">
      <c r="A12043" s="12"/>
    </row>
    <row r="12044" spans="1:1" x14ac:dyDescent="0.3">
      <c r="A12044" s="12"/>
    </row>
    <row r="12045" spans="1:1" x14ac:dyDescent="0.3">
      <c r="A12045" s="12"/>
    </row>
    <row r="12046" spans="1:1" x14ac:dyDescent="0.3">
      <c r="A12046" s="12"/>
    </row>
    <row r="12047" spans="1:1" x14ac:dyDescent="0.3">
      <c r="A12047" s="12"/>
    </row>
    <row r="12048" spans="1:1" x14ac:dyDescent="0.3">
      <c r="A12048" s="12"/>
    </row>
    <row r="12049" spans="1:1" x14ac:dyDescent="0.3">
      <c r="A12049" s="12"/>
    </row>
    <row r="12050" spans="1:1" x14ac:dyDescent="0.3">
      <c r="A12050" s="12"/>
    </row>
    <row r="12051" spans="1:1" x14ac:dyDescent="0.3">
      <c r="A12051" s="12"/>
    </row>
    <row r="12052" spans="1:1" x14ac:dyDescent="0.3">
      <c r="A12052" s="12"/>
    </row>
    <row r="12053" spans="1:1" x14ac:dyDescent="0.3">
      <c r="A12053" s="12"/>
    </row>
    <row r="12054" spans="1:1" x14ac:dyDescent="0.3">
      <c r="A12054" s="12"/>
    </row>
    <row r="12055" spans="1:1" x14ac:dyDescent="0.3">
      <c r="A12055" s="12"/>
    </row>
    <row r="12056" spans="1:1" x14ac:dyDescent="0.3">
      <c r="A12056" s="12"/>
    </row>
    <row r="12057" spans="1:1" x14ac:dyDescent="0.3">
      <c r="A12057" s="12"/>
    </row>
    <row r="12058" spans="1:1" x14ac:dyDescent="0.3">
      <c r="A12058" s="12"/>
    </row>
    <row r="12059" spans="1:1" x14ac:dyDescent="0.3">
      <c r="A12059" s="12"/>
    </row>
    <row r="12060" spans="1:1" x14ac:dyDescent="0.3">
      <c r="A12060" s="12"/>
    </row>
    <row r="12061" spans="1:1" x14ac:dyDescent="0.3">
      <c r="A12061" s="12"/>
    </row>
    <row r="12062" spans="1:1" x14ac:dyDescent="0.3">
      <c r="A12062" s="12"/>
    </row>
    <row r="12063" spans="1:1" x14ac:dyDescent="0.3">
      <c r="A12063" s="12"/>
    </row>
    <row r="12064" spans="1:1" x14ac:dyDescent="0.3">
      <c r="A12064" s="12"/>
    </row>
    <row r="12065" spans="1:1" x14ac:dyDescent="0.3">
      <c r="A12065" s="12"/>
    </row>
    <row r="12066" spans="1:1" x14ac:dyDescent="0.3">
      <c r="A12066" s="12"/>
    </row>
    <row r="12067" spans="1:1" x14ac:dyDescent="0.3">
      <c r="A12067" s="12"/>
    </row>
    <row r="12068" spans="1:1" x14ac:dyDescent="0.3">
      <c r="A12068" s="12"/>
    </row>
    <row r="12069" spans="1:1" x14ac:dyDescent="0.3">
      <c r="A12069" s="12"/>
    </row>
    <row r="12070" spans="1:1" x14ac:dyDescent="0.3">
      <c r="A12070" s="12"/>
    </row>
    <row r="12071" spans="1:1" x14ac:dyDescent="0.3">
      <c r="A12071" s="12"/>
    </row>
    <row r="12072" spans="1:1" x14ac:dyDescent="0.3">
      <c r="A12072" s="12"/>
    </row>
    <row r="12073" spans="1:1" x14ac:dyDescent="0.3">
      <c r="A12073" s="12"/>
    </row>
    <row r="12074" spans="1:1" x14ac:dyDescent="0.3">
      <c r="A12074" s="12"/>
    </row>
    <row r="12075" spans="1:1" x14ac:dyDescent="0.3">
      <c r="A12075" s="12"/>
    </row>
    <row r="12076" spans="1:1" x14ac:dyDescent="0.3">
      <c r="A12076" s="12"/>
    </row>
    <row r="12077" spans="1:1" x14ac:dyDescent="0.3">
      <c r="A12077" s="12"/>
    </row>
    <row r="12078" spans="1:1" x14ac:dyDescent="0.3">
      <c r="A12078" s="12"/>
    </row>
    <row r="12079" spans="1:1" x14ac:dyDescent="0.3">
      <c r="A12079" s="12"/>
    </row>
    <row r="12080" spans="1:1" x14ac:dyDescent="0.3">
      <c r="A12080" s="12"/>
    </row>
    <row r="12081" spans="1:1" x14ac:dyDescent="0.3">
      <c r="A12081" s="12"/>
    </row>
    <row r="12082" spans="1:1" x14ac:dyDescent="0.3">
      <c r="A12082" s="12"/>
    </row>
    <row r="12083" spans="1:1" x14ac:dyDescent="0.3">
      <c r="A12083" s="12"/>
    </row>
    <row r="12084" spans="1:1" x14ac:dyDescent="0.3">
      <c r="A12084" s="12"/>
    </row>
    <row r="12085" spans="1:1" x14ac:dyDescent="0.3">
      <c r="A12085" s="12"/>
    </row>
    <row r="12086" spans="1:1" x14ac:dyDescent="0.3">
      <c r="A12086" s="12"/>
    </row>
    <row r="12087" spans="1:1" x14ac:dyDescent="0.3">
      <c r="A12087" s="12"/>
    </row>
    <row r="12088" spans="1:1" x14ac:dyDescent="0.3">
      <c r="A12088" s="12"/>
    </row>
    <row r="12089" spans="1:1" x14ac:dyDescent="0.3">
      <c r="A12089" s="12"/>
    </row>
    <row r="12090" spans="1:1" x14ac:dyDescent="0.3">
      <c r="A12090" s="12"/>
    </row>
    <row r="12091" spans="1:1" x14ac:dyDescent="0.3">
      <c r="A12091" s="12"/>
    </row>
    <row r="12092" spans="1:1" x14ac:dyDescent="0.3">
      <c r="A12092" s="12"/>
    </row>
    <row r="12093" spans="1:1" x14ac:dyDescent="0.3">
      <c r="A12093" s="12"/>
    </row>
    <row r="12094" spans="1:1" x14ac:dyDescent="0.3">
      <c r="A12094" s="12"/>
    </row>
    <row r="12095" spans="1:1" x14ac:dyDescent="0.3">
      <c r="A12095" s="12"/>
    </row>
    <row r="12096" spans="1:1" x14ac:dyDescent="0.3">
      <c r="A12096" s="12"/>
    </row>
    <row r="12097" spans="1:1" x14ac:dyDescent="0.3">
      <c r="A12097" s="12"/>
    </row>
    <row r="12098" spans="1:1" x14ac:dyDescent="0.3">
      <c r="A12098" s="12"/>
    </row>
    <row r="12099" spans="1:1" x14ac:dyDescent="0.3">
      <c r="A12099" s="12"/>
    </row>
    <row r="12100" spans="1:1" x14ac:dyDescent="0.3">
      <c r="A12100" s="12"/>
    </row>
    <row r="12101" spans="1:1" x14ac:dyDescent="0.3">
      <c r="A12101" s="12"/>
    </row>
    <row r="12102" spans="1:1" x14ac:dyDescent="0.3">
      <c r="A12102" s="12"/>
    </row>
    <row r="12103" spans="1:1" x14ac:dyDescent="0.3">
      <c r="A12103" s="12"/>
    </row>
    <row r="12104" spans="1:1" x14ac:dyDescent="0.3">
      <c r="A12104" s="12"/>
    </row>
    <row r="12105" spans="1:1" x14ac:dyDescent="0.3">
      <c r="A12105" s="12"/>
    </row>
    <row r="12106" spans="1:1" x14ac:dyDescent="0.3">
      <c r="A12106" s="12"/>
    </row>
    <row r="12107" spans="1:1" x14ac:dyDescent="0.3">
      <c r="A12107" s="12"/>
    </row>
    <row r="12108" spans="1:1" x14ac:dyDescent="0.3">
      <c r="A12108" s="12"/>
    </row>
    <row r="12109" spans="1:1" x14ac:dyDescent="0.3">
      <c r="A12109" s="12"/>
    </row>
    <row r="12110" spans="1:1" x14ac:dyDescent="0.3">
      <c r="A12110" s="12"/>
    </row>
    <row r="12111" spans="1:1" x14ac:dyDescent="0.3">
      <c r="A12111" s="12"/>
    </row>
    <row r="12112" spans="1:1" x14ac:dyDescent="0.3">
      <c r="A12112" s="12"/>
    </row>
    <row r="12113" spans="1:1" x14ac:dyDescent="0.3">
      <c r="A12113" s="12"/>
    </row>
    <row r="12114" spans="1:1" x14ac:dyDescent="0.3">
      <c r="A12114" s="12"/>
    </row>
    <row r="12115" spans="1:1" x14ac:dyDescent="0.3">
      <c r="A12115" s="12"/>
    </row>
    <row r="12116" spans="1:1" x14ac:dyDescent="0.3">
      <c r="A12116" s="12"/>
    </row>
    <row r="12117" spans="1:1" x14ac:dyDescent="0.3">
      <c r="A12117" s="12"/>
    </row>
    <row r="12118" spans="1:1" x14ac:dyDescent="0.3">
      <c r="A12118" s="12"/>
    </row>
    <row r="12119" spans="1:1" x14ac:dyDescent="0.3">
      <c r="A12119" s="12"/>
    </row>
    <row r="12120" spans="1:1" x14ac:dyDescent="0.3">
      <c r="A12120" s="12"/>
    </row>
    <row r="12121" spans="1:1" x14ac:dyDescent="0.3">
      <c r="A12121" s="12"/>
    </row>
    <row r="12122" spans="1:1" x14ac:dyDescent="0.3">
      <c r="A12122" s="12"/>
    </row>
    <row r="12123" spans="1:1" x14ac:dyDescent="0.3">
      <c r="A12123" s="12"/>
    </row>
    <row r="12124" spans="1:1" x14ac:dyDescent="0.3">
      <c r="A12124" s="12"/>
    </row>
    <row r="12125" spans="1:1" x14ac:dyDescent="0.3">
      <c r="A12125" s="12"/>
    </row>
    <row r="12126" spans="1:1" x14ac:dyDescent="0.3">
      <c r="A12126" s="12"/>
    </row>
    <row r="12127" spans="1:1" x14ac:dyDescent="0.3">
      <c r="A12127" s="12"/>
    </row>
    <row r="12128" spans="1:1" x14ac:dyDescent="0.3">
      <c r="A12128" s="12"/>
    </row>
    <row r="12129" spans="1:1" x14ac:dyDescent="0.3">
      <c r="A12129" s="12"/>
    </row>
    <row r="12130" spans="1:1" x14ac:dyDescent="0.3">
      <c r="A12130" s="12"/>
    </row>
    <row r="12131" spans="1:1" x14ac:dyDescent="0.3">
      <c r="A12131" s="12"/>
    </row>
    <row r="12132" spans="1:1" x14ac:dyDescent="0.3">
      <c r="A12132" s="12"/>
    </row>
    <row r="12133" spans="1:1" x14ac:dyDescent="0.3">
      <c r="A12133" s="12"/>
    </row>
    <row r="12134" spans="1:1" x14ac:dyDescent="0.3">
      <c r="A12134" s="12"/>
    </row>
    <row r="12135" spans="1:1" x14ac:dyDescent="0.3">
      <c r="A12135" s="12"/>
    </row>
    <row r="12136" spans="1:1" x14ac:dyDescent="0.3">
      <c r="A12136" s="12"/>
    </row>
    <row r="12137" spans="1:1" x14ac:dyDescent="0.3">
      <c r="A12137" s="12"/>
    </row>
    <row r="12138" spans="1:1" x14ac:dyDescent="0.3">
      <c r="A12138" s="12"/>
    </row>
    <row r="12139" spans="1:1" x14ac:dyDescent="0.3">
      <c r="A12139" s="12"/>
    </row>
    <row r="12140" spans="1:1" x14ac:dyDescent="0.3">
      <c r="A12140" s="12"/>
    </row>
    <row r="12141" spans="1:1" x14ac:dyDescent="0.3">
      <c r="A12141" s="12"/>
    </row>
    <row r="12142" spans="1:1" x14ac:dyDescent="0.3">
      <c r="A12142" s="12"/>
    </row>
    <row r="12143" spans="1:1" x14ac:dyDescent="0.3">
      <c r="A12143" s="12"/>
    </row>
    <row r="12144" spans="1:1" x14ac:dyDescent="0.3">
      <c r="A12144" s="12"/>
    </row>
    <row r="12145" spans="1:1" x14ac:dyDescent="0.3">
      <c r="A12145" s="12"/>
    </row>
    <row r="12146" spans="1:1" x14ac:dyDescent="0.3">
      <c r="A12146" s="12"/>
    </row>
    <row r="12147" spans="1:1" x14ac:dyDescent="0.3">
      <c r="A12147" s="12"/>
    </row>
    <row r="12148" spans="1:1" x14ac:dyDescent="0.3">
      <c r="A12148" s="12"/>
    </row>
    <row r="12149" spans="1:1" x14ac:dyDescent="0.3">
      <c r="A12149" s="12"/>
    </row>
    <row r="12150" spans="1:1" x14ac:dyDescent="0.3">
      <c r="A12150" s="12"/>
    </row>
    <row r="12151" spans="1:1" x14ac:dyDescent="0.3">
      <c r="A12151" s="12"/>
    </row>
    <row r="12152" spans="1:1" x14ac:dyDescent="0.3">
      <c r="A12152" s="12"/>
    </row>
    <row r="12153" spans="1:1" x14ac:dyDescent="0.3">
      <c r="A12153" s="12"/>
    </row>
    <row r="12154" spans="1:1" x14ac:dyDescent="0.3">
      <c r="A12154" s="12"/>
    </row>
    <row r="12155" spans="1:1" x14ac:dyDescent="0.3">
      <c r="A12155" s="12"/>
    </row>
    <row r="12156" spans="1:1" x14ac:dyDescent="0.3">
      <c r="A12156" s="12"/>
    </row>
    <row r="12157" spans="1:1" x14ac:dyDescent="0.3">
      <c r="A12157" s="12"/>
    </row>
    <row r="12158" spans="1:1" x14ac:dyDescent="0.3">
      <c r="A12158" s="12"/>
    </row>
    <row r="12159" spans="1:1" x14ac:dyDescent="0.3">
      <c r="A12159" s="12"/>
    </row>
    <row r="12160" spans="1:1" x14ac:dyDescent="0.3">
      <c r="A12160" s="12"/>
    </row>
    <row r="12161" spans="1:1" x14ac:dyDescent="0.3">
      <c r="A12161" s="12"/>
    </row>
    <row r="12162" spans="1:1" x14ac:dyDescent="0.3">
      <c r="A12162" s="12"/>
    </row>
    <row r="12163" spans="1:1" x14ac:dyDescent="0.3">
      <c r="A12163" s="12"/>
    </row>
    <row r="12164" spans="1:1" x14ac:dyDescent="0.3">
      <c r="A12164" s="12"/>
    </row>
    <row r="12165" spans="1:1" x14ac:dyDescent="0.3">
      <c r="A12165" s="12"/>
    </row>
    <row r="12166" spans="1:1" x14ac:dyDescent="0.3">
      <c r="A12166" s="12"/>
    </row>
    <row r="12167" spans="1:1" x14ac:dyDescent="0.3">
      <c r="A12167" s="12"/>
    </row>
    <row r="12168" spans="1:1" x14ac:dyDescent="0.3">
      <c r="A12168" s="12"/>
    </row>
    <row r="12169" spans="1:1" x14ac:dyDescent="0.3">
      <c r="A12169" s="12"/>
    </row>
    <row r="12170" spans="1:1" x14ac:dyDescent="0.3">
      <c r="A12170" s="12"/>
    </row>
    <row r="12171" spans="1:1" x14ac:dyDescent="0.3">
      <c r="A12171" s="12"/>
    </row>
    <row r="12172" spans="1:1" x14ac:dyDescent="0.3">
      <c r="A12172" s="12"/>
    </row>
    <row r="12173" spans="1:1" x14ac:dyDescent="0.3">
      <c r="A12173" s="12"/>
    </row>
    <row r="12174" spans="1:1" x14ac:dyDescent="0.3">
      <c r="A12174" s="12"/>
    </row>
    <row r="12175" spans="1:1" x14ac:dyDescent="0.3">
      <c r="A12175" s="12"/>
    </row>
    <row r="12176" spans="1:1" x14ac:dyDescent="0.3">
      <c r="A12176" s="12"/>
    </row>
    <row r="12177" spans="1:1" x14ac:dyDescent="0.3">
      <c r="A12177" s="12"/>
    </row>
    <row r="12178" spans="1:1" x14ac:dyDescent="0.3">
      <c r="A12178" s="12"/>
    </row>
    <row r="12179" spans="1:1" x14ac:dyDescent="0.3">
      <c r="A12179" s="12"/>
    </row>
    <row r="12180" spans="1:1" x14ac:dyDescent="0.3">
      <c r="A12180" s="12"/>
    </row>
    <row r="12181" spans="1:1" x14ac:dyDescent="0.3">
      <c r="A12181" s="12"/>
    </row>
    <row r="12182" spans="1:1" x14ac:dyDescent="0.3">
      <c r="A12182" s="12"/>
    </row>
    <row r="12183" spans="1:1" x14ac:dyDescent="0.3">
      <c r="A12183" s="12"/>
    </row>
    <row r="12184" spans="1:1" x14ac:dyDescent="0.3">
      <c r="A12184" s="12"/>
    </row>
    <row r="12185" spans="1:1" x14ac:dyDescent="0.3">
      <c r="A12185" s="12"/>
    </row>
    <row r="12186" spans="1:1" x14ac:dyDescent="0.3">
      <c r="A12186" s="12"/>
    </row>
    <row r="12187" spans="1:1" x14ac:dyDescent="0.3">
      <c r="A12187" s="12"/>
    </row>
    <row r="12188" spans="1:1" x14ac:dyDescent="0.3">
      <c r="A12188" s="12"/>
    </row>
    <row r="12189" spans="1:1" x14ac:dyDescent="0.3">
      <c r="A12189" s="12"/>
    </row>
    <row r="12190" spans="1:1" x14ac:dyDescent="0.3">
      <c r="A12190" s="12"/>
    </row>
    <row r="12191" spans="1:1" x14ac:dyDescent="0.3">
      <c r="A12191" s="12"/>
    </row>
    <row r="12192" spans="1:1" x14ac:dyDescent="0.3">
      <c r="A12192" s="12"/>
    </row>
    <row r="12193" spans="1:1" x14ac:dyDescent="0.3">
      <c r="A12193" s="12"/>
    </row>
    <row r="12194" spans="1:1" x14ac:dyDescent="0.3">
      <c r="A12194" s="12"/>
    </row>
    <row r="12195" spans="1:1" x14ac:dyDescent="0.3">
      <c r="A12195" s="12"/>
    </row>
    <row r="12196" spans="1:1" x14ac:dyDescent="0.3">
      <c r="A12196" s="12"/>
    </row>
    <row r="12197" spans="1:1" x14ac:dyDescent="0.3">
      <c r="A12197" s="12"/>
    </row>
    <row r="12198" spans="1:1" x14ac:dyDescent="0.3">
      <c r="A12198" s="12"/>
    </row>
    <row r="12199" spans="1:1" x14ac:dyDescent="0.3">
      <c r="A12199" s="12"/>
    </row>
    <row r="12200" spans="1:1" x14ac:dyDescent="0.3">
      <c r="A12200" s="12"/>
    </row>
    <row r="12201" spans="1:1" x14ac:dyDescent="0.3">
      <c r="A12201" s="12"/>
    </row>
    <row r="12202" spans="1:1" x14ac:dyDescent="0.3">
      <c r="A12202" s="12"/>
    </row>
    <row r="12203" spans="1:1" x14ac:dyDescent="0.3">
      <c r="A12203" s="12"/>
    </row>
    <row r="12204" spans="1:1" x14ac:dyDescent="0.3">
      <c r="A12204" s="12"/>
    </row>
    <row r="12205" spans="1:1" x14ac:dyDescent="0.3">
      <c r="A12205" s="12"/>
    </row>
    <row r="12206" spans="1:1" x14ac:dyDescent="0.3">
      <c r="A12206" s="12"/>
    </row>
    <row r="12207" spans="1:1" x14ac:dyDescent="0.3">
      <c r="A12207" s="12"/>
    </row>
    <row r="12208" spans="1:1" x14ac:dyDescent="0.3">
      <c r="A12208" s="12"/>
    </row>
    <row r="12209" spans="1:1" x14ac:dyDescent="0.3">
      <c r="A12209" s="12"/>
    </row>
    <row r="12210" spans="1:1" x14ac:dyDescent="0.3">
      <c r="A12210" s="12"/>
    </row>
    <row r="12211" spans="1:1" x14ac:dyDescent="0.3">
      <c r="A12211" s="12"/>
    </row>
    <row r="12212" spans="1:1" x14ac:dyDescent="0.3">
      <c r="A12212" s="12"/>
    </row>
    <row r="12213" spans="1:1" x14ac:dyDescent="0.3">
      <c r="A12213" s="12"/>
    </row>
    <row r="12214" spans="1:1" x14ac:dyDescent="0.3">
      <c r="A12214" s="12"/>
    </row>
    <row r="12215" spans="1:1" x14ac:dyDescent="0.3">
      <c r="A12215" s="12"/>
    </row>
    <row r="12216" spans="1:1" x14ac:dyDescent="0.3">
      <c r="A12216" s="12"/>
    </row>
    <row r="12217" spans="1:1" x14ac:dyDescent="0.3">
      <c r="A12217" s="12"/>
    </row>
    <row r="12218" spans="1:1" x14ac:dyDescent="0.3">
      <c r="A12218" s="12"/>
    </row>
    <row r="12219" spans="1:1" x14ac:dyDescent="0.3">
      <c r="A12219" s="12"/>
    </row>
    <row r="12220" spans="1:1" x14ac:dyDescent="0.3">
      <c r="A12220" s="12"/>
    </row>
    <row r="12221" spans="1:1" x14ac:dyDescent="0.3">
      <c r="A12221" s="12"/>
    </row>
    <row r="12222" spans="1:1" x14ac:dyDescent="0.3">
      <c r="A12222" s="12"/>
    </row>
    <row r="12223" spans="1:1" x14ac:dyDescent="0.3">
      <c r="A12223" s="12"/>
    </row>
    <row r="12224" spans="1:1" x14ac:dyDescent="0.3">
      <c r="A12224" s="12"/>
    </row>
    <row r="12225" spans="1:1" x14ac:dyDescent="0.3">
      <c r="A12225" s="12"/>
    </row>
    <row r="12226" spans="1:1" x14ac:dyDescent="0.3">
      <c r="A12226" s="12"/>
    </row>
    <row r="12227" spans="1:1" x14ac:dyDescent="0.3">
      <c r="A12227" s="12"/>
    </row>
    <row r="12228" spans="1:1" x14ac:dyDescent="0.3">
      <c r="A12228" s="12"/>
    </row>
    <row r="12229" spans="1:1" x14ac:dyDescent="0.3">
      <c r="A12229" s="12"/>
    </row>
    <row r="12230" spans="1:1" x14ac:dyDescent="0.3">
      <c r="A12230" s="12"/>
    </row>
    <row r="12231" spans="1:1" x14ac:dyDescent="0.3">
      <c r="A12231" s="12"/>
    </row>
    <row r="12232" spans="1:1" x14ac:dyDescent="0.3">
      <c r="A12232" s="12"/>
    </row>
    <row r="12233" spans="1:1" x14ac:dyDescent="0.3">
      <c r="A12233" s="12"/>
    </row>
    <row r="12234" spans="1:1" x14ac:dyDescent="0.3">
      <c r="A12234" s="12"/>
    </row>
    <row r="12235" spans="1:1" x14ac:dyDescent="0.3">
      <c r="A12235" s="12"/>
    </row>
    <row r="12236" spans="1:1" x14ac:dyDescent="0.3">
      <c r="A12236" s="12"/>
    </row>
    <row r="12237" spans="1:1" x14ac:dyDescent="0.3">
      <c r="A12237" s="12"/>
    </row>
    <row r="12238" spans="1:1" x14ac:dyDescent="0.3">
      <c r="A12238" s="12"/>
    </row>
    <row r="12239" spans="1:1" x14ac:dyDescent="0.3">
      <c r="A12239" s="12"/>
    </row>
    <row r="12240" spans="1:1" x14ac:dyDescent="0.3">
      <c r="A12240" s="12"/>
    </row>
    <row r="12241" spans="1:1" x14ac:dyDescent="0.3">
      <c r="A12241" s="12"/>
    </row>
    <row r="12242" spans="1:1" x14ac:dyDescent="0.3">
      <c r="A12242" s="12"/>
    </row>
    <row r="12243" spans="1:1" x14ac:dyDescent="0.3">
      <c r="A12243" s="12"/>
    </row>
    <row r="12244" spans="1:1" x14ac:dyDescent="0.3">
      <c r="A12244" s="12"/>
    </row>
    <row r="12245" spans="1:1" x14ac:dyDescent="0.3">
      <c r="A12245" s="12"/>
    </row>
    <row r="12246" spans="1:1" x14ac:dyDescent="0.3">
      <c r="A12246" s="12"/>
    </row>
    <row r="12247" spans="1:1" x14ac:dyDescent="0.3">
      <c r="A12247" s="12"/>
    </row>
    <row r="12248" spans="1:1" x14ac:dyDescent="0.3">
      <c r="A12248" s="12"/>
    </row>
    <row r="12249" spans="1:1" x14ac:dyDescent="0.3">
      <c r="A12249" s="12"/>
    </row>
    <row r="12250" spans="1:1" x14ac:dyDescent="0.3">
      <c r="A12250" s="12"/>
    </row>
    <row r="12251" spans="1:1" x14ac:dyDescent="0.3">
      <c r="A12251" s="12"/>
    </row>
    <row r="12252" spans="1:1" x14ac:dyDescent="0.3">
      <c r="A12252" s="12"/>
    </row>
    <row r="12253" spans="1:1" x14ac:dyDescent="0.3">
      <c r="A12253" s="12"/>
    </row>
    <row r="12254" spans="1:1" x14ac:dyDescent="0.3">
      <c r="A12254" s="12"/>
    </row>
    <row r="12255" spans="1:1" x14ac:dyDescent="0.3">
      <c r="A12255" s="12"/>
    </row>
    <row r="12256" spans="1:1" x14ac:dyDescent="0.3">
      <c r="A12256" s="12"/>
    </row>
    <row r="12257" spans="1:1" x14ac:dyDescent="0.3">
      <c r="A12257" s="12"/>
    </row>
    <row r="12258" spans="1:1" x14ac:dyDescent="0.3">
      <c r="A12258" s="12"/>
    </row>
    <row r="12259" spans="1:1" x14ac:dyDescent="0.3">
      <c r="A12259" s="12"/>
    </row>
    <row r="12260" spans="1:1" x14ac:dyDescent="0.3">
      <c r="A12260" s="12"/>
    </row>
    <row r="12261" spans="1:1" x14ac:dyDescent="0.3">
      <c r="A12261" s="12"/>
    </row>
    <row r="12262" spans="1:1" x14ac:dyDescent="0.3">
      <c r="A12262" s="12"/>
    </row>
    <row r="12263" spans="1:1" x14ac:dyDescent="0.3">
      <c r="A12263" s="12"/>
    </row>
    <row r="12264" spans="1:1" x14ac:dyDescent="0.3">
      <c r="A12264" s="12"/>
    </row>
    <row r="12265" spans="1:1" x14ac:dyDescent="0.3">
      <c r="A12265" s="12"/>
    </row>
    <row r="12266" spans="1:1" x14ac:dyDescent="0.3">
      <c r="A12266" s="12"/>
    </row>
    <row r="12267" spans="1:1" x14ac:dyDescent="0.3">
      <c r="A12267" s="12"/>
    </row>
    <row r="12268" spans="1:1" x14ac:dyDescent="0.3">
      <c r="A12268" s="12"/>
    </row>
    <row r="12269" spans="1:1" x14ac:dyDescent="0.3">
      <c r="A12269" s="12"/>
    </row>
    <row r="12270" spans="1:1" x14ac:dyDescent="0.3">
      <c r="A12270" s="12"/>
    </row>
    <row r="12271" spans="1:1" x14ac:dyDescent="0.3">
      <c r="A12271" s="12"/>
    </row>
    <row r="12272" spans="1:1" x14ac:dyDescent="0.3">
      <c r="A12272" s="12"/>
    </row>
    <row r="12273" spans="1:1" x14ac:dyDescent="0.3">
      <c r="A12273" s="12"/>
    </row>
    <row r="12274" spans="1:1" x14ac:dyDescent="0.3">
      <c r="A12274" s="12"/>
    </row>
    <row r="12275" spans="1:1" x14ac:dyDescent="0.3">
      <c r="A12275" s="12"/>
    </row>
    <row r="12276" spans="1:1" x14ac:dyDescent="0.3">
      <c r="A12276" s="12"/>
    </row>
    <row r="12277" spans="1:1" x14ac:dyDescent="0.3">
      <c r="A12277" s="12"/>
    </row>
    <row r="12278" spans="1:1" x14ac:dyDescent="0.3">
      <c r="A12278" s="12"/>
    </row>
    <row r="12279" spans="1:1" x14ac:dyDescent="0.3">
      <c r="A12279" s="12"/>
    </row>
    <row r="12280" spans="1:1" x14ac:dyDescent="0.3">
      <c r="A12280" s="12"/>
    </row>
    <row r="12281" spans="1:1" x14ac:dyDescent="0.3">
      <c r="A12281" s="12"/>
    </row>
    <row r="12282" spans="1:1" x14ac:dyDescent="0.3">
      <c r="A12282" s="12"/>
    </row>
    <row r="12283" spans="1:1" x14ac:dyDescent="0.3">
      <c r="A12283" s="12"/>
    </row>
    <row r="12284" spans="1:1" x14ac:dyDescent="0.3">
      <c r="A12284" s="12"/>
    </row>
    <row r="12285" spans="1:1" x14ac:dyDescent="0.3">
      <c r="A12285" s="12"/>
    </row>
    <row r="12286" spans="1:1" x14ac:dyDescent="0.3">
      <c r="A12286" s="12"/>
    </row>
    <row r="12287" spans="1:1" x14ac:dyDescent="0.3">
      <c r="A12287" s="12"/>
    </row>
    <row r="12288" spans="1:1" x14ac:dyDescent="0.3">
      <c r="A12288" s="12"/>
    </row>
    <row r="12289" spans="1:1" x14ac:dyDescent="0.3">
      <c r="A12289" s="12"/>
    </row>
    <row r="12290" spans="1:1" x14ac:dyDescent="0.3">
      <c r="A12290" s="12"/>
    </row>
    <row r="12291" spans="1:1" x14ac:dyDescent="0.3">
      <c r="A12291" s="12"/>
    </row>
    <row r="12292" spans="1:1" x14ac:dyDescent="0.3">
      <c r="A12292" s="12"/>
    </row>
    <row r="12293" spans="1:1" x14ac:dyDescent="0.3">
      <c r="A12293" s="12"/>
    </row>
    <row r="12294" spans="1:1" x14ac:dyDescent="0.3">
      <c r="A12294" s="12"/>
    </row>
    <row r="12295" spans="1:1" x14ac:dyDescent="0.3">
      <c r="A12295" s="12"/>
    </row>
    <row r="12296" spans="1:1" x14ac:dyDescent="0.3">
      <c r="A12296" s="12"/>
    </row>
    <row r="12297" spans="1:1" x14ac:dyDescent="0.3">
      <c r="A12297" s="12"/>
    </row>
    <row r="12298" spans="1:1" x14ac:dyDescent="0.3">
      <c r="A12298" s="12"/>
    </row>
    <row r="12299" spans="1:1" x14ac:dyDescent="0.3">
      <c r="A12299" s="12"/>
    </row>
    <row r="12300" spans="1:1" x14ac:dyDescent="0.3">
      <c r="A12300" s="12"/>
    </row>
    <row r="12301" spans="1:1" x14ac:dyDescent="0.3">
      <c r="A12301" s="12"/>
    </row>
    <row r="12302" spans="1:1" x14ac:dyDescent="0.3">
      <c r="A12302" s="12"/>
    </row>
    <row r="12303" spans="1:1" x14ac:dyDescent="0.3">
      <c r="A12303" s="12"/>
    </row>
    <row r="12304" spans="1:1" x14ac:dyDescent="0.3">
      <c r="A12304" s="12"/>
    </row>
    <row r="12305" spans="1:1" x14ac:dyDescent="0.3">
      <c r="A12305" s="12"/>
    </row>
    <row r="12306" spans="1:1" x14ac:dyDescent="0.3">
      <c r="A12306" s="12"/>
    </row>
    <row r="12307" spans="1:1" x14ac:dyDescent="0.3">
      <c r="A12307" s="12"/>
    </row>
    <row r="12308" spans="1:1" x14ac:dyDescent="0.3">
      <c r="A12308" s="12"/>
    </row>
    <row r="12309" spans="1:1" x14ac:dyDescent="0.3">
      <c r="A12309" s="12"/>
    </row>
    <row r="12310" spans="1:1" x14ac:dyDescent="0.3">
      <c r="A12310" s="12"/>
    </row>
    <row r="12311" spans="1:1" x14ac:dyDescent="0.3">
      <c r="A12311" s="12"/>
    </row>
    <row r="12312" spans="1:1" x14ac:dyDescent="0.3">
      <c r="A12312" s="12"/>
    </row>
    <row r="12313" spans="1:1" x14ac:dyDescent="0.3">
      <c r="A12313" s="12"/>
    </row>
    <row r="12314" spans="1:1" x14ac:dyDescent="0.3">
      <c r="A12314" s="12"/>
    </row>
    <row r="12315" spans="1:1" x14ac:dyDescent="0.3">
      <c r="A12315" s="12"/>
    </row>
    <row r="12316" spans="1:1" x14ac:dyDescent="0.3">
      <c r="A12316" s="12"/>
    </row>
    <row r="12317" spans="1:1" x14ac:dyDescent="0.3">
      <c r="A12317" s="12"/>
    </row>
    <row r="12318" spans="1:1" x14ac:dyDescent="0.3">
      <c r="A12318" s="12"/>
    </row>
    <row r="12319" spans="1:1" x14ac:dyDescent="0.3">
      <c r="A12319" s="12"/>
    </row>
    <row r="12320" spans="1:1" x14ac:dyDescent="0.3">
      <c r="A12320" s="12"/>
    </row>
    <row r="12321" spans="1:1" x14ac:dyDescent="0.3">
      <c r="A12321" s="12"/>
    </row>
    <row r="12322" spans="1:1" x14ac:dyDescent="0.3">
      <c r="A12322" s="12"/>
    </row>
    <row r="12323" spans="1:1" x14ac:dyDescent="0.3">
      <c r="A12323" s="12"/>
    </row>
    <row r="12324" spans="1:1" x14ac:dyDescent="0.3">
      <c r="A12324" s="12"/>
    </row>
    <row r="12325" spans="1:1" x14ac:dyDescent="0.3">
      <c r="A12325" s="12"/>
    </row>
    <row r="12326" spans="1:1" x14ac:dyDescent="0.3">
      <c r="A12326" s="12"/>
    </row>
    <row r="12327" spans="1:1" x14ac:dyDescent="0.3">
      <c r="A12327" s="12"/>
    </row>
    <row r="12328" spans="1:1" x14ac:dyDescent="0.3">
      <c r="A12328" s="12"/>
    </row>
    <row r="12329" spans="1:1" x14ac:dyDescent="0.3">
      <c r="A12329" s="12"/>
    </row>
    <row r="12330" spans="1:1" x14ac:dyDescent="0.3">
      <c r="A12330" s="12"/>
    </row>
    <row r="12331" spans="1:1" x14ac:dyDescent="0.3">
      <c r="A12331" s="12"/>
    </row>
    <row r="12332" spans="1:1" x14ac:dyDescent="0.3">
      <c r="A12332" s="12"/>
    </row>
    <row r="12333" spans="1:1" x14ac:dyDescent="0.3">
      <c r="A12333" s="12"/>
    </row>
    <row r="12334" spans="1:1" x14ac:dyDescent="0.3">
      <c r="A12334" s="12"/>
    </row>
    <row r="12335" spans="1:1" x14ac:dyDescent="0.3">
      <c r="A12335" s="12"/>
    </row>
    <row r="12336" spans="1:1" x14ac:dyDescent="0.3">
      <c r="A12336" s="12"/>
    </row>
    <row r="12337" spans="1:1" x14ac:dyDescent="0.3">
      <c r="A12337" s="12"/>
    </row>
    <row r="12338" spans="1:1" x14ac:dyDescent="0.3">
      <c r="A12338" s="12"/>
    </row>
    <row r="12339" spans="1:1" x14ac:dyDescent="0.3">
      <c r="A12339" s="12"/>
    </row>
    <row r="12340" spans="1:1" x14ac:dyDescent="0.3">
      <c r="A12340" s="12"/>
    </row>
    <row r="12341" spans="1:1" x14ac:dyDescent="0.3">
      <c r="A12341" s="12"/>
    </row>
    <row r="12342" spans="1:1" x14ac:dyDescent="0.3">
      <c r="A12342" s="12"/>
    </row>
    <row r="12343" spans="1:1" x14ac:dyDescent="0.3">
      <c r="A12343" s="12"/>
    </row>
    <row r="12344" spans="1:1" x14ac:dyDescent="0.3">
      <c r="A12344" s="12"/>
    </row>
    <row r="12345" spans="1:1" x14ac:dyDescent="0.3">
      <c r="A12345" s="12"/>
    </row>
    <row r="12346" spans="1:1" x14ac:dyDescent="0.3">
      <c r="A12346" s="12"/>
    </row>
    <row r="12347" spans="1:1" x14ac:dyDescent="0.3">
      <c r="A12347" s="12"/>
    </row>
    <row r="12348" spans="1:1" x14ac:dyDescent="0.3">
      <c r="A12348" s="12"/>
    </row>
    <row r="12349" spans="1:1" x14ac:dyDescent="0.3">
      <c r="A12349" s="12"/>
    </row>
    <row r="12350" spans="1:1" x14ac:dyDescent="0.3">
      <c r="A12350" s="12"/>
    </row>
    <row r="12351" spans="1:1" x14ac:dyDescent="0.3">
      <c r="A12351" s="12"/>
    </row>
    <row r="12352" spans="1:1" x14ac:dyDescent="0.3">
      <c r="A12352" s="12"/>
    </row>
    <row r="12353" spans="1:1" x14ac:dyDescent="0.3">
      <c r="A12353" s="12"/>
    </row>
    <row r="12354" spans="1:1" x14ac:dyDescent="0.3">
      <c r="A12354" s="12"/>
    </row>
    <row r="12355" spans="1:1" x14ac:dyDescent="0.3">
      <c r="A12355" s="12"/>
    </row>
    <row r="12356" spans="1:1" x14ac:dyDescent="0.3">
      <c r="A12356" s="12"/>
    </row>
    <row r="12357" spans="1:1" x14ac:dyDescent="0.3">
      <c r="A12357" s="12"/>
    </row>
    <row r="12358" spans="1:1" x14ac:dyDescent="0.3">
      <c r="A12358" s="12"/>
    </row>
    <row r="12359" spans="1:1" x14ac:dyDescent="0.3">
      <c r="A12359" s="12"/>
    </row>
    <row r="12360" spans="1:1" x14ac:dyDescent="0.3">
      <c r="A12360" s="12"/>
    </row>
    <row r="12361" spans="1:1" x14ac:dyDescent="0.3">
      <c r="A12361" s="12"/>
    </row>
    <row r="12362" spans="1:1" x14ac:dyDescent="0.3">
      <c r="A12362" s="12"/>
    </row>
    <row r="12363" spans="1:1" x14ac:dyDescent="0.3">
      <c r="A12363" s="12"/>
    </row>
    <row r="12364" spans="1:1" x14ac:dyDescent="0.3">
      <c r="A12364" s="12"/>
    </row>
    <row r="12365" spans="1:1" x14ac:dyDescent="0.3">
      <c r="A12365" s="12"/>
    </row>
    <row r="12366" spans="1:1" x14ac:dyDescent="0.3">
      <c r="A12366" s="12"/>
    </row>
    <row r="12367" spans="1:1" x14ac:dyDescent="0.3">
      <c r="A12367" s="12"/>
    </row>
    <row r="12368" spans="1:1" x14ac:dyDescent="0.3">
      <c r="A12368" s="12"/>
    </row>
    <row r="12369" spans="1:1" x14ac:dyDescent="0.3">
      <c r="A12369" s="12"/>
    </row>
    <row r="12370" spans="1:1" x14ac:dyDescent="0.3">
      <c r="A12370" s="12"/>
    </row>
    <row r="12371" spans="1:1" x14ac:dyDescent="0.3">
      <c r="A12371" s="12"/>
    </row>
    <row r="12372" spans="1:1" x14ac:dyDescent="0.3">
      <c r="A12372" s="12"/>
    </row>
    <row r="12373" spans="1:1" x14ac:dyDescent="0.3">
      <c r="A12373" s="12"/>
    </row>
    <row r="12374" spans="1:1" x14ac:dyDescent="0.3">
      <c r="A12374" s="12"/>
    </row>
    <row r="12375" spans="1:1" x14ac:dyDescent="0.3">
      <c r="A12375" s="12"/>
    </row>
    <row r="12376" spans="1:1" x14ac:dyDescent="0.3">
      <c r="A12376" s="12"/>
    </row>
    <row r="12377" spans="1:1" x14ac:dyDescent="0.3">
      <c r="A12377" s="12"/>
    </row>
    <row r="12378" spans="1:1" x14ac:dyDescent="0.3">
      <c r="A12378" s="12"/>
    </row>
    <row r="12379" spans="1:1" x14ac:dyDescent="0.3">
      <c r="A12379" s="12"/>
    </row>
    <row r="12380" spans="1:1" x14ac:dyDescent="0.3">
      <c r="A12380" s="12"/>
    </row>
    <row r="12381" spans="1:1" x14ac:dyDescent="0.3">
      <c r="A12381" s="12"/>
    </row>
    <row r="12382" spans="1:1" x14ac:dyDescent="0.3">
      <c r="A12382" s="12"/>
    </row>
    <row r="12383" spans="1:1" x14ac:dyDescent="0.3">
      <c r="A12383" s="12"/>
    </row>
    <row r="12384" spans="1:1" x14ac:dyDescent="0.3">
      <c r="A12384" s="12"/>
    </row>
    <row r="12385" spans="1:1" x14ac:dyDescent="0.3">
      <c r="A12385" s="12"/>
    </row>
    <row r="12386" spans="1:1" x14ac:dyDescent="0.3">
      <c r="A12386" s="12"/>
    </row>
    <row r="12387" spans="1:1" x14ac:dyDescent="0.3">
      <c r="A12387" s="12"/>
    </row>
    <row r="12388" spans="1:1" x14ac:dyDescent="0.3">
      <c r="A12388" s="12"/>
    </row>
    <row r="12389" spans="1:1" x14ac:dyDescent="0.3">
      <c r="A12389" s="12"/>
    </row>
    <row r="12390" spans="1:1" x14ac:dyDescent="0.3">
      <c r="A12390" s="12"/>
    </row>
    <row r="12391" spans="1:1" x14ac:dyDescent="0.3">
      <c r="A12391" s="12"/>
    </row>
    <row r="12392" spans="1:1" x14ac:dyDescent="0.3">
      <c r="A12392" s="12"/>
    </row>
    <row r="12393" spans="1:1" x14ac:dyDescent="0.3">
      <c r="A12393" s="12"/>
    </row>
    <row r="12394" spans="1:1" x14ac:dyDescent="0.3">
      <c r="A12394" s="12"/>
    </row>
    <row r="12395" spans="1:1" x14ac:dyDescent="0.3">
      <c r="A12395" s="12"/>
    </row>
    <row r="12396" spans="1:1" x14ac:dyDescent="0.3">
      <c r="A12396" s="12"/>
    </row>
    <row r="12397" spans="1:1" x14ac:dyDescent="0.3">
      <c r="A12397" s="12"/>
    </row>
    <row r="12398" spans="1:1" x14ac:dyDescent="0.3">
      <c r="A12398" s="12"/>
    </row>
    <row r="12399" spans="1:1" x14ac:dyDescent="0.3">
      <c r="A12399" s="12"/>
    </row>
    <row r="12400" spans="1:1" x14ac:dyDescent="0.3">
      <c r="A12400" s="12"/>
    </row>
    <row r="12401" spans="1:1" x14ac:dyDescent="0.3">
      <c r="A12401" s="12"/>
    </row>
    <row r="12402" spans="1:1" x14ac:dyDescent="0.3">
      <c r="A12402" s="12"/>
    </row>
    <row r="12403" spans="1:1" x14ac:dyDescent="0.3">
      <c r="A12403" s="12"/>
    </row>
    <row r="12404" spans="1:1" x14ac:dyDescent="0.3">
      <c r="A12404" s="12"/>
    </row>
    <row r="12405" spans="1:1" x14ac:dyDescent="0.3">
      <c r="A12405" s="12"/>
    </row>
    <row r="12406" spans="1:1" x14ac:dyDescent="0.3">
      <c r="A12406" s="12"/>
    </row>
    <row r="12407" spans="1:1" x14ac:dyDescent="0.3">
      <c r="A12407" s="12"/>
    </row>
    <row r="12408" spans="1:1" x14ac:dyDescent="0.3">
      <c r="A12408" s="12"/>
    </row>
    <row r="12409" spans="1:1" x14ac:dyDescent="0.3">
      <c r="A12409" s="12"/>
    </row>
    <row r="12410" spans="1:1" x14ac:dyDescent="0.3">
      <c r="A12410" s="12"/>
    </row>
    <row r="12411" spans="1:1" x14ac:dyDescent="0.3">
      <c r="A12411" s="12"/>
    </row>
    <row r="12412" spans="1:1" x14ac:dyDescent="0.3">
      <c r="A12412" s="12"/>
    </row>
    <row r="12413" spans="1:1" x14ac:dyDescent="0.3">
      <c r="A12413" s="12"/>
    </row>
    <row r="12414" spans="1:1" x14ac:dyDescent="0.3">
      <c r="A12414" s="12"/>
    </row>
    <row r="12415" spans="1:1" x14ac:dyDescent="0.3">
      <c r="A12415" s="12"/>
    </row>
    <row r="12416" spans="1:1" x14ac:dyDescent="0.3">
      <c r="A12416" s="12"/>
    </row>
    <row r="12417" spans="1:1" x14ac:dyDescent="0.3">
      <c r="A12417" s="12"/>
    </row>
    <row r="12418" spans="1:1" x14ac:dyDescent="0.3">
      <c r="A12418" s="12"/>
    </row>
    <row r="12419" spans="1:1" x14ac:dyDescent="0.3">
      <c r="A12419" s="12"/>
    </row>
    <row r="12420" spans="1:1" x14ac:dyDescent="0.3">
      <c r="A12420" s="12"/>
    </row>
    <row r="12421" spans="1:1" x14ac:dyDescent="0.3">
      <c r="A12421" s="12"/>
    </row>
    <row r="12422" spans="1:1" x14ac:dyDescent="0.3">
      <c r="A12422" s="12"/>
    </row>
    <row r="12423" spans="1:1" x14ac:dyDescent="0.3">
      <c r="A12423" s="12"/>
    </row>
    <row r="12424" spans="1:1" x14ac:dyDescent="0.3">
      <c r="A12424" s="12"/>
    </row>
    <row r="12425" spans="1:1" x14ac:dyDescent="0.3">
      <c r="A12425" s="12"/>
    </row>
    <row r="12426" spans="1:1" x14ac:dyDescent="0.3">
      <c r="A12426" s="12"/>
    </row>
    <row r="12427" spans="1:1" x14ac:dyDescent="0.3">
      <c r="A12427" s="12"/>
    </row>
    <row r="12428" spans="1:1" x14ac:dyDescent="0.3">
      <c r="A12428" s="12"/>
    </row>
    <row r="12429" spans="1:1" x14ac:dyDescent="0.3">
      <c r="A12429" s="12"/>
    </row>
    <row r="12430" spans="1:1" x14ac:dyDescent="0.3">
      <c r="A12430" s="12"/>
    </row>
    <row r="12431" spans="1:1" x14ac:dyDescent="0.3">
      <c r="A12431" s="12"/>
    </row>
    <row r="12432" spans="1:1" x14ac:dyDescent="0.3">
      <c r="A12432" s="12"/>
    </row>
    <row r="12433" spans="1:1" x14ac:dyDescent="0.3">
      <c r="A12433" s="12"/>
    </row>
    <row r="12434" spans="1:1" x14ac:dyDescent="0.3">
      <c r="A12434" s="12"/>
    </row>
    <row r="12435" spans="1:1" x14ac:dyDescent="0.3">
      <c r="A12435" s="12"/>
    </row>
    <row r="12436" spans="1:1" x14ac:dyDescent="0.3">
      <c r="A12436" s="12"/>
    </row>
    <row r="12437" spans="1:1" x14ac:dyDescent="0.3">
      <c r="A12437" s="12"/>
    </row>
    <row r="12438" spans="1:1" x14ac:dyDescent="0.3">
      <c r="A12438" s="12"/>
    </row>
    <row r="12439" spans="1:1" x14ac:dyDescent="0.3">
      <c r="A12439" s="12"/>
    </row>
    <row r="12440" spans="1:1" x14ac:dyDescent="0.3">
      <c r="A12440" s="12"/>
    </row>
    <row r="12441" spans="1:1" x14ac:dyDescent="0.3">
      <c r="A12441" s="12"/>
    </row>
    <row r="12442" spans="1:1" x14ac:dyDescent="0.3">
      <c r="A12442" s="12"/>
    </row>
    <row r="12443" spans="1:1" x14ac:dyDescent="0.3">
      <c r="A12443" s="12"/>
    </row>
    <row r="12444" spans="1:1" x14ac:dyDescent="0.3">
      <c r="A12444" s="12"/>
    </row>
    <row r="12445" spans="1:1" x14ac:dyDescent="0.3">
      <c r="A12445" s="12"/>
    </row>
    <row r="12446" spans="1:1" x14ac:dyDescent="0.3">
      <c r="A12446" s="12"/>
    </row>
    <row r="12447" spans="1:1" x14ac:dyDescent="0.3">
      <c r="A12447" s="12"/>
    </row>
    <row r="12448" spans="1:1" x14ac:dyDescent="0.3">
      <c r="A12448" s="12"/>
    </row>
    <row r="12449" spans="1:1" x14ac:dyDescent="0.3">
      <c r="A12449" s="12"/>
    </row>
    <row r="12450" spans="1:1" x14ac:dyDescent="0.3">
      <c r="A12450" s="12"/>
    </row>
    <row r="12451" spans="1:1" x14ac:dyDescent="0.3">
      <c r="A12451" s="12"/>
    </row>
    <row r="12452" spans="1:1" x14ac:dyDescent="0.3">
      <c r="A12452" s="12"/>
    </row>
    <row r="12453" spans="1:1" x14ac:dyDescent="0.3">
      <c r="A12453" s="12"/>
    </row>
    <row r="12454" spans="1:1" x14ac:dyDescent="0.3">
      <c r="A12454" s="12"/>
    </row>
    <row r="12455" spans="1:1" x14ac:dyDescent="0.3">
      <c r="A12455" s="12"/>
    </row>
    <row r="12456" spans="1:1" x14ac:dyDescent="0.3">
      <c r="A12456" s="12"/>
    </row>
    <row r="12457" spans="1:1" x14ac:dyDescent="0.3">
      <c r="A12457" s="12"/>
    </row>
    <row r="12458" spans="1:1" x14ac:dyDescent="0.3">
      <c r="A12458" s="12"/>
    </row>
    <row r="12459" spans="1:1" x14ac:dyDescent="0.3">
      <c r="A12459" s="12"/>
    </row>
    <row r="12460" spans="1:1" x14ac:dyDescent="0.3">
      <c r="A12460" s="12"/>
    </row>
    <row r="12461" spans="1:1" x14ac:dyDescent="0.3">
      <c r="A12461" s="12"/>
    </row>
    <row r="12462" spans="1:1" x14ac:dyDescent="0.3">
      <c r="A12462" s="12"/>
    </row>
    <row r="12463" spans="1:1" x14ac:dyDescent="0.3">
      <c r="A12463" s="12"/>
    </row>
    <row r="12464" spans="1:1" x14ac:dyDescent="0.3">
      <c r="A12464" s="12"/>
    </row>
    <row r="12465" spans="1:1" x14ac:dyDescent="0.3">
      <c r="A12465" s="12"/>
    </row>
    <row r="12466" spans="1:1" x14ac:dyDescent="0.3">
      <c r="A12466" s="12"/>
    </row>
    <row r="12467" spans="1:1" x14ac:dyDescent="0.3">
      <c r="A12467" s="12"/>
    </row>
    <row r="12468" spans="1:1" x14ac:dyDescent="0.3">
      <c r="A12468" s="12"/>
    </row>
    <row r="12469" spans="1:1" x14ac:dyDescent="0.3">
      <c r="A12469" s="12"/>
    </row>
    <row r="12470" spans="1:1" x14ac:dyDescent="0.3">
      <c r="A12470" s="12"/>
    </row>
    <row r="12471" spans="1:1" x14ac:dyDescent="0.3">
      <c r="A12471" s="12"/>
    </row>
    <row r="12472" spans="1:1" x14ac:dyDescent="0.3">
      <c r="A12472" s="12"/>
    </row>
    <row r="12473" spans="1:1" x14ac:dyDescent="0.3">
      <c r="A12473" s="12"/>
    </row>
    <row r="12474" spans="1:1" x14ac:dyDescent="0.3">
      <c r="A12474" s="12"/>
    </row>
    <row r="12475" spans="1:1" x14ac:dyDescent="0.3">
      <c r="A12475" s="12"/>
    </row>
    <row r="12476" spans="1:1" x14ac:dyDescent="0.3">
      <c r="A12476" s="12"/>
    </row>
    <row r="12477" spans="1:1" x14ac:dyDescent="0.3">
      <c r="A12477" s="12"/>
    </row>
    <row r="12478" spans="1:1" x14ac:dyDescent="0.3">
      <c r="A12478" s="12"/>
    </row>
    <row r="12479" spans="1:1" x14ac:dyDescent="0.3">
      <c r="A12479" s="12"/>
    </row>
    <row r="12480" spans="1:1" x14ac:dyDescent="0.3">
      <c r="A12480" s="12"/>
    </row>
    <row r="12481" spans="1:1" x14ac:dyDescent="0.3">
      <c r="A12481" s="12"/>
    </row>
    <row r="12482" spans="1:1" x14ac:dyDescent="0.3">
      <c r="A12482" s="12"/>
    </row>
    <row r="12483" spans="1:1" x14ac:dyDescent="0.3">
      <c r="A12483" s="12"/>
    </row>
    <row r="12484" spans="1:1" x14ac:dyDescent="0.3">
      <c r="A12484" s="12"/>
    </row>
    <row r="12485" spans="1:1" x14ac:dyDescent="0.3">
      <c r="A12485" s="12"/>
    </row>
    <row r="12486" spans="1:1" x14ac:dyDescent="0.3">
      <c r="A12486" s="12"/>
    </row>
    <row r="12487" spans="1:1" x14ac:dyDescent="0.3">
      <c r="A12487" s="12"/>
    </row>
    <row r="12488" spans="1:1" x14ac:dyDescent="0.3">
      <c r="A12488" s="12"/>
    </row>
    <row r="12489" spans="1:1" x14ac:dyDescent="0.3">
      <c r="A12489" s="12"/>
    </row>
    <row r="12490" spans="1:1" x14ac:dyDescent="0.3">
      <c r="A12490" s="12"/>
    </row>
    <row r="12491" spans="1:1" x14ac:dyDescent="0.3">
      <c r="A12491" s="12"/>
    </row>
    <row r="12492" spans="1:1" x14ac:dyDescent="0.3">
      <c r="A12492" s="12"/>
    </row>
    <row r="12493" spans="1:1" x14ac:dyDescent="0.3">
      <c r="A12493" s="12"/>
    </row>
    <row r="12494" spans="1:1" x14ac:dyDescent="0.3">
      <c r="A12494" s="12"/>
    </row>
    <row r="12495" spans="1:1" x14ac:dyDescent="0.3">
      <c r="A12495" s="12"/>
    </row>
    <row r="12496" spans="1:1" x14ac:dyDescent="0.3">
      <c r="A12496" s="12"/>
    </row>
    <row r="12497" spans="1:1" x14ac:dyDescent="0.3">
      <c r="A12497" s="12"/>
    </row>
    <row r="12498" spans="1:1" x14ac:dyDescent="0.3">
      <c r="A12498" s="12"/>
    </row>
    <row r="12499" spans="1:1" x14ac:dyDescent="0.3">
      <c r="A12499" s="12"/>
    </row>
    <row r="12500" spans="1:1" x14ac:dyDescent="0.3">
      <c r="A12500" s="12"/>
    </row>
    <row r="12501" spans="1:1" x14ac:dyDescent="0.3">
      <c r="A12501" s="12"/>
    </row>
    <row r="12502" spans="1:1" x14ac:dyDescent="0.3">
      <c r="A12502" s="12"/>
    </row>
    <row r="12503" spans="1:1" x14ac:dyDescent="0.3">
      <c r="A12503" s="12"/>
    </row>
    <row r="12504" spans="1:1" x14ac:dyDescent="0.3">
      <c r="A12504" s="12"/>
    </row>
    <row r="12505" spans="1:1" x14ac:dyDescent="0.3">
      <c r="A12505" s="12"/>
    </row>
    <row r="12506" spans="1:1" x14ac:dyDescent="0.3">
      <c r="A12506" s="12"/>
    </row>
    <row r="12507" spans="1:1" x14ac:dyDescent="0.3">
      <c r="A12507" s="12"/>
    </row>
    <row r="12508" spans="1:1" x14ac:dyDescent="0.3">
      <c r="A12508" s="12"/>
    </row>
    <row r="12509" spans="1:1" x14ac:dyDescent="0.3">
      <c r="A12509" s="12"/>
    </row>
    <row r="12510" spans="1:1" x14ac:dyDescent="0.3">
      <c r="A12510" s="12"/>
    </row>
    <row r="12511" spans="1:1" x14ac:dyDescent="0.3">
      <c r="A12511" s="12"/>
    </row>
    <row r="12512" spans="1:1" x14ac:dyDescent="0.3">
      <c r="A12512" s="12"/>
    </row>
    <row r="12513" spans="1:1" x14ac:dyDescent="0.3">
      <c r="A12513" s="12"/>
    </row>
    <row r="12514" spans="1:1" x14ac:dyDescent="0.3">
      <c r="A12514" s="12"/>
    </row>
    <row r="12515" spans="1:1" x14ac:dyDescent="0.3">
      <c r="A12515" s="12"/>
    </row>
    <row r="12516" spans="1:1" x14ac:dyDescent="0.3">
      <c r="A12516" s="12"/>
    </row>
    <row r="12517" spans="1:1" x14ac:dyDescent="0.3">
      <c r="A12517" s="12"/>
    </row>
    <row r="12518" spans="1:1" x14ac:dyDescent="0.3">
      <c r="A12518" s="12"/>
    </row>
    <row r="12519" spans="1:1" x14ac:dyDescent="0.3">
      <c r="A12519" s="12"/>
    </row>
    <row r="12520" spans="1:1" x14ac:dyDescent="0.3">
      <c r="A12520" s="12"/>
    </row>
    <row r="12521" spans="1:1" x14ac:dyDescent="0.3">
      <c r="A12521" s="12"/>
    </row>
    <row r="12522" spans="1:1" x14ac:dyDescent="0.3">
      <c r="A12522" s="12"/>
    </row>
    <row r="12523" spans="1:1" x14ac:dyDescent="0.3">
      <c r="A12523" s="12"/>
    </row>
    <row r="12524" spans="1:1" x14ac:dyDescent="0.3">
      <c r="A12524" s="12"/>
    </row>
    <row r="12525" spans="1:1" x14ac:dyDescent="0.3">
      <c r="A12525" s="12"/>
    </row>
    <row r="12526" spans="1:1" x14ac:dyDescent="0.3">
      <c r="A12526" s="12"/>
    </row>
    <row r="12527" spans="1:1" x14ac:dyDescent="0.3">
      <c r="A12527" s="12"/>
    </row>
    <row r="12528" spans="1:1" x14ac:dyDescent="0.3">
      <c r="A12528" s="12"/>
    </row>
    <row r="12529" spans="1:1" x14ac:dyDescent="0.3">
      <c r="A12529" s="12"/>
    </row>
    <row r="12530" spans="1:1" x14ac:dyDescent="0.3">
      <c r="A12530" s="12"/>
    </row>
    <row r="12531" spans="1:1" x14ac:dyDescent="0.3">
      <c r="A12531" s="12"/>
    </row>
    <row r="12532" spans="1:1" x14ac:dyDescent="0.3">
      <c r="A12532" s="12"/>
    </row>
    <row r="12533" spans="1:1" x14ac:dyDescent="0.3">
      <c r="A12533" s="12"/>
    </row>
    <row r="12534" spans="1:1" x14ac:dyDescent="0.3">
      <c r="A12534" s="12"/>
    </row>
    <row r="12535" spans="1:1" x14ac:dyDescent="0.3">
      <c r="A12535" s="12"/>
    </row>
    <row r="12536" spans="1:1" x14ac:dyDescent="0.3">
      <c r="A12536" s="12"/>
    </row>
    <row r="12537" spans="1:1" x14ac:dyDescent="0.3">
      <c r="A12537" s="12"/>
    </row>
    <row r="12538" spans="1:1" x14ac:dyDescent="0.3">
      <c r="A12538" s="12"/>
    </row>
    <row r="12539" spans="1:1" x14ac:dyDescent="0.3">
      <c r="A12539" s="12"/>
    </row>
    <row r="12540" spans="1:1" x14ac:dyDescent="0.3">
      <c r="A12540" s="12"/>
    </row>
    <row r="12541" spans="1:1" x14ac:dyDescent="0.3">
      <c r="A12541" s="12"/>
    </row>
    <row r="12542" spans="1:1" x14ac:dyDescent="0.3">
      <c r="A12542" s="12"/>
    </row>
    <row r="12543" spans="1:1" x14ac:dyDescent="0.3">
      <c r="A12543" s="12"/>
    </row>
    <row r="12544" spans="1:1" x14ac:dyDescent="0.3">
      <c r="A12544" s="12"/>
    </row>
    <row r="12545" spans="1:1" x14ac:dyDescent="0.3">
      <c r="A12545" s="12"/>
    </row>
    <row r="12546" spans="1:1" x14ac:dyDescent="0.3">
      <c r="A12546" s="12"/>
    </row>
    <row r="12547" spans="1:1" x14ac:dyDescent="0.3">
      <c r="A12547" s="12"/>
    </row>
    <row r="12548" spans="1:1" x14ac:dyDescent="0.3">
      <c r="A12548" s="12"/>
    </row>
    <row r="12549" spans="1:1" x14ac:dyDescent="0.3">
      <c r="A12549" s="12"/>
    </row>
    <row r="12550" spans="1:1" x14ac:dyDescent="0.3">
      <c r="A12550" s="12"/>
    </row>
    <row r="12551" spans="1:1" x14ac:dyDescent="0.3">
      <c r="A12551" s="12"/>
    </row>
    <row r="12552" spans="1:1" x14ac:dyDescent="0.3">
      <c r="A12552" s="12"/>
    </row>
    <row r="12553" spans="1:1" x14ac:dyDescent="0.3">
      <c r="A12553" s="12"/>
    </row>
    <row r="12554" spans="1:1" x14ac:dyDescent="0.3">
      <c r="A12554" s="12"/>
    </row>
    <row r="12555" spans="1:1" x14ac:dyDescent="0.3">
      <c r="A12555" s="12"/>
    </row>
    <row r="12556" spans="1:1" x14ac:dyDescent="0.3">
      <c r="A12556" s="12"/>
    </row>
    <row r="12557" spans="1:1" x14ac:dyDescent="0.3">
      <c r="A12557" s="12"/>
    </row>
    <row r="12558" spans="1:1" x14ac:dyDescent="0.3">
      <c r="A12558" s="12"/>
    </row>
    <row r="12559" spans="1:1" x14ac:dyDescent="0.3">
      <c r="A12559" s="12"/>
    </row>
    <row r="12560" spans="1:1" x14ac:dyDescent="0.3">
      <c r="A12560" s="12"/>
    </row>
    <row r="12561" spans="1:1" x14ac:dyDescent="0.3">
      <c r="A12561" s="12"/>
    </row>
    <row r="12562" spans="1:1" x14ac:dyDescent="0.3">
      <c r="A12562" s="12"/>
    </row>
    <row r="12563" spans="1:1" x14ac:dyDescent="0.3">
      <c r="A12563" s="12"/>
    </row>
    <row r="12564" spans="1:1" x14ac:dyDescent="0.3">
      <c r="A12564" s="12"/>
    </row>
    <row r="12565" spans="1:1" x14ac:dyDescent="0.3">
      <c r="A12565" s="12"/>
    </row>
    <row r="12566" spans="1:1" x14ac:dyDescent="0.3">
      <c r="A12566" s="12"/>
    </row>
    <row r="12567" spans="1:1" x14ac:dyDescent="0.3">
      <c r="A12567" s="12"/>
    </row>
    <row r="12568" spans="1:1" x14ac:dyDescent="0.3">
      <c r="A12568" s="12"/>
    </row>
    <row r="12569" spans="1:1" x14ac:dyDescent="0.3">
      <c r="A12569" s="12"/>
    </row>
    <row r="12570" spans="1:1" x14ac:dyDescent="0.3">
      <c r="A12570" s="12"/>
    </row>
    <row r="12571" spans="1:1" x14ac:dyDescent="0.3">
      <c r="A12571" s="12"/>
    </row>
    <row r="12572" spans="1:1" x14ac:dyDescent="0.3">
      <c r="A12572" s="12"/>
    </row>
    <row r="12573" spans="1:1" x14ac:dyDescent="0.3">
      <c r="A12573" s="12"/>
    </row>
    <row r="12574" spans="1:1" x14ac:dyDescent="0.3">
      <c r="A12574" s="12"/>
    </row>
    <row r="12575" spans="1:1" x14ac:dyDescent="0.3">
      <c r="A12575" s="12"/>
    </row>
    <row r="12576" spans="1:1" x14ac:dyDescent="0.3">
      <c r="A12576" s="12"/>
    </row>
    <row r="12577" spans="1:1" x14ac:dyDescent="0.3">
      <c r="A12577" s="12"/>
    </row>
    <row r="12578" spans="1:1" x14ac:dyDescent="0.3">
      <c r="A12578" s="12"/>
    </row>
    <row r="12579" spans="1:1" x14ac:dyDescent="0.3">
      <c r="A12579" s="12"/>
    </row>
    <row r="12580" spans="1:1" x14ac:dyDescent="0.3">
      <c r="A12580" s="12"/>
    </row>
    <row r="12581" spans="1:1" x14ac:dyDescent="0.3">
      <c r="A12581" s="12"/>
    </row>
    <row r="12582" spans="1:1" x14ac:dyDescent="0.3">
      <c r="A12582" s="12"/>
    </row>
    <row r="12583" spans="1:1" x14ac:dyDescent="0.3">
      <c r="A12583" s="12"/>
    </row>
    <row r="12584" spans="1:1" x14ac:dyDescent="0.3">
      <c r="A12584" s="12"/>
    </row>
    <row r="12585" spans="1:1" x14ac:dyDescent="0.3">
      <c r="A12585" s="12"/>
    </row>
    <row r="12586" spans="1:1" x14ac:dyDescent="0.3">
      <c r="A12586" s="12"/>
    </row>
    <row r="12587" spans="1:1" x14ac:dyDescent="0.3">
      <c r="A12587" s="12"/>
    </row>
    <row r="12588" spans="1:1" x14ac:dyDescent="0.3">
      <c r="A12588" s="12"/>
    </row>
    <row r="12589" spans="1:1" x14ac:dyDescent="0.3">
      <c r="A12589" s="12"/>
    </row>
    <row r="12590" spans="1:1" x14ac:dyDescent="0.3">
      <c r="A12590" s="12"/>
    </row>
    <row r="12591" spans="1:1" x14ac:dyDescent="0.3">
      <c r="A12591" s="12"/>
    </row>
    <row r="12592" spans="1:1" x14ac:dyDescent="0.3">
      <c r="A12592" s="12"/>
    </row>
    <row r="12593" spans="1:1" x14ac:dyDescent="0.3">
      <c r="A12593" s="12"/>
    </row>
    <row r="12594" spans="1:1" x14ac:dyDescent="0.3">
      <c r="A12594" s="12"/>
    </row>
    <row r="12595" spans="1:1" x14ac:dyDescent="0.3">
      <c r="A12595" s="12"/>
    </row>
    <row r="12596" spans="1:1" x14ac:dyDescent="0.3">
      <c r="A12596" s="12"/>
    </row>
    <row r="12597" spans="1:1" x14ac:dyDescent="0.3">
      <c r="A12597" s="12"/>
    </row>
    <row r="12598" spans="1:1" x14ac:dyDescent="0.3">
      <c r="A12598" s="12"/>
    </row>
    <row r="12599" spans="1:1" x14ac:dyDescent="0.3">
      <c r="A12599" s="12"/>
    </row>
    <row r="12600" spans="1:1" x14ac:dyDescent="0.3">
      <c r="A12600" s="12"/>
    </row>
    <row r="12601" spans="1:1" x14ac:dyDescent="0.3">
      <c r="A12601" s="12"/>
    </row>
    <row r="12602" spans="1:1" x14ac:dyDescent="0.3">
      <c r="A12602" s="12"/>
    </row>
    <row r="12603" spans="1:1" x14ac:dyDescent="0.3">
      <c r="A12603" s="12"/>
    </row>
    <row r="12604" spans="1:1" x14ac:dyDescent="0.3">
      <c r="A12604" s="12"/>
    </row>
    <row r="12605" spans="1:1" x14ac:dyDescent="0.3">
      <c r="A12605" s="12"/>
    </row>
    <row r="12606" spans="1:1" x14ac:dyDescent="0.3">
      <c r="A12606" s="12"/>
    </row>
    <row r="12607" spans="1:1" x14ac:dyDescent="0.3">
      <c r="A12607" s="12"/>
    </row>
    <row r="12608" spans="1:1" x14ac:dyDescent="0.3">
      <c r="A12608" s="12"/>
    </row>
    <row r="12609" spans="1:1" x14ac:dyDescent="0.3">
      <c r="A12609" s="12"/>
    </row>
    <row r="12610" spans="1:1" x14ac:dyDescent="0.3">
      <c r="A12610" s="12"/>
    </row>
    <row r="12611" spans="1:1" x14ac:dyDescent="0.3">
      <c r="A12611" s="12"/>
    </row>
    <row r="12612" spans="1:1" x14ac:dyDescent="0.3">
      <c r="A12612" s="12"/>
    </row>
    <row r="12613" spans="1:1" x14ac:dyDescent="0.3">
      <c r="A12613" s="12"/>
    </row>
    <row r="12614" spans="1:1" x14ac:dyDescent="0.3">
      <c r="A12614" s="12"/>
    </row>
    <row r="12615" spans="1:1" x14ac:dyDescent="0.3">
      <c r="A12615" s="12"/>
    </row>
    <row r="12616" spans="1:1" x14ac:dyDescent="0.3">
      <c r="A12616" s="12"/>
    </row>
    <row r="12617" spans="1:1" x14ac:dyDescent="0.3">
      <c r="A12617" s="12"/>
    </row>
    <row r="12618" spans="1:1" x14ac:dyDescent="0.3">
      <c r="A12618" s="12"/>
    </row>
    <row r="12619" spans="1:1" x14ac:dyDescent="0.3">
      <c r="A12619" s="12"/>
    </row>
    <row r="12620" spans="1:1" x14ac:dyDescent="0.3">
      <c r="A12620" s="12"/>
    </row>
    <row r="12621" spans="1:1" x14ac:dyDescent="0.3">
      <c r="A12621" s="12"/>
    </row>
    <row r="12622" spans="1:1" x14ac:dyDescent="0.3">
      <c r="A12622" s="12"/>
    </row>
    <row r="12623" spans="1:1" x14ac:dyDescent="0.3">
      <c r="A12623" s="12"/>
    </row>
    <row r="12624" spans="1:1" x14ac:dyDescent="0.3">
      <c r="A12624" s="12"/>
    </row>
    <row r="12625" spans="1:1" x14ac:dyDescent="0.3">
      <c r="A12625" s="12"/>
    </row>
    <row r="12626" spans="1:1" x14ac:dyDescent="0.3">
      <c r="A12626" s="12"/>
    </row>
    <row r="12627" spans="1:1" x14ac:dyDescent="0.3">
      <c r="A12627" s="12"/>
    </row>
    <row r="12628" spans="1:1" x14ac:dyDescent="0.3">
      <c r="A12628" s="12"/>
    </row>
    <row r="12629" spans="1:1" x14ac:dyDescent="0.3">
      <c r="A12629" s="12"/>
    </row>
    <row r="12630" spans="1:1" x14ac:dyDescent="0.3">
      <c r="A12630" s="12"/>
    </row>
    <row r="12631" spans="1:1" x14ac:dyDescent="0.3">
      <c r="A12631" s="12"/>
    </row>
    <row r="12632" spans="1:1" x14ac:dyDescent="0.3">
      <c r="A12632" s="12"/>
    </row>
    <row r="12633" spans="1:1" x14ac:dyDescent="0.3">
      <c r="A12633" s="12"/>
    </row>
    <row r="12634" spans="1:1" x14ac:dyDescent="0.3">
      <c r="A12634" s="12"/>
    </row>
    <row r="12635" spans="1:1" x14ac:dyDescent="0.3">
      <c r="A12635" s="12"/>
    </row>
    <row r="12636" spans="1:1" x14ac:dyDescent="0.3">
      <c r="A12636" s="12"/>
    </row>
    <row r="12637" spans="1:1" x14ac:dyDescent="0.3">
      <c r="A12637" s="12"/>
    </row>
    <row r="12638" spans="1:1" x14ac:dyDescent="0.3">
      <c r="A12638" s="12"/>
    </row>
    <row r="12639" spans="1:1" x14ac:dyDescent="0.3">
      <c r="A12639" s="12"/>
    </row>
    <row r="12640" spans="1:1" x14ac:dyDescent="0.3">
      <c r="A12640" s="12"/>
    </row>
    <row r="12641" spans="1:1" x14ac:dyDescent="0.3">
      <c r="A12641" s="12"/>
    </row>
    <row r="12642" spans="1:1" x14ac:dyDescent="0.3">
      <c r="A12642" s="12"/>
    </row>
    <row r="12643" spans="1:1" x14ac:dyDescent="0.3">
      <c r="A12643" s="12"/>
    </row>
    <row r="12644" spans="1:1" x14ac:dyDescent="0.3">
      <c r="A12644" s="12"/>
    </row>
    <row r="12645" spans="1:1" x14ac:dyDescent="0.3">
      <c r="A12645" s="12"/>
    </row>
    <row r="12646" spans="1:1" x14ac:dyDescent="0.3">
      <c r="A12646" s="12"/>
    </row>
    <row r="12647" spans="1:1" x14ac:dyDescent="0.3">
      <c r="A12647" s="12"/>
    </row>
    <row r="12648" spans="1:1" x14ac:dyDescent="0.3">
      <c r="A12648" s="12"/>
    </row>
    <row r="12649" spans="1:1" x14ac:dyDescent="0.3">
      <c r="A12649" s="12"/>
    </row>
    <row r="12650" spans="1:1" x14ac:dyDescent="0.3">
      <c r="A12650" s="12"/>
    </row>
    <row r="12651" spans="1:1" x14ac:dyDescent="0.3">
      <c r="A12651" s="12"/>
    </row>
    <row r="12652" spans="1:1" x14ac:dyDescent="0.3">
      <c r="A12652" s="12"/>
    </row>
    <row r="12653" spans="1:1" x14ac:dyDescent="0.3">
      <c r="A12653" s="12"/>
    </row>
    <row r="12654" spans="1:1" x14ac:dyDescent="0.3">
      <c r="A12654" s="12"/>
    </row>
    <row r="12655" spans="1:1" x14ac:dyDescent="0.3">
      <c r="A12655" s="12"/>
    </row>
    <row r="12656" spans="1:1" x14ac:dyDescent="0.3">
      <c r="A12656" s="12"/>
    </row>
    <row r="12657" spans="1:1" x14ac:dyDescent="0.3">
      <c r="A12657" s="12"/>
    </row>
    <row r="12658" spans="1:1" x14ac:dyDescent="0.3">
      <c r="A12658" s="12"/>
    </row>
    <row r="12659" spans="1:1" x14ac:dyDescent="0.3">
      <c r="A12659" s="12"/>
    </row>
    <row r="12660" spans="1:1" x14ac:dyDescent="0.3">
      <c r="A12660" s="12"/>
    </row>
    <row r="12661" spans="1:1" x14ac:dyDescent="0.3">
      <c r="A12661" s="12"/>
    </row>
    <row r="12662" spans="1:1" x14ac:dyDescent="0.3">
      <c r="A12662" s="12"/>
    </row>
    <row r="12663" spans="1:1" x14ac:dyDescent="0.3">
      <c r="A12663" s="12"/>
    </row>
    <row r="12664" spans="1:1" x14ac:dyDescent="0.3">
      <c r="A12664" s="12"/>
    </row>
    <row r="12665" spans="1:1" x14ac:dyDescent="0.3">
      <c r="A12665" s="12"/>
    </row>
    <row r="12666" spans="1:1" x14ac:dyDescent="0.3">
      <c r="A12666" s="12"/>
    </row>
    <row r="12667" spans="1:1" x14ac:dyDescent="0.3">
      <c r="A12667" s="12"/>
    </row>
    <row r="12668" spans="1:1" x14ac:dyDescent="0.3">
      <c r="A12668" s="12"/>
    </row>
    <row r="12669" spans="1:1" x14ac:dyDescent="0.3">
      <c r="A12669" s="12"/>
    </row>
    <row r="12670" spans="1:1" x14ac:dyDescent="0.3">
      <c r="A12670" s="12"/>
    </row>
    <row r="12671" spans="1:1" x14ac:dyDescent="0.3">
      <c r="A12671" s="12"/>
    </row>
    <row r="12672" spans="1:1" x14ac:dyDescent="0.3">
      <c r="A12672" s="12"/>
    </row>
    <row r="12673" spans="1:1" x14ac:dyDescent="0.3">
      <c r="A12673" s="12"/>
    </row>
    <row r="12674" spans="1:1" x14ac:dyDescent="0.3">
      <c r="A12674" s="12"/>
    </row>
    <row r="12675" spans="1:1" x14ac:dyDescent="0.3">
      <c r="A12675" s="12"/>
    </row>
    <row r="12676" spans="1:1" x14ac:dyDescent="0.3">
      <c r="A12676" s="12"/>
    </row>
    <row r="12677" spans="1:1" x14ac:dyDescent="0.3">
      <c r="A12677" s="12"/>
    </row>
    <row r="12678" spans="1:1" x14ac:dyDescent="0.3">
      <c r="A12678" s="12"/>
    </row>
    <row r="12679" spans="1:1" x14ac:dyDescent="0.3">
      <c r="A12679" s="12"/>
    </row>
    <row r="12680" spans="1:1" x14ac:dyDescent="0.3">
      <c r="A12680" s="12"/>
    </row>
    <row r="12681" spans="1:1" x14ac:dyDescent="0.3">
      <c r="A12681" s="12"/>
    </row>
    <row r="12682" spans="1:1" x14ac:dyDescent="0.3">
      <c r="A12682" s="12"/>
    </row>
    <row r="12683" spans="1:1" x14ac:dyDescent="0.3">
      <c r="A12683" s="12"/>
    </row>
    <row r="12684" spans="1:1" x14ac:dyDescent="0.3">
      <c r="A12684" s="12"/>
    </row>
    <row r="12685" spans="1:1" x14ac:dyDescent="0.3">
      <c r="A12685" s="12"/>
    </row>
    <row r="12686" spans="1:1" x14ac:dyDescent="0.3">
      <c r="A12686" s="12"/>
    </row>
    <row r="12687" spans="1:1" x14ac:dyDescent="0.3">
      <c r="A12687" s="12"/>
    </row>
    <row r="12688" spans="1:1" x14ac:dyDescent="0.3">
      <c r="A12688" s="12"/>
    </row>
    <row r="12689" spans="1:1" x14ac:dyDescent="0.3">
      <c r="A12689" s="12"/>
    </row>
    <row r="12690" spans="1:1" x14ac:dyDescent="0.3">
      <c r="A12690" s="12"/>
    </row>
    <row r="12691" spans="1:1" x14ac:dyDescent="0.3">
      <c r="A12691" s="12"/>
    </row>
    <row r="12692" spans="1:1" x14ac:dyDescent="0.3">
      <c r="A12692" s="12"/>
    </row>
    <row r="12693" spans="1:1" x14ac:dyDescent="0.3">
      <c r="A12693" s="12"/>
    </row>
    <row r="12694" spans="1:1" x14ac:dyDescent="0.3">
      <c r="A12694" s="12"/>
    </row>
    <row r="12695" spans="1:1" x14ac:dyDescent="0.3">
      <c r="A12695" s="12"/>
    </row>
    <row r="12696" spans="1:1" x14ac:dyDescent="0.3">
      <c r="A12696" s="12"/>
    </row>
    <row r="12697" spans="1:1" x14ac:dyDescent="0.3">
      <c r="A12697" s="12"/>
    </row>
    <row r="12698" spans="1:1" x14ac:dyDescent="0.3">
      <c r="A12698" s="12"/>
    </row>
    <row r="12699" spans="1:1" x14ac:dyDescent="0.3">
      <c r="A12699" s="12"/>
    </row>
    <row r="12700" spans="1:1" x14ac:dyDescent="0.3">
      <c r="A12700" s="12"/>
    </row>
    <row r="12701" spans="1:1" x14ac:dyDescent="0.3">
      <c r="A12701" s="12"/>
    </row>
    <row r="12702" spans="1:1" x14ac:dyDescent="0.3">
      <c r="A12702" s="12"/>
    </row>
    <row r="12703" spans="1:1" x14ac:dyDescent="0.3">
      <c r="A12703" s="12"/>
    </row>
    <row r="12704" spans="1:1" x14ac:dyDescent="0.3">
      <c r="A12704" s="12"/>
    </row>
    <row r="12705" spans="1:1" x14ac:dyDescent="0.3">
      <c r="A12705" s="12"/>
    </row>
    <row r="12706" spans="1:1" x14ac:dyDescent="0.3">
      <c r="A12706" s="12"/>
    </row>
    <row r="12707" spans="1:1" x14ac:dyDescent="0.3">
      <c r="A12707" s="12"/>
    </row>
    <row r="12708" spans="1:1" x14ac:dyDescent="0.3">
      <c r="A12708" s="12"/>
    </row>
    <row r="12709" spans="1:1" x14ac:dyDescent="0.3">
      <c r="A12709" s="12"/>
    </row>
    <row r="12710" spans="1:1" x14ac:dyDescent="0.3">
      <c r="A12710" s="12"/>
    </row>
    <row r="12711" spans="1:1" x14ac:dyDescent="0.3">
      <c r="A12711" s="12"/>
    </row>
    <row r="12712" spans="1:1" x14ac:dyDescent="0.3">
      <c r="A12712" s="12"/>
    </row>
    <row r="12713" spans="1:1" x14ac:dyDescent="0.3">
      <c r="A12713" s="12"/>
    </row>
    <row r="12714" spans="1:1" x14ac:dyDescent="0.3">
      <c r="A12714" s="12"/>
    </row>
    <row r="12715" spans="1:1" x14ac:dyDescent="0.3">
      <c r="A12715" s="12"/>
    </row>
    <row r="12716" spans="1:1" x14ac:dyDescent="0.3">
      <c r="A12716" s="12"/>
    </row>
    <row r="12717" spans="1:1" x14ac:dyDescent="0.3">
      <c r="A12717" s="12"/>
    </row>
    <row r="12718" spans="1:1" x14ac:dyDescent="0.3">
      <c r="A12718" s="12"/>
    </row>
    <row r="12719" spans="1:1" x14ac:dyDescent="0.3">
      <c r="A12719" s="12"/>
    </row>
    <row r="12720" spans="1:1" x14ac:dyDescent="0.3">
      <c r="A12720" s="12"/>
    </row>
    <row r="12721" spans="1:1" x14ac:dyDescent="0.3">
      <c r="A12721" s="12"/>
    </row>
    <row r="12722" spans="1:1" x14ac:dyDescent="0.3">
      <c r="A12722" s="12"/>
    </row>
    <row r="12723" spans="1:1" x14ac:dyDescent="0.3">
      <c r="A12723" s="12"/>
    </row>
    <row r="12724" spans="1:1" x14ac:dyDescent="0.3">
      <c r="A12724" s="12"/>
    </row>
    <row r="12725" spans="1:1" x14ac:dyDescent="0.3">
      <c r="A12725" s="12"/>
    </row>
    <row r="12726" spans="1:1" x14ac:dyDescent="0.3">
      <c r="A12726" s="12"/>
    </row>
    <row r="12727" spans="1:1" x14ac:dyDescent="0.3">
      <c r="A12727" s="12"/>
    </row>
    <row r="12728" spans="1:1" x14ac:dyDescent="0.3">
      <c r="A12728" s="12"/>
    </row>
    <row r="12729" spans="1:1" x14ac:dyDescent="0.3">
      <c r="A12729" s="12"/>
    </row>
    <row r="12730" spans="1:1" x14ac:dyDescent="0.3">
      <c r="A12730" s="12"/>
    </row>
    <row r="12731" spans="1:1" x14ac:dyDescent="0.3">
      <c r="A12731" s="12"/>
    </row>
    <row r="12732" spans="1:1" x14ac:dyDescent="0.3">
      <c r="A12732" s="12"/>
    </row>
    <row r="12733" spans="1:1" x14ac:dyDescent="0.3">
      <c r="A12733" s="12"/>
    </row>
    <row r="12734" spans="1:1" x14ac:dyDescent="0.3">
      <c r="A12734" s="12"/>
    </row>
    <row r="12735" spans="1:1" x14ac:dyDescent="0.3">
      <c r="A12735" s="12"/>
    </row>
    <row r="12736" spans="1:1" x14ac:dyDescent="0.3">
      <c r="A12736" s="12"/>
    </row>
    <row r="12737" spans="1:1" x14ac:dyDescent="0.3">
      <c r="A12737" s="12"/>
    </row>
    <row r="12738" spans="1:1" x14ac:dyDescent="0.3">
      <c r="A12738" s="12"/>
    </row>
    <row r="12739" spans="1:1" x14ac:dyDescent="0.3">
      <c r="A12739" s="12"/>
    </row>
    <row r="12740" spans="1:1" x14ac:dyDescent="0.3">
      <c r="A12740" s="12"/>
    </row>
    <row r="12741" spans="1:1" x14ac:dyDescent="0.3">
      <c r="A12741" s="12"/>
    </row>
    <row r="12742" spans="1:1" x14ac:dyDescent="0.3">
      <c r="A12742" s="12"/>
    </row>
    <row r="12743" spans="1:1" x14ac:dyDescent="0.3">
      <c r="A12743" s="12"/>
    </row>
    <row r="12744" spans="1:1" x14ac:dyDescent="0.3">
      <c r="A12744" s="12"/>
    </row>
    <row r="12745" spans="1:1" x14ac:dyDescent="0.3">
      <c r="A12745" s="12"/>
    </row>
    <row r="12746" spans="1:1" x14ac:dyDescent="0.3">
      <c r="A12746" s="12"/>
    </row>
    <row r="12747" spans="1:1" x14ac:dyDescent="0.3">
      <c r="A12747" s="12"/>
    </row>
    <row r="12748" spans="1:1" x14ac:dyDescent="0.3">
      <c r="A12748" s="12"/>
    </row>
    <row r="12749" spans="1:1" x14ac:dyDescent="0.3">
      <c r="A12749" s="12"/>
    </row>
    <row r="12750" spans="1:1" x14ac:dyDescent="0.3">
      <c r="A12750" s="12"/>
    </row>
    <row r="12751" spans="1:1" x14ac:dyDescent="0.3">
      <c r="A12751" s="12"/>
    </row>
    <row r="12752" spans="1:1" x14ac:dyDescent="0.3">
      <c r="A12752" s="12"/>
    </row>
    <row r="12753" spans="1:1" x14ac:dyDescent="0.3">
      <c r="A12753" s="12"/>
    </row>
    <row r="12754" spans="1:1" x14ac:dyDescent="0.3">
      <c r="A12754" s="12"/>
    </row>
    <row r="12755" spans="1:1" x14ac:dyDescent="0.3">
      <c r="A12755" s="12"/>
    </row>
    <row r="12756" spans="1:1" x14ac:dyDescent="0.3">
      <c r="A12756" s="12"/>
    </row>
    <row r="12757" spans="1:1" x14ac:dyDescent="0.3">
      <c r="A12757" s="12"/>
    </row>
    <row r="12758" spans="1:1" x14ac:dyDescent="0.3">
      <c r="A12758" s="12"/>
    </row>
    <row r="12759" spans="1:1" x14ac:dyDescent="0.3">
      <c r="A12759" s="12"/>
    </row>
    <row r="12760" spans="1:1" x14ac:dyDescent="0.3">
      <c r="A12760" s="12"/>
    </row>
    <row r="12761" spans="1:1" x14ac:dyDescent="0.3">
      <c r="A12761" s="12"/>
    </row>
    <row r="12762" spans="1:1" x14ac:dyDescent="0.3">
      <c r="A12762" s="12"/>
    </row>
    <row r="12763" spans="1:1" x14ac:dyDescent="0.3">
      <c r="A12763" s="12"/>
    </row>
    <row r="12764" spans="1:1" x14ac:dyDescent="0.3">
      <c r="A12764" s="12"/>
    </row>
    <row r="12765" spans="1:1" x14ac:dyDescent="0.3">
      <c r="A12765" s="12"/>
    </row>
    <row r="12766" spans="1:1" x14ac:dyDescent="0.3">
      <c r="A12766" s="12"/>
    </row>
    <row r="12767" spans="1:1" x14ac:dyDescent="0.3">
      <c r="A12767" s="12"/>
    </row>
    <row r="12768" spans="1:1" x14ac:dyDescent="0.3">
      <c r="A12768" s="12"/>
    </row>
    <row r="12769" spans="1:1" x14ac:dyDescent="0.3">
      <c r="A12769" s="12"/>
    </row>
    <row r="12770" spans="1:1" x14ac:dyDescent="0.3">
      <c r="A12770" s="12"/>
    </row>
    <row r="12771" spans="1:1" x14ac:dyDescent="0.3">
      <c r="A12771" s="12"/>
    </row>
    <row r="12772" spans="1:1" x14ac:dyDescent="0.3">
      <c r="A12772" s="12"/>
    </row>
    <row r="12773" spans="1:1" x14ac:dyDescent="0.3">
      <c r="A12773" s="12"/>
    </row>
    <row r="12774" spans="1:1" x14ac:dyDescent="0.3">
      <c r="A12774" s="12"/>
    </row>
    <row r="12775" spans="1:1" x14ac:dyDescent="0.3">
      <c r="A12775" s="12"/>
    </row>
    <row r="12776" spans="1:1" x14ac:dyDescent="0.3">
      <c r="A12776" s="12"/>
    </row>
    <row r="12777" spans="1:1" x14ac:dyDescent="0.3">
      <c r="A12777" s="12"/>
    </row>
    <row r="12778" spans="1:1" x14ac:dyDescent="0.3">
      <c r="A12778" s="12"/>
    </row>
    <row r="12779" spans="1:1" x14ac:dyDescent="0.3">
      <c r="A12779" s="12"/>
    </row>
    <row r="12780" spans="1:1" x14ac:dyDescent="0.3">
      <c r="A12780" s="12"/>
    </row>
    <row r="12781" spans="1:1" x14ac:dyDescent="0.3">
      <c r="A12781" s="12"/>
    </row>
    <row r="12782" spans="1:1" x14ac:dyDescent="0.3">
      <c r="A12782" s="12"/>
    </row>
    <row r="12783" spans="1:1" x14ac:dyDescent="0.3">
      <c r="A12783" s="12"/>
    </row>
    <row r="12784" spans="1:1" x14ac:dyDescent="0.3">
      <c r="A12784" s="12"/>
    </row>
    <row r="12785" spans="1:1" x14ac:dyDescent="0.3">
      <c r="A12785" s="12"/>
    </row>
    <row r="12786" spans="1:1" x14ac:dyDescent="0.3">
      <c r="A12786" s="12"/>
    </row>
    <row r="12787" spans="1:1" x14ac:dyDescent="0.3">
      <c r="A12787" s="12"/>
    </row>
    <row r="12788" spans="1:1" x14ac:dyDescent="0.3">
      <c r="A12788" s="12"/>
    </row>
    <row r="12789" spans="1:1" x14ac:dyDescent="0.3">
      <c r="A12789" s="12"/>
    </row>
    <row r="12790" spans="1:1" x14ac:dyDescent="0.3">
      <c r="A12790" s="12"/>
    </row>
    <row r="12791" spans="1:1" x14ac:dyDescent="0.3">
      <c r="A12791" s="12"/>
    </row>
    <row r="12792" spans="1:1" x14ac:dyDescent="0.3">
      <c r="A12792" s="12"/>
    </row>
    <row r="12793" spans="1:1" x14ac:dyDescent="0.3">
      <c r="A12793" s="12"/>
    </row>
    <row r="12794" spans="1:1" x14ac:dyDescent="0.3">
      <c r="A12794" s="12"/>
    </row>
    <row r="12795" spans="1:1" x14ac:dyDescent="0.3">
      <c r="A12795" s="12"/>
    </row>
    <row r="12796" spans="1:1" x14ac:dyDescent="0.3">
      <c r="A12796" s="12"/>
    </row>
    <row r="12797" spans="1:1" x14ac:dyDescent="0.3">
      <c r="A12797" s="12"/>
    </row>
    <row r="12798" spans="1:1" x14ac:dyDescent="0.3">
      <c r="A12798" s="12"/>
    </row>
    <row r="12799" spans="1:1" x14ac:dyDescent="0.3">
      <c r="A12799" s="12"/>
    </row>
    <row r="12800" spans="1:1" x14ac:dyDescent="0.3">
      <c r="A12800" s="12"/>
    </row>
    <row r="12801" spans="1:1" x14ac:dyDescent="0.3">
      <c r="A12801" s="12"/>
    </row>
    <row r="12802" spans="1:1" x14ac:dyDescent="0.3">
      <c r="A12802" s="12"/>
    </row>
    <row r="12803" spans="1:1" x14ac:dyDescent="0.3">
      <c r="A12803" s="12"/>
    </row>
    <row r="12804" spans="1:1" x14ac:dyDescent="0.3">
      <c r="A12804" s="12"/>
    </row>
    <row r="12805" spans="1:1" x14ac:dyDescent="0.3">
      <c r="A12805" s="12"/>
    </row>
    <row r="12806" spans="1:1" x14ac:dyDescent="0.3">
      <c r="A12806" s="12"/>
    </row>
    <row r="12807" spans="1:1" x14ac:dyDescent="0.3">
      <c r="A12807" s="12"/>
    </row>
    <row r="12808" spans="1:1" x14ac:dyDescent="0.3">
      <c r="A12808" s="12"/>
    </row>
    <row r="12809" spans="1:1" x14ac:dyDescent="0.3">
      <c r="A12809" s="12"/>
    </row>
    <row r="12810" spans="1:1" x14ac:dyDescent="0.3">
      <c r="A12810" s="12"/>
    </row>
    <row r="12811" spans="1:1" x14ac:dyDescent="0.3">
      <c r="A12811" s="12"/>
    </row>
    <row r="12812" spans="1:1" x14ac:dyDescent="0.3">
      <c r="A12812" s="12"/>
    </row>
    <row r="12813" spans="1:1" x14ac:dyDescent="0.3">
      <c r="A12813" s="12"/>
    </row>
    <row r="12814" spans="1:1" x14ac:dyDescent="0.3">
      <c r="A12814" s="12"/>
    </row>
    <row r="12815" spans="1:1" x14ac:dyDescent="0.3">
      <c r="A12815" s="12"/>
    </row>
    <row r="12816" spans="1:1" x14ac:dyDescent="0.3">
      <c r="A12816" s="12"/>
    </row>
    <row r="12817" spans="1:1" x14ac:dyDescent="0.3">
      <c r="A12817" s="12"/>
    </row>
    <row r="12818" spans="1:1" x14ac:dyDescent="0.3">
      <c r="A12818" s="12"/>
    </row>
    <row r="12819" spans="1:1" x14ac:dyDescent="0.3">
      <c r="A12819" s="12"/>
    </row>
    <row r="12820" spans="1:1" x14ac:dyDescent="0.3">
      <c r="A12820" s="12"/>
    </row>
    <row r="12821" spans="1:1" x14ac:dyDescent="0.3">
      <c r="A12821" s="12"/>
    </row>
    <row r="12822" spans="1:1" x14ac:dyDescent="0.3">
      <c r="A12822" s="12"/>
    </row>
    <row r="12823" spans="1:1" x14ac:dyDescent="0.3">
      <c r="A12823" s="12"/>
    </row>
    <row r="12824" spans="1:1" x14ac:dyDescent="0.3">
      <c r="A12824" s="12"/>
    </row>
    <row r="12825" spans="1:1" x14ac:dyDescent="0.3">
      <c r="A12825" s="12"/>
    </row>
    <row r="12826" spans="1:1" x14ac:dyDescent="0.3">
      <c r="A12826" s="12"/>
    </row>
    <row r="12827" spans="1:1" x14ac:dyDescent="0.3">
      <c r="A12827" s="12"/>
    </row>
    <row r="12828" spans="1:1" x14ac:dyDescent="0.3">
      <c r="A12828" s="12"/>
    </row>
    <row r="12829" spans="1:1" x14ac:dyDescent="0.3">
      <c r="A12829" s="12"/>
    </row>
    <row r="12830" spans="1:1" x14ac:dyDescent="0.3">
      <c r="A12830" s="12"/>
    </row>
    <row r="12831" spans="1:1" x14ac:dyDescent="0.3">
      <c r="A12831" s="12"/>
    </row>
    <row r="12832" spans="1:1" x14ac:dyDescent="0.3">
      <c r="A12832" s="12"/>
    </row>
    <row r="12833" spans="1:1" x14ac:dyDescent="0.3">
      <c r="A12833" s="12"/>
    </row>
    <row r="12834" spans="1:1" x14ac:dyDescent="0.3">
      <c r="A12834" s="12"/>
    </row>
    <row r="12835" spans="1:1" x14ac:dyDescent="0.3">
      <c r="A12835" s="12"/>
    </row>
    <row r="12836" spans="1:1" x14ac:dyDescent="0.3">
      <c r="A12836" s="12"/>
    </row>
    <row r="12837" spans="1:1" x14ac:dyDescent="0.3">
      <c r="A12837" s="12"/>
    </row>
    <row r="12838" spans="1:1" x14ac:dyDescent="0.3">
      <c r="A12838" s="12"/>
    </row>
    <row r="12839" spans="1:1" x14ac:dyDescent="0.3">
      <c r="A12839" s="12"/>
    </row>
    <row r="12840" spans="1:1" x14ac:dyDescent="0.3">
      <c r="A12840" s="12"/>
    </row>
    <row r="12841" spans="1:1" x14ac:dyDescent="0.3">
      <c r="A12841" s="12"/>
    </row>
    <row r="12842" spans="1:1" x14ac:dyDescent="0.3">
      <c r="A12842" s="12"/>
    </row>
    <row r="12843" spans="1:1" x14ac:dyDescent="0.3">
      <c r="A12843" s="12"/>
    </row>
    <row r="12844" spans="1:1" x14ac:dyDescent="0.3">
      <c r="A12844" s="12"/>
    </row>
    <row r="12845" spans="1:1" x14ac:dyDescent="0.3">
      <c r="A12845" s="12"/>
    </row>
    <row r="12846" spans="1:1" x14ac:dyDescent="0.3">
      <c r="A12846" s="12"/>
    </row>
    <row r="12847" spans="1:1" x14ac:dyDescent="0.3">
      <c r="A12847" s="12"/>
    </row>
    <row r="12848" spans="1:1" x14ac:dyDescent="0.3">
      <c r="A12848" s="12"/>
    </row>
    <row r="12849" spans="1:1" x14ac:dyDescent="0.3">
      <c r="A12849" s="12"/>
    </row>
    <row r="12850" spans="1:1" x14ac:dyDescent="0.3">
      <c r="A12850" s="12"/>
    </row>
    <row r="12851" spans="1:1" x14ac:dyDescent="0.3">
      <c r="A12851" s="12"/>
    </row>
    <row r="12852" spans="1:1" x14ac:dyDescent="0.3">
      <c r="A12852" s="12"/>
    </row>
    <row r="12853" spans="1:1" x14ac:dyDescent="0.3">
      <c r="A12853" s="12"/>
    </row>
    <row r="12854" spans="1:1" x14ac:dyDescent="0.3">
      <c r="A12854" s="12"/>
    </row>
    <row r="12855" spans="1:1" x14ac:dyDescent="0.3">
      <c r="A12855" s="12"/>
    </row>
    <row r="12856" spans="1:1" x14ac:dyDescent="0.3">
      <c r="A12856" s="12"/>
    </row>
    <row r="12857" spans="1:1" x14ac:dyDescent="0.3">
      <c r="A12857" s="12"/>
    </row>
    <row r="12858" spans="1:1" x14ac:dyDescent="0.3">
      <c r="A12858" s="12"/>
    </row>
    <row r="12859" spans="1:1" x14ac:dyDescent="0.3">
      <c r="A12859" s="12"/>
    </row>
    <row r="12860" spans="1:1" x14ac:dyDescent="0.3">
      <c r="A12860" s="12"/>
    </row>
    <row r="12861" spans="1:1" x14ac:dyDescent="0.3">
      <c r="A12861" s="12"/>
    </row>
    <row r="12862" spans="1:1" x14ac:dyDescent="0.3">
      <c r="A12862" s="12"/>
    </row>
    <row r="12863" spans="1:1" x14ac:dyDescent="0.3">
      <c r="A12863" s="12"/>
    </row>
    <row r="12864" spans="1:1" x14ac:dyDescent="0.3">
      <c r="A12864" s="12"/>
    </row>
    <row r="12865" spans="1:1" x14ac:dyDescent="0.3">
      <c r="A12865" s="12"/>
    </row>
    <row r="12866" spans="1:1" x14ac:dyDescent="0.3">
      <c r="A12866" s="12"/>
    </row>
    <row r="12867" spans="1:1" x14ac:dyDescent="0.3">
      <c r="A12867" s="12"/>
    </row>
    <row r="12868" spans="1:1" x14ac:dyDescent="0.3">
      <c r="A12868" s="12"/>
    </row>
    <row r="12869" spans="1:1" x14ac:dyDescent="0.3">
      <c r="A12869" s="12"/>
    </row>
    <row r="12870" spans="1:1" x14ac:dyDescent="0.3">
      <c r="A12870" s="12"/>
    </row>
    <row r="12871" spans="1:1" x14ac:dyDescent="0.3">
      <c r="A12871" s="12"/>
    </row>
    <row r="12872" spans="1:1" x14ac:dyDescent="0.3">
      <c r="A12872" s="12"/>
    </row>
    <row r="12873" spans="1:1" x14ac:dyDescent="0.3">
      <c r="A12873" s="12"/>
    </row>
    <row r="12874" spans="1:1" x14ac:dyDescent="0.3">
      <c r="A12874" s="12"/>
    </row>
    <row r="12875" spans="1:1" x14ac:dyDescent="0.3">
      <c r="A12875" s="12"/>
    </row>
    <row r="12876" spans="1:1" x14ac:dyDescent="0.3">
      <c r="A12876" s="12"/>
    </row>
    <row r="12877" spans="1:1" x14ac:dyDescent="0.3">
      <c r="A12877" s="12"/>
    </row>
    <row r="12878" spans="1:1" x14ac:dyDescent="0.3">
      <c r="A12878" s="12"/>
    </row>
    <row r="12879" spans="1:1" x14ac:dyDescent="0.3">
      <c r="A12879" s="12"/>
    </row>
    <row r="12880" spans="1:1" x14ac:dyDescent="0.3">
      <c r="A12880" s="12"/>
    </row>
    <row r="12881" spans="1:1" x14ac:dyDescent="0.3">
      <c r="A12881" s="12"/>
    </row>
    <row r="12882" spans="1:1" x14ac:dyDescent="0.3">
      <c r="A12882" s="12"/>
    </row>
    <row r="12883" spans="1:1" x14ac:dyDescent="0.3">
      <c r="A12883" s="12"/>
    </row>
    <row r="12884" spans="1:1" x14ac:dyDescent="0.3">
      <c r="A12884" s="12"/>
    </row>
    <row r="12885" spans="1:1" x14ac:dyDescent="0.3">
      <c r="A12885" s="12"/>
    </row>
    <row r="12886" spans="1:1" x14ac:dyDescent="0.3">
      <c r="A12886" s="12"/>
    </row>
    <row r="12887" spans="1:1" x14ac:dyDescent="0.3">
      <c r="A12887" s="12"/>
    </row>
    <row r="12888" spans="1:1" x14ac:dyDescent="0.3">
      <c r="A12888" s="12"/>
    </row>
    <row r="12889" spans="1:1" x14ac:dyDescent="0.3">
      <c r="A12889" s="12"/>
    </row>
    <row r="12890" spans="1:1" x14ac:dyDescent="0.3">
      <c r="A12890" s="12"/>
    </row>
    <row r="12891" spans="1:1" x14ac:dyDescent="0.3">
      <c r="A12891" s="12"/>
    </row>
    <row r="12892" spans="1:1" x14ac:dyDescent="0.3">
      <c r="A12892" s="12"/>
    </row>
    <row r="12893" spans="1:1" x14ac:dyDescent="0.3">
      <c r="A12893" s="12"/>
    </row>
    <row r="12894" spans="1:1" x14ac:dyDescent="0.3">
      <c r="A12894" s="12"/>
    </row>
    <row r="12895" spans="1:1" x14ac:dyDescent="0.3">
      <c r="A12895" s="12"/>
    </row>
    <row r="12896" spans="1:1" x14ac:dyDescent="0.3">
      <c r="A12896" s="12"/>
    </row>
    <row r="12897" spans="1:1" x14ac:dyDescent="0.3">
      <c r="A12897" s="12"/>
    </row>
    <row r="12898" spans="1:1" x14ac:dyDescent="0.3">
      <c r="A12898" s="12"/>
    </row>
    <row r="12899" spans="1:1" x14ac:dyDescent="0.3">
      <c r="A12899" s="12"/>
    </row>
    <row r="12900" spans="1:1" x14ac:dyDescent="0.3">
      <c r="A12900" s="12"/>
    </row>
    <row r="12901" spans="1:1" x14ac:dyDescent="0.3">
      <c r="A12901" s="12"/>
    </row>
    <row r="12902" spans="1:1" x14ac:dyDescent="0.3">
      <c r="A12902" s="12"/>
    </row>
    <row r="12903" spans="1:1" x14ac:dyDescent="0.3">
      <c r="A12903" s="12"/>
    </row>
    <row r="12904" spans="1:1" x14ac:dyDescent="0.3">
      <c r="A12904" s="12"/>
    </row>
    <row r="12905" spans="1:1" x14ac:dyDescent="0.3">
      <c r="A12905" s="12"/>
    </row>
    <row r="12906" spans="1:1" x14ac:dyDescent="0.3">
      <c r="A12906" s="12"/>
    </row>
    <row r="12907" spans="1:1" x14ac:dyDescent="0.3">
      <c r="A12907" s="12"/>
    </row>
    <row r="12908" spans="1:1" x14ac:dyDescent="0.3">
      <c r="A12908" s="12"/>
    </row>
    <row r="12909" spans="1:1" x14ac:dyDescent="0.3">
      <c r="A12909" s="12"/>
    </row>
    <row r="12910" spans="1:1" x14ac:dyDescent="0.3">
      <c r="A12910" s="12"/>
    </row>
    <row r="12911" spans="1:1" x14ac:dyDescent="0.3">
      <c r="A12911" s="12"/>
    </row>
    <row r="12912" spans="1:1" x14ac:dyDescent="0.3">
      <c r="A12912" s="12"/>
    </row>
    <row r="12913" spans="1:1" x14ac:dyDescent="0.3">
      <c r="A12913" s="12"/>
    </row>
    <row r="12914" spans="1:1" x14ac:dyDescent="0.3">
      <c r="A12914" s="12"/>
    </row>
    <row r="12915" spans="1:1" x14ac:dyDescent="0.3">
      <c r="A12915" s="12"/>
    </row>
    <row r="12916" spans="1:1" x14ac:dyDescent="0.3">
      <c r="A12916" s="12"/>
    </row>
    <row r="12917" spans="1:1" x14ac:dyDescent="0.3">
      <c r="A12917" s="12"/>
    </row>
    <row r="12918" spans="1:1" x14ac:dyDescent="0.3">
      <c r="A12918" s="12"/>
    </row>
    <row r="12919" spans="1:1" x14ac:dyDescent="0.3">
      <c r="A12919" s="12"/>
    </row>
    <row r="12920" spans="1:1" x14ac:dyDescent="0.3">
      <c r="A12920" s="12"/>
    </row>
    <row r="12921" spans="1:1" x14ac:dyDescent="0.3">
      <c r="A12921" s="12"/>
    </row>
    <row r="12922" spans="1:1" x14ac:dyDescent="0.3">
      <c r="A12922" s="12"/>
    </row>
    <row r="12923" spans="1:1" x14ac:dyDescent="0.3">
      <c r="A12923" s="12"/>
    </row>
    <row r="12924" spans="1:1" x14ac:dyDescent="0.3">
      <c r="A12924" s="12"/>
    </row>
    <row r="12925" spans="1:1" x14ac:dyDescent="0.3">
      <c r="A12925" s="12"/>
    </row>
    <row r="12926" spans="1:1" x14ac:dyDescent="0.3">
      <c r="A12926" s="12"/>
    </row>
    <row r="12927" spans="1:1" x14ac:dyDescent="0.3">
      <c r="A12927" s="12"/>
    </row>
    <row r="12928" spans="1:1" x14ac:dyDescent="0.3">
      <c r="A12928" s="12"/>
    </row>
    <row r="12929" spans="1:1" x14ac:dyDescent="0.3">
      <c r="A12929" s="12"/>
    </row>
    <row r="12930" spans="1:1" x14ac:dyDescent="0.3">
      <c r="A12930" s="12"/>
    </row>
    <row r="12931" spans="1:1" x14ac:dyDescent="0.3">
      <c r="A12931" s="12"/>
    </row>
    <row r="12932" spans="1:1" x14ac:dyDescent="0.3">
      <c r="A12932" s="12"/>
    </row>
    <row r="12933" spans="1:1" x14ac:dyDescent="0.3">
      <c r="A12933" s="12"/>
    </row>
    <row r="12934" spans="1:1" x14ac:dyDescent="0.3">
      <c r="A12934" s="12"/>
    </row>
    <row r="12935" spans="1:1" x14ac:dyDescent="0.3">
      <c r="A12935" s="12"/>
    </row>
    <row r="12936" spans="1:1" x14ac:dyDescent="0.3">
      <c r="A12936" s="12"/>
    </row>
    <row r="12937" spans="1:1" x14ac:dyDescent="0.3">
      <c r="A12937" s="12"/>
    </row>
    <row r="12938" spans="1:1" x14ac:dyDescent="0.3">
      <c r="A12938" s="12"/>
    </row>
    <row r="12939" spans="1:1" x14ac:dyDescent="0.3">
      <c r="A12939" s="12"/>
    </row>
    <row r="12940" spans="1:1" x14ac:dyDescent="0.3">
      <c r="A12940" s="12"/>
    </row>
    <row r="12941" spans="1:1" x14ac:dyDescent="0.3">
      <c r="A12941" s="12"/>
    </row>
    <row r="12942" spans="1:1" x14ac:dyDescent="0.3">
      <c r="A12942" s="12"/>
    </row>
    <row r="12943" spans="1:1" x14ac:dyDescent="0.3">
      <c r="A12943" s="12"/>
    </row>
    <row r="12944" spans="1:1" x14ac:dyDescent="0.3">
      <c r="A12944" s="12"/>
    </row>
    <row r="12945" spans="1:1" x14ac:dyDescent="0.3">
      <c r="A12945" s="12"/>
    </row>
    <row r="12946" spans="1:1" x14ac:dyDescent="0.3">
      <c r="A12946" s="12"/>
    </row>
    <row r="12947" spans="1:1" x14ac:dyDescent="0.3">
      <c r="A12947" s="12"/>
    </row>
    <row r="12948" spans="1:1" x14ac:dyDescent="0.3">
      <c r="A12948" s="12"/>
    </row>
    <row r="12949" spans="1:1" x14ac:dyDescent="0.3">
      <c r="A12949" s="12"/>
    </row>
    <row r="12950" spans="1:1" x14ac:dyDescent="0.3">
      <c r="A12950" s="12"/>
    </row>
    <row r="12951" spans="1:1" x14ac:dyDescent="0.3">
      <c r="A12951" s="12"/>
    </row>
    <row r="12952" spans="1:1" x14ac:dyDescent="0.3">
      <c r="A12952" s="12"/>
    </row>
    <row r="12953" spans="1:1" x14ac:dyDescent="0.3">
      <c r="A12953" s="12"/>
    </row>
    <row r="12954" spans="1:1" x14ac:dyDescent="0.3">
      <c r="A12954" s="12"/>
    </row>
    <row r="12955" spans="1:1" x14ac:dyDescent="0.3">
      <c r="A12955" s="12"/>
    </row>
    <row r="12956" spans="1:1" x14ac:dyDescent="0.3">
      <c r="A12956" s="12"/>
    </row>
    <row r="12957" spans="1:1" x14ac:dyDescent="0.3">
      <c r="A12957" s="12"/>
    </row>
    <row r="12958" spans="1:1" x14ac:dyDescent="0.3">
      <c r="A12958" s="12"/>
    </row>
    <row r="12959" spans="1:1" x14ac:dyDescent="0.3">
      <c r="A12959" s="12"/>
    </row>
    <row r="12960" spans="1:1" x14ac:dyDescent="0.3">
      <c r="A12960" s="12"/>
    </row>
    <row r="12961" spans="1:1" x14ac:dyDescent="0.3">
      <c r="A12961" s="12"/>
    </row>
    <row r="12962" spans="1:1" x14ac:dyDescent="0.3">
      <c r="A12962" s="12"/>
    </row>
    <row r="12963" spans="1:1" x14ac:dyDescent="0.3">
      <c r="A12963" s="12"/>
    </row>
    <row r="12964" spans="1:1" x14ac:dyDescent="0.3">
      <c r="A12964" s="12"/>
    </row>
    <row r="12965" spans="1:1" x14ac:dyDescent="0.3">
      <c r="A12965" s="12"/>
    </row>
    <row r="12966" spans="1:1" x14ac:dyDescent="0.3">
      <c r="A12966" s="12"/>
    </row>
    <row r="12967" spans="1:1" x14ac:dyDescent="0.3">
      <c r="A12967" s="12"/>
    </row>
    <row r="12968" spans="1:1" x14ac:dyDescent="0.3">
      <c r="A12968" s="12"/>
    </row>
    <row r="12969" spans="1:1" x14ac:dyDescent="0.3">
      <c r="A12969" s="12"/>
    </row>
    <row r="12970" spans="1:1" x14ac:dyDescent="0.3">
      <c r="A12970" s="12"/>
    </row>
    <row r="12971" spans="1:1" x14ac:dyDescent="0.3">
      <c r="A12971" s="12"/>
    </row>
    <row r="12972" spans="1:1" x14ac:dyDescent="0.3">
      <c r="A12972" s="12"/>
    </row>
    <row r="12973" spans="1:1" x14ac:dyDescent="0.3">
      <c r="A12973" s="12"/>
    </row>
    <row r="12974" spans="1:1" x14ac:dyDescent="0.3">
      <c r="A12974" s="12"/>
    </row>
    <row r="12975" spans="1:1" x14ac:dyDescent="0.3">
      <c r="A12975" s="12"/>
    </row>
    <row r="12976" spans="1:1" x14ac:dyDescent="0.3">
      <c r="A12976" s="12"/>
    </row>
    <row r="12977" spans="1:1" x14ac:dyDescent="0.3">
      <c r="A12977" s="12"/>
    </row>
    <row r="12978" spans="1:1" x14ac:dyDescent="0.3">
      <c r="A12978" s="12"/>
    </row>
    <row r="12979" spans="1:1" x14ac:dyDescent="0.3">
      <c r="A12979" s="12"/>
    </row>
    <row r="12980" spans="1:1" x14ac:dyDescent="0.3">
      <c r="A12980" s="12"/>
    </row>
    <row r="12981" spans="1:1" x14ac:dyDescent="0.3">
      <c r="A12981" s="12"/>
    </row>
    <row r="12982" spans="1:1" x14ac:dyDescent="0.3">
      <c r="A12982" s="12"/>
    </row>
    <row r="12983" spans="1:1" x14ac:dyDescent="0.3">
      <c r="A12983" s="12"/>
    </row>
    <row r="12984" spans="1:1" x14ac:dyDescent="0.3">
      <c r="A12984" s="12"/>
    </row>
    <row r="12985" spans="1:1" x14ac:dyDescent="0.3">
      <c r="A12985" s="12"/>
    </row>
    <row r="12986" spans="1:1" x14ac:dyDescent="0.3">
      <c r="A12986" s="12"/>
    </row>
    <row r="12987" spans="1:1" x14ac:dyDescent="0.3">
      <c r="A12987" s="12"/>
    </row>
    <row r="12988" spans="1:1" x14ac:dyDescent="0.3">
      <c r="A12988" s="12"/>
    </row>
    <row r="12989" spans="1:1" x14ac:dyDescent="0.3">
      <c r="A12989" s="12"/>
    </row>
    <row r="12990" spans="1:1" x14ac:dyDescent="0.3">
      <c r="A12990" s="12"/>
    </row>
    <row r="12991" spans="1:1" x14ac:dyDescent="0.3">
      <c r="A12991" s="12"/>
    </row>
    <row r="12992" spans="1:1" x14ac:dyDescent="0.3">
      <c r="A12992" s="12"/>
    </row>
    <row r="12993" spans="1:1" x14ac:dyDescent="0.3">
      <c r="A12993" s="12"/>
    </row>
    <row r="12994" spans="1:1" x14ac:dyDescent="0.3">
      <c r="A12994" s="12"/>
    </row>
    <row r="12995" spans="1:1" x14ac:dyDescent="0.3">
      <c r="A12995" s="12"/>
    </row>
    <row r="12996" spans="1:1" x14ac:dyDescent="0.3">
      <c r="A12996" s="12"/>
    </row>
    <row r="12997" spans="1:1" x14ac:dyDescent="0.3">
      <c r="A12997" s="12"/>
    </row>
    <row r="12998" spans="1:1" x14ac:dyDescent="0.3">
      <c r="A12998" s="12"/>
    </row>
    <row r="12999" spans="1:1" x14ac:dyDescent="0.3">
      <c r="A12999" s="12"/>
    </row>
    <row r="13000" spans="1:1" x14ac:dyDescent="0.3">
      <c r="A13000" s="12"/>
    </row>
    <row r="13001" spans="1:1" x14ac:dyDescent="0.3">
      <c r="A13001" s="12"/>
    </row>
    <row r="13002" spans="1:1" x14ac:dyDescent="0.3">
      <c r="A13002" s="12"/>
    </row>
    <row r="13003" spans="1:1" x14ac:dyDescent="0.3">
      <c r="A13003" s="12"/>
    </row>
    <row r="13004" spans="1:1" x14ac:dyDescent="0.3">
      <c r="A13004" s="12"/>
    </row>
    <row r="13005" spans="1:1" x14ac:dyDescent="0.3">
      <c r="A13005" s="12"/>
    </row>
    <row r="13006" spans="1:1" x14ac:dyDescent="0.3">
      <c r="A13006" s="12"/>
    </row>
    <row r="13007" spans="1:1" x14ac:dyDescent="0.3">
      <c r="A13007" s="12"/>
    </row>
    <row r="13008" spans="1:1" x14ac:dyDescent="0.3">
      <c r="A13008" s="12"/>
    </row>
    <row r="13009" spans="1:1" x14ac:dyDescent="0.3">
      <c r="A13009" s="12"/>
    </row>
    <row r="13010" spans="1:1" x14ac:dyDescent="0.3">
      <c r="A13010" s="12"/>
    </row>
    <row r="13011" spans="1:1" x14ac:dyDescent="0.3">
      <c r="A13011" s="12"/>
    </row>
    <row r="13012" spans="1:1" x14ac:dyDescent="0.3">
      <c r="A13012" s="12"/>
    </row>
    <row r="13013" spans="1:1" x14ac:dyDescent="0.3">
      <c r="A13013" s="12"/>
    </row>
    <row r="13014" spans="1:1" x14ac:dyDescent="0.3">
      <c r="A13014" s="12"/>
    </row>
    <row r="13015" spans="1:1" x14ac:dyDescent="0.3">
      <c r="A13015" s="12"/>
    </row>
    <row r="13016" spans="1:1" x14ac:dyDescent="0.3">
      <c r="A13016" s="12"/>
    </row>
    <row r="13017" spans="1:1" x14ac:dyDescent="0.3">
      <c r="A13017" s="12"/>
    </row>
    <row r="13018" spans="1:1" x14ac:dyDescent="0.3">
      <c r="A13018" s="12"/>
    </row>
    <row r="13019" spans="1:1" x14ac:dyDescent="0.3">
      <c r="A13019" s="12"/>
    </row>
    <row r="13020" spans="1:1" x14ac:dyDescent="0.3">
      <c r="A13020" s="12"/>
    </row>
    <row r="13021" spans="1:1" x14ac:dyDescent="0.3">
      <c r="A13021" s="12"/>
    </row>
    <row r="13022" spans="1:1" x14ac:dyDescent="0.3">
      <c r="A13022" s="12"/>
    </row>
    <row r="13023" spans="1:1" x14ac:dyDescent="0.3">
      <c r="A13023" s="12"/>
    </row>
    <row r="13024" spans="1:1" x14ac:dyDescent="0.3">
      <c r="A13024" s="12"/>
    </row>
    <row r="13025" spans="1:1" x14ac:dyDescent="0.3">
      <c r="A13025" s="12"/>
    </row>
    <row r="13026" spans="1:1" x14ac:dyDescent="0.3">
      <c r="A13026" s="12"/>
    </row>
    <row r="13027" spans="1:1" x14ac:dyDescent="0.3">
      <c r="A13027" s="12"/>
    </row>
    <row r="13028" spans="1:1" x14ac:dyDescent="0.3">
      <c r="A13028" s="12"/>
    </row>
    <row r="13029" spans="1:1" x14ac:dyDescent="0.3">
      <c r="A13029" s="12"/>
    </row>
    <row r="13030" spans="1:1" x14ac:dyDescent="0.3">
      <c r="A13030" s="12"/>
    </row>
    <row r="13031" spans="1:1" x14ac:dyDescent="0.3">
      <c r="A13031" s="12"/>
    </row>
    <row r="13032" spans="1:1" x14ac:dyDescent="0.3">
      <c r="A13032" s="12"/>
    </row>
    <row r="13033" spans="1:1" x14ac:dyDescent="0.3">
      <c r="A13033" s="12"/>
    </row>
    <row r="13034" spans="1:1" x14ac:dyDescent="0.3">
      <c r="A13034" s="12"/>
    </row>
    <row r="13035" spans="1:1" x14ac:dyDescent="0.3">
      <c r="A13035" s="12"/>
    </row>
    <row r="13036" spans="1:1" x14ac:dyDescent="0.3">
      <c r="A13036" s="12"/>
    </row>
    <row r="13037" spans="1:1" x14ac:dyDescent="0.3">
      <c r="A13037" s="12"/>
    </row>
    <row r="13038" spans="1:1" x14ac:dyDescent="0.3">
      <c r="A13038" s="12"/>
    </row>
    <row r="13039" spans="1:1" x14ac:dyDescent="0.3">
      <c r="A13039" s="12"/>
    </row>
    <row r="13040" spans="1:1" x14ac:dyDescent="0.3">
      <c r="A13040" s="12"/>
    </row>
    <row r="13041" spans="1:1" x14ac:dyDescent="0.3">
      <c r="A13041" s="12"/>
    </row>
    <row r="13042" spans="1:1" x14ac:dyDescent="0.3">
      <c r="A13042" s="12"/>
    </row>
    <row r="13043" spans="1:1" x14ac:dyDescent="0.3">
      <c r="A13043" s="12"/>
    </row>
    <row r="13044" spans="1:1" x14ac:dyDescent="0.3">
      <c r="A13044" s="12"/>
    </row>
    <row r="13045" spans="1:1" x14ac:dyDescent="0.3">
      <c r="A13045" s="12"/>
    </row>
    <row r="13046" spans="1:1" x14ac:dyDescent="0.3">
      <c r="A13046" s="12"/>
    </row>
    <row r="13047" spans="1:1" x14ac:dyDescent="0.3">
      <c r="A13047" s="12"/>
    </row>
    <row r="13048" spans="1:1" x14ac:dyDescent="0.3">
      <c r="A13048" s="12"/>
    </row>
    <row r="13049" spans="1:1" x14ac:dyDescent="0.3">
      <c r="A13049" s="12"/>
    </row>
    <row r="13050" spans="1:1" x14ac:dyDescent="0.3">
      <c r="A13050" s="12"/>
    </row>
    <row r="13051" spans="1:1" x14ac:dyDescent="0.3">
      <c r="A13051" s="12"/>
    </row>
    <row r="13052" spans="1:1" x14ac:dyDescent="0.3">
      <c r="A13052" s="12"/>
    </row>
    <row r="13053" spans="1:1" x14ac:dyDescent="0.3">
      <c r="A13053" s="12"/>
    </row>
    <row r="13054" spans="1:1" x14ac:dyDescent="0.3">
      <c r="A13054" s="12"/>
    </row>
    <row r="13055" spans="1:1" x14ac:dyDescent="0.3">
      <c r="A13055" s="12"/>
    </row>
    <row r="13056" spans="1:1" x14ac:dyDescent="0.3">
      <c r="A13056" s="12"/>
    </row>
    <row r="13057" spans="1:1" x14ac:dyDescent="0.3">
      <c r="A13057" s="12"/>
    </row>
    <row r="13058" spans="1:1" x14ac:dyDescent="0.3">
      <c r="A13058" s="12"/>
    </row>
    <row r="13059" spans="1:1" x14ac:dyDescent="0.3">
      <c r="A13059" s="12"/>
    </row>
    <row r="13060" spans="1:1" x14ac:dyDescent="0.3">
      <c r="A13060" s="12"/>
    </row>
    <row r="13061" spans="1:1" x14ac:dyDescent="0.3">
      <c r="A13061" s="12"/>
    </row>
    <row r="13062" spans="1:1" x14ac:dyDescent="0.3">
      <c r="A13062" s="12"/>
    </row>
    <row r="13063" spans="1:1" x14ac:dyDescent="0.3">
      <c r="A13063" s="12"/>
    </row>
    <row r="13064" spans="1:1" x14ac:dyDescent="0.3">
      <c r="A13064" s="12"/>
    </row>
    <row r="13065" spans="1:1" x14ac:dyDescent="0.3">
      <c r="A13065" s="12"/>
    </row>
    <row r="13066" spans="1:1" x14ac:dyDescent="0.3">
      <c r="A13066" s="12"/>
    </row>
    <row r="13067" spans="1:1" x14ac:dyDescent="0.3">
      <c r="A13067" s="12"/>
    </row>
    <row r="13068" spans="1:1" x14ac:dyDescent="0.3">
      <c r="A13068" s="12"/>
    </row>
    <row r="13069" spans="1:1" x14ac:dyDescent="0.3">
      <c r="A13069" s="12"/>
    </row>
    <row r="13070" spans="1:1" x14ac:dyDescent="0.3">
      <c r="A13070" s="12"/>
    </row>
    <row r="13071" spans="1:1" x14ac:dyDescent="0.3">
      <c r="A13071" s="12"/>
    </row>
    <row r="13072" spans="1:1" x14ac:dyDescent="0.3">
      <c r="A13072" s="12"/>
    </row>
    <row r="13073" spans="1:1" x14ac:dyDescent="0.3">
      <c r="A13073" s="12"/>
    </row>
    <row r="13074" spans="1:1" x14ac:dyDescent="0.3">
      <c r="A13074" s="12"/>
    </row>
    <row r="13075" spans="1:1" x14ac:dyDescent="0.3">
      <c r="A13075" s="12"/>
    </row>
    <row r="13076" spans="1:1" x14ac:dyDescent="0.3">
      <c r="A13076" s="12"/>
    </row>
    <row r="13077" spans="1:1" x14ac:dyDescent="0.3">
      <c r="A13077" s="12"/>
    </row>
    <row r="13078" spans="1:1" x14ac:dyDescent="0.3">
      <c r="A13078" s="12"/>
    </row>
    <row r="13079" spans="1:1" x14ac:dyDescent="0.3">
      <c r="A13079" s="12"/>
    </row>
    <row r="13080" spans="1:1" x14ac:dyDescent="0.3">
      <c r="A13080" s="12"/>
    </row>
    <row r="13081" spans="1:1" x14ac:dyDescent="0.3">
      <c r="A13081" s="12"/>
    </row>
    <row r="13082" spans="1:1" x14ac:dyDescent="0.3">
      <c r="A13082" s="12"/>
    </row>
    <row r="13083" spans="1:1" x14ac:dyDescent="0.3">
      <c r="A13083" s="12"/>
    </row>
    <row r="13084" spans="1:1" x14ac:dyDescent="0.3">
      <c r="A13084" s="12"/>
    </row>
    <row r="13085" spans="1:1" x14ac:dyDescent="0.3">
      <c r="A13085" s="12"/>
    </row>
    <row r="13086" spans="1:1" x14ac:dyDescent="0.3">
      <c r="A13086" s="12"/>
    </row>
    <row r="13087" spans="1:1" x14ac:dyDescent="0.3">
      <c r="A13087" s="12"/>
    </row>
    <row r="13088" spans="1:1" x14ac:dyDescent="0.3">
      <c r="A13088" s="12"/>
    </row>
    <row r="13089" spans="1:1" x14ac:dyDescent="0.3">
      <c r="A13089" s="12"/>
    </row>
    <row r="13090" spans="1:1" x14ac:dyDescent="0.3">
      <c r="A13090" s="12"/>
    </row>
    <row r="13091" spans="1:1" x14ac:dyDescent="0.3">
      <c r="A13091" s="12"/>
    </row>
    <row r="13092" spans="1:1" x14ac:dyDescent="0.3">
      <c r="A13092" s="12"/>
    </row>
    <row r="13093" spans="1:1" x14ac:dyDescent="0.3">
      <c r="A13093" s="12"/>
    </row>
    <row r="13094" spans="1:1" x14ac:dyDescent="0.3">
      <c r="A13094" s="12"/>
    </row>
    <row r="13095" spans="1:1" x14ac:dyDescent="0.3">
      <c r="A13095" s="12"/>
    </row>
    <row r="13096" spans="1:1" x14ac:dyDescent="0.3">
      <c r="A13096" s="12"/>
    </row>
    <row r="13097" spans="1:1" x14ac:dyDescent="0.3">
      <c r="A13097" s="12"/>
    </row>
    <row r="13098" spans="1:1" x14ac:dyDescent="0.3">
      <c r="A13098" s="12"/>
    </row>
    <row r="13099" spans="1:1" x14ac:dyDescent="0.3">
      <c r="A13099" s="12"/>
    </row>
    <row r="13100" spans="1:1" x14ac:dyDescent="0.3">
      <c r="A13100" s="12"/>
    </row>
    <row r="13101" spans="1:1" x14ac:dyDescent="0.3">
      <c r="A13101" s="12"/>
    </row>
    <row r="13102" spans="1:1" x14ac:dyDescent="0.3">
      <c r="A13102" s="12"/>
    </row>
    <row r="13103" spans="1:1" x14ac:dyDescent="0.3">
      <c r="A13103" s="12"/>
    </row>
    <row r="13104" spans="1:1" x14ac:dyDescent="0.3">
      <c r="A13104" s="12"/>
    </row>
    <row r="13105" spans="1:1" x14ac:dyDescent="0.3">
      <c r="A13105" s="12"/>
    </row>
    <row r="13106" spans="1:1" x14ac:dyDescent="0.3">
      <c r="A13106" s="12"/>
    </row>
    <row r="13107" spans="1:1" x14ac:dyDescent="0.3">
      <c r="A13107" s="12"/>
    </row>
    <row r="13108" spans="1:1" x14ac:dyDescent="0.3">
      <c r="A13108" s="12"/>
    </row>
    <row r="13109" spans="1:1" x14ac:dyDescent="0.3">
      <c r="A13109" s="12"/>
    </row>
    <row r="13110" spans="1:1" x14ac:dyDescent="0.3">
      <c r="A13110" s="12"/>
    </row>
    <row r="13111" spans="1:1" x14ac:dyDescent="0.3">
      <c r="A13111" s="12"/>
    </row>
    <row r="13112" spans="1:1" x14ac:dyDescent="0.3">
      <c r="A13112" s="12"/>
    </row>
    <row r="13113" spans="1:1" x14ac:dyDescent="0.3">
      <c r="A13113" s="12"/>
    </row>
    <row r="13114" spans="1:1" x14ac:dyDescent="0.3">
      <c r="A13114" s="12"/>
    </row>
    <row r="13115" spans="1:1" x14ac:dyDescent="0.3">
      <c r="A13115" s="12"/>
    </row>
    <row r="13116" spans="1:1" x14ac:dyDescent="0.3">
      <c r="A13116" s="12"/>
    </row>
    <row r="13117" spans="1:1" x14ac:dyDescent="0.3">
      <c r="A13117" s="12"/>
    </row>
    <row r="13118" spans="1:1" x14ac:dyDescent="0.3">
      <c r="A13118" s="12"/>
    </row>
    <row r="13119" spans="1:1" x14ac:dyDescent="0.3">
      <c r="A13119" s="12"/>
    </row>
    <row r="13120" spans="1:1" x14ac:dyDescent="0.3">
      <c r="A13120" s="12"/>
    </row>
    <row r="13121" spans="1:1" x14ac:dyDescent="0.3">
      <c r="A13121" s="12"/>
    </row>
    <row r="13122" spans="1:1" x14ac:dyDescent="0.3">
      <c r="A13122" s="12"/>
    </row>
    <row r="13123" spans="1:1" x14ac:dyDescent="0.3">
      <c r="A13123" s="12"/>
    </row>
    <row r="13124" spans="1:1" x14ac:dyDescent="0.3">
      <c r="A13124" s="12"/>
    </row>
    <row r="13125" spans="1:1" x14ac:dyDescent="0.3">
      <c r="A13125" s="12"/>
    </row>
    <row r="13126" spans="1:1" x14ac:dyDescent="0.3">
      <c r="A13126" s="12"/>
    </row>
    <row r="13127" spans="1:1" x14ac:dyDescent="0.3">
      <c r="A13127" s="12"/>
    </row>
    <row r="13128" spans="1:1" x14ac:dyDescent="0.3">
      <c r="A13128" s="12"/>
    </row>
    <row r="13129" spans="1:1" x14ac:dyDescent="0.3">
      <c r="A13129" s="12"/>
    </row>
    <row r="13130" spans="1:1" x14ac:dyDescent="0.3">
      <c r="A13130" s="12"/>
    </row>
    <row r="13131" spans="1:1" x14ac:dyDescent="0.3">
      <c r="A13131" s="12"/>
    </row>
    <row r="13132" spans="1:1" x14ac:dyDescent="0.3">
      <c r="A13132" s="12"/>
    </row>
    <row r="13133" spans="1:1" x14ac:dyDescent="0.3">
      <c r="A13133" s="12"/>
    </row>
    <row r="13134" spans="1:1" x14ac:dyDescent="0.3">
      <c r="A13134" s="12"/>
    </row>
    <row r="13135" spans="1:1" x14ac:dyDescent="0.3">
      <c r="A13135" s="12"/>
    </row>
    <row r="13136" spans="1:1" x14ac:dyDescent="0.3">
      <c r="A13136" s="12"/>
    </row>
    <row r="13137" spans="1:1" x14ac:dyDescent="0.3">
      <c r="A13137" s="12"/>
    </row>
    <row r="13138" spans="1:1" x14ac:dyDescent="0.3">
      <c r="A13138" s="12"/>
    </row>
    <row r="13139" spans="1:1" x14ac:dyDescent="0.3">
      <c r="A13139" s="12"/>
    </row>
    <row r="13140" spans="1:1" x14ac:dyDescent="0.3">
      <c r="A13140" s="12"/>
    </row>
    <row r="13141" spans="1:1" x14ac:dyDescent="0.3">
      <c r="A13141" s="12"/>
    </row>
    <row r="13142" spans="1:1" x14ac:dyDescent="0.3">
      <c r="A13142" s="12"/>
    </row>
    <row r="13143" spans="1:1" x14ac:dyDescent="0.3">
      <c r="A13143" s="12"/>
    </row>
    <row r="13144" spans="1:1" x14ac:dyDescent="0.3">
      <c r="A13144" s="12"/>
    </row>
    <row r="13145" spans="1:1" x14ac:dyDescent="0.3">
      <c r="A13145" s="12"/>
    </row>
    <row r="13146" spans="1:1" x14ac:dyDescent="0.3">
      <c r="A13146" s="12"/>
    </row>
    <row r="13147" spans="1:1" x14ac:dyDescent="0.3">
      <c r="A13147" s="12"/>
    </row>
    <row r="13148" spans="1:1" x14ac:dyDescent="0.3">
      <c r="A13148" s="12"/>
    </row>
    <row r="13149" spans="1:1" x14ac:dyDescent="0.3">
      <c r="A13149" s="12"/>
    </row>
    <row r="13150" spans="1:1" x14ac:dyDescent="0.3">
      <c r="A13150" s="12"/>
    </row>
    <row r="13151" spans="1:1" x14ac:dyDescent="0.3">
      <c r="A13151" s="12"/>
    </row>
    <row r="13152" spans="1:1" x14ac:dyDescent="0.3">
      <c r="A13152" s="12"/>
    </row>
    <row r="13153" spans="1:1" x14ac:dyDescent="0.3">
      <c r="A13153" s="12"/>
    </row>
    <row r="13154" spans="1:1" x14ac:dyDescent="0.3">
      <c r="A13154" s="12"/>
    </row>
    <row r="13155" spans="1:1" x14ac:dyDescent="0.3">
      <c r="A13155" s="12"/>
    </row>
    <row r="13156" spans="1:1" x14ac:dyDescent="0.3">
      <c r="A13156" s="12"/>
    </row>
    <row r="13157" spans="1:1" x14ac:dyDescent="0.3">
      <c r="A13157" s="12"/>
    </row>
    <row r="13158" spans="1:1" x14ac:dyDescent="0.3">
      <c r="A13158" s="12"/>
    </row>
    <row r="13159" spans="1:1" x14ac:dyDescent="0.3">
      <c r="A13159" s="12"/>
    </row>
    <row r="13160" spans="1:1" x14ac:dyDescent="0.3">
      <c r="A13160" s="12"/>
    </row>
    <row r="13161" spans="1:1" x14ac:dyDescent="0.3">
      <c r="A13161" s="12"/>
    </row>
    <row r="13162" spans="1:1" x14ac:dyDescent="0.3">
      <c r="A13162" s="12"/>
    </row>
    <row r="13163" spans="1:1" x14ac:dyDescent="0.3">
      <c r="A13163" s="12"/>
    </row>
    <row r="13164" spans="1:1" x14ac:dyDescent="0.3">
      <c r="A13164" s="12"/>
    </row>
    <row r="13165" spans="1:1" x14ac:dyDescent="0.3">
      <c r="A13165" s="12"/>
    </row>
    <row r="13166" spans="1:1" x14ac:dyDescent="0.3">
      <c r="A13166" s="12"/>
    </row>
    <row r="13167" spans="1:1" x14ac:dyDescent="0.3">
      <c r="A13167" s="12"/>
    </row>
    <row r="13168" spans="1:1" x14ac:dyDescent="0.3">
      <c r="A13168" s="12"/>
    </row>
    <row r="13169" spans="1:1" x14ac:dyDescent="0.3">
      <c r="A13169" s="12"/>
    </row>
    <row r="13170" spans="1:1" x14ac:dyDescent="0.3">
      <c r="A13170" s="12"/>
    </row>
    <row r="13171" spans="1:1" x14ac:dyDescent="0.3">
      <c r="A13171" s="12"/>
    </row>
    <row r="13172" spans="1:1" x14ac:dyDescent="0.3">
      <c r="A13172" s="12"/>
    </row>
    <row r="13173" spans="1:1" x14ac:dyDescent="0.3">
      <c r="A13173" s="12"/>
    </row>
    <row r="13174" spans="1:1" x14ac:dyDescent="0.3">
      <c r="A13174" s="12"/>
    </row>
    <row r="13175" spans="1:1" x14ac:dyDescent="0.3">
      <c r="A13175" s="12"/>
    </row>
    <row r="13176" spans="1:1" x14ac:dyDescent="0.3">
      <c r="A13176" s="12"/>
    </row>
    <row r="13177" spans="1:1" x14ac:dyDescent="0.3">
      <c r="A13177" s="12"/>
    </row>
    <row r="13178" spans="1:1" x14ac:dyDescent="0.3">
      <c r="A13178" s="12"/>
    </row>
    <row r="13179" spans="1:1" x14ac:dyDescent="0.3">
      <c r="A13179" s="12"/>
    </row>
    <row r="13180" spans="1:1" x14ac:dyDescent="0.3">
      <c r="A13180" s="12"/>
    </row>
    <row r="13181" spans="1:1" x14ac:dyDescent="0.3">
      <c r="A13181" s="12"/>
    </row>
    <row r="13182" spans="1:1" x14ac:dyDescent="0.3">
      <c r="A13182" s="12"/>
    </row>
    <row r="13183" spans="1:1" x14ac:dyDescent="0.3">
      <c r="A13183" s="12"/>
    </row>
    <row r="13184" spans="1:1" x14ac:dyDescent="0.3">
      <c r="A13184" s="12"/>
    </row>
    <row r="13185" spans="1:1" x14ac:dyDescent="0.3">
      <c r="A13185" s="12"/>
    </row>
    <row r="13186" spans="1:1" x14ac:dyDescent="0.3">
      <c r="A13186" s="12"/>
    </row>
    <row r="13187" spans="1:1" x14ac:dyDescent="0.3">
      <c r="A13187" s="12"/>
    </row>
    <row r="13188" spans="1:1" x14ac:dyDescent="0.3">
      <c r="A13188" s="12"/>
    </row>
    <row r="13189" spans="1:1" x14ac:dyDescent="0.3">
      <c r="A13189" s="12"/>
    </row>
    <row r="13190" spans="1:1" x14ac:dyDescent="0.3">
      <c r="A13190" s="12"/>
    </row>
    <row r="13191" spans="1:1" x14ac:dyDescent="0.3">
      <c r="A13191" s="12"/>
    </row>
    <row r="13192" spans="1:1" x14ac:dyDescent="0.3">
      <c r="A13192" s="12"/>
    </row>
    <row r="13193" spans="1:1" x14ac:dyDescent="0.3">
      <c r="A13193" s="12"/>
    </row>
    <row r="13194" spans="1:1" x14ac:dyDescent="0.3">
      <c r="A13194" s="12"/>
    </row>
    <row r="13195" spans="1:1" x14ac:dyDescent="0.3">
      <c r="A13195" s="12"/>
    </row>
    <row r="13196" spans="1:1" x14ac:dyDescent="0.3">
      <c r="A13196" s="12"/>
    </row>
    <row r="13197" spans="1:1" x14ac:dyDescent="0.3">
      <c r="A13197" s="12"/>
    </row>
    <row r="13198" spans="1:1" x14ac:dyDescent="0.3">
      <c r="A13198" s="12"/>
    </row>
    <row r="13199" spans="1:1" x14ac:dyDescent="0.3">
      <c r="A13199" s="12"/>
    </row>
    <row r="13200" spans="1:1" x14ac:dyDescent="0.3">
      <c r="A13200" s="12"/>
    </row>
    <row r="13201" spans="1:1" x14ac:dyDescent="0.3">
      <c r="A13201" s="12"/>
    </row>
    <row r="13202" spans="1:1" x14ac:dyDescent="0.3">
      <c r="A13202" s="12"/>
    </row>
    <row r="13203" spans="1:1" x14ac:dyDescent="0.3">
      <c r="A13203" s="12"/>
    </row>
    <row r="13204" spans="1:1" x14ac:dyDescent="0.3">
      <c r="A13204" s="12"/>
    </row>
    <row r="13205" spans="1:1" x14ac:dyDescent="0.3">
      <c r="A13205" s="12"/>
    </row>
    <row r="13206" spans="1:1" x14ac:dyDescent="0.3">
      <c r="A13206" s="12"/>
    </row>
    <row r="13207" spans="1:1" x14ac:dyDescent="0.3">
      <c r="A13207" s="12"/>
    </row>
    <row r="13208" spans="1:1" x14ac:dyDescent="0.3">
      <c r="A13208" s="12"/>
    </row>
    <row r="13209" spans="1:1" x14ac:dyDescent="0.3">
      <c r="A13209" s="12"/>
    </row>
    <row r="13210" spans="1:1" x14ac:dyDescent="0.3">
      <c r="A13210" s="12"/>
    </row>
    <row r="13211" spans="1:1" x14ac:dyDescent="0.3">
      <c r="A13211" s="12"/>
    </row>
    <row r="13212" spans="1:1" x14ac:dyDescent="0.3">
      <c r="A13212" s="12"/>
    </row>
    <row r="13213" spans="1:1" x14ac:dyDescent="0.3">
      <c r="A13213" s="12"/>
    </row>
    <row r="13214" spans="1:1" x14ac:dyDescent="0.3">
      <c r="A13214" s="12"/>
    </row>
    <row r="13215" spans="1:1" x14ac:dyDescent="0.3">
      <c r="A13215" s="12"/>
    </row>
    <row r="13216" spans="1:1" x14ac:dyDescent="0.3">
      <c r="A13216" s="12"/>
    </row>
    <row r="13217" spans="1:1" x14ac:dyDescent="0.3">
      <c r="A13217" s="12"/>
    </row>
    <row r="13218" spans="1:1" x14ac:dyDescent="0.3">
      <c r="A13218" s="12"/>
    </row>
    <row r="13219" spans="1:1" x14ac:dyDescent="0.3">
      <c r="A13219" s="12"/>
    </row>
    <row r="13220" spans="1:1" x14ac:dyDescent="0.3">
      <c r="A13220" s="12"/>
    </row>
    <row r="13221" spans="1:1" x14ac:dyDescent="0.3">
      <c r="A13221" s="12"/>
    </row>
    <row r="13222" spans="1:1" x14ac:dyDescent="0.3">
      <c r="A13222" s="12"/>
    </row>
    <row r="13223" spans="1:1" x14ac:dyDescent="0.3">
      <c r="A13223" s="12"/>
    </row>
    <row r="13224" spans="1:1" x14ac:dyDescent="0.3">
      <c r="A13224" s="12"/>
    </row>
    <row r="13225" spans="1:1" x14ac:dyDescent="0.3">
      <c r="A13225" s="12"/>
    </row>
    <row r="13226" spans="1:1" x14ac:dyDescent="0.3">
      <c r="A13226" s="12"/>
    </row>
    <row r="13227" spans="1:1" x14ac:dyDescent="0.3">
      <c r="A13227" s="12"/>
    </row>
    <row r="13228" spans="1:1" x14ac:dyDescent="0.3">
      <c r="A13228" s="12"/>
    </row>
    <row r="13229" spans="1:1" x14ac:dyDescent="0.3">
      <c r="A13229" s="12"/>
    </row>
    <row r="13230" spans="1:1" x14ac:dyDescent="0.3">
      <c r="A13230" s="12"/>
    </row>
    <row r="13231" spans="1:1" x14ac:dyDescent="0.3">
      <c r="A13231" s="12"/>
    </row>
    <row r="13232" spans="1:1" x14ac:dyDescent="0.3">
      <c r="A13232" s="12"/>
    </row>
    <row r="13233" spans="1:1" x14ac:dyDescent="0.3">
      <c r="A13233" s="12"/>
    </row>
    <row r="13234" spans="1:1" x14ac:dyDescent="0.3">
      <c r="A13234" s="12"/>
    </row>
    <row r="13235" spans="1:1" x14ac:dyDescent="0.3">
      <c r="A13235" s="12"/>
    </row>
    <row r="13236" spans="1:1" x14ac:dyDescent="0.3">
      <c r="A13236" s="12"/>
    </row>
    <row r="13237" spans="1:1" x14ac:dyDescent="0.3">
      <c r="A13237" s="12"/>
    </row>
    <row r="13238" spans="1:1" x14ac:dyDescent="0.3">
      <c r="A13238" s="12"/>
    </row>
    <row r="13239" spans="1:1" x14ac:dyDescent="0.3">
      <c r="A13239" s="12"/>
    </row>
    <row r="13240" spans="1:1" x14ac:dyDescent="0.3">
      <c r="A13240" s="12"/>
    </row>
    <row r="13241" spans="1:1" x14ac:dyDescent="0.3">
      <c r="A13241" s="12"/>
    </row>
    <row r="13242" spans="1:1" x14ac:dyDescent="0.3">
      <c r="A13242" s="12"/>
    </row>
    <row r="13243" spans="1:1" x14ac:dyDescent="0.3">
      <c r="A13243" s="12"/>
    </row>
    <row r="13244" spans="1:1" x14ac:dyDescent="0.3">
      <c r="A13244" s="12"/>
    </row>
    <row r="13245" spans="1:1" x14ac:dyDescent="0.3">
      <c r="A13245" s="12"/>
    </row>
    <row r="13246" spans="1:1" x14ac:dyDescent="0.3">
      <c r="A13246" s="12"/>
    </row>
    <row r="13247" spans="1:1" x14ac:dyDescent="0.3">
      <c r="A13247" s="12"/>
    </row>
    <row r="13248" spans="1:1" x14ac:dyDescent="0.3">
      <c r="A13248" s="12"/>
    </row>
    <row r="13249" spans="1:1" x14ac:dyDescent="0.3">
      <c r="A13249" s="12"/>
    </row>
    <row r="13250" spans="1:1" x14ac:dyDescent="0.3">
      <c r="A13250" s="12"/>
    </row>
    <row r="13251" spans="1:1" x14ac:dyDescent="0.3">
      <c r="A13251" s="12"/>
    </row>
    <row r="13252" spans="1:1" x14ac:dyDescent="0.3">
      <c r="A13252" s="12"/>
    </row>
    <row r="13253" spans="1:1" x14ac:dyDescent="0.3">
      <c r="A13253" s="12"/>
    </row>
    <row r="13254" spans="1:1" x14ac:dyDescent="0.3">
      <c r="A13254" s="12"/>
    </row>
    <row r="13255" spans="1:1" x14ac:dyDescent="0.3">
      <c r="A13255" s="12"/>
    </row>
    <row r="13256" spans="1:1" x14ac:dyDescent="0.3">
      <c r="A13256" s="12"/>
    </row>
    <row r="13257" spans="1:1" x14ac:dyDescent="0.3">
      <c r="A13257" s="12"/>
    </row>
    <row r="13258" spans="1:1" x14ac:dyDescent="0.3">
      <c r="A13258" s="12"/>
    </row>
    <row r="13259" spans="1:1" x14ac:dyDescent="0.3">
      <c r="A13259" s="12"/>
    </row>
    <row r="13260" spans="1:1" x14ac:dyDescent="0.3">
      <c r="A13260" s="12"/>
    </row>
    <row r="13261" spans="1:1" x14ac:dyDescent="0.3">
      <c r="A13261" s="12"/>
    </row>
    <row r="13262" spans="1:1" x14ac:dyDescent="0.3">
      <c r="A13262" s="12"/>
    </row>
    <row r="13263" spans="1:1" x14ac:dyDescent="0.3">
      <c r="A13263" s="12"/>
    </row>
    <row r="13264" spans="1:1" x14ac:dyDescent="0.3">
      <c r="A13264" s="12"/>
    </row>
    <row r="13265" spans="1:1" x14ac:dyDescent="0.3">
      <c r="A13265" s="12"/>
    </row>
    <row r="13266" spans="1:1" x14ac:dyDescent="0.3">
      <c r="A13266" s="12"/>
    </row>
    <row r="13267" spans="1:1" x14ac:dyDescent="0.3">
      <c r="A13267" s="12"/>
    </row>
    <row r="13268" spans="1:1" x14ac:dyDescent="0.3">
      <c r="A13268" s="12"/>
    </row>
    <row r="13269" spans="1:1" x14ac:dyDescent="0.3">
      <c r="A13269" s="12"/>
    </row>
    <row r="13270" spans="1:1" x14ac:dyDescent="0.3">
      <c r="A13270" s="12"/>
    </row>
    <row r="13271" spans="1:1" x14ac:dyDescent="0.3">
      <c r="A13271" s="12"/>
    </row>
    <row r="13272" spans="1:1" x14ac:dyDescent="0.3">
      <c r="A13272" s="12"/>
    </row>
    <row r="13273" spans="1:1" x14ac:dyDescent="0.3">
      <c r="A13273" s="12"/>
    </row>
    <row r="13274" spans="1:1" x14ac:dyDescent="0.3">
      <c r="A13274" s="12"/>
    </row>
    <row r="13275" spans="1:1" x14ac:dyDescent="0.3">
      <c r="A13275" s="12"/>
    </row>
    <row r="13276" spans="1:1" x14ac:dyDescent="0.3">
      <c r="A13276" s="12"/>
    </row>
    <row r="13277" spans="1:1" x14ac:dyDescent="0.3">
      <c r="A13277" s="12"/>
    </row>
    <row r="13278" spans="1:1" x14ac:dyDescent="0.3">
      <c r="A13278" s="12"/>
    </row>
    <row r="13279" spans="1:1" x14ac:dyDescent="0.3">
      <c r="A13279" s="12"/>
    </row>
    <row r="13280" spans="1:1" x14ac:dyDescent="0.3">
      <c r="A13280" s="12"/>
    </row>
    <row r="13281" spans="1:1" x14ac:dyDescent="0.3">
      <c r="A13281" s="12"/>
    </row>
    <row r="13282" spans="1:1" x14ac:dyDescent="0.3">
      <c r="A13282" s="12"/>
    </row>
    <row r="13283" spans="1:1" x14ac:dyDescent="0.3">
      <c r="A13283" s="12"/>
    </row>
    <row r="13284" spans="1:1" x14ac:dyDescent="0.3">
      <c r="A13284" s="12"/>
    </row>
    <row r="13285" spans="1:1" x14ac:dyDescent="0.3">
      <c r="A13285" s="12"/>
    </row>
    <row r="13286" spans="1:1" x14ac:dyDescent="0.3">
      <c r="A13286" s="12"/>
    </row>
    <row r="13287" spans="1:1" x14ac:dyDescent="0.3">
      <c r="A13287" s="12"/>
    </row>
    <row r="13288" spans="1:1" x14ac:dyDescent="0.3">
      <c r="A13288" s="12"/>
    </row>
    <row r="13289" spans="1:1" x14ac:dyDescent="0.3">
      <c r="A13289" s="12"/>
    </row>
    <row r="13290" spans="1:1" x14ac:dyDescent="0.3">
      <c r="A13290" s="12"/>
    </row>
    <row r="13291" spans="1:1" x14ac:dyDescent="0.3">
      <c r="A13291" s="12"/>
    </row>
    <row r="13292" spans="1:1" x14ac:dyDescent="0.3">
      <c r="A13292" s="12"/>
    </row>
    <row r="13293" spans="1:1" x14ac:dyDescent="0.3">
      <c r="A13293" s="12"/>
    </row>
    <row r="13294" spans="1:1" x14ac:dyDescent="0.3">
      <c r="A13294" s="12"/>
    </row>
    <row r="13295" spans="1:1" x14ac:dyDescent="0.3">
      <c r="A13295" s="12"/>
    </row>
    <row r="13296" spans="1:1" x14ac:dyDescent="0.3">
      <c r="A13296" s="12"/>
    </row>
    <row r="13297" spans="1:1" x14ac:dyDescent="0.3">
      <c r="A13297" s="12"/>
    </row>
    <row r="13298" spans="1:1" x14ac:dyDescent="0.3">
      <c r="A13298" s="12"/>
    </row>
    <row r="13299" spans="1:1" x14ac:dyDescent="0.3">
      <c r="A13299" s="12"/>
    </row>
    <row r="13300" spans="1:1" x14ac:dyDescent="0.3">
      <c r="A13300" s="12"/>
    </row>
    <row r="13301" spans="1:1" x14ac:dyDescent="0.3">
      <c r="A13301" s="12"/>
    </row>
    <row r="13302" spans="1:1" x14ac:dyDescent="0.3">
      <c r="A13302" s="12"/>
    </row>
    <row r="13303" spans="1:1" x14ac:dyDescent="0.3">
      <c r="A13303" s="12"/>
    </row>
    <row r="13304" spans="1:1" x14ac:dyDescent="0.3">
      <c r="A13304" s="12"/>
    </row>
    <row r="13305" spans="1:1" x14ac:dyDescent="0.3">
      <c r="A13305" s="12"/>
    </row>
    <row r="13306" spans="1:1" x14ac:dyDescent="0.3">
      <c r="A13306" s="12"/>
    </row>
    <row r="13307" spans="1:1" x14ac:dyDescent="0.3">
      <c r="A13307" s="12"/>
    </row>
    <row r="13308" spans="1:1" x14ac:dyDescent="0.3">
      <c r="A13308" s="12"/>
    </row>
    <row r="13309" spans="1:1" x14ac:dyDescent="0.3">
      <c r="A13309" s="12"/>
    </row>
    <row r="13310" spans="1:1" x14ac:dyDescent="0.3">
      <c r="A13310" s="12"/>
    </row>
    <row r="13311" spans="1:1" x14ac:dyDescent="0.3">
      <c r="A13311" s="12"/>
    </row>
    <row r="13312" spans="1:1" x14ac:dyDescent="0.3">
      <c r="A13312" s="12"/>
    </row>
    <row r="13313" spans="1:1" x14ac:dyDescent="0.3">
      <c r="A13313" s="12"/>
    </row>
    <row r="13314" spans="1:1" x14ac:dyDescent="0.3">
      <c r="A13314" s="12"/>
    </row>
    <row r="13315" spans="1:1" x14ac:dyDescent="0.3">
      <c r="A13315" s="12"/>
    </row>
    <row r="13316" spans="1:1" x14ac:dyDescent="0.3">
      <c r="A13316" s="12"/>
    </row>
    <row r="13317" spans="1:1" x14ac:dyDescent="0.3">
      <c r="A13317" s="12"/>
    </row>
    <row r="13318" spans="1:1" x14ac:dyDescent="0.3">
      <c r="A13318" s="12"/>
    </row>
    <row r="13319" spans="1:1" x14ac:dyDescent="0.3">
      <c r="A13319" s="12"/>
    </row>
    <row r="13320" spans="1:1" x14ac:dyDescent="0.3">
      <c r="A13320" s="12"/>
    </row>
    <row r="13321" spans="1:1" x14ac:dyDescent="0.3">
      <c r="A13321" s="12"/>
    </row>
    <row r="13322" spans="1:1" x14ac:dyDescent="0.3">
      <c r="A13322" s="12"/>
    </row>
    <row r="13323" spans="1:1" x14ac:dyDescent="0.3">
      <c r="A13323" s="12"/>
    </row>
    <row r="13324" spans="1:1" x14ac:dyDescent="0.3">
      <c r="A13324" s="12"/>
    </row>
    <row r="13325" spans="1:1" x14ac:dyDescent="0.3">
      <c r="A13325" s="12"/>
    </row>
    <row r="13326" spans="1:1" x14ac:dyDescent="0.3">
      <c r="A13326" s="12"/>
    </row>
    <row r="13327" spans="1:1" x14ac:dyDescent="0.3">
      <c r="A13327" s="12"/>
    </row>
    <row r="13328" spans="1:1" x14ac:dyDescent="0.3">
      <c r="A13328" s="12"/>
    </row>
    <row r="13329" spans="1:1" x14ac:dyDescent="0.3">
      <c r="A13329" s="12"/>
    </row>
    <row r="13330" spans="1:1" x14ac:dyDescent="0.3">
      <c r="A13330" s="12"/>
    </row>
    <row r="13331" spans="1:1" x14ac:dyDescent="0.3">
      <c r="A13331" s="12"/>
    </row>
    <row r="13332" spans="1:1" x14ac:dyDescent="0.3">
      <c r="A13332" s="12"/>
    </row>
    <row r="13333" spans="1:1" x14ac:dyDescent="0.3">
      <c r="A13333" s="12"/>
    </row>
    <row r="13334" spans="1:1" x14ac:dyDescent="0.3">
      <c r="A13334" s="12"/>
    </row>
    <row r="13335" spans="1:1" x14ac:dyDescent="0.3">
      <c r="A13335" s="12"/>
    </row>
    <row r="13336" spans="1:1" x14ac:dyDescent="0.3">
      <c r="A13336" s="12"/>
    </row>
    <row r="13337" spans="1:1" x14ac:dyDescent="0.3">
      <c r="A13337" s="12"/>
    </row>
    <row r="13338" spans="1:1" x14ac:dyDescent="0.3">
      <c r="A13338" s="12"/>
    </row>
    <row r="13339" spans="1:1" x14ac:dyDescent="0.3">
      <c r="A13339" s="12"/>
    </row>
    <row r="13340" spans="1:1" x14ac:dyDescent="0.3">
      <c r="A13340" s="12"/>
    </row>
    <row r="13341" spans="1:1" x14ac:dyDescent="0.3">
      <c r="A13341" s="12"/>
    </row>
    <row r="13342" spans="1:1" x14ac:dyDescent="0.3">
      <c r="A13342" s="12"/>
    </row>
    <row r="13343" spans="1:1" x14ac:dyDescent="0.3">
      <c r="A13343" s="12"/>
    </row>
    <row r="13344" spans="1:1" x14ac:dyDescent="0.3">
      <c r="A13344" s="12"/>
    </row>
    <row r="13345" spans="1:1" x14ac:dyDescent="0.3">
      <c r="A13345" s="12"/>
    </row>
    <row r="13346" spans="1:1" x14ac:dyDescent="0.3">
      <c r="A13346" s="12"/>
    </row>
    <row r="13347" spans="1:1" x14ac:dyDescent="0.3">
      <c r="A13347" s="12"/>
    </row>
    <row r="13348" spans="1:1" x14ac:dyDescent="0.3">
      <c r="A13348" s="12"/>
    </row>
    <row r="13349" spans="1:1" x14ac:dyDescent="0.3">
      <c r="A13349" s="12"/>
    </row>
    <row r="13350" spans="1:1" x14ac:dyDescent="0.3">
      <c r="A13350" s="12"/>
    </row>
    <row r="13351" spans="1:1" x14ac:dyDescent="0.3">
      <c r="A13351" s="12"/>
    </row>
    <row r="13352" spans="1:1" x14ac:dyDescent="0.3">
      <c r="A13352" s="12"/>
    </row>
    <row r="13353" spans="1:1" x14ac:dyDescent="0.3">
      <c r="A13353" s="12"/>
    </row>
    <row r="13354" spans="1:1" x14ac:dyDescent="0.3">
      <c r="A13354" s="12"/>
    </row>
    <row r="13355" spans="1:1" x14ac:dyDescent="0.3">
      <c r="A13355" s="12"/>
    </row>
    <row r="13356" spans="1:1" x14ac:dyDescent="0.3">
      <c r="A13356" s="12"/>
    </row>
    <row r="13357" spans="1:1" x14ac:dyDescent="0.3">
      <c r="A13357" s="12"/>
    </row>
    <row r="13358" spans="1:1" x14ac:dyDescent="0.3">
      <c r="A13358" s="12"/>
    </row>
    <row r="13359" spans="1:1" x14ac:dyDescent="0.3">
      <c r="A13359" s="12"/>
    </row>
    <row r="13360" spans="1:1" x14ac:dyDescent="0.3">
      <c r="A13360" s="12"/>
    </row>
    <row r="13361" spans="1:1" x14ac:dyDescent="0.3">
      <c r="A13361" s="12"/>
    </row>
    <row r="13362" spans="1:1" x14ac:dyDescent="0.3">
      <c r="A13362" s="12"/>
    </row>
    <row r="13363" spans="1:1" x14ac:dyDescent="0.3">
      <c r="A13363" s="12"/>
    </row>
    <row r="13364" spans="1:1" x14ac:dyDescent="0.3">
      <c r="A13364" s="12"/>
    </row>
    <row r="13365" spans="1:1" x14ac:dyDescent="0.3">
      <c r="A13365" s="12"/>
    </row>
    <row r="13366" spans="1:1" x14ac:dyDescent="0.3">
      <c r="A13366" s="12"/>
    </row>
    <row r="13367" spans="1:1" x14ac:dyDescent="0.3">
      <c r="A13367" s="12"/>
    </row>
    <row r="13368" spans="1:1" x14ac:dyDescent="0.3">
      <c r="A13368" s="12"/>
    </row>
    <row r="13369" spans="1:1" x14ac:dyDescent="0.3">
      <c r="A13369" s="12"/>
    </row>
    <row r="13370" spans="1:1" x14ac:dyDescent="0.3">
      <c r="A13370" s="12"/>
    </row>
    <row r="13371" spans="1:1" x14ac:dyDescent="0.3">
      <c r="A13371" s="12"/>
    </row>
    <row r="13372" spans="1:1" x14ac:dyDescent="0.3">
      <c r="A13372" s="12"/>
    </row>
    <row r="13373" spans="1:1" x14ac:dyDescent="0.3">
      <c r="A13373" s="12"/>
    </row>
    <row r="13374" spans="1:1" x14ac:dyDescent="0.3">
      <c r="A13374" s="12"/>
    </row>
    <row r="13375" spans="1:1" x14ac:dyDescent="0.3">
      <c r="A13375" s="12"/>
    </row>
    <row r="13376" spans="1:1" x14ac:dyDescent="0.3">
      <c r="A13376" s="12"/>
    </row>
    <row r="13377" spans="1:1" x14ac:dyDescent="0.3">
      <c r="A13377" s="12"/>
    </row>
    <row r="13378" spans="1:1" x14ac:dyDescent="0.3">
      <c r="A13378" s="12"/>
    </row>
    <row r="13379" spans="1:1" x14ac:dyDescent="0.3">
      <c r="A13379" s="12"/>
    </row>
    <row r="13380" spans="1:1" x14ac:dyDescent="0.3">
      <c r="A13380" s="12"/>
    </row>
    <row r="13381" spans="1:1" x14ac:dyDescent="0.3">
      <c r="A13381" s="12"/>
    </row>
    <row r="13382" spans="1:1" x14ac:dyDescent="0.3">
      <c r="A13382" s="12"/>
    </row>
    <row r="13383" spans="1:1" x14ac:dyDescent="0.3">
      <c r="A13383" s="12"/>
    </row>
    <row r="13384" spans="1:1" x14ac:dyDescent="0.3">
      <c r="A13384" s="12"/>
    </row>
    <row r="13385" spans="1:1" x14ac:dyDescent="0.3">
      <c r="A13385" s="12"/>
    </row>
    <row r="13386" spans="1:1" x14ac:dyDescent="0.3">
      <c r="A13386" s="12"/>
    </row>
    <row r="13387" spans="1:1" x14ac:dyDescent="0.3">
      <c r="A13387" s="12"/>
    </row>
    <row r="13388" spans="1:1" x14ac:dyDescent="0.3">
      <c r="A13388" s="12"/>
    </row>
    <row r="13389" spans="1:1" x14ac:dyDescent="0.3">
      <c r="A13389" s="12"/>
    </row>
    <row r="13390" spans="1:1" x14ac:dyDescent="0.3">
      <c r="A13390" s="12"/>
    </row>
    <row r="13391" spans="1:1" x14ac:dyDescent="0.3">
      <c r="A13391" s="12"/>
    </row>
    <row r="13392" spans="1:1" x14ac:dyDescent="0.3">
      <c r="A13392" s="12"/>
    </row>
    <row r="13393" spans="1:1" x14ac:dyDescent="0.3">
      <c r="A13393" s="12"/>
    </row>
    <row r="13394" spans="1:1" x14ac:dyDescent="0.3">
      <c r="A13394" s="12"/>
    </row>
    <row r="13395" spans="1:1" x14ac:dyDescent="0.3">
      <c r="A13395" s="12"/>
    </row>
    <row r="13396" spans="1:1" x14ac:dyDescent="0.3">
      <c r="A13396" s="12"/>
    </row>
    <row r="13397" spans="1:1" x14ac:dyDescent="0.3">
      <c r="A13397" s="12"/>
    </row>
    <row r="13398" spans="1:1" x14ac:dyDescent="0.3">
      <c r="A13398" s="12"/>
    </row>
    <row r="13399" spans="1:1" x14ac:dyDescent="0.3">
      <c r="A13399" s="12"/>
    </row>
    <row r="13400" spans="1:1" x14ac:dyDescent="0.3">
      <c r="A13400" s="12"/>
    </row>
    <row r="13401" spans="1:1" x14ac:dyDescent="0.3">
      <c r="A13401" s="12"/>
    </row>
    <row r="13402" spans="1:1" x14ac:dyDescent="0.3">
      <c r="A13402" s="12"/>
    </row>
    <row r="13403" spans="1:1" x14ac:dyDescent="0.3">
      <c r="A13403" s="12"/>
    </row>
    <row r="13404" spans="1:1" x14ac:dyDescent="0.3">
      <c r="A13404" s="12"/>
    </row>
    <row r="13405" spans="1:1" x14ac:dyDescent="0.3">
      <c r="A13405" s="12"/>
    </row>
    <row r="13406" spans="1:1" x14ac:dyDescent="0.3">
      <c r="A13406" s="12"/>
    </row>
    <row r="13407" spans="1:1" x14ac:dyDescent="0.3">
      <c r="A13407" s="12"/>
    </row>
    <row r="13408" spans="1:1" x14ac:dyDescent="0.3">
      <c r="A13408" s="12"/>
    </row>
    <row r="13409" spans="1:1" x14ac:dyDescent="0.3">
      <c r="A13409" s="12"/>
    </row>
    <row r="13410" spans="1:1" x14ac:dyDescent="0.3">
      <c r="A13410" s="12"/>
    </row>
    <row r="13411" spans="1:1" x14ac:dyDescent="0.3">
      <c r="A13411" s="12"/>
    </row>
    <row r="13412" spans="1:1" x14ac:dyDescent="0.3">
      <c r="A13412" s="12"/>
    </row>
    <row r="13413" spans="1:1" x14ac:dyDescent="0.3">
      <c r="A13413" s="12"/>
    </row>
    <row r="13414" spans="1:1" x14ac:dyDescent="0.3">
      <c r="A13414" s="12"/>
    </row>
    <row r="13415" spans="1:1" x14ac:dyDescent="0.3">
      <c r="A13415" s="12"/>
    </row>
    <row r="13416" spans="1:1" x14ac:dyDescent="0.3">
      <c r="A13416" s="12"/>
    </row>
    <row r="13417" spans="1:1" x14ac:dyDescent="0.3">
      <c r="A13417" s="12"/>
    </row>
    <row r="13418" spans="1:1" x14ac:dyDescent="0.3">
      <c r="A13418" s="12"/>
    </row>
    <row r="13419" spans="1:1" x14ac:dyDescent="0.3">
      <c r="A13419" s="12"/>
    </row>
    <row r="13420" spans="1:1" x14ac:dyDescent="0.3">
      <c r="A13420" s="12"/>
    </row>
    <row r="13421" spans="1:1" x14ac:dyDescent="0.3">
      <c r="A13421" s="12"/>
    </row>
    <row r="13422" spans="1:1" x14ac:dyDescent="0.3">
      <c r="A13422" s="12"/>
    </row>
    <row r="13423" spans="1:1" x14ac:dyDescent="0.3">
      <c r="A13423" s="12"/>
    </row>
    <row r="13424" spans="1:1" x14ac:dyDescent="0.3">
      <c r="A13424" s="12"/>
    </row>
    <row r="13425" spans="1:1" x14ac:dyDescent="0.3">
      <c r="A13425" s="12"/>
    </row>
    <row r="13426" spans="1:1" x14ac:dyDescent="0.3">
      <c r="A13426" s="12"/>
    </row>
    <row r="13427" spans="1:1" x14ac:dyDescent="0.3">
      <c r="A13427" s="12"/>
    </row>
    <row r="13428" spans="1:1" x14ac:dyDescent="0.3">
      <c r="A13428" s="12"/>
    </row>
    <row r="13429" spans="1:1" x14ac:dyDescent="0.3">
      <c r="A13429" s="12"/>
    </row>
    <row r="13430" spans="1:1" x14ac:dyDescent="0.3">
      <c r="A13430" s="12"/>
    </row>
    <row r="13431" spans="1:1" x14ac:dyDescent="0.3">
      <c r="A13431" s="12"/>
    </row>
    <row r="13432" spans="1:1" x14ac:dyDescent="0.3">
      <c r="A13432" s="12"/>
    </row>
    <row r="13433" spans="1:1" x14ac:dyDescent="0.3">
      <c r="A13433" s="12"/>
    </row>
    <row r="13434" spans="1:1" x14ac:dyDescent="0.3">
      <c r="A13434" s="12"/>
    </row>
    <row r="13435" spans="1:1" x14ac:dyDescent="0.3">
      <c r="A13435" s="12"/>
    </row>
    <row r="13436" spans="1:1" x14ac:dyDescent="0.3">
      <c r="A13436" s="12"/>
    </row>
    <row r="13437" spans="1:1" x14ac:dyDescent="0.3">
      <c r="A13437" s="12"/>
    </row>
    <row r="13438" spans="1:1" x14ac:dyDescent="0.3">
      <c r="A13438" s="12"/>
    </row>
    <row r="13439" spans="1:1" x14ac:dyDescent="0.3">
      <c r="A13439" s="12"/>
    </row>
    <row r="13440" spans="1:1" x14ac:dyDescent="0.3">
      <c r="A13440" s="12"/>
    </row>
    <row r="13441" spans="1:1" x14ac:dyDescent="0.3">
      <c r="A13441" s="12"/>
    </row>
    <row r="13442" spans="1:1" x14ac:dyDescent="0.3">
      <c r="A13442" s="12"/>
    </row>
    <row r="13443" spans="1:1" x14ac:dyDescent="0.3">
      <c r="A13443" s="12"/>
    </row>
    <row r="13444" spans="1:1" x14ac:dyDescent="0.3">
      <c r="A13444" s="12"/>
    </row>
    <row r="13445" spans="1:1" x14ac:dyDescent="0.3">
      <c r="A13445" s="12"/>
    </row>
    <row r="13446" spans="1:1" x14ac:dyDescent="0.3">
      <c r="A13446" s="12"/>
    </row>
    <row r="13447" spans="1:1" x14ac:dyDescent="0.3">
      <c r="A13447" s="12"/>
    </row>
    <row r="13448" spans="1:1" x14ac:dyDescent="0.3">
      <c r="A13448" s="12"/>
    </row>
    <row r="13449" spans="1:1" x14ac:dyDescent="0.3">
      <c r="A13449" s="12"/>
    </row>
    <row r="13450" spans="1:1" x14ac:dyDescent="0.3">
      <c r="A13450" s="12"/>
    </row>
    <row r="13451" spans="1:1" x14ac:dyDescent="0.3">
      <c r="A13451" s="12"/>
    </row>
    <row r="13452" spans="1:1" x14ac:dyDescent="0.3">
      <c r="A13452" s="12"/>
    </row>
    <row r="13453" spans="1:1" x14ac:dyDescent="0.3">
      <c r="A13453" s="12"/>
    </row>
    <row r="13454" spans="1:1" x14ac:dyDescent="0.3">
      <c r="A13454" s="12"/>
    </row>
    <row r="13455" spans="1:1" x14ac:dyDescent="0.3">
      <c r="A13455" s="12"/>
    </row>
    <row r="13456" spans="1:1" x14ac:dyDescent="0.3">
      <c r="A13456" s="12"/>
    </row>
    <row r="13457" spans="1:1" x14ac:dyDescent="0.3">
      <c r="A13457" s="12"/>
    </row>
    <row r="13458" spans="1:1" x14ac:dyDescent="0.3">
      <c r="A13458" s="12"/>
    </row>
    <row r="13459" spans="1:1" x14ac:dyDescent="0.3">
      <c r="A13459" s="12"/>
    </row>
    <row r="13460" spans="1:1" x14ac:dyDescent="0.3">
      <c r="A13460" s="12"/>
    </row>
    <row r="13461" spans="1:1" x14ac:dyDescent="0.3">
      <c r="A13461" s="12"/>
    </row>
    <row r="13462" spans="1:1" x14ac:dyDescent="0.3">
      <c r="A13462" s="12"/>
    </row>
    <row r="13463" spans="1:1" x14ac:dyDescent="0.3">
      <c r="A13463" s="12"/>
    </row>
    <row r="13464" spans="1:1" x14ac:dyDescent="0.3">
      <c r="A13464" s="12"/>
    </row>
    <row r="13465" spans="1:1" x14ac:dyDescent="0.3">
      <c r="A13465" s="12"/>
    </row>
    <row r="13466" spans="1:1" x14ac:dyDescent="0.3">
      <c r="A13466" s="12"/>
    </row>
    <row r="13467" spans="1:1" x14ac:dyDescent="0.3">
      <c r="A13467" s="12"/>
    </row>
    <row r="13468" spans="1:1" x14ac:dyDescent="0.3">
      <c r="A13468" s="12"/>
    </row>
    <row r="13469" spans="1:1" x14ac:dyDescent="0.3">
      <c r="A13469" s="12"/>
    </row>
    <row r="13470" spans="1:1" x14ac:dyDescent="0.3">
      <c r="A13470" s="12"/>
    </row>
    <row r="13471" spans="1:1" x14ac:dyDescent="0.3">
      <c r="A13471" s="12"/>
    </row>
    <row r="13472" spans="1:1" x14ac:dyDescent="0.3">
      <c r="A13472" s="12"/>
    </row>
    <row r="13473" spans="1:1" x14ac:dyDescent="0.3">
      <c r="A13473" s="12"/>
    </row>
    <row r="13474" spans="1:1" x14ac:dyDescent="0.3">
      <c r="A13474" s="12"/>
    </row>
    <row r="13475" spans="1:1" x14ac:dyDescent="0.3">
      <c r="A13475" s="12"/>
    </row>
    <row r="13476" spans="1:1" x14ac:dyDescent="0.3">
      <c r="A13476" s="12"/>
    </row>
    <row r="13477" spans="1:1" x14ac:dyDescent="0.3">
      <c r="A13477" s="12"/>
    </row>
    <row r="13478" spans="1:1" x14ac:dyDescent="0.3">
      <c r="A13478" s="12"/>
    </row>
    <row r="13479" spans="1:1" x14ac:dyDescent="0.3">
      <c r="A13479" s="12"/>
    </row>
    <row r="13480" spans="1:1" x14ac:dyDescent="0.3">
      <c r="A13480" s="12"/>
    </row>
    <row r="13481" spans="1:1" x14ac:dyDescent="0.3">
      <c r="A13481" s="12"/>
    </row>
    <row r="13482" spans="1:1" x14ac:dyDescent="0.3">
      <c r="A13482" s="12"/>
    </row>
    <row r="13483" spans="1:1" x14ac:dyDescent="0.3">
      <c r="A13483" s="12"/>
    </row>
    <row r="13484" spans="1:1" x14ac:dyDescent="0.3">
      <c r="A13484" s="12"/>
    </row>
    <row r="13485" spans="1:1" x14ac:dyDescent="0.3">
      <c r="A13485" s="12"/>
    </row>
    <row r="13486" spans="1:1" x14ac:dyDescent="0.3">
      <c r="A13486" s="12"/>
    </row>
    <row r="13487" spans="1:1" x14ac:dyDescent="0.3">
      <c r="A13487" s="12"/>
    </row>
    <row r="13488" spans="1:1" x14ac:dyDescent="0.3">
      <c r="A13488" s="12"/>
    </row>
    <row r="13489" spans="1:1" x14ac:dyDescent="0.3">
      <c r="A13489" s="12"/>
    </row>
    <row r="13490" spans="1:1" x14ac:dyDescent="0.3">
      <c r="A13490" s="12"/>
    </row>
    <row r="13491" spans="1:1" x14ac:dyDescent="0.3">
      <c r="A13491" s="12"/>
    </row>
    <row r="13492" spans="1:1" x14ac:dyDescent="0.3">
      <c r="A13492" s="12"/>
    </row>
    <row r="13493" spans="1:1" x14ac:dyDescent="0.3">
      <c r="A13493" s="12"/>
    </row>
    <row r="13494" spans="1:1" x14ac:dyDescent="0.3">
      <c r="A13494" s="12"/>
    </row>
    <row r="13495" spans="1:1" x14ac:dyDescent="0.3">
      <c r="A13495" s="12"/>
    </row>
    <row r="13496" spans="1:1" x14ac:dyDescent="0.3">
      <c r="A13496" s="12"/>
    </row>
    <row r="13497" spans="1:1" x14ac:dyDescent="0.3">
      <c r="A13497" s="12"/>
    </row>
    <row r="13498" spans="1:1" x14ac:dyDescent="0.3">
      <c r="A13498" s="12"/>
    </row>
    <row r="13499" spans="1:1" x14ac:dyDescent="0.3">
      <c r="A13499" s="12"/>
    </row>
    <row r="13500" spans="1:1" x14ac:dyDescent="0.3">
      <c r="A13500" s="12"/>
    </row>
    <row r="13501" spans="1:1" x14ac:dyDescent="0.3">
      <c r="A13501" s="12"/>
    </row>
    <row r="13502" spans="1:1" x14ac:dyDescent="0.3">
      <c r="A13502" s="12"/>
    </row>
    <row r="13503" spans="1:1" x14ac:dyDescent="0.3">
      <c r="A13503" s="12"/>
    </row>
    <row r="13504" spans="1:1" x14ac:dyDescent="0.3">
      <c r="A13504" s="12"/>
    </row>
    <row r="13505" spans="1:1" x14ac:dyDescent="0.3">
      <c r="A13505" s="12"/>
    </row>
    <row r="13506" spans="1:1" x14ac:dyDescent="0.3">
      <c r="A13506" s="12"/>
    </row>
    <row r="13507" spans="1:1" x14ac:dyDescent="0.3">
      <c r="A13507" s="12"/>
    </row>
    <row r="13508" spans="1:1" x14ac:dyDescent="0.3">
      <c r="A13508" s="12"/>
    </row>
    <row r="13509" spans="1:1" x14ac:dyDescent="0.3">
      <c r="A13509" s="12"/>
    </row>
    <row r="13510" spans="1:1" x14ac:dyDescent="0.3">
      <c r="A13510" s="12"/>
    </row>
    <row r="13511" spans="1:1" x14ac:dyDescent="0.3">
      <c r="A13511" s="12"/>
    </row>
    <row r="13512" spans="1:1" x14ac:dyDescent="0.3">
      <c r="A13512" s="12"/>
    </row>
    <row r="13513" spans="1:1" x14ac:dyDescent="0.3">
      <c r="A13513" s="12"/>
    </row>
    <row r="13514" spans="1:1" x14ac:dyDescent="0.3">
      <c r="A13514" s="12"/>
    </row>
    <row r="13515" spans="1:1" x14ac:dyDescent="0.3">
      <c r="A13515" s="12"/>
    </row>
    <row r="13516" spans="1:1" x14ac:dyDescent="0.3">
      <c r="A13516" s="12"/>
    </row>
    <row r="13517" spans="1:1" x14ac:dyDescent="0.3">
      <c r="A13517" s="12"/>
    </row>
    <row r="13518" spans="1:1" x14ac:dyDescent="0.3">
      <c r="A13518" s="12"/>
    </row>
    <row r="13519" spans="1:1" x14ac:dyDescent="0.3">
      <c r="A13519" s="12"/>
    </row>
    <row r="13520" spans="1:1" x14ac:dyDescent="0.3">
      <c r="A13520" s="12"/>
    </row>
    <row r="13521" spans="1:1" x14ac:dyDescent="0.3">
      <c r="A13521" s="12"/>
    </row>
    <row r="13522" spans="1:1" x14ac:dyDescent="0.3">
      <c r="A13522" s="12"/>
    </row>
    <row r="13523" spans="1:1" x14ac:dyDescent="0.3">
      <c r="A13523" s="12"/>
    </row>
    <row r="13524" spans="1:1" x14ac:dyDescent="0.3">
      <c r="A13524" s="12"/>
    </row>
    <row r="13525" spans="1:1" x14ac:dyDescent="0.3">
      <c r="A13525" s="12"/>
    </row>
    <row r="13526" spans="1:1" x14ac:dyDescent="0.3">
      <c r="A13526" s="12"/>
    </row>
    <row r="13527" spans="1:1" x14ac:dyDescent="0.3">
      <c r="A13527" s="12"/>
    </row>
    <row r="13528" spans="1:1" x14ac:dyDescent="0.3">
      <c r="A13528" s="12"/>
    </row>
    <row r="13529" spans="1:1" x14ac:dyDescent="0.3">
      <c r="A13529" s="12"/>
    </row>
    <row r="13530" spans="1:1" x14ac:dyDescent="0.3">
      <c r="A13530" s="12"/>
    </row>
    <row r="13531" spans="1:1" x14ac:dyDescent="0.3">
      <c r="A13531" s="12"/>
    </row>
    <row r="13532" spans="1:1" x14ac:dyDescent="0.3">
      <c r="A13532" s="12"/>
    </row>
    <row r="13533" spans="1:1" x14ac:dyDescent="0.3">
      <c r="A13533" s="12"/>
    </row>
    <row r="13534" spans="1:1" x14ac:dyDescent="0.3">
      <c r="A13534" s="12"/>
    </row>
    <row r="13535" spans="1:1" x14ac:dyDescent="0.3">
      <c r="A13535" s="12"/>
    </row>
    <row r="13536" spans="1:1" x14ac:dyDescent="0.3">
      <c r="A13536" s="12"/>
    </row>
    <row r="13537" spans="1:1" x14ac:dyDescent="0.3">
      <c r="A13537" s="12"/>
    </row>
    <row r="13538" spans="1:1" x14ac:dyDescent="0.3">
      <c r="A13538" s="12"/>
    </row>
    <row r="13539" spans="1:1" x14ac:dyDescent="0.3">
      <c r="A13539" s="12"/>
    </row>
    <row r="13540" spans="1:1" x14ac:dyDescent="0.3">
      <c r="A13540" s="12"/>
    </row>
    <row r="13541" spans="1:1" x14ac:dyDescent="0.3">
      <c r="A13541" s="12"/>
    </row>
    <row r="13542" spans="1:1" x14ac:dyDescent="0.3">
      <c r="A13542" s="12"/>
    </row>
    <row r="13543" spans="1:1" x14ac:dyDescent="0.3">
      <c r="A13543" s="12"/>
    </row>
    <row r="13544" spans="1:1" x14ac:dyDescent="0.3">
      <c r="A13544" s="12"/>
    </row>
    <row r="13545" spans="1:1" x14ac:dyDescent="0.3">
      <c r="A13545" s="12"/>
    </row>
    <row r="13546" spans="1:1" x14ac:dyDescent="0.3">
      <c r="A13546" s="12"/>
    </row>
    <row r="13547" spans="1:1" x14ac:dyDescent="0.3">
      <c r="A13547" s="12"/>
    </row>
    <row r="13548" spans="1:1" x14ac:dyDescent="0.3">
      <c r="A13548" s="12"/>
    </row>
    <row r="13549" spans="1:1" x14ac:dyDescent="0.3">
      <c r="A13549" s="12"/>
    </row>
    <row r="13550" spans="1:1" x14ac:dyDescent="0.3">
      <c r="A13550" s="12"/>
    </row>
    <row r="13551" spans="1:1" x14ac:dyDescent="0.3">
      <c r="A13551" s="12"/>
    </row>
    <row r="13552" spans="1:1" x14ac:dyDescent="0.3">
      <c r="A13552" s="12"/>
    </row>
    <row r="13553" spans="1:1" x14ac:dyDescent="0.3">
      <c r="A13553" s="12"/>
    </row>
    <row r="13554" spans="1:1" x14ac:dyDescent="0.3">
      <c r="A13554" s="12"/>
    </row>
    <row r="13555" spans="1:1" x14ac:dyDescent="0.3">
      <c r="A13555" s="12"/>
    </row>
    <row r="13556" spans="1:1" x14ac:dyDescent="0.3">
      <c r="A13556" s="12"/>
    </row>
    <row r="13557" spans="1:1" x14ac:dyDescent="0.3">
      <c r="A13557" s="12"/>
    </row>
    <row r="13558" spans="1:1" x14ac:dyDescent="0.3">
      <c r="A13558" s="12"/>
    </row>
    <row r="13559" spans="1:1" x14ac:dyDescent="0.3">
      <c r="A13559" s="12"/>
    </row>
    <row r="13560" spans="1:1" x14ac:dyDescent="0.3">
      <c r="A13560" s="12"/>
    </row>
    <row r="13561" spans="1:1" x14ac:dyDescent="0.3">
      <c r="A13561" s="12"/>
    </row>
    <row r="13562" spans="1:1" x14ac:dyDescent="0.3">
      <c r="A13562" s="12"/>
    </row>
    <row r="13563" spans="1:1" x14ac:dyDescent="0.3">
      <c r="A13563" s="12"/>
    </row>
    <row r="13564" spans="1:1" x14ac:dyDescent="0.3">
      <c r="A13564" s="12"/>
    </row>
    <row r="13565" spans="1:1" x14ac:dyDescent="0.3">
      <c r="A13565" s="12"/>
    </row>
    <row r="13566" spans="1:1" x14ac:dyDescent="0.3">
      <c r="A13566" s="12"/>
    </row>
    <row r="13567" spans="1:1" x14ac:dyDescent="0.3">
      <c r="A13567" s="12"/>
    </row>
    <row r="13568" spans="1:1" x14ac:dyDescent="0.3">
      <c r="A13568" s="12"/>
    </row>
    <row r="13569" spans="1:1" x14ac:dyDescent="0.3">
      <c r="A13569" s="12"/>
    </row>
    <row r="13570" spans="1:1" x14ac:dyDescent="0.3">
      <c r="A13570" s="12"/>
    </row>
    <row r="13571" spans="1:1" x14ac:dyDescent="0.3">
      <c r="A13571" s="12"/>
    </row>
    <row r="13572" spans="1:1" x14ac:dyDescent="0.3">
      <c r="A13572" s="12"/>
    </row>
    <row r="13573" spans="1:1" x14ac:dyDescent="0.3">
      <c r="A13573" s="12"/>
    </row>
    <row r="13574" spans="1:1" x14ac:dyDescent="0.3">
      <c r="A13574" s="12"/>
    </row>
    <row r="13575" spans="1:1" x14ac:dyDescent="0.3">
      <c r="A13575" s="12"/>
    </row>
    <row r="13576" spans="1:1" x14ac:dyDescent="0.3">
      <c r="A13576" s="12"/>
    </row>
    <row r="13577" spans="1:1" x14ac:dyDescent="0.3">
      <c r="A13577" s="12"/>
    </row>
    <row r="13578" spans="1:1" x14ac:dyDescent="0.3">
      <c r="A13578" s="12"/>
    </row>
    <row r="13579" spans="1:1" x14ac:dyDescent="0.3">
      <c r="A13579" s="12"/>
    </row>
    <row r="13580" spans="1:1" x14ac:dyDescent="0.3">
      <c r="A13580" s="12"/>
    </row>
    <row r="13581" spans="1:1" x14ac:dyDescent="0.3">
      <c r="A13581" s="12"/>
    </row>
    <row r="13582" spans="1:1" x14ac:dyDescent="0.3">
      <c r="A13582" s="12"/>
    </row>
    <row r="13583" spans="1:1" x14ac:dyDescent="0.3">
      <c r="A13583" s="12"/>
    </row>
    <row r="13584" spans="1:1" x14ac:dyDescent="0.3">
      <c r="A13584" s="12"/>
    </row>
    <row r="13585" spans="1:1" x14ac:dyDescent="0.3">
      <c r="A13585" s="12"/>
    </row>
    <row r="13586" spans="1:1" x14ac:dyDescent="0.3">
      <c r="A13586" s="12"/>
    </row>
    <row r="13587" spans="1:1" x14ac:dyDescent="0.3">
      <c r="A13587" s="12"/>
    </row>
    <row r="13588" spans="1:1" x14ac:dyDescent="0.3">
      <c r="A13588" s="12"/>
    </row>
    <row r="13589" spans="1:1" x14ac:dyDescent="0.3">
      <c r="A13589" s="12"/>
    </row>
    <row r="13590" spans="1:1" x14ac:dyDescent="0.3">
      <c r="A13590" s="12"/>
    </row>
    <row r="13591" spans="1:1" x14ac:dyDescent="0.3">
      <c r="A13591" s="12"/>
    </row>
    <row r="13592" spans="1:1" x14ac:dyDescent="0.3">
      <c r="A13592" s="12"/>
    </row>
    <row r="13593" spans="1:1" x14ac:dyDescent="0.3">
      <c r="A13593" s="12"/>
    </row>
    <row r="13594" spans="1:1" x14ac:dyDescent="0.3">
      <c r="A13594" s="12"/>
    </row>
    <row r="13595" spans="1:1" x14ac:dyDescent="0.3">
      <c r="A13595" s="12"/>
    </row>
    <row r="13596" spans="1:1" x14ac:dyDescent="0.3">
      <c r="A13596" s="12"/>
    </row>
    <row r="13597" spans="1:1" x14ac:dyDescent="0.3">
      <c r="A13597" s="12"/>
    </row>
    <row r="13598" spans="1:1" x14ac:dyDescent="0.3">
      <c r="A13598" s="12"/>
    </row>
    <row r="13599" spans="1:1" x14ac:dyDescent="0.3">
      <c r="A13599" s="12"/>
    </row>
    <row r="13600" spans="1:1" x14ac:dyDescent="0.3">
      <c r="A13600" s="12"/>
    </row>
    <row r="13601" spans="1:1" x14ac:dyDescent="0.3">
      <c r="A13601" s="12"/>
    </row>
    <row r="13602" spans="1:1" x14ac:dyDescent="0.3">
      <c r="A13602" s="12"/>
    </row>
    <row r="13603" spans="1:1" x14ac:dyDescent="0.3">
      <c r="A13603" s="12"/>
    </row>
    <row r="13604" spans="1:1" x14ac:dyDescent="0.3">
      <c r="A13604" s="12"/>
    </row>
    <row r="13605" spans="1:1" x14ac:dyDescent="0.3">
      <c r="A13605" s="12"/>
    </row>
    <row r="13606" spans="1:1" x14ac:dyDescent="0.3">
      <c r="A13606" s="12"/>
    </row>
    <row r="13607" spans="1:1" x14ac:dyDescent="0.3">
      <c r="A13607" s="12"/>
    </row>
    <row r="13608" spans="1:1" x14ac:dyDescent="0.3">
      <c r="A13608" s="12"/>
    </row>
    <row r="13609" spans="1:1" x14ac:dyDescent="0.3">
      <c r="A13609" s="12"/>
    </row>
    <row r="13610" spans="1:1" x14ac:dyDescent="0.3">
      <c r="A13610" s="12"/>
    </row>
    <row r="13611" spans="1:1" x14ac:dyDescent="0.3">
      <c r="A13611" s="12"/>
    </row>
    <row r="13612" spans="1:1" x14ac:dyDescent="0.3">
      <c r="A13612" s="12"/>
    </row>
    <row r="13613" spans="1:1" x14ac:dyDescent="0.3">
      <c r="A13613" s="12"/>
    </row>
    <row r="13614" spans="1:1" x14ac:dyDescent="0.3">
      <c r="A13614" s="12"/>
    </row>
    <row r="13615" spans="1:1" x14ac:dyDescent="0.3">
      <c r="A13615" s="12"/>
    </row>
    <row r="13616" spans="1:1" x14ac:dyDescent="0.3">
      <c r="A13616" s="12"/>
    </row>
    <row r="13617" spans="1:1" x14ac:dyDescent="0.3">
      <c r="A13617" s="12"/>
    </row>
    <row r="13618" spans="1:1" x14ac:dyDescent="0.3">
      <c r="A13618" s="12"/>
    </row>
    <row r="13619" spans="1:1" x14ac:dyDescent="0.3">
      <c r="A13619" s="12"/>
    </row>
    <row r="13620" spans="1:1" x14ac:dyDescent="0.3">
      <c r="A13620" s="12"/>
    </row>
    <row r="13621" spans="1:1" x14ac:dyDescent="0.3">
      <c r="A13621" s="12"/>
    </row>
    <row r="13622" spans="1:1" x14ac:dyDescent="0.3">
      <c r="A13622" s="12"/>
    </row>
    <row r="13623" spans="1:1" x14ac:dyDescent="0.3">
      <c r="A13623" s="12"/>
    </row>
    <row r="13624" spans="1:1" x14ac:dyDescent="0.3">
      <c r="A13624" s="12"/>
    </row>
    <row r="13625" spans="1:1" x14ac:dyDescent="0.3">
      <c r="A13625" s="12"/>
    </row>
    <row r="13626" spans="1:1" x14ac:dyDescent="0.3">
      <c r="A13626" s="12"/>
    </row>
    <row r="13627" spans="1:1" x14ac:dyDescent="0.3">
      <c r="A13627" s="12"/>
    </row>
    <row r="13628" spans="1:1" x14ac:dyDescent="0.3">
      <c r="A13628" s="12"/>
    </row>
    <row r="13629" spans="1:1" x14ac:dyDescent="0.3">
      <c r="A13629" s="12"/>
    </row>
    <row r="13630" spans="1:1" x14ac:dyDescent="0.3">
      <c r="A13630" s="12"/>
    </row>
    <row r="13631" spans="1:1" x14ac:dyDescent="0.3">
      <c r="A13631" s="12"/>
    </row>
    <row r="13632" spans="1:1" x14ac:dyDescent="0.3">
      <c r="A13632" s="12"/>
    </row>
    <row r="13633" spans="1:1" x14ac:dyDescent="0.3">
      <c r="A13633" s="12"/>
    </row>
    <row r="13634" spans="1:1" x14ac:dyDescent="0.3">
      <c r="A13634" s="12"/>
    </row>
    <row r="13635" spans="1:1" x14ac:dyDescent="0.3">
      <c r="A13635" s="12"/>
    </row>
    <row r="13636" spans="1:1" x14ac:dyDescent="0.3">
      <c r="A13636" s="12"/>
    </row>
    <row r="13637" spans="1:1" x14ac:dyDescent="0.3">
      <c r="A13637" s="12"/>
    </row>
    <row r="13638" spans="1:1" x14ac:dyDescent="0.3">
      <c r="A13638" s="12"/>
    </row>
    <row r="13639" spans="1:1" x14ac:dyDescent="0.3">
      <c r="A13639" s="12"/>
    </row>
    <row r="13640" spans="1:1" x14ac:dyDescent="0.3">
      <c r="A13640" s="12"/>
    </row>
    <row r="13641" spans="1:1" x14ac:dyDescent="0.3">
      <c r="A13641" s="12"/>
    </row>
    <row r="13642" spans="1:1" x14ac:dyDescent="0.3">
      <c r="A13642" s="12"/>
    </row>
    <row r="13643" spans="1:1" x14ac:dyDescent="0.3">
      <c r="A13643" s="12"/>
    </row>
    <row r="13644" spans="1:1" x14ac:dyDescent="0.3">
      <c r="A13644" s="12"/>
    </row>
    <row r="13645" spans="1:1" x14ac:dyDescent="0.3">
      <c r="A13645" s="12"/>
    </row>
    <row r="13646" spans="1:1" x14ac:dyDescent="0.3">
      <c r="A13646" s="12"/>
    </row>
    <row r="13647" spans="1:1" x14ac:dyDescent="0.3">
      <c r="A13647" s="12"/>
    </row>
    <row r="13648" spans="1:1" x14ac:dyDescent="0.3">
      <c r="A13648" s="12"/>
    </row>
    <row r="13649" spans="1:1" x14ac:dyDescent="0.3">
      <c r="A13649" s="12"/>
    </row>
    <row r="13650" spans="1:1" x14ac:dyDescent="0.3">
      <c r="A13650" s="12"/>
    </row>
    <row r="13651" spans="1:1" x14ac:dyDescent="0.3">
      <c r="A13651" s="12"/>
    </row>
    <row r="13652" spans="1:1" x14ac:dyDescent="0.3">
      <c r="A13652" s="12"/>
    </row>
    <row r="13653" spans="1:1" x14ac:dyDescent="0.3">
      <c r="A13653" s="12"/>
    </row>
    <row r="13654" spans="1:1" x14ac:dyDescent="0.3">
      <c r="A13654" s="12"/>
    </row>
    <row r="13655" spans="1:1" x14ac:dyDescent="0.3">
      <c r="A13655" s="12"/>
    </row>
    <row r="13656" spans="1:1" x14ac:dyDescent="0.3">
      <c r="A13656" s="12"/>
    </row>
    <row r="13657" spans="1:1" x14ac:dyDescent="0.3">
      <c r="A13657" s="12"/>
    </row>
    <row r="13658" spans="1:1" x14ac:dyDescent="0.3">
      <c r="A13658" s="12"/>
    </row>
    <row r="13659" spans="1:1" x14ac:dyDescent="0.3">
      <c r="A13659" s="12"/>
    </row>
    <row r="13660" spans="1:1" x14ac:dyDescent="0.3">
      <c r="A13660" s="12"/>
    </row>
    <row r="13661" spans="1:1" x14ac:dyDescent="0.3">
      <c r="A13661" s="12"/>
    </row>
    <row r="13662" spans="1:1" x14ac:dyDescent="0.3">
      <c r="A13662" s="12"/>
    </row>
    <row r="13663" spans="1:1" x14ac:dyDescent="0.3">
      <c r="A13663" s="12"/>
    </row>
    <row r="13664" spans="1:1" x14ac:dyDescent="0.3">
      <c r="A13664" s="12"/>
    </row>
    <row r="13665" spans="1:1" x14ac:dyDescent="0.3">
      <c r="A13665" s="12"/>
    </row>
    <row r="13666" spans="1:1" x14ac:dyDescent="0.3">
      <c r="A13666" s="12"/>
    </row>
    <row r="13667" spans="1:1" x14ac:dyDescent="0.3">
      <c r="A13667" s="12"/>
    </row>
    <row r="13668" spans="1:1" x14ac:dyDescent="0.3">
      <c r="A13668" s="12"/>
    </row>
    <row r="13669" spans="1:1" x14ac:dyDescent="0.3">
      <c r="A13669" s="12"/>
    </row>
    <row r="13670" spans="1:1" x14ac:dyDescent="0.3">
      <c r="A13670" s="12"/>
    </row>
    <row r="13671" spans="1:1" x14ac:dyDescent="0.3">
      <c r="A13671" s="12"/>
    </row>
    <row r="13672" spans="1:1" x14ac:dyDescent="0.3">
      <c r="A13672" s="12"/>
    </row>
    <row r="13673" spans="1:1" x14ac:dyDescent="0.3">
      <c r="A13673" s="12"/>
    </row>
    <row r="13674" spans="1:1" x14ac:dyDescent="0.3">
      <c r="A13674" s="12"/>
    </row>
    <row r="13675" spans="1:1" x14ac:dyDescent="0.3">
      <c r="A13675" s="12"/>
    </row>
    <row r="13676" spans="1:1" x14ac:dyDescent="0.3">
      <c r="A13676" s="12"/>
    </row>
    <row r="13677" spans="1:1" x14ac:dyDescent="0.3">
      <c r="A13677" s="12"/>
    </row>
    <row r="13678" spans="1:1" x14ac:dyDescent="0.3">
      <c r="A13678" s="12"/>
    </row>
    <row r="13679" spans="1:1" x14ac:dyDescent="0.3">
      <c r="A13679" s="12"/>
    </row>
    <row r="13680" spans="1:1" x14ac:dyDescent="0.3">
      <c r="A13680" s="12"/>
    </row>
    <row r="13681" spans="1:1" x14ac:dyDescent="0.3">
      <c r="A13681" s="12"/>
    </row>
    <row r="13682" spans="1:1" x14ac:dyDescent="0.3">
      <c r="A13682" s="12"/>
    </row>
    <row r="13683" spans="1:1" x14ac:dyDescent="0.3">
      <c r="A13683" s="12"/>
    </row>
    <row r="13684" spans="1:1" x14ac:dyDescent="0.3">
      <c r="A13684" s="12"/>
    </row>
    <row r="13685" spans="1:1" x14ac:dyDescent="0.3">
      <c r="A13685" s="12"/>
    </row>
    <row r="13686" spans="1:1" x14ac:dyDescent="0.3">
      <c r="A13686" s="12"/>
    </row>
    <row r="13687" spans="1:1" x14ac:dyDescent="0.3">
      <c r="A13687" s="12"/>
    </row>
    <row r="13688" spans="1:1" x14ac:dyDescent="0.3">
      <c r="A13688" s="12"/>
    </row>
    <row r="13689" spans="1:1" x14ac:dyDescent="0.3">
      <c r="A13689" s="12"/>
    </row>
    <row r="13690" spans="1:1" x14ac:dyDescent="0.3">
      <c r="A13690" s="12"/>
    </row>
    <row r="13691" spans="1:1" x14ac:dyDescent="0.3">
      <c r="A13691" s="12"/>
    </row>
    <row r="13692" spans="1:1" x14ac:dyDescent="0.3">
      <c r="A13692" s="12"/>
    </row>
    <row r="13693" spans="1:1" x14ac:dyDescent="0.3">
      <c r="A13693" s="12"/>
    </row>
    <row r="13694" spans="1:1" x14ac:dyDescent="0.3">
      <c r="A13694" s="12"/>
    </row>
    <row r="13695" spans="1:1" x14ac:dyDescent="0.3">
      <c r="A13695" s="12"/>
    </row>
    <row r="13696" spans="1:1" x14ac:dyDescent="0.3">
      <c r="A13696" s="12"/>
    </row>
    <row r="13697" spans="1:1" x14ac:dyDescent="0.3">
      <c r="A13697" s="12"/>
    </row>
    <row r="13698" spans="1:1" x14ac:dyDescent="0.3">
      <c r="A13698" s="12"/>
    </row>
    <row r="13699" spans="1:1" x14ac:dyDescent="0.3">
      <c r="A13699" s="12"/>
    </row>
    <row r="13700" spans="1:1" x14ac:dyDescent="0.3">
      <c r="A13700" s="12"/>
    </row>
    <row r="13701" spans="1:1" x14ac:dyDescent="0.3">
      <c r="A13701" s="12"/>
    </row>
    <row r="13702" spans="1:1" x14ac:dyDescent="0.3">
      <c r="A13702" s="12"/>
    </row>
    <row r="13703" spans="1:1" x14ac:dyDescent="0.3">
      <c r="A13703" s="12"/>
    </row>
    <row r="13704" spans="1:1" x14ac:dyDescent="0.3">
      <c r="A13704" s="12"/>
    </row>
    <row r="13705" spans="1:1" x14ac:dyDescent="0.3">
      <c r="A13705" s="12"/>
    </row>
    <row r="13706" spans="1:1" x14ac:dyDescent="0.3">
      <c r="A13706" s="12"/>
    </row>
    <row r="13707" spans="1:1" x14ac:dyDescent="0.3">
      <c r="A13707" s="12"/>
    </row>
    <row r="13708" spans="1:1" x14ac:dyDescent="0.3">
      <c r="A13708" s="12"/>
    </row>
    <row r="13709" spans="1:1" x14ac:dyDescent="0.3">
      <c r="A13709" s="12"/>
    </row>
    <row r="13710" spans="1:1" x14ac:dyDescent="0.3">
      <c r="A13710" s="12"/>
    </row>
    <row r="13711" spans="1:1" x14ac:dyDescent="0.3">
      <c r="A13711" s="12"/>
    </row>
    <row r="13712" spans="1:1" x14ac:dyDescent="0.3">
      <c r="A13712" s="12"/>
    </row>
    <row r="13713" spans="1:1" x14ac:dyDescent="0.3">
      <c r="A13713" s="12"/>
    </row>
    <row r="13714" spans="1:1" x14ac:dyDescent="0.3">
      <c r="A13714" s="12"/>
    </row>
    <row r="13715" spans="1:1" x14ac:dyDescent="0.3">
      <c r="A13715" s="12"/>
    </row>
    <row r="13716" spans="1:1" x14ac:dyDescent="0.3">
      <c r="A13716" s="12"/>
    </row>
    <row r="13717" spans="1:1" x14ac:dyDescent="0.3">
      <c r="A13717" s="12"/>
    </row>
    <row r="13718" spans="1:1" x14ac:dyDescent="0.3">
      <c r="A13718" s="12"/>
    </row>
    <row r="13719" spans="1:1" x14ac:dyDescent="0.3">
      <c r="A13719" s="12"/>
    </row>
    <row r="13720" spans="1:1" x14ac:dyDescent="0.3">
      <c r="A13720" s="12"/>
    </row>
    <row r="13721" spans="1:1" x14ac:dyDescent="0.3">
      <c r="A13721" s="12"/>
    </row>
    <row r="13722" spans="1:1" x14ac:dyDescent="0.3">
      <c r="A13722" s="12"/>
    </row>
    <row r="13723" spans="1:1" x14ac:dyDescent="0.3">
      <c r="A13723" s="12"/>
    </row>
    <row r="13724" spans="1:1" x14ac:dyDescent="0.3">
      <c r="A13724" s="12"/>
    </row>
    <row r="13725" spans="1:1" x14ac:dyDescent="0.3">
      <c r="A13725" s="12"/>
    </row>
    <row r="13726" spans="1:1" x14ac:dyDescent="0.3">
      <c r="A13726" s="12"/>
    </row>
    <row r="13727" spans="1:1" x14ac:dyDescent="0.3">
      <c r="A13727" s="12"/>
    </row>
    <row r="13728" spans="1:1" x14ac:dyDescent="0.3">
      <c r="A13728" s="12"/>
    </row>
    <row r="13729" spans="1:1" x14ac:dyDescent="0.3">
      <c r="A13729" s="12"/>
    </row>
    <row r="13730" spans="1:1" x14ac:dyDescent="0.3">
      <c r="A13730" s="12"/>
    </row>
    <row r="13731" spans="1:1" x14ac:dyDescent="0.3">
      <c r="A13731" s="12"/>
    </row>
    <row r="13732" spans="1:1" x14ac:dyDescent="0.3">
      <c r="A13732" s="12"/>
    </row>
    <row r="13733" spans="1:1" x14ac:dyDescent="0.3">
      <c r="A13733" s="12"/>
    </row>
    <row r="13734" spans="1:1" x14ac:dyDescent="0.3">
      <c r="A13734" s="12"/>
    </row>
    <row r="13735" spans="1:1" x14ac:dyDescent="0.3">
      <c r="A13735" s="12"/>
    </row>
    <row r="13736" spans="1:1" x14ac:dyDescent="0.3">
      <c r="A13736" s="12"/>
    </row>
    <row r="13737" spans="1:1" x14ac:dyDescent="0.3">
      <c r="A13737" s="12"/>
    </row>
    <row r="13738" spans="1:1" x14ac:dyDescent="0.3">
      <c r="A13738" s="12"/>
    </row>
    <row r="13739" spans="1:1" x14ac:dyDescent="0.3">
      <c r="A13739" s="12"/>
    </row>
    <row r="13740" spans="1:1" x14ac:dyDescent="0.3">
      <c r="A13740" s="12"/>
    </row>
    <row r="13741" spans="1:1" x14ac:dyDescent="0.3">
      <c r="A13741" s="12"/>
    </row>
    <row r="13742" spans="1:1" x14ac:dyDescent="0.3">
      <c r="A13742" s="12"/>
    </row>
    <row r="13743" spans="1:1" x14ac:dyDescent="0.3">
      <c r="A13743" s="12"/>
    </row>
    <row r="13744" spans="1:1" x14ac:dyDescent="0.3">
      <c r="A13744" s="12"/>
    </row>
    <row r="13745" spans="1:1" x14ac:dyDescent="0.3">
      <c r="A13745" s="12"/>
    </row>
    <row r="13746" spans="1:1" x14ac:dyDescent="0.3">
      <c r="A13746" s="12"/>
    </row>
    <row r="13747" spans="1:1" x14ac:dyDescent="0.3">
      <c r="A13747" s="12"/>
    </row>
    <row r="13748" spans="1:1" x14ac:dyDescent="0.3">
      <c r="A13748" s="12"/>
    </row>
    <row r="13749" spans="1:1" x14ac:dyDescent="0.3">
      <c r="A13749" s="12"/>
    </row>
    <row r="13750" spans="1:1" x14ac:dyDescent="0.3">
      <c r="A13750" s="12"/>
    </row>
    <row r="13751" spans="1:1" x14ac:dyDescent="0.3">
      <c r="A13751" s="12"/>
    </row>
    <row r="13752" spans="1:1" x14ac:dyDescent="0.3">
      <c r="A13752" s="12"/>
    </row>
    <row r="13753" spans="1:1" x14ac:dyDescent="0.3">
      <c r="A13753" s="12"/>
    </row>
    <row r="13754" spans="1:1" x14ac:dyDescent="0.3">
      <c r="A13754" s="12"/>
    </row>
    <row r="13755" spans="1:1" x14ac:dyDescent="0.3">
      <c r="A13755" s="12"/>
    </row>
    <row r="13756" spans="1:1" x14ac:dyDescent="0.3">
      <c r="A13756" s="12"/>
    </row>
    <row r="13757" spans="1:1" x14ac:dyDescent="0.3">
      <c r="A13757" s="12"/>
    </row>
    <row r="13758" spans="1:1" x14ac:dyDescent="0.3">
      <c r="A13758" s="12"/>
    </row>
    <row r="13759" spans="1:1" x14ac:dyDescent="0.3">
      <c r="A13759" s="12"/>
    </row>
    <row r="13760" spans="1:1" x14ac:dyDescent="0.3">
      <c r="A13760" s="12"/>
    </row>
    <row r="13761" spans="1:1" x14ac:dyDescent="0.3">
      <c r="A13761" s="12"/>
    </row>
    <row r="13762" spans="1:1" x14ac:dyDescent="0.3">
      <c r="A13762" s="12"/>
    </row>
    <row r="13763" spans="1:1" x14ac:dyDescent="0.3">
      <c r="A13763" s="12"/>
    </row>
    <row r="13764" spans="1:1" x14ac:dyDescent="0.3">
      <c r="A13764" s="12"/>
    </row>
    <row r="13765" spans="1:1" x14ac:dyDescent="0.3">
      <c r="A13765" s="12"/>
    </row>
    <row r="13766" spans="1:1" x14ac:dyDescent="0.3">
      <c r="A13766" s="12"/>
    </row>
    <row r="13767" spans="1:1" x14ac:dyDescent="0.3">
      <c r="A13767" s="12"/>
    </row>
    <row r="13768" spans="1:1" x14ac:dyDescent="0.3">
      <c r="A13768" s="12"/>
    </row>
    <row r="13769" spans="1:1" x14ac:dyDescent="0.3">
      <c r="A13769" s="12"/>
    </row>
    <row r="13770" spans="1:1" x14ac:dyDescent="0.3">
      <c r="A13770" s="12"/>
    </row>
    <row r="13771" spans="1:1" x14ac:dyDescent="0.3">
      <c r="A13771" s="12"/>
    </row>
    <row r="13772" spans="1:1" x14ac:dyDescent="0.3">
      <c r="A13772" s="12"/>
    </row>
    <row r="13773" spans="1:1" x14ac:dyDescent="0.3">
      <c r="A13773" s="12"/>
    </row>
    <row r="13774" spans="1:1" x14ac:dyDescent="0.3">
      <c r="A13774" s="12"/>
    </row>
    <row r="13775" spans="1:1" x14ac:dyDescent="0.3">
      <c r="A13775" s="12"/>
    </row>
    <row r="13776" spans="1:1" x14ac:dyDescent="0.3">
      <c r="A13776" s="12"/>
    </row>
    <row r="13777" spans="1:1" x14ac:dyDescent="0.3">
      <c r="A13777" s="12"/>
    </row>
    <row r="13778" spans="1:1" x14ac:dyDescent="0.3">
      <c r="A13778" s="12"/>
    </row>
    <row r="13779" spans="1:1" x14ac:dyDescent="0.3">
      <c r="A13779" s="12"/>
    </row>
    <row r="13780" spans="1:1" x14ac:dyDescent="0.3">
      <c r="A13780" s="12"/>
    </row>
    <row r="13781" spans="1:1" x14ac:dyDescent="0.3">
      <c r="A13781" s="12"/>
    </row>
    <row r="13782" spans="1:1" x14ac:dyDescent="0.3">
      <c r="A13782" s="12"/>
    </row>
    <row r="13783" spans="1:1" x14ac:dyDescent="0.3">
      <c r="A13783" s="12"/>
    </row>
    <row r="13784" spans="1:1" x14ac:dyDescent="0.3">
      <c r="A13784" s="12"/>
    </row>
    <row r="13785" spans="1:1" x14ac:dyDescent="0.3">
      <c r="A13785" s="12"/>
    </row>
    <row r="13786" spans="1:1" x14ac:dyDescent="0.3">
      <c r="A13786" s="12"/>
    </row>
    <row r="13787" spans="1:1" x14ac:dyDescent="0.3">
      <c r="A13787" s="12"/>
    </row>
    <row r="13788" spans="1:1" x14ac:dyDescent="0.3">
      <c r="A13788" s="12"/>
    </row>
    <row r="13789" spans="1:1" x14ac:dyDescent="0.3">
      <c r="A13789" s="12"/>
    </row>
    <row r="13790" spans="1:1" x14ac:dyDescent="0.3">
      <c r="A13790" s="12"/>
    </row>
    <row r="13791" spans="1:1" x14ac:dyDescent="0.3">
      <c r="A13791" s="12"/>
    </row>
    <row r="13792" spans="1:1" x14ac:dyDescent="0.3">
      <c r="A13792" s="12"/>
    </row>
    <row r="13793" spans="1:1" x14ac:dyDescent="0.3">
      <c r="A13793" s="12"/>
    </row>
    <row r="13794" spans="1:1" x14ac:dyDescent="0.3">
      <c r="A13794" s="12"/>
    </row>
    <row r="13795" spans="1:1" x14ac:dyDescent="0.3">
      <c r="A13795" s="12"/>
    </row>
    <row r="13796" spans="1:1" x14ac:dyDescent="0.3">
      <c r="A13796" s="12"/>
    </row>
    <row r="13797" spans="1:1" x14ac:dyDescent="0.3">
      <c r="A13797" s="12"/>
    </row>
    <row r="13798" spans="1:1" x14ac:dyDescent="0.3">
      <c r="A13798" s="12"/>
    </row>
    <row r="13799" spans="1:1" x14ac:dyDescent="0.3">
      <c r="A13799" s="12"/>
    </row>
    <row r="13800" spans="1:1" x14ac:dyDescent="0.3">
      <c r="A13800" s="12"/>
    </row>
    <row r="13801" spans="1:1" x14ac:dyDescent="0.3">
      <c r="A13801" s="12"/>
    </row>
    <row r="13802" spans="1:1" x14ac:dyDescent="0.3">
      <c r="A13802" s="12"/>
    </row>
    <row r="13803" spans="1:1" x14ac:dyDescent="0.3">
      <c r="A13803" s="12"/>
    </row>
    <row r="13804" spans="1:1" x14ac:dyDescent="0.3">
      <c r="A13804" s="12"/>
    </row>
    <row r="13805" spans="1:1" x14ac:dyDescent="0.3">
      <c r="A13805" s="12"/>
    </row>
    <row r="13806" spans="1:1" x14ac:dyDescent="0.3">
      <c r="A13806" s="12"/>
    </row>
    <row r="13807" spans="1:1" x14ac:dyDescent="0.3">
      <c r="A13807" s="12"/>
    </row>
    <row r="13808" spans="1:1" x14ac:dyDescent="0.3">
      <c r="A13808" s="12"/>
    </row>
    <row r="13809" spans="1:1" x14ac:dyDescent="0.3">
      <c r="A13809" s="12"/>
    </row>
    <row r="13810" spans="1:1" x14ac:dyDescent="0.3">
      <c r="A13810" s="12"/>
    </row>
    <row r="13811" spans="1:1" x14ac:dyDescent="0.3">
      <c r="A13811" s="12"/>
    </row>
    <row r="13812" spans="1:1" x14ac:dyDescent="0.3">
      <c r="A13812" s="12"/>
    </row>
    <row r="13813" spans="1:1" x14ac:dyDescent="0.3">
      <c r="A13813" s="12"/>
    </row>
    <row r="13814" spans="1:1" x14ac:dyDescent="0.3">
      <c r="A13814" s="12"/>
    </row>
    <row r="13815" spans="1:1" x14ac:dyDescent="0.3">
      <c r="A13815" s="12"/>
    </row>
    <row r="13816" spans="1:1" x14ac:dyDescent="0.3">
      <c r="A13816" s="12"/>
    </row>
    <row r="13817" spans="1:1" x14ac:dyDescent="0.3">
      <c r="A13817" s="12"/>
    </row>
    <row r="13818" spans="1:1" x14ac:dyDescent="0.3">
      <c r="A13818" s="12"/>
    </row>
    <row r="13819" spans="1:1" x14ac:dyDescent="0.3">
      <c r="A13819" s="12"/>
    </row>
    <row r="13820" spans="1:1" x14ac:dyDescent="0.3">
      <c r="A13820" s="12"/>
    </row>
    <row r="13821" spans="1:1" x14ac:dyDescent="0.3">
      <c r="A13821" s="12"/>
    </row>
    <row r="13822" spans="1:1" x14ac:dyDescent="0.3">
      <c r="A13822" s="12"/>
    </row>
    <row r="13823" spans="1:1" x14ac:dyDescent="0.3">
      <c r="A13823" s="12"/>
    </row>
    <row r="13824" spans="1:1" x14ac:dyDescent="0.3">
      <c r="A13824" s="12"/>
    </row>
    <row r="13825" spans="1:1" x14ac:dyDescent="0.3">
      <c r="A13825" s="12"/>
    </row>
    <row r="13826" spans="1:1" x14ac:dyDescent="0.3">
      <c r="A13826" s="12"/>
    </row>
    <row r="13827" spans="1:1" x14ac:dyDescent="0.3">
      <c r="A13827" s="12"/>
    </row>
    <row r="13828" spans="1:1" x14ac:dyDescent="0.3">
      <c r="A13828" s="12"/>
    </row>
    <row r="13829" spans="1:1" x14ac:dyDescent="0.3">
      <c r="A13829" s="12"/>
    </row>
    <row r="13830" spans="1:1" x14ac:dyDescent="0.3">
      <c r="A13830" s="12"/>
    </row>
    <row r="13831" spans="1:1" x14ac:dyDescent="0.3">
      <c r="A13831" s="12"/>
    </row>
    <row r="13832" spans="1:1" x14ac:dyDescent="0.3">
      <c r="A13832" s="12"/>
    </row>
    <row r="13833" spans="1:1" x14ac:dyDescent="0.3">
      <c r="A13833" s="12"/>
    </row>
    <row r="13834" spans="1:1" x14ac:dyDescent="0.3">
      <c r="A13834" s="12"/>
    </row>
    <row r="13835" spans="1:1" x14ac:dyDescent="0.3">
      <c r="A13835" s="12"/>
    </row>
    <row r="13836" spans="1:1" x14ac:dyDescent="0.3">
      <c r="A13836" s="12"/>
    </row>
    <row r="13837" spans="1:1" x14ac:dyDescent="0.3">
      <c r="A13837" s="12"/>
    </row>
    <row r="13838" spans="1:1" x14ac:dyDescent="0.3">
      <c r="A13838" s="12"/>
    </row>
    <row r="13839" spans="1:1" x14ac:dyDescent="0.3">
      <c r="A13839" s="12"/>
    </row>
    <row r="13840" spans="1:1" x14ac:dyDescent="0.3">
      <c r="A13840" s="12"/>
    </row>
    <row r="13841" spans="1:1" x14ac:dyDescent="0.3">
      <c r="A13841" s="12"/>
    </row>
    <row r="13842" spans="1:1" x14ac:dyDescent="0.3">
      <c r="A13842" s="12"/>
    </row>
    <row r="13843" spans="1:1" x14ac:dyDescent="0.3">
      <c r="A13843" s="12"/>
    </row>
    <row r="13844" spans="1:1" x14ac:dyDescent="0.3">
      <c r="A13844" s="12"/>
    </row>
    <row r="13845" spans="1:1" x14ac:dyDescent="0.3">
      <c r="A13845" s="12"/>
    </row>
    <row r="13846" spans="1:1" x14ac:dyDescent="0.3">
      <c r="A13846" s="12"/>
    </row>
    <row r="13847" spans="1:1" x14ac:dyDescent="0.3">
      <c r="A13847" s="12"/>
    </row>
    <row r="13848" spans="1:1" x14ac:dyDescent="0.3">
      <c r="A13848" s="12"/>
    </row>
    <row r="13849" spans="1:1" x14ac:dyDescent="0.3">
      <c r="A13849" s="12"/>
    </row>
    <row r="13850" spans="1:1" x14ac:dyDescent="0.3">
      <c r="A13850" s="12"/>
    </row>
    <row r="13851" spans="1:1" x14ac:dyDescent="0.3">
      <c r="A13851" s="12"/>
    </row>
    <row r="13852" spans="1:1" x14ac:dyDescent="0.3">
      <c r="A13852" s="12"/>
    </row>
    <row r="13853" spans="1:1" x14ac:dyDescent="0.3">
      <c r="A13853" s="12"/>
    </row>
    <row r="13854" spans="1:1" x14ac:dyDescent="0.3">
      <c r="A13854" s="12"/>
    </row>
    <row r="13855" spans="1:1" x14ac:dyDescent="0.3">
      <c r="A13855" s="12"/>
    </row>
    <row r="13856" spans="1:1" x14ac:dyDescent="0.3">
      <c r="A13856" s="12"/>
    </row>
    <row r="13857" spans="1:1" x14ac:dyDescent="0.3">
      <c r="A13857" s="12"/>
    </row>
    <row r="13858" spans="1:1" x14ac:dyDescent="0.3">
      <c r="A13858" s="12"/>
    </row>
    <row r="13859" spans="1:1" x14ac:dyDescent="0.3">
      <c r="A13859" s="12"/>
    </row>
    <row r="13860" spans="1:1" x14ac:dyDescent="0.3">
      <c r="A13860" s="12"/>
    </row>
    <row r="13861" spans="1:1" x14ac:dyDescent="0.3">
      <c r="A13861" s="12"/>
    </row>
    <row r="13862" spans="1:1" x14ac:dyDescent="0.3">
      <c r="A13862" s="12"/>
    </row>
    <row r="13863" spans="1:1" x14ac:dyDescent="0.3">
      <c r="A13863" s="12"/>
    </row>
    <row r="13864" spans="1:1" x14ac:dyDescent="0.3">
      <c r="A13864" s="12"/>
    </row>
    <row r="13865" spans="1:1" x14ac:dyDescent="0.3">
      <c r="A13865" s="12"/>
    </row>
    <row r="13866" spans="1:1" x14ac:dyDescent="0.3">
      <c r="A13866" s="12"/>
    </row>
    <row r="13867" spans="1:1" x14ac:dyDescent="0.3">
      <c r="A13867" s="12"/>
    </row>
    <row r="13868" spans="1:1" x14ac:dyDescent="0.3">
      <c r="A13868" s="12"/>
    </row>
    <row r="13869" spans="1:1" x14ac:dyDescent="0.3">
      <c r="A13869" s="12"/>
    </row>
    <row r="13870" spans="1:1" x14ac:dyDescent="0.3">
      <c r="A13870" s="12"/>
    </row>
    <row r="13871" spans="1:1" x14ac:dyDescent="0.3">
      <c r="A13871" s="12"/>
    </row>
    <row r="13872" spans="1:1" x14ac:dyDescent="0.3">
      <c r="A13872" s="12"/>
    </row>
    <row r="13873" spans="1:1" x14ac:dyDescent="0.3">
      <c r="A13873" s="12"/>
    </row>
    <row r="13874" spans="1:1" x14ac:dyDescent="0.3">
      <c r="A13874" s="12"/>
    </row>
    <row r="13875" spans="1:1" x14ac:dyDescent="0.3">
      <c r="A13875" s="12"/>
    </row>
    <row r="13876" spans="1:1" x14ac:dyDescent="0.3">
      <c r="A13876" s="12"/>
    </row>
    <row r="13877" spans="1:1" x14ac:dyDescent="0.3">
      <c r="A13877" s="12"/>
    </row>
    <row r="13878" spans="1:1" x14ac:dyDescent="0.3">
      <c r="A13878" s="12"/>
    </row>
    <row r="13879" spans="1:1" x14ac:dyDescent="0.3">
      <c r="A13879" s="12"/>
    </row>
    <row r="13880" spans="1:1" x14ac:dyDescent="0.3">
      <c r="A13880" s="12"/>
    </row>
    <row r="13881" spans="1:1" x14ac:dyDescent="0.3">
      <c r="A13881" s="12"/>
    </row>
    <row r="13882" spans="1:1" x14ac:dyDescent="0.3">
      <c r="A13882" s="12"/>
    </row>
    <row r="13883" spans="1:1" x14ac:dyDescent="0.3">
      <c r="A13883" s="12"/>
    </row>
    <row r="13884" spans="1:1" x14ac:dyDescent="0.3">
      <c r="A13884" s="12"/>
    </row>
    <row r="13885" spans="1:1" x14ac:dyDescent="0.3">
      <c r="A13885" s="12"/>
    </row>
    <row r="13886" spans="1:1" x14ac:dyDescent="0.3">
      <c r="A13886" s="12"/>
    </row>
    <row r="13887" spans="1:1" x14ac:dyDescent="0.3">
      <c r="A13887" s="12"/>
    </row>
    <row r="13888" spans="1:1" x14ac:dyDescent="0.3">
      <c r="A13888" s="12"/>
    </row>
    <row r="13889" spans="1:1" x14ac:dyDescent="0.3">
      <c r="A13889" s="12"/>
    </row>
    <row r="13890" spans="1:1" x14ac:dyDescent="0.3">
      <c r="A13890" s="12"/>
    </row>
    <row r="13891" spans="1:1" x14ac:dyDescent="0.3">
      <c r="A13891" s="12"/>
    </row>
    <row r="13892" spans="1:1" x14ac:dyDescent="0.3">
      <c r="A13892" s="12"/>
    </row>
    <row r="13893" spans="1:1" x14ac:dyDescent="0.3">
      <c r="A13893" s="12"/>
    </row>
    <row r="13894" spans="1:1" x14ac:dyDescent="0.3">
      <c r="A13894" s="12"/>
    </row>
    <row r="13895" spans="1:1" x14ac:dyDescent="0.3">
      <c r="A13895" s="12"/>
    </row>
    <row r="13896" spans="1:1" x14ac:dyDescent="0.3">
      <c r="A13896" s="12"/>
    </row>
    <row r="13897" spans="1:1" x14ac:dyDescent="0.3">
      <c r="A13897" s="12"/>
    </row>
    <row r="13898" spans="1:1" x14ac:dyDescent="0.3">
      <c r="A13898" s="12"/>
    </row>
    <row r="13899" spans="1:1" x14ac:dyDescent="0.3">
      <c r="A13899" s="12"/>
    </row>
    <row r="13900" spans="1:1" x14ac:dyDescent="0.3">
      <c r="A13900" s="12"/>
    </row>
    <row r="13901" spans="1:1" x14ac:dyDescent="0.3">
      <c r="A13901" s="12"/>
    </row>
    <row r="13902" spans="1:1" x14ac:dyDescent="0.3">
      <c r="A13902" s="12"/>
    </row>
    <row r="13903" spans="1:1" x14ac:dyDescent="0.3">
      <c r="A13903" s="12"/>
    </row>
    <row r="13904" spans="1:1" x14ac:dyDescent="0.3">
      <c r="A13904" s="12"/>
    </row>
    <row r="13905" spans="1:1" x14ac:dyDescent="0.3">
      <c r="A13905" s="12"/>
    </row>
    <row r="13906" spans="1:1" x14ac:dyDescent="0.3">
      <c r="A13906" s="12"/>
    </row>
    <row r="13907" spans="1:1" x14ac:dyDescent="0.3">
      <c r="A13907" s="12"/>
    </row>
    <row r="13908" spans="1:1" x14ac:dyDescent="0.3">
      <c r="A13908" s="12"/>
    </row>
    <row r="13909" spans="1:1" x14ac:dyDescent="0.3">
      <c r="A13909" s="12"/>
    </row>
    <row r="13910" spans="1:1" x14ac:dyDescent="0.3">
      <c r="A13910" s="12"/>
    </row>
    <row r="13911" spans="1:1" x14ac:dyDescent="0.3">
      <c r="A13911" s="12"/>
    </row>
    <row r="13912" spans="1:1" x14ac:dyDescent="0.3">
      <c r="A13912" s="12"/>
    </row>
    <row r="13913" spans="1:1" x14ac:dyDescent="0.3">
      <c r="A13913" s="12"/>
    </row>
    <row r="13914" spans="1:1" x14ac:dyDescent="0.3">
      <c r="A13914" s="12"/>
    </row>
    <row r="13915" spans="1:1" x14ac:dyDescent="0.3">
      <c r="A13915" s="12"/>
    </row>
    <row r="13916" spans="1:1" x14ac:dyDescent="0.3">
      <c r="A13916" s="12"/>
    </row>
    <row r="13917" spans="1:1" x14ac:dyDescent="0.3">
      <c r="A13917" s="12"/>
    </row>
    <row r="13918" spans="1:1" x14ac:dyDescent="0.3">
      <c r="A13918" s="12"/>
    </row>
    <row r="13919" spans="1:1" x14ac:dyDescent="0.3">
      <c r="A13919" s="12"/>
    </row>
    <row r="13920" spans="1:1" x14ac:dyDescent="0.3">
      <c r="A13920" s="12"/>
    </row>
    <row r="13921" spans="1:1" x14ac:dyDescent="0.3">
      <c r="A13921" s="12"/>
    </row>
    <row r="13922" spans="1:1" x14ac:dyDescent="0.3">
      <c r="A13922" s="12"/>
    </row>
    <row r="13923" spans="1:1" x14ac:dyDescent="0.3">
      <c r="A13923" s="12"/>
    </row>
    <row r="13924" spans="1:1" x14ac:dyDescent="0.3">
      <c r="A13924" s="12"/>
    </row>
    <row r="13925" spans="1:1" x14ac:dyDescent="0.3">
      <c r="A13925" s="12"/>
    </row>
    <row r="13926" spans="1:1" x14ac:dyDescent="0.3">
      <c r="A13926" s="12"/>
    </row>
    <row r="13927" spans="1:1" x14ac:dyDescent="0.3">
      <c r="A13927" s="12"/>
    </row>
    <row r="13928" spans="1:1" x14ac:dyDescent="0.3">
      <c r="A13928" s="12"/>
    </row>
    <row r="13929" spans="1:1" x14ac:dyDescent="0.3">
      <c r="A13929" s="12"/>
    </row>
    <row r="13930" spans="1:1" x14ac:dyDescent="0.3">
      <c r="A13930" s="12"/>
    </row>
    <row r="13931" spans="1:1" x14ac:dyDescent="0.3">
      <c r="A13931" s="12"/>
    </row>
    <row r="13932" spans="1:1" x14ac:dyDescent="0.3">
      <c r="A13932" s="12"/>
    </row>
    <row r="13933" spans="1:1" x14ac:dyDescent="0.3">
      <c r="A13933" s="12"/>
    </row>
    <row r="13934" spans="1:1" x14ac:dyDescent="0.3">
      <c r="A13934" s="12"/>
    </row>
    <row r="13935" spans="1:1" x14ac:dyDescent="0.3">
      <c r="A13935" s="12"/>
    </row>
    <row r="13936" spans="1:1" x14ac:dyDescent="0.3">
      <c r="A13936" s="12"/>
    </row>
    <row r="13937" spans="1:1" x14ac:dyDescent="0.3">
      <c r="A13937" s="12"/>
    </row>
    <row r="13938" spans="1:1" x14ac:dyDescent="0.3">
      <c r="A13938" s="12"/>
    </row>
    <row r="13939" spans="1:1" x14ac:dyDescent="0.3">
      <c r="A13939" s="12"/>
    </row>
    <row r="13940" spans="1:1" x14ac:dyDescent="0.3">
      <c r="A13940" s="12"/>
    </row>
    <row r="13941" spans="1:1" x14ac:dyDescent="0.3">
      <c r="A13941" s="12"/>
    </row>
    <row r="13942" spans="1:1" x14ac:dyDescent="0.3">
      <c r="A13942" s="12"/>
    </row>
    <row r="13943" spans="1:1" x14ac:dyDescent="0.3">
      <c r="A13943" s="12"/>
    </row>
    <row r="13944" spans="1:1" x14ac:dyDescent="0.3">
      <c r="A13944" s="12"/>
    </row>
    <row r="13945" spans="1:1" x14ac:dyDescent="0.3">
      <c r="A13945" s="12"/>
    </row>
    <row r="13946" spans="1:1" x14ac:dyDescent="0.3">
      <c r="A13946" s="12"/>
    </row>
    <row r="13947" spans="1:1" x14ac:dyDescent="0.3">
      <c r="A13947" s="12"/>
    </row>
    <row r="13948" spans="1:1" x14ac:dyDescent="0.3">
      <c r="A13948" s="12"/>
    </row>
    <row r="13949" spans="1:1" x14ac:dyDescent="0.3">
      <c r="A13949" s="12"/>
    </row>
    <row r="13950" spans="1:1" x14ac:dyDescent="0.3">
      <c r="A13950" s="12"/>
    </row>
    <row r="13951" spans="1:1" x14ac:dyDescent="0.3">
      <c r="A13951" s="12"/>
    </row>
    <row r="13952" spans="1:1" x14ac:dyDescent="0.3">
      <c r="A13952" s="12"/>
    </row>
    <row r="13953" spans="1:1" x14ac:dyDescent="0.3">
      <c r="A13953" s="12"/>
    </row>
    <row r="13954" spans="1:1" x14ac:dyDescent="0.3">
      <c r="A13954" s="12"/>
    </row>
    <row r="13955" spans="1:1" x14ac:dyDescent="0.3">
      <c r="A13955" s="12"/>
    </row>
    <row r="13956" spans="1:1" x14ac:dyDescent="0.3">
      <c r="A13956" s="12"/>
    </row>
    <row r="13957" spans="1:1" x14ac:dyDescent="0.3">
      <c r="A13957" s="12"/>
    </row>
    <row r="13958" spans="1:1" x14ac:dyDescent="0.3">
      <c r="A13958" s="12"/>
    </row>
    <row r="13959" spans="1:1" x14ac:dyDescent="0.3">
      <c r="A13959" s="12"/>
    </row>
    <row r="13960" spans="1:1" x14ac:dyDescent="0.3">
      <c r="A13960" s="12"/>
    </row>
    <row r="13961" spans="1:1" x14ac:dyDescent="0.3">
      <c r="A13961" s="12"/>
    </row>
    <row r="13962" spans="1:1" x14ac:dyDescent="0.3">
      <c r="A13962" s="12"/>
    </row>
    <row r="13963" spans="1:1" x14ac:dyDescent="0.3">
      <c r="A13963" s="12"/>
    </row>
    <row r="13964" spans="1:1" x14ac:dyDescent="0.3">
      <c r="A13964" s="12"/>
    </row>
    <row r="13965" spans="1:1" x14ac:dyDescent="0.3">
      <c r="A13965" s="12"/>
    </row>
    <row r="13966" spans="1:1" x14ac:dyDescent="0.3">
      <c r="A13966" s="12"/>
    </row>
    <row r="13967" spans="1:1" x14ac:dyDescent="0.3">
      <c r="A13967" s="12"/>
    </row>
    <row r="13968" spans="1:1" x14ac:dyDescent="0.3">
      <c r="A13968" s="12"/>
    </row>
    <row r="13969" spans="1:1" x14ac:dyDescent="0.3">
      <c r="A13969" s="12"/>
    </row>
    <row r="13970" spans="1:1" x14ac:dyDescent="0.3">
      <c r="A13970" s="12"/>
    </row>
    <row r="13971" spans="1:1" x14ac:dyDescent="0.3">
      <c r="A13971" s="12"/>
    </row>
    <row r="13972" spans="1:1" x14ac:dyDescent="0.3">
      <c r="A13972" s="12"/>
    </row>
    <row r="13973" spans="1:1" x14ac:dyDescent="0.3">
      <c r="A13973" s="12"/>
    </row>
    <row r="13974" spans="1:1" x14ac:dyDescent="0.3">
      <c r="A13974" s="12"/>
    </row>
    <row r="13975" spans="1:1" x14ac:dyDescent="0.3">
      <c r="A13975" s="12"/>
    </row>
    <row r="13976" spans="1:1" x14ac:dyDescent="0.3">
      <c r="A13976" s="12"/>
    </row>
    <row r="13977" spans="1:1" x14ac:dyDescent="0.3">
      <c r="A13977" s="12"/>
    </row>
    <row r="13978" spans="1:1" x14ac:dyDescent="0.3">
      <c r="A13978" s="12"/>
    </row>
    <row r="13979" spans="1:1" x14ac:dyDescent="0.3">
      <c r="A13979" s="12"/>
    </row>
    <row r="13980" spans="1:1" x14ac:dyDescent="0.3">
      <c r="A13980" s="12"/>
    </row>
    <row r="13981" spans="1:1" x14ac:dyDescent="0.3">
      <c r="A13981" s="12"/>
    </row>
    <row r="13982" spans="1:1" x14ac:dyDescent="0.3">
      <c r="A13982" s="12"/>
    </row>
    <row r="13983" spans="1:1" x14ac:dyDescent="0.3">
      <c r="A13983" s="12"/>
    </row>
    <row r="13984" spans="1:1" x14ac:dyDescent="0.3">
      <c r="A13984" s="12"/>
    </row>
    <row r="13985" spans="1:1" x14ac:dyDescent="0.3">
      <c r="A13985" s="12"/>
    </row>
    <row r="13986" spans="1:1" x14ac:dyDescent="0.3">
      <c r="A13986" s="12"/>
    </row>
    <row r="13987" spans="1:1" x14ac:dyDescent="0.3">
      <c r="A13987" s="12"/>
    </row>
    <row r="13988" spans="1:1" x14ac:dyDescent="0.3">
      <c r="A13988" s="12"/>
    </row>
    <row r="13989" spans="1:1" x14ac:dyDescent="0.3">
      <c r="A13989" s="12"/>
    </row>
    <row r="13990" spans="1:1" x14ac:dyDescent="0.3">
      <c r="A13990" s="12"/>
    </row>
    <row r="13991" spans="1:1" x14ac:dyDescent="0.3">
      <c r="A13991" s="12"/>
    </row>
    <row r="13992" spans="1:1" x14ac:dyDescent="0.3">
      <c r="A13992" s="12"/>
    </row>
    <row r="13993" spans="1:1" x14ac:dyDescent="0.3">
      <c r="A13993" s="12"/>
    </row>
    <row r="13994" spans="1:1" x14ac:dyDescent="0.3">
      <c r="A13994" s="12"/>
    </row>
    <row r="13995" spans="1:1" x14ac:dyDescent="0.3">
      <c r="A13995" s="12"/>
    </row>
    <row r="13996" spans="1:1" x14ac:dyDescent="0.3">
      <c r="A13996" s="12"/>
    </row>
    <row r="13997" spans="1:1" x14ac:dyDescent="0.3">
      <c r="A13997" s="12"/>
    </row>
    <row r="13998" spans="1:1" x14ac:dyDescent="0.3">
      <c r="A13998" s="12"/>
    </row>
    <row r="13999" spans="1:1" x14ac:dyDescent="0.3">
      <c r="A13999" s="12"/>
    </row>
    <row r="14000" spans="1:1" x14ac:dyDescent="0.3">
      <c r="A14000" s="12"/>
    </row>
    <row r="14001" spans="1:1" x14ac:dyDescent="0.3">
      <c r="A14001" s="12"/>
    </row>
    <row r="14002" spans="1:1" x14ac:dyDescent="0.3">
      <c r="A14002" s="12"/>
    </row>
    <row r="14003" spans="1:1" x14ac:dyDescent="0.3">
      <c r="A14003" s="12"/>
    </row>
    <row r="14004" spans="1:1" x14ac:dyDescent="0.3">
      <c r="A14004" s="12"/>
    </row>
    <row r="14005" spans="1:1" x14ac:dyDescent="0.3">
      <c r="A14005" s="12"/>
    </row>
    <row r="14006" spans="1:1" x14ac:dyDescent="0.3">
      <c r="A14006" s="12"/>
    </row>
    <row r="14007" spans="1:1" x14ac:dyDescent="0.3">
      <c r="A14007" s="12"/>
    </row>
    <row r="14008" spans="1:1" x14ac:dyDescent="0.3">
      <c r="A14008" s="12"/>
    </row>
    <row r="14009" spans="1:1" x14ac:dyDescent="0.3">
      <c r="A14009" s="12"/>
    </row>
    <row r="14010" spans="1:1" x14ac:dyDescent="0.3">
      <c r="A14010" s="12"/>
    </row>
    <row r="14011" spans="1:1" x14ac:dyDescent="0.3">
      <c r="A14011" s="12"/>
    </row>
    <row r="14012" spans="1:1" x14ac:dyDescent="0.3">
      <c r="A14012" s="12"/>
    </row>
    <row r="14013" spans="1:1" x14ac:dyDescent="0.3">
      <c r="A14013" s="12"/>
    </row>
    <row r="14014" spans="1:1" x14ac:dyDescent="0.3">
      <c r="A14014" s="12"/>
    </row>
    <row r="14015" spans="1:1" x14ac:dyDescent="0.3">
      <c r="A14015" s="12"/>
    </row>
    <row r="14016" spans="1:1" x14ac:dyDescent="0.3">
      <c r="A14016" s="12"/>
    </row>
    <row r="14017" spans="1:1" x14ac:dyDescent="0.3">
      <c r="A14017" s="12"/>
    </row>
    <row r="14018" spans="1:1" x14ac:dyDescent="0.3">
      <c r="A14018" s="12"/>
    </row>
    <row r="14019" spans="1:1" x14ac:dyDescent="0.3">
      <c r="A14019" s="12"/>
    </row>
    <row r="14020" spans="1:1" x14ac:dyDescent="0.3">
      <c r="A14020" s="12"/>
    </row>
    <row r="14021" spans="1:1" x14ac:dyDescent="0.3">
      <c r="A14021" s="12"/>
    </row>
    <row r="14022" spans="1:1" x14ac:dyDescent="0.3">
      <c r="A14022" s="12"/>
    </row>
    <row r="14023" spans="1:1" x14ac:dyDescent="0.3">
      <c r="A14023" s="12"/>
    </row>
    <row r="14024" spans="1:1" x14ac:dyDescent="0.3">
      <c r="A14024" s="12"/>
    </row>
    <row r="14025" spans="1:1" x14ac:dyDescent="0.3">
      <c r="A14025" s="12"/>
    </row>
    <row r="14026" spans="1:1" x14ac:dyDescent="0.3">
      <c r="A14026" s="12"/>
    </row>
    <row r="14027" spans="1:1" x14ac:dyDescent="0.3">
      <c r="A14027" s="12"/>
    </row>
    <row r="14028" spans="1:1" x14ac:dyDescent="0.3">
      <c r="A14028" s="12"/>
    </row>
    <row r="14029" spans="1:1" x14ac:dyDescent="0.3">
      <c r="A14029" s="12"/>
    </row>
    <row r="14030" spans="1:1" x14ac:dyDescent="0.3">
      <c r="A14030" s="12"/>
    </row>
    <row r="14031" spans="1:1" x14ac:dyDescent="0.3">
      <c r="A14031" s="12"/>
    </row>
    <row r="14032" spans="1:1" x14ac:dyDescent="0.3">
      <c r="A14032" s="12"/>
    </row>
    <row r="14033" spans="1:1" x14ac:dyDescent="0.3">
      <c r="A14033" s="12"/>
    </row>
    <row r="14034" spans="1:1" x14ac:dyDescent="0.3">
      <c r="A14034" s="12"/>
    </row>
    <row r="14035" spans="1:1" x14ac:dyDescent="0.3">
      <c r="A14035" s="12"/>
    </row>
    <row r="14036" spans="1:1" x14ac:dyDescent="0.3">
      <c r="A14036" s="12"/>
    </row>
    <row r="14037" spans="1:1" x14ac:dyDescent="0.3">
      <c r="A14037" s="12"/>
    </row>
    <row r="14038" spans="1:1" x14ac:dyDescent="0.3">
      <c r="A14038" s="12"/>
    </row>
    <row r="14039" spans="1:1" x14ac:dyDescent="0.3">
      <c r="A14039" s="12"/>
    </row>
    <row r="14040" spans="1:1" x14ac:dyDescent="0.3">
      <c r="A14040" s="12"/>
    </row>
    <row r="14041" spans="1:1" x14ac:dyDescent="0.3">
      <c r="A14041" s="12"/>
    </row>
    <row r="14042" spans="1:1" x14ac:dyDescent="0.3">
      <c r="A14042" s="12"/>
    </row>
    <row r="14043" spans="1:1" x14ac:dyDescent="0.3">
      <c r="A14043" s="12"/>
    </row>
    <row r="14044" spans="1:1" x14ac:dyDescent="0.3">
      <c r="A14044" s="12"/>
    </row>
    <row r="14045" spans="1:1" x14ac:dyDescent="0.3">
      <c r="A14045" s="12"/>
    </row>
    <row r="14046" spans="1:1" x14ac:dyDescent="0.3">
      <c r="A14046" s="12"/>
    </row>
    <row r="14047" spans="1:1" x14ac:dyDescent="0.3">
      <c r="A14047" s="12"/>
    </row>
    <row r="14048" spans="1:1" x14ac:dyDescent="0.3">
      <c r="A14048" s="12"/>
    </row>
    <row r="14049" spans="1:1" x14ac:dyDescent="0.3">
      <c r="A14049" s="12"/>
    </row>
    <row r="14050" spans="1:1" x14ac:dyDescent="0.3">
      <c r="A14050" s="12"/>
    </row>
    <row r="14051" spans="1:1" x14ac:dyDescent="0.3">
      <c r="A14051" s="12"/>
    </row>
    <row r="14052" spans="1:1" x14ac:dyDescent="0.3">
      <c r="A14052" s="12"/>
    </row>
    <row r="14053" spans="1:1" x14ac:dyDescent="0.3">
      <c r="A14053" s="12"/>
    </row>
    <row r="14054" spans="1:1" x14ac:dyDescent="0.3">
      <c r="A14054" s="12"/>
    </row>
    <row r="14055" spans="1:1" x14ac:dyDescent="0.3">
      <c r="A14055" s="12"/>
    </row>
    <row r="14056" spans="1:1" x14ac:dyDescent="0.3">
      <c r="A14056" s="12"/>
    </row>
    <row r="14057" spans="1:1" x14ac:dyDescent="0.3">
      <c r="A14057" s="12"/>
    </row>
    <row r="14058" spans="1:1" x14ac:dyDescent="0.3">
      <c r="A14058" s="12"/>
    </row>
    <row r="14059" spans="1:1" x14ac:dyDescent="0.3">
      <c r="A14059" s="12"/>
    </row>
    <row r="14060" spans="1:1" x14ac:dyDescent="0.3">
      <c r="A14060" s="12"/>
    </row>
    <row r="14061" spans="1:1" x14ac:dyDescent="0.3">
      <c r="A14061" s="12"/>
    </row>
    <row r="14062" spans="1:1" x14ac:dyDescent="0.3">
      <c r="A14062" s="12"/>
    </row>
    <row r="14063" spans="1:1" x14ac:dyDescent="0.3">
      <c r="A14063" s="12"/>
    </row>
    <row r="14064" spans="1:1" x14ac:dyDescent="0.3">
      <c r="A14064" s="12"/>
    </row>
    <row r="14065" spans="1:1" x14ac:dyDescent="0.3">
      <c r="A14065" s="12"/>
    </row>
    <row r="14066" spans="1:1" x14ac:dyDescent="0.3">
      <c r="A14066" s="12"/>
    </row>
    <row r="14067" spans="1:1" x14ac:dyDescent="0.3">
      <c r="A14067" s="12"/>
    </row>
    <row r="14068" spans="1:1" x14ac:dyDescent="0.3">
      <c r="A14068" s="12"/>
    </row>
    <row r="14069" spans="1:1" x14ac:dyDescent="0.3">
      <c r="A14069" s="12"/>
    </row>
    <row r="14070" spans="1:1" x14ac:dyDescent="0.3">
      <c r="A14070" s="12"/>
    </row>
    <row r="14071" spans="1:1" x14ac:dyDescent="0.3">
      <c r="A14071" s="12"/>
    </row>
    <row r="14072" spans="1:1" x14ac:dyDescent="0.3">
      <c r="A14072" s="12"/>
    </row>
    <row r="14073" spans="1:1" x14ac:dyDescent="0.3">
      <c r="A14073" s="12"/>
    </row>
    <row r="14074" spans="1:1" x14ac:dyDescent="0.3">
      <c r="A14074" s="12"/>
    </row>
    <row r="14075" spans="1:1" x14ac:dyDescent="0.3">
      <c r="A14075" s="12"/>
    </row>
    <row r="14076" spans="1:1" x14ac:dyDescent="0.3">
      <c r="A14076" s="12"/>
    </row>
    <row r="14077" spans="1:1" x14ac:dyDescent="0.3">
      <c r="A14077" s="12"/>
    </row>
    <row r="14078" spans="1:1" x14ac:dyDescent="0.3">
      <c r="A14078" s="12"/>
    </row>
    <row r="14079" spans="1:1" x14ac:dyDescent="0.3">
      <c r="A14079" s="12"/>
    </row>
    <row r="14080" spans="1:1" x14ac:dyDescent="0.3">
      <c r="A14080" s="12"/>
    </row>
    <row r="14081" spans="1:1" x14ac:dyDescent="0.3">
      <c r="A14081" s="12"/>
    </row>
    <row r="14082" spans="1:1" x14ac:dyDescent="0.3">
      <c r="A14082" s="12"/>
    </row>
    <row r="14083" spans="1:1" x14ac:dyDescent="0.3">
      <c r="A14083" s="12"/>
    </row>
    <row r="14084" spans="1:1" x14ac:dyDescent="0.3">
      <c r="A14084" s="12"/>
    </row>
    <row r="14085" spans="1:1" x14ac:dyDescent="0.3">
      <c r="A14085" s="12"/>
    </row>
    <row r="14086" spans="1:1" x14ac:dyDescent="0.3">
      <c r="A14086" s="12"/>
    </row>
    <row r="14087" spans="1:1" x14ac:dyDescent="0.3">
      <c r="A14087" s="12"/>
    </row>
    <row r="14088" spans="1:1" x14ac:dyDescent="0.3">
      <c r="A14088" s="12"/>
    </row>
    <row r="14089" spans="1:1" x14ac:dyDescent="0.3">
      <c r="A14089" s="12"/>
    </row>
    <row r="14090" spans="1:1" x14ac:dyDescent="0.3">
      <c r="A14090" s="12"/>
    </row>
    <row r="14091" spans="1:1" x14ac:dyDescent="0.3">
      <c r="A14091" s="12"/>
    </row>
    <row r="14092" spans="1:1" x14ac:dyDescent="0.3">
      <c r="A14092" s="12"/>
    </row>
    <row r="14093" spans="1:1" x14ac:dyDescent="0.3">
      <c r="A14093" s="12"/>
    </row>
    <row r="14094" spans="1:1" x14ac:dyDescent="0.3">
      <c r="A14094" s="12"/>
    </row>
    <row r="14095" spans="1:1" x14ac:dyDescent="0.3">
      <c r="A14095" s="12"/>
    </row>
    <row r="14096" spans="1:1" x14ac:dyDescent="0.3">
      <c r="A14096" s="12"/>
    </row>
    <row r="14097" spans="1:1" x14ac:dyDescent="0.3">
      <c r="A14097" s="12"/>
    </row>
    <row r="14098" spans="1:1" x14ac:dyDescent="0.3">
      <c r="A14098" s="12"/>
    </row>
    <row r="14099" spans="1:1" x14ac:dyDescent="0.3">
      <c r="A14099" s="12"/>
    </row>
    <row r="14100" spans="1:1" x14ac:dyDescent="0.3">
      <c r="A14100" s="12"/>
    </row>
    <row r="14101" spans="1:1" x14ac:dyDescent="0.3">
      <c r="A14101" s="12"/>
    </row>
    <row r="14102" spans="1:1" x14ac:dyDescent="0.3">
      <c r="A14102" s="12"/>
    </row>
    <row r="14103" spans="1:1" x14ac:dyDescent="0.3">
      <c r="A14103" s="12"/>
    </row>
    <row r="14104" spans="1:1" x14ac:dyDescent="0.3">
      <c r="A14104" s="12"/>
    </row>
    <row r="14105" spans="1:1" x14ac:dyDescent="0.3">
      <c r="A14105" s="12"/>
    </row>
    <row r="14106" spans="1:1" x14ac:dyDescent="0.3">
      <c r="A14106" s="12"/>
    </row>
    <row r="14107" spans="1:1" x14ac:dyDescent="0.3">
      <c r="A14107" s="12"/>
    </row>
    <row r="14108" spans="1:1" x14ac:dyDescent="0.3">
      <c r="A14108" s="12"/>
    </row>
    <row r="14109" spans="1:1" x14ac:dyDescent="0.3">
      <c r="A14109" s="12"/>
    </row>
    <row r="14110" spans="1:1" x14ac:dyDescent="0.3">
      <c r="A14110" s="12"/>
    </row>
    <row r="14111" spans="1:1" x14ac:dyDescent="0.3">
      <c r="A14111" s="12"/>
    </row>
    <row r="14112" spans="1:1" x14ac:dyDescent="0.3">
      <c r="A14112" s="12"/>
    </row>
    <row r="14113" spans="1:1" x14ac:dyDescent="0.3">
      <c r="A14113" s="12"/>
    </row>
    <row r="14114" spans="1:1" x14ac:dyDescent="0.3">
      <c r="A14114" s="12"/>
    </row>
    <row r="14115" spans="1:1" x14ac:dyDescent="0.3">
      <c r="A14115" s="12"/>
    </row>
    <row r="14116" spans="1:1" x14ac:dyDescent="0.3">
      <c r="A14116" s="12"/>
    </row>
    <row r="14117" spans="1:1" x14ac:dyDescent="0.3">
      <c r="A14117" s="12"/>
    </row>
    <row r="14118" spans="1:1" x14ac:dyDescent="0.3">
      <c r="A14118" s="12"/>
    </row>
    <row r="14119" spans="1:1" x14ac:dyDescent="0.3">
      <c r="A14119" s="12"/>
    </row>
    <row r="14120" spans="1:1" x14ac:dyDescent="0.3">
      <c r="A14120" s="12"/>
    </row>
    <row r="14121" spans="1:1" x14ac:dyDescent="0.3">
      <c r="A14121" s="12"/>
    </row>
    <row r="14122" spans="1:1" x14ac:dyDescent="0.3">
      <c r="A14122" s="12"/>
    </row>
    <row r="14123" spans="1:1" x14ac:dyDescent="0.3">
      <c r="A14123" s="12"/>
    </row>
    <row r="14124" spans="1:1" x14ac:dyDescent="0.3">
      <c r="A14124" s="12"/>
    </row>
    <row r="14125" spans="1:1" x14ac:dyDescent="0.3">
      <c r="A14125" s="12"/>
    </row>
    <row r="14126" spans="1:1" x14ac:dyDescent="0.3">
      <c r="A14126" s="12"/>
    </row>
    <row r="14127" spans="1:1" x14ac:dyDescent="0.3">
      <c r="A14127" s="12"/>
    </row>
    <row r="14128" spans="1:1" x14ac:dyDescent="0.3">
      <c r="A14128" s="12"/>
    </row>
    <row r="14129" spans="1:1" x14ac:dyDescent="0.3">
      <c r="A14129" s="12"/>
    </row>
    <row r="14130" spans="1:1" x14ac:dyDescent="0.3">
      <c r="A14130" s="12"/>
    </row>
    <row r="14131" spans="1:1" x14ac:dyDescent="0.3">
      <c r="A14131" s="12"/>
    </row>
    <row r="14132" spans="1:1" x14ac:dyDescent="0.3">
      <c r="A14132" s="12"/>
    </row>
    <row r="14133" spans="1:1" x14ac:dyDescent="0.3">
      <c r="A14133" s="12"/>
    </row>
    <row r="14134" spans="1:1" x14ac:dyDescent="0.3">
      <c r="A14134" s="12"/>
    </row>
    <row r="14135" spans="1:1" x14ac:dyDescent="0.3">
      <c r="A14135" s="12"/>
    </row>
    <row r="14136" spans="1:1" x14ac:dyDescent="0.3">
      <c r="A14136" s="12"/>
    </row>
    <row r="14137" spans="1:1" x14ac:dyDescent="0.3">
      <c r="A14137" s="12"/>
    </row>
    <row r="14138" spans="1:1" x14ac:dyDescent="0.3">
      <c r="A14138" s="12"/>
    </row>
    <row r="14139" spans="1:1" x14ac:dyDescent="0.3">
      <c r="A14139" s="12"/>
    </row>
    <row r="14140" spans="1:1" x14ac:dyDescent="0.3">
      <c r="A14140" s="12"/>
    </row>
    <row r="14141" spans="1:1" x14ac:dyDescent="0.3">
      <c r="A14141" s="12"/>
    </row>
    <row r="14142" spans="1:1" x14ac:dyDescent="0.3">
      <c r="A14142" s="12"/>
    </row>
    <row r="14143" spans="1:1" x14ac:dyDescent="0.3">
      <c r="A14143" s="12"/>
    </row>
    <row r="14144" spans="1:1" x14ac:dyDescent="0.3">
      <c r="A14144" s="12"/>
    </row>
    <row r="14145" spans="1:1" x14ac:dyDescent="0.3">
      <c r="A14145" s="12"/>
    </row>
    <row r="14146" spans="1:1" x14ac:dyDescent="0.3">
      <c r="A14146" s="12"/>
    </row>
    <row r="14147" spans="1:1" x14ac:dyDescent="0.3">
      <c r="A14147" s="12"/>
    </row>
    <row r="14148" spans="1:1" x14ac:dyDescent="0.3">
      <c r="A14148" s="12"/>
    </row>
    <row r="14149" spans="1:1" x14ac:dyDescent="0.3">
      <c r="A14149" s="12"/>
    </row>
    <row r="14150" spans="1:1" x14ac:dyDescent="0.3">
      <c r="A14150" s="12"/>
    </row>
    <row r="14151" spans="1:1" x14ac:dyDescent="0.3">
      <c r="A14151" s="12"/>
    </row>
    <row r="14152" spans="1:1" x14ac:dyDescent="0.3">
      <c r="A14152" s="12"/>
    </row>
    <row r="14153" spans="1:1" x14ac:dyDescent="0.3">
      <c r="A14153" s="12"/>
    </row>
    <row r="14154" spans="1:1" x14ac:dyDescent="0.3">
      <c r="A14154" s="12"/>
    </row>
    <row r="14155" spans="1:1" x14ac:dyDescent="0.3">
      <c r="A14155" s="12"/>
    </row>
    <row r="14156" spans="1:1" x14ac:dyDescent="0.3">
      <c r="A14156" s="12"/>
    </row>
    <row r="14157" spans="1:1" x14ac:dyDescent="0.3">
      <c r="A14157" s="12"/>
    </row>
    <row r="14158" spans="1:1" x14ac:dyDescent="0.3">
      <c r="A14158" s="12"/>
    </row>
    <row r="14159" spans="1:1" x14ac:dyDescent="0.3">
      <c r="A14159" s="12"/>
    </row>
    <row r="14160" spans="1:1" x14ac:dyDescent="0.3">
      <c r="A14160" s="12"/>
    </row>
    <row r="14161" spans="1:1" x14ac:dyDescent="0.3">
      <c r="A14161" s="12"/>
    </row>
    <row r="14162" spans="1:1" x14ac:dyDescent="0.3">
      <c r="A14162" s="12"/>
    </row>
    <row r="14163" spans="1:1" x14ac:dyDescent="0.3">
      <c r="A14163" s="12"/>
    </row>
    <row r="14164" spans="1:1" x14ac:dyDescent="0.3">
      <c r="A14164" s="12"/>
    </row>
    <row r="14165" spans="1:1" x14ac:dyDescent="0.3">
      <c r="A14165" s="12"/>
    </row>
    <row r="14166" spans="1:1" x14ac:dyDescent="0.3">
      <c r="A14166" s="12"/>
    </row>
    <row r="14167" spans="1:1" x14ac:dyDescent="0.3">
      <c r="A14167" s="12"/>
    </row>
    <row r="14168" spans="1:1" x14ac:dyDescent="0.3">
      <c r="A14168" s="12"/>
    </row>
    <row r="14169" spans="1:1" x14ac:dyDescent="0.3">
      <c r="A14169" s="12"/>
    </row>
    <row r="14170" spans="1:1" x14ac:dyDescent="0.3">
      <c r="A14170" s="12"/>
    </row>
    <row r="14171" spans="1:1" x14ac:dyDescent="0.3">
      <c r="A14171" s="12"/>
    </row>
    <row r="14172" spans="1:1" x14ac:dyDescent="0.3">
      <c r="A14172" s="12"/>
    </row>
    <row r="14173" spans="1:1" x14ac:dyDescent="0.3">
      <c r="A14173" s="12"/>
    </row>
    <row r="14174" spans="1:1" x14ac:dyDescent="0.3">
      <c r="A14174" s="12"/>
    </row>
    <row r="14175" spans="1:1" x14ac:dyDescent="0.3">
      <c r="A14175" s="12"/>
    </row>
    <row r="14176" spans="1:1" x14ac:dyDescent="0.3">
      <c r="A14176" s="12"/>
    </row>
    <row r="14177" spans="1:1" x14ac:dyDescent="0.3">
      <c r="A14177" s="12"/>
    </row>
    <row r="14178" spans="1:1" x14ac:dyDescent="0.3">
      <c r="A14178" s="12"/>
    </row>
    <row r="14179" spans="1:1" x14ac:dyDescent="0.3">
      <c r="A14179" s="12"/>
    </row>
    <row r="14180" spans="1:1" x14ac:dyDescent="0.3">
      <c r="A14180" s="12"/>
    </row>
    <row r="14181" spans="1:1" x14ac:dyDescent="0.3">
      <c r="A14181" s="12"/>
    </row>
    <row r="14182" spans="1:1" x14ac:dyDescent="0.3">
      <c r="A14182" s="12"/>
    </row>
    <row r="14183" spans="1:1" x14ac:dyDescent="0.3">
      <c r="A14183" s="12"/>
    </row>
    <row r="14184" spans="1:1" x14ac:dyDescent="0.3">
      <c r="A14184" s="12"/>
    </row>
    <row r="14185" spans="1:1" x14ac:dyDescent="0.3">
      <c r="A14185" s="12"/>
    </row>
    <row r="14186" spans="1:1" x14ac:dyDescent="0.3">
      <c r="A14186" s="12"/>
    </row>
    <row r="14187" spans="1:1" x14ac:dyDescent="0.3">
      <c r="A14187" s="12"/>
    </row>
    <row r="14188" spans="1:1" x14ac:dyDescent="0.3">
      <c r="A14188" s="12"/>
    </row>
    <row r="14189" spans="1:1" x14ac:dyDescent="0.3">
      <c r="A14189" s="12"/>
    </row>
    <row r="14190" spans="1:1" x14ac:dyDescent="0.3">
      <c r="A14190" s="12"/>
    </row>
    <row r="14191" spans="1:1" x14ac:dyDescent="0.3">
      <c r="A14191" s="12"/>
    </row>
    <row r="14192" spans="1:1" x14ac:dyDescent="0.3">
      <c r="A14192" s="12"/>
    </row>
    <row r="14193" spans="1:1" x14ac:dyDescent="0.3">
      <c r="A14193" s="12"/>
    </row>
    <row r="14194" spans="1:1" x14ac:dyDescent="0.3">
      <c r="A14194" s="12"/>
    </row>
    <row r="14195" spans="1:1" x14ac:dyDescent="0.3">
      <c r="A14195" s="12"/>
    </row>
    <row r="14196" spans="1:1" x14ac:dyDescent="0.3">
      <c r="A14196" s="12"/>
    </row>
    <row r="14197" spans="1:1" x14ac:dyDescent="0.3">
      <c r="A14197" s="12"/>
    </row>
    <row r="14198" spans="1:1" x14ac:dyDescent="0.3">
      <c r="A14198" s="12"/>
    </row>
    <row r="14199" spans="1:1" x14ac:dyDescent="0.3">
      <c r="A14199" s="12"/>
    </row>
    <row r="14200" spans="1:1" x14ac:dyDescent="0.3">
      <c r="A14200" s="12"/>
    </row>
    <row r="14201" spans="1:1" x14ac:dyDescent="0.3">
      <c r="A14201" s="12"/>
    </row>
    <row r="14202" spans="1:1" x14ac:dyDescent="0.3">
      <c r="A14202" s="12"/>
    </row>
    <row r="14203" spans="1:1" x14ac:dyDescent="0.3">
      <c r="A14203" s="12"/>
    </row>
    <row r="14204" spans="1:1" x14ac:dyDescent="0.3">
      <c r="A14204" s="12"/>
    </row>
    <row r="14205" spans="1:1" x14ac:dyDescent="0.3">
      <c r="A14205" s="12"/>
    </row>
    <row r="14206" spans="1:1" x14ac:dyDescent="0.3">
      <c r="A14206" s="12"/>
    </row>
    <row r="14207" spans="1:1" x14ac:dyDescent="0.3">
      <c r="A14207" s="12"/>
    </row>
    <row r="14208" spans="1:1" x14ac:dyDescent="0.3">
      <c r="A14208" s="12"/>
    </row>
    <row r="14209" spans="1:1" x14ac:dyDescent="0.3">
      <c r="A14209" s="12"/>
    </row>
    <row r="14210" spans="1:1" x14ac:dyDescent="0.3">
      <c r="A14210" s="12"/>
    </row>
    <row r="14211" spans="1:1" x14ac:dyDescent="0.3">
      <c r="A14211" s="12"/>
    </row>
    <row r="14212" spans="1:1" x14ac:dyDescent="0.3">
      <c r="A14212" s="12"/>
    </row>
    <row r="14213" spans="1:1" x14ac:dyDescent="0.3">
      <c r="A14213" s="12"/>
    </row>
    <row r="14214" spans="1:1" x14ac:dyDescent="0.3">
      <c r="A14214" s="12"/>
    </row>
    <row r="14215" spans="1:1" x14ac:dyDescent="0.3">
      <c r="A14215" s="12"/>
    </row>
    <row r="14216" spans="1:1" x14ac:dyDescent="0.3">
      <c r="A14216" s="12"/>
    </row>
    <row r="14217" spans="1:1" x14ac:dyDescent="0.3">
      <c r="A14217" s="12"/>
    </row>
    <row r="14218" spans="1:1" x14ac:dyDescent="0.3">
      <c r="A14218" s="12"/>
    </row>
    <row r="14219" spans="1:1" x14ac:dyDescent="0.3">
      <c r="A14219" s="12"/>
    </row>
    <row r="14220" spans="1:1" x14ac:dyDescent="0.3">
      <c r="A14220" s="12"/>
    </row>
    <row r="14221" spans="1:1" x14ac:dyDescent="0.3">
      <c r="A14221" s="12"/>
    </row>
    <row r="14222" spans="1:1" x14ac:dyDescent="0.3">
      <c r="A14222" s="12"/>
    </row>
    <row r="14223" spans="1:1" x14ac:dyDescent="0.3">
      <c r="A14223" s="12"/>
    </row>
    <row r="14224" spans="1:1" x14ac:dyDescent="0.3">
      <c r="A14224" s="12"/>
    </row>
    <row r="14225" spans="1:1" x14ac:dyDescent="0.3">
      <c r="A14225" s="12"/>
    </row>
    <row r="14226" spans="1:1" x14ac:dyDescent="0.3">
      <c r="A14226" s="12"/>
    </row>
    <row r="14227" spans="1:1" x14ac:dyDescent="0.3">
      <c r="A14227" s="12"/>
    </row>
    <row r="14228" spans="1:1" x14ac:dyDescent="0.3">
      <c r="A14228" s="12"/>
    </row>
    <row r="14229" spans="1:1" x14ac:dyDescent="0.3">
      <c r="A14229" s="12"/>
    </row>
    <row r="14230" spans="1:1" x14ac:dyDescent="0.3">
      <c r="A14230" s="12"/>
    </row>
    <row r="14231" spans="1:1" x14ac:dyDescent="0.3">
      <c r="A14231" s="12"/>
    </row>
    <row r="14232" spans="1:1" x14ac:dyDescent="0.3">
      <c r="A14232" s="12"/>
    </row>
    <row r="14233" spans="1:1" x14ac:dyDescent="0.3">
      <c r="A14233" s="12"/>
    </row>
    <row r="14234" spans="1:1" x14ac:dyDescent="0.3">
      <c r="A14234" s="12"/>
    </row>
    <row r="14235" spans="1:1" x14ac:dyDescent="0.3">
      <c r="A14235" s="12"/>
    </row>
    <row r="14236" spans="1:1" x14ac:dyDescent="0.3">
      <c r="A14236" s="12"/>
    </row>
    <row r="14237" spans="1:1" x14ac:dyDescent="0.3">
      <c r="A14237" s="12"/>
    </row>
    <row r="14238" spans="1:1" x14ac:dyDescent="0.3">
      <c r="A14238" s="12"/>
    </row>
    <row r="14239" spans="1:1" x14ac:dyDescent="0.3">
      <c r="A14239" s="12"/>
    </row>
    <row r="14240" spans="1:1" x14ac:dyDescent="0.3">
      <c r="A14240" s="12"/>
    </row>
    <row r="14241" spans="1:1" x14ac:dyDescent="0.3">
      <c r="A14241" s="12"/>
    </row>
    <row r="14242" spans="1:1" x14ac:dyDescent="0.3">
      <c r="A14242" s="12"/>
    </row>
    <row r="14243" spans="1:1" x14ac:dyDescent="0.3">
      <c r="A14243" s="12"/>
    </row>
    <row r="14244" spans="1:1" x14ac:dyDescent="0.3">
      <c r="A14244" s="12"/>
    </row>
    <row r="14245" spans="1:1" x14ac:dyDescent="0.3">
      <c r="A14245" s="12"/>
    </row>
    <row r="14246" spans="1:1" x14ac:dyDescent="0.3">
      <c r="A14246" s="12"/>
    </row>
    <row r="14247" spans="1:1" x14ac:dyDescent="0.3">
      <c r="A14247" s="12"/>
    </row>
    <row r="14248" spans="1:1" x14ac:dyDescent="0.3">
      <c r="A14248" s="12"/>
    </row>
    <row r="14249" spans="1:1" x14ac:dyDescent="0.3">
      <c r="A14249" s="12"/>
    </row>
    <row r="14250" spans="1:1" x14ac:dyDescent="0.3">
      <c r="A14250" s="12"/>
    </row>
    <row r="14251" spans="1:1" x14ac:dyDescent="0.3">
      <c r="A14251" s="12"/>
    </row>
    <row r="14252" spans="1:1" x14ac:dyDescent="0.3">
      <c r="A14252" s="12"/>
    </row>
    <row r="14253" spans="1:1" x14ac:dyDescent="0.3">
      <c r="A14253" s="12"/>
    </row>
    <row r="14254" spans="1:1" x14ac:dyDescent="0.3">
      <c r="A14254" s="12"/>
    </row>
    <row r="14255" spans="1:1" x14ac:dyDescent="0.3">
      <c r="A14255" s="12"/>
    </row>
    <row r="14256" spans="1:1" x14ac:dyDescent="0.3">
      <c r="A14256" s="12"/>
    </row>
    <row r="14257" spans="1:1" x14ac:dyDescent="0.3">
      <c r="A14257" s="12"/>
    </row>
    <row r="14258" spans="1:1" x14ac:dyDescent="0.3">
      <c r="A14258" s="12"/>
    </row>
    <row r="14259" spans="1:1" x14ac:dyDescent="0.3">
      <c r="A14259" s="12"/>
    </row>
    <row r="14260" spans="1:1" x14ac:dyDescent="0.3">
      <c r="A14260" s="12"/>
    </row>
    <row r="14261" spans="1:1" x14ac:dyDescent="0.3">
      <c r="A14261" s="12"/>
    </row>
    <row r="14262" spans="1:1" x14ac:dyDescent="0.3">
      <c r="A14262" s="12"/>
    </row>
    <row r="14263" spans="1:1" x14ac:dyDescent="0.3">
      <c r="A14263" s="12"/>
    </row>
    <row r="14264" spans="1:1" x14ac:dyDescent="0.3">
      <c r="A14264" s="12"/>
    </row>
    <row r="14265" spans="1:1" x14ac:dyDescent="0.3">
      <c r="A14265" s="12"/>
    </row>
    <row r="14266" spans="1:1" x14ac:dyDescent="0.3">
      <c r="A14266" s="12"/>
    </row>
    <row r="14267" spans="1:1" x14ac:dyDescent="0.3">
      <c r="A14267" s="12"/>
    </row>
    <row r="14268" spans="1:1" x14ac:dyDescent="0.3">
      <c r="A14268" s="12"/>
    </row>
    <row r="14269" spans="1:1" x14ac:dyDescent="0.3">
      <c r="A14269" s="12"/>
    </row>
    <row r="14270" spans="1:1" x14ac:dyDescent="0.3">
      <c r="A14270" s="12"/>
    </row>
    <row r="14271" spans="1:1" x14ac:dyDescent="0.3">
      <c r="A14271" s="12"/>
    </row>
    <row r="14272" spans="1:1" x14ac:dyDescent="0.3">
      <c r="A14272" s="12"/>
    </row>
    <row r="14273" spans="1:1" x14ac:dyDescent="0.3">
      <c r="A14273" s="12"/>
    </row>
    <row r="14274" spans="1:1" x14ac:dyDescent="0.3">
      <c r="A14274" s="12"/>
    </row>
    <row r="14275" spans="1:1" x14ac:dyDescent="0.3">
      <c r="A14275" s="12"/>
    </row>
    <row r="14276" spans="1:1" x14ac:dyDescent="0.3">
      <c r="A14276" s="12"/>
    </row>
    <row r="14277" spans="1:1" x14ac:dyDescent="0.3">
      <c r="A14277" s="12"/>
    </row>
    <row r="14278" spans="1:1" x14ac:dyDescent="0.3">
      <c r="A14278" s="12"/>
    </row>
    <row r="14279" spans="1:1" x14ac:dyDescent="0.3">
      <c r="A14279" s="12"/>
    </row>
    <row r="14280" spans="1:1" x14ac:dyDescent="0.3">
      <c r="A14280" s="12"/>
    </row>
    <row r="14281" spans="1:1" x14ac:dyDescent="0.3">
      <c r="A14281" s="12"/>
    </row>
    <row r="14282" spans="1:1" x14ac:dyDescent="0.3">
      <c r="A14282" s="12"/>
    </row>
    <row r="14283" spans="1:1" x14ac:dyDescent="0.3">
      <c r="A14283" s="12"/>
    </row>
    <row r="14284" spans="1:1" x14ac:dyDescent="0.3">
      <c r="A14284" s="12"/>
    </row>
    <row r="14285" spans="1:1" x14ac:dyDescent="0.3">
      <c r="A14285" s="12"/>
    </row>
    <row r="14286" spans="1:1" x14ac:dyDescent="0.3">
      <c r="A14286" s="12"/>
    </row>
    <row r="14287" spans="1:1" x14ac:dyDescent="0.3">
      <c r="A14287" s="12"/>
    </row>
    <row r="14288" spans="1:1" x14ac:dyDescent="0.3">
      <c r="A14288" s="12"/>
    </row>
    <row r="14289" spans="1:1" x14ac:dyDescent="0.3">
      <c r="A14289" s="12"/>
    </row>
    <row r="14290" spans="1:1" x14ac:dyDescent="0.3">
      <c r="A14290" s="12"/>
    </row>
    <row r="14291" spans="1:1" x14ac:dyDescent="0.3">
      <c r="A14291" s="12"/>
    </row>
    <row r="14292" spans="1:1" x14ac:dyDescent="0.3">
      <c r="A14292" s="12"/>
    </row>
    <row r="14293" spans="1:1" x14ac:dyDescent="0.3">
      <c r="A14293" s="12"/>
    </row>
    <row r="14294" spans="1:1" x14ac:dyDescent="0.3">
      <c r="A14294" s="12"/>
    </row>
    <row r="14295" spans="1:1" x14ac:dyDescent="0.3">
      <c r="A14295" s="12"/>
    </row>
    <row r="14296" spans="1:1" x14ac:dyDescent="0.3">
      <c r="A14296" s="12"/>
    </row>
    <row r="14297" spans="1:1" x14ac:dyDescent="0.3">
      <c r="A14297" s="12"/>
    </row>
    <row r="14298" spans="1:1" x14ac:dyDescent="0.3">
      <c r="A14298" s="12"/>
    </row>
    <row r="14299" spans="1:1" x14ac:dyDescent="0.3">
      <c r="A14299" s="12"/>
    </row>
    <row r="14300" spans="1:1" x14ac:dyDescent="0.3">
      <c r="A14300" s="12"/>
    </row>
    <row r="14301" spans="1:1" x14ac:dyDescent="0.3">
      <c r="A14301" s="12"/>
    </row>
    <row r="14302" spans="1:1" x14ac:dyDescent="0.3">
      <c r="A14302" s="12"/>
    </row>
    <row r="14303" spans="1:1" x14ac:dyDescent="0.3">
      <c r="A14303" s="12"/>
    </row>
    <row r="14304" spans="1:1" x14ac:dyDescent="0.3">
      <c r="A14304" s="12"/>
    </row>
    <row r="14305" spans="1:1" x14ac:dyDescent="0.3">
      <c r="A14305" s="12"/>
    </row>
    <row r="14306" spans="1:1" x14ac:dyDescent="0.3">
      <c r="A14306" s="12"/>
    </row>
    <row r="14307" spans="1:1" x14ac:dyDescent="0.3">
      <c r="A14307" s="12"/>
    </row>
    <row r="14308" spans="1:1" x14ac:dyDescent="0.3">
      <c r="A14308" s="12"/>
    </row>
    <row r="14309" spans="1:1" x14ac:dyDescent="0.3">
      <c r="A14309" s="12"/>
    </row>
    <row r="14310" spans="1:1" x14ac:dyDescent="0.3">
      <c r="A14310" s="12"/>
    </row>
    <row r="14311" spans="1:1" x14ac:dyDescent="0.3">
      <c r="A14311" s="12"/>
    </row>
    <row r="14312" spans="1:1" x14ac:dyDescent="0.3">
      <c r="A14312" s="12"/>
    </row>
    <row r="14313" spans="1:1" x14ac:dyDescent="0.3">
      <c r="A14313" s="12"/>
    </row>
    <row r="14314" spans="1:1" x14ac:dyDescent="0.3">
      <c r="A14314" s="12"/>
    </row>
    <row r="14315" spans="1:1" x14ac:dyDescent="0.3">
      <c r="A14315" s="12"/>
    </row>
    <row r="14316" spans="1:1" x14ac:dyDescent="0.3">
      <c r="A14316" s="12"/>
    </row>
    <row r="14317" spans="1:1" x14ac:dyDescent="0.3">
      <c r="A14317" s="12"/>
    </row>
    <row r="14318" spans="1:1" x14ac:dyDescent="0.3">
      <c r="A14318" s="12"/>
    </row>
    <row r="14319" spans="1:1" x14ac:dyDescent="0.3">
      <c r="A14319" s="12"/>
    </row>
    <row r="14320" spans="1:1" x14ac:dyDescent="0.3">
      <c r="A14320" s="12"/>
    </row>
    <row r="14321" spans="1:1" x14ac:dyDescent="0.3">
      <c r="A14321" s="12"/>
    </row>
    <row r="14322" spans="1:1" x14ac:dyDescent="0.3">
      <c r="A14322" s="12"/>
    </row>
    <row r="14323" spans="1:1" x14ac:dyDescent="0.3">
      <c r="A14323" s="12"/>
    </row>
    <row r="14324" spans="1:1" x14ac:dyDescent="0.3">
      <c r="A14324" s="12"/>
    </row>
    <row r="14325" spans="1:1" x14ac:dyDescent="0.3">
      <c r="A14325" s="12"/>
    </row>
    <row r="14326" spans="1:1" x14ac:dyDescent="0.3">
      <c r="A14326" s="12"/>
    </row>
    <row r="14327" spans="1:1" x14ac:dyDescent="0.3">
      <c r="A14327" s="12"/>
    </row>
    <row r="14328" spans="1:1" x14ac:dyDescent="0.3">
      <c r="A14328" s="12"/>
    </row>
    <row r="14329" spans="1:1" x14ac:dyDescent="0.3">
      <c r="A14329" s="12"/>
    </row>
    <row r="14330" spans="1:1" x14ac:dyDescent="0.3">
      <c r="A14330" s="12"/>
    </row>
    <row r="14331" spans="1:1" x14ac:dyDescent="0.3">
      <c r="A14331" s="12"/>
    </row>
    <row r="14332" spans="1:1" x14ac:dyDescent="0.3">
      <c r="A14332" s="12"/>
    </row>
    <row r="14333" spans="1:1" x14ac:dyDescent="0.3">
      <c r="A14333" s="12"/>
    </row>
    <row r="14334" spans="1:1" x14ac:dyDescent="0.3">
      <c r="A14334" s="12"/>
    </row>
    <row r="14335" spans="1:1" x14ac:dyDescent="0.3">
      <c r="A14335" s="12"/>
    </row>
    <row r="14336" spans="1:1" x14ac:dyDescent="0.3">
      <c r="A14336" s="12"/>
    </row>
    <row r="14337" spans="1:1" x14ac:dyDescent="0.3">
      <c r="A14337" s="12"/>
    </row>
    <row r="14338" spans="1:1" x14ac:dyDescent="0.3">
      <c r="A14338" s="12"/>
    </row>
    <row r="14339" spans="1:1" x14ac:dyDescent="0.3">
      <c r="A14339" s="12"/>
    </row>
    <row r="14340" spans="1:1" x14ac:dyDescent="0.3">
      <c r="A14340" s="12"/>
    </row>
    <row r="14341" spans="1:1" x14ac:dyDescent="0.3">
      <c r="A14341" s="12"/>
    </row>
    <row r="14342" spans="1:1" x14ac:dyDescent="0.3">
      <c r="A14342" s="12"/>
    </row>
    <row r="14343" spans="1:1" x14ac:dyDescent="0.3">
      <c r="A14343" s="12"/>
    </row>
    <row r="14344" spans="1:1" x14ac:dyDescent="0.3">
      <c r="A14344" s="12"/>
    </row>
    <row r="14345" spans="1:1" x14ac:dyDescent="0.3">
      <c r="A14345" s="12"/>
    </row>
    <row r="14346" spans="1:1" x14ac:dyDescent="0.3">
      <c r="A14346" s="12"/>
    </row>
    <row r="14347" spans="1:1" x14ac:dyDescent="0.3">
      <c r="A14347" s="12"/>
    </row>
    <row r="14348" spans="1:1" x14ac:dyDescent="0.3">
      <c r="A14348" s="12"/>
    </row>
    <row r="14349" spans="1:1" x14ac:dyDescent="0.3">
      <c r="A14349" s="12"/>
    </row>
    <row r="14350" spans="1:1" x14ac:dyDescent="0.3">
      <c r="A14350" s="12"/>
    </row>
    <row r="14351" spans="1:1" x14ac:dyDescent="0.3">
      <c r="A14351" s="12"/>
    </row>
    <row r="14352" spans="1:1" x14ac:dyDescent="0.3">
      <c r="A14352" s="12"/>
    </row>
    <row r="14353" spans="1:1" x14ac:dyDescent="0.3">
      <c r="A14353" s="12"/>
    </row>
    <row r="14354" spans="1:1" x14ac:dyDescent="0.3">
      <c r="A14354" s="12"/>
    </row>
    <row r="14355" spans="1:1" x14ac:dyDescent="0.3">
      <c r="A14355" s="12"/>
    </row>
    <row r="14356" spans="1:1" x14ac:dyDescent="0.3">
      <c r="A14356" s="12"/>
    </row>
    <row r="14357" spans="1:1" x14ac:dyDescent="0.3">
      <c r="A14357" s="12"/>
    </row>
    <row r="14358" spans="1:1" x14ac:dyDescent="0.3">
      <c r="A14358" s="12"/>
    </row>
    <row r="14359" spans="1:1" x14ac:dyDescent="0.3">
      <c r="A14359" s="12"/>
    </row>
    <row r="14360" spans="1:1" x14ac:dyDescent="0.3">
      <c r="A14360" s="12"/>
    </row>
    <row r="14361" spans="1:1" x14ac:dyDescent="0.3">
      <c r="A14361" s="12"/>
    </row>
    <row r="14362" spans="1:1" x14ac:dyDescent="0.3">
      <c r="A14362" s="12"/>
    </row>
    <row r="14363" spans="1:1" x14ac:dyDescent="0.3">
      <c r="A14363" s="12"/>
    </row>
    <row r="14364" spans="1:1" x14ac:dyDescent="0.3">
      <c r="A14364" s="12"/>
    </row>
    <row r="14365" spans="1:1" x14ac:dyDescent="0.3">
      <c r="A14365" s="12"/>
    </row>
    <row r="14366" spans="1:1" x14ac:dyDescent="0.3">
      <c r="A14366" s="12"/>
    </row>
    <row r="14367" spans="1:1" x14ac:dyDescent="0.3">
      <c r="A14367" s="12"/>
    </row>
    <row r="14368" spans="1:1" x14ac:dyDescent="0.3">
      <c r="A14368" s="12"/>
    </row>
    <row r="14369" spans="1:1" x14ac:dyDescent="0.3">
      <c r="A14369" s="12"/>
    </row>
    <row r="14370" spans="1:1" x14ac:dyDescent="0.3">
      <c r="A14370" s="12"/>
    </row>
    <row r="14371" spans="1:1" x14ac:dyDescent="0.3">
      <c r="A14371" s="12"/>
    </row>
    <row r="14372" spans="1:1" x14ac:dyDescent="0.3">
      <c r="A14372" s="12"/>
    </row>
    <row r="14373" spans="1:1" x14ac:dyDescent="0.3">
      <c r="A14373" s="12"/>
    </row>
    <row r="14374" spans="1:1" x14ac:dyDescent="0.3">
      <c r="A14374" s="12"/>
    </row>
    <row r="14375" spans="1:1" x14ac:dyDescent="0.3">
      <c r="A14375" s="12"/>
    </row>
    <row r="14376" spans="1:1" x14ac:dyDescent="0.3">
      <c r="A14376" s="12"/>
    </row>
    <row r="14377" spans="1:1" x14ac:dyDescent="0.3">
      <c r="A14377" s="12"/>
    </row>
    <row r="14378" spans="1:1" x14ac:dyDescent="0.3">
      <c r="A14378" s="12"/>
    </row>
    <row r="14379" spans="1:1" x14ac:dyDescent="0.3">
      <c r="A14379" s="12"/>
    </row>
    <row r="14380" spans="1:1" x14ac:dyDescent="0.3">
      <c r="A14380" s="12"/>
    </row>
    <row r="14381" spans="1:1" x14ac:dyDescent="0.3">
      <c r="A14381" s="12"/>
    </row>
    <row r="14382" spans="1:1" x14ac:dyDescent="0.3">
      <c r="A14382" s="12"/>
    </row>
    <row r="14383" spans="1:1" x14ac:dyDescent="0.3">
      <c r="A14383" s="12"/>
    </row>
    <row r="14384" spans="1:1" x14ac:dyDescent="0.3">
      <c r="A14384" s="12"/>
    </row>
    <row r="14385" spans="1:1" x14ac:dyDescent="0.3">
      <c r="A14385" s="12"/>
    </row>
    <row r="14386" spans="1:1" x14ac:dyDescent="0.3">
      <c r="A14386" s="12"/>
    </row>
    <row r="14387" spans="1:1" x14ac:dyDescent="0.3">
      <c r="A14387" s="12"/>
    </row>
    <row r="14388" spans="1:1" x14ac:dyDescent="0.3">
      <c r="A14388" s="12"/>
    </row>
    <row r="14389" spans="1:1" x14ac:dyDescent="0.3">
      <c r="A14389" s="12"/>
    </row>
    <row r="14390" spans="1:1" x14ac:dyDescent="0.3">
      <c r="A14390" s="12"/>
    </row>
    <row r="14391" spans="1:1" x14ac:dyDescent="0.3">
      <c r="A14391" s="12"/>
    </row>
    <row r="14392" spans="1:1" x14ac:dyDescent="0.3">
      <c r="A14392" s="12"/>
    </row>
    <row r="14393" spans="1:1" x14ac:dyDescent="0.3">
      <c r="A14393" s="12"/>
    </row>
    <row r="14394" spans="1:1" x14ac:dyDescent="0.3">
      <c r="A14394" s="12"/>
    </row>
    <row r="14395" spans="1:1" x14ac:dyDescent="0.3">
      <c r="A14395" s="12"/>
    </row>
    <row r="14396" spans="1:1" x14ac:dyDescent="0.3">
      <c r="A14396" s="12"/>
    </row>
    <row r="14397" spans="1:1" x14ac:dyDescent="0.3">
      <c r="A14397" s="12"/>
    </row>
    <row r="14398" spans="1:1" x14ac:dyDescent="0.3">
      <c r="A14398" s="12"/>
    </row>
    <row r="14399" spans="1:1" x14ac:dyDescent="0.3">
      <c r="A14399" s="12"/>
    </row>
    <row r="14400" spans="1:1" x14ac:dyDescent="0.3">
      <c r="A14400" s="12"/>
    </row>
    <row r="14401" spans="1:1" x14ac:dyDescent="0.3">
      <c r="A14401" s="12"/>
    </row>
    <row r="14402" spans="1:1" x14ac:dyDescent="0.3">
      <c r="A14402" s="12"/>
    </row>
    <row r="14403" spans="1:1" x14ac:dyDescent="0.3">
      <c r="A14403" s="12"/>
    </row>
    <row r="14404" spans="1:1" x14ac:dyDescent="0.3">
      <c r="A14404" s="12"/>
    </row>
    <row r="14405" spans="1:1" x14ac:dyDescent="0.3">
      <c r="A14405" s="12"/>
    </row>
    <row r="14406" spans="1:1" x14ac:dyDescent="0.3">
      <c r="A14406" s="12"/>
    </row>
    <row r="14407" spans="1:1" x14ac:dyDescent="0.3">
      <c r="A14407" s="12"/>
    </row>
    <row r="14408" spans="1:1" x14ac:dyDescent="0.3">
      <c r="A14408" s="12"/>
    </row>
    <row r="14409" spans="1:1" x14ac:dyDescent="0.3">
      <c r="A14409" s="12"/>
    </row>
    <row r="14410" spans="1:1" x14ac:dyDescent="0.3">
      <c r="A14410" s="12"/>
    </row>
    <row r="14411" spans="1:1" x14ac:dyDescent="0.3">
      <c r="A14411" s="12"/>
    </row>
    <row r="14412" spans="1:1" x14ac:dyDescent="0.3">
      <c r="A14412" s="12"/>
    </row>
    <row r="14413" spans="1:1" x14ac:dyDescent="0.3">
      <c r="A14413" s="12"/>
    </row>
    <row r="14414" spans="1:1" x14ac:dyDescent="0.3">
      <c r="A14414" s="12"/>
    </row>
    <row r="14415" spans="1:1" x14ac:dyDescent="0.3">
      <c r="A14415" s="12"/>
    </row>
    <row r="14416" spans="1:1" x14ac:dyDescent="0.3">
      <c r="A14416" s="12"/>
    </row>
    <row r="14417" spans="1:1" x14ac:dyDescent="0.3">
      <c r="A14417" s="12"/>
    </row>
    <row r="14418" spans="1:1" x14ac:dyDescent="0.3">
      <c r="A14418" s="12"/>
    </row>
    <row r="14419" spans="1:1" x14ac:dyDescent="0.3">
      <c r="A14419" s="12"/>
    </row>
    <row r="14420" spans="1:1" x14ac:dyDescent="0.3">
      <c r="A14420" s="12"/>
    </row>
    <row r="14421" spans="1:1" x14ac:dyDescent="0.3">
      <c r="A14421" s="12"/>
    </row>
    <row r="14422" spans="1:1" x14ac:dyDescent="0.3">
      <c r="A14422" s="12"/>
    </row>
    <row r="14423" spans="1:1" x14ac:dyDescent="0.3">
      <c r="A14423" s="12"/>
    </row>
    <row r="14424" spans="1:1" x14ac:dyDescent="0.3">
      <c r="A14424" s="12"/>
    </row>
    <row r="14425" spans="1:1" x14ac:dyDescent="0.3">
      <c r="A14425" s="12"/>
    </row>
    <row r="14426" spans="1:1" x14ac:dyDescent="0.3">
      <c r="A14426" s="12"/>
    </row>
    <row r="14427" spans="1:1" x14ac:dyDescent="0.3">
      <c r="A14427" s="12"/>
    </row>
    <row r="14428" spans="1:1" x14ac:dyDescent="0.3">
      <c r="A14428" s="12"/>
    </row>
    <row r="14429" spans="1:1" x14ac:dyDescent="0.3">
      <c r="A14429" s="12"/>
    </row>
    <row r="14430" spans="1:1" x14ac:dyDescent="0.3">
      <c r="A14430" s="12"/>
    </row>
    <row r="14431" spans="1:1" x14ac:dyDescent="0.3">
      <c r="A14431" s="12"/>
    </row>
    <row r="14432" spans="1:1" x14ac:dyDescent="0.3">
      <c r="A14432" s="12"/>
    </row>
    <row r="14433" spans="1:1" x14ac:dyDescent="0.3">
      <c r="A14433" s="12"/>
    </row>
    <row r="14434" spans="1:1" x14ac:dyDescent="0.3">
      <c r="A14434" s="12"/>
    </row>
    <row r="14435" spans="1:1" x14ac:dyDescent="0.3">
      <c r="A14435" s="12"/>
    </row>
    <row r="14436" spans="1:1" x14ac:dyDescent="0.3">
      <c r="A14436" s="12"/>
    </row>
    <row r="14437" spans="1:1" x14ac:dyDescent="0.3">
      <c r="A14437" s="12"/>
    </row>
    <row r="14438" spans="1:1" x14ac:dyDescent="0.3">
      <c r="A14438" s="12"/>
    </row>
    <row r="14439" spans="1:1" x14ac:dyDescent="0.3">
      <c r="A14439" s="12"/>
    </row>
    <row r="14440" spans="1:1" x14ac:dyDescent="0.3">
      <c r="A14440" s="12"/>
    </row>
    <row r="14441" spans="1:1" x14ac:dyDescent="0.3">
      <c r="A14441" s="12"/>
    </row>
    <row r="14442" spans="1:1" x14ac:dyDescent="0.3">
      <c r="A14442" s="12"/>
    </row>
    <row r="14443" spans="1:1" x14ac:dyDescent="0.3">
      <c r="A14443" s="12"/>
    </row>
    <row r="14444" spans="1:1" x14ac:dyDescent="0.3">
      <c r="A14444" s="12"/>
    </row>
    <row r="14445" spans="1:1" x14ac:dyDescent="0.3">
      <c r="A14445" s="12"/>
    </row>
    <row r="14446" spans="1:1" x14ac:dyDescent="0.3">
      <c r="A14446" s="12"/>
    </row>
    <row r="14447" spans="1:1" x14ac:dyDescent="0.3">
      <c r="A14447" s="12"/>
    </row>
    <row r="14448" spans="1:1" x14ac:dyDescent="0.3">
      <c r="A14448" s="12"/>
    </row>
    <row r="14449" spans="1:1" x14ac:dyDescent="0.3">
      <c r="A14449" s="12"/>
    </row>
    <row r="14450" spans="1:1" x14ac:dyDescent="0.3">
      <c r="A14450" s="12"/>
    </row>
    <row r="14451" spans="1:1" x14ac:dyDescent="0.3">
      <c r="A14451" s="12"/>
    </row>
    <row r="14452" spans="1:1" x14ac:dyDescent="0.3">
      <c r="A14452" s="12"/>
    </row>
    <row r="14453" spans="1:1" x14ac:dyDescent="0.3">
      <c r="A14453" s="12"/>
    </row>
    <row r="14454" spans="1:1" x14ac:dyDescent="0.3">
      <c r="A14454" s="12"/>
    </row>
    <row r="14455" spans="1:1" x14ac:dyDescent="0.3">
      <c r="A14455" s="12"/>
    </row>
    <row r="14456" spans="1:1" x14ac:dyDescent="0.3">
      <c r="A14456" s="12"/>
    </row>
    <row r="14457" spans="1:1" x14ac:dyDescent="0.3">
      <c r="A14457" s="12"/>
    </row>
    <row r="14458" spans="1:1" x14ac:dyDescent="0.3">
      <c r="A14458" s="12"/>
    </row>
    <row r="14459" spans="1:1" x14ac:dyDescent="0.3">
      <c r="A14459" s="12"/>
    </row>
    <row r="14460" spans="1:1" x14ac:dyDescent="0.3">
      <c r="A14460" s="12"/>
    </row>
    <row r="14461" spans="1:1" x14ac:dyDescent="0.3">
      <c r="A14461" s="12"/>
    </row>
    <row r="14462" spans="1:1" x14ac:dyDescent="0.3">
      <c r="A14462" s="12"/>
    </row>
    <row r="14463" spans="1:1" x14ac:dyDescent="0.3">
      <c r="A14463" s="12"/>
    </row>
    <row r="14464" spans="1:1" x14ac:dyDescent="0.3">
      <c r="A14464" s="12"/>
    </row>
    <row r="14465" spans="1:1" x14ac:dyDescent="0.3">
      <c r="A14465" s="12"/>
    </row>
    <row r="14466" spans="1:1" x14ac:dyDescent="0.3">
      <c r="A14466" s="12"/>
    </row>
    <row r="14467" spans="1:1" x14ac:dyDescent="0.3">
      <c r="A14467" s="12"/>
    </row>
    <row r="14468" spans="1:1" x14ac:dyDescent="0.3">
      <c r="A14468" s="12"/>
    </row>
    <row r="14469" spans="1:1" x14ac:dyDescent="0.3">
      <c r="A14469" s="12"/>
    </row>
    <row r="14470" spans="1:1" x14ac:dyDescent="0.3">
      <c r="A14470" s="12"/>
    </row>
    <row r="14471" spans="1:1" x14ac:dyDescent="0.3">
      <c r="A14471" s="12"/>
    </row>
    <row r="14472" spans="1:1" x14ac:dyDescent="0.3">
      <c r="A14472" s="12"/>
    </row>
    <row r="14473" spans="1:1" x14ac:dyDescent="0.3">
      <c r="A14473" s="12"/>
    </row>
    <row r="14474" spans="1:1" x14ac:dyDescent="0.3">
      <c r="A14474" s="12"/>
    </row>
    <row r="14475" spans="1:1" x14ac:dyDescent="0.3">
      <c r="A14475" s="12"/>
    </row>
    <row r="14476" spans="1:1" x14ac:dyDescent="0.3">
      <c r="A14476" s="12"/>
    </row>
    <row r="14477" spans="1:1" x14ac:dyDescent="0.3">
      <c r="A14477" s="12"/>
    </row>
    <row r="14478" spans="1:1" x14ac:dyDescent="0.3">
      <c r="A14478" s="12"/>
    </row>
    <row r="14479" spans="1:1" x14ac:dyDescent="0.3">
      <c r="A14479" s="12"/>
    </row>
    <row r="14480" spans="1:1" x14ac:dyDescent="0.3">
      <c r="A14480" s="12"/>
    </row>
    <row r="14481" spans="1:1" x14ac:dyDescent="0.3">
      <c r="A14481" s="12"/>
    </row>
    <row r="14482" spans="1:1" x14ac:dyDescent="0.3">
      <c r="A14482" s="12"/>
    </row>
    <row r="14483" spans="1:1" x14ac:dyDescent="0.3">
      <c r="A14483" s="12"/>
    </row>
    <row r="14484" spans="1:1" x14ac:dyDescent="0.3">
      <c r="A14484" s="12"/>
    </row>
    <row r="14485" spans="1:1" x14ac:dyDescent="0.3">
      <c r="A14485" s="12"/>
    </row>
    <row r="14486" spans="1:1" x14ac:dyDescent="0.3">
      <c r="A14486" s="12"/>
    </row>
    <row r="14487" spans="1:1" x14ac:dyDescent="0.3">
      <c r="A14487" s="12"/>
    </row>
    <row r="14488" spans="1:1" x14ac:dyDescent="0.3">
      <c r="A14488" s="12"/>
    </row>
    <row r="14489" spans="1:1" x14ac:dyDescent="0.3">
      <c r="A14489" s="12"/>
    </row>
    <row r="14490" spans="1:1" x14ac:dyDescent="0.3">
      <c r="A14490" s="12"/>
    </row>
    <row r="14491" spans="1:1" x14ac:dyDescent="0.3">
      <c r="A14491" s="12"/>
    </row>
    <row r="14492" spans="1:1" x14ac:dyDescent="0.3">
      <c r="A14492" s="12"/>
    </row>
    <row r="14493" spans="1:1" x14ac:dyDescent="0.3">
      <c r="A14493" s="12"/>
    </row>
    <row r="14494" spans="1:1" x14ac:dyDescent="0.3">
      <c r="A14494" s="12"/>
    </row>
    <row r="14495" spans="1:1" x14ac:dyDescent="0.3">
      <c r="A14495" s="12"/>
    </row>
    <row r="14496" spans="1:1" x14ac:dyDescent="0.3">
      <c r="A14496" s="12"/>
    </row>
    <row r="14497" spans="1:1" x14ac:dyDescent="0.3">
      <c r="A14497" s="12"/>
    </row>
    <row r="14498" spans="1:1" x14ac:dyDescent="0.3">
      <c r="A14498" s="12"/>
    </row>
    <row r="14499" spans="1:1" x14ac:dyDescent="0.3">
      <c r="A14499" s="12"/>
    </row>
    <row r="14500" spans="1:1" x14ac:dyDescent="0.3">
      <c r="A14500" s="12"/>
    </row>
    <row r="14501" spans="1:1" x14ac:dyDescent="0.3">
      <c r="A14501" s="12"/>
    </row>
    <row r="14502" spans="1:1" x14ac:dyDescent="0.3">
      <c r="A14502" s="12"/>
    </row>
    <row r="14503" spans="1:1" x14ac:dyDescent="0.3">
      <c r="A14503" s="12"/>
    </row>
    <row r="14504" spans="1:1" x14ac:dyDescent="0.3">
      <c r="A14504" s="12"/>
    </row>
    <row r="14505" spans="1:1" x14ac:dyDescent="0.3">
      <c r="A14505" s="12"/>
    </row>
    <row r="14506" spans="1:1" x14ac:dyDescent="0.3">
      <c r="A14506" s="12"/>
    </row>
    <row r="14507" spans="1:1" x14ac:dyDescent="0.3">
      <c r="A14507" s="12"/>
    </row>
    <row r="14508" spans="1:1" x14ac:dyDescent="0.3">
      <c r="A14508" s="12"/>
    </row>
    <row r="14509" spans="1:1" x14ac:dyDescent="0.3">
      <c r="A14509" s="12"/>
    </row>
    <row r="14510" spans="1:1" x14ac:dyDescent="0.3">
      <c r="A14510" s="12"/>
    </row>
    <row r="14511" spans="1:1" x14ac:dyDescent="0.3">
      <c r="A14511" s="12"/>
    </row>
    <row r="14512" spans="1:1" x14ac:dyDescent="0.3">
      <c r="A14512" s="12"/>
    </row>
    <row r="14513" spans="1:1" x14ac:dyDescent="0.3">
      <c r="A14513" s="12"/>
    </row>
    <row r="14514" spans="1:1" x14ac:dyDescent="0.3">
      <c r="A14514" s="12"/>
    </row>
    <row r="14515" spans="1:1" x14ac:dyDescent="0.3">
      <c r="A14515" s="12"/>
    </row>
    <row r="14516" spans="1:1" x14ac:dyDescent="0.3">
      <c r="A14516" s="12"/>
    </row>
    <row r="14517" spans="1:1" x14ac:dyDescent="0.3">
      <c r="A14517" s="12"/>
    </row>
    <row r="14518" spans="1:1" x14ac:dyDescent="0.3">
      <c r="A14518" s="12"/>
    </row>
    <row r="14519" spans="1:1" x14ac:dyDescent="0.3">
      <c r="A14519" s="12"/>
    </row>
    <row r="14520" spans="1:1" x14ac:dyDescent="0.3">
      <c r="A14520" s="12"/>
    </row>
    <row r="14521" spans="1:1" x14ac:dyDescent="0.3">
      <c r="A14521" s="12"/>
    </row>
    <row r="14522" spans="1:1" x14ac:dyDescent="0.3">
      <c r="A14522" s="12"/>
    </row>
    <row r="14523" spans="1:1" x14ac:dyDescent="0.3">
      <c r="A14523" s="12"/>
    </row>
    <row r="14524" spans="1:1" x14ac:dyDescent="0.3">
      <c r="A14524" s="12"/>
    </row>
    <row r="14525" spans="1:1" x14ac:dyDescent="0.3">
      <c r="A14525" s="12"/>
    </row>
    <row r="14526" spans="1:1" x14ac:dyDescent="0.3">
      <c r="A14526" s="12"/>
    </row>
    <row r="14527" spans="1:1" x14ac:dyDescent="0.3">
      <c r="A14527" s="12"/>
    </row>
    <row r="14528" spans="1:1" x14ac:dyDescent="0.3">
      <c r="A14528" s="12"/>
    </row>
    <row r="14529" spans="1:1" x14ac:dyDescent="0.3">
      <c r="A14529" s="12"/>
    </row>
    <row r="14530" spans="1:1" x14ac:dyDescent="0.3">
      <c r="A14530" s="12"/>
    </row>
    <row r="14531" spans="1:1" x14ac:dyDescent="0.3">
      <c r="A14531" s="12"/>
    </row>
    <row r="14532" spans="1:1" x14ac:dyDescent="0.3">
      <c r="A14532" s="12"/>
    </row>
    <row r="14533" spans="1:1" x14ac:dyDescent="0.3">
      <c r="A14533" s="12"/>
    </row>
    <row r="14534" spans="1:1" x14ac:dyDescent="0.3">
      <c r="A14534" s="12"/>
    </row>
    <row r="14535" spans="1:1" x14ac:dyDescent="0.3">
      <c r="A14535" s="12"/>
    </row>
    <row r="14536" spans="1:1" x14ac:dyDescent="0.3">
      <c r="A14536" s="12"/>
    </row>
    <row r="14537" spans="1:1" x14ac:dyDescent="0.3">
      <c r="A14537" s="12"/>
    </row>
    <row r="14538" spans="1:1" x14ac:dyDescent="0.3">
      <c r="A14538" s="12"/>
    </row>
    <row r="14539" spans="1:1" x14ac:dyDescent="0.3">
      <c r="A14539" s="12"/>
    </row>
    <row r="14540" spans="1:1" x14ac:dyDescent="0.3">
      <c r="A14540" s="12"/>
    </row>
    <row r="14541" spans="1:1" x14ac:dyDescent="0.3">
      <c r="A14541" s="12"/>
    </row>
    <row r="14542" spans="1:1" x14ac:dyDescent="0.3">
      <c r="A14542" s="12"/>
    </row>
    <row r="14543" spans="1:1" x14ac:dyDescent="0.3">
      <c r="A14543" s="12"/>
    </row>
    <row r="14544" spans="1:1" x14ac:dyDescent="0.3">
      <c r="A14544" s="12"/>
    </row>
    <row r="14545" spans="1:1" x14ac:dyDescent="0.3">
      <c r="A14545" s="12"/>
    </row>
    <row r="14546" spans="1:1" x14ac:dyDescent="0.3">
      <c r="A14546" s="12"/>
    </row>
    <row r="14547" spans="1:1" x14ac:dyDescent="0.3">
      <c r="A14547" s="12"/>
    </row>
    <row r="14548" spans="1:1" x14ac:dyDescent="0.3">
      <c r="A14548" s="12"/>
    </row>
    <row r="14549" spans="1:1" x14ac:dyDescent="0.3">
      <c r="A14549" s="12"/>
    </row>
    <row r="14550" spans="1:1" x14ac:dyDescent="0.3">
      <c r="A14550" s="12"/>
    </row>
    <row r="14551" spans="1:1" x14ac:dyDescent="0.3">
      <c r="A14551" s="12"/>
    </row>
    <row r="14552" spans="1:1" x14ac:dyDescent="0.3">
      <c r="A14552" s="12"/>
    </row>
    <row r="14553" spans="1:1" x14ac:dyDescent="0.3">
      <c r="A14553" s="12"/>
    </row>
    <row r="14554" spans="1:1" x14ac:dyDescent="0.3">
      <c r="A14554" s="12"/>
    </row>
    <row r="14555" spans="1:1" x14ac:dyDescent="0.3">
      <c r="A14555" s="12"/>
    </row>
    <row r="14556" spans="1:1" x14ac:dyDescent="0.3">
      <c r="A14556" s="12"/>
    </row>
    <row r="14557" spans="1:1" x14ac:dyDescent="0.3">
      <c r="A14557" s="12"/>
    </row>
    <row r="14558" spans="1:1" x14ac:dyDescent="0.3">
      <c r="A14558" s="12"/>
    </row>
    <row r="14559" spans="1:1" x14ac:dyDescent="0.3">
      <c r="A14559" s="12"/>
    </row>
    <row r="14560" spans="1:1" x14ac:dyDescent="0.3">
      <c r="A14560" s="12"/>
    </row>
    <row r="14561" spans="1:1" x14ac:dyDescent="0.3">
      <c r="A14561" s="12"/>
    </row>
    <row r="14562" spans="1:1" x14ac:dyDescent="0.3">
      <c r="A14562" s="12"/>
    </row>
    <row r="14563" spans="1:1" x14ac:dyDescent="0.3">
      <c r="A14563" s="12"/>
    </row>
    <row r="14564" spans="1:1" x14ac:dyDescent="0.3">
      <c r="A14564" s="12"/>
    </row>
    <row r="14565" spans="1:1" x14ac:dyDescent="0.3">
      <c r="A14565" s="12"/>
    </row>
    <row r="14566" spans="1:1" x14ac:dyDescent="0.3">
      <c r="A14566" s="12"/>
    </row>
    <row r="14567" spans="1:1" x14ac:dyDescent="0.3">
      <c r="A14567" s="12"/>
    </row>
    <row r="14568" spans="1:1" x14ac:dyDescent="0.3">
      <c r="A14568" s="12"/>
    </row>
    <row r="14569" spans="1:1" x14ac:dyDescent="0.3">
      <c r="A14569" s="12"/>
    </row>
    <row r="14570" spans="1:1" x14ac:dyDescent="0.3">
      <c r="A14570" s="12"/>
    </row>
    <row r="14571" spans="1:1" x14ac:dyDescent="0.3">
      <c r="A14571" s="12"/>
    </row>
    <row r="14572" spans="1:1" x14ac:dyDescent="0.3">
      <c r="A14572" s="12"/>
    </row>
    <row r="14573" spans="1:1" x14ac:dyDescent="0.3">
      <c r="A14573" s="12"/>
    </row>
    <row r="14574" spans="1:1" x14ac:dyDescent="0.3">
      <c r="A14574" s="12"/>
    </row>
    <row r="14575" spans="1:1" x14ac:dyDescent="0.3">
      <c r="A14575" s="12"/>
    </row>
    <row r="14576" spans="1:1" x14ac:dyDescent="0.3">
      <c r="A14576" s="12"/>
    </row>
    <row r="14577" spans="1:1" x14ac:dyDescent="0.3">
      <c r="A14577" s="12"/>
    </row>
    <row r="14578" spans="1:1" x14ac:dyDescent="0.3">
      <c r="A14578" s="12"/>
    </row>
    <row r="14579" spans="1:1" x14ac:dyDescent="0.3">
      <c r="A14579" s="12"/>
    </row>
    <row r="14580" spans="1:1" x14ac:dyDescent="0.3">
      <c r="A14580" s="12"/>
    </row>
    <row r="14581" spans="1:1" x14ac:dyDescent="0.3">
      <c r="A14581" s="12"/>
    </row>
    <row r="14582" spans="1:1" x14ac:dyDescent="0.3">
      <c r="A14582" s="12"/>
    </row>
    <row r="14583" spans="1:1" x14ac:dyDescent="0.3">
      <c r="A14583" s="12"/>
    </row>
    <row r="14584" spans="1:1" x14ac:dyDescent="0.3">
      <c r="A14584" s="12"/>
    </row>
    <row r="14585" spans="1:1" x14ac:dyDescent="0.3">
      <c r="A14585" s="12"/>
    </row>
    <row r="14586" spans="1:1" x14ac:dyDescent="0.3">
      <c r="A14586" s="12"/>
    </row>
    <row r="14587" spans="1:1" x14ac:dyDescent="0.3">
      <c r="A14587" s="12"/>
    </row>
    <row r="14588" spans="1:1" x14ac:dyDescent="0.3">
      <c r="A14588" s="12"/>
    </row>
    <row r="14589" spans="1:1" x14ac:dyDescent="0.3">
      <c r="A14589" s="12"/>
    </row>
    <row r="14590" spans="1:1" x14ac:dyDescent="0.3">
      <c r="A14590" s="12"/>
    </row>
    <row r="14591" spans="1:1" x14ac:dyDescent="0.3">
      <c r="A14591" s="12"/>
    </row>
    <row r="14592" spans="1:1" x14ac:dyDescent="0.3">
      <c r="A14592" s="12"/>
    </row>
    <row r="14593" spans="1:1" x14ac:dyDescent="0.3">
      <c r="A14593" s="12"/>
    </row>
    <row r="14594" spans="1:1" x14ac:dyDescent="0.3">
      <c r="A14594" s="12"/>
    </row>
    <row r="14595" spans="1:1" x14ac:dyDescent="0.3">
      <c r="A14595" s="12"/>
    </row>
    <row r="14596" spans="1:1" x14ac:dyDescent="0.3">
      <c r="A14596" s="12"/>
    </row>
    <row r="14597" spans="1:1" x14ac:dyDescent="0.3">
      <c r="A14597" s="12"/>
    </row>
    <row r="14598" spans="1:1" x14ac:dyDescent="0.3">
      <c r="A14598" s="12"/>
    </row>
    <row r="14599" spans="1:1" x14ac:dyDescent="0.3">
      <c r="A14599" s="12"/>
    </row>
    <row r="14600" spans="1:1" x14ac:dyDescent="0.3">
      <c r="A14600" s="12"/>
    </row>
    <row r="14601" spans="1:1" x14ac:dyDescent="0.3">
      <c r="A14601" s="12"/>
    </row>
    <row r="14602" spans="1:1" x14ac:dyDescent="0.3">
      <c r="A14602" s="12"/>
    </row>
    <row r="14603" spans="1:1" x14ac:dyDescent="0.3">
      <c r="A14603" s="12"/>
    </row>
    <row r="14604" spans="1:1" x14ac:dyDescent="0.3">
      <c r="A14604" s="12"/>
    </row>
    <row r="14605" spans="1:1" x14ac:dyDescent="0.3">
      <c r="A14605" s="12"/>
    </row>
    <row r="14606" spans="1:1" x14ac:dyDescent="0.3">
      <c r="A14606" s="12"/>
    </row>
    <row r="14607" spans="1:1" x14ac:dyDescent="0.3">
      <c r="A14607" s="12"/>
    </row>
    <row r="14608" spans="1:1" x14ac:dyDescent="0.3">
      <c r="A14608" s="12"/>
    </row>
    <row r="14609" spans="1:1" x14ac:dyDescent="0.3">
      <c r="A14609" s="12"/>
    </row>
    <row r="14610" spans="1:1" x14ac:dyDescent="0.3">
      <c r="A14610" s="12"/>
    </row>
    <row r="14611" spans="1:1" x14ac:dyDescent="0.3">
      <c r="A14611" s="12"/>
    </row>
    <row r="14612" spans="1:1" x14ac:dyDescent="0.3">
      <c r="A14612" s="12"/>
    </row>
    <row r="14613" spans="1:1" x14ac:dyDescent="0.3">
      <c r="A14613" s="12"/>
    </row>
    <row r="14614" spans="1:1" x14ac:dyDescent="0.3">
      <c r="A14614" s="12"/>
    </row>
    <row r="14615" spans="1:1" x14ac:dyDescent="0.3">
      <c r="A14615" s="12"/>
    </row>
    <row r="14616" spans="1:1" x14ac:dyDescent="0.3">
      <c r="A14616" s="12"/>
    </row>
    <row r="14617" spans="1:1" x14ac:dyDescent="0.3">
      <c r="A14617" s="12"/>
    </row>
    <row r="14618" spans="1:1" x14ac:dyDescent="0.3">
      <c r="A14618" s="12"/>
    </row>
    <row r="14619" spans="1:1" x14ac:dyDescent="0.3">
      <c r="A14619" s="12"/>
    </row>
    <row r="14620" spans="1:1" x14ac:dyDescent="0.3">
      <c r="A14620" s="12"/>
    </row>
    <row r="14621" spans="1:1" x14ac:dyDescent="0.3">
      <c r="A14621" s="12"/>
    </row>
    <row r="14622" spans="1:1" x14ac:dyDescent="0.3">
      <c r="A14622" s="12"/>
    </row>
    <row r="14623" spans="1:1" x14ac:dyDescent="0.3">
      <c r="A14623" s="12"/>
    </row>
    <row r="14624" spans="1:1" x14ac:dyDescent="0.3">
      <c r="A14624" s="12"/>
    </row>
    <row r="14625" spans="1:1" x14ac:dyDescent="0.3">
      <c r="A14625" s="12"/>
    </row>
    <row r="14626" spans="1:1" x14ac:dyDescent="0.3">
      <c r="A14626" s="12"/>
    </row>
    <row r="14627" spans="1:1" x14ac:dyDescent="0.3">
      <c r="A14627" s="12"/>
    </row>
    <row r="14628" spans="1:1" x14ac:dyDescent="0.3">
      <c r="A14628" s="12"/>
    </row>
    <row r="14629" spans="1:1" x14ac:dyDescent="0.3">
      <c r="A14629" s="12"/>
    </row>
    <row r="14630" spans="1:1" x14ac:dyDescent="0.3">
      <c r="A14630" s="12"/>
    </row>
    <row r="14631" spans="1:1" x14ac:dyDescent="0.3">
      <c r="A14631" s="12"/>
    </row>
    <row r="14632" spans="1:1" x14ac:dyDescent="0.3">
      <c r="A14632" s="12"/>
    </row>
    <row r="14633" spans="1:1" x14ac:dyDescent="0.3">
      <c r="A14633" s="12"/>
    </row>
    <row r="14634" spans="1:1" x14ac:dyDescent="0.3">
      <c r="A14634" s="12"/>
    </row>
    <row r="14635" spans="1:1" x14ac:dyDescent="0.3">
      <c r="A14635" s="12"/>
    </row>
    <row r="14636" spans="1:1" x14ac:dyDescent="0.3">
      <c r="A14636" s="12"/>
    </row>
    <row r="14637" spans="1:1" x14ac:dyDescent="0.3">
      <c r="A14637" s="12"/>
    </row>
    <row r="14638" spans="1:1" x14ac:dyDescent="0.3">
      <c r="A14638" s="12"/>
    </row>
    <row r="14639" spans="1:1" x14ac:dyDescent="0.3">
      <c r="A14639" s="12"/>
    </row>
    <row r="14640" spans="1:1" x14ac:dyDescent="0.3">
      <c r="A14640" s="12"/>
    </row>
    <row r="14641" spans="1:1" x14ac:dyDescent="0.3">
      <c r="A14641" s="12"/>
    </row>
    <row r="14642" spans="1:1" x14ac:dyDescent="0.3">
      <c r="A14642" s="12"/>
    </row>
    <row r="14643" spans="1:1" x14ac:dyDescent="0.3">
      <c r="A14643" s="12"/>
    </row>
    <row r="14644" spans="1:1" x14ac:dyDescent="0.3">
      <c r="A14644" s="12"/>
    </row>
    <row r="14645" spans="1:1" x14ac:dyDescent="0.3">
      <c r="A14645" s="12"/>
    </row>
    <row r="14646" spans="1:1" x14ac:dyDescent="0.3">
      <c r="A14646" s="12"/>
    </row>
    <row r="14647" spans="1:1" x14ac:dyDescent="0.3">
      <c r="A14647" s="12"/>
    </row>
    <row r="14648" spans="1:1" x14ac:dyDescent="0.3">
      <c r="A14648" s="12"/>
    </row>
    <row r="14649" spans="1:1" x14ac:dyDescent="0.3">
      <c r="A14649" s="12"/>
    </row>
    <row r="14650" spans="1:1" x14ac:dyDescent="0.3">
      <c r="A14650" s="12"/>
    </row>
    <row r="14651" spans="1:1" x14ac:dyDescent="0.3">
      <c r="A14651" s="12"/>
    </row>
    <row r="14652" spans="1:1" x14ac:dyDescent="0.3">
      <c r="A14652" s="12"/>
    </row>
    <row r="14653" spans="1:1" x14ac:dyDescent="0.3">
      <c r="A14653" s="12"/>
    </row>
    <row r="14654" spans="1:1" x14ac:dyDescent="0.3">
      <c r="A14654" s="12"/>
    </row>
    <row r="14655" spans="1:1" x14ac:dyDescent="0.3">
      <c r="A14655" s="12"/>
    </row>
    <row r="14656" spans="1:1" x14ac:dyDescent="0.3">
      <c r="A14656" s="12"/>
    </row>
    <row r="14657" spans="1:1" x14ac:dyDescent="0.3">
      <c r="A14657" s="12"/>
    </row>
    <row r="14658" spans="1:1" x14ac:dyDescent="0.3">
      <c r="A14658" s="12"/>
    </row>
    <row r="14659" spans="1:1" x14ac:dyDescent="0.3">
      <c r="A14659" s="12"/>
    </row>
    <row r="14660" spans="1:1" x14ac:dyDescent="0.3">
      <c r="A14660" s="12"/>
    </row>
    <row r="14661" spans="1:1" x14ac:dyDescent="0.3">
      <c r="A14661" s="12"/>
    </row>
    <row r="14662" spans="1:1" x14ac:dyDescent="0.3">
      <c r="A14662" s="12"/>
    </row>
    <row r="14663" spans="1:1" x14ac:dyDescent="0.3">
      <c r="A14663" s="12"/>
    </row>
    <row r="14664" spans="1:1" x14ac:dyDescent="0.3">
      <c r="A14664" s="12"/>
    </row>
    <row r="14665" spans="1:1" x14ac:dyDescent="0.3">
      <c r="A14665" s="12"/>
    </row>
    <row r="14666" spans="1:1" x14ac:dyDescent="0.3">
      <c r="A14666" s="12"/>
    </row>
    <row r="14667" spans="1:1" x14ac:dyDescent="0.3">
      <c r="A14667" s="12"/>
    </row>
    <row r="14668" spans="1:1" x14ac:dyDescent="0.3">
      <c r="A14668" s="12"/>
    </row>
    <row r="14669" spans="1:1" x14ac:dyDescent="0.3">
      <c r="A14669" s="12"/>
    </row>
    <row r="14670" spans="1:1" x14ac:dyDescent="0.3">
      <c r="A14670" s="12"/>
    </row>
    <row r="14671" spans="1:1" x14ac:dyDescent="0.3">
      <c r="A14671" s="12"/>
    </row>
    <row r="14672" spans="1:1" x14ac:dyDescent="0.3">
      <c r="A14672" s="12"/>
    </row>
    <row r="14673" spans="1:1" x14ac:dyDescent="0.3">
      <c r="A14673" s="12"/>
    </row>
    <row r="14674" spans="1:1" x14ac:dyDescent="0.3">
      <c r="A14674" s="12"/>
    </row>
    <row r="14675" spans="1:1" x14ac:dyDescent="0.3">
      <c r="A14675" s="12"/>
    </row>
    <row r="14676" spans="1:1" x14ac:dyDescent="0.3">
      <c r="A14676" s="12"/>
    </row>
    <row r="14677" spans="1:1" x14ac:dyDescent="0.3">
      <c r="A14677" s="12"/>
    </row>
    <row r="14678" spans="1:1" x14ac:dyDescent="0.3">
      <c r="A14678" s="12"/>
    </row>
    <row r="14679" spans="1:1" x14ac:dyDescent="0.3">
      <c r="A14679" s="12"/>
    </row>
    <row r="14680" spans="1:1" x14ac:dyDescent="0.3">
      <c r="A14680" s="12"/>
    </row>
    <row r="14681" spans="1:1" x14ac:dyDescent="0.3">
      <c r="A14681" s="12"/>
    </row>
    <row r="14682" spans="1:1" x14ac:dyDescent="0.3">
      <c r="A14682" s="12"/>
    </row>
    <row r="14683" spans="1:1" x14ac:dyDescent="0.3">
      <c r="A14683" s="12"/>
    </row>
    <row r="14684" spans="1:1" x14ac:dyDescent="0.3">
      <c r="A14684" s="12"/>
    </row>
    <row r="14685" spans="1:1" x14ac:dyDescent="0.3">
      <c r="A14685" s="12"/>
    </row>
    <row r="14686" spans="1:1" x14ac:dyDescent="0.3">
      <c r="A14686" s="12"/>
    </row>
    <row r="14687" spans="1:1" x14ac:dyDescent="0.3">
      <c r="A14687" s="12"/>
    </row>
    <row r="14688" spans="1:1" x14ac:dyDescent="0.3">
      <c r="A14688" s="12"/>
    </row>
    <row r="14689" spans="1:1" x14ac:dyDescent="0.3">
      <c r="A14689" s="12"/>
    </row>
    <row r="14690" spans="1:1" x14ac:dyDescent="0.3">
      <c r="A14690" s="12"/>
    </row>
    <row r="14691" spans="1:1" x14ac:dyDescent="0.3">
      <c r="A14691" s="12"/>
    </row>
    <row r="14692" spans="1:1" x14ac:dyDescent="0.3">
      <c r="A14692" s="12"/>
    </row>
    <row r="14693" spans="1:1" x14ac:dyDescent="0.3">
      <c r="A14693" s="12"/>
    </row>
    <row r="14694" spans="1:1" x14ac:dyDescent="0.3">
      <c r="A14694" s="12"/>
    </row>
    <row r="14695" spans="1:1" x14ac:dyDescent="0.3">
      <c r="A14695" s="12"/>
    </row>
    <row r="14696" spans="1:1" x14ac:dyDescent="0.3">
      <c r="A14696" s="12"/>
    </row>
    <row r="14697" spans="1:1" x14ac:dyDescent="0.3">
      <c r="A14697" s="12"/>
    </row>
    <row r="14698" spans="1:1" x14ac:dyDescent="0.3">
      <c r="A14698" s="12"/>
    </row>
    <row r="14699" spans="1:1" x14ac:dyDescent="0.3">
      <c r="A14699" s="12"/>
    </row>
    <row r="14700" spans="1:1" x14ac:dyDescent="0.3">
      <c r="A14700" s="12"/>
    </row>
    <row r="14701" spans="1:1" x14ac:dyDescent="0.3">
      <c r="A14701" s="12"/>
    </row>
    <row r="14702" spans="1:1" x14ac:dyDescent="0.3">
      <c r="A14702" s="12"/>
    </row>
    <row r="14703" spans="1:1" x14ac:dyDescent="0.3">
      <c r="A14703" s="12"/>
    </row>
    <row r="14704" spans="1:1" x14ac:dyDescent="0.3">
      <c r="A14704" s="12"/>
    </row>
    <row r="14705" spans="1:1" x14ac:dyDescent="0.3">
      <c r="A14705" s="12"/>
    </row>
    <row r="14706" spans="1:1" x14ac:dyDescent="0.3">
      <c r="A14706" s="12"/>
    </row>
    <row r="14707" spans="1:1" x14ac:dyDescent="0.3">
      <c r="A14707" s="12"/>
    </row>
    <row r="14708" spans="1:1" x14ac:dyDescent="0.3">
      <c r="A14708" s="12"/>
    </row>
    <row r="14709" spans="1:1" x14ac:dyDescent="0.3">
      <c r="A14709" s="12"/>
    </row>
    <row r="14710" spans="1:1" x14ac:dyDescent="0.3">
      <c r="A14710" s="12"/>
    </row>
    <row r="14711" spans="1:1" x14ac:dyDescent="0.3">
      <c r="A14711" s="12"/>
    </row>
    <row r="14712" spans="1:1" x14ac:dyDescent="0.3">
      <c r="A14712" s="12"/>
    </row>
    <row r="14713" spans="1:1" x14ac:dyDescent="0.3">
      <c r="A14713" s="12"/>
    </row>
    <row r="14714" spans="1:1" x14ac:dyDescent="0.3">
      <c r="A14714" s="12"/>
    </row>
    <row r="14715" spans="1:1" x14ac:dyDescent="0.3">
      <c r="A14715" s="12"/>
    </row>
    <row r="14716" spans="1:1" x14ac:dyDescent="0.3">
      <c r="A14716" s="12"/>
    </row>
    <row r="14717" spans="1:1" x14ac:dyDescent="0.3">
      <c r="A14717" s="12"/>
    </row>
    <row r="14718" spans="1:1" x14ac:dyDescent="0.3">
      <c r="A14718" s="12"/>
    </row>
    <row r="14719" spans="1:1" x14ac:dyDescent="0.3">
      <c r="A14719" s="12"/>
    </row>
    <row r="14720" spans="1:1" x14ac:dyDescent="0.3">
      <c r="A14720" s="12"/>
    </row>
    <row r="14721" spans="1:1" x14ac:dyDescent="0.3">
      <c r="A14721" s="12"/>
    </row>
    <row r="14722" spans="1:1" x14ac:dyDescent="0.3">
      <c r="A14722" s="12"/>
    </row>
    <row r="14723" spans="1:1" x14ac:dyDescent="0.3">
      <c r="A14723" s="12"/>
    </row>
    <row r="14724" spans="1:1" x14ac:dyDescent="0.3">
      <c r="A14724" s="12"/>
    </row>
    <row r="14725" spans="1:1" x14ac:dyDescent="0.3">
      <c r="A14725" s="12"/>
    </row>
    <row r="14726" spans="1:1" x14ac:dyDescent="0.3">
      <c r="A14726" s="12"/>
    </row>
    <row r="14727" spans="1:1" x14ac:dyDescent="0.3">
      <c r="A14727" s="12"/>
    </row>
    <row r="14728" spans="1:1" x14ac:dyDescent="0.3">
      <c r="A14728" s="12"/>
    </row>
    <row r="14729" spans="1:1" x14ac:dyDescent="0.3">
      <c r="A14729" s="12"/>
    </row>
    <row r="14730" spans="1:1" x14ac:dyDescent="0.3">
      <c r="A14730" s="12"/>
    </row>
    <row r="14731" spans="1:1" x14ac:dyDescent="0.3">
      <c r="A14731" s="12"/>
    </row>
    <row r="14732" spans="1:1" x14ac:dyDescent="0.3">
      <c r="A14732" s="12"/>
    </row>
    <row r="14733" spans="1:1" x14ac:dyDescent="0.3">
      <c r="A14733" s="12"/>
    </row>
    <row r="14734" spans="1:1" x14ac:dyDescent="0.3">
      <c r="A14734" s="12"/>
    </row>
    <row r="14735" spans="1:1" x14ac:dyDescent="0.3">
      <c r="A14735" s="12"/>
    </row>
    <row r="14736" spans="1:1" x14ac:dyDescent="0.3">
      <c r="A14736" s="12"/>
    </row>
    <row r="14737" spans="1:1" x14ac:dyDescent="0.3">
      <c r="A14737" s="12"/>
    </row>
    <row r="14738" spans="1:1" x14ac:dyDescent="0.3">
      <c r="A14738" s="12"/>
    </row>
    <row r="14739" spans="1:1" x14ac:dyDescent="0.3">
      <c r="A14739" s="12"/>
    </row>
    <row r="14740" spans="1:1" x14ac:dyDescent="0.3">
      <c r="A14740" s="12"/>
    </row>
    <row r="14741" spans="1:1" x14ac:dyDescent="0.3">
      <c r="A14741" s="12"/>
    </row>
    <row r="14742" spans="1:1" x14ac:dyDescent="0.3">
      <c r="A14742" s="12"/>
    </row>
    <row r="14743" spans="1:1" x14ac:dyDescent="0.3">
      <c r="A14743" s="12"/>
    </row>
    <row r="14744" spans="1:1" x14ac:dyDescent="0.3">
      <c r="A14744" s="12"/>
    </row>
    <row r="14745" spans="1:1" x14ac:dyDescent="0.3">
      <c r="A14745" s="12"/>
    </row>
    <row r="14746" spans="1:1" x14ac:dyDescent="0.3">
      <c r="A14746" s="12"/>
    </row>
    <row r="14747" spans="1:1" x14ac:dyDescent="0.3">
      <c r="A14747" s="12"/>
    </row>
    <row r="14748" spans="1:1" x14ac:dyDescent="0.3">
      <c r="A14748" s="12"/>
    </row>
    <row r="14749" spans="1:1" x14ac:dyDescent="0.3">
      <c r="A14749" s="12"/>
    </row>
    <row r="14750" spans="1:1" x14ac:dyDescent="0.3">
      <c r="A14750" s="12"/>
    </row>
    <row r="14751" spans="1:1" x14ac:dyDescent="0.3">
      <c r="A14751" s="12"/>
    </row>
    <row r="14752" spans="1:1" x14ac:dyDescent="0.3">
      <c r="A14752" s="12"/>
    </row>
    <row r="14753" spans="1:1" x14ac:dyDescent="0.3">
      <c r="A14753" s="12"/>
    </row>
    <row r="14754" spans="1:1" x14ac:dyDescent="0.3">
      <c r="A14754" s="12"/>
    </row>
    <row r="14755" spans="1:1" x14ac:dyDescent="0.3">
      <c r="A14755" s="12"/>
    </row>
    <row r="14756" spans="1:1" x14ac:dyDescent="0.3">
      <c r="A14756" s="12"/>
    </row>
    <row r="14757" spans="1:1" x14ac:dyDescent="0.3">
      <c r="A14757" s="12"/>
    </row>
    <row r="14758" spans="1:1" x14ac:dyDescent="0.3">
      <c r="A14758" s="12"/>
    </row>
    <row r="14759" spans="1:1" x14ac:dyDescent="0.3">
      <c r="A14759" s="12"/>
    </row>
    <row r="14760" spans="1:1" x14ac:dyDescent="0.3">
      <c r="A14760" s="12"/>
    </row>
    <row r="14761" spans="1:1" x14ac:dyDescent="0.3">
      <c r="A14761" s="12"/>
    </row>
    <row r="14762" spans="1:1" x14ac:dyDescent="0.3">
      <c r="A14762" s="12"/>
    </row>
    <row r="14763" spans="1:1" x14ac:dyDescent="0.3">
      <c r="A14763" s="12"/>
    </row>
    <row r="14764" spans="1:1" x14ac:dyDescent="0.3">
      <c r="A14764" s="12"/>
    </row>
    <row r="14765" spans="1:1" x14ac:dyDescent="0.3">
      <c r="A14765" s="12"/>
    </row>
    <row r="14766" spans="1:1" x14ac:dyDescent="0.3">
      <c r="A14766" s="12"/>
    </row>
    <row r="14767" spans="1:1" x14ac:dyDescent="0.3">
      <c r="A14767" s="12"/>
    </row>
    <row r="14768" spans="1:1" x14ac:dyDescent="0.3">
      <c r="A14768" s="12"/>
    </row>
    <row r="14769" spans="1:1" x14ac:dyDescent="0.3">
      <c r="A14769" s="12"/>
    </row>
    <row r="14770" spans="1:1" x14ac:dyDescent="0.3">
      <c r="A14770" s="12"/>
    </row>
    <row r="14771" spans="1:1" x14ac:dyDescent="0.3">
      <c r="A14771" s="12"/>
    </row>
    <row r="14772" spans="1:1" x14ac:dyDescent="0.3">
      <c r="A14772" s="12"/>
    </row>
    <row r="14773" spans="1:1" x14ac:dyDescent="0.3">
      <c r="A14773" s="12"/>
    </row>
    <row r="14774" spans="1:1" x14ac:dyDescent="0.3">
      <c r="A14774" s="12"/>
    </row>
    <row r="14775" spans="1:1" x14ac:dyDescent="0.3">
      <c r="A14775" s="12"/>
    </row>
    <row r="14776" spans="1:1" x14ac:dyDescent="0.3">
      <c r="A14776" s="12"/>
    </row>
    <row r="14777" spans="1:1" x14ac:dyDescent="0.3">
      <c r="A14777" s="12"/>
    </row>
    <row r="14778" spans="1:1" x14ac:dyDescent="0.3">
      <c r="A14778" s="12"/>
    </row>
    <row r="14779" spans="1:1" x14ac:dyDescent="0.3">
      <c r="A14779" s="12"/>
    </row>
    <row r="14780" spans="1:1" x14ac:dyDescent="0.3">
      <c r="A14780" s="12"/>
    </row>
    <row r="14781" spans="1:1" x14ac:dyDescent="0.3">
      <c r="A14781" s="12"/>
    </row>
    <row r="14782" spans="1:1" x14ac:dyDescent="0.3">
      <c r="A14782" s="12"/>
    </row>
    <row r="14783" spans="1:1" x14ac:dyDescent="0.3">
      <c r="A14783" s="12"/>
    </row>
    <row r="14784" spans="1:1" x14ac:dyDescent="0.3">
      <c r="A14784" s="12"/>
    </row>
    <row r="14785" spans="1:1" x14ac:dyDescent="0.3">
      <c r="A14785" s="12"/>
    </row>
    <row r="14786" spans="1:1" x14ac:dyDescent="0.3">
      <c r="A14786" s="12"/>
    </row>
    <row r="14787" spans="1:1" x14ac:dyDescent="0.3">
      <c r="A14787" s="12"/>
    </row>
    <row r="14788" spans="1:1" x14ac:dyDescent="0.3">
      <c r="A14788" s="12"/>
    </row>
    <row r="14789" spans="1:1" x14ac:dyDescent="0.3">
      <c r="A14789" s="12"/>
    </row>
    <row r="14790" spans="1:1" x14ac:dyDescent="0.3">
      <c r="A14790" s="12"/>
    </row>
    <row r="14791" spans="1:1" x14ac:dyDescent="0.3">
      <c r="A14791" s="12"/>
    </row>
    <row r="14792" spans="1:1" x14ac:dyDescent="0.3">
      <c r="A14792" s="12"/>
    </row>
    <row r="14793" spans="1:1" x14ac:dyDescent="0.3">
      <c r="A14793" s="12"/>
    </row>
    <row r="14794" spans="1:1" x14ac:dyDescent="0.3">
      <c r="A14794" s="12"/>
    </row>
    <row r="14795" spans="1:1" x14ac:dyDescent="0.3">
      <c r="A14795" s="12"/>
    </row>
    <row r="14796" spans="1:1" x14ac:dyDescent="0.3">
      <c r="A14796" s="12"/>
    </row>
    <row r="14797" spans="1:1" x14ac:dyDescent="0.3">
      <c r="A14797" s="12"/>
    </row>
    <row r="14798" spans="1:1" x14ac:dyDescent="0.3">
      <c r="A14798" s="12"/>
    </row>
    <row r="14799" spans="1:1" x14ac:dyDescent="0.3">
      <c r="A14799" s="12"/>
    </row>
    <row r="14800" spans="1:1" x14ac:dyDescent="0.3">
      <c r="A14800" s="12"/>
    </row>
    <row r="14801" spans="1:1" x14ac:dyDescent="0.3">
      <c r="A14801" s="12"/>
    </row>
    <row r="14802" spans="1:1" x14ac:dyDescent="0.3">
      <c r="A14802" s="12"/>
    </row>
    <row r="14803" spans="1:1" x14ac:dyDescent="0.3">
      <c r="A14803" s="12"/>
    </row>
    <row r="14804" spans="1:1" x14ac:dyDescent="0.3">
      <c r="A14804" s="12"/>
    </row>
    <row r="14805" spans="1:1" x14ac:dyDescent="0.3">
      <c r="A14805" s="12"/>
    </row>
    <row r="14806" spans="1:1" x14ac:dyDescent="0.3">
      <c r="A14806" s="12"/>
    </row>
    <row r="14807" spans="1:1" x14ac:dyDescent="0.3">
      <c r="A14807" s="12"/>
    </row>
    <row r="14808" spans="1:1" x14ac:dyDescent="0.3">
      <c r="A14808" s="12"/>
    </row>
    <row r="14809" spans="1:1" x14ac:dyDescent="0.3">
      <c r="A14809" s="12"/>
    </row>
    <row r="14810" spans="1:1" x14ac:dyDescent="0.3">
      <c r="A14810" s="12"/>
    </row>
    <row r="14811" spans="1:1" x14ac:dyDescent="0.3">
      <c r="A14811" s="12"/>
    </row>
    <row r="14812" spans="1:1" x14ac:dyDescent="0.3">
      <c r="A14812" s="12"/>
    </row>
    <row r="14813" spans="1:1" x14ac:dyDescent="0.3">
      <c r="A14813" s="12"/>
    </row>
    <row r="14814" spans="1:1" x14ac:dyDescent="0.3">
      <c r="A14814" s="12"/>
    </row>
    <row r="14815" spans="1:1" x14ac:dyDescent="0.3">
      <c r="A14815" s="12"/>
    </row>
    <row r="14816" spans="1:1" x14ac:dyDescent="0.3">
      <c r="A14816" s="12"/>
    </row>
    <row r="14817" spans="1:1" x14ac:dyDescent="0.3">
      <c r="A14817" s="12"/>
    </row>
    <row r="14818" spans="1:1" x14ac:dyDescent="0.3">
      <c r="A14818" s="12"/>
    </row>
    <row r="14819" spans="1:1" x14ac:dyDescent="0.3">
      <c r="A14819" s="12"/>
    </row>
    <row r="14820" spans="1:1" x14ac:dyDescent="0.3">
      <c r="A14820" s="12"/>
    </row>
    <row r="14821" spans="1:1" x14ac:dyDescent="0.3">
      <c r="A14821" s="12"/>
    </row>
    <row r="14822" spans="1:1" x14ac:dyDescent="0.3">
      <c r="A14822" s="12"/>
    </row>
    <row r="14823" spans="1:1" x14ac:dyDescent="0.3">
      <c r="A14823" s="12"/>
    </row>
    <row r="14824" spans="1:1" x14ac:dyDescent="0.3">
      <c r="A14824" s="12"/>
    </row>
    <row r="14825" spans="1:1" x14ac:dyDescent="0.3">
      <c r="A14825" s="12"/>
    </row>
    <row r="14826" spans="1:1" x14ac:dyDescent="0.3">
      <c r="A14826" s="12"/>
    </row>
    <row r="14827" spans="1:1" x14ac:dyDescent="0.3">
      <c r="A14827" s="12"/>
    </row>
    <row r="14828" spans="1:1" x14ac:dyDescent="0.3">
      <c r="A14828" s="12"/>
    </row>
    <row r="14829" spans="1:1" x14ac:dyDescent="0.3">
      <c r="A14829" s="12"/>
    </row>
    <row r="14830" spans="1:1" x14ac:dyDescent="0.3">
      <c r="A14830" s="12"/>
    </row>
    <row r="14831" spans="1:1" x14ac:dyDescent="0.3">
      <c r="A14831" s="12"/>
    </row>
    <row r="14832" spans="1:1" x14ac:dyDescent="0.3">
      <c r="A14832" s="12"/>
    </row>
    <row r="14833" spans="1:1" x14ac:dyDescent="0.3">
      <c r="A14833" s="12"/>
    </row>
    <row r="14834" spans="1:1" x14ac:dyDescent="0.3">
      <c r="A14834" s="12"/>
    </row>
    <row r="14835" spans="1:1" x14ac:dyDescent="0.3">
      <c r="A14835" s="12"/>
    </row>
    <row r="14836" spans="1:1" x14ac:dyDescent="0.3">
      <c r="A14836" s="12"/>
    </row>
    <row r="14837" spans="1:1" x14ac:dyDescent="0.3">
      <c r="A14837" s="12"/>
    </row>
    <row r="14838" spans="1:1" x14ac:dyDescent="0.3">
      <c r="A14838" s="12"/>
    </row>
    <row r="14839" spans="1:1" x14ac:dyDescent="0.3">
      <c r="A14839" s="12"/>
    </row>
    <row r="14840" spans="1:1" x14ac:dyDescent="0.3">
      <c r="A14840" s="12"/>
    </row>
    <row r="14841" spans="1:1" x14ac:dyDescent="0.3">
      <c r="A14841" s="12"/>
    </row>
    <row r="14842" spans="1:1" x14ac:dyDescent="0.3">
      <c r="A14842" s="12"/>
    </row>
    <row r="14843" spans="1:1" x14ac:dyDescent="0.3">
      <c r="A14843" s="12"/>
    </row>
    <row r="14844" spans="1:1" x14ac:dyDescent="0.3">
      <c r="A14844" s="12"/>
    </row>
    <row r="14845" spans="1:1" x14ac:dyDescent="0.3">
      <c r="A14845" s="12"/>
    </row>
    <row r="14846" spans="1:1" x14ac:dyDescent="0.3">
      <c r="A14846" s="12"/>
    </row>
    <row r="14847" spans="1:1" x14ac:dyDescent="0.3">
      <c r="A14847" s="12"/>
    </row>
    <row r="14848" spans="1:1" x14ac:dyDescent="0.3">
      <c r="A14848" s="12"/>
    </row>
    <row r="14849" spans="1:1" x14ac:dyDescent="0.3">
      <c r="A14849" s="12"/>
    </row>
    <row r="14850" spans="1:1" x14ac:dyDescent="0.3">
      <c r="A14850" s="12"/>
    </row>
    <row r="14851" spans="1:1" x14ac:dyDescent="0.3">
      <c r="A14851" s="12"/>
    </row>
    <row r="14852" spans="1:1" x14ac:dyDescent="0.3">
      <c r="A14852" s="12"/>
    </row>
    <row r="14853" spans="1:1" x14ac:dyDescent="0.3">
      <c r="A14853" s="12"/>
    </row>
    <row r="14854" spans="1:1" x14ac:dyDescent="0.3">
      <c r="A14854" s="12"/>
    </row>
    <row r="14855" spans="1:1" x14ac:dyDescent="0.3">
      <c r="A14855" s="12"/>
    </row>
    <row r="14856" spans="1:1" x14ac:dyDescent="0.3">
      <c r="A14856" s="12"/>
    </row>
    <row r="14857" spans="1:1" x14ac:dyDescent="0.3">
      <c r="A14857" s="12"/>
    </row>
    <row r="14858" spans="1:1" x14ac:dyDescent="0.3">
      <c r="A14858" s="12"/>
    </row>
    <row r="14859" spans="1:1" x14ac:dyDescent="0.3">
      <c r="A14859" s="12"/>
    </row>
    <row r="14860" spans="1:1" x14ac:dyDescent="0.3">
      <c r="A14860" s="12"/>
    </row>
    <row r="14861" spans="1:1" x14ac:dyDescent="0.3">
      <c r="A14861" s="12"/>
    </row>
    <row r="14862" spans="1:1" x14ac:dyDescent="0.3">
      <c r="A14862" s="12"/>
    </row>
    <row r="14863" spans="1:1" x14ac:dyDescent="0.3">
      <c r="A14863" s="12"/>
    </row>
    <row r="14864" spans="1:1" x14ac:dyDescent="0.3">
      <c r="A14864" s="12"/>
    </row>
    <row r="14865" spans="1:1" x14ac:dyDescent="0.3">
      <c r="A14865" s="12"/>
    </row>
    <row r="14866" spans="1:1" x14ac:dyDescent="0.3">
      <c r="A14866" s="12"/>
    </row>
    <row r="14867" spans="1:1" x14ac:dyDescent="0.3">
      <c r="A14867" s="12"/>
    </row>
    <row r="14868" spans="1:1" x14ac:dyDescent="0.3">
      <c r="A14868" s="12"/>
    </row>
    <row r="14869" spans="1:1" x14ac:dyDescent="0.3">
      <c r="A14869" s="12"/>
    </row>
    <row r="14870" spans="1:1" x14ac:dyDescent="0.3">
      <c r="A14870" s="12"/>
    </row>
    <row r="14871" spans="1:1" x14ac:dyDescent="0.3">
      <c r="A14871" s="12"/>
    </row>
    <row r="14872" spans="1:1" x14ac:dyDescent="0.3">
      <c r="A14872" s="12"/>
    </row>
    <row r="14873" spans="1:1" x14ac:dyDescent="0.3">
      <c r="A14873" s="12"/>
    </row>
    <row r="14874" spans="1:1" x14ac:dyDescent="0.3">
      <c r="A14874" s="12"/>
    </row>
    <row r="14875" spans="1:1" x14ac:dyDescent="0.3">
      <c r="A14875" s="12"/>
    </row>
    <row r="14876" spans="1:1" x14ac:dyDescent="0.3">
      <c r="A14876" s="12"/>
    </row>
    <row r="14877" spans="1:1" x14ac:dyDescent="0.3">
      <c r="A14877" s="12"/>
    </row>
    <row r="14878" spans="1:1" x14ac:dyDescent="0.3">
      <c r="A14878" s="12"/>
    </row>
    <row r="14879" spans="1:1" x14ac:dyDescent="0.3">
      <c r="A14879" s="12"/>
    </row>
    <row r="14880" spans="1:1" x14ac:dyDescent="0.3">
      <c r="A14880" s="12"/>
    </row>
    <row r="14881" spans="1:1" x14ac:dyDescent="0.3">
      <c r="A14881" s="12"/>
    </row>
    <row r="14882" spans="1:1" x14ac:dyDescent="0.3">
      <c r="A14882" s="12"/>
    </row>
    <row r="14883" spans="1:1" x14ac:dyDescent="0.3">
      <c r="A14883" s="12"/>
    </row>
    <row r="14884" spans="1:1" x14ac:dyDescent="0.3">
      <c r="A14884" s="12"/>
    </row>
    <row r="14885" spans="1:1" x14ac:dyDescent="0.3">
      <c r="A14885" s="12"/>
    </row>
    <row r="14886" spans="1:1" x14ac:dyDescent="0.3">
      <c r="A14886" s="12"/>
    </row>
    <row r="14887" spans="1:1" x14ac:dyDescent="0.3">
      <c r="A14887" s="12"/>
    </row>
    <row r="14888" spans="1:1" x14ac:dyDescent="0.3">
      <c r="A14888" s="12"/>
    </row>
    <row r="14889" spans="1:1" x14ac:dyDescent="0.3">
      <c r="A14889" s="12"/>
    </row>
    <row r="14890" spans="1:1" x14ac:dyDescent="0.3">
      <c r="A14890" s="12"/>
    </row>
    <row r="14891" spans="1:1" x14ac:dyDescent="0.3">
      <c r="A14891" s="12"/>
    </row>
    <row r="14892" spans="1:1" x14ac:dyDescent="0.3">
      <c r="A14892" s="12"/>
    </row>
    <row r="14893" spans="1:1" x14ac:dyDescent="0.3">
      <c r="A14893" s="12"/>
    </row>
    <row r="14894" spans="1:1" x14ac:dyDescent="0.3">
      <c r="A14894" s="12"/>
    </row>
    <row r="14895" spans="1:1" x14ac:dyDescent="0.3">
      <c r="A14895" s="12"/>
    </row>
    <row r="14896" spans="1:1" x14ac:dyDescent="0.3">
      <c r="A14896" s="12"/>
    </row>
    <row r="14897" spans="1:1" x14ac:dyDescent="0.3">
      <c r="A14897" s="12"/>
    </row>
    <row r="14898" spans="1:1" x14ac:dyDescent="0.3">
      <c r="A14898" s="12"/>
    </row>
    <row r="14899" spans="1:1" x14ac:dyDescent="0.3">
      <c r="A14899" s="12"/>
    </row>
    <row r="14900" spans="1:1" x14ac:dyDescent="0.3">
      <c r="A14900" s="12"/>
    </row>
    <row r="14901" spans="1:1" x14ac:dyDescent="0.3">
      <c r="A14901" s="12"/>
    </row>
    <row r="14902" spans="1:1" x14ac:dyDescent="0.3">
      <c r="A14902" s="12"/>
    </row>
    <row r="14903" spans="1:1" x14ac:dyDescent="0.3">
      <c r="A14903" s="12"/>
    </row>
    <row r="14904" spans="1:1" x14ac:dyDescent="0.3">
      <c r="A14904" s="12"/>
    </row>
    <row r="14905" spans="1:1" x14ac:dyDescent="0.3">
      <c r="A14905" s="12"/>
    </row>
    <row r="14906" spans="1:1" x14ac:dyDescent="0.3">
      <c r="A14906" s="12"/>
    </row>
    <row r="14907" spans="1:1" x14ac:dyDescent="0.3">
      <c r="A14907" s="12"/>
    </row>
    <row r="14908" spans="1:1" x14ac:dyDescent="0.3">
      <c r="A14908" s="12"/>
    </row>
    <row r="14909" spans="1:1" x14ac:dyDescent="0.3">
      <c r="A14909" s="12"/>
    </row>
    <row r="14910" spans="1:1" x14ac:dyDescent="0.3">
      <c r="A14910" s="12"/>
    </row>
    <row r="14911" spans="1:1" x14ac:dyDescent="0.3">
      <c r="A14911" s="12"/>
    </row>
    <row r="14912" spans="1:1" x14ac:dyDescent="0.3">
      <c r="A14912" s="12"/>
    </row>
    <row r="14913" spans="1:1" x14ac:dyDescent="0.3">
      <c r="A14913" s="12"/>
    </row>
    <row r="14914" spans="1:1" x14ac:dyDescent="0.3">
      <c r="A14914" s="12"/>
    </row>
    <row r="14915" spans="1:1" x14ac:dyDescent="0.3">
      <c r="A14915" s="12"/>
    </row>
    <row r="14916" spans="1:1" x14ac:dyDescent="0.3">
      <c r="A14916" s="12"/>
    </row>
    <row r="14917" spans="1:1" x14ac:dyDescent="0.3">
      <c r="A14917" s="12"/>
    </row>
    <row r="14918" spans="1:1" x14ac:dyDescent="0.3">
      <c r="A14918" s="12"/>
    </row>
    <row r="14919" spans="1:1" x14ac:dyDescent="0.3">
      <c r="A14919" s="12"/>
    </row>
    <row r="14920" spans="1:1" x14ac:dyDescent="0.3">
      <c r="A14920" s="12"/>
    </row>
    <row r="14921" spans="1:1" x14ac:dyDescent="0.3">
      <c r="A14921" s="12"/>
    </row>
    <row r="14922" spans="1:1" x14ac:dyDescent="0.3">
      <c r="A14922" s="12"/>
    </row>
    <row r="14923" spans="1:1" x14ac:dyDescent="0.3">
      <c r="A14923" s="12"/>
    </row>
    <row r="14924" spans="1:1" x14ac:dyDescent="0.3">
      <c r="A14924" s="12"/>
    </row>
    <row r="14925" spans="1:1" x14ac:dyDescent="0.3">
      <c r="A14925" s="12"/>
    </row>
    <row r="14926" spans="1:1" x14ac:dyDescent="0.3">
      <c r="A14926" s="12"/>
    </row>
    <row r="14927" spans="1:1" x14ac:dyDescent="0.3">
      <c r="A14927" s="12"/>
    </row>
    <row r="14928" spans="1:1" x14ac:dyDescent="0.3">
      <c r="A14928" s="12"/>
    </row>
    <row r="14929" spans="1:1" x14ac:dyDescent="0.3">
      <c r="A14929" s="12"/>
    </row>
    <row r="14930" spans="1:1" x14ac:dyDescent="0.3">
      <c r="A14930" s="12"/>
    </row>
    <row r="14931" spans="1:1" x14ac:dyDescent="0.3">
      <c r="A14931" s="12"/>
    </row>
    <row r="14932" spans="1:1" x14ac:dyDescent="0.3">
      <c r="A14932" s="12"/>
    </row>
    <row r="14933" spans="1:1" x14ac:dyDescent="0.3">
      <c r="A14933" s="12"/>
    </row>
    <row r="14934" spans="1:1" x14ac:dyDescent="0.3">
      <c r="A14934" s="12"/>
    </row>
    <row r="14935" spans="1:1" x14ac:dyDescent="0.3">
      <c r="A14935" s="12"/>
    </row>
    <row r="14936" spans="1:1" x14ac:dyDescent="0.3">
      <c r="A14936" s="12"/>
    </row>
    <row r="14937" spans="1:1" x14ac:dyDescent="0.3">
      <c r="A14937" s="12"/>
    </row>
    <row r="14938" spans="1:1" x14ac:dyDescent="0.3">
      <c r="A14938" s="12"/>
    </row>
    <row r="14939" spans="1:1" x14ac:dyDescent="0.3">
      <c r="A14939" s="12"/>
    </row>
    <row r="14940" spans="1:1" x14ac:dyDescent="0.3">
      <c r="A14940" s="12"/>
    </row>
    <row r="14941" spans="1:1" x14ac:dyDescent="0.3">
      <c r="A14941" s="12"/>
    </row>
    <row r="14942" spans="1:1" x14ac:dyDescent="0.3">
      <c r="A14942" s="12"/>
    </row>
    <row r="14943" spans="1:1" x14ac:dyDescent="0.3">
      <c r="A14943" s="12"/>
    </row>
    <row r="14944" spans="1:1" x14ac:dyDescent="0.3">
      <c r="A14944" s="12"/>
    </row>
    <row r="14945" spans="1:1" x14ac:dyDescent="0.3">
      <c r="A14945" s="12"/>
    </row>
    <row r="14946" spans="1:1" x14ac:dyDescent="0.3">
      <c r="A14946" s="12"/>
    </row>
    <row r="14947" spans="1:1" x14ac:dyDescent="0.3">
      <c r="A14947" s="12"/>
    </row>
    <row r="14948" spans="1:1" x14ac:dyDescent="0.3">
      <c r="A14948" s="12"/>
    </row>
    <row r="14949" spans="1:1" x14ac:dyDescent="0.3">
      <c r="A14949" s="12"/>
    </row>
    <row r="14950" spans="1:1" x14ac:dyDescent="0.3">
      <c r="A14950" s="12"/>
    </row>
    <row r="14951" spans="1:1" x14ac:dyDescent="0.3">
      <c r="A14951" s="12"/>
    </row>
    <row r="14952" spans="1:1" x14ac:dyDescent="0.3">
      <c r="A14952" s="12"/>
    </row>
    <row r="14953" spans="1:1" x14ac:dyDescent="0.3">
      <c r="A14953" s="12"/>
    </row>
    <row r="14954" spans="1:1" x14ac:dyDescent="0.3">
      <c r="A14954" s="12"/>
    </row>
    <row r="14955" spans="1:1" x14ac:dyDescent="0.3">
      <c r="A14955" s="12"/>
    </row>
    <row r="14956" spans="1:1" x14ac:dyDescent="0.3">
      <c r="A14956" s="12"/>
    </row>
    <row r="14957" spans="1:1" x14ac:dyDescent="0.3">
      <c r="A14957" s="12"/>
    </row>
    <row r="14958" spans="1:1" x14ac:dyDescent="0.3">
      <c r="A14958" s="12"/>
    </row>
    <row r="14959" spans="1:1" x14ac:dyDescent="0.3">
      <c r="A14959" s="12"/>
    </row>
    <row r="14960" spans="1:1" x14ac:dyDescent="0.3">
      <c r="A14960" s="12"/>
    </row>
    <row r="14961" spans="1:1" x14ac:dyDescent="0.3">
      <c r="A14961" s="12"/>
    </row>
    <row r="14962" spans="1:1" x14ac:dyDescent="0.3">
      <c r="A14962" s="12"/>
    </row>
    <row r="14963" spans="1:1" x14ac:dyDescent="0.3">
      <c r="A14963" s="12"/>
    </row>
    <row r="14964" spans="1:1" x14ac:dyDescent="0.3">
      <c r="A14964" s="12"/>
    </row>
    <row r="14965" spans="1:1" x14ac:dyDescent="0.3">
      <c r="A14965" s="12"/>
    </row>
    <row r="14966" spans="1:1" x14ac:dyDescent="0.3">
      <c r="A14966" s="12"/>
    </row>
    <row r="14967" spans="1:1" x14ac:dyDescent="0.3">
      <c r="A14967" s="12"/>
    </row>
    <row r="14968" spans="1:1" x14ac:dyDescent="0.3">
      <c r="A14968" s="12"/>
    </row>
    <row r="14969" spans="1:1" x14ac:dyDescent="0.3">
      <c r="A14969" s="12"/>
    </row>
    <row r="14970" spans="1:1" x14ac:dyDescent="0.3">
      <c r="A14970" s="12"/>
    </row>
    <row r="14971" spans="1:1" x14ac:dyDescent="0.3">
      <c r="A14971" s="12"/>
    </row>
    <row r="14972" spans="1:1" x14ac:dyDescent="0.3">
      <c r="A14972" s="12"/>
    </row>
    <row r="14973" spans="1:1" x14ac:dyDescent="0.3">
      <c r="A14973" s="12"/>
    </row>
    <row r="14974" spans="1:1" x14ac:dyDescent="0.3">
      <c r="A14974" s="12"/>
    </row>
    <row r="14975" spans="1:1" x14ac:dyDescent="0.3">
      <c r="A14975" s="12"/>
    </row>
    <row r="14976" spans="1:1" x14ac:dyDescent="0.3">
      <c r="A14976" s="12"/>
    </row>
    <row r="14977" spans="1:1" x14ac:dyDescent="0.3">
      <c r="A14977" s="12"/>
    </row>
    <row r="14978" spans="1:1" x14ac:dyDescent="0.3">
      <c r="A14978" s="12"/>
    </row>
    <row r="14979" spans="1:1" x14ac:dyDescent="0.3">
      <c r="A14979" s="12"/>
    </row>
    <row r="14980" spans="1:1" x14ac:dyDescent="0.3">
      <c r="A14980" s="12"/>
    </row>
    <row r="14981" spans="1:1" x14ac:dyDescent="0.3">
      <c r="A14981" s="12"/>
    </row>
    <row r="14982" spans="1:1" x14ac:dyDescent="0.3">
      <c r="A14982" s="12"/>
    </row>
    <row r="14983" spans="1:1" x14ac:dyDescent="0.3">
      <c r="A14983" s="12"/>
    </row>
    <row r="14984" spans="1:1" x14ac:dyDescent="0.3">
      <c r="A14984" s="12"/>
    </row>
    <row r="14985" spans="1:1" x14ac:dyDescent="0.3">
      <c r="A14985" s="12"/>
    </row>
    <row r="14986" spans="1:1" x14ac:dyDescent="0.3">
      <c r="A14986" s="12"/>
    </row>
    <row r="14987" spans="1:1" x14ac:dyDescent="0.3">
      <c r="A14987" s="12"/>
    </row>
    <row r="14988" spans="1:1" x14ac:dyDescent="0.3">
      <c r="A14988" s="12"/>
    </row>
    <row r="14989" spans="1:1" x14ac:dyDescent="0.3">
      <c r="A14989" s="12"/>
    </row>
    <row r="14990" spans="1:1" x14ac:dyDescent="0.3">
      <c r="A14990" s="12"/>
    </row>
    <row r="14991" spans="1:1" x14ac:dyDescent="0.3">
      <c r="A14991" s="12"/>
    </row>
    <row r="14992" spans="1:1" x14ac:dyDescent="0.3">
      <c r="A14992" s="12"/>
    </row>
    <row r="14993" spans="1:1" x14ac:dyDescent="0.3">
      <c r="A14993" s="12"/>
    </row>
    <row r="14994" spans="1:1" x14ac:dyDescent="0.3">
      <c r="A14994" s="12"/>
    </row>
    <row r="14995" spans="1:1" x14ac:dyDescent="0.3">
      <c r="A14995" s="12"/>
    </row>
    <row r="14996" spans="1:1" x14ac:dyDescent="0.3">
      <c r="A14996" s="12"/>
    </row>
    <row r="14997" spans="1:1" x14ac:dyDescent="0.3">
      <c r="A14997" s="12"/>
    </row>
    <row r="14998" spans="1:1" x14ac:dyDescent="0.3">
      <c r="A14998" s="12"/>
    </row>
    <row r="14999" spans="1:1" x14ac:dyDescent="0.3">
      <c r="A14999" s="12"/>
    </row>
    <row r="15000" spans="1:1" x14ac:dyDescent="0.3">
      <c r="A15000" s="12"/>
    </row>
    <row r="15001" spans="1:1" x14ac:dyDescent="0.3">
      <c r="A15001" s="12"/>
    </row>
    <row r="15002" spans="1:1" x14ac:dyDescent="0.3">
      <c r="A15002" s="12"/>
    </row>
    <row r="15003" spans="1:1" x14ac:dyDescent="0.3">
      <c r="A15003" s="12"/>
    </row>
    <row r="15004" spans="1:1" x14ac:dyDescent="0.3">
      <c r="A15004" s="12"/>
    </row>
    <row r="15005" spans="1:1" x14ac:dyDescent="0.3">
      <c r="A15005" s="12"/>
    </row>
    <row r="15006" spans="1:1" x14ac:dyDescent="0.3">
      <c r="A15006" s="12"/>
    </row>
    <row r="15007" spans="1:1" x14ac:dyDescent="0.3">
      <c r="A15007" s="12"/>
    </row>
    <row r="15008" spans="1:1" x14ac:dyDescent="0.3">
      <c r="A15008" s="12"/>
    </row>
    <row r="15009" spans="1:1" x14ac:dyDescent="0.3">
      <c r="A15009" s="12"/>
    </row>
    <row r="15010" spans="1:1" x14ac:dyDescent="0.3">
      <c r="A15010" s="12"/>
    </row>
    <row r="15011" spans="1:1" x14ac:dyDescent="0.3">
      <c r="A15011" s="12"/>
    </row>
    <row r="15012" spans="1:1" x14ac:dyDescent="0.3">
      <c r="A15012" s="12"/>
    </row>
    <row r="15013" spans="1:1" x14ac:dyDescent="0.3">
      <c r="A15013" s="12"/>
    </row>
    <row r="15014" spans="1:1" x14ac:dyDescent="0.3">
      <c r="A15014" s="12"/>
    </row>
    <row r="15015" spans="1:1" x14ac:dyDescent="0.3">
      <c r="A15015" s="12"/>
    </row>
    <row r="15016" spans="1:1" x14ac:dyDescent="0.3">
      <c r="A15016" s="12"/>
    </row>
    <row r="15017" spans="1:1" x14ac:dyDescent="0.3">
      <c r="A15017" s="12"/>
    </row>
    <row r="15018" spans="1:1" x14ac:dyDescent="0.3">
      <c r="A15018" s="12"/>
    </row>
    <row r="15019" spans="1:1" x14ac:dyDescent="0.3">
      <c r="A15019" s="12"/>
    </row>
    <row r="15020" spans="1:1" x14ac:dyDescent="0.3">
      <c r="A15020" s="12"/>
    </row>
    <row r="15021" spans="1:1" x14ac:dyDescent="0.3">
      <c r="A15021" s="12"/>
    </row>
    <row r="15022" spans="1:1" x14ac:dyDescent="0.3">
      <c r="A15022" s="12"/>
    </row>
    <row r="15023" spans="1:1" x14ac:dyDescent="0.3">
      <c r="A15023" s="12"/>
    </row>
    <row r="15024" spans="1:1" x14ac:dyDescent="0.3">
      <c r="A15024" s="12"/>
    </row>
    <row r="15025" spans="1:1" x14ac:dyDescent="0.3">
      <c r="A15025" s="12"/>
    </row>
    <row r="15026" spans="1:1" x14ac:dyDescent="0.3">
      <c r="A15026" s="12"/>
    </row>
    <row r="15027" spans="1:1" x14ac:dyDescent="0.3">
      <c r="A15027" s="12"/>
    </row>
    <row r="15028" spans="1:1" x14ac:dyDescent="0.3">
      <c r="A15028" s="12"/>
    </row>
    <row r="15029" spans="1:1" x14ac:dyDescent="0.3">
      <c r="A15029" s="12"/>
    </row>
    <row r="15030" spans="1:1" x14ac:dyDescent="0.3">
      <c r="A15030" s="12"/>
    </row>
    <row r="15031" spans="1:1" x14ac:dyDescent="0.3">
      <c r="A15031" s="12"/>
    </row>
    <row r="15032" spans="1:1" x14ac:dyDescent="0.3">
      <c r="A15032" s="12"/>
    </row>
    <row r="15033" spans="1:1" x14ac:dyDescent="0.3">
      <c r="A15033" s="12"/>
    </row>
    <row r="15034" spans="1:1" x14ac:dyDescent="0.3">
      <c r="A15034" s="12"/>
    </row>
    <row r="15035" spans="1:1" x14ac:dyDescent="0.3">
      <c r="A15035" s="12"/>
    </row>
    <row r="15036" spans="1:1" x14ac:dyDescent="0.3">
      <c r="A15036" s="12"/>
    </row>
    <row r="15037" spans="1:1" x14ac:dyDescent="0.3">
      <c r="A15037" s="12"/>
    </row>
    <row r="15038" spans="1:1" x14ac:dyDescent="0.3">
      <c r="A15038" s="12"/>
    </row>
    <row r="15039" spans="1:1" x14ac:dyDescent="0.3">
      <c r="A15039" s="12"/>
    </row>
    <row r="15040" spans="1:1" x14ac:dyDescent="0.3">
      <c r="A15040" s="12"/>
    </row>
    <row r="15041" spans="1:1" x14ac:dyDescent="0.3">
      <c r="A15041" s="12"/>
    </row>
    <row r="15042" spans="1:1" x14ac:dyDescent="0.3">
      <c r="A15042" s="12"/>
    </row>
    <row r="15043" spans="1:1" x14ac:dyDescent="0.3">
      <c r="A15043" s="12"/>
    </row>
    <row r="15044" spans="1:1" x14ac:dyDescent="0.3">
      <c r="A15044" s="12"/>
    </row>
    <row r="15045" spans="1:1" x14ac:dyDescent="0.3">
      <c r="A15045" s="12"/>
    </row>
    <row r="15046" spans="1:1" x14ac:dyDescent="0.3">
      <c r="A15046" s="12"/>
    </row>
    <row r="15047" spans="1:1" x14ac:dyDescent="0.3">
      <c r="A15047" s="12"/>
    </row>
    <row r="15048" spans="1:1" x14ac:dyDescent="0.3">
      <c r="A15048" s="12"/>
    </row>
    <row r="15049" spans="1:1" x14ac:dyDescent="0.3">
      <c r="A15049" s="12"/>
    </row>
    <row r="15050" spans="1:1" x14ac:dyDescent="0.3">
      <c r="A15050" s="12"/>
    </row>
    <row r="15051" spans="1:1" x14ac:dyDescent="0.3">
      <c r="A15051" s="12"/>
    </row>
    <row r="15052" spans="1:1" x14ac:dyDescent="0.3">
      <c r="A15052" s="12"/>
    </row>
    <row r="15053" spans="1:1" x14ac:dyDescent="0.3">
      <c r="A15053" s="12"/>
    </row>
    <row r="15054" spans="1:1" x14ac:dyDescent="0.3">
      <c r="A15054" s="12"/>
    </row>
    <row r="15055" spans="1:1" x14ac:dyDescent="0.3">
      <c r="A15055" s="12"/>
    </row>
    <row r="15056" spans="1:1" x14ac:dyDescent="0.3">
      <c r="A15056" s="12"/>
    </row>
    <row r="15057" spans="1:1" x14ac:dyDescent="0.3">
      <c r="A15057" s="12"/>
    </row>
    <row r="15058" spans="1:1" x14ac:dyDescent="0.3">
      <c r="A15058" s="12"/>
    </row>
    <row r="15059" spans="1:1" x14ac:dyDescent="0.3">
      <c r="A15059" s="12"/>
    </row>
    <row r="15060" spans="1:1" x14ac:dyDescent="0.3">
      <c r="A15060" s="12"/>
    </row>
    <row r="15061" spans="1:1" x14ac:dyDescent="0.3">
      <c r="A15061" s="12"/>
    </row>
    <row r="15062" spans="1:1" x14ac:dyDescent="0.3">
      <c r="A15062" s="12"/>
    </row>
    <row r="15063" spans="1:1" x14ac:dyDescent="0.3">
      <c r="A15063" s="12"/>
    </row>
    <row r="15064" spans="1:1" x14ac:dyDescent="0.3">
      <c r="A15064" s="12"/>
    </row>
    <row r="15065" spans="1:1" x14ac:dyDescent="0.3">
      <c r="A15065" s="12"/>
    </row>
    <row r="15066" spans="1:1" x14ac:dyDescent="0.3">
      <c r="A15066" s="12"/>
    </row>
    <row r="15067" spans="1:1" x14ac:dyDescent="0.3">
      <c r="A15067" s="12"/>
    </row>
    <row r="15068" spans="1:1" x14ac:dyDescent="0.3">
      <c r="A15068" s="12"/>
    </row>
    <row r="15069" spans="1:1" x14ac:dyDescent="0.3">
      <c r="A15069" s="12"/>
    </row>
    <row r="15070" spans="1:1" x14ac:dyDescent="0.3">
      <c r="A15070" s="12"/>
    </row>
    <row r="15071" spans="1:1" x14ac:dyDescent="0.3">
      <c r="A15071" s="12"/>
    </row>
    <row r="15072" spans="1:1" x14ac:dyDescent="0.3">
      <c r="A15072" s="12"/>
    </row>
    <row r="15073" spans="1:1" x14ac:dyDescent="0.3">
      <c r="A15073" s="12"/>
    </row>
    <row r="15074" spans="1:1" x14ac:dyDescent="0.3">
      <c r="A15074" s="12"/>
    </row>
    <row r="15075" spans="1:1" x14ac:dyDescent="0.3">
      <c r="A15075" s="12"/>
    </row>
    <row r="15076" spans="1:1" x14ac:dyDescent="0.3">
      <c r="A15076" s="12"/>
    </row>
    <row r="15077" spans="1:1" x14ac:dyDescent="0.3">
      <c r="A15077" s="12"/>
    </row>
    <row r="15078" spans="1:1" x14ac:dyDescent="0.3">
      <c r="A15078" s="12"/>
    </row>
    <row r="15079" spans="1:1" x14ac:dyDescent="0.3">
      <c r="A15079" s="12"/>
    </row>
    <row r="15080" spans="1:1" x14ac:dyDescent="0.3">
      <c r="A15080" s="12"/>
    </row>
    <row r="15081" spans="1:1" x14ac:dyDescent="0.3">
      <c r="A15081" s="12"/>
    </row>
    <row r="15082" spans="1:1" x14ac:dyDescent="0.3">
      <c r="A15082" s="12"/>
    </row>
    <row r="15083" spans="1:1" x14ac:dyDescent="0.3">
      <c r="A15083" s="12"/>
    </row>
    <row r="15084" spans="1:1" x14ac:dyDescent="0.3">
      <c r="A15084" s="12"/>
    </row>
    <row r="15085" spans="1:1" x14ac:dyDescent="0.3">
      <c r="A15085" s="12"/>
    </row>
    <row r="15086" spans="1:1" x14ac:dyDescent="0.3">
      <c r="A15086" s="12"/>
    </row>
    <row r="15087" spans="1:1" x14ac:dyDescent="0.3">
      <c r="A15087" s="12"/>
    </row>
    <row r="15088" spans="1:1" x14ac:dyDescent="0.3">
      <c r="A15088" s="12"/>
    </row>
    <row r="15089" spans="1:1" x14ac:dyDescent="0.3">
      <c r="A15089" s="12"/>
    </row>
    <row r="15090" spans="1:1" x14ac:dyDescent="0.3">
      <c r="A15090" s="12"/>
    </row>
    <row r="15091" spans="1:1" x14ac:dyDescent="0.3">
      <c r="A15091" s="12"/>
    </row>
    <row r="15092" spans="1:1" x14ac:dyDescent="0.3">
      <c r="A15092" s="12"/>
    </row>
    <row r="15093" spans="1:1" x14ac:dyDescent="0.3">
      <c r="A15093" s="12"/>
    </row>
    <row r="15094" spans="1:1" x14ac:dyDescent="0.3">
      <c r="A15094" s="12"/>
    </row>
    <row r="15095" spans="1:1" x14ac:dyDescent="0.3">
      <c r="A15095" s="12"/>
    </row>
    <row r="15096" spans="1:1" x14ac:dyDescent="0.3">
      <c r="A15096" s="12"/>
    </row>
    <row r="15097" spans="1:1" x14ac:dyDescent="0.3">
      <c r="A15097" s="12"/>
    </row>
    <row r="15098" spans="1:1" x14ac:dyDescent="0.3">
      <c r="A15098" s="12"/>
    </row>
    <row r="15099" spans="1:1" x14ac:dyDescent="0.3">
      <c r="A15099" s="12"/>
    </row>
    <row r="15100" spans="1:1" x14ac:dyDescent="0.3">
      <c r="A15100" s="12"/>
    </row>
    <row r="15101" spans="1:1" x14ac:dyDescent="0.3">
      <c r="A15101" s="12"/>
    </row>
    <row r="15102" spans="1:1" x14ac:dyDescent="0.3">
      <c r="A15102" s="12"/>
    </row>
    <row r="15103" spans="1:1" x14ac:dyDescent="0.3">
      <c r="A15103" s="12"/>
    </row>
    <row r="15104" spans="1:1" x14ac:dyDescent="0.3">
      <c r="A15104" s="12"/>
    </row>
    <row r="15105" spans="1:1" x14ac:dyDescent="0.3">
      <c r="A15105" s="12"/>
    </row>
    <row r="15106" spans="1:1" x14ac:dyDescent="0.3">
      <c r="A15106" s="12"/>
    </row>
    <row r="15107" spans="1:1" x14ac:dyDescent="0.3">
      <c r="A15107" s="12"/>
    </row>
    <row r="15108" spans="1:1" x14ac:dyDescent="0.3">
      <c r="A15108" s="12"/>
    </row>
    <row r="15109" spans="1:1" x14ac:dyDescent="0.3">
      <c r="A15109" s="12"/>
    </row>
    <row r="15110" spans="1:1" x14ac:dyDescent="0.3">
      <c r="A15110" s="12"/>
    </row>
    <row r="15111" spans="1:1" x14ac:dyDescent="0.3">
      <c r="A15111" s="12"/>
    </row>
    <row r="15112" spans="1:1" x14ac:dyDescent="0.3">
      <c r="A15112" s="12"/>
    </row>
    <row r="15113" spans="1:1" x14ac:dyDescent="0.3">
      <c r="A15113" s="12"/>
    </row>
    <row r="15114" spans="1:1" x14ac:dyDescent="0.3">
      <c r="A15114" s="12"/>
    </row>
    <row r="15115" spans="1:1" x14ac:dyDescent="0.3">
      <c r="A15115" s="12"/>
    </row>
    <row r="15116" spans="1:1" x14ac:dyDescent="0.3">
      <c r="A15116" s="12"/>
    </row>
    <row r="15117" spans="1:1" x14ac:dyDescent="0.3">
      <c r="A15117" s="12"/>
    </row>
    <row r="15118" spans="1:1" x14ac:dyDescent="0.3">
      <c r="A15118" s="12"/>
    </row>
    <row r="15119" spans="1:1" x14ac:dyDescent="0.3">
      <c r="A15119" s="12"/>
    </row>
    <row r="15120" spans="1:1" x14ac:dyDescent="0.3">
      <c r="A15120" s="12"/>
    </row>
    <row r="15121" spans="1:1" x14ac:dyDescent="0.3">
      <c r="A15121" s="12"/>
    </row>
    <row r="15122" spans="1:1" x14ac:dyDescent="0.3">
      <c r="A15122" s="12"/>
    </row>
    <row r="15123" spans="1:1" x14ac:dyDescent="0.3">
      <c r="A15123" s="12"/>
    </row>
    <row r="15124" spans="1:1" x14ac:dyDescent="0.3">
      <c r="A15124" s="12"/>
    </row>
    <row r="15125" spans="1:1" x14ac:dyDescent="0.3">
      <c r="A15125" s="12"/>
    </row>
    <row r="15126" spans="1:1" x14ac:dyDescent="0.3">
      <c r="A15126" s="12"/>
    </row>
    <row r="15127" spans="1:1" x14ac:dyDescent="0.3">
      <c r="A15127" s="12"/>
    </row>
    <row r="15128" spans="1:1" x14ac:dyDescent="0.3">
      <c r="A15128" s="12"/>
    </row>
    <row r="15129" spans="1:1" x14ac:dyDescent="0.3">
      <c r="A15129" s="12"/>
    </row>
    <row r="15130" spans="1:1" x14ac:dyDescent="0.3">
      <c r="A15130" s="12"/>
    </row>
    <row r="15131" spans="1:1" x14ac:dyDescent="0.3">
      <c r="A15131" s="12"/>
    </row>
    <row r="15132" spans="1:1" x14ac:dyDescent="0.3">
      <c r="A15132" s="12"/>
    </row>
    <row r="15133" spans="1:1" x14ac:dyDescent="0.3">
      <c r="A15133" s="12"/>
    </row>
    <row r="15134" spans="1:1" x14ac:dyDescent="0.3">
      <c r="A15134" s="12"/>
    </row>
    <row r="15135" spans="1:1" x14ac:dyDescent="0.3">
      <c r="A15135" s="12"/>
    </row>
    <row r="15136" spans="1:1" x14ac:dyDescent="0.3">
      <c r="A15136" s="12"/>
    </row>
    <row r="15137" spans="1:1" x14ac:dyDescent="0.3">
      <c r="A15137" s="12"/>
    </row>
    <row r="15138" spans="1:1" x14ac:dyDescent="0.3">
      <c r="A15138" s="12"/>
    </row>
    <row r="15139" spans="1:1" x14ac:dyDescent="0.3">
      <c r="A15139" s="12"/>
    </row>
    <row r="15140" spans="1:1" x14ac:dyDescent="0.3">
      <c r="A15140" s="12"/>
    </row>
    <row r="15141" spans="1:1" x14ac:dyDescent="0.3">
      <c r="A15141" s="12"/>
    </row>
    <row r="15142" spans="1:1" x14ac:dyDescent="0.3">
      <c r="A15142" s="12"/>
    </row>
    <row r="15143" spans="1:1" x14ac:dyDescent="0.3">
      <c r="A15143" s="12"/>
    </row>
    <row r="15144" spans="1:1" x14ac:dyDescent="0.3">
      <c r="A15144" s="12"/>
    </row>
    <row r="15145" spans="1:1" x14ac:dyDescent="0.3">
      <c r="A15145" s="12"/>
    </row>
    <row r="15146" spans="1:1" x14ac:dyDescent="0.3">
      <c r="A15146" s="12"/>
    </row>
    <row r="15147" spans="1:1" x14ac:dyDescent="0.3">
      <c r="A15147" s="12"/>
    </row>
    <row r="15148" spans="1:1" x14ac:dyDescent="0.3">
      <c r="A15148" s="12"/>
    </row>
    <row r="15149" spans="1:1" x14ac:dyDescent="0.3">
      <c r="A15149" s="12"/>
    </row>
    <row r="15150" spans="1:1" x14ac:dyDescent="0.3">
      <c r="A15150" s="12"/>
    </row>
    <row r="15151" spans="1:1" x14ac:dyDescent="0.3">
      <c r="A15151" s="12"/>
    </row>
    <row r="15152" spans="1:1" x14ac:dyDescent="0.3">
      <c r="A15152" s="12"/>
    </row>
    <row r="15153" spans="1:1" x14ac:dyDescent="0.3">
      <c r="A15153" s="12"/>
    </row>
    <row r="15154" spans="1:1" x14ac:dyDescent="0.3">
      <c r="A15154" s="12"/>
    </row>
    <row r="15155" spans="1:1" x14ac:dyDescent="0.3">
      <c r="A15155" s="12"/>
    </row>
    <row r="15156" spans="1:1" x14ac:dyDescent="0.3">
      <c r="A15156" s="12"/>
    </row>
    <row r="15157" spans="1:1" x14ac:dyDescent="0.3">
      <c r="A15157" s="12"/>
    </row>
    <row r="15158" spans="1:1" x14ac:dyDescent="0.3">
      <c r="A15158" s="12"/>
    </row>
    <row r="15159" spans="1:1" x14ac:dyDescent="0.3">
      <c r="A15159" s="12"/>
    </row>
    <row r="15160" spans="1:1" x14ac:dyDescent="0.3">
      <c r="A15160" s="12"/>
    </row>
    <row r="15161" spans="1:1" x14ac:dyDescent="0.3">
      <c r="A15161" s="12"/>
    </row>
    <row r="15162" spans="1:1" x14ac:dyDescent="0.3">
      <c r="A15162" s="12"/>
    </row>
    <row r="15163" spans="1:1" x14ac:dyDescent="0.3">
      <c r="A15163" s="12"/>
    </row>
    <row r="15164" spans="1:1" x14ac:dyDescent="0.3">
      <c r="A15164" s="12"/>
    </row>
    <row r="15165" spans="1:1" x14ac:dyDescent="0.3">
      <c r="A15165" s="12"/>
    </row>
    <row r="15166" spans="1:1" x14ac:dyDescent="0.3">
      <c r="A15166" s="12"/>
    </row>
    <row r="15167" spans="1:1" x14ac:dyDescent="0.3">
      <c r="A15167" s="12"/>
    </row>
    <row r="15168" spans="1:1" x14ac:dyDescent="0.3">
      <c r="A15168" s="12"/>
    </row>
    <row r="15169" spans="1:1" x14ac:dyDescent="0.3">
      <c r="A15169" s="12"/>
    </row>
    <row r="15170" spans="1:1" x14ac:dyDescent="0.3">
      <c r="A15170" s="12"/>
    </row>
    <row r="15171" spans="1:1" x14ac:dyDescent="0.3">
      <c r="A15171" s="12"/>
    </row>
    <row r="15172" spans="1:1" x14ac:dyDescent="0.3">
      <c r="A15172" s="12"/>
    </row>
    <row r="15173" spans="1:1" x14ac:dyDescent="0.3">
      <c r="A15173" s="12"/>
    </row>
    <row r="15174" spans="1:1" x14ac:dyDescent="0.3">
      <c r="A15174" s="12"/>
    </row>
    <row r="15175" spans="1:1" x14ac:dyDescent="0.3">
      <c r="A15175" s="12"/>
    </row>
    <row r="15176" spans="1:1" x14ac:dyDescent="0.3">
      <c r="A15176" s="12"/>
    </row>
    <row r="15177" spans="1:1" x14ac:dyDescent="0.3">
      <c r="A15177" s="12"/>
    </row>
    <row r="15178" spans="1:1" x14ac:dyDescent="0.3">
      <c r="A15178" s="12"/>
    </row>
    <row r="15179" spans="1:1" x14ac:dyDescent="0.3">
      <c r="A15179" s="12"/>
    </row>
    <row r="15180" spans="1:1" x14ac:dyDescent="0.3">
      <c r="A15180" s="12"/>
    </row>
    <row r="15181" spans="1:1" x14ac:dyDescent="0.3">
      <c r="A15181" s="12"/>
    </row>
    <row r="15182" spans="1:1" x14ac:dyDescent="0.3">
      <c r="A15182" s="12"/>
    </row>
    <row r="15183" spans="1:1" x14ac:dyDescent="0.3">
      <c r="A15183" s="12"/>
    </row>
    <row r="15184" spans="1:1" x14ac:dyDescent="0.3">
      <c r="A15184" s="12"/>
    </row>
    <row r="15185" spans="1:1" x14ac:dyDescent="0.3">
      <c r="A15185" s="12"/>
    </row>
    <row r="15186" spans="1:1" x14ac:dyDescent="0.3">
      <c r="A15186" s="12"/>
    </row>
    <row r="15187" spans="1:1" x14ac:dyDescent="0.3">
      <c r="A15187" s="12"/>
    </row>
    <row r="15188" spans="1:1" x14ac:dyDescent="0.3">
      <c r="A15188" s="12"/>
    </row>
    <row r="15189" spans="1:1" x14ac:dyDescent="0.3">
      <c r="A15189" s="12"/>
    </row>
    <row r="15190" spans="1:1" x14ac:dyDescent="0.3">
      <c r="A15190" s="12"/>
    </row>
    <row r="15191" spans="1:1" x14ac:dyDescent="0.3">
      <c r="A15191" s="12"/>
    </row>
    <row r="15192" spans="1:1" x14ac:dyDescent="0.3">
      <c r="A15192" s="12"/>
    </row>
    <row r="15193" spans="1:1" x14ac:dyDescent="0.3">
      <c r="A15193" s="12"/>
    </row>
    <row r="15194" spans="1:1" x14ac:dyDescent="0.3">
      <c r="A15194" s="12"/>
    </row>
    <row r="15195" spans="1:1" x14ac:dyDescent="0.3">
      <c r="A15195" s="12"/>
    </row>
    <row r="15196" spans="1:1" x14ac:dyDescent="0.3">
      <c r="A15196" s="12"/>
    </row>
    <row r="15197" spans="1:1" x14ac:dyDescent="0.3">
      <c r="A15197" s="12"/>
    </row>
    <row r="15198" spans="1:1" x14ac:dyDescent="0.3">
      <c r="A15198" s="12"/>
    </row>
    <row r="15199" spans="1:1" x14ac:dyDescent="0.3">
      <c r="A15199" s="12"/>
    </row>
    <row r="15200" spans="1:1" x14ac:dyDescent="0.3">
      <c r="A15200" s="12"/>
    </row>
    <row r="15201" spans="1:1" x14ac:dyDescent="0.3">
      <c r="A15201" s="12"/>
    </row>
    <row r="15202" spans="1:1" x14ac:dyDescent="0.3">
      <c r="A15202" s="12"/>
    </row>
    <row r="15203" spans="1:1" x14ac:dyDescent="0.3">
      <c r="A15203" s="12"/>
    </row>
    <row r="15204" spans="1:1" x14ac:dyDescent="0.3">
      <c r="A15204" s="12"/>
    </row>
    <row r="15205" spans="1:1" x14ac:dyDescent="0.3">
      <c r="A15205" s="12"/>
    </row>
    <row r="15206" spans="1:1" x14ac:dyDescent="0.3">
      <c r="A15206" s="12"/>
    </row>
    <row r="15207" spans="1:1" x14ac:dyDescent="0.3">
      <c r="A15207" s="12"/>
    </row>
    <row r="15208" spans="1:1" x14ac:dyDescent="0.3">
      <c r="A15208" s="12"/>
    </row>
    <row r="15209" spans="1:1" x14ac:dyDescent="0.3">
      <c r="A15209" s="12"/>
    </row>
    <row r="15210" spans="1:1" x14ac:dyDescent="0.3">
      <c r="A15210" s="12"/>
    </row>
    <row r="15211" spans="1:1" x14ac:dyDescent="0.3">
      <c r="A15211" s="12"/>
    </row>
    <row r="15212" spans="1:1" x14ac:dyDescent="0.3">
      <c r="A15212" s="12"/>
    </row>
    <row r="15213" spans="1:1" x14ac:dyDescent="0.3">
      <c r="A15213" s="12"/>
    </row>
    <row r="15214" spans="1:1" x14ac:dyDescent="0.3">
      <c r="A15214" s="12"/>
    </row>
    <row r="15215" spans="1:1" x14ac:dyDescent="0.3">
      <c r="A15215" s="12"/>
    </row>
    <row r="15216" spans="1:1" x14ac:dyDescent="0.3">
      <c r="A15216" s="12"/>
    </row>
    <row r="15217" spans="1:1" x14ac:dyDescent="0.3">
      <c r="A15217" s="12"/>
    </row>
    <row r="15218" spans="1:1" x14ac:dyDescent="0.3">
      <c r="A15218" s="12"/>
    </row>
    <row r="15219" spans="1:1" x14ac:dyDescent="0.3">
      <c r="A15219" s="12"/>
    </row>
    <row r="15220" spans="1:1" x14ac:dyDescent="0.3">
      <c r="A15220" s="12"/>
    </row>
    <row r="15221" spans="1:1" x14ac:dyDescent="0.3">
      <c r="A15221" s="12"/>
    </row>
    <row r="15222" spans="1:1" x14ac:dyDescent="0.3">
      <c r="A15222" s="12"/>
    </row>
    <row r="15223" spans="1:1" x14ac:dyDescent="0.3">
      <c r="A15223" s="12"/>
    </row>
    <row r="15224" spans="1:1" x14ac:dyDescent="0.3">
      <c r="A15224" s="12"/>
    </row>
    <row r="15225" spans="1:1" x14ac:dyDescent="0.3">
      <c r="A15225" s="12"/>
    </row>
    <row r="15226" spans="1:1" x14ac:dyDescent="0.3">
      <c r="A15226" s="12"/>
    </row>
    <row r="15227" spans="1:1" x14ac:dyDescent="0.3">
      <c r="A15227" s="12"/>
    </row>
    <row r="15228" spans="1:1" x14ac:dyDescent="0.3">
      <c r="A15228" s="12"/>
    </row>
    <row r="15229" spans="1:1" x14ac:dyDescent="0.3">
      <c r="A15229" s="12"/>
    </row>
    <row r="15230" spans="1:1" x14ac:dyDescent="0.3">
      <c r="A15230" s="12"/>
    </row>
    <row r="15231" spans="1:1" x14ac:dyDescent="0.3">
      <c r="A15231" s="12"/>
    </row>
    <row r="15232" spans="1:1" x14ac:dyDescent="0.3">
      <c r="A15232" s="12"/>
    </row>
    <row r="15233" spans="1:1" x14ac:dyDescent="0.3">
      <c r="A15233" s="12"/>
    </row>
    <row r="15234" spans="1:1" x14ac:dyDescent="0.3">
      <c r="A15234" s="12"/>
    </row>
    <row r="15235" spans="1:1" x14ac:dyDescent="0.3">
      <c r="A15235" s="12"/>
    </row>
    <row r="15236" spans="1:1" x14ac:dyDescent="0.3">
      <c r="A15236" s="12"/>
    </row>
    <row r="15237" spans="1:1" x14ac:dyDescent="0.3">
      <c r="A15237" s="12"/>
    </row>
    <row r="15238" spans="1:1" x14ac:dyDescent="0.3">
      <c r="A15238" s="12"/>
    </row>
    <row r="15239" spans="1:1" x14ac:dyDescent="0.3">
      <c r="A15239" s="12"/>
    </row>
    <row r="15240" spans="1:1" x14ac:dyDescent="0.3">
      <c r="A15240" s="12"/>
    </row>
    <row r="15241" spans="1:1" x14ac:dyDescent="0.3">
      <c r="A15241" s="12"/>
    </row>
    <row r="15242" spans="1:1" x14ac:dyDescent="0.3">
      <c r="A15242" s="12"/>
    </row>
    <row r="15243" spans="1:1" x14ac:dyDescent="0.3">
      <c r="A15243" s="12"/>
    </row>
    <row r="15244" spans="1:1" x14ac:dyDescent="0.3">
      <c r="A15244" s="12"/>
    </row>
    <row r="15245" spans="1:1" x14ac:dyDescent="0.3">
      <c r="A15245" s="12"/>
    </row>
    <row r="15246" spans="1:1" x14ac:dyDescent="0.3">
      <c r="A15246" s="12"/>
    </row>
    <row r="15247" spans="1:1" x14ac:dyDescent="0.3">
      <c r="A15247" s="12"/>
    </row>
    <row r="15248" spans="1:1" x14ac:dyDescent="0.3">
      <c r="A15248" s="12"/>
    </row>
    <row r="15249" spans="1:1" x14ac:dyDescent="0.3">
      <c r="A15249" s="12"/>
    </row>
    <row r="15250" spans="1:1" x14ac:dyDescent="0.3">
      <c r="A15250" s="12"/>
    </row>
    <row r="15251" spans="1:1" x14ac:dyDescent="0.3">
      <c r="A15251" s="12"/>
    </row>
    <row r="15252" spans="1:1" x14ac:dyDescent="0.3">
      <c r="A15252" s="12"/>
    </row>
    <row r="15253" spans="1:1" x14ac:dyDescent="0.3">
      <c r="A15253" s="12"/>
    </row>
    <row r="15254" spans="1:1" x14ac:dyDescent="0.3">
      <c r="A15254" s="12"/>
    </row>
    <row r="15255" spans="1:1" x14ac:dyDescent="0.3">
      <c r="A15255" s="12"/>
    </row>
    <row r="15256" spans="1:1" x14ac:dyDescent="0.3">
      <c r="A15256" s="12"/>
    </row>
    <row r="15257" spans="1:1" x14ac:dyDescent="0.3">
      <c r="A15257" s="12"/>
    </row>
    <row r="15258" spans="1:1" x14ac:dyDescent="0.3">
      <c r="A15258" s="12"/>
    </row>
    <row r="15259" spans="1:1" x14ac:dyDescent="0.3">
      <c r="A15259" s="12"/>
    </row>
    <row r="15260" spans="1:1" x14ac:dyDescent="0.3">
      <c r="A15260" s="12"/>
    </row>
    <row r="15261" spans="1:1" x14ac:dyDescent="0.3">
      <c r="A15261" s="12"/>
    </row>
    <row r="15262" spans="1:1" x14ac:dyDescent="0.3">
      <c r="A15262" s="12"/>
    </row>
    <row r="15263" spans="1:1" x14ac:dyDescent="0.3">
      <c r="A15263" s="12"/>
    </row>
    <row r="15264" spans="1:1" x14ac:dyDescent="0.3">
      <c r="A15264" s="12"/>
    </row>
    <row r="15265" spans="1:1" x14ac:dyDescent="0.3">
      <c r="A15265" s="12"/>
    </row>
    <row r="15266" spans="1:1" x14ac:dyDescent="0.3">
      <c r="A15266" s="12"/>
    </row>
    <row r="15267" spans="1:1" x14ac:dyDescent="0.3">
      <c r="A15267" s="12"/>
    </row>
    <row r="15268" spans="1:1" x14ac:dyDescent="0.3">
      <c r="A15268" s="12"/>
    </row>
    <row r="15269" spans="1:1" x14ac:dyDescent="0.3">
      <c r="A15269" s="12"/>
    </row>
    <row r="15270" spans="1:1" x14ac:dyDescent="0.3">
      <c r="A15270" s="12"/>
    </row>
    <row r="15271" spans="1:1" x14ac:dyDescent="0.3">
      <c r="A15271" s="12"/>
    </row>
    <row r="15272" spans="1:1" x14ac:dyDescent="0.3">
      <c r="A15272" s="12"/>
    </row>
    <row r="15273" spans="1:1" x14ac:dyDescent="0.3">
      <c r="A15273" s="12"/>
    </row>
    <row r="15274" spans="1:1" x14ac:dyDescent="0.3">
      <c r="A15274" s="12"/>
    </row>
    <row r="15275" spans="1:1" x14ac:dyDescent="0.3">
      <c r="A15275" s="12"/>
    </row>
    <row r="15276" spans="1:1" x14ac:dyDescent="0.3">
      <c r="A15276" s="12"/>
    </row>
    <row r="15277" spans="1:1" x14ac:dyDescent="0.3">
      <c r="A15277" s="12"/>
    </row>
    <row r="15278" spans="1:1" x14ac:dyDescent="0.3">
      <c r="A15278" s="12"/>
    </row>
    <row r="15279" spans="1:1" x14ac:dyDescent="0.3">
      <c r="A15279" s="12"/>
    </row>
    <row r="15280" spans="1:1" x14ac:dyDescent="0.3">
      <c r="A15280" s="12"/>
    </row>
    <row r="15281" spans="1:1" x14ac:dyDescent="0.3">
      <c r="A15281" s="12"/>
    </row>
    <row r="15282" spans="1:1" x14ac:dyDescent="0.3">
      <c r="A15282" s="12"/>
    </row>
    <row r="15283" spans="1:1" x14ac:dyDescent="0.3">
      <c r="A15283" s="12"/>
    </row>
    <row r="15284" spans="1:1" x14ac:dyDescent="0.3">
      <c r="A15284" s="12"/>
    </row>
    <row r="15285" spans="1:1" x14ac:dyDescent="0.3">
      <c r="A15285" s="12"/>
    </row>
    <row r="15286" spans="1:1" x14ac:dyDescent="0.3">
      <c r="A15286" s="12"/>
    </row>
    <row r="15287" spans="1:1" x14ac:dyDescent="0.3">
      <c r="A15287" s="12"/>
    </row>
    <row r="15288" spans="1:1" x14ac:dyDescent="0.3">
      <c r="A15288" s="12"/>
    </row>
    <row r="15289" spans="1:1" x14ac:dyDescent="0.3">
      <c r="A15289" s="12"/>
    </row>
    <row r="15290" spans="1:1" x14ac:dyDescent="0.3">
      <c r="A15290" s="12"/>
    </row>
    <row r="15291" spans="1:1" x14ac:dyDescent="0.3">
      <c r="A15291" s="12"/>
    </row>
    <row r="15292" spans="1:1" x14ac:dyDescent="0.3">
      <c r="A15292" s="12"/>
    </row>
    <row r="15293" spans="1:1" x14ac:dyDescent="0.3">
      <c r="A15293" s="12"/>
    </row>
    <row r="15294" spans="1:1" x14ac:dyDescent="0.3">
      <c r="A15294" s="12"/>
    </row>
    <row r="15295" spans="1:1" x14ac:dyDescent="0.3">
      <c r="A15295" s="12"/>
    </row>
    <row r="15296" spans="1:1" x14ac:dyDescent="0.3">
      <c r="A15296" s="12"/>
    </row>
    <row r="15297" spans="1:1" x14ac:dyDescent="0.3">
      <c r="A15297" s="12"/>
    </row>
    <row r="15298" spans="1:1" x14ac:dyDescent="0.3">
      <c r="A15298" s="12"/>
    </row>
    <row r="15299" spans="1:1" x14ac:dyDescent="0.3">
      <c r="A15299" s="12"/>
    </row>
    <row r="15300" spans="1:1" x14ac:dyDescent="0.3">
      <c r="A15300" s="12"/>
    </row>
    <row r="15301" spans="1:1" x14ac:dyDescent="0.3">
      <c r="A15301" s="12"/>
    </row>
    <row r="15302" spans="1:1" x14ac:dyDescent="0.3">
      <c r="A15302" s="12"/>
    </row>
    <row r="15303" spans="1:1" x14ac:dyDescent="0.3">
      <c r="A15303" s="12"/>
    </row>
    <row r="15304" spans="1:1" x14ac:dyDescent="0.3">
      <c r="A15304" s="12"/>
    </row>
    <row r="15305" spans="1:1" x14ac:dyDescent="0.3">
      <c r="A15305" s="12"/>
    </row>
    <row r="15306" spans="1:1" x14ac:dyDescent="0.3">
      <c r="A15306" s="12"/>
    </row>
    <row r="15307" spans="1:1" x14ac:dyDescent="0.3">
      <c r="A15307" s="12"/>
    </row>
    <row r="15308" spans="1:1" x14ac:dyDescent="0.3">
      <c r="A15308" s="12"/>
    </row>
    <row r="15309" spans="1:1" x14ac:dyDescent="0.3">
      <c r="A15309" s="12"/>
    </row>
    <row r="15310" spans="1:1" x14ac:dyDescent="0.3">
      <c r="A15310" s="12"/>
    </row>
    <row r="15311" spans="1:1" x14ac:dyDescent="0.3">
      <c r="A15311" s="12"/>
    </row>
    <row r="15312" spans="1:1" x14ac:dyDescent="0.3">
      <c r="A15312" s="12"/>
    </row>
    <row r="15313" spans="1:1" x14ac:dyDescent="0.3">
      <c r="A15313" s="12"/>
    </row>
    <row r="15314" spans="1:1" x14ac:dyDescent="0.3">
      <c r="A15314" s="12"/>
    </row>
    <row r="15315" spans="1:1" x14ac:dyDescent="0.3">
      <c r="A15315" s="12"/>
    </row>
    <row r="15316" spans="1:1" x14ac:dyDescent="0.3">
      <c r="A15316" s="12"/>
    </row>
    <row r="15317" spans="1:1" x14ac:dyDescent="0.3">
      <c r="A15317" s="12"/>
    </row>
    <row r="15318" spans="1:1" x14ac:dyDescent="0.3">
      <c r="A15318" s="12"/>
    </row>
    <row r="15319" spans="1:1" x14ac:dyDescent="0.3">
      <c r="A15319" s="12"/>
    </row>
    <row r="15320" spans="1:1" x14ac:dyDescent="0.3">
      <c r="A15320" s="12"/>
    </row>
    <row r="15321" spans="1:1" x14ac:dyDescent="0.3">
      <c r="A15321" s="12"/>
    </row>
    <row r="15322" spans="1:1" x14ac:dyDescent="0.3">
      <c r="A15322" s="12"/>
    </row>
    <row r="15323" spans="1:1" x14ac:dyDescent="0.3">
      <c r="A15323" s="12"/>
    </row>
    <row r="15324" spans="1:1" x14ac:dyDescent="0.3">
      <c r="A15324" s="12"/>
    </row>
    <row r="15325" spans="1:1" x14ac:dyDescent="0.3">
      <c r="A15325" s="12"/>
    </row>
    <row r="15326" spans="1:1" x14ac:dyDescent="0.3">
      <c r="A15326" s="12"/>
    </row>
    <row r="15327" spans="1:1" x14ac:dyDescent="0.3">
      <c r="A15327" s="12"/>
    </row>
    <row r="15328" spans="1:1" x14ac:dyDescent="0.3">
      <c r="A15328" s="12"/>
    </row>
    <row r="15329" spans="1:1" x14ac:dyDescent="0.3">
      <c r="A15329" s="12"/>
    </row>
    <row r="15330" spans="1:1" x14ac:dyDescent="0.3">
      <c r="A15330" s="12"/>
    </row>
    <row r="15331" spans="1:1" x14ac:dyDescent="0.3">
      <c r="A15331" s="12"/>
    </row>
    <row r="15332" spans="1:1" x14ac:dyDescent="0.3">
      <c r="A15332" s="12"/>
    </row>
    <row r="15333" spans="1:1" x14ac:dyDescent="0.3">
      <c r="A15333" s="12"/>
    </row>
    <row r="15334" spans="1:1" x14ac:dyDescent="0.3">
      <c r="A15334" s="12"/>
    </row>
    <row r="15335" spans="1:1" x14ac:dyDescent="0.3">
      <c r="A15335" s="12"/>
    </row>
    <row r="15336" spans="1:1" x14ac:dyDescent="0.3">
      <c r="A15336" s="12"/>
    </row>
    <row r="15337" spans="1:1" x14ac:dyDescent="0.3">
      <c r="A15337" s="12"/>
    </row>
    <row r="15338" spans="1:1" x14ac:dyDescent="0.3">
      <c r="A15338" s="12"/>
    </row>
    <row r="15339" spans="1:1" x14ac:dyDescent="0.3">
      <c r="A15339" s="12"/>
    </row>
    <row r="15340" spans="1:1" x14ac:dyDescent="0.3">
      <c r="A15340" s="12"/>
    </row>
    <row r="15341" spans="1:1" x14ac:dyDescent="0.3">
      <c r="A15341" s="12"/>
    </row>
    <row r="15342" spans="1:1" x14ac:dyDescent="0.3">
      <c r="A15342" s="12"/>
    </row>
    <row r="15343" spans="1:1" x14ac:dyDescent="0.3">
      <c r="A15343" s="12"/>
    </row>
    <row r="15344" spans="1:1" x14ac:dyDescent="0.3">
      <c r="A15344" s="12"/>
    </row>
    <row r="15345" spans="1:1" x14ac:dyDescent="0.3">
      <c r="A15345" s="12"/>
    </row>
    <row r="15346" spans="1:1" x14ac:dyDescent="0.3">
      <c r="A15346" s="12"/>
    </row>
    <row r="15347" spans="1:1" x14ac:dyDescent="0.3">
      <c r="A15347" s="12"/>
    </row>
    <row r="15348" spans="1:1" x14ac:dyDescent="0.3">
      <c r="A15348" s="12"/>
    </row>
    <row r="15349" spans="1:1" x14ac:dyDescent="0.3">
      <c r="A15349" s="12"/>
    </row>
    <row r="15350" spans="1:1" x14ac:dyDescent="0.3">
      <c r="A15350" s="12"/>
    </row>
    <row r="15351" spans="1:1" x14ac:dyDescent="0.3">
      <c r="A15351" s="12"/>
    </row>
    <row r="15352" spans="1:1" x14ac:dyDescent="0.3">
      <c r="A15352" s="12"/>
    </row>
    <row r="15353" spans="1:1" x14ac:dyDescent="0.3">
      <c r="A15353" s="12"/>
    </row>
    <row r="15354" spans="1:1" x14ac:dyDescent="0.3">
      <c r="A15354" s="12"/>
    </row>
    <row r="15355" spans="1:1" x14ac:dyDescent="0.3">
      <c r="A15355" s="12"/>
    </row>
    <row r="15356" spans="1:1" x14ac:dyDescent="0.3">
      <c r="A15356" s="12"/>
    </row>
    <row r="15357" spans="1:1" x14ac:dyDescent="0.3">
      <c r="A15357" s="12"/>
    </row>
    <row r="15358" spans="1:1" x14ac:dyDescent="0.3">
      <c r="A15358" s="12"/>
    </row>
    <row r="15359" spans="1:1" x14ac:dyDescent="0.3">
      <c r="A15359" s="12"/>
    </row>
    <row r="15360" spans="1:1" x14ac:dyDescent="0.3">
      <c r="A15360" s="12"/>
    </row>
    <row r="15361" spans="1:1" x14ac:dyDescent="0.3">
      <c r="A15361" s="12"/>
    </row>
    <row r="15362" spans="1:1" x14ac:dyDescent="0.3">
      <c r="A15362" s="12"/>
    </row>
    <row r="15363" spans="1:1" x14ac:dyDescent="0.3">
      <c r="A15363" s="12"/>
    </row>
    <row r="15364" spans="1:1" x14ac:dyDescent="0.3">
      <c r="A15364" s="12"/>
    </row>
    <row r="15365" spans="1:1" x14ac:dyDescent="0.3">
      <c r="A15365" s="12"/>
    </row>
    <row r="15366" spans="1:1" x14ac:dyDescent="0.3">
      <c r="A15366" s="12"/>
    </row>
    <row r="15367" spans="1:1" x14ac:dyDescent="0.3">
      <c r="A15367" s="12"/>
    </row>
    <row r="15368" spans="1:1" x14ac:dyDescent="0.3">
      <c r="A15368" s="12"/>
    </row>
    <row r="15369" spans="1:1" x14ac:dyDescent="0.3">
      <c r="A15369" s="12"/>
    </row>
    <row r="15370" spans="1:1" x14ac:dyDescent="0.3">
      <c r="A15370" s="12"/>
    </row>
    <row r="15371" spans="1:1" x14ac:dyDescent="0.3">
      <c r="A15371" s="12"/>
    </row>
    <row r="15372" spans="1:1" x14ac:dyDescent="0.3">
      <c r="A15372" s="12"/>
    </row>
    <row r="15373" spans="1:1" x14ac:dyDescent="0.3">
      <c r="A15373" s="12"/>
    </row>
    <row r="15374" spans="1:1" x14ac:dyDescent="0.3">
      <c r="A15374" s="12"/>
    </row>
    <row r="15375" spans="1:1" x14ac:dyDescent="0.3">
      <c r="A15375" s="12"/>
    </row>
    <row r="15376" spans="1:1" x14ac:dyDescent="0.3">
      <c r="A15376" s="12"/>
    </row>
    <row r="15377" spans="1:1" x14ac:dyDescent="0.3">
      <c r="A15377" s="12"/>
    </row>
    <row r="15378" spans="1:1" x14ac:dyDescent="0.3">
      <c r="A15378" s="12"/>
    </row>
    <row r="15379" spans="1:1" x14ac:dyDescent="0.3">
      <c r="A15379" s="12"/>
    </row>
    <row r="15380" spans="1:1" x14ac:dyDescent="0.3">
      <c r="A15380" s="12"/>
    </row>
    <row r="15381" spans="1:1" x14ac:dyDescent="0.3">
      <c r="A15381" s="12"/>
    </row>
    <row r="15382" spans="1:1" x14ac:dyDescent="0.3">
      <c r="A15382" s="12"/>
    </row>
    <row r="15383" spans="1:1" x14ac:dyDescent="0.3">
      <c r="A15383" s="12"/>
    </row>
    <row r="15384" spans="1:1" x14ac:dyDescent="0.3">
      <c r="A15384" s="12"/>
    </row>
    <row r="15385" spans="1:1" x14ac:dyDescent="0.3">
      <c r="A15385" s="12"/>
    </row>
    <row r="15386" spans="1:1" x14ac:dyDescent="0.3">
      <c r="A15386" s="12"/>
    </row>
    <row r="15387" spans="1:1" x14ac:dyDescent="0.3">
      <c r="A15387" s="12"/>
    </row>
    <row r="15388" spans="1:1" x14ac:dyDescent="0.3">
      <c r="A15388" s="12"/>
    </row>
    <row r="15389" spans="1:1" x14ac:dyDescent="0.3">
      <c r="A15389" s="12"/>
    </row>
    <row r="15390" spans="1:1" x14ac:dyDescent="0.3">
      <c r="A15390" s="12"/>
    </row>
    <row r="15391" spans="1:1" x14ac:dyDescent="0.3">
      <c r="A15391" s="12"/>
    </row>
    <row r="15392" spans="1:1" x14ac:dyDescent="0.3">
      <c r="A15392" s="12"/>
    </row>
    <row r="15393" spans="1:1" x14ac:dyDescent="0.3">
      <c r="A15393" s="12"/>
    </row>
    <row r="15394" spans="1:1" x14ac:dyDescent="0.3">
      <c r="A15394" s="12"/>
    </row>
    <row r="15395" spans="1:1" x14ac:dyDescent="0.3">
      <c r="A15395" s="12"/>
    </row>
    <row r="15396" spans="1:1" x14ac:dyDescent="0.3">
      <c r="A15396" s="12"/>
    </row>
    <row r="15397" spans="1:1" x14ac:dyDescent="0.3">
      <c r="A15397" s="12"/>
    </row>
    <row r="15398" spans="1:1" x14ac:dyDescent="0.3">
      <c r="A15398" s="12"/>
    </row>
    <row r="15399" spans="1:1" x14ac:dyDescent="0.3">
      <c r="A15399" s="12"/>
    </row>
    <row r="15400" spans="1:1" x14ac:dyDescent="0.3">
      <c r="A15400" s="12"/>
    </row>
    <row r="15401" spans="1:1" x14ac:dyDescent="0.3">
      <c r="A15401" s="12"/>
    </row>
    <row r="15402" spans="1:1" x14ac:dyDescent="0.3">
      <c r="A15402" s="12"/>
    </row>
    <row r="15403" spans="1:1" x14ac:dyDescent="0.3">
      <c r="A15403" s="12"/>
    </row>
    <row r="15404" spans="1:1" x14ac:dyDescent="0.3">
      <c r="A15404" s="12"/>
    </row>
    <row r="15405" spans="1:1" x14ac:dyDescent="0.3">
      <c r="A15405" s="12"/>
    </row>
    <row r="15406" spans="1:1" x14ac:dyDescent="0.3">
      <c r="A15406" s="12"/>
    </row>
    <row r="15407" spans="1:1" x14ac:dyDescent="0.3">
      <c r="A15407" s="12"/>
    </row>
    <row r="15408" spans="1:1" x14ac:dyDescent="0.3">
      <c r="A15408" s="12"/>
    </row>
    <row r="15409" spans="1:1" x14ac:dyDescent="0.3">
      <c r="A15409" s="12"/>
    </row>
    <row r="15410" spans="1:1" x14ac:dyDescent="0.3">
      <c r="A15410" s="12"/>
    </row>
    <row r="15411" spans="1:1" x14ac:dyDescent="0.3">
      <c r="A15411" s="12"/>
    </row>
    <row r="15412" spans="1:1" x14ac:dyDescent="0.3">
      <c r="A15412" s="12"/>
    </row>
    <row r="15413" spans="1:1" x14ac:dyDescent="0.3">
      <c r="A15413" s="12"/>
    </row>
    <row r="15414" spans="1:1" x14ac:dyDescent="0.3">
      <c r="A15414" s="12"/>
    </row>
    <row r="15415" spans="1:1" x14ac:dyDescent="0.3">
      <c r="A15415" s="12"/>
    </row>
    <row r="15416" spans="1:1" x14ac:dyDescent="0.3">
      <c r="A15416" s="12"/>
    </row>
    <row r="15417" spans="1:1" x14ac:dyDescent="0.3">
      <c r="A15417" s="12"/>
    </row>
    <row r="15418" spans="1:1" x14ac:dyDescent="0.3">
      <c r="A15418" s="12"/>
    </row>
    <row r="15419" spans="1:1" x14ac:dyDescent="0.3">
      <c r="A15419" s="12"/>
    </row>
    <row r="15420" spans="1:1" x14ac:dyDescent="0.3">
      <c r="A15420" s="12"/>
    </row>
    <row r="15421" spans="1:1" x14ac:dyDescent="0.3">
      <c r="A15421" s="12"/>
    </row>
    <row r="15422" spans="1:1" x14ac:dyDescent="0.3">
      <c r="A15422" s="12"/>
    </row>
    <row r="15423" spans="1:1" x14ac:dyDescent="0.3">
      <c r="A15423" s="12"/>
    </row>
    <row r="15424" spans="1:1" x14ac:dyDescent="0.3">
      <c r="A15424" s="12"/>
    </row>
    <row r="15425" spans="1:1" x14ac:dyDescent="0.3">
      <c r="A15425" s="12"/>
    </row>
    <row r="15426" spans="1:1" x14ac:dyDescent="0.3">
      <c r="A15426" s="12"/>
    </row>
    <row r="15427" spans="1:1" x14ac:dyDescent="0.3">
      <c r="A15427" s="12"/>
    </row>
    <row r="15428" spans="1:1" x14ac:dyDescent="0.3">
      <c r="A15428" s="12"/>
    </row>
    <row r="15429" spans="1:1" x14ac:dyDescent="0.3">
      <c r="A15429" s="12"/>
    </row>
    <row r="15430" spans="1:1" x14ac:dyDescent="0.3">
      <c r="A15430" s="12"/>
    </row>
    <row r="15431" spans="1:1" x14ac:dyDescent="0.3">
      <c r="A15431" s="12"/>
    </row>
    <row r="15432" spans="1:1" x14ac:dyDescent="0.3">
      <c r="A15432" s="12"/>
    </row>
    <row r="15433" spans="1:1" x14ac:dyDescent="0.3">
      <c r="A15433" s="12"/>
    </row>
    <row r="15434" spans="1:1" x14ac:dyDescent="0.3">
      <c r="A15434" s="12"/>
    </row>
    <row r="15435" spans="1:1" x14ac:dyDescent="0.3">
      <c r="A15435" s="12"/>
    </row>
    <row r="15436" spans="1:1" x14ac:dyDescent="0.3">
      <c r="A15436" s="12"/>
    </row>
    <row r="15437" spans="1:1" x14ac:dyDescent="0.3">
      <c r="A15437" s="12"/>
    </row>
    <row r="15438" spans="1:1" x14ac:dyDescent="0.3">
      <c r="A15438" s="12"/>
    </row>
    <row r="15439" spans="1:1" x14ac:dyDescent="0.3">
      <c r="A15439" s="12"/>
    </row>
    <row r="15440" spans="1:1" x14ac:dyDescent="0.3">
      <c r="A15440" s="12"/>
    </row>
    <row r="15441" spans="1:1" x14ac:dyDescent="0.3">
      <c r="A15441" s="12"/>
    </row>
    <row r="15442" spans="1:1" x14ac:dyDescent="0.3">
      <c r="A15442" s="12"/>
    </row>
    <row r="15443" spans="1:1" x14ac:dyDescent="0.3">
      <c r="A15443" s="12"/>
    </row>
    <row r="15444" spans="1:1" x14ac:dyDescent="0.3">
      <c r="A15444" s="12"/>
    </row>
    <row r="15445" spans="1:1" x14ac:dyDescent="0.3">
      <c r="A15445" s="12"/>
    </row>
    <row r="15446" spans="1:1" x14ac:dyDescent="0.3">
      <c r="A15446" s="12"/>
    </row>
    <row r="15447" spans="1:1" x14ac:dyDescent="0.3">
      <c r="A15447" s="12"/>
    </row>
    <row r="15448" spans="1:1" x14ac:dyDescent="0.3">
      <c r="A15448" s="12"/>
    </row>
    <row r="15449" spans="1:1" x14ac:dyDescent="0.3">
      <c r="A15449" s="12"/>
    </row>
    <row r="15450" spans="1:1" x14ac:dyDescent="0.3">
      <c r="A15450" s="12"/>
    </row>
    <row r="15451" spans="1:1" x14ac:dyDescent="0.3">
      <c r="A15451" s="12"/>
    </row>
    <row r="15452" spans="1:1" x14ac:dyDescent="0.3">
      <c r="A15452" s="12"/>
    </row>
    <row r="15453" spans="1:1" x14ac:dyDescent="0.3">
      <c r="A15453" s="12"/>
    </row>
    <row r="15454" spans="1:1" x14ac:dyDescent="0.3">
      <c r="A15454" s="12"/>
    </row>
    <row r="15455" spans="1:1" x14ac:dyDescent="0.3">
      <c r="A15455" s="12"/>
    </row>
    <row r="15456" spans="1:1" x14ac:dyDescent="0.3">
      <c r="A15456" s="12"/>
    </row>
    <row r="15457" spans="1:1" x14ac:dyDescent="0.3">
      <c r="A15457" s="12"/>
    </row>
    <row r="15458" spans="1:1" x14ac:dyDescent="0.3">
      <c r="A15458" s="12"/>
    </row>
    <row r="15459" spans="1:1" x14ac:dyDescent="0.3">
      <c r="A15459" s="12"/>
    </row>
    <row r="15460" spans="1:1" x14ac:dyDescent="0.3">
      <c r="A15460" s="12"/>
    </row>
    <row r="15461" spans="1:1" x14ac:dyDescent="0.3">
      <c r="A15461" s="12"/>
    </row>
    <row r="15462" spans="1:1" x14ac:dyDescent="0.3">
      <c r="A15462" s="12"/>
    </row>
    <row r="15463" spans="1:1" x14ac:dyDescent="0.3">
      <c r="A15463" s="12"/>
    </row>
    <row r="15464" spans="1:1" x14ac:dyDescent="0.3">
      <c r="A15464" s="12"/>
    </row>
    <row r="15465" spans="1:1" x14ac:dyDescent="0.3">
      <c r="A15465" s="12"/>
    </row>
    <row r="15466" spans="1:1" x14ac:dyDescent="0.3">
      <c r="A15466" s="12"/>
    </row>
    <row r="15467" spans="1:1" x14ac:dyDescent="0.3">
      <c r="A15467" s="12"/>
    </row>
    <row r="15468" spans="1:1" x14ac:dyDescent="0.3">
      <c r="A15468" s="12"/>
    </row>
    <row r="15469" spans="1:1" x14ac:dyDescent="0.3">
      <c r="A15469" s="12"/>
    </row>
    <row r="15470" spans="1:1" x14ac:dyDescent="0.3">
      <c r="A15470" s="12"/>
    </row>
    <row r="15471" spans="1:1" x14ac:dyDescent="0.3">
      <c r="A15471" s="12"/>
    </row>
    <row r="15472" spans="1:1" x14ac:dyDescent="0.3">
      <c r="A15472" s="12"/>
    </row>
    <row r="15473" spans="1:1" x14ac:dyDescent="0.3">
      <c r="A15473" s="12"/>
    </row>
    <row r="15474" spans="1:1" x14ac:dyDescent="0.3">
      <c r="A15474" s="12"/>
    </row>
    <row r="15475" spans="1:1" x14ac:dyDescent="0.3">
      <c r="A15475" s="12"/>
    </row>
    <row r="15476" spans="1:1" x14ac:dyDescent="0.3">
      <c r="A15476" s="12"/>
    </row>
    <row r="15477" spans="1:1" x14ac:dyDescent="0.3">
      <c r="A15477" s="12"/>
    </row>
    <row r="15478" spans="1:1" x14ac:dyDescent="0.3">
      <c r="A15478" s="12"/>
    </row>
    <row r="15479" spans="1:1" x14ac:dyDescent="0.3">
      <c r="A15479" s="12"/>
    </row>
    <row r="15480" spans="1:1" x14ac:dyDescent="0.3">
      <c r="A15480" s="12"/>
    </row>
    <row r="15481" spans="1:1" x14ac:dyDescent="0.3">
      <c r="A15481" s="12"/>
    </row>
    <row r="15482" spans="1:1" x14ac:dyDescent="0.3">
      <c r="A15482" s="12"/>
    </row>
    <row r="15483" spans="1:1" x14ac:dyDescent="0.3">
      <c r="A15483" s="12"/>
    </row>
    <row r="15484" spans="1:1" x14ac:dyDescent="0.3">
      <c r="A15484" s="12"/>
    </row>
    <row r="15485" spans="1:1" x14ac:dyDescent="0.3">
      <c r="A15485" s="12"/>
    </row>
    <row r="15486" spans="1:1" x14ac:dyDescent="0.3">
      <c r="A15486" s="12"/>
    </row>
    <row r="15487" spans="1:1" x14ac:dyDescent="0.3">
      <c r="A15487" s="12"/>
    </row>
    <row r="15488" spans="1:1" x14ac:dyDescent="0.3">
      <c r="A15488" s="12"/>
    </row>
    <row r="15489" spans="1:1" x14ac:dyDescent="0.3">
      <c r="A15489" s="12"/>
    </row>
    <row r="15490" spans="1:1" x14ac:dyDescent="0.3">
      <c r="A15490" s="12"/>
    </row>
    <row r="15491" spans="1:1" x14ac:dyDescent="0.3">
      <c r="A15491" s="12"/>
    </row>
    <row r="15492" spans="1:1" x14ac:dyDescent="0.3">
      <c r="A15492" s="12"/>
    </row>
    <row r="15493" spans="1:1" x14ac:dyDescent="0.3">
      <c r="A15493" s="12"/>
    </row>
    <row r="15494" spans="1:1" x14ac:dyDescent="0.3">
      <c r="A15494" s="12"/>
    </row>
    <row r="15495" spans="1:1" x14ac:dyDescent="0.3">
      <c r="A15495" s="12"/>
    </row>
    <row r="15496" spans="1:1" x14ac:dyDescent="0.3">
      <c r="A15496" s="12"/>
    </row>
    <row r="15497" spans="1:1" x14ac:dyDescent="0.3">
      <c r="A15497" s="12"/>
    </row>
    <row r="15498" spans="1:1" x14ac:dyDescent="0.3">
      <c r="A15498" s="12"/>
    </row>
    <row r="15499" spans="1:1" x14ac:dyDescent="0.3">
      <c r="A15499" s="12"/>
    </row>
    <row r="15500" spans="1:1" x14ac:dyDescent="0.3">
      <c r="A15500" s="12"/>
    </row>
    <row r="15501" spans="1:1" x14ac:dyDescent="0.3">
      <c r="A15501" s="12"/>
    </row>
    <row r="15502" spans="1:1" x14ac:dyDescent="0.3">
      <c r="A15502" s="12"/>
    </row>
    <row r="15503" spans="1:1" x14ac:dyDescent="0.3">
      <c r="A15503" s="12"/>
    </row>
    <row r="15504" spans="1:1" x14ac:dyDescent="0.3">
      <c r="A15504" s="12"/>
    </row>
    <row r="15505" spans="1:1" x14ac:dyDescent="0.3">
      <c r="A15505" s="12"/>
    </row>
    <row r="15506" spans="1:1" x14ac:dyDescent="0.3">
      <c r="A15506" s="12"/>
    </row>
    <row r="15507" spans="1:1" x14ac:dyDescent="0.3">
      <c r="A15507" s="12"/>
    </row>
    <row r="15508" spans="1:1" x14ac:dyDescent="0.3">
      <c r="A15508" s="12"/>
    </row>
    <row r="15509" spans="1:1" x14ac:dyDescent="0.3">
      <c r="A15509" s="12"/>
    </row>
    <row r="15510" spans="1:1" x14ac:dyDescent="0.3">
      <c r="A15510" s="12"/>
    </row>
    <row r="15511" spans="1:1" x14ac:dyDescent="0.3">
      <c r="A15511" s="12"/>
    </row>
    <row r="15512" spans="1:1" x14ac:dyDescent="0.3">
      <c r="A15512" s="12"/>
    </row>
    <row r="15513" spans="1:1" x14ac:dyDescent="0.3">
      <c r="A15513" s="12"/>
    </row>
    <row r="15514" spans="1:1" x14ac:dyDescent="0.3">
      <c r="A15514" s="12"/>
    </row>
    <row r="15515" spans="1:1" x14ac:dyDescent="0.3">
      <c r="A15515" s="12"/>
    </row>
    <row r="15516" spans="1:1" x14ac:dyDescent="0.3">
      <c r="A15516" s="12"/>
    </row>
    <row r="15517" spans="1:1" x14ac:dyDescent="0.3">
      <c r="A15517" s="12"/>
    </row>
    <row r="15518" spans="1:1" x14ac:dyDescent="0.3">
      <c r="A15518" s="12"/>
    </row>
    <row r="15519" spans="1:1" x14ac:dyDescent="0.3">
      <c r="A15519" s="12"/>
    </row>
    <row r="15520" spans="1:1" x14ac:dyDescent="0.3">
      <c r="A15520" s="12"/>
    </row>
    <row r="15521" spans="1:1" x14ac:dyDescent="0.3">
      <c r="A15521" s="12"/>
    </row>
    <row r="15522" spans="1:1" x14ac:dyDescent="0.3">
      <c r="A15522" s="12"/>
    </row>
    <row r="15523" spans="1:1" x14ac:dyDescent="0.3">
      <c r="A15523" s="12"/>
    </row>
    <row r="15524" spans="1:1" x14ac:dyDescent="0.3">
      <c r="A15524" s="12"/>
    </row>
    <row r="15525" spans="1:1" x14ac:dyDescent="0.3">
      <c r="A15525" s="12"/>
    </row>
    <row r="15526" spans="1:1" x14ac:dyDescent="0.3">
      <c r="A15526" s="12"/>
    </row>
    <row r="15527" spans="1:1" x14ac:dyDescent="0.3">
      <c r="A15527" s="12"/>
    </row>
    <row r="15528" spans="1:1" x14ac:dyDescent="0.3">
      <c r="A15528" s="12"/>
    </row>
    <row r="15529" spans="1:1" x14ac:dyDescent="0.3">
      <c r="A15529" s="12"/>
    </row>
    <row r="15530" spans="1:1" x14ac:dyDescent="0.3">
      <c r="A15530" s="12"/>
    </row>
    <row r="15531" spans="1:1" x14ac:dyDescent="0.3">
      <c r="A15531" s="12"/>
    </row>
    <row r="15532" spans="1:1" x14ac:dyDescent="0.3">
      <c r="A15532" s="12"/>
    </row>
    <row r="15533" spans="1:1" x14ac:dyDescent="0.3">
      <c r="A15533" s="12"/>
    </row>
    <row r="15534" spans="1:1" x14ac:dyDescent="0.3">
      <c r="A15534" s="12"/>
    </row>
    <row r="15535" spans="1:1" x14ac:dyDescent="0.3">
      <c r="A15535" s="12"/>
    </row>
    <row r="15536" spans="1:1" x14ac:dyDescent="0.3">
      <c r="A15536" s="12"/>
    </row>
    <row r="15537" spans="1:1" x14ac:dyDescent="0.3">
      <c r="A15537" s="12"/>
    </row>
    <row r="15538" spans="1:1" x14ac:dyDescent="0.3">
      <c r="A15538" s="12"/>
    </row>
    <row r="15539" spans="1:1" x14ac:dyDescent="0.3">
      <c r="A15539" s="12"/>
    </row>
    <row r="15540" spans="1:1" x14ac:dyDescent="0.3">
      <c r="A15540" s="12"/>
    </row>
    <row r="15541" spans="1:1" x14ac:dyDescent="0.3">
      <c r="A15541" s="12"/>
    </row>
    <row r="15542" spans="1:1" x14ac:dyDescent="0.3">
      <c r="A15542" s="12"/>
    </row>
    <row r="15543" spans="1:1" x14ac:dyDescent="0.3">
      <c r="A15543" s="12"/>
    </row>
    <row r="15544" spans="1:1" x14ac:dyDescent="0.3">
      <c r="A15544" s="12"/>
    </row>
    <row r="15545" spans="1:1" x14ac:dyDescent="0.3">
      <c r="A15545" s="12"/>
    </row>
    <row r="15546" spans="1:1" x14ac:dyDescent="0.3">
      <c r="A15546" s="12"/>
    </row>
    <row r="15547" spans="1:1" x14ac:dyDescent="0.3">
      <c r="A15547" s="12"/>
    </row>
    <row r="15548" spans="1:1" x14ac:dyDescent="0.3">
      <c r="A15548" s="12"/>
    </row>
    <row r="15549" spans="1:1" x14ac:dyDescent="0.3">
      <c r="A15549" s="12"/>
    </row>
    <row r="15550" spans="1:1" x14ac:dyDescent="0.3">
      <c r="A15550" s="12"/>
    </row>
    <row r="15551" spans="1:1" x14ac:dyDescent="0.3">
      <c r="A15551" s="12"/>
    </row>
    <row r="15552" spans="1:1" x14ac:dyDescent="0.3">
      <c r="A15552" s="12"/>
    </row>
    <row r="15553" spans="1:1" x14ac:dyDescent="0.3">
      <c r="A15553" s="12"/>
    </row>
    <row r="15554" spans="1:1" x14ac:dyDescent="0.3">
      <c r="A15554" s="12"/>
    </row>
    <row r="15555" spans="1:1" x14ac:dyDescent="0.3">
      <c r="A15555" s="12"/>
    </row>
    <row r="15556" spans="1:1" x14ac:dyDescent="0.3">
      <c r="A15556" s="12"/>
    </row>
    <row r="15557" spans="1:1" x14ac:dyDescent="0.3">
      <c r="A15557" s="12"/>
    </row>
    <row r="15558" spans="1:1" x14ac:dyDescent="0.3">
      <c r="A15558" s="12"/>
    </row>
    <row r="15559" spans="1:1" x14ac:dyDescent="0.3">
      <c r="A15559" s="12"/>
    </row>
    <row r="15560" spans="1:1" x14ac:dyDescent="0.3">
      <c r="A15560" s="12"/>
    </row>
    <row r="15561" spans="1:1" x14ac:dyDescent="0.3">
      <c r="A15561" s="12"/>
    </row>
    <row r="15562" spans="1:1" x14ac:dyDescent="0.3">
      <c r="A15562" s="12"/>
    </row>
    <row r="15563" spans="1:1" x14ac:dyDescent="0.3">
      <c r="A15563" s="12"/>
    </row>
    <row r="15564" spans="1:1" x14ac:dyDescent="0.3">
      <c r="A15564" s="12"/>
    </row>
    <row r="15565" spans="1:1" x14ac:dyDescent="0.3">
      <c r="A15565" s="12"/>
    </row>
    <row r="15566" spans="1:1" x14ac:dyDescent="0.3">
      <c r="A15566" s="12"/>
    </row>
    <row r="15567" spans="1:1" x14ac:dyDescent="0.3">
      <c r="A15567" s="12"/>
    </row>
    <row r="15568" spans="1:1" x14ac:dyDescent="0.3">
      <c r="A15568" s="12"/>
    </row>
    <row r="15569" spans="1:1" x14ac:dyDescent="0.3">
      <c r="A15569" s="12"/>
    </row>
    <row r="15570" spans="1:1" x14ac:dyDescent="0.3">
      <c r="A15570" s="12"/>
    </row>
    <row r="15571" spans="1:1" x14ac:dyDescent="0.3">
      <c r="A15571" s="12"/>
    </row>
    <row r="15572" spans="1:1" x14ac:dyDescent="0.3">
      <c r="A15572" s="12"/>
    </row>
    <row r="15573" spans="1:1" x14ac:dyDescent="0.3">
      <c r="A15573" s="12"/>
    </row>
    <row r="15574" spans="1:1" x14ac:dyDescent="0.3">
      <c r="A15574" s="12"/>
    </row>
    <row r="15575" spans="1:1" x14ac:dyDescent="0.3">
      <c r="A15575" s="12"/>
    </row>
    <row r="15576" spans="1:1" x14ac:dyDescent="0.3">
      <c r="A15576" s="12"/>
    </row>
    <row r="15577" spans="1:1" x14ac:dyDescent="0.3">
      <c r="A15577" s="12"/>
    </row>
    <row r="15578" spans="1:1" x14ac:dyDescent="0.3">
      <c r="A15578" s="12"/>
    </row>
    <row r="15579" spans="1:1" x14ac:dyDescent="0.3">
      <c r="A15579" s="12"/>
    </row>
    <row r="15580" spans="1:1" x14ac:dyDescent="0.3">
      <c r="A15580" s="12"/>
    </row>
    <row r="15581" spans="1:1" x14ac:dyDescent="0.3">
      <c r="A15581" s="12"/>
    </row>
    <row r="15582" spans="1:1" x14ac:dyDescent="0.3">
      <c r="A15582" s="12"/>
    </row>
    <row r="15583" spans="1:1" x14ac:dyDescent="0.3">
      <c r="A15583" s="12"/>
    </row>
    <row r="15584" spans="1:1" x14ac:dyDescent="0.3">
      <c r="A15584" s="12"/>
    </row>
    <row r="15585" spans="1:1" x14ac:dyDescent="0.3">
      <c r="A15585" s="12"/>
    </row>
    <row r="15586" spans="1:1" x14ac:dyDescent="0.3">
      <c r="A15586" s="12"/>
    </row>
    <row r="15587" spans="1:1" x14ac:dyDescent="0.3">
      <c r="A15587" s="12"/>
    </row>
    <row r="15588" spans="1:1" x14ac:dyDescent="0.3">
      <c r="A15588" s="12"/>
    </row>
    <row r="15589" spans="1:1" x14ac:dyDescent="0.3">
      <c r="A15589" s="12"/>
    </row>
    <row r="15590" spans="1:1" x14ac:dyDescent="0.3">
      <c r="A15590" s="12"/>
    </row>
    <row r="15591" spans="1:1" x14ac:dyDescent="0.3">
      <c r="A15591" s="12"/>
    </row>
    <row r="15592" spans="1:1" x14ac:dyDescent="0.3">
      <c r="A15592" s="12"/>
    </row>
    <row r="15593" spans="1:1" x14ac:dyDescent="0.3">
      <c r="A15593" s="12"/>
    </row>
    <row r="15594" spans="1:1" x14ac:dyDescent="0.3">
      <c r="A15594" s="12"/>
    </row>
    <row r="15595" spans="1:1" x14ac:dyDescent="0.3">
      <c r="A15595" s="12"/>
    </row>
    <row r="15596" spans="1:1" x14ac:dyDescent="0.3">
      <c r="A15596" s="12"/>
    </row>
    <row r="15597" spans="1:1" x14ac:dyDescent="0.3">
      <c r="A15597" s="12"/>
    </row>
    <row r="15598" spans="1:1" x14ac:dyDescent="0.3">
      <c r="A15598" s="12"/>
    </row>
    <row r="15599" spans="1:1" x14ac:dyDescent="0.3">
      <c r="A15599" s="12"/>
    </row>
    <row r="15600" spans="1:1" x14ac:dyDescent="0.3">
      <c r="A15600" s="12"/>
    </row>
    <row r="15601" spans="1:1" x14ac:dyDescent="0.3">
      <c r="A15601" s="12"/>
    </row>
    <row r="15602" spans="1:1" x14ac:dyDescent="0.3">
      <c r="A15602" s="12"/>
    </row>
    <row r="15603" spans="1:1" x14ac:dyDescent="0.3">
      <c r="A15603" s="12"/>
    </row>
    <row r="15604" spans="1:1" x14ac:dyDescent="0.3">
      <c r="A15604" s="12"/>
    </row>
    <row r="15605" spans="1:1" x14ac:dyDescent="0.3">
      <c r="A15605" s="12"/>
    </row>
    <row r="15606" spans="1:1" x14ac:dyDescent="0.3">
      <c r="A15606" s="12"/>
    </row>
    <row r="15607" spans="1:1" x14ac:dyDescent="0.3">
      <c r="A15607" s="12"/>
    </row>
    <row r="15608" spans="1:1" x14ac:dyDescent="0.3">
      <c r="A15608" s="12"/>
    </row>
    <row r="15609" spans="1:1" x14ac:dyDescent="0.3">
      <c r="A15609" s="12"/>
    </row>
    <row r="15610" spans="1:1" x14ac:dyDescent="0.3">
      <c r="A15610" s="12"/>
    </row>
    <row r="15611" spans="1:1" x14ac:dyDescent="0.3">
      <c r="A15611" s="12"/>
    </row>
    <row r="15612" spans="1:1" x14ac:dyDescent="0.3">
      <c r="A15612" s="12"/>
    </row>
    <row r="15613" spans="1:1" x14ac:dyDescent="0.3">
      <c r="A15613" s="12"/>
    </row>
    <row r="15614" spans="1:1" x14ac:dyDescent="0.3">
      <c r="A15614" s="12"/>
    </row>
    <row r="15615" spans="1:1" x14ac:dyDescent="0.3">
      <c r="A15615" s="12"/>
    </row>
    <row r="15616" spans="1:1" x14ac:dyDescent="0.3">
      <c r="A15616" s="12"/>
    </row>
    <row r="15617" spans="1:1" x14ac:dyDescent="0.3">
      <c r="A15617" s="12"/>
    </row>
    <row r="15618" spans="1:1" x14ac:dyDescent="0.3">
      <c r="A15618" s="12"/>
    </row>
    <row r="15619" spans="1:1" x14ac:dyDescent="0.3">
      <c r="A15619" s="12"/>
    </row>
    <row r="15620" spans="1:1" x14ac:dyDescent="0.3">
      <c r="A15620" s="12"/>
    </row>
    <row r="15621" spans="1:1" x14ac:dyDescent="0.3">
      <c r="A15621" s="12"/>
    </row>
    <row r="15622" spans="1:1" x14ac:dyDescent="0.3">
      <c r="A15622" s="12"/>
    </row>
    <row r="15623" spans="1:1" x14ac:dyDescent="0.3">
      <c r="A15623" s="12"/>
    </row>
    <row r="15624" spans="1:1" x14ac:dyDescent="0.3">
      <c r="A15624" s="12"/>
    </row>
    <row r="15625" spans="1:1" x14ac:dyDescent="0.3">
      <c r="A15625" s="12"/>
    </row>
    <row r="15626" spans="1:1" x14ac:dyDescent="0.3">
      <c r="A15626" s="12"/>
    </row>
    <row r="15627" spans="1:1" x14ac:dyDescent="0.3">
      <c r="A15627" s="12"/>
    </row>
    <row r="15628" spans="1:1" x14ac:dyDescent="0.3">
      <c r="A15628" s="12"/>
    </row>
    <row r="15629" spans="1:1" x14ac:dyDescent="0.3">
      <c r="A15629" s="12"/>
    </row>
    <row r="15630" spans="1:1" x14ac:dyDescent="0.3">
      <c r="A15630" s="12"/>
    </row>
    <row r="15631" spans="1:1" x14ac:dyDescent="0.3">
      <c r="A15631" s="12"/>
    </row>
    <row r="15632" spans="1:1" x14ac:dyDescent="0.3">
      <c r="A15632" s="12"/>
    </row>
    <row r="15633" spans="1:1" x14ac:dyDescent="0.3">
      <c r="A15633" s="12"/>
    </row>
    <row r="15634" spans="1:1" x14ac:dyDescent="0.3">
      <c r="A15634" s="12"/>
    </row>
    <row r="15635" spans="1:1" x14ac:dyDescent="0.3">
      <c r="A15635" s="12"/>
    </row>
    <row r="15636" spans="1:1" x14ac:dyDescent="0.3">
      <c r="A15636" s="12"/>
    </row>
    <row r="15637" spans="1:1" x14ac:dyDescent="0.3">
      <c r="A15637" s="12"/>
    </row>
    <row r="15638" spans="1:1" x14ac:dyDescent="0.3">
      <c r="A15638" s="12"/>
    </row>
    <row r="15639" spans="1:1" x14ac:dyDescent="0.3">
      <c r="A15639" s="12"/>
    </row>
    <row r="15640" spans="1:1" x14ac:dyDescent="0.3">
      <c r="A15640" s="12"/>
    </row>
    <row r="15641" spans="1:1" x14ac:dyDescent="0.3">
      <c r="A15641" s="12"/>
    </row>
    <row r="15642" spans="1:1" x14ac:dyDescent="0.3">
      <c r="A15642" s="12"/>
    </row>
    <row r="15643" spans="1:1" x14ac:dyDescent="0.3">
      <c r="A15643" s="12"/>
    </row>
    <row r="15644" spans="1:1" x14ac:dyDescent="0.3">
      <c r="A15644" s="12"/>
    </row>
    <row r="15645" spans="1:1" x14ac:dyDescent="0.3">
      <c r="A15645" s="12"/>
    </row>
    <row r="15646" spans="1:1" x14ac:dyDescent="0.3">
      <c r="A15646" s="12"/>
    </row>
    <row r="15647" spans="1:1" x14ac:dyDescent="0.3">
      <c r="A15647" s="12"/>
    </row>
    <row r="15648" spans="1:1" x14ac:dyDescent="0.3">
      <c r="A15648" s="12"/>
    </row>
    <row r="15649" spans="1:1" x14ac:dyDescent="0.3">
      <c r="A15649" s="12"/>
    </row>
    <row r="15650" spans="1:1" x14ac:dyDescent="0.3">
      <c r="A15650" s="12"/>
    </row>
    <row r="15651" spans="1:1" x14ac:dyDescent="0.3">
      <c r="A15651" s="12"/>
    </row>
    <row r="15652" spans="1:1" x14ac:dyDescent="0.3">
      <c r="A15652" s="12"/>
    </row>
    <row r="15653" spans="1:1" x14ac:dyDescent="0.3">
      <c r="A15653" s="12"/>
    </row>
    <row r="15654" spans="1:1" x14ac:dyDescent="0.3">
      <c r="A15654" s="12"/>
    </row>
    <row r="15655" spans="1:1" x14ac:dyDescent="0.3">
      <c r="A15655" s="12"/>
    </row>
    <row r="15656" spans="1:1" x14ac:dyDescent="0.3">
      <c r="A15656" s="12"/>
    </row>
    <row r="15657" spans="1:1" x14ac:dyDescent="0.3">
      <c r="A15657" s="12"/>
    </row>
    <row r="15658" spans="1:1" x14ac:dyDescent="0.3">
      <c r="A15658" s="12"/>
    </row>
    <row r="15659" spans="1:1" x14ac:dyDescent="0.3">
      <c r="A15659" s="12"/>
    </row>
    <row r="15660" spans="1:1" x14ac:dyDescent="0.3">
      <c r="A15660" s="12"/>
    </row>
    <row r="15661" spans="1:1" x14ac:dyDescent="0.3">
      <c r="A15661" s="12"/>
    </row>
    <row r="15662" spans="1:1" x14ac:dyDescent="0.3">
      <c r="A15662" s="12"/>
    </row>
    <row r="15663" spans="1:1" x14ac:dyDescent="0.3">
      <c r="A15663" s="12"/>
    </row>
    <row r="15664" spans="1:1" x14ac:dyDescent="0.3">
      <c r="A15664" s="12"/>
    </row>
    <row r="15665" spans="1:1" x14ac:dyDescent="0.3">
      <c r="A15665" s="12"/>
    </row>
    <row r="15666" spans="1:1" x14ac:dyDescent="0.3">
      <c r="A15666" s="12"/>
    </row>
    <row r="15667" spans="1:1" x14ac:dyDescent="0.3">
      <c r="A15667" s="12"/>
    </row>
    <row r="15668" spans="1:1" x14ac:dyDescent="0.3">
      <c r="A15668" s="12"/>
    </row>
    <row r="15669" spans="1:1" x14ac:dyDescent="0.3">
      <c r="A15669" s="12"/>
    </row>
    <row r="15670" spans="1:1" x14ac:dyDescent="0.3">
      <c r="A15670" s="12"/>
    </row>
    <row r="15671" spans="1:1" x14ac:dyDescent="0.3">
      <c r="A15671" s="12"/>
    </row>
    <row r="15672" spans="1:1" x14ac:dyDescent="0.3">
      <c r="A15672" s="12"/>
    </row>
    <row r="15673" spans="1:1" x14ac:dyDescent="0.3">
      <c r="A15673" s="12"/>
    </row>
    <row r="15674" spans="1:1" x14ac:dyDescent="0.3">
      <c r="A15674" s="12"/>
    </row>
    <row r="15675" spans="1:1" x14ac:dyDescent="0.3">
      <c r="A15675" s="12"/>
    </row>
    <row r="15676" spans="1:1" x14ac:dyDescent="0.3">
      <c r="A15676" s="12"/>
    </row>
    <row r="15677" spans="1:1" x14ac:dyDescent="0.3">
      <c r="A15677" s="12"/>
    </row>
    <row r="15678" spans="1:1" x14ac:dyDescent="0.3">
      <c r="A15678" s="12"/>
    </row>
    <row r="15679" spans="1:1" x14ac:dyDescent="0.3">
      <c r="A15679" s="12"/>
    </row>
    <row r="15680" spans="1:1" x14ac:dyDescent="0.3">
      <c r="A15680" s="12"/>
    </row>
    <row r="15681" spans="1:1" x14ac:dyDescent="0.3">
      <c r="A15681" s="12"/>
    </row>
    <row r="15682" spans="1:1" x14ac:dyDescent="0.3">
      <c r="A15682" s="12"/>
    </row>
    <row r="15683" spans="1:1" x14ac:dyDescent="0.3">
      <c r="A15683" s="12"/>
    </row>
    <row r="15684" spans="1:1" x14ac:dyDescent="0.3">
      <c r="A15684" s="12"/>
    </row>
    <row r="15685" spans="1:1" x14ac:dyDescent="0.3">
      <c r="A15685" s="12"/>
    </row>
    <row r="15686" spans="1:1" x14ac:dyDescent="0.3">
      <c r="A15686" s="12"/>
    </row>
    <row r="15687" spans="1:1" x14ac:dyDescent="0.3">
      <c r="A15687" s="12"/>
    </row>
    <row r="15688" spans="1:1" x14ac:dyDescent="0.3">
      <c r="A15688" s="12"/>
    </row>
    <row r="15689" spans="1:1" x14ac:dyDescent="0.3">
      <c r="A15689" s="12"/>
    </row>
    <row r="15690" spans="1:1" x14ac:dyDescent="0.3">
      <c r="A15690" s="12"/>
    </row>
    <row r="15691" spans="1:1" x14ac:dyDescent="0.3">
      <c r="A15691" s="12"/>
    </row>
    <row r="15692" spans="1:1" x14ac:dyDescent="0.3">
      <c r="A15692" s="12"/>
    </row>
    <row r="15693" spans="1:1" x14ac:dyDescent="0.3">
      <c r="A15693" s="12"/>
    </row>
    <row r="15694" spans="1:1" x14ac:dyDescent="0.3">
      <c r="A15694" s="12"/>
    </row>
    <row r="15695" spans="1:1" x14ac:dyDescent="0.3">
      <c r="A15695" s="12"/>
    </row>
    <row r="15696" spans="1:1" x14ac:dyDescent="0.3">
      <c r="A15696" s="12"/>
    </row>
    <row r="15697" spans="1:1" x14ac:dyDescent="0.3">
      <c r="A15697" s="12"/>
    </row>
    <row r="15698" spans="1:1" x14ac:dyDescent="0.3">
      <c r="A15698" s="12"/>
    </row>
    <row r="15699" spans="1:1" x14ac:dyDescent="0.3">
      <c r="A15699" s="12"/>
    </row>
    <row r="15700" spans="1:1" x14ac:dyDescent="0.3">
      <c r="A15700" s="12"/>
    </row>
    <row r="15701" spans="1:1" x14ac:dyDescent="0.3">
      <c r="A15701" s="12"/>
    </row>
    <row r="15702" spans="1:1" x14ac:dyDescent="0.3">
      <c r="A15702" s="12"/>
    </row>
    <row r="15703" spans="1:1" x14ac:dyDescent="0.3">
      <c r="A15703" s="12"/>
    </row>
    <row r="15704" spans="1:1" x14ac:dyDescent="0.3">
      <c r="A15704" s="12"/>
    </row>
    <row r="15705" spans="1:1" x14ac:dyDescent="0.3">
      <c r="A15705" s="12"/>
    </row>
    <row r="15706" spans="1:1" x14ac:dyDescent="0.3">
      <c r="A15706" s="12"/>
    </row>
    <row r="15707" spans="1:1" x14ac:dyDescent="0.3">
      <c r="A15707" s="12"/>
    </row>
    <row r="15708" spans="1:1" x14ac:dyDescent="0.3">
      <c r="A15708" s="12"/>
    </row>
    <row r="15709" spans="1:1" x14ac:dyDescent="0.3">
      <c r="A15709" s="12"/>
    </row>
    <row r="15710" spans="1:1" x14ac:dyDescent="0.3">
      <c r="A15710" s="12"/>
    </row>
    <row r="15711" spans="1:1" x14ac:dyDescent="0.3">
      <c r="A15711" s="12"/>
    </row>
    <row r="15712" spans="1:1" x14ac:dyDescent="0.3">
      <c r="A15712" s="12"/>
    </row>
    <row r="15713" spans="1:1" x14ac:dyDescent="0.3">
      <c r="A15713" s="12"/>
    </row>
    <row r="15714" spans="1:1" x14ac:dyDescent="0.3">
      <c r="A15714" s="12"/>
    </row>
    <row r="15715" spans="1:1" x14ac:dyDescent="0.3">
      <c r="A15715" s="12"/>
    </row>
    <row r="15716" spans="1:1" x14ac:dyDescent="0.3">
      <c r="A15716" s="12"/>
    </row>
    <row r="15717" spans="1:1" x14ac:dyDescent="0.3">
      <c r="A15717" s="12"/>
    </row>
    <row r="15718" spans="1:1" x14ac:dyDescent="0.3">
      <c r="A15718" s="12"/>
    </row>
    <row r="15719" spans="1:1" x14ac:dyDescent="0.3">
      <c r="A15719" s="12"/>
    </row>
    <row r="15720" spans="1:1" x14ac:dyDescent="0.3">
      <c r="A15720" s="12"/>
    </row>
    <row r="15721" spans="1:1" x14ac:dyDescent="0.3">
      <c r="A15721" s="12"/>
    </row>
    <row r="15722" spans="1:1" x14ac:dyDescent="0.3">
      <c r="A15722" s="12"/>
    </row>
    <row r="15723" spans="1:1" x14ac:dyDescent="0.3">
      <c r="A15723" s="12"/>
    </row>
    <row r="15724" spans="1:1" x14ac:dyDescent="0.3">
      <c r="A15724" s="12"/>
    </row>
    <row r="15725" spans="1:1" x14ac:dyDescent="0.3">
      <c r="A15725" s="12"/>
    </row>
    <row r="15726" spans="1:1" x14ac:dyDescent="0.3">
      <c r="A15726" s="12"/>
    </row>
    <row r="15727" spans="1:1" x14ac:dyDescent="0.3">
      <c r="A15727" s="12"/>
    </row>
    <row r="15728" spans="1:1" x14ac:dyDescent="0.3">
      <c r="A15728" s="12"/>
    </row>
    <row r="15729" spans="1:1" x14ac:dyDescent="0.3">
      <c r="A15729" s="12"/>
    </row>
    <row r="15730" spans="1:1" x14ac:dyDescent="0.3">
      <c r="A15730" s="12"/>
    </row>
    <row r="15731" spans="1:1" x14ac:dyDescent="0.3">
      <c r="A15731" s="12"/>
    </row>
    <row r="15732" spans="1:1" x14ac:dyDescent="0.3">
      <c r="A15732" s="12"/>
    </row>
    <row r="15733" spans="1:1" x14ac:dyDescent="0.3">
      <c r="A15733" s="12"/>
    </row>
    <row r="15734" spans="1:1" x14ac:dyDescent="0.3">
      <c r="A15734" s="12"/>
    </row>
    <row r="15735" spans="1:1" x14ac:dyDescent="0.3">
      <c r="A15735" s="12"/>
    </row>
    <row r="15736" spans="1:1" x14ac:dyDescent="0.3">
      <c r="A15736" s="12"/>
    </row>
    <row r="15737" spans="1:1" x14ac:dyDescent="0.3">
      <c r="A15737" s="12"/>
    </row>
    <row r="15738" spans="1:1" x14ac:dyDescent="0.3">
      <c r="A15738" s="12"/>
    </row>
    <row r="15739" spans="1:1" x14ac:dyDescent="0.3">
      <c r="A15739" s="12"/>
    </row>
    <row r="15740" spans="1:1" x14ac:dyDescent="0.3">
      <c r="A15740" s="12"/>
    </row>
    <row r="15741" spans="1:1" x14ac:dyDescent="0.3">
      <c r="A15741" s="12"/>
    </row>
    <row r="15742" spans="1:1" x14ac:dyDescent="0.3">
      <c r="A15742" s="12"/>
    </row>
    <row r="15743" spans="1:1" x14ac:dyDescent="0.3">
      <c r="A15743" s="12"/>
    </row>
    <row r="15744" spans="1:1" x14ac:dyDescent="0.3">
      <c r="A15744" s="12"/>
    </row>
    <row r="15745" spans="1:1" x14ac:dyDescent="0.3">
      <c r="A15745" s="12"/>
    </row>
    <row r="15746" spans="1:1" x14ac:dyDescent="0.3">
      <c r="A15746" s="12"/>
    </row>
    <row r="15747" spans="1:1" x14ac:dyDescent="0.3">
      <c r="A15747" s="12"/>
    </row>
    <row r="15748" spans="1:1" x14ac:dyDescent="0.3">
      <c r="A15748" s="12"/>
    </row>
    <row r="15749" spans="1:1" x14ac:dyDescent="0.3">
      <c r="A15749" s="12"/>
    </row>
    <row r="15750" spans="1:1" x14ac:dyDescent="0.3">
      <c r="A15750" s="12"/>
    </row>
    <row r="15751" spans="1:1" x14ac:dyDescent="0.3">
      <c r="A15751" s="12"/>
    </row>
    <row r="15752" spans="1:1" x14ac:dyDescent="0.3">
      <c r="A15752" s="12"/>
    </row>
    <row r="15753" spans="1:1" x14ac:dyDescent="0.3">
      <c r="A15753" s="12"/>
    </row>
    <row r="15754" spans="1:1" x14ac:dyDescent="0.3">
      <c r="A15754" s="12"/>
    </row>
    <row r="15755" spans="1:1" x14ac:dyDescent="0.3">
      <c r="A15755" s="12"/>
    </row>
    <row r="15756" spans="1:1" x14ac:dyDescent="0.3">
      <c r="A15756" s="12"/>
    </row>
    <row r="15757" spans="1:1" x14ac:dyDescent="0.3">
      <c r="A15757" s="12"/>
    </row>
    <row r="15758" spans="1:1" x14ac:dyDescent="0.3">
      <c r="A15758" s="12"/>
    </row>
    <row r="15759" spans="1:1" x14ac:dyDescent="0.3">
      <c r="A15759" s="12"/>
    </row>
    <row r="15760" spans="1:1" x14ac:dyDescent="0.3">
      <c r="A15760" s="12"/>
    </row>
    <row r="15761" spans="1:1" x14ac:dyDescent="0.3">
      <c r="A15761" s="12"/>
    </row>
    <row r="15762" spans="1:1" x14ac:dyDescent="0.3">
      <c r="A15762" s="12"/>
    </row>
    <row r="15763" spans="1:1" x14ac:dyDescent="0.3">
      <c r="A15763" s="12"/>
    </row>
    <row r="15764" spans="1:1" x14ac:dyDescent="0.3">
      <c r="A15764" s="12"/>
    </row>
    <row r="15765" spans="1:1" x14ac:dyDescent="0.3">
      <c r="A15765" s="12"/>
    </row>
    <row r="15766" spans="1:1" x14ac:dyDescent="0.3">
      <c r="A15766" s="12"/>
    </row>
    <row r="15767" spans="1:1" x14ac:dyDescent="0.3">
      <c r="A15767" s="12"/>
    </row>
    <row r="15768" spans="1:1" x14ac:dyDescent="0.3">
      <c r="A15768" s="12"/>
    </row>
    <row r="15769" spans="1:1" x14ac:dyDescent="0.3">
      <c r="A15769" s="12"/>
    </row>
    <row r="15770" spans="1:1" x14ac:dyDescent="0.3">
      <c r="A15770" s="12"/>
    </row>
    <row r="15771" spans="1:1" x14ac:dyDescent="0.3">
      <c r="A15771" s="12"/>
    </row>
    <row r="15772" spans="1:1" x14ac:dyDescent="0.3">
      <c r="A15772" s="12"/>
    </row>
    <row r="15773" spans="1:1" x14ac:dyDescent="0.3">
      <c r="A15773" s="12"/>
    </row>
    <row r="15774" spans="1:1" x14ac:dyDescent="0.3">
      <c r="A15774" s="12"/>
    </row>
    <row r="15775" spans="1:1" x14ac:dyDescent="0.3">
      <c r="A15775" s="12"/>
    </row>
    <row r="15776" spans="1:1" x14ac:dyDescent="0.3">
      <c r="A15776" s="12"/>
    </row>
    <row r="15777" spans="1:1" x14ac:dyDescent="0.3">
      <c r="A15777" s="12"/>
    </row>
    <row r="15778" spans="1:1" x14ac:dyDescent="0.3">
      <c r="A15778" s="12"/>
    </row>
    <row r="15779" spans="1:1" x14ac:dyDescent="0.3">
      <c r="A15779" s="12"/>
    </row>
    <row r="15780" spans="1:1" x14ac:dyDescent="0.3">
      <c r="A15780" s="12"/>
    </row>
    <row r="15781" spans="1:1" x14ac:dyDescent="0.3">
      <c r="A15781" s="12"/>
    </row>
    <row r="15782" spans="1:1" x14ac:dyDescent="0.3">
      <c r="A15782" s="12"/>
    </row>
    <row r="15783" spans="1:1" x14ac:dyDescent="0.3">
      <c r="A15783" s="12"/>
    </row>
    <row r="15784" spans="1:1" x14ac:dyDescent="0.3">
      <c r="A15784" s="12"/>
    </row>
    <row r="15785" spans="1:1" x14ac:dyDescent="0.3">
      <c r="A15785" s="12"/>
    </row>
    <row r="15786" spans="1:1" x14ac:dyDescent="0.3">
      <c r="A15786" s="12"/>
    </row>
    <row r="15787" spans="1:1" x14ac:dyDescent="0.3">
      <c r="A15787" s="12"/>
    </row>
    <row r="15788" spans="1:1" x14ac:dyDescent="0.3">
      <c r="A15788" s="12"/>
    </row>
    <row r="15789" spans="1:1" x14ac:dyDescent="0.3">
      <c r="A15789" s="12"/>
    </row>
    <row r="15790" spans="1:1" x14ac:dyDescent="0.3">
      <c r="A15790" s="12"/>
    </row>
    <row r="15791" spans="1:1" x14ac:dyDescent="0.3">
      <c r="A15791" s="12"/>
    </row>
    <row r="15792" spans="1:1" x14ac:dyDescent="0.3">
      <c r="A15792" s="12"/>
    </row>
    <row r="15793" spans="1:1" x14ac:dyDescent="0.3">
      <c r="A15793" s="12"/>
    </row>
    <row r="15794" spans="1:1" x14ac:dyDescent="0.3">
      <c r="A15794" s="12"/>
    </row>
    <row r="15795" spans="1:1" x14ac:dyDescent="0.3">
      <c r="A15795" s="12"/>
    </row>
    <row r="15796" spans="1:1" x14ac:dyDescent="0.3">
      <c r="A15796" s="12"/>
    </row>
    <row r="15797" spans="1:1" x14ac:dyDescent="0.3">
      <c r="A15797" s="12"/>
    </row>
    <row r="15798" spans="1:1" x14ac:dyDescent="0.3">
      <c r="A15798" s="12"/>
    </row>
    <row r="15799" spans="1:1" x14ac:dyDescent="0.3">
      <c r="A15799" s="12"/>
    </row>
    <row r="15800" spans="1:1" x14ac:dyDescent="0.3">
      <c r="A15800" s="12"/>
    </row>
    <row r="15801" spans="1:1" x14ac:dyDescent="0.3">
      <c r="A15801" s="12"/>
    </row>
    <row r="15802" spans="1:1" x14ac:dyDescent="0.3">
      <c r="A15802" s="12"/>
    </row>
    <row r="15803" spans="1:1" x14ac:dyDescent="0.3">
      <c r="A15803" s="12"/>
    </row>
    <row r="15804" spans="1:1" x14ac:dyDescent="0.3">
      <c r="A15804" s="12"/>
    </row>
    <row r="15805" spans="1:1" x14ac:dyDescent="0.3">
      <c r="A15805" s="12"/>
    </row>
    <row r="15806" spans="1:1" x14ac:dyDescent="0.3">
      <c r="A15806" s="12"/>
    </row>
    <row r="15807" spans="1:1" x14ac:dyDescent="0.3">
      <c r="A15807" s="12"/>
    </row>
    <row r="15808" spans="1:1" x14ac:dyDescent="0.3">
      <c r="A15808" s="12"/>
    </row>
    <row r="15809" spans="1:1" x14ac:dyDescent="0.3">
      <c r="A15809" s="12"/>
    </row>
    <row r="15810" spans="1:1" x14ac:dyDescent="0.3">
      <c r="A15810" s="12"/>
    </row>
    <row r="15811" spans="1:1" x14ac:dyDescent="0.3">
      <c r="A15811" s="12"/>
    </row>
    <row r="15812" spans="1:1" x14ac:dyDescent="0.3">
      <c r="A15812" s="12"/>
    </row>
    <row r="15813" spans="1:1" x14ac:dyDescent="0.3">
      <c r="A15813" s="12"/>
    </row>
    <row r="15814" spans="1:1" x14ac:dyDescent="0.3">
      <c r="A15814" s="12"/>
    </row>
    <row r="15815" spans="1:1" x14ac:dyDescent="0.3">
      <c r="A15815" s="12"/>
    </row>
    <row r="15816" spans="1:1" x14ac:dyDescent="0.3">
      <c r="A15816" s="12"/>
    </row>
    <row r="15817" spans="1:1" x14ac:dyDescent="0.3">
      <c r="A15817" s="12"/>
    </row>
    <row r="15818" spans="1:1" x14ac:dyDescent="0.3">
      <c r="A15818" s="12"/>
    </row>
    <row r="15819" spans="1:1" x14ac:dyDescent="0.3">
      <c r="A15819" s="12"/>
    </row>
    <row r="15820" spans="1:1" x14ac:dyDescent="0.3">
      <c r="A15820" s="12"/>
    </row>
    <row r="15821" spans="1:1" x14ac:dyDescent="0.3">
      <c r="A15821" s="12"/>
    </row>
    <row r="15822" spans="1:1" x14ac:dyDescent="0.3">
      <c r="A15822" s="12"/>
    </row>
    <row r="15823" spans="1:1" x14ac:dyDescent="0.3">
      <c r="A15823" s="12"/>
    </row>
    <row r="15824" spans="1:1" x14ac:dyDescent="0.3">
      <c r="A15824" s="12"/>
    </row>
    <row r="15825" spans="1:1" x14ac:dyDescent="0.3">
      <c r="A15825" s="12"/>
    </row>
    <row r="15826" spans="1:1" x14ac:dyDescent="0.3">
      <c r="A15826" s="12"/>
    </row>
    <row r="15827" spans="1:1" x14ac:dyDescent="0.3">
      <c r="A15827" s="12"/>
    </row>
    <row r="15828" spans="1:1" x14ac:dyDescent="0.3">
      <c r="A15828" s="12"/>
    </row>
    <row r="15829" spans="1:1" x14ac:dyDescent="0.3">
      <c r="A15829" s="12"/>
    </row>
    <row r="15830" spans="1:1" x14ac:dyDescent="0.3">
      <c r="A15830" s="12"/>
    </row>
    <row r="15831" spans="1:1" x14ac:dyDescent="0.3">
      <c r="A15831" s="12"/>
    </row>
    <row r="15832" spans="1:1" x14ac:dyDescent="0.3">
      <c r="A15832" s="12"/>
    </row>
    <row r="15833" spans="1:1" x14ac:dyDescent="0.3">
      <c r="A15833" s="12"/>
    </row>
    <row r="15834" spans="1:1" x14ac:dyDescent="0.3">
      <c r="A15834" s="12"/>
    </row>
    <row r="15835" spans="1:1" x14ac:dyDescent="0.3">
      <c r="A15835" s="12"/>
    </row>
    <row r="15836" spans="1:1" x14ac:dyDescent="0.3">
      <c r="A15836" s="12"/>
    </row>
    <row r="15837" spans="1:1" x14ac:dyDescent="0.3">
      <c r="A15837" s="12"/>
    </row>
    <row r="15838" spans="1:1" x14ac:dyDescent="0.3">
      <c r="A15838" s="12"/>
    </row>
    <row r="15839" spans="1:1" x14ac:dyDescent="0.3">
      <c r="A15839" s="12"/>
    </row>
    <row r="15840" spans="1:1" x14ac:dyDescent="0.3">
      <c r="A15840" s="12"/>
    </row>
    <row r="15841" spans="1:1" x14ac:dyDescent="0.3">
      <c r="A15841" s="12"/>
    </row>
    <row r="15842" spans="1:1" x14ac:dyDescent="0.3">
      <c r="A15842" s="12"/>
    </row>
    <row r="15843" spans="1:1" x14ac:dyDescent="0.3">
      <c r="A15843" s="12"/>
    </row>
    <row r="15844" spans="1:1" x14ac:dyDescent="0.3">
      <c r="A15844" s="12"/>
    </row>
    <row r="15845" spans="1:1" x14ac:dyDescent="0.3">
      <c r="A15845" s="12"/>
    </row>
    <row r="15846" spans="1:1" x14ac:dyDescent="0.3">
      <c r="A15846" s="12"/>
    </row>
    <row r="15847" spans="1:1" x14ac:dyDescent="0.3">
      <c r="A15847" s="12"/>
    </row>
    <row r="15848" spans="1:1" x14ac:dyDescent="0.3">
      <c r="A15848" s="12"/>
    </row>
    <row r="15849" spans="1:1" x14ac:dyDescent="0.3">
      <c r="A15849" s="12"/>
    </row>
    <row r="15850" spans="1:1" x14ac:dyDescent="0.3">
      <c r="A15850" s="12"/>
    </row>
    <row r="15851" spans="1:1" x14ac:dyDescent="0.3">
      <c r="A15851" s="12"/>
    </row>
    <row r="15852" spans="1:1" x14ac:dyDescent="0.3">
      <c r="A15852" s="12"/>
    </row>
    <row r="15853" spans="1:1" x14ac:dyDescent="0.3">
      <c r="A15853" s="12"/>
    </row>
    <row r="15854" spans="1:1" x14ac:dyDescent="0.3">
      <c r="A15854" s="12"/>
    </row>
    <row r="15855" spans="1:1" x14ac:dyDescent="0.3">
      <c r="A15855" s="12"/>
    </row>
    <row r="15856" spans="1:1" x14ac:dyDescent="0.3">
      <c r="A15856" s="12"/>
    </row>
    <row r="15857" spans="1:1" x14ac:dyDescent="0.3">
      <c r="A15857" s="12"/>
    </row>
    <row r="15858" spans="1:1" x14ac:dyDescent="0.3">
      <c r="A15858" s="12"/>
    </row>
    <row r="15859" spans="1:1" x14ac:dyDescent="0.3">
      <c r="A15859" s="12"/>
    </row>
    <row r="15860" spans="1:1" x14ac:dyDescent="0.3">
      <c r="A15860" s="12"/>
    </row>
    <row r="15861" spans="1:1" x14ac:dyDescent="0.3">
      <c r="A15861" s="12"/>
    </row>
    <row r="15862" spans="1:1" x14ac:dyDescent="0.3">
      <c r="A15862" s="12"/>
    </row>
    <row r="15863" spans="1:1" x14ac:dyDescent="0.3">
      <c r="A15863" s="12"/>
    </row>
    <row r="15864" spans="1:1" x14ac:dyDescent="0.3">
      <c r="A15864" s="12"/>
    </row>
    <row r="15865" spans="1:1" x14ac:dyDescent="0.3">
      <c r="A15865" s="12"/>
    </row>
    <row r="15866" spans="1:1" x14ac:dyDescent="0.3">
      <c r="A15866" s="12"/>
    </row>
    <row r="15867" spans="1:1" x14ac:dyDescent="0.3">
      <c r="A15867" s="12"/>
    </row>
    <row r="15868" spans="1:1" x14ac:dyDescent="0.3">
      <c r="A15868" s="12"/>
    </row>
    <row r="15869" spans="1:1" x14ac:dyDescent="0.3">
      <c r="A15869" s="12"/>
    </row>
    <row r="15870" spans="1:1" x14ac:dyDescent="0.3">
      <c r="A15870" s="12"/>
    </row>
    <row r="15871" spans="1:1" x14ac:dyDescent="0.3">
      <c r="A15871" s="12"/>
    </row>
    <row r="15872" spans="1:1" x14ac:dyDescent="0.3">
      <c r="A15872" s="12"/>
    </row>
    <row r="15873" spans="1:1" x14ac:dyDescent="0.3">
      <c r="A15873" s="12"/>
    </row>
    <row r="15874" spans="1:1" x14ac:dyDescent="0.3">
      <c r="A15874" s="12"/>
    </row>
    <row r="15875" spans="1:1" x14ac:dyDescent="0.3">
      <c r="A15875" s="12"/>
    </row>
    <row r="15876" spans="1:1" x14ac:dyDescent="0.3">
      <c r="A15876" s="12"/>
    </row>
    <row r="15877" spans="1:1" x14ac:dyDescent="0.3">
      <c r="A15877" s="12"/>
    </row>
    <row r="15878" spans="1:1" x14ac:dyDescent="0.3">
      <c r="A15878" s="12"/>
    </row>
    <row r="15879" spans="1:1" x14ac:dyDescent="0.3">
      <c r="A15879" s="12"/>
    </row>
    <row r="15880" spans="1:1" x14ac:dyDescent="0.3">
      <c r="A15880" s="12"/>
    </row>
    <row r="15881" spans="1:1" x14ac:dyDescent="0.3">
      <c r="A15881" s="12"/>
    </row>
    <row r="15882" spans="1:1" x14ac:dyDescent="0.3">
      <c r="A15882" s="12"/>
    </row>
    <row r="15883" spans="1:1" x14ac:dyDescent="0.3">
      <c r="A15883" s="12"/>
    </row>
    <row r="15884" spans="1:1" x14ac:dyDescent="0.3">
      <c r="A15884" s="12"/>
    </row>
    <row r="15885" spans="1:1" x14ac:dyDescent="0.3">
      <c r="A15885" s="12"/>
    </row>
    <row r="15886" spans="1:1" x14ac:dyDescent="0.3">
      <c r="A15886" s="12"/>
    </row>
    <row r="15887" spans="1:1" x14ac:dyDescent="0.3">
      <c r="A15887" s="12"/>
    </row>
    <row r="15888" spans="1:1" x14ac:dyDescent="0.3">
      <c r="A15888" s="12"/>
    </row>
    <row r="15889" spans="1:1" x14ac:dyDescent="0.3">
      <c r="A15889" s="12"/>
    </row>
    <row r="15890" spans="1:1" x14ac:dyDescent="0.3">
      <c r="A15890" s="12"/>
    </row>
    <row r="15891" spans="1:1" x14ac:dyDescent="0.3">
      <c r="A15891" s="12"/>
    </row>
    <row r="15892" spans="1:1" x14ac:dyDescent="0.3">
      <c r="A15892" s="12"/>
    </row>
    <row r="15893" spans="1:1" x14ac:dyDescent="0.3">
      <c r="A15893" s="12"/>
    </row>
    <row r="15894" spans="1:1" x14ac:dyDescent="0.3">
      <c r="A15894" s="12"/>
    </row>
    <row r="15895" spans="1:1" x14ac:dyDescent="0.3">
      <c r="A15895" s="12"/>
    </row>
    <row r="15896" spans="1:1" x14ac:dyDescent="0.3">
      <c r="A15896" s="12"/>
    </row>
    <row r="15897" spans="1:1" x14ac:dyDescent="0.3">
      <c r="A15897" s="12"/>
    </row>
    <row r="15898" spans="1:1" x14ac:dyDescent="0.3">
      <c r="A15898" s="12"/>
    </row>
    <row r="15899" spans="1:1" x14ac:dyDescent="0.3">
      <c r="A15899" s="12"/>
    </row>
    <row r="15900" spans="1:1" x14ac:dyDescent="0.3">
      <c r="A15900" s="12"/>
    </row>
    <row r="15901" spans="1:1" x14ac:dyDescent="0.3">
      <c r="A15901" s="12"/>
    </row>
    <row r="15902" spans="1:1" x14ac:dyDescent="0.3">
      <c r="A15902" s="12"/>
    </row>
    <row r="15903" spans="1:1" x14ac:dyDescent="0.3">
      <c r="A15903" s="12"/>
    </row>
    <row r="15904" spans="1:1" x14ac:dyDescent="0.3">
      <c r="A15904" s="12"/>
    </row>
    <row r="15905" spans="1:1" x14ac:dyDescent="0.3">
      <c r="A15905" s="12"/>
    </row>
    <row r="15906" spans="1:1" x14ac:dyDescent="0.3">
      <c r="A15906" s="12"/>
    </row>
    <row r="15907" spans="1:1" x14ac:dyDescent="0.3">
      <c r="A15907" s="12"/>
    </row>
    <row r="15908" spans="1:1" x14ac:dyDescent="0.3">
      <c r="A15908" s="12"/>
    </row>
    <row r="15909" spans="1:1" x14ac:dyDescent="0.3">
      <c r="A15909" s="12"/>
    </row>
    <row r="15910" spans="1:1" x14ac:dyDescent="0.3">
      <c r="A15910" s="12"/>
    </row>
    <row r="15911" spans="1:1" x14ac:dyDescent="0.3">
      <c r="A15911" s="12"/>
    </row>
    <row r="15912" spans="1:1" x14ac:dyDescent="0.3">
      <c r="A15912" s="12"/>
    </row>
    <row r="15913" spans="1:1" x14ac:dyDescent="0.3">
      <c r="A15913" s="12"/>
    </row>
    <row r="15914" spans="1:1" x14ac:dyDescent="0.3">
      <c r="A15914" s="12"/>
    </row>
    <row r="15915" spans="1:1" x14ac:dyDescent="0.3">
      <c r="A15915" s="12"/>
    </row>
    <row r="15916" spans="1:1" x14ac:dyDescent="0.3">
      <c r="A15916" s="12"/>
    </row>
    <row r="15917" spans="1:1" x14ac:dyDescent="0.3">
      <c r="A15917" s="12"/>
    </row>
    <row r="15918" spans="1:1" x14ac:dyDescent="0.3">
      <c r="A15918" s="12"/>
    </row>
    <row r="15919" spans="1:1" x14ac:dyDescent="0.3">
      <c r="A15919" s="12"/>
    </row>
    <row r="15920" spans="1:1" x14ac:dyDescent="0.3">
      <c r="A15920" s="12"/>
    </row>
    <row r="15921" spans="1:1" x14ac:dyDescent="0.3">
      <c r="A15921" s="12"/>
    </row>
    <row r="15922" spans="1:1" x14ac:dyDescent="0.3">
      <c r="A15922" s="12"/>
    </row>
    <row r="15923" spans="1:1" x14ac:dyDescent="0.3">
      <c r="A15923" s="12"/>
    </row>
    <row r="15924" spans="1:1" x14ac:dyDescent="0.3">
      <c r="A15924" s="12"/>
    </row>
    <row r="15925" spans="1:1" x14ac:dyDescent="0.3">
      <c r="A15925" s="12"/>
    </row>
    <row r="15926" spans="1:1" x14ac:dyDescent="0.3">
      <c r="A15926" s="12"/>
    </row>
    <row r="15927" spans="1:1" x14ac:dyDescent="0.3">
      <c r="A15927" s="12"/>
    </row>
    <row r="15928" spans="1:1" x14ac:dyDescent="0.3">
      <c r="A15928" s="12"/>
    </row>
    <row r="15929" spans="1:1" x14ac:dyDescent="0.3">
      <c r="A15929" s="12"/>
    </row>
    <row r="15930" spans="1:1" x14ac:dyDescent="0.3">
      <c r="A15930" s="12"/>
    </row>
    <row r="15931" spans="1:1" x14ac:dyDescent="0.3">
      <c r="A15931" s="12"/>
    </row>
    <row r="15932" spans="1:1" x14ac:dyDescent="0.3">
      <c r="A15932" s="12"/>
    </row>
    <row r="15933" spans="1:1" x14ac:dyDescent="0.3">
      <c r="A15933" s="12"/>
    </row>
    <row r="15934" spans="1:1" x14ac:dyDescent="0.3">
      <c r="A15934" s="12"/>
    </row>
    <row r="15935" spans="1:1" x14ac:dyDescent="0.3">
      <c r="A15935" s="12"/>
    </row>
    <row r="15936" spans="1:1" x14ac:dyDescent="0.3">
      <c r="A15936" s="12"/>
    </row>
    <row r="15937" spans="1:1" x14ac:dyDescent="0.3">
      <c r="A15937" s="12"/>
    </row>
    <row r="15938" spans="1:1" x14ac:dyDescent="0.3">
      <c r="A15938" s="12"/>
    </row>
    <row r="15939" spans="1:1" x14ac:dyDescent="0.3">
      <c r="A15939" s="12"/>
    </row>
    <row r="15940" spans="1:1" x14ac:dyDescent="0.3">
      <c r="A15940" s="12"/>
    </row>
    <row r="15941" spans="1:1" x14ac:dyDescent="0.3">
      <c r="A15941" s="12"/>
    </row>
    <row r="15942" spans="1:1" x14ac:dyDescent="0.3">
      <c r="A15942" s="12"/>
    </row>
    <row r="15943" spans="1:1" x14ac:dyDescent="0.3">
      <c r="A15943" s="12"/>
    </row>
    <row r="15944" spans="1:1" x14ac:dyDescent="0.3">
      <c r="A15944" s="12"/>
    </row>
    <row r="15945" spans="1:1" x14ac:dyDescent="0.3">
      <c r="A15945" s="12"/>
    </row>
    <row r="15946" spans="1:1" x14ac:dyDescent="0.3">
      <c r="A15946" s="12"/>
    </row>
    <row r="15947" spans="1:1" x14ac:dyDescent="0.3">
      <c r="A15947" s="12"/>
    </row>
    <row r="15948" spans="1:1" x14ac:dyDescent="0.3">
      <c r="A15948" s="12"/>
    </row>
    <row r="15949" spans="1:1" x14ac:dyDescent="0.3">
      <c r="A15949" s="12"/>
    </row>
    <row r="15950" spans="1:1" x14ac:dyDescent="0.3">
      <c r="A15950" s="12"/>
    </row>
    <row r="15951" spans="1:1" x14ac:dyDescent="0.3">
      <c r="A15951" s="12"/>
    </row>
    <row r="15952" spans="1:1" x14ac:dyDescent="0.3">
      <c r="A15952" s="12"/>
    </row>
    <row r="15953" spans="1:1" x14ac:dyDescent="0.3">
      <c r="A15953" s="12"/>
    </row>
    <row r="15954" spans="1:1" x14ac:dyDescent="0.3">
      <c r="A15954" s="12"/>
    </row>
    <row r="15955" spans="1:1" x14ac:dyDescent="0.3">
      <c r="A15955" s="12"/>
    </row>
    <row r="15956" spans="1:1" x14ac:dyDescent="0.3">
      <c r="A15956" s="12"/>
    </row>
    <row r="15957" spans="1:1" x14ac:dyDescent="0.3">
      <c r="A15957" s="12"/>
    </row>
    <row r="15958" spans="1:1" x14ac:dyDescent="0.3">
      <c r="A15958" s="12"/>
    </row>
    <row r="15959" spans="1:1" x14ac:dyDescent="0.3">
      <c r="A15959" s="12"/>
    </row>
    <row r="15960" spans="1:1" x14ac:dyDescent="0.3">
      <c r="A15960" s="12"/>
    </row>
    <row r="15961" spans="1:1" x14ac:dyDescent="0.3">
      <c r="A15961" s="12"/>
    </row>
    <row r="15962" spans="1:1" x14ac:dyDescent="0.3">
      <c r="A15962" s="12"/>
    </row>
    <row r="15963" spans="1:1" x14ac:dyDescent="0.3">
      <c r="A15963" s="12"/>
    </row>
    <row r="15964" spans="1:1" x14ac:dyDescent="0.3">
      <c r="A15964" s="12"/>
    </row>
    <row r="15965" spans="1:1" x14ac:dyDescent="0.3">
      <c r="A15965" s="12"/>
    </row>
    <row r="15966" spans="1:1" x14ac:dyDescent="0.3">
      <c r="A15966" s="12"/>
    </row>
    <row r="15967" spans="1:1" x14ac:dyDescent="0.3">
      <c r="A15967" s="12"/>
    </row>
    <row r="15968" spans="1:1" x14ac:dyDescent="0.3">
      <c r="A15968" s="12"/>
    </row>
    <row r="15969" spans="1:1" x14ac:dyDescent="0.3">
      <c r="A15969" s="12"/>
    </row>
    <row r="15970" spans="1:1" x14ac:dyDescent="0.3">
      <c r="A15970" s="12"/>
    </row>
    <row r="15971" spans="1:1" x14ac:dyDescent="0.3">
      <c r="A15971" s="12"/>
    </row>
    <row r="15972" spans="1:1" x14ac:dyDescent="0.3">
      <c r="A15972" s="12"/>
    </row>
    <row r="15973" spans="1:1" x14ac:dyDescent="0.3">
      <c r="A15973" s="12"/>
    </row>
    <row r="15974" spans="1:1" x14ac:dyDescent="0.3">
      <c r="A15974" s="12"/>
    </row>
    <row r="15975" spans="1:1" x14ac:dyDescent="0.3">
      <c r="A15975" s="12"/>
    </row>
    <row r="15976" spans="1:1" x14ac:dyDescent="0.3">
      <c r="A15976" s="12"/>
    </row>
    <row r="15977" spans="1:1" x14ac:dyDescent="0.3">
      <c r="A15977" s="12"/>
    </row>
    <row r="15978" spans="1:1" x14ac:dyDescent="0.3">
      <c r="A15978" s="12"/>
    </row>
    <row r="15979" spans="1:1" x14ac:dyDescent="0.3">
      <c r="A15979" s="12"/>
    </row>
    <row r="15980" spans="1:1" x14ac:dyDescent="0.3">
      <c r="A15980" s="12"/>
    </row>
    <row r="15981" spans="1:1" x14ac:dyDescent="0.3">
      <c r="A15981" s="12"/>
    </row>
    <row r="15982" spans="1:1" x14ac:dyDescent="0.3">
      <c r="A15982" s="12"/>
    </row>
    <row r="15983" spans="1:1" x14ac:dyDescent="0.3">
      <c r="A15983" s="12"/>
    </row>
    <row r="15984" spans="1:1" x14ac:dyDescent="0.3">
      <c r="A15984" s="12"/>
    </row>
    <row r="15985" spans="1:1" x14ac:dyDescent="0.3">
      <c r="A15985" s="12"/>
    </row>
    <row r="15986" spans="1:1" x14ac:dyDescent="0.3">
      <c r="A15986" s="12"/>
    </row>
    <row r="15987" spans="1:1" x14ac:dyDescent="0.3">
      <c r="A15987" s="12"/>
    </row>
    <row r="15988" spans="1:1" x14ac:dyDescent="0.3">
      <c r="A15988" s="12"/>
    </row>
    <row r="15989" spans="1:1" x14ac:dyDescent="0.3">
      <c r="A15989" s="12"/>
    </row>
    <row r="15990" spans="1:1" x14ac:dyDescent="0.3">
      <c r="A15990" s="12"/>
    </row>
    <row r="15991" spans="1:1" x14ac:dyDescent="0.3">
      <c r="A15991" s="12"/>
    </row>
    <row r="15992" spans="1:1" x14ac:dyDescent="0.3">
      <c r="A15992" s="12"/>
    </row>
    <row r="15993" spans="1:1" x14ac:dyDescent="0.3">
      <c r="A15993" s="12"/>
    </row>
    <row r="15994" spans="1:1" x14ac:dyDescent="0.3">
      <c r="A15994" s="12"/>
    </row>
    <row r="15995" spans="1:1" x14ac:dyDescent="0.3">
      <c r="A15995" s="12"/>
    </row>
    <row r="15996" spans="1:1" x14ac:dyDescent="0.3">
      <c r="A15996" s="12"/>
    </row>
    <row r="15997" spans="1:1" x14ac:dyDescent="0.3">
      <c r="A15997" s="12"/>
    </row>
    <row r="15998" spans="1:1" x14ac:dyDescent="0.3">
      <c r="A15998" s="12"/>
    </row>
    <row r="15999" spans="1:1" x14ac:dyDescent="0.3">
      <c r="A15999" s="12"/>
    </row>
    <row r="16000" spans="1:1" x14ac:dyDescent="0.3">
      <c r="A16000" s="12"/>
    </row>
    <row r="16001" spans="1:1" x14ac:dyDescent="0.3">
      <c r="A16001" s="12"/>
    </row>
    <row r="16002" spans="1:1" x14ac:dyDescent="0.3">
      <c r="A16002" s="12"/>
    </row>
    <row r="16003" spans="1:1" x14ac:dyDescent="0.3">
      <c r="A16003" s="12"/>
    </row>
    <row r="16004" spans="1:1" x14ac:dyDescent="0.3">
      <c r="A16004" s="12"/>
    </row>
    <row r="16005" spans="1:1" x14ac:dyDescent="0.3">
      <c r="A16005" s="12"/>
    </row>
    <row r="16006" spans="1:1" x14ac:dyDescent="0.3">
      <c r="A16006" s="12"/>
    </row>
    <row r="16007" spans="1:1" x14ac:dyDescent="0.3">
      <c r="A16007" s="12"/>
    </row>
    <row r="16008" spans="1:1" x14ac:dyDescent="0.3">
      <c r="A16008" s="12"/>
    </row>
    <row r="16009" spans="1:1" x14ac:dyDescent="0.3">
      <c r="A16009" s="12"/>
    </row>
    <row r="16010" spans="1:1" x14ac:dyDescent="0.3">
      <c r="A16010" s="12"/>
    </row>
    <row r="16011" spans="1:1" x14ac:dyDescent="0.3">
      <c r="A16011" s="12"/>
    </row>
    <row r="16012" spans="1:1" x14ac:dyDescent="0.3">
      <c r="A16012" s="12"/>
    </row>
    <row r="16013" spans="1:1" x14ac:dyDescent="0.3">
      <c r="A16013" s="12"/>
    </row>
    <row r="16014" spans="1:1" x14ac:dyDescent="0.3">
      <c r="A16014" s="12"/>
    </row>
    <row r="16015" spans="1:1" x14ac:dyDescent="0.3">
      <c r="A16015" s="12"/>
    </row>
    <row r="16016" spans="1:1" x14ac:dyDescent="0.3">
      <c r="A16016" s="12"/>
    </row>
    <row r="16017" spans="1:1" x14ac:dyDescent="0.3">
      <c r="A16017" s="12"/>
    </row>
    <row r="16018" spans="1:1" x14ac:dyDescent="0.3">
      <c r="A16018" s="12"/>
    </row>
    <row r="16019" spans="1:1" x14ac:dyDescent="0.3">
      <c r="A16019" s="12"/>
    </row>
    <row r="16020" spans="1:1" x14ac:dyDescent="0.3">
      <c r="A16020" s="12"/>
    </row>
    <row r="16021" spans="1:1" x14ac:dyDescent="0.3">
      <c r="A16021" s="12"/>
    </row>
    <row r="16022" spans="1:1" x14ac:dyDescent="0.3">
      <c r="A16022" s="12"/>
    </row>
    <row r="16023" spans="1:1" x14ac:dyDescent="0.3">
      <c r="A16023" s="12"/>
    </row>
    <row r="16024" spans="1:1" x14ac:dyDescent="0.3">
      <c r="A16024" s="12"/>
    </row>
    <row r="16025" spans="1:1" x14ac:dyDescent="0.3">
      <c r="A16025" s="12"/>
    </row>
    <row r="16026" spans="1:1" x14ac:dyDescent="0.3">
      <c r="A16026" s="12"/>
    </row>
    <row r="16027" spans="1:1" x14ac:dyDescent="0.3">
      <c r="A16027" s="12"/>
    </row>
    <row r="16028" spans="1:1" x14ac:dyDescent="0.3">
      <c r="A16028" s="12"/>
    </row>
    <row r="16029" spans="1:1" x14ac:dyDescent="0.3">
      <c r="A16029" s="12"/>
    </row>
    <row r="16030" spans="1:1" x14ac:dyDescent="0.3">
      <c r="A16030" s="12"/>
    </row>
    <row r="16031" spans="1:1" x14ac:dyDescent="0.3">
      <c r="A16031" s="12"/>
    </row>
    <row r="16032" spans="1:1" x14ac:dyDescent="0.3">
      <c r="A16032" s="12"/>
    </row>
    <row r="16033" spans="1:1" x14ac:dyDescent="0.3">
      <c r="A16033" s="12"/>
    </row>
    <row r="16034" spans="1:1" x14ac:dyDescent="0.3">
      <c r="A16034" s="12"/>
    </row>
    <row r="16035" spans="1:1" x14ac:dyDescent="0.3">
      <c r="A16035" s="12"/>
    </row>
    <row r="16036" spans="1:1" x14ac:dyDescent="0.3">
      <c r="A16036" s="12"/>
    </row>
    <row r="16037" spans="1:1" x14ac:dyDescent="0.3">
      <c r="A16037" s="12"/>
    </row>
    <row r="16038" spans="1:1" x14ac:dyDescent="0.3">
      <c r="A16038" s="12"/>
    </row>
    <row r="16039" spans="1:1" x14ac:dyDescent="0.3">
      <c r="A16039" s="12"/>
    </row>
    <row r="16040" spans="1:1" x14ac:dyDescent="0.3">
      <c r="A16040" s="12"/>
    </row>
    <row r="16041" spans="1:1" x14ac:dyDescent="0.3">
      <c r="A16041" s="12"/>
    </row>
    <row r="16042" spans="1:1" x14ac:dyDescent="0.3">
      <c r="A16042" s="12"/>
    </row>
    <row r="16043" spans="1:1" x14ac:dyDescent="0.3">
      <c r="A16043" s="12"/>
    </row>
    <row r="16044" spans="1:1" x14ac:dyDescent="0.3">
      <c r="A16044" s="12"/>
    </row>
    <row r="16045" spans="1:1" x14ac:dyDescent="0.3">
      <c r="A16045" s="12"/>
    </row>
    <row r="16046" spans="1:1" x14ac:dyDescent="0.3">
      <c r="A16046" s="12"/>
    </row>
    <row r="16047" spans="1:1" x14ac:dyDescent="0.3">
      <c r="A16047" s="12"/>
    </row>
    <row r="16048" spans="1:1" x14ac:dyDescent="0.3">
      <c r="A16048" s="12"/>
    </row>
    <row r="16049" spans="1:1" x14ac:dyDescent="0.3">
      <c r="A16049" s="12"/>
    </row>
    <row r="16050" spans="1:1" x14ac:dyDescent="0.3">
      <c r="A16050" s="12"/>
    </row>
    <row r="16051" spans="1:1" x14ac:dyDescent="0.3">
      <c r="A16051" s="12"/>
    </row>
    <row r="16052" spans="1:1" x14ac:dyDescent="0.3">
      <c r="A16052" s="12"/>
    </row>
    <row r="16053" spans="1:1" x14ac:dyDescent="0.3">
      <c r="A16053" s="12"/>
    </row>
    <row r="16054" spans="1:1" x14ac:dyDescent="0.3">
      <c r="A16054" s="12"/>
    </row>
    <row r="16055" spans="1:1" x14ac:dyDescent="0.3">
      <c r="A16055" s="12"/>
    </row>
    <row r="16056" spans="1:1" x14ac:dyDescent="0.3">
      <c r="A16056" s="12"/>
    </row>
    <row r="16057" spans="1:1" x14ac:dyDescent="0.3">
      <c r="A16057" s="12"/>
    </row>
    <row r="16058" spans="1:1" x14ac:dyDescent="0.3">
      <c r="A16058" s="12"/>
    </row>
    <row r="16059" spans="1:1" x14ac:dyDescent="0.3">
      <c r="A16059" s="12"/>
    </row>
    <row r="16060" spans="1:1" x14ac:dyDescent="0.3">
      <c r="A16060" s="12"/>
    </row>
    <row r="16061" spans="1:1" x14ac:dyDescent="0.3">
      <c r="A16061" s="12"/>
    </row>
    <row r="16062" spans="1:1" x14ac:dyDescent="0.3">
      <c r="A16062" s="12"/>
    </row>
    <row r="16063" spans="1:1" x14ac:dyDescent="0.3">
      <c r="A16063" s="12"/>
    </row>
    <row r="16064" spans="1:1" x14ac:dyDescent="0.3">
      <c r="A16064" s="12"/>
    </row>
    <row r="16065" spans="1:1" x14ac:dyDescent="0.3">
      <c r="A16065" s="12"/>
    </row>
    <row r="16066" spans="1:1" x14ac:dyDescent="0.3">
      <c r="A16066" s="12"/>
    </row>
    <row r="16067" spans="1:1" x14ac:dyDescent="0.3">
      <c r="A16067" s="12"/>
    </row>
    <row r="16068" spans="1:1" x14ac:dyDescent="0.3">
      <c r="A16068" s="12"/>
    </row>
    <row r="16069" spans="1:1" x14ac:dyDescent="0.3">
      <c r="A16069" s="12"/>
    </row>
    <row r="16070" spans="1:1" x14ac:dyDescent="0.3">
      <c r="A16070" s="12"/>
    </row>
    <row r="16071" spans="1:1" x14ac:dyDescent="0.3">
      <c r="A16071" s="12"/>
    </row>
    <row r="16072" spans="1:1" x14ac:dyDescent="0.3">
      <c r="A16072" s="12"/>
    </row>
    <row r="16073" spans="1:1" x14ac:dyDescent="0.3">
      <c r="A16073" s="12"/>
    </row>
    <row r="16074" spans="1:1" x14ac:dyDescent="0.3">
      <c r="A16074" s="12"/>
    </row>
    <row r="16075" spans="1:1" x14ac:dyDescent="0.3">
      <c r="A16075" s="12"/>
    </row>
    <row r="16076" spans="1:1" x14ac:dyDescent="0.3">
      <c r="A16076" s="12"/>
    </row>
    <row r="16077" spans="1:1" x14ac:dyDescent="0.3">
      <c r="A16077" s="12"/>
    </row>
    <row r="16078" spans="1:1" x14ac:dyDescent="0.3">
      <c r="A16078" s="12"/>
    </row>
    <row r="16079" spans="1:1" x14ac:dyDescent="0.3">
      <c r="A16079" s="12"/>
    </row>
    <row r="16080" spans="1:1" x14ac:dyDescent="0.3">
      <c r="A16080" s="12"/>
    </row>
    <row r="16081" spans="1:1" x14ac:dyDescent="0.3">
      <c r="A16081" s="12"/>
    </row>
    <row r="16082" spans="1:1" x14ac:dyDescent="0.3">
      <c r="A16082" s="12"/>
    </row>
    <row r="16083" spans="1:1" x14ac:dyDescent="0.3">
      <c r="A16083" s="12"/>
    </row>
    <row r="16084" spans="1:1" x14ac:dyDescent="0.3">
      <c r="A16084" s="12"/>
    </row>
    <row r="16085" spans="1:1" x14ac:dyDescent="0.3">
      <c r="A16085" s="12"/>
    </row>
    <row r="16086" spans="1:1" x14ac:dyDescent="0.3">
      <c r="A16086" s="12"/>
    </row>
    <row r="16087" spans="1:1" x14ac:dyDescent="0.3">
      <c r="A16087" s="12"/>
    </row>
    <row r="16088" spans="1:1" x14ac:dyDescent="0.3">
      <c r="A16088" s="12"/>
    </row>
    <row r="16089" spans="1:1" x14ac:dyDescent="0.3">
      <c r="A16089" s="12"/>
    </row>
    <row r="16090" spans="1:1" x14ac:dyDescent="0.3">
      <c r="A16090" s="12"/>
    </row>
    <row r="16091" spans="1:1" x14ac:dyDescent="0.3">
      <c r="A16091" s="12"/>
    </row>
    <row r="16092" spans="1:1" x14ac:dyDescent="0.3">
      <c r="A16092" s="12"/>
    </row>
    <row r="16093" spans="1:1" x14ac:dyDescent="0.3">
      <c r="A16093" s="12"/>
    </row>
    <row r="16094" spans="1:1" x14ac:dyDescent="0.3">
      <c r="A16094" s="12"/>
    </row>
    <row r="16095" spans="1:1" x14ac:dyDescent="0.3">
      <c r="A16095" s="12"/>
    </row>
    <row r="16096" spans="1:1" x14ac:dyDescent="0.3">
      <c r="A16096" s="12"/>
    </row>
    <row r="16097" spans="1:1" x14ac:dyDescent="0.3">
      <c r="A16097" s="12"/>
    </row>
    <row r="16098" spans="1:1" x14ac:dyDescent="0.3">
      <c r="A16098" s="12"/>
    </row>
    <row r="16099" spans="1:1" x14ac:dyDescent="0.3">
      <c r="A16099" s="12"/>
    </row>
    <row r="16100" spans="1:1" x14ac:dyDescent="0.3">
      <c r="A16100" s="12"/>
    </row>
    <row r="16101" spans="1:1" x14ac:dyDescent="0.3">
      <c r="A16101" s="12"/>
    </row>
    <row r="16102" spans="1:1" x14ac:dyDescent="0.3">
      <c r="A16102" s="12"/>
    </row>
    <row r="16103" spans="1:1" x14ac:dyDescent="0.3">
      <c r="A16103" s="12"/>
    </row>
    <row r="16104" spans="1:1" x14ac:dyDescent="0.3">
      <c r="A16104" s="12"/>
    </row>
    <row r="16105" spans="1:1" x14ac:dyDescent="0.3">
      <c r="A16105" s="12"/>
    </row>
    <row r="16106" spans="1:1" x14ac:dyDescent="0.3">
      <c r="A16106" s="12"/>
    </row>
    <row r="16107" spans="1:1" x14ac:dyDescent="0.3">
      <c r="A16107" s="12"/>
    </row>
    <row r="16108" spans="1:1" x14ac:dyDescent="0.3">
      <c r="A16108" s="12"/>
    </row>
    <row r="16109" spans="1:1" x14ac:dyDescent="0.3">
      <c r="A16109" s="12"/>
    </row>
    <row r="16110" spans="1:1" x14ac:dyDescent="0.3">
      <c r="A16110" s="12"/>
    </row>
    <row r="16111" spans="1:1" x14ac:dyDescent="0.3">
      <c r="A16111" s="12"/>
    </row>
    <row r="16112" spans="1:1" x14ac:dyDescent="0.3">
      <c r="A16112" s="12"/>
    </row>
    <row r="16113" spans="1:1" x14ac:dyDescent="0.3">
      <c r="A16113" s="12"/>
    </row>
    <row r="16114" spans="1:1" x14ac:dyDescent="0.3">
      <c r="A16114" s="12"/>
    </row>
    <row r="16115" spans="1:1" x14ac:dyDescent="0.3">
      <c r="A16115" s="12"/>
    </row>
    <row r="16116" spans="1:1" x14ac:dyDescent="0.3">
      <c r="A16116" s="12"/>
    </row>
    <row r="16117" spans="1:1" x14ac:dyDescent="0.3">
      <c r="A16117" s="12"/>
    </row>
    <row r="16118" spans="1:1" x14ac:dyDescent="0.3">
      <c r="A16118" s="12"/>
    </row>
    <row r="16119" spans="1:1" x14ac:dyDescent="0.3">
      <c r="A16119" s="12"/>
    </row>
    <row r="16120" spans="1:1" x14ac:dyDescent="0.3">
      <c r="A16120" s="12"/>
    </row>
    <row r="16121" spans="1:1" x14ac:dyDescent="0.3">
      <c r="A16121" s="12"/>
    </row>
    <row r="16122" spans="1:1" x14ac:dyDescent="0.3">
      <c r="A16122" s="12"/>
    </row>
    <row r="16123" spans="1:1" x14ac:dyDescent="0.3">
      <c r="A16123" s="12"/>
    </row>
    <row r="16124" spans="1:1" x14ac:dyDescent="0.3">
      <c r="A16124" s="12"/>
    </row>
    <row r="16125" spans="1:1" x14ac:dyDescent="0.3">
      <c r="A16125" s="12"/>
    </row>
    <row r="16126" spans="1:1" x14ac:dyDescent="0.3">
      <c r="A16126" s="12"/>
    </row>
    <row r="16127" spans="1:1" x14ac:dyDescent="0.3">
      <c r="A16127" s="12"/>
    </row>
    <row r="16128" spans="1:1" x14ac:dyDescent="0.3">
      <c r="A16128" s="12"/>
    </row>
    <row r="16129" spans="1:1" x14ac:dyDescent="0.3">
      <c r="A16129" s="12"/>
    </row>
    <row r="16130" spans="1:1" x14ac:dyDescent="0.3">
      <c r="A16130" s="12"/>
    </row>
    <row r="16131" spans="1:1" x14ac:dyDescent="0.3">
      <c r="A16131" s="12"/>
    </row>
    <row r="16132" spans="1:1" x14ac:dyDescent="0.3">
      <c r="A16132" s="12"/>
    </row>
    <row r="16133" spans="1:1" x14ac:dyDescent="0.3">
      <c r="A16133" s="12"/>
    </row>
    <row r="16134" spans="1:1" x14ac:dyDescent="0.3">
      <c r="A16134" s="12"/>
    </row>
    <row r="16135" spans="1:1" x14ac:dyDescent="0.3">
      <c r="A16135" s="12"/>
    </row>
    <row r="16136" spans="1:1" x14ac:dyDescent="0.3">
      <c r="A16136" s="12"/>
    </row>
    <row r="16137" spans="1:1" x14ac:dyDescent="0.3">
      <c r="A16137" s="12"/>
    </row>
    <row r="16138" spans="1:1" x14ac:dyDescent="0.3">
      <c r="A16138" s="12"/>
    </row>
    <row r="16139" spans="1:1" x14ac:dyDescent="0.3">
      <c r="A16139" s="12"/>
    </row>
    <row r="16140" spans="1:1" x14ac:dyDescent="0.3">
      <c r="A16140" s="12"/>
    </row>
    <row r="16141" spans="1:1" x14ac:dyDescent="0.3">
      <c r="A16141" s="12"/>
    </row>
    <row r="16142" spans="1:1" x14ac:dyDescent="0.3">
      <c r="A16142" s="12"/>
    </row>
    <row r="16143" spans="1:1" x14ac:dyDescent="0.3">
      <c r="A16143" s="12"/>
    </row>
    <row r="16144" spans="1:1" x14ac:dyDescent="0.3">
      <c r="A16144" s="12"/>
    </row>
    <row r="16145" spans="1:1" x14ac:dyDescent="0.3">
      <c r="A16145" s="12"/>
    </row>
    <row r="16146" spans="1:1" x14ac:dyDescent="0.3">
      <c r="A16146" s="12"/>
    </row>
    <row r="16147" spans="1:1" x14ac:dyDescent="0.3">
      <c r="A16147" s="12"/>
    </row>
    <row r="16148" spans="1:1" x14ac:dyDescent="0.3">
      <c r="A16148" s="12"/>
    </row>
    <row r="16149" spans="1:1" x14ac:dyDescent="0.3">
      <c r="A16149" s="12"/>
    </row>
    <row r="16150" spans="1:1" x14ac:dyDescent="0.3">
      <c r="A16150" s="12"/>
    </row>
    <row r="16151" spans="1:1" x14ac:dyDescent="0.3">
      <c r="A16151" s="12"/>
    </row>
    <row r="16152" spans="1:1" x14ac:dyDescent="0.3">
      <c r="A16152" s="12"/>
    </row>
    <row r="16153" spans="1:1" x14ac:dyDescent="0.3">
      <c r="A16153" s="12"/>
    </row>
    <row r="16154" spans="1:1" x14ac:dyDescent="0.3">
      <c r="A16154" s="12"/>
    </row>
    <row r="16155" spans="1:1" x14ac:dyDescent="0.3">
      <c r="A16155" s="12"/>
    </row>
    <row r="16156" spans="1:1" x14ac:dyDescent="0.3">
      <c r="A16156" s="12"/>
    </row>
    <row r="16157" spans="1:1" x14ac:dyDescent="0.3">
      <c r="A16157" s="12"/>
    </row>
    <row r="16158" spans="1:1" x14ac:dyDescent="0.3">
      <c r="A16158" s="12"/>
    </row>
    <row r="16159" spans="1:1" x14ac:dyDescent="0.3">
      <c r="A16159" s="12"/>
    </row>
    <row r="16160" spans="1:1" x14ac:dyDescent="0.3">
      <c r="A16160" s="12"/>
    </row>
    <row r="16161" spans="1:1" x14ac:dyDescent="0.3">
      <c r="A16161" s="12"/>
    </row>
    <row r="16162" spans="1:1" x14ac:dyDescent="0.3">
      <c r="A16162" s="12"/>
    </row>
    <row r="16163" spans="1:1" x14ac:dyDescent="0.3">
      <c r="A16163" s="12"/>
    </row>
    <row r="16164" spans="1:1" x14ac:dyDescent="0.3">
      <c r="A16164" s="12"/>
    </row>
    <row r="16165" spans="1:1" x14ac:dyDescent="0.3">
      <c r="A16165" s="12"/>
    </row>
    <row r="16166" spans="1:1" x14ac:dyDescent="0.3">
      <c r="A16166" s="12"/>
    </row>
    <row r="16167" spans="1:1" x14ac:dyDescent="0.3">
      <c r="A16167" s="12"/>
    </row>
    <row r="16168" spans="1:1" x14ac:dyDescent="0.3">
      <c r="A16168" s="12"/>
    </row>
    <row r="16169" spans="1:1" x14ac:dyDescent="0.3">
      <c r="A16169" s="12"/>
    </row>
    <row r="16170" spans="1:1" x14ac:dyDescent="0.3">
      <c r="A16170" s="12"/>
    </row>
    <row r="16171" spans="1:1" x14ac:dyDescent="0.3">
      <c r="A16171" s="12"/>
    </row>
    <row r="16172" spans="1:1" x14ac:dyDescent="0.3">
      <c r="A16172" s="12"/>
    </row>
    <row r="16173" spans="1:1" x14ac:dyDescent="0.3">
      <c r="A16173" s="12"/>
    </row>
    <row r="16174" spans="1:1" x14ac:dyDescent="0.3">
      <c r="A16174" s="12"/>
    </row>
    <row r="16175" spans="1:1" x14ac:dyDescent="0.3">
      <c r="A16175" s="12"/>
    </row>
    <row r="16176" spans="1:1" x14ac:dyDescent="0.3">
      <c r="A16176" s="12"/>
    </row>
    <row r="16177" spans="1:1" x14ac:dyDescent="0.3">
      <c r="A16177" s="12"/>
    </row>
    <row r="16178" spans="1:1" x14ac:dyDescent="0.3">
      <c r="A16178" s="12"/>
    </row>
    <row r="16179" spans="1:1" x14ac:dyDescent="0.3">
      <c r="A16179" s="12"/>
    </row>
    <row r="16180" spans="1:1" x14ac:dyDescent="0.3">
      <c r="A16180" s="12"/>
    </row>
    <row r="16181" spans="1:1" x14ac:dyDescent="0.3">
      <c r="A16181" s="12"/>
    </row>
    <row r="16182" spans="1:1" x14ac:dyDescent="0.3">
      <c r="A16182" s="12"/>
    </row>
    <row r="16183" spans="1:1" x14ac:dyDescent="0.3">
      <c r="A16183" s="12"/>
    </row>
    <row r="16184" spans="1:1" x14ac:dyDescent="0.3">
      <c r="A16184" s="12"/>
    </row>
    <row r="16185" spans="1:1" x14ac:dyDescent="0.3">
      <c r="A16185" s="12"/>
    </row>
    <row r="16186" spans="1:1" x14ac:dyDescent="0.3">
      <c r="A16186" s="12"/>
    </row>
    <row r="16187" spans="1:1" x14ac:dyDescent="0.3">
      <c r="A16187" s="12"/>
    </row>
    <row r="16188" spans="1:1" x14ac:dyDescent="0.3">
      <c r="A16188" s="12"/>
    </row>
    <row r="16189" spans="1:1" x14ac:dyDescent="0.3">
      <c r="A16189" s="12"/>
    </row>
    <row r="16190" spans="1:1" x14ac:dyDescent="0.3">
      <c r="A16190" s="12"/>
    </row>
    <row r="16191" spans="1:1" x14ac:dyDescent="0.3">
      <c r="A16191" s="12"/>
    </row>
    <row r="16192" spans="1:1" x14ac:dyDescent="0.3">
      <c r="A16192" s="12"/>
    </row>
    <row r="16193" spans="1:1" x14ac:dyDescent="0.3">
      <c r="A16193" s="12"/>
    </row>
    <row r="16194" spans="1:1" x14ac:dyDescent="0.3">
      <c r="A16194" s="12"/>
    </row>
    <row r="16195" spans="1:1" x14ac:dyDescent="0.3">
      <c r="A16195" s="12"/>
    </row>
    <row r="16196" spans="1:1" x14ac:dyDescent="0.3">
      <c r="A16196" s="12"/>
    </row>
    <row r="16197" spans="1:1" x14ac:dyDescent="0.3">
      <c r="A16197" s="12"/>
    </row>
    <row r="16198" spans="1:1" x14ac:dyDescent="0.3">
      <c r="A16198" s="12"/>
    </row>
    <row r="16199" spans="1:1" x14ac:dyDescent="0.3">
      <c r="A16199" s="12"/>
    </row>
    <row r="16200" spans="1:1" x14ac:dyDescent="0.3">
      <c r="A16200" s="12"/>
    </row>
    <row r="16201" spans="1:1" x14ac:dyDescent="0.3">
      <c r="A16201" s="12"/>
    </row>
    <row r="16202" spans="1:1" x14ac:dyDescent="0.3">
      <c r="A16202" s="12"/>
    </row>
    <row r="16203" spans="1:1" x14ac:dyDescent="0.3">
      <c r="A16203" s="12"/>
    </row>
    <row r="16204" spans="1:1" x14ac:dyDescent="0.3">
      <c r="A16204" s="12"/>
    </row>
    <row r="16205" spans="1:1" x14ac:dyDescent="0.3">
      <c r="A16205" s="12"/>
    </row>
    <row r="16206" spans="1:1" x14ac:dyDescent="0.3">
      <c r="A16206" s="12"/>
    </row>
    <row r="16207" spans="1:1" x14ac:dyDescent="0.3">
      <c r="A16207" s="12"/>
    </row>
    <row r="16208" spans="1:1" x14ac:dyDescent="0.3">
      <c r="A16208" s="12"/>
    </row>
    <row r="16209" spans="1:1" x14ac:dyDescent="0.3">
      <c r="A16209" s="12"/>
    </row>
    <row r="16210" spans="1:1" x14ac:dyDescent="0.3">
      <c r="A16210" s="12"/>
    </row>
    <row r="16211" spans="1:1" x14ac:dyDescent="0.3">
      <c r="A16211" s="12"/>
    </row>
    <row r="16212" spans="1:1" x14ac:dyDescent="0.3">
      <c r="A16212" s="12"/>
    </row>
    <row r="16213" spans="1:1" x14ac:dyDescent="0.3">
      <c r="A16213" s="12"/>
    </row>
    <row r="16214" spans="1:1" x14ac:dyDescent="0.3">
      <c r="A16214" s="12"/>
    </row>
    <row r="16215" spans="1:1" x14ac:dyDescent="0.3">
      <c r="A16215" s="12"/>
    </row>
    <row r="16216" spans="1:1" x14ac:dyDescent="0.3">
      <c r="A16216" s="12"/>
    </row>
    <row r="16217" spans="1:1" x14ac:dyDescent="0.3">
      <c r="A16217" s="12"/>
    </row>
    <row r="16218" spans="1:1" x14ac:dyDescent="0.3">
      <c r="A16218" s="12"/>
    </row>
    <row r="16219" spans="1:1" x14ac:dyDescent="0.3">
      <c r="A16219" s="12"/>
    </row>
    <row r="16220" spans="1:1" x14ac:dyDescent="0.3">
      <c r="A16220" s="12"/>
    </row>
    <row r="16221" spans="1:1" x14ac:dyDescent="0.3">
      <c r="A16221" s="12"/>
    </row>
    <row r="16222" spans="1:1" x14ac:dyDescent="0.3">
      <c r="A16222" s="12"/>
    </row>
    <row r="16223" spans="1:1" x14ac:dyDescent="0.3">
      <c r="A16223" s="12"/>
    </row>
    <row r="16224" spans="1:1" x14ac:dyDescent="0.3">
      <c r="A16224" s="12"/>
    </row>
    <row r="16225" spans="1:1" x14ac:dyDescent="0.3">
      <c r="A16225" s="12"/>
    </row>
    <row r="16226" spans="1:1" x14ac:dyDescent="0.3">
      <c r="A16226" s="12"/>
    </row>
    <row r="16227" spans="1:1" x14ac:dyDescent="0.3">
      <c r="A16227" s="12"/>
    </row>
    <row r="16228" spans="1:1" x14ac:dyDescent="0.3">
      <c r="A16228" s="12"/>
    </row>
    <row r="16229" spans="1:1" x14ac:dyDescent="0.3">
      <c r="A16229" s="12"/>
    </row>
    <row r="16230" spans="1:1" x14ac:dyDescent="0.3">
      <c r="A16230" s="12"/>
    </row>
    <row r="16231" spans="1:1" x14ac:dyDescent="0.3">
      <c r="A16231" s="12"/>
    </row>
    <row r="16232" spans="1:1" x14ac:dyDescent="0.3">
      <c r="A16232" s="12"/>
    </row>
    <row r="16233" spans="1:1" x14ac:dyDescent="0.3">
      <c r="A16233" s="12"/>
    </row>
    <row r="16234" spans="1:1" x14ac:dyDescent="0.3">
      <c r="A16234" s="12"/>
    </row>
    <row r="16235" spans="1:1" x14ac:dyDescent="0.3">
      <c r="A16235" s="12"/>
    </row>
    <row r="16236" spans="1:1" x14ac:dyDescent="0.3">
      <c r="A16236" s="12"/>
    </row>
    <row r="16237" spans="1:1" x14ac:dyDescent="0.3">
      <c r="A16237" s="12"/>
    </row>
    <row r="16238" spans="1:1" x14ac:dyDescent="0.3">
      <c r="A16238" s="12"/>
    </row>
    <row r="16239" spans="1:1" x14ac:dyDescent="0.3">
      <c r="A16239" s="12"/>
    </row>
    <row r="16240" spans="1:1" x14ac:dyDescent="0.3">
      <c r="A16240" s="12"/>
    </row>
    <row r="16241" spans="1:1" x14ac:dyDescent="0.3">
      <c r="A16241" s="12"/>
    </row>
    <row r="16242" spans="1:1" x14ac:dyDescent="0.3">
      <c r="A16242" s="12"/>
    </row>
    <row r="16243" spans="1:1" x14ac:dyDescent="0.3">
      <c r="A16243" s="12"/>
    </row>
    <row r="16244" spans="1:1" x14ac:dyDescent="0.3">
      <c r="A16244" s="12"/>
    </row>
    <row r="16245" spans="1:1" x14ac:dyDescent="0.3">
      <c r="A16245" s="12"/>
    </row>
    <row r="16246" spans="1:1" x14ac:dyDescent="0.3">
      <c r="A16246" s="12"/>
    </row>
    <row r="16247" spans="1:1" x14ac:dyDescent="0.3">
      <c r="A16247" s="12"/>
    </row>
    <row r="16248" spans="1:1" x14ac:dyDescent="0.3">
      <c r="A16248" s="12"/>
    </row>
    <row r="16249" spans="1:1" x14ac:dyDescent="0.3">
      <c r="A16249" s="12"/>
    </row>
    <row r="16250" spans="1:1" x14ac:dyDescent="0.3">
      <c r="A16250" s="12"/>
    </row>
    <row r="16251" spans="1:1" x14ac:dyDescent="0.3">
      <c r="A16251" s="12"/>
    </row>
    <row r="16252" spans="1:1" x14ac:dyDescent="0.3">
      <c r="A16252" s="12"/>
    </row>
    <row r="16253" spans="1:1" x14ac:dyDescent="0.3">
      <c r="A16253" s="12"/>
    </row>
    <row r="16254" spans="1:1" x14ac:dyDescent="0.3">
      <c r="A16254" s="12"/>
    </row>
    <row r="16255" spans="1:1" x14ac:dyDescent="0.3">
      <c r="A16255" s="12"/>
    </row>
    <row r="16256" spans="1:1" x14ac:dyDescent="0.3">
      <c r="A16256" s="12"/>
    </row>
    <row r="16257" spans="1:1" x14ac:dyDescent="0.3">
      <c r="A16257" s="12"/>
    </row>
    <row r="16258" spans="1:1" x14ac:dyDescent="0.3">
      <c r="A16258" s="12"/>
    </row>
    <row r="16259" spans="1:1" x14ac:dyDescent="0.3">
      <c r="A16259" s="12"/>
    </row>
    <row r="16260" spans="1:1" x14ac:dyDescent="0.3">
      <c r="A16260" s="12"/>
    </row>
    <row r="16261" spans="1:1" x14ac:dyDescent="0.3">
      <c r="A16261" s="12"/>
    </row>
    <row r="16262" spans="1:1" x14ac:dyDescent="0.3">
      <c r="A16262" s="12"/>
    </row>
    <row r="16263" spans="1:1" x14ac:dyDescent="0.3">
      <c r="A16263" s="12"/>
    </row>
    <row r="16264" spans="1:1" x14ac:dyDescent="0.3">
      <c r="A16264" s="12"/>
    </row>
    <row r="16265" spans="1:1" x14ac:dyDescent="0.3">
      <c r="A16265" s="12"/>
    </row>
    <row r="16266" spans="1:1" x14ac:dyDescent="0.3">
      <c r="A16266" s="12"/>
    </row>
    <row r="16267" spans="1:1" x14ac:dyDescent="0.3">
      <c r="A16267" s="12"/>
    </row>
    <row r="16268" spans="1:1" x14ac:dyDescent="0.3">
      <c r="A16268" s="12"/>
    </row>
    <row r="16269" spans="1:1" x14ac:dyDescent="0.3">
      <c r="A16269" s="12"/>
    </row>
    <row r="16270" spans="1:1" x14ac:dyDescent="0.3">
      <c r="A16270" s="12"/>
    </row>
    <row r="16271" spans="1:1" x14ac:dyDescent="0.3">
      <c r="A16271" s="12"/>
    </row>
    <row r="16272" spans="1:1" x14ac:dyDescent="0.3">
      <c r="A16272" s="12"/>
    </row>
    <row r="16273" spans="1:1" x14ac:dyDescent="0.3">
      <c r="A16273" s="12"/>
    </row>
    <row r="16274" spans="1:1" x14ac:dyDescent="0.3">
      <c r="A16274" s="12"/>
    </row>
    <row r="16275" spans="1:1" x14ac:dyDescent="0.3">
      <c r="A16275" s="12"/>
    </row>
    <row r="16276" spans="1:1" x14ac:dyDescent="0.3">
      <c r="A16276" s="12"/>
    </row>
    <row r="16277" spans="1:1" x14ac:dyDescent="0.3">
      <c r="A16277" s="12"/>
    </row>
    <row r="16278" spans="1:1" x14ac:dyDescent="0.3">
      <c r="A16278" s="12"/>
    </row>
    <row r="16279" spans="1:1" x14ac:dyDescent="0.3">
      <c r="A16279" s="12"/>
    </row>
    <row r="16280" spans="1:1" x14ac:dyDescent="0.3">
      <c r="A16280" s="12"/>
    </row>
    <row r="16281" spans="1:1" x14ac:dyDescent="0.3">
      <c r="A16281" s="12"/>
    </row>
    <row r="16282" spans="1:1" x14ac:dyDescent="0.3">
      <c r="A16282" s="12"/>
    </row>
    <row r="16283" spans="1:1" x14ac:dyDescent="0.3">
      <c r="A16283" s="12"/>
    </row>
    <row r="16284" spans="1:1" x14ac:dyDescent="0.3">
      <c r="A16284" s="12"/>
    </row>
    <row r="16285" spans="1:1" x14ac:dyDescent="0.3">
      <c r="A16285" s="12"/>
    </row>
    <row r="16286" spans="1:1" x14ac:dyDescent="0.3">
      <c r="A16286" s="12"/>
    </row>
    <row r="16287" spans="1:1" x14ac:dyDescent="0.3">
      <c r="A16287" s="12"/>
    </row>
    <row r="16288" spans="1:1" x14ac:dyDescent="0.3">
      <c r="A16288" s="12"/>
    </row>
    <row r="16289" spans="1:1" x14ac:dyDescent="0.3">
      <c r="A16289" s="12"/>
    </row>
    <row r="16290" spans="1:1" x14ac:dyDescent="0.3">
      <c r="A16290" s="12"/>
    </row>
    <row r="16291" spans="1:1" x14ac:dyDescent="0.3">
      <c r="A16291" s="12"/>
    </row>
    <row r="16292" spans="1:1" x14ac:dyDescent="0.3">
      <c r="A16292" s="12"/>
    </row>
    <row r="16293" spans="1:1" x14ac:dyDescent="0.3">
      <c r="A16293" s="12"/>
    </row>
    <row r="16294" spans="1:1" x14ac:dyDescent="0.3">
      <c r="A16294" s="12"/>
    </row>
    <row r="16295" spans="1:1" x14ac:dyDescent="0.3">
      <c r="A16295" s="12"/>
    </row>
    <row r="16296" spans="1:1" x14ac:dyDescent="0.3">
      <c r="A16296" s="12"/>
    </row>
    <row r="16297" spans="1:1" x14ac:dyDescent="0.3">
      <c r="A16297" s="12"/>
    </row>
    <row r="16298" spans="1:1" x14ac:dyDescent="0.3">
      <c r="A16298" s="12"/>
    </row>
    <row r="16299" spans="1:1" x14ac:dyDescent="0.3">
      <c r="A16299" s="12"/>
    </row>
    <row r="16300" spans="1:1" x14ac:dyDescent="0.3">
      <c r="A16300" s="12"/>
    </row>
    <row r="16301" spans="1:1" x14ac:dyDescent="0.3">
      <c r="A16301" s="12"/>
    </row>
    <row r="16302" spans="1:1" x14ac:dyDescent="0.3">
      <c r="A16302" s="12"/>
    </row>
    <row r="16303" spans="1:1" x14ac:dyDescent="0.3">
      <c r="A16303" s="12"/>
    </row>
    <row r="16304" spans="1:1" x14ac:dyDescent="0.3">
      <c r="A16304" s="12"/>
    </row>
    <row r="16305" spans="1:1" x14ac:dyDescent="0.3">
      <c r="A16305" s="12"/>
    </row>
    <row r="16306" spans="1:1" x14ac:dyDescent="0.3">
      <c r="A16306" s="12"/>
    </row>
    <row r="16307" spans="1:1" x14ac:dyDescent="0.3">
      <c r="A16307" s="12"/>
    </row>
    <row r="16308" spans="1:1" x14ac:dyDescent="0.3">
      <c r="A16308" s="12"/>
    </row>
    <row r="16309" spans="1:1" x14ac:dyDescent="0.3">
      <c r="A16309" s="12"/>
    </row>
    <row r="16310" spans="1:1" x14ac:dyDescent="0.3">
      <c r="A16310" s="12"/>
    </row>
    <row r="16311" spans="1:1" x14ac:dyDescent="0.3">
      <c r="A16311" s="12"/>
    </row>
    <row r="16312" spans="1:1" x14ac:dyDescent="0.3">
      <c r="A16312" s="12"/>
    </row>
    <row r="16313" spans="1:1" x14ac:dyDescent="0.3">
      <c r="A16313" s="12"/>
    </row>
    <row r="16314" spans="1:1" x14ac:dyDescent="0.3">
      <c r="A16314" s="12"/>
    </row>
    <row r="16315" spans="1:1" x14ac:dyDescent="0.3">
      <c r="A16315" s="12"/>
    </row>
    <row r="16316" spans="1:1" x14ac:dyDescent="0.3">
      <c r="A16316" s="12"/>
    </row>
    <row r="16317" spans="1:1" x14ac:dyDescent="0.3">
      <c r="A16317" s="12"/>
    </row>
    <row r="16318" spans="1:1" x14ac:dyDescent="0.3">
      <c r="A16318" s="12"/>
    </row>
    <row r="16319" spans="1:1" x14ac:dyDescent="0.3">
      <c r="A16319" s="12"/>
    </row>
    <row r="16320" spans="1:1" x14ac:dyDescent="0.3">
      <c r="A16320" s="12"/>
    </row>
    <row r="16321" spans="1:1" x14ac:dyDescent="0.3">
      <c r="A16321" s="12"/>
    </row>
    <row r="16322" spans="1:1" x14ac:dyDescent="0.3">
      <c r="A16322" s="12"/>
    </row>
    <row r="16323" spans="1:1" x14ac:dyDescent="0.3">
      <c r="A16323" s="12"/>
    </row>
    <row r="16324" spans="1:1" x14ac:dyDescent="0.3">
      <c r="A16324" s="12"/>
    </row>
    <row r="16325" spans="1:1" x14ac:dyDescent="0.3">
      <c r="A16325" s="12"/>
    </row>
    <row r="16326" spans="1:1" x14ac:dyDescent="0.3">
      <c r="A16326" s="12"/>
    </row>
    <row r="16327" spans="1:1" x14ac:dyDescent="0.3">
      <c r="A16327" s="12"/>
    </row>
    <row r="16328" spans="1:1" x14ac:dyDescent="0.3">
      <c r="A16328" s="12"/>
    </row>
    <row r="16329" spans="1:1" x14ac:dyDescent="0.3">
      <c r="A16329" s="12"/>
    </row>
    <row r="16330" spans="1:1" x14ac:dyDescent="0.3">
      <c r="A16330" s="12"/>
    </row>
    <row r="16331" spans="1:1" x14ac:dyDescent="0.3">
      <c r="A16331" s="12"/>
    </row>
    <row r="16332" spans="1:1" x14ac:dyDescent="0.3">
      <c r="A16332" s="12"/>
    </row>
    <row r="16333" spans="1:1" x14ac:dyDescent="0.3">
      <c r="A16333" s="12"/>
    </row>
    <row r="16334" spans="1:1" x14ac:dyDescent="0.3">
      <c r="A16334" s="12"/>
    </row>
    <row r="16335" spans="1:1" x14ac:dyDescent="0.3">
      <c r="A16335" s="12"/>
    </row>
    <row r="16336" spans="1:1" x14ac:dyDescent="0.3">
      <c r="A16336" s="12"/>
    </row>
    <row r="16337" spans="1:1" x14ac:dyDescent="0.3">
      <c r="A16337" s="12"/>
    </row>
    <row r="16338" spans="1:1" x14ac:dyDescent="0.3">
      <c r="A16338" s="12"/>
    </row>
    <row r="16339" spans="1:1" x14ac:dyDescent="0.3">
      <c r="A16339" s="12"/>
    </row>
    <row r="16340" spans="1:1" x14ac:dyDescent="0.3">
      <c r="A16340" s="12"/>
    </row>
    <row r="16341" spans="1:1" x14ac:dyDescent="0.3">
      <c r="A16341" s="12"/>
    </row>
    <row r="16342" spans="1:1" x14ac:dyDescent="0.3">
      <c r="A16342" s="12"/>
    </row>
    <row r="16343" spans="1:1" x14ac:dyDescent="0.3">
      <c r="A16343" s="12"/>
    </row>
    <row r="16344" spans="1:1" x14ac:dyDescent="0.3">
      <c r="A16344" s="12"/>
    </row>
    <row r="16345" spans="1:1" x14ac:dyDescent="0.3">
      <c r="A16345" s="12"/>
    </row>
    <row r="16346" spans="1:1" x14ac:dyDescent="0.3">
      <c r="A16346" s="12"/>
    </row>
    <row r="16347" spans="1:1" x14ac:dyDescent="0.3">
      <c r="A16347" s="12"/>
    </row>
    <row r="16348" spans="1:1" x14ac:dyDescent="0.3">
      <c r="A16348" s="12"/>
    </row>
    <row r="16349" spans="1:1" x14ac:dyDescent="0.3">
      <c r="A16349" s="12"/>
    </row>
    <row r="16350" spans="1:1" x14ac:dyDescent="0.3">
      <c r="A16350" s="12"/>
    </row>
    <row r="16351" spans="1:1" x14ac:dyDescent="0.3">
      <c r="A16351" s="12"/>
    </row>
    <row r="16352" spans="1:1" x14ac:dyDescent="0.3">
      <c r="A16352" s="12"/>
    </row>
    <row r="16353" spans="1:1" x14ac:dyDescent="0.3">
      <c r="A16353" s="12"/>
    </row>
    <row r="16354" spans="1:1" x14ac:dyDescent="0.3">
      <c r="A16354" s="12"/>
    </row>
    <row r="16355" spans="1:1" x14ac:dyDescent="0.3">
      <c r="A16355" s="12"/>
    </row>
    <row r="16356" spans="1:1" x14ac:dyDescent="0.3">
      <c r="A16356" s="12"/>
    </row>
    <row r="16357" spans="1:1" x14ac:dyDescent="0.3">
      <c r="A16357" s="12"/>
    </row>
    <row r="16358" spans="1:1" x14ac:dyDescent="0.3">
      <c r="A16358" s="12"/>
    </row>
    <row r="16359" spans="1:1" x14ac:dyDescent="0.3">
      <c r="A16359" s="12"/>
    </row>
    <row r="16360" spans="1:1" x14ac:dyDescent="0.3">
      <c r="A16360" s="12"/>
    </row>
    <row r="16361" spans="1:1" x14ac:dyDescent="0.3">
      <c r="A16361" s="12"/>
    </row>
    <row r="16362" spans="1:1" x14ac:dyDescent="0.3">
      <c r="A16362" s="12"/>
    </row>
    <row r="16363" spans="1:1" x14ac:dyDescent="0.3">
      <c r="A16363" s="12"/>
    </row>
    <row r="16364" spans="1:1" x14ac:dyDescent="0.3">
      <c r="A16364" s="12"/>
    </row>
    <row r="16365" spans="1:1" x14ac:dyDescent="0.3">
      <c r="A16365" s="12"/>
    </row>
    <row r="16366" spans="1:1" x14ac:dyDescent="0.3">
      <c r="A16366" s="12"/>
    </row>
    <row r="16367" spans="1:1" x14ac:dyDescent="0.3">
      <c r="A16367" s="12"/>
    </row>
    <row r="16368" spans="1:1" x14ac:dyDescent="0.3">
      <c r="A16368" s="12"/>
    </row>
    <row r="16369" spans="1:1" x14ac:dyDescent="0.3">
      <c r="A16369" s="12"/>
    </row>
    <row r="16370" spans="1:1" x14ac:dyDescent="0.3">
      <c r="A16370" s="12"/>
    </row>
    <row r="16371" spans="1:1" x14ac:dyDescent="0.3">
      <c r="A16371" s="12"/>
    </row>
    <row r="16372" spans="1:1" x14ac:dyDescent="0.3">
      <c r="A16372" s="12"/>
    </row>
    <row r="16373" spans="1:1" x14ac:dyDescent="0.3">
      <c r="A16373" s="12"/>
    </row>
    <row r="16374" spans="1:1" x14ac:dyDescent="0.3">
      <c r="A16374" s="12"/>
    </row>
    <row r="16375" spans="1:1" x14ac:dyDescent="0.3">
      <c r="A16375" s="12"/>
    </row>
    <row r="16376" spans="1:1" x14ac:dyDescent="0.3">
      <c r="A16376" s="12"/>
    </row>
    <row r="16377" spans="1:1" x14ac:dyDescent="0.3">
      <c r="A16377" s="12"/>
    </row>
    <row r="16378" spans="1:1" x14ac:dyDescent="0.3">
      <c r="A16378" s="12"/>
    </row>
    <row r="16379" spans="1:1" x14ac:dyDescent="0.3">
      <c r="A16379" s="12"/>
    </row>
    <row r="16380" spans="1:1" x14ac:dyDescent="0.3">
      <c r="A16380" s="12"/>
    </row>
    <row r="16381" spans="1:1" x14ac:dyDescent="0.3">
      <c r="A16381" s="12"/>
    </row>
    <row r="16382" spans="1:1" x14ac:dyDescent="0.3">
      <c r="A16382" s="12"/>
    </row>
    <row r="16383" spans="1:1" x14ac:dyDescent="0.3">
      <c r="A16383" s="12"/>
    </row>
    <row r="16384" spans="1:1" x14ac:dyDescent="0.3">
      <c r="A16384" s="12"/>
    </row>
    <row r="16385" spans="1:1" x14ac:dyDescent="0.3">
      <c r="A16385" s="12"/>
    </row>
    <row r="16386" spans="1:1" x14ac:dyDescent="0.3">
      <c r="A16386" s="12"/>
    </row>
    <row r="16387" spans="1:1" x14ac:dyDescent="0.3">
      <c r="A16387" s="12"/>
    </row>
    <row r="16388" spans="1:1" x14ac:dyDescent="0.3">
      <c r="A16388" s="12"/>
    </row>
    <row r="16389" spans="1:1" x14ac:dyDescent="0.3">
      <c r="A16389" s="12"/>
    </row>
    <row r="16390" spans="1:1" x14ac:dyDescent="0.3">
      <c r="A16390" s="12"/>
    </row>
    <row r="16391" spans="1:1" x14ac:dyDescent="0.3">
      <c r="A16391" s="12"/>
    </row>
    <row r="16392" spans="1:1" x14ac:dyDescent="0.3">
      <c r="A16392" s="12"/>
    </row>
    <row r="16393" spans="1:1" x14ac:dyDescent="0.3">
      <c r="A16393" s="12"/>
    </row>
    <row r="16394" spans="1:1" x14ac:dyDescent="0.3">
      <c r="A16394" s="12"/>
    </row>
    <row r="16395" spans="1:1" x14ac:dyDescent="0.3">
      <c r="A16395" s="12"/>
    </row>
    <row r="16396" spans="1:1" x14ac:dyDescent="0.3">
      <c r="A16396" s="12"/>
    </row>
    <row r="16397" spans="1:1" x14ac:dyDescent="0.3">
      <c r="A16397" s="12"/>
    </row>
    <row r="16398" spans="1:1" x14ac:dyDescent="0.3">
      <c r="A16398" s="12"/>
    </row>
    <row r="16399" spans="1:1" x14ac:dyDescent="0.3">
      <c r="A16399" s="12"/>
    </row>
    <row r="16400" spans="1:1" x14ac:dyDescent="0.3">
      <c r="A16400" s="12"/>
    </row>
    <row r="16401" spans="1:1" x14ac:dyDescent="0.3">
      <c r="A16401" s="12"/>
    </row>
    <row r="16402" spans="1:1" x14ac:dyDescent="0.3">
      <c r="A16402" s="12"/>
    </row>
    <row r="16403" spans="1:1" x14ac:dyDescent="0.3">
      <c r="A16403" s="12"/>
    </row>
    <row r="16404" spans="1:1" x14ac:dyDescent="0.3">
      <c r="A16404" s="12"/>
    </row>
    <row r="16405" spans="1:1" x14ac:dyDescent="0.3">
      <c r="A16405" s="12"/>
    </row>
    <row r="16406" spans="1:1" x14ac:dyDescent="0.3">
      <c r="A16406" s="12"/>
    </row>
    <row r="16407" spans="1:1" x14ac:dyDescent="0.3">
      <c r="A16407" s="12"/>
    </row>
    <row r="16408" spans="1:1" x14ac:dyDescent="0.3">
      <c r="A16408" s="12"/>
    </row>
    <row r="16409" spans="1:1" x14ac:dyDescent="0.3">
      <c r="A16409" s="12"/>
    </row>
    <row r="16410" spans="1:1" x14ac:dyDescent="0.3">
      <c r="A16410" s="12"/>
    </row>
    <row r="16411" spans="1:1" x14ac:dyDescent="0.3">
      <c r="A16411" s="12"/>
    </row>
    <row r="16412" spans="1:1" x14ac:dyDescent="0.3">
      <c r="A16412" s="12"/>
    </row>
    <row r="16413" spans="1:1" x14ac:dyDescent="0.3">
      <c r="A16413" s="12"/>
    </row>
    <row r="16414" spans="1:1" x14ac:dyDescent="0.3">
      <c r="A16414" s="12"/>
    </row>
    <row r="16415" spans="1:1" x14ac:dyDescent="0.3">
      <c r="A16415" s="12"/>
    </row>
    <row r="16416" spans="1:1" x14ac:dyDescent="0.3">
      <c r="A16416" s="12"/>
    </row>
    <row r="16417" spans="1:1" x14ac:dyDescent="0.3">
      <c r="A16417" s="12"/>
    </row>
    <row r="16418" spans="1:1" x14ac:dyDescent="0.3">
      <c r="A16418" s="12"/>
    </row>
    <row r="16419" spans="1:1" x14ac:dyDescent="0.3">
      <c r="A16419" s="12"/>
    </row>
    <row r="16420" spans="1:1" x14ac:dyDescent="0.3">
      <c r="A16420" s="12"/>
    </row>
    <row r="16421" spans="1:1" x14ac:dyDescent="0.3">
      <c r="A16421" s="12"/>
    </row>
    <row r="16422" spans="1:1" x14ac:dyDescent="0.3">
      <c r="A16422" s="12"/>
    </row>
    <row r="16423" spans="1:1" x14ac:dyDescent="0.3">
      <c r="A16423" s="12"/>
    </row>
    <row r="16424" spans="1:1" x14ac:dyDescent="0.3">
      <c r="A16424" s="12"/>
    </row>
    <row r="16425" spans="1:1" x14ac:dyDescent="0.3">
      <c r="A16425" s="12"/>
    </row>
    <row r="16426" spans="1:1" x14ac:dyDescent="0.3">
      <c r="A16426" s="12"/>
    </row>
    <row r="16427" spans="1:1" x14ac:dyDescent="0.3">
      <c r="A16427" s="12"/>
    </row>
    <row r="16428" spans="1:1" x14ac:dyDescent="0.3">
      <c r="A16428" s="12"/>
    </row>
    <row r="16429" spans="1:1" x14ac:dyDescent="0.3">
      <c r="A16429" s="12"/>
    </row>
    <row r="16430" spans="1:1" x14ac:dyDescent="0.3">
      <c r="A16430" s="12"/>
    </row>
    <row r="16431" spans="1:1" x14ac:dyDescent="0.3">
      <c r="A16431" s="12"/>
    </row>
    <row r="16432" spans="1:1" x14ac:dyDescent="0.3">
      <c r="A16432" s="12"/>
    </row>
    <row r="16433" spans="1:1" x14ac:dyDescent="0.3">
      <c r="A16433" s="12"/>
    </row>
    <row r="16434" spans="1:1" x14ac:dyDescent="0.3">
      <c r="A16434" s="12"/>
    </row>
    <row r="16435" spans="1:1" x14ac:dyDescent="0.3">
      <c r="A16435" s="12"/>
    </row>
    <row r="16436" spans="1:1" x14ac:dyDescent="0.3">
      <c r="A16436" s="12"/>
    </row>
    <row r="16437" spans="1:1" x14ac:dyDescent="0.3">
      <c r="A16437" s="12"/>
    </row>
    <row r="16438" spans="1:1" x14ac:dyDescent="0.3">
      <c r="A16438" s="12"/>
    </row>
    <row r="16439" spans="1:1" x14ac:dyDescent="0.3">
      <c r="A16439" s="12"/>
    </row>
    <row r="16440" spans="1:1" x14ac:dyDescent="0.3">
      <c r="A16440" s="12"/>
    </row>
    <row r="16441" spans="1:1" x14ac:dyDescent="0.3">
      <c r="A16441" s="12"/>
    </row>
    <row r="16442" spans="1:1" x14ac:dyDescent="0.3">
      <c r="A16442" s="12"/>
    </row>
    <row r="16443" spans="1:1" x14ac:dyDescent="0.3">
      <c r="A16443" s="12"/>
    </row>
    <row r="16444" spans="1:1" x14ac:dyDescent="0.3">
      <c r="A16444" s="12"/>
    </row>
    <row r="16445" spans="1:1" x14ac:dyDescent="0.3">
      <c r="A16445" s="12"/>
    </row>
    <row r="16446" spans="1:1" x14ac:dyDescent="0.3">
      <c r="A16446" s="12"/>
    </row>
    <row r="16447" spans="1:1" x14ac:dyDescent="0.3">
      <c r="A16447" s="12"/>
    </row>
    <row r="16448" spans="1:1" x14ac:dyDescent="0.3">
      <c r="A16448" s="12"/>
    </row>
    <row r="16449" spans="1:1" x14ac:dyDescent="0.3">
      <c r="A16449" s="12"/>
    </row>
    <row r="16450" spans="1:1" x14ac:dyDescent="0.3">
      <c r="A16450" s="12"/>
    </row>
    <row r="16451" spans="1:1" x14ac:dyDescent="0.3">
      <c r="A16451" s="12"/>
    </row>
    <row r="16452" spans="1:1" x14ac:dyDescent="0.3">
      <c r="A16452" s="12"/>
    </row>
    <row r="16453" spans="1:1" x14ac:dyDescent="0.3">
      <c r="A16453" s="12"/>
    </row>
    <row r="16454" spans="1:1" x14ac:dyDescent="0.3">
      <c r="A16454" s="12"/>
    </row>
    <row r="16455" spans="1:1" x14ac:dyDescent="0.3">
      <c r="A16455" s="12"/>
    </row>
    <row r="16456" spans="1:1" x14ac:dyDescent="0.3">
      <c r="A16456" s="12"/>
    </row>
    <row r="16457" spans="1:1" x14ac:dyDescent="0.3">
      <c r="A16457" s="12"/>
    </row>
    <row r="16458" spans="1:1" x14ac:dyDescent="0.3">
      <c r="A16458" s="12"/>
    </row>
    <row r="16459" spans="1:1" x14ac:dyDescent="0.3">
      <c r="A16459" s="12"/>
    </row>
    <row r="16460" spans="1:1" x14ac:dyDescent="0.3">
      <c r="A16460" s="12"/>
    </row>
    <row r="16461" spans="1:1" x14ac:dyDescent="0.3">
      <c r="A16461" s="12"/>
    </row>
    <row r="16462" spans="1:1" x14ac:dyDescent="0.3">
      <c r="A16462" s="12"/>
    </row>
    <row r="16463" spans="1:1" x14ac:dyDescent="0.3">
      <c r="A16463" s="12"/>
    </row>
    <row r="16464" spans="1:1" x14ac:dyDescent="0.3">
      <c r="A16464" s="12"/>
    </row>
    <row r="16465" spans="1:1" x14ac:dyDescent="0.3">
      <c r="A16465" s="12"/>
    </row>
    <row r="16466" spans="1:1" x14ac:dyDescent="0.3">
      <c r="A16466" s="12"/>
    </row>
    <row r="16467" spans="1:1" x14ac:dyDescent="0.3">
      <c r="A16467" s="12"/>
    </row>
    <row r="16468" spans="1:1" x14ac:dyDescent="0.3">
      <c r="A16468" s="12"/>
    </row>
    <row r="16469" spans="1:1" x14ac:dyDescent="0.3">
      <c r="A16469" s="12"/>
    </row>
    <row r="16470" spans="1:1" x14ac:dyDescent="0.3">
      <c r="A16470" s="12"/>
    </row>
    <row r="16471" spans="1:1" x14ac:dyDescent="0.3">
      <c r="A16471" s="12"/>
    </row>
    <row r="16472" spans="1:1" x14ac:dyDescent="0.3">
      <c r="A16472" s="12"/>
    </row>
    <row r="16473" spans="1:1" x14ac:dyDescent="0.3">
      <c r="A16473" s="12"/>
    </row>
    <row r="16474" spans="1:1" x14ac:dyDescent="0.3">
      <c r="A16474" s="12"/>
    </row>
    <row r="16475" spans="1:1" x14ac:dyDescent="0.3">
      <c r="A16475" s="12"/>
    </row>
    <row r="16476" spans="1:1" x14ac:dyDescent="0.3">
      <c r="A16476" s="12"/>
    </row>
    <row r="16477" spans="1:1" x14ac:dyDescent="0.3">
      <c r="A16477" s="12"/>
    </row>
    <row r="16478" spans="1:1" x14ac:dyDescent="0.3">
      <c r="A16478" s="12"/>
    </row>
    <row r="16479" spans="1:1" x14ac:dyDescent="0.3">
      <c r="A16479" s="12"/>
    </row>
    <row r="16480" spans="1:1" x14ac:dyDescent="0.3">
      <c r="A16480" s="12"/>
    </row>
    <row r="16481" spans="1:1" x14ac:dyDescent="0.3">
      <c r="A16481" s="12"/>
    </row>
    <row r="16482" spans="1:1" x14ac:dyDescent="0.3">
      <c r="A16482" s="12"/>
    </row>
    <row r="16483" spans="1:1" x14ac:dyDescent="0.3">
      <c r="A16483" s="12"/>
    </row>
    <row r="16484" spans="1:1" x14ac:dyDescent="0.3">
      <c r="A16484" s="12"/>
    </row>
    <row r="16485" spans="1:1" x14ac:dyDescent="0.3">
      <c r="A16485" s="12"/>
    </row>
    <row r="16486" spans="1:1" x14ac:dyDescent="0.3">
      <c r="A16486" s="12"/>
    </row>
    <row r="16487" spans="1:1" x14ac:dyDescent="0.3">
      <c r="A16487" s="12"/>
    </row>
    <row r="16488" spans="1:1" x14ac:dyDescent="0.3">
      <c r="A16488" s="12"/>
    </row>
    <row r="16489" spans="1:1" x14ac:dyDescent="0.3">
      <c r="A16489" s="12"/>
    </row>
    <row r="16490" spans="1:1" x14ac:dyDescent="0.3">
      <c r="A16490" s="12"/>
    </row>
    <row r="16491" spans="1:1" x14ac:dyDescent="0.3">
      <c r="A16491" s="12"/>
    </row>
    <row r="16492" spans="1:1" x14ac:dyDescent="0.3">
      <c r="A16492" s="12"/>
    </row>
    <row r="16493" spans="1:1" x14ac:dyDescent="0.3">
      <c r="A16493" s="12"/>
    </row>
    <row r="16494" spans="1:1" x14ac:dyDescent="0.3">
      <c r="A16494" s="12"/>
    </row>
    <row r="16495" spans="1:1" x14ac:dyDescent="0.3">
      <c r="A16495" s="12"/>
    </row>
    <row r="16496" spans="1:1" x14ac:dyDescent="0.3">
      <c r="A16496" s="12"/>
    </row>
    <row r="16497" spans="1:1" x14ac:dyDescent="0.3">
      <c r="A16497" s="12"/>
    </row>
    <row r="16498" spans="1:1" x14ac:dyDescent="0.3">
      <c r="A16498" s="12"/>
    </row>
    <row r="16499" spans="1:1" x14ac:dyDescent="0.3">
      <c r="A16499" s="12"/>
    </row>
    <row r="16500" spans="1:1" x14ac:dyDescent="0.3">
      <c r="A16500" s="12"/>
    </row>
    <row r="16501" spans="1:1" x14ac:dyDescent="0.3">
      <c r="A16501" s="12"/>
    </row>
    <row r="16502" spans="1:1" x14ac:dyDescent="0.3">
      <c r="A16502" s="12"/>
    </row>
    <row r="16503" spans="1:1" x14ac:dyDescent="0.3">
      <c r="A16503" s="12"/>
    </row>
    <row r="16504" spans="1:1" x14ac:dyDescent="0.3">
      <c r="A16504" s="12"/>
    </row>
    <row r="16505" spans="1:1" x14ac:dyDescent="0.3">
      <c r="A16505" s="12"/>
    </row>
    <row r="16506" spans="1:1" x14ac:dyDescent="0.3">
      <c r="A16506" s="12"/>
    </row>
    <row r="16507" spans="1:1" x14ac:dyDescent="0.3">
      <c r="A16507" s="12"/>
    </row>
    <row r="16508" spans="1:1" x14ac:dyDescent="0.3">
      <c r="A16508" s="12"/>
    </row>
    <row r="16509" spans="1:1" x14ac:dyDescent="0.3">
      <c r="A16509" s="12"/>
    </row>
    <row r="16510" spans="1:1" x14ac:dyDescent="0.3">
      <c r="A16510" s="12"/>
    </row>
    <row r="16511" spans="1:1" x14ac:dyDescent="0.3">
      <c r="A16511" s="12"/>
    </row>
    <row r="16512" spans="1:1" x14ac:dyDescent="0.3">
      <c r="A16512" s="12"/>
    </row>
    <row r="16513" spans="1:1" x14ac:dyDescent="0.3">
      <c r="A16513" s="12"/>
    </row>
    <row r="16514" spans="1:1" x14ac:dyDescent="0.3">
      <c r="A16514" s="12"/>
    </row>
    <row r="16515" spans="1:1" x14ac:dyDescent="0.3">
      <c r="A16515" s="12"/>
    </row>
    <row r="16516" spans="1:1" x14ac:dyDescent="0.3">
      <c r="A16516" s="12"/>
    </row>
    <row r="16517" spans="1:1" x14ac:dyDescent="0.3">
      <c r="A16517" s="12"/>
    </row>
    <row r="16518" spans="1:1" x14ac:dyDescent="0.3">
      <c r="A16518" s="12"/>
    </row>
    <row r="16519" spans="1:1" x14ac:dyDescent="0.3">
      <c r="A16519" s="12"/>
    </row>
    <row r="16520" spans="1:1" x14ac:dyDescent="0.3">
      <c r="A16520" s="12"/>
    </row>
    <row r="16521" spans="1:1" x14ac:dyDescent="0.3">
      <c r="A16521" s="12"/>
    </row>
    <row r="16522" spans="1:1" x14ac:dyDescent="0.3">
      <c r="A16522" s="12"/>
    </row>
    <row r="16523" spans="1:1" x14ac:dyDescent="0.3">
      <c r="A16523" s="12"/>
    </row>
    <row r="16524" spans="1:1" x14ac:dyDescent="0.3">
      <c r="A16524" s="12"/>
    </row>
    <row r="16525" spans="1:1" x14ac:dyDescent="0.3">
      <c r="A16525" s="12"/>
    </row>
    <row r="16526" spans="1:1" x14ac:dyDescent="0.3">
      <c r="A16526" s="12"/>
    </row>
    <row r="16527" spans="1:1" x14ac:dyDescent="0.3">
      <c r="A16527" s="12"/>
    </row>
    <row r="16528" spans="1:1" x14ac:dyDescent="0.3">
      <c r="A16528" s="12"/>
    </row>
    <row r="16529" spans="1:1" x14ac:dyDescent="0.3">
      <c r="A16529" s="12"/>
    </row>
    <row r="16530" spans="1:1" x14ac:dyDescent="0.3">
      <c r="A16530" s="12"/>
    </row>
    <row r="16531" spans="1:1" x14ac:dyDescent="0.3">
      <c r="A16531" s="12"/>
    </row>
    <row r="16532" spans="1:1" x14ac:dyDescent="0.3">
      <c r="A16532" s="12"/>
    </row>
    <row r="16533" spans="1:1" x14ac:dyDescent="0.3">
      <c r="A16533" s="12"/>
    </row>
    <row r="16534" spans="1:1" x14ac:dyDescent="0.3">
      <c r="A16534" s="12"/>
    </row>
    <row r="16535" spans="1:1" x14ac:dyDescent="0.3">
      <c r="A16535" s="12"/>
    </row>
    <row r="16536" spans="1:1" x14ac:dyDescent="0.3">
      <c r="A16536" s="12"/>
    </row>
    <row r="16537" spans="1:1" x14ac:dyDescent="0.3">
      <c r="A16537" s="12"/>
    </row>
    <row r="16538" spans="1:1" x14ac:dyDescent="0.3">
      <c r="A16538" s="12"/>
    </row>
    <row r="16539" spans="1:1" x14ac:dyDescent="0.3">
      <c r="A16539" s="12"/>
    </row>
    <row r="16540" spans="1:1" x14ac:dyDescent="0.3">
      <c r="A16540" s="12"/>
    </row>
    <row r="16541" spans="1:1" x14ac:dyDescent="0.3">
      <c r="A16541" s="12"/>
    </row>
    <row r="16542" spans="1:1" x14ac:dyDescent="0.3">
      <c r="A16542" s="12"/>
    </row>
    <row r="16543" spans="1:1" x14ac:dyDescent="0.3">
      <c r="A16543" s="12"/>
    </row>
    <row r="16544" spans="1:1" x14ac:dyDescent="0.3">
      <c r="A16544" s="12"/>
    </row>
    <row r="16545" spans="1:1" x14ac:dyDescent="0.3">
      <c r="A16545" s="12"/>
    </row>
    <row r="16546" spans="1:1" x14ac:dyDescent="0.3">
      <c r="A16546" s="12"/>
    </row>
    <row r="16547" spans="1:1" x14ac:dyDescent="0.3">
      <c r="A16547" s="12"/>
    </row>
    <row r="16548" spans="1:1" x14ac:dyDescent="0.3">
      <c r="A16548" s="12"/>
    </row>
    <row r="16549" spans="1:1" x14ac:dyDescent="0.3">
      <c r="A16549" s="12"/>
    </row>
    <row r="16550" spans="1:1" x14ac:dyDescent="0.3">
      <c r="A16550" s="12"/>
    </row>
    <row r="16551" spans="1:1" x14ac:dyDescent="0.3">
      <c r="A16551" s="12"/>
    </row>
    <row r="16552" spans="1:1" x14ac:dyDescent="0.3">
      <c r="A16552" s="12"/>
    </row>
    <row r="16553" spans="1:1" x14ac:dyDescent="0.3">
      <c r="A16553" s="12"/>
    </row>
    <row r="16554" spans="1:1" x14ac:dyDescent="0.3">
      <c r="A16554" s="12"/>
    </row>
    <row r="16555" spans="1:1" x14ac:dyDescent="0.3">
      <c r="A16555" s="12"/>
    </row>
    <row r="16556" spans="1:1" x14ac:dyDescent="0.3">
      <c r="A16556" s="12"/>
    </row>
    <row r="16557" spans="1:1" x14ac:dyDescent="0.3">
      <c r="A16557" s="12"/>
    </row>
    <row r="16558" spans="1:1" x14ac:dyDescent="0.3">
      <c r="A16558" s="12"/>
    </row>
    <row r="16559" spans="1:1" x14ac:dyDescent="0.3">
      <c r="A16559" s="12"/>
    </row>
    <row r="16560" spans="1:1" x14ac:dyDescent="0.3">
      <c r="A16560" s="12"/>
    </row>
    <row r="16561" spans="1:1" x14ac:dyDescent="0.3">
      <c r="A16561" s="12"/>
    </row>
    <row r="16562" spans="1:1" x14ac:dyDescent="0.3">
      <c r="A16562" s="12"/>
    </row>
    <row r="16563" spans="1:1" x14ac:dyDescent="0.3">
      <c r="A16563" s="12"/>
    </row>
    <row r="16564" spans="1:1" x14ac:dyDescent="0.3">
      <c r="A16564" s="12"/>
    </row>
    <row r="16565" spans="1:1" x14ac:dyDescent="0.3">
      <c r="A16565" s="12"/>
    </row>
    <row r="16566" spans="1:1" x14ac:dyDescent="0.3">
      <c r="A16566" s="12"/>
    </row>
    <row r="16567" spans="1:1" x14ac:dyDescent="0.3">
      <c r="A16567" s="12"/>
    </row>
    <row r="16568" spans="1:1" x14ac:dyDescent="0.3">
      <c r="A16568" s="12"/>
    </row>
    <row r="16569" spans="1:1" x14ac:dyDescent="0.3">
      <c r="A16569" s="12"/>
    </row>
    <row r="16570" spans="1:1" x14ac:dyDescent="0.3">
      <c r="A16570" s="12"/>
    </row>
    <row r="16571" spans="1:1" x14ac:dyDescent="0.3">
      <c r="A16571" s="12"/>
    </row>
    <row r="16572" spans="1:1" x14ac:dyDescent="0.3">
      <c r="A16572" s="12"/>
    </row>
    <row r="16573" spans="1:1" x14ac:dyDescent="0.3">
      <c r="A16573" s="12"/>
    </row>
    <row r="16574" spans="1:1" x14ac:dyDescent="0.3">
      <c r="A16574" s="12"/>
    </row>
    <row r="16575" spans="1:1" x14ac:dyDescent="0.3">
      <c r="A16575" s="12"/>
    </row>
    <row r="16576" spans="1:1" x14ac:dyDescent="0.3">
      <c r="A16576" s="12"/>
    </row>
    <row r="16577" spans="1:1" x14ac:dyDescent="0.3">
      <c r="A16577" s="12"/>
    </row>
    <row r="16578" spans="1:1" x14ac:dyDescent="0.3">
      <c r="A16578" s="12"/>
    </row>
    <row r="16579" spans="1:1" x14ac:dyDescent="0.3">
      <c r="A16579" s="12"/>
    </row>
    <row r="16580" spans="1:1" x14ac:dyDescent="0.3">
      <c r="A16580" s="12"/>
    </row>
    <row r="16581" spans="1:1" x14ac:dyDescent="0.3">
      <c r="A16581" s="12"/>
    </row>
    <row r="16582" spans="1:1" x14ac:dyDescent="0.3">
      <c r="A16582" s="12"/>
    </row>
    <row r="16583" spans="1:1" x14ac:dyDescent="0.3">
      <c r="A16583" s="12"/>
    </row>
    <row r="16584" spans="1:1" x14ac:dyDescent="0.3">
      <c r="A16584" s="12"/>
    </row>
    <row r="16585" spans="1:1" x14ac:dyDescent="0.3">
      <c r="A16585" s="12"/>
    </row>
    <row r="16586" spans="1:1" x14ac:dyDescent="0.3">
      <c r="A16586" s="12"/>
    </row>
    <row r="16587" spans="1:1" x14ac:dyDescent="0.3">
      <c r="A16587" s="12"/>
    </row>
    <row r="16588" spans="1:1" x14ac:dyDescent="0.3">
      <c r="A16588" s="12"/>
    </row>
    <row r="16589" spans="1:1" x14ac:dyDescent="0.3">
      <c r="A16589" s="12"/>
    </row>
    <row r="16590" spans="1:1" x14ac:dyDescent="0.3">
      <c r="A16590" s="12"/>
    </row>
    <row r="16591" spans="1:1" x14ac:dyDescent="0.3">
      <c r="A16591" s="12"/>
    </row>
    <row r="16592" spans="1:1" x14ac:dyDescent="0.3">
      <c r="A16592" s="12"/>
    </row>
    <row r="16593" spans="1:1" x14ac:dyDescent="0.3">
      <c r="A16593" s="12"/>
    </row>
    <row r="16594" spans="1:1" x14ac:dyDescent="0.3">
      <c r="A16594" s="12"/>
    </row>
    <row r="16595" spans="1:1" x14ac:dyDescent="0.3">
      <c r="A16595" s="12"/>
    </row>
    <row r="16596" spans="1:1" x14ac:dyDescent="0.3">
      <c r="A16596" s="12"/>
    </row>
    <row r="16597" spans="1:1" x14ac:dyDescent="0.3">
      <c r="A16597" s="12"/>
    </row>
    <row r="16598" spans="1:1" x14ac:dyDescent="0.3">
      <c r="A16598" s="12"/>
    </row>
    <row r="16599" spans="1:1" x14ac:dyDescent="0.3">
      <c r="A16599" s="12"/>
    </row>
    <row r="16600" spans="1:1" x14ac:dyDescent="0.3">
      <c r="A16600" s="12"/>
    </row>
    <row r="16601" spans="1:1" x14ac:dyDescent="0.3">
      <c r="A16601" s="12"/>
    </row>
    <row r="16602" spans="1:1" x14ac:dyDescent="0.3">
      <c r="A16602" s="12"/>
    </row>
    <row r="16603" spans="1:1" x14ac:dyDescent="0.3">
      <c r="A16603" s="12"/>
    </row>
    <row r="16604" spans="1:1" x14ac:dyDescent="0.3">
      <c r="A16604" s="12"/>
    </row>
    <row r="16605" spans="1:1" x14ac:dyDescent="0.3">
      <c r="A16605" s="12"/>
    </row>
    <row r="16606" spans="1:1" x14ac:dyDescent="0.3">
      <c r="A16606" s="12"/>
    </row>
    <row r="16607" spans="1:1" x14ac:dyDescent="0.3">
      <c r="A16607" s="12"/>
    </row>
    <row r="16608" spans="1:1" x14ac:dyDescent="0.3">
      <c r="A16608" s="12"/>
    </row>
    <row r="16609" spans="1:1" x14ac:dyDescent="0.3">
      <c r="A16609" s="12"/>
    </row>
    <row r="16610" spans="1:1" x14ac:dyDescent="0.3">
      <c r="A16610" s="12"/>
    </row>
    <row r="16611" spans="1:1" x14ac:dyDescent="0.3">
      <c r="A16611" s="12"/>
    </row>
    <row r="16612" spans="1:1" x14ac:dyDescent="0.3">
      <c r="A16612" s="12"/>
    </row>
    <row r="16613" spans="1:1" x14ac:dyDescent="0.3">
      <c r="A16613" s="12"/>
    </row>
    <row r="16614" spans="1:1" x14ac:dyDescent="0.3">
      <c r="A16614" s="12"/>
    </row>
    <row r="16615" spans="1:1" x14ac:dyDescent="0.3">
      <c r="A16615" s="12"/>
    </row>
    <row r="16616" spans="1:1" x14ac:dyDescent="0.3">
      <c r="A16616" s="12"/>
    </row>
    <row r="16617" spans="1:1" x14ac:dyDescent="0.3">
      <c r="A16617" s="12"/>
    </row>
    <row r="16618" spans="1:1" x14ac:dyDescent="0.3">
      <c r="A16618" s="12"/>
    </row>
    <row r="16619" spans="1:1" x14ac:dyDescent="0.3">
      <c r="A16619" s="12"/>
    </row>
    <row r="16620" spans="1:1" x14ac:dyDescent="0.3">
      <c r="A16620" s="12"/>
    </row>
    <row r="16621" spans="1:1" x14ac:dyDescent="0.3">
      <c r="A16621" s="12"/>
    </row>
    <row r="16622" spans="1:1" x14ac:dyDescent="0.3">
      <c r="A16622" s="12"/>
    </row>
    <row r="16623" spans="1:1" x14ac:dyDescent="0.3">
      <c r="A16623" s="12"/>
    </row>
    <row r="16624" spans="1:1" x14ac:dyDescent="0.3">
      <c r="A16624" s="12"/>
    </row>
    <row r="16625" spans="1:1" x14ac:dyDescent="0.3">
      <c r="A16625" s="12"/>
    </row>
    <row r="16626" spans="1:1" x14ac:dyDescent="0.3">
      <c r="A16626" s="12"/>
    </row>
    <row r="16627" spans="1:1" x14ac:dyDescent="0.3">
      <c r="A16627" s="12"/>
    </row>
    <row r="16628" spans="1:1" x14ac:dyDescent="0.3">
      <c r="A16628" s="12"/>
    </row>
    <row r="16629" spans="1:1" x14ac:dyDescent="0.3">
      <c r="A16629" s="12"/>
    </row>
    <row r="16630" spans="1:1" x14ac:dyDescent="0.3">
      <c r="A16630" s="12"/>
    </row>
    <row r="16631" spans="1:1" x14ac:dyDescent="0.3">
      <c r="A16631" s="12"/>
    </row>
    <row r="16632" spans="1:1" x14ac:dyDescent="0.3">
      <c r="A16632" s="12"/>
    </row>
    <row r="16633" spans="1:1" x14ac:dyDescent="0.3">
      <c r="A16633" s="12"/>
    </row>
    <row r="16634" spans="1:1" x14ac:dyDescent="0.3">
      <c r="A16634" s="12"/>
    </row>
    <row r="16635" spans="1:1" x14ac:dyDescent="0.3">
      <c r="A16635" s="12"/>
    </row>
    <row r="16636" spans="1:1" x14ac:dyDescent="0.3">
      <c r="A16636" s="12"/>
    </row>
    <row r="16637" spans="1:1" x14ac:dyDescent="0.3">
      <c r="A16637" s="12"/>
    </row>
    <row r="16638" spans="1:1" x14ac:dyDescent="0.3">
      <c r="A16638" s="12"/>
    </row>
    <row r="16639" spans="1:1" x14ac:dyDescent="0.3">
      <c r="A16639" s="12"/>
    </row>
    <row r="16640" spans="1:1" x14ac:dyDescent="0.3">
      <c r="A16640" s="12"/>
    </row>
    <row r="16641" spans="1:1" x14ac:dyDescent="0.3">
      <c r="A16641" s="12"/>
    </row>
    <row r="16642" spans="1:1" x14ac:dyDescent="0.3">
      <c r="A16642" s="12"/>
    </row>
    <row r="16643" spans="1:1" x14ac:dyDescent="0.3">
      <c r="A16643" s="12"/>
    </row>
    <row r="16644" spans="1:1" x14ac:dyDescent="0.3">
      <c r="A16644" s="12"/>
    </row>
    <row r="16645" spans="1:1" x14ac:dyDescent="0.3">
      <c r="A16645" s="12"/>
    </row>
    <row r="16646" spans="1:1" x14ac:dyDescent="0.3">
      <c r="A16646" s="12"/>
    </row>
    <row r="16647" spans="1:1" x14ac:dyDescent="0.3">
      <c r="A16647" s="12"/>
    </row>
    <row r="16648" spans="1:1" x14ac:dyDescent="0.3">
      <c r="A16648" s="12"/>
    </row>
    <row r="16649" spans="1:1" x14ac:dyDescent="0.3">
      <c r="A16649" s="12"/>
    </row>
    <row r="16650" spans="1:1" x14ac:dyDescent="0.3">
      <c r="A16650" s="12"/>
    </row>
    <row r="16651" spans="1:1" x14ac:dyDescent="0.3">
      <c r="A16651" s="12"/>
    </row>
    <row r="16652" spans="1:1" x14ac:dyDescent="0.3">
      <c r="A16652" s="12"/>
    </row>
    <row r="16653" spans="1:1" x14ac:dyDescent="0.3">
      <c r="A16653" s="12"/>
    </row>
    <row r="16654" spans="1:1" x14ac:dyDescent="0.3">
      <c r="A16654" s="12"/>
    </row>
    <row r="16655" spans="1:1" x14ac:dyDescent="0.3">
      <c r="A16655" s="12"/>
    </row>
    <row r="16656" spans="1:1" x14ac:dyDescent="0.3">
      <c r="A16656" s="12"/>
    </row>
    <row r="16657" spans="1:1" x14ac:dyDescent="0.3">
      <c r="A16657" s="12"/>
    </row>
    <row r="16658" spans="1:1" x14ac:dyDescent="0.3">
      <c r="A16658" s="12"/>
    </row>
    <row r="16659" spans="1:1" x14ac:dyDescent="0.3">
      <c r="A16659" s="12"/>
    </row>
    <row r="16660" spans="1:1" x14ac:dyDescent="0.3">
      <c r="A16660" s="12"/>
    </row>
    <row r="16661" spans="1:1" x14ac:dyDescent="0.3">
      <c r="A16661" s="12"/>
    </row>
    <row r="16662" spans="1:1" x14ac:dyDescent="0.3">
      <c r="A16662" s="12"/>
    </row>
    <row r="16663" spans="1:1" x14ac:dyDescent="0.3">
      <c r="A16663" s="12"/>
    </row>
    <row r="16664" spans="1:1" x14ac:dyDescent="0.3">
      <c r="A16664" s="12"/>
    </row>
    <row r="16665" spans="1:1" x14ac:dyDescent="0.3">
      <c r="A16665" s="12"/>
    </row>
    <row r="16666" spans="1:1" x14ac:dyDescent="0.3">
      <c r="A16666" s="12"/>
    </row>
    <row r="16667" spans="1:1" x14ac:dyDescent="0.3">
      <c r="A16667" s="12"/>
    </row>
    <row r="16668" spans="1:1" x14ac:dyDescent="0.3">
      <c r="A16668" s="12"/>
    </row>
    <row r="16669" spans="1:1" x14ac:dyDescent="0.3">
      <c r="A16669" s="12"/>
    </row>
    <row r="16670" spans="1:1" x14ac:dyDescent="0.3">
      <c r="A16670" s="12"/>
    </row>
    <row r="16671" spans="1:1" x14ac:dyDescent="0.3">
      <c r="A16671" s="12"/>
    </row>
    <row r="16672" spans="1:1" x14ac:dyDescent="0.3">
      <c r="A16672" s="12"/>
    </row>
    <row r="16673" spans="1:1" x14ac:dyDescent="0.3">
      <c r="A16673" s="12"/>
    </row>
    <row r="16674" spans="1:1" x14ac:dyDescent="0.3">
      <c r="A16674" s="12"/>
    </row>
    <row r="16675" spans="1:1" x14ac:dyDescent="0.3">
      <c r="A16675" s="12"/>
    </row>
    <row r="16676" spans="1:1" x14ac:dyDescent="0.3">
      <c r="A16676" s="12"/>
    </row>
    <row r="16677" spans="1:1" x14ac:dyDescent="0.3">
      <c r="A16677" s="12"/>
    </row>
    <row r="16678" spans="1:1" x14ac:dyDescent="0.3">
      <c r="A16678" s="12"/>
    </row>
    <row r="16679" spans="1:1" x14ac:dyDescent="0.3">
      <c r="A16679" s="12"/>
    </row>
    <row r="16680" spans="1:1" x14ac:dyDescent="0.3">
      <c r="A16680" s="12"/>
    </row>
    <row r="16681" spans="1:1" x14ac:dyDescent="0.3">
      <c r="A16681" s="12"/>
    </row>
    <row r="16682" spans="1:1" x14ac:dyDescent="0.3">
      <c r="A16682" s="12"/>
    </row>
    <row r="16683" spans="1:1" x14ac:dyDescent="0.3">
      <c r="A16683" s="12"/>
    </row>
    <row r="16684" spans="1:1" x14ac:dyDescent="0.3">
      <c r="A16684" s="12"/>
    </row>
    <row r="16685" spans="1:1" x14ac:dyDescent="0.3">
      <c r="A16685" s="12"/>
    </row>
    <row r="16686" spans="1:1" x14ac:dyDescent="0.3">
      <c r="A16686" s="12"/>
    </row>
    <row r="16687" spans="1:1" x14ac:dyDescent="0.3">
      <c r="A16687" s="12"/>
    </row>
    <row r="16688" spans="1:1" x14ac:dyDescent="0.3">
      <c r="A16688" s="12"/>
    </row>
    <row r="16689" spans="1:1" x14ac:dyDescent="0.3">
      <c r="A16689" s="12"/>
    </row>
    <row r="16690" spans="1:1" x14ac:dyDescent="0.3">
      <c r="A16690" s="12"/>
    </row>
    <row r="16691" spans="1:1" x14ac:dyDescent="0.3">
      <c r="A16691" s="12"/>
    </row>
    <row r="16692" spans="1:1" x14ac:dyDescent="0.3">
      <c r="A16692" s="12"/>
    </row>
    <row r="16693" spans="1:1" x14ac:dyDescent="0.3">
      <c r="A16693" s="12"/>
    </row>
    <row r="16694" spans="1:1" x14ac:dyDescent="0.3">
      <c r="A16694" s="12"/>
    </row>
    <row r="16695" spans="1:1" x14ac:dyDescent="0.3">
      <c r="A16695" s="12"/>
    </row>
    <row r="16696" spans="1:1" x14ac:dyDescent="0.3">
      <c r="A16696" s="12"/>
    </row>
    <row r="16697" spans="1:1" x14ac:dyDescent="0.3">
      <c r="A16697" s="12"/>
    </row>
    <row r="16698" spans="1:1" x14ac:dyDescent="0.3">
      <c r="A16698" s="12"/>
    </row>
    <row r="16699" spans="1:1" x14ac:dyDescent="0.3">
      <c r="A16699" s="12"/>
    </row>
    <row r="16700" spans="1:1" x14ac:dyDescent="0.3">
      <c r="A16700" s="12"/>
    </row>
    <row r="16701" spans="1:1" x14ac:dyDescent="0.3">
      <c r="A16701" s="12"/>
    </row>
    <row r="16702" spans="1:1" x14ac:dyDescent="0.3">
      <c r="A16702" s="12"/>
    </row>
    <row r="16703" spans="1:1" x14ac:dyDescent="0.3">
      <c r="A16703" s="12"/>
    </row>
    <row r="16704" spans="1:1" x14ac:dyDescent="0.3">
      <c r="A16704" s="12"/>
    </row>
    <row r="16705" spans="1:1" x14ac:dyDescent="0.3">
      <c r="A16705" s="12"/>
    </row>
    <row r="16706" spans="1:1" x14ac:dyDescent="0.3">
      <c r="A16706" s="12"/>
    </row>
    <row r="16707" spans="1:1" x14ac:dyDescent="0.3">
      <c r="A16707" s="12"/>
    </row>
    <row r="16708" spans="1:1" x14ac:dyDescent="0.3">
      <c r="A16708" s="12"/>
    </row>
    <row r="16709" spans="1:1" x14ac:dyDescent="0.3">
      <c r="A16709" s="12"/>
    </row>
    <row r="16710" spans="1:1" x14ac:dyDescent="0.3">
      <c r="A16710" s="12"/>
    </row>
    <row r="16711" spans="1:1" x14ac:dyDescent="0.3">
      <c r="A16711" s="12"/>
    </row>
    <row r="16712" spans="1:1" x14ac:dyDescent="0.3">
      <c r="A16712" s="12"/>
    </row>
    <row r="16713" spans="1:1" x14ac:dyDescent="0.3">
      <c r="A16713" s="12"/>
    </row>
    <row r="16714" spans="1:1" x14ac:dyDescent="0.3">
      <c r="A16714" s="12"/>
    </row>
    <row r="16715" spans="1:1" x14ac:dyDescent="0.3">
      <c r="A16715" s="12"/>
    </row>
    <row r="16716" spans="1:1" x14ac:dyDescent="0.3">
      <c r="A16716" s="12"/>
    </row>
    <row r="16717" spans="1:1" x14ac:dyDescent="0.3">
      <c r="A16717" s="12"/>
    </row>
    <row r="16718" spans="1:1" x14ac:dyDescent="0.3">
      <c r="A16718" s="12"/>
    </row>
    <row r="16719" spans="1:1" x14ac:dyDescent="0.3">
      <c r="A16719" s="12"/>
    </row>
    <row r="16720" spans="1:1" x14ac:dyDescent="0.3">
      <c r="A16720" s="12"/>
    </row>
    <row r="16721" spans="1:1" x14ac:dyDescent="0.3">
      <c r="A16721" s="12"/>
    </row>
    <row r="16722" spans="1:1" x14ac:dyDescent="0.3">
      <c r="A16722" s="12"/>
    </row>
    <row r="16723" spans="1:1" x14ac:dyDescent="0.3">
      <c r="A16723" s="12"/>
    </row>
    <row r="16724" spans="1:1" x14ac:dyDescent="0.3">
      <c r="A16724" s="12"/>
    </row>
    <row r="16725" spans="1:1" x14ac:dyDescent="0.3">
      <c r="A16725" s="12"/>
    </row>
    <row r="16726" spans="1:1" x14ac:dyDescent="0.3">
      <c r="A16726" s="12"/>
    </row>
    <row r="16727" spans="1:1" x14ac:dyDescent="0.3">
      <c r="A16727" s="12"/>
    </row>
    <row r="16728" spans="1:1" x14ac:dyDescent="0.3">
      <c r="A16728" s="12"/>
    </row>
    <row r="16729" spans="1:1" x14ac:dyDescent="0.3">
      <c r="A16729" s="12"/>
    </row>
    <row r="16730" spans="1:1" x14ac:dyDescent="0.3">
      <c r="A16730" s="12"/>
    </row>
    <row r="16731" spans="1:1" x14ac:dyDescent="0.3">
      <c r="A16731" s="12"/>
    </row>
    <row r="16732" spans="1:1" x14ac:dyDescent="0.3">
      <c r="A16732" s="12"/>
    </row>
    <row r="16733" spans="1:1" x14ac:dyDescent="0.3">
      <c r="A16733" s="12"/>
    </row>
    <row r="16734" spans="1:1" x14ac:dyDescent="0.3">
      <c r="A16734" s="12"/>
    </row>
    <row r="16735" spans="1:1" x14ac:dyDescent="0.3">
      <c r="A16735" s="12"/>
    </row>
    <row r="16736" spans="1:1" x14ac:dyDescent="0.3">
      <c r="A16736" s="12"/>
    </row>
    <row r="16737" spans="1:1" x14ac:dyDescent="0.3">
      <c r="A16737" s="12"/>
    </row>
    <row r="16738" spans="1:1" x14ac:dyDescent="0.3">
      <c r="A16738" s="12"/>
    </row>
    <row r="16739" spans="1:1" x14ac:dyDescent="0.3">
      <c r="A16739" s="12"/>
    </row>
    <row r="16740" spans="1:1" x14ac:dyDescent="0.3">
      <c r="A16740" s="12"/>
    </row>
    <row r="16741" spans="1:1" x14ac:dyDescent="0.3">
      <c r="A16741" s="12"/>
    </row>
    <row r="16742" spans="1:1" x14ac:dyDescent="0.3">
      <c r="A16742" s="12"/>
    </row>
    <row r="16743" spans="1:1" x14ac:dyDescent="0.3">
      <c r="A16743" s="12"/>
    </row>
    <row r="16744" spans="1:1" x14ac:dyDescent="0.3">
      <c r="A16744" s="12"/>
    </row>
    <row r="16745" spans="1:1" x14ac:dyDescent="0.3">
      <c r="A16745" s="12"/>
    </row>
    <row r="16746" spans="1:1" x14ac:dyDescent="0.3">
      <c r="A16746" s="12"/>
    </row>
    <row r="16747" spans="1:1" x14ac:dyDescent="0.3">
      <c r="A16747" s="12"/>
    </row>
    <row r="16748" spans="1:1" x14ac:dyDescent="0.3">
      <c r="A16748" s="12"/>
    </row>
    <row r="16749" spans="1:1" x14ac:dyDescent="0.3">
      <c r="A16749" s="12"/>
    </row>
    <row r="16750" spans="1:1" x14ac:dyDescent="0.3">
      <c r="A16750" s="12"/>
    </row>
    <row r="16751" spans="1:1" x14ac:dyDescent="0.3">
      <c r="A16751" s="12"/>
    </row>
    <row r="16752" spans="1:1" x14ac:dyDescent="0.3">
      <c r="A16752" s="12"/>
    </row>
    <row r="16753" spans="1:1" x14ac:dyDescent="0.3">
      <c r="A16753" s="12"/>
    </row>
    <row r="16754" spans="1:1" x14ac:dyDescent="0.3">
      <c r="A16754" s="12"/>
    </row>
    <row r="16755" spans="1:1" x14ac:dyDescent="0.3">
      <c r="A16755" s="12"/>
    </row>
    <row r="16756" spans="1:1" x14ac:dyDescent="0.3">
      <c r="A16756" s="12"/>
    </row>
    <row r="16757" spans="1:1" x14ac:dyDescent="0.3">
      <c r="A16757" s="12"/>
    </row>
    <row r="16758" spans="1:1" x14ac:dyDescent="0.3">
      <c r="A16758" s="12"/>
    </row>
    <row r="16759" spans="1:1" x14ac:dyDescent="0.3">
      <c r="A16759" s="12"/>
    </row>
    <row r="16760" spans="1:1" x14ac:dyDescent="0.3">
      <c r="A16760" s="12"/>
    </row>
    <row r="16761" spans="1:1" x14ac:dyDescent="0.3">
      <c r="A16761" s="12"/>
    </row>
    <row r="16762" spans="1:1" x14ac:dyDescent="0.3">
      <c r="A16762" s="12"/>
    </row>
    <row r="16763" spans="1:1" x14ac:dyDescent="0.3">
      <c r="A16763" s="12"/>
    </row>
    <row r="16764" spans="1:1" x14ac:dyDescent="0.3">
      <c r="A16764" s="12"/>
    </row>
    <row r="16765" spans="1:1" x14ac:dyDescent="0.3">
      <c r="A16765" s="12"/>
    </row>
    <row r="16766" spans="1:1" x14ac:dyDescent="0.3">
      <c r="A16766" s="12"/>
    </row>
    <row r="16767" spans="1:1" x14ac:dyDescent="0.3">
      <c r="A16767" s="12"/>
    </row>
    <row r="16768" spans="1:1" x14ac:dyDescent="0.3">
      <c r="A16768" s="12"/>
    </row>
    <row r="16769" spans="1:1" x14ac:dyDescent="0.3">
      <c r="A16769" s="12"/>
    </row>
    <row r="16770" spans="1:1" x14ac:dyDescent="0.3">
      <c r="A16770" s="12"/>
    </row>
    <row r="16771" spans="1:1" x14ac:dyDescent="0.3">
      <c r="A16771" s="12"/>
    </row>
    <row r="16772" spans="1:1" x14ac:dyDescent="0.3">
      <c r="A16772" s="12"/>
    </row>
    <row r="16773" spans="1:1" x14ac:dyDescent="0.3">
      <c r="A16773" s="12"/>
    </row>
    <row r="16774" spans="1:1" x14ac:dyDescent="0.3">
      <c r="A16774" s="12"/>
    </row>
    <row r="16775" spans="1:1" x14ac:dyDescent="0.3">
      <c r="A16775" s="12"/>
    </row>
    <row r="16776" spans="1:1" x14ac:dyDescent="0.3">
      <c r="A16776" s="12"/>
    </row>
    <row r="16777" spans="1:1" x14ac:dyDescent="0.3">
      <c r="A16777" s="12"/>
    </row>
    <row r="16778" spans="1:1" x14ac:dyDescent="0.3">
      <c r="A16778" s="12"/>
    </row>
    <row r="16779" spans="1:1" x14ac:dyDescent="0.3">
      <c r="A16779" s="12"/>
    </row>
    <row r="16780" spans="1:1" x14ac:dyDescent="0.3">
      <c r="A16780" s="12"/>
    </row>
    <row r="16781" spans="1:1" x14ac:dyDescent="0.3">
      <c r="A16781" s="12"/>
    </row>
    <row r="16782" spans="1:1" x14ac:dyDescent="0.3">
      <c r="A16782" s="12"/>
    </row>
    <row r="16783" spans="1:1" x14ac:dyDescent="0.3">
      <c r="A16783" s="12"/>
    </row>
    <row r="16784" spans="1:1" x14ac:dyDescent="0.3">
      <c r="A16784" s="12"/>
    </row>
    <row r="16785" spans="1:1" x14ac:dyDescent="0.3">
      <c r="A16785" s="12"/>
    </row>
    <row r="16786" spans="1:1" x14ac:dyDescent="0.3">
      <c r="A16786" s="12"/>
    </row>
    <row r="16787" spans="1:1" x14ac:dyDescent="0.3">
      <c r="A16787" s="12"/>
    </row>
    <row r="16788" spans="1:1" x14ac:dyDescent="0.3">
      <c r="A16788" s="12"/>
    </row>
    <row r="16789" spans="1:1" x14ac:dyDescent="0.3">
      <c r="A16789" s="12"/>
    </row>
    <row r="16790" spans="1:1" x14ac:dyDescent="0.3">
      <c r="A16790" s="12"/>
    </row>
    <row r="16791" spans="1:1" x14ac:dyDescent="0.3">
      <c r="A16791" s="12"/>
    </row>
    <row r="16792" spans="1:1" x14ac:dyDescent="0.3">
      <c r="A16792" s="12"/>
    </row>
    <row r="16793" spans="1:1" x14ac:dyDescent="0.3">
      <c r="A16793" s="12"/>
    </row>
    <row r="16794" spans="1:1" x14ac:dyDescent="0.3">
      <c r="A16794" s="12"/>
    </row>
    <row r="16795" spans="1:1" x14ac:dyDescent="0.3">
      <c r="A16795" s="12"/>
    </row>
    <row r="16796" spans="1:1" x14ac:dyDescent="0.3">
      <c r="A16796" s="12"/>
    </row>
    <row r="16797" spans="1:1" x14ac:dyDescent="0.3">
      <c r="A16797" s="12"/>
    </row>
    <row r="16798" spans="1:1" x14ac:dyDescent="0.3">
      <c r="A16798" s="12"/>
    </row>
    <row r="16799" spans="1:1" x14ac:dyDescent="0.3">
      <c r="A16799" s="12"/>
    </row>
    <row r="16800" spans="1:1" x14ac:dyDescent="0.3">
      <c r="A16800" s="12"/>
    </row>
    <row r="16801" spans="1:1" x14ac:dyDescent="0.3">
      <c r="A16801" s="12"/>
    </row>
    <row r="16802" spans="1:1" x14ac:dyDescent="0.3">
      <c r="A16802" s="12"/>
    </row>
    <row r="16803" spans="1:1" x14ac:dyDescent="0.3">
      <c r="A16803" s="12"/>
    </row>
    <row r="16804" spans="1:1" x14ac:dyDescent="0.3">
      <c r="A16804" s="12"/>
    </row>
    <row r="16805" spans="1:1" x14ac:dyDescent="0.3">
      <c r="A16805" s="12"/>
    </row>
    <row r="16806" spans="1:1" x14ac:dyDescent="0.3">
      <c r="A16806" s="12"/>
    </row>
    <row r="16807" spans="1:1" x14ac:dyDescent="0.3">
      <c r="A16807" s="12"/>
    </row>
    <row r="16808" spans="1:1" x14ac:dyDescent="0.3">
      <c r="A16808" s="12"/>
    </row>
    <row r="16809" spans="1:1" x14ac:dyDescent="0.3">
      <c r="A16809" s="12"/>
    </row>
    <row r="16810" spans="1:1" x14ac:dyDescent="0.3">
      <c r="A16810" s="12"/>
    </row>
    <row r="16811" spans="1:1" x14ac:dyDescent="0.3">
      <c r="A16811" s="12"/>
    </row>
    <row r="16812" spans="1:1" x14ac:dyDescent="0.3">
      <c r="A16812" s="12"/>
    </row>
    <row r="16813" spans="1:1" x14ac:dyDescent="0.3">
      <c r="A16813" s="12"/>
    </row>
    <row r="16814" spans="1:1" x14ac:dyDescent="0.3">
      <c r="A16814" s="12"/>
    </row>
    <row r="16815" spans="1:1" x14ac:dyDescent="0.3">
      <c r="A16815" s="12"/>
    </row>
    <row r="16816" spans="1:1" x14ac:dyDescent="0.3">
      <c r="A16816" s="12"/>
    </row>
    <row r="16817" spans="1:1" x14ac:dyDescent="0.3">
      <c r="A16817" s="12"/>
    </row>
    <row r="16818" spans="1:1" x14ac:dyDescent="0.3">
      <c r="A16818" s="12"/>
    </row>
    <row r="16819" spans="1:1" x14ac:dyDescent="0.3">
      <c r="A16819" s="12"/>
    </row>
    <row r="16820" spans="1:1" x14ac:dyDescent="0.3">
      <c r="A16820" s="12"/>
    </row>
    <row r="16821" spans="1:1" x14ac:dyDescent="0.3">
      <c r="A16821" s="12"/>
    </row>
    <row r="16822" spans="1:1" x14ac:dyDescent="0.3">
      <c r="A16822" s="12"/>
    </row>
    <row r="16823" spans="1:1" x14ac:dyDescent="0.3">
      <c r="A16823" s="12"/>
    </row>
    <row r="16824" spans="1:1" x14ac:dyDescent="0.3">
      <c r="A16824" s="12"/>
    </row>
    <row r="16825" spans="1:1" x14ac:dyDescent="0.3">
      <c r="A16825" s="12"/>
    </row>
    <row r="16826" spans="1:1" x14ac:dyDescent="0.3">
      <c r="A16826" s="12"/>
    </row>
    <row r="16827" spans="1:1" x14ac:dyDescent="0.3">
      <c r="A16827" s="12"/>
    </row>
    <row r="16828" spans="1:1" x14ac:dyDescent="0.3">
      <c r="A16828" s="12"/>
    </row>
    <row r="16829" spans="1:1" x14ac:dyDescent="0.3">
      <c r="A16829" s="12"/>
    </row>
    <row r="16830" spans="1:1" x14ac:dyDescent="0.3">
      <c r="A16830" s="12"/>
    </row>
    <row r="16831" spans="1:1" x14ac:dyDescent="0.3">
      <c r="A16831" s="12"/>
    </row>
    <row r="16832" spans="1:1" x14ac:dyDescent="0.3">
      <c r="A16832" s="12"/>
    </row>
    <row r="16833" spans="1:1" x14ac:dyDescent="0.3">
      <c r="A16833" s="12"/>
    </row>
    <row r="16834" spans="1:1" x14ac:dyDescent="0.3">
      <c r="A16834" s="12"/>
    </row>
    <row r="16835" spans="1:1" x14ac:dyDescent="0.3">
      <c r="A16835" s="12"/>
    </row>
    <row r="16836" spans="1:1" x14ac:dyDescent="0.3">
      <c r="A16836" s="12"/>
    </row>
    <row r="16837" spans="1:1" x14ac:dyDescent="0.3">
      <c r="A16837" s="12"/>
    </row>
    <row r="16838" spans="1:1" x14ac:dyDescent="0.3">
      <c r="A16838" s="12"/>
    </row>
    <row r="16839" spans="1:1" x14ac:dyDescent="0.3">
      <c r="A16839" s="12"/>
    </row>
    <row r="16840" spans="1:1" x14ac:dyDescent="0.3">
      <c r="A16840" s="12"/>
    </row>
    <row r="16841" spans="1:1" x14ac:dyDescent="0.3">
      <c r="A16841" s="12"/>
    </row>
    <row r="16842" spans="1:1" x14ac:dyDescent="0.3">
      <c r="A16842" s="12"/>
    </row>
    <row r="16843" spans="1:1" x14ac:dyDescent="0.3">
      <c r="A16843" s="12"/>
    </row>
    <row r="16844" spans="1:1" x14ac:dyDescent="0.3">
      <c r="A16844" s="12"/>
    </row>
    <row r="16845" spans="1:1" x14ac:dyDescent="0.3">
      <c r="A16845" s="12"/>
    </row>
    <row r="16846" spans="1:1" x14ac:dyDescent="0.3">
      <c r="A16846" s="12"/>
    </row>
    <row r="16847" spans="1:1" x14ac:dyDescent="0.3">
      <c r="A16847" s="12"/>
    </row>
    <row r="16848" spans="1:1" x14ac:dyDescent="0.3">
      <c r="A16848" s="12"/>
    </row>
    <row r="16849" spans="1:1" x14ac:dyDescent="0.3">
      <c r="A16849" s="12"/>
    </row>
    <row r="16850" spans="1:1" x14ac:dyDescent="0.3">
      <c r="A16850" s="12"/>
    </row>
    <row r="16851" spans="1:1" x14ac:dyDescent="0.3">
      <c r="A16851" s="12"/>
    </row>
    <row r="16852" spans="1:1" x14ac:dyDescent="0.3">
      <c r="A16852" s="12"/>
    </row>
    <row r="16853" spans="1:1" x14ac:dyDescent="0.3">
      <c r="A16853" s="12"/>
    </row>
    <row r="16854" spans="1:1" x14ac:dyDescent="0.3">
      <c r="A16854" s="12"/>
    </row>
    <row r="16855" spans="1:1" x14ac:dyDescent="0.3">
      <c r="A16855" s="12"/>
    </row>
    <row r="16856" spans="1:1" x14ac:dyDescent="0.3">
      <c r="A16856" s="12"/>
    </row>
    <row r="16857" spans="1:1" x14ac:dyDescent="0.3">
      <c r="A16857" s="12"/>
    </row>
    <row r="16858" spans="1:1" x14ac:dyDescent="0.3">
      <c r="A16858" s="12"/>
    </row>
    <row r="16859" spans="1:1" x14ac:dyDescent="0.3">
      <c r="A16859" s="12"/>
    </row>
    <row r="16860" spans="1:1" x14ac:dyDescent="0.3">
      <c r="A16860" s="12"/>
    </row>
    <row r="16861" spans="1:1" x14ac:dyDescent="0.3">
      <c r="A16861" s="12"/>
    </row>
    <row r="16862" spans="1:1" x14ac:dyDescent="0.3">
      <c r="A16862" s="12"/>
    </row>
    <row r="16863" spans="1:1" x14ac:dyDescent="0.3">
      <c r="A16863" s="12"/>
    </row>
    <row r="16864" spans="1:1" x14ac:dyDescent="0.3">
      <c r="A16864" s="12"/>
    </row>
    <row r="16865" spans="1:1" x14ac:dyDescent="0.3">
      <c r="A16865" s="12"/>
    </row>
    <row r="16866" spans="1:1" x14ac:dyDescent="0.3">
      <c r="A16866" s="12"/>
    </row>
    <row r="16867" spans="1:1" x14ac:dyDescent="0.3">
      <c r="A16867" s="12"/>
    </row>
    <row r="16868" spans="1:1" x14ac:dyDescent="0.3">
      <c r="A16868" s="12"/>
    </row>
    <row r="16869" spans="1:1" x14ac:dyDescent="0.3">
      <c r="A16869" s="12"/>
    </row>
    <row r="16870" spans="1:1" x14ac:dyDescent="0.3">
      <c r="A16870" s="12"/>
    </row>
    <row r="16871" spans="1:1" x14ac:dyDescent="0.3">
      <c r="A16871" s="12"/>
    </row>
    <row r="16872" spans="1:1" x14ac:dyDescent="0.3">
      <c r="A16872" s="12"/>
    </row>
    <row r="16873" spans="1:1" x14ac:dyDescent="0.3">
      <c r="A16873" s="12"/>
    </row>
    <row r="16874" spans="1:1" x14ac:dyDescent="0.3">
      <c r="A16874" s="12"/>
    </row>
    <row r="16875" spans="1:1" x14ac:dyDescent="0.3">
      <c r="A16875" s="12"/>
    </row>
    <row r="16876" spans="1:1" x14ac:dyDescent="0.3">
      <c r="A16876" s="12"/>
    </row>
    <row r="16877" spans="1:1" x14ac:dyDescent="0.3">
      <c r="A16877" s="12"/>
    </row>
    <row r="16878" spans="1:1" x14ac:dyDescent="0.3">
      <c r="A16878" s="12"/>
    </row>
    <row r="16879" spans="1:1" x14ac:dyDescent="0.3">
      <c r="A16879" s="12"/>
    </row>
    <row r="16880" spans="1:1" x14ac:dyDescent="0.3">
      <c r="A16880" s="12"/>
    </row>
    <row r="16881" spans="1:1" x14ac:dyDescent="0.3">
      <c r="A16881" s="12"/>
    </row>
    <row r="16882" spans="1:1" x14ac:dyDescent="0.3">
      <c r="A16882" s="12"/>
    </row>
    <row r="16883" spans="1:1" x14ac:dyDescent="0.3">
      <c r="A16883" s="12"/>
    </row>
    <row r="16884" spans="1:1" x14ac:dyDescent="0.3">
      <c r="A16884" s="12"/>
    </row>
    <row r="16885" spans="1:1" x14ac:dyDescent="0.3">
      <c r="A16885" s="12"/>
    </row>
    <row r="16886" spans="1:1" x14ac:dyDescent="0.3">
      <c r="A16886" s="12"/>
    </row>
    <row r="16887" spans="1:1" x14ac:dyDescent="0.3">
      <c r="A16887" s="12"/>
    </row>
    <row r="16888" spans="1:1" x14ac:dyDescent="0.3">
      <c r="A16888" s="12"/>
    </row>
    <row r="16889" spans="1:1" x14ac:dyDescent="0.3">
      <c r="A16889" s="12"/>
    </row>
    <row r="16890" spans="1:1" x14ac:dyDescent="0.3">
      <c r="A16890" s="12"/>
    </row>
    <row r="16891" spans="1:1" x14ac:dyDescent="0.3">
      <c r="A16891" s="12"/>
    </row>
    <row r="16892" spans="1:1" x14ac:dyDescent="0.3">
      <c r="A16892" s="12"/>
    </row>
    <row r="16893" spans="1:1" x14ac:dyDescent="0.3">
      <c r="A16893" s="12"/>
    </row>
    <row r="16894" spans="1:1" x14ac:dyDescent="0.3">
      <c r="A16894" s="12"/>
    </row>
    <row r="16895" spans="1:1" x14ac:dyDescent="0.3">
      <c r="A16895" s="12"/>
    </row>
    <row r="16896" spans="1:1" x14ac:dyDescent="0.3">
      <c r="A16896" s="12"/>
    </row>
    <row r="16897" spans="1:1" x14ac:dyDescent="0.3">
      <c r="A16897" s="12"/>
    </row>
    <row r="16898" spans="1:1" x14ac:dyDescent="0.3">
      <c r="A16898" s="12"/>
    </row>
    <row r="16899" spans="1:1" x14ac:dyDescent="0.3">
      <c r="A16899" s="12"/>
    </row>
    <row r="16900" spans="1:1" x14ac:dyDescent="0.3">
      <c r="A16900" s="12"/>
    </row>
    <row r="16901" spans="1:1" x14ac:dyDescent="0.3">
      <c r="A16901" s="12"/>
    </row>
    <row r="16902" spans="1:1" x14ac:dyDescent="0.3">
      <c r="A16902" s="12"/>
    </row>
    <row r="16903" spans="1:1" x14ac:dyDescent="0.3">
      <c r="A16903" s="12"/>
    </row>
    <row r="16904" spans="1:1" x14ac:dyDescent="0.3">
      <c r="A16904" s="12"/>
    </row>
    <row r="16905" spans="1:1" x14ac:dyDescent="0.3">
      <c r="A16905" s="12"/>
    </row>
    <row r="16906" spans="1:1" x14ac:dyDescent="0.3">
      <c r="A16906" s="12"/>
    </row>
    <row r="16907" spans="1:1" x14ac:dyDescent="0.3">
      <c r="A16907" s="12"/>
    </row>
    <row r="16908" spans="1:1" x14ac:dyDescent="0.3">
      <c r="A16908" s="12"/>
    </row>
    <row r="16909" spans="1:1" x14ac:dyDescent="0.3">
      <c r="A16909" s="12"/>
    </row>
    <row r="16910" spans="1:1" x14ac:dyDescent="0.3">
      <c r="A16910" s="12"/>
    </row>
    <row r="16911" spans="1:1" x14ac:dyDescent="0.3">
      <c r="A16911" s="12"/>
    </row>
    <row r="16912" spans="1:1" x14ac:dyDescent="0.3">
      <c r="A16912" s="12"/>
    </row>
    <row r="16913" spans="1:1" x14ac:dyDescent="0.3">
      <c r="A16913" s="12"/>
    </row>
    <row r="16914" spans="1:1" x14ac:dyDescent="0.3">
      <c r="A16914" s="12"/>
    </row>
    <row r="16915" spans="1:1" x14ac:dyDescent="0.3">
      <c r="A16915" s="12"/>
    </row>
    <row r="16916" spans="1:1" x14ac:dyDescent="0.3">
      <c r="A16916" s="12"/>
    </row>
    <row r="16917" spans="1:1" x14ac:dyDescent="0.3">
      <c r="A16917" s="12"/>
    </row>
    <row r="16918" spans="1:1" x14ac:dyDescent="0.3">
      <c r="A16918" s="12"/>
    </row>
    <row r="16919" spans="1:1" x14ac:dyDescent="0.3">
      <c r="A16919" s="12"/>
    </row>
    <row r="16920" spans="1:1" x14ac:dyDescent="0.3">
      <c r="A16920" s="12"/>
    </row>
    <row r="16921" spans="1:1" x14ac:dyDescent="0.3">
      <c r="A16921" s="12"/>
    </row>
    <row r="16922" spans="1:1" x14ac:dyDescent="0.3">
      <c r="A16922" s="12"/>
    </row>
    <row r="16923" spans="1:1" x14ac:dyDescent="0.3">
      <c r="A16923" s="12"/>
    </row>
    <row r="16924" spans="1:1" x14ac:dyDescent="0.3">
      <c r="A16924" s="12"/>
    </row>
    <row r="16925" spans="1:1" x14ac:dyDescent="0.3">
      <c r="A16925" s="12"/>
    </row>
    <row r="16926" spans="1:1" x14ac:dyDescent="0.3">
      <c r="A16926" s="12"/>
    </row>
    <row r="16927" spans="1:1" x14ac:dyDescent="0.3">
      <c r="A16927" s="12"/>
    </row>
    <row r="16928" spans="1:1" x14ac:dyDescent="0.3">
      <c r="A16928" s="12"/>
    </row>
    <row r="16929" spans="1:1" x14ac:dyDescent="0.3">
      <c r="A16929" s="12"/>
    </row>
    <row r="16930" spans="1:1" x14ac:dyDescent="0.3">
      <c r="A16930" s="12"/>
    </row>
    <row r="16931" spans="1:1" x14ac:dyDescent="0.3">
      <c r="A16931" s="12"/>
    </row>
    <row r="16932" spans="1:1" x14ac:dyDescent="0.3">
      <c r="A16932" s="12"/>
    </row>
    <row r="16933" spans="1:1" x14ac:dyDescent="0.3">
      <c r="A16933" s="12"/>
    </row>
    <row r="16934" spans="1:1" x14ac:dyDescent="0.3">
      <c r="A16934" s="12"/>
    </row>
    <row r="16935" spans="1:1" x14ac:dyDescent="0.3">
      <c r="A16935" s="12"/>
    </row>
    <row r="16936" spans="1:1" x14ac:dyDescent="0.3">
      <c r="A16936" s="12"/>
    </row>
    <row r="16937" spans="1:1" x14ac:dyDescent="0.3">
      <c r="A16937" s="12"/>
    </row>
    <row r="16938" spans="1:1" x14ac:dyDescent="0.3">
      <c r="A16938" s="12"/>
    </row>
    <row r="16939" spans="1:1" x14ac:dyDescent="0.3">
      <c r="A16939" s="12"/>
    </row>
    <row r="16940" spans="1:1" x14ac:dyDescent="0.3">
      <c r="A16940" s="12"/>
    </row>
    <row r="16941" spans="1:1" x14ac:dyDescent="0.3">
      <c r="A16941" s="12"/>
    </row>
    <row r="16942" spans="1:1" x14ac:dyDescent="0.3">
      <c r="A16942" s="12"/>
    </row>
    <row r="16943" spans="1:1" x14ac:dyDescent="0.3">
      <c r="A16943" s="12"/>
    </row>
    <row r="16944" spans="1:1" x14ac:dyDescent="0.3">
      <c r="A16944" s="12"/>
    </row>
    <row r="16945" spans="1:1" x14ac:dyDescent="0.3">
      <c r="A16945" s="12"/>
    </row>
    <row r="16946" spans="1:1" x14ac:dyDescent="0.3">
      <c r="A16946" s="12"/>
    </row>
    <row r="16947" spans="1:1" x14ac:dyDescent="0.3">
      <c r="A16947" s="12"/>
    </row>
    <row r="16948" spans="1:1" x14ac:dyDescent="0.3">
      <c r="A16948" s="12"/>
    </row>
    <row r="16949" spans="1:1" x14ac:dyDescent="0.3">
      <c r="A16949" s="12"/>
    </row>
    <row r="16950" spans="1:1" x14ac:dyDescent="0.3">
      <c r="A16950" s="12"/>
    </row>
    <row r="16951" spans="1:1" x14ac:dyDescent="0.3">
      <c r="A16951" s="12"/>
    </row>
    <row r="16952" spans="1:1" x14ac:dyDescent="0.3">
      <c r="A16952" s="12"/>
    </row>
    <row r="16953" spans="1:1" x14ac:dyDescent="0.3">
      <c r="A16953" s="12"/>
    </row>
    <row r="16954" spans="1:1" x14ac:dyDescent="0.3">
      <c r="A16954" s="12"/>
    </row>
    <row r="16955" spans="1:1" x14ac:dyDescent="0.3">
      <c r="A16955" s="12"/>
    </row>
    <row r="16956" spans="1:1" x14ac:dyDescent="0.3">
      <c r="A16956" s="12"/>
    </row>
    <row r="16957" spans="1:1" x14ac:dyDescent="0.3">
      <c r="A16957" s="12"/>
    </row>
    <row r="16958" spans="1:1" x14ac:dyDescent="0.3">
      <c r="A16958" s="12"/>
    </row>
    <row r="16959" spans="1:1" x14ac:dyDescent="0.3">
      <c r="A16959" s="12"/>
    </row>
    <row r="16960" spans="1:1" x14ac:dyDescent="0.3">
      <c r="A16960" s="12"/>
    </row>
    <row r="16961" spans="1:1" x14ac:dyDescent="0.3">
      <c r="A16961" s="12"/>
    </row>
    <row r="16962" spans="1:1" x14ac:dyDescent="0.3">
      <c r="A16962" s="12"/>
    </row>
    <row r="16963" spans="1:1" x14ac:dyDescent="0.3">
      <c r="A16963" s="12"/>
    </row>
    <row r="16964" spans="1:1" x14ac:dyDescent="0.3">
      <c r="A16964" s="12"/>
    </row>
    <row r="16965" spans="1:1" x14ac:dyDescent="0.3">
      <c r="A16965" s="12"/>
    </row>
    <row r="16966" spans="1:1" x14ac:dyDescent="0.3">
      <c r="A16966" s="12"/>
    </row>
    <row r="16967" spans="1:1" x14ac:dyDescent="0.3">
      <c r="A16967" s="12"/>
    </row>
    <row r="16968" spans="1:1" x14ac:dyDescent="0.3">
      <c r="A16968" s="12"/>
    </row>
    <row r="16969" spans="1:1" x14ac:dyDescent="0.3">
      <c r="A16969" s="12"/>
    </row>
    <row r="16970" spans="1:1" x14ac:dyDescent="0.3">
      <c r="A16970" s="12"/>
    </row>
    <row r="16971" spans="1:1" x14ac:dyDescent="0.3">
      <c r="A16971" s="12"/>
    </row>
    <row r="16972" spans="1:1" x14ac:dyDescent="0.3">
      <c r="A16972" s="12"/>
    </row>
    <row r="16973" spans="1:1" x14ac:dyDescent="0.3">
      <c r="A16973" s="12"/>
    </row>
    <row r="16974" spans="1:1" x14ac:dyDescent="0.3">
      <c r="A16974" s="12"/>
    </row>
    <row r="16975" spans="1:1" x14ac:dyDescent="0.3">
      <c r="A16975" s="12"/>
    </row>
    <row r="16976" spans="1:1" x14ac:dyDescent="0.3">
      <c r="A16976" s="12"/>
    </row>
    <row r="16977" spans="1:1" x14ac:dyDescent="0.3">
      <c r="A16977" s="12"/>
    </row>
    <row r="16978" spans="1:1" x14ac:dyDescent="0.3">
      <c r="A16978" s="12"/>
    </row>
    <row r="16979" spans="1:1" x14ac:dyDescent="0.3">
      <c r="A16979" s="12"/>
    </row>
    <row r="16980" spans="1:1" x14ac:dyDescent="0.3">
      <c r="A16980" s="12"/>
    </row>
    <row r="16981" spans="1:1" x14ac:dyDescent="0.3">
      <c r="A16981" s="12"/>
    </row>
    <row r="16982" spans="1:1" x14ac:dyDescent="0.3">
      <c r="A16982" s="12"/>
    </row>
    <row r="16983" spans="1:1" x14ac:dyDescent="0.3">
      <c r="A16983" s="12"/>
    </row>
    <row r="16984" spans="1:1" x14ac:dyDescent="0.3">
      <c r="A16984" s="12"/>
    </row>
    <row r="16985" spans="1:1" x14ac:dyDescent="0.3">
      <c r="A16985" s="12"/>
    </row>
    <row r="16986" spans="1:1" x14ac:dyDescent="0.3">
      <c r="A16986" s="12"/>
    </row>
    <row r="16987" spans="1:1" x14ac:dyDescent="0.3">
      <c r="A16987" s="12"/>
    </row>
    <row r="16988" spans="1:1" x14ac:dyDescent="0.3">
      <c r="A16988" s="12"/>
    </row>
    <row r="16989" spans="1:1" x14ac:dyDescent="0.3">
      <c r="A16989" s="12"/>
    </row>
    <row r="16990" spans="1:1" x14ac:dyDescent="0.3">
      <c r="A16990" s="12"/>
    </row>
    <row r="16991" spans="1:1" x14ac:dyDescent="0.3">
      <c r="A16991" s="12"/>
    </row>
    <row r="16992" spans="1:1" x14ac:dyDescent="0.3">
      <c r="A16992" s="12"/>
    </row>
    <row r="16993" spans="1:1" x14ac:dyDescent="0.3">
      <c r="A16993" s="12"/>
    </row>
    <row r="16994" spans="1:1" x14ac:dyDescent="0.3">
      <c r="A16994" s="12"/>
    </row>
    <row r="16995" spans="1:1" x14ac:dyDescent="0.3">
      <c r="A16995" s="12"/>
    </row>
    <row r="16996" spans="1:1" x14ac:dyDescent="0.3">
      <c r="A16996" s="12"/>
    </row>
    <row r="16997" spans="1:1" x14ac:dyDescent="0.3">
      <c r="A16997" s="12"/>
    </row>
    <row r="16998" spans="1:1" x14ac:dyDescent="0.3">
      <c r="A16998" s="12"/>
    </row>
    <row r="16999" spans="1:1" x14ac:dyDescent="0.3">
      <c r="A16999" s="12"/>
    </row>
    <row r="17000" spans="1:1" x14ac:dyDescent="0.3">
      <c r="A17000" s="12"/>
    </row>
    <row r="17001" spans="1:1" x14ac:dyDescent="0.3">
      <c r="A17001" s="12"/>
    </row>
    <row r="17002" spans="1:1" x14ac:dyDescent="0.3">
      <c r="A17002" s="12"/>
    </row>
    <row r="17003" spans="1:1" x14ac:dyDescent="0.3">
      <c r="A17003" s="12"/>
    </row>
    <row r="17004" spans="1:1" x14ac:dyDescent="0.3">
      <c r="A17004" s="12"/>
    </row>
    <row r="17005" spans="1:1" x14ac:dyDescent="0.3">
      <c r="A17005" s="12"/>
    </row>
    <row r="17006" spans="1:1" x14ac:dyDescent="0.3">
      <c r="A17006" s="12"/>
    </row>
    <row r="17007" spans="1:1" x14ac:dyDescent="0.3">
      <c r="A17007" s="12"/>
    </row>
    <row r="17008" spans="1:1" x14ac:dyDescent="0.3">
      <c r="A17008" s="12"/>
    </row>
    <row r="17009" spans="1:1" x14ac:dyDescent="0.3">
      <c r="A17009" s="12"/>
    </row>
    <row r="17010" spans="1:1" x14ac:dyDescent="0.3">
      <c r="A17010" s="12"/>
    </row>
    <row r="17011" spans="1:1" x14ac:dyDescent="0.3">
      <c r="A17011" s="12"/>
    </row>
    <row r="17012" spans="1:1" x14ac:dyDescent="0.3">
      <c r="A17012" s="12"/>
    </row>
    <row r="17013" spans="1:1" x14ac:dyDescent="0.3">
      <c r="A17013" s="12"/>
    </row>
    <row r="17014" spans="1:1" x14ac:dyDescent="0.3">
      <c r="A17014" s="12"/>
    </row>
    <row r="17015" spans="1:1" x14ac:dyDescent="0.3">
      <c r="A17015" s="12"/>
    </row>
    <row r="17016" spans="1:1" x14ac:dyDescent="0.3">
      <c r="A17016" s="12"/>
    </row>
    <row r="17017" spans="1:1" x14ac:dyDescent="0.3">
      <c r="A17017" s="12"/>
    </row>
    <row r="17018" spans="1:1" x14ac:dyDescent="0.3">
      <c r="A17018" s="12"/>
    </row>
    <row r="17019" spans="1:1" x14ac:dyDescent="0.3">
      <c r="A17019" s="12"/>
    </row>
    <row r="17020" spans="1:1" x14ac:dyDescent="0.3">
      <c r="A17020" s="12"/>
    </row>
    <row r="17021" spans="1:1" x14ac:dyDescent="0.3">
      <c r="A17021" s="12"/>
    </row>
    <row r="17022" spans="1:1" x14ac:dyDescent="0.3">
      <c r="A17022" s="12"/>
    </row>
    <row r="17023" spans="1:1" x14ac:dyDescent="0.3">
      <c r="A17023" s="12"/>
    </row>
    <row r="17024" spans="1:1" x14ac:dyDescent="0.3">
      <c r="A17024" s="12"/>
    </row>
    <row r="17025" spans="1:1" x14ac:dyDescent="0.3">
      <c r="A17025" s="12"/>
    </row>
    <row r="17026" spans="1:1" x14ac:dyDescent="0.3">
      <c r="A17026" s="12"/>
    </row>
    <row r="17027" spans="1:1" x14ac:dyDescent="0.3">
      <c r="A17027" s="12"/>
    </row>
    <row r="17028" spans="1:1" x14ac:dyDescent="0.3">
      <c r="A17028" s="12"/>
    </row>
    <row r="17029" spans="1:1" x14ac:dyDescent="0.3">
      <c r="A17029" s="12"/>
    </row>
    <row r="17030" spans="1:1" x14ac:dyDescent="0.3">
      <c r="A17030" s="12"/>
    </row>
    <row r="17031" spans="1:1" x14ac:dyDescent="0.3">
      <c r="A17031" s="12"/>
    </row>
    <row r="17032" spans="1:1" x14ac:dyDescent="0.3">
      <c r="A17032" s="12"/>
    </row>
    <row r="17033" spans="1:1" x14ac:dyDescent="0.3">
      <c r="A17033" s="12"/>
    </row>
    <row r="17034" spans="1:1" x14ac:dyDescent="0.3">
      <c r="A17034" s="12"/>
    </row>
    <row r="17035" spans="1:1" x14ac:dyDescent="0.3">
      <c r="A17035" s="12"/>
    </row>
    <row r="17036" spans="1:1" x14ac:dyDescent="0.3">
      <c r="A17036" s="12"/>
    </row>
    <row r="17037" spans="1:1" x14ac:dyDescent="0.3">
      <c r="A17037" s="12"/>
    </row>
    <row r="17038" spans="1:1" x14ac:dyDescent="0.3">
      <c r="A17038" s="12"/>
    </row>
    <row r="17039" spans="1:1" x14ac:dyDescent="0.3">
      <c r="A17039" s="12"/>
    </row>
    <row r="17040" spans="1:1" x14ac:dyDescent="0.3">
      <c r="A17040" s="12"/>
    </row>
    <row r="17041" spans="1:1" x14ac:dyDescent="0.3">
      <c r="A17041" s="12"/>
    </row>
    <row r="17042" spans="1:1" x14ac:dyDescent="0.3">
      <c r="A17042" s="12"/>
    </row>
    <row r="17043" spans="1:1" x14ac:dyDescent="0.3">
      <c r="A17043" s="12"/>
    </row>
    <row r="17044" spans="1:1" x14ac:dyDescent="0.3">
      <c r="A17044" s="12"/>
    </row>
    <row r="17045" spans="1:1" x14ac:dyDescent="0.3">
      <c r="A17045" s="12"/>
    </row>
    <row r="17046" spans="1:1" x14ac:dyDescent="0.3">
      <c r="A17046" s="12"/>
    </row>
    <row r="17047" spans="1:1" x14ac:dyDescent="0.3">
      <c r="A17047" s="12"/>
    </row>
    <row r="17048" spans="1:1" x14ac:dyDescent="0.3">
      <c r="A17048" s="12"/>
    </row>
    <row r="17049" spans="1:1" x14ac:dyDescent="0.3">
      <c r="A17049" s="12"/>
    </row>
    <row r="17050" spans="1:1" x14ac:dyDescent="0.3">
      <c r="A17050" s="12"/>
    </row>
    <row r="17051" spans="1:1" x14ac:dyDescent="0.3">
      <c r="A17051" s="12"/>
    </row>
    <row r="17052" spans="1:1" x14ac:dyDescent="0.3">
      <c r="A17052" s="12"/>
    </row>
    <row r="17053" spans="1:1" x14ac:dyDescent="0.3">
      <c r="A17053" s="12"/>
    </row>
    <row r="17054" spans="1:1" x14ac:dyDescent="0.3">
      <c r="A17054" s="12"/>
    </row>
    <row r="17055" spans="1:1" x14ac:dyDescent="0.3">
      <c r="A17055" s="12"/>
    </row>
    <row r="17056" spans="1:1" x14ac:dyDescent="0.3">
      <c r="A17056" s="12"/>
    </row>
    <row r="17057" spans="1:1" x14ac:dyDescent="0.3">
      <c r="A17057" s="12"/>
    </row>
    <row r="17058" spans="1:1" x14ac:dyDescent="0.3">
      <c r="A17058" s="12"/>
    </row>
    <row r="17059" spans="1:1" x14ac:dyDescent="0.3">
      <c r="A17059" s="12"/>
    </row>
    <row r="17060" spans="1:1" x14ac:dyDescent="0.3">
      <c r="A17060" s="12"/>
    </row>
    <row r="17061" spans="1:1" x14ac:dyDescent="0.3">
      <c r="A17061" s="12"/>
    </row>
    <row r="17062" spans="1:1" x14ac:dyDescent="0.3">
      <c r="A17062" s="12"/>
    </row>
    <row r="17063" spans="1:1" x14ac:dyDescent="0.3">
      <c r="A17063" s="12"/>
    </row>
    <row r="17064" spans="1:1" x14ac:dyDescent="0.3">
      <c r="A17064" s="12"/>
    </row>
    <row r="17065" spans="1:1" x14ac:dyDescent="0.3">
      <c r="A17065" s="12"/>
    </row>
    <row r="17066" spans="1:1" x14ac:dyDescent="0.3">
      <c r="A17066" s="12"/>
    </row>
    <row r="17067" spans="1:1" x14ac:dyDescent="0.3">
      <c r="A17067" s="12"/>
    </row>
    <row r="17068" spans="1:1" x14ac:dyDescent="0.3">
      <c r="A17068" s="12"/>
    </row>
    <row r="17069" spans="1:1" x14ac:dyDescent="0.3">
      <c r="A17069" s="12"/>
    </row>
    <row r="17070" spans="1:1" x14ac:dyDescent="0.3">
      <c r="A17070" s="12"/>
    </row>
    <row r="17071" spans="1:1" x14ac:dyDescent="0.3">
      <c r="A17071" s="12"/>
    </row>
    <row r="17072" spans="1:1" x14ac:dyDescent="0.3">
      <c r="A17072" s="12"/>
    </row>
    <row r="17073" spans="1:1" x14ac:dyDescent="0.3">
      <c r="A17073" s="12"/>
    </row>
    <row r="17074" spans="1:1" x14ac:dyDescent="0.3">
      <c r="A17074" s="12"/>
    </row>
    <row r="17075" spans="1:1" x14ac:dyDescent="0.3">
      <c r="A17075" s="12"/>
    </row>
    <row r="17076" spans="1:1" x14ac:dyDescent="0.3">
      <c r="A17076" s="12"/>
    </row>
    <row r="17077" spans="1:1" x14ac:dyDescent="0.3">
      <c r="A17077" s="12"/>
    </row>
    <row r="17078" spans="1:1" x14ac:dyDescent="0.3">
      <c r="A17078" s="12"/>
    </row>
    <row r="17079" spans="1:1" x14ac:dyDescent="0.3">
      <c r="A17079" s="12"/>
    </row>
    <row r="17080" spans="1:1" x14ac:dyDescent="0.3">
      <c r="A17080" s="12"/>
    </row>
    <row r="17081" spans="1:1" x14ac:dyDescent="0.3">
      <c r="A17081" s="12"/>
    </row>
    <row r="17082" spans="1:1" x14ac:dyDescent="0.3">
      <c r="A17082" s="12"/>
    </row>
    <row r="17083" spans="1:1" x14ac:dyDescent="0.3">
      <c r="A17083" s="12"/>
    </row>
    <row r="17084" spans="1:1" x14ac:dyDescent="0.3">
      <c r="A17084" s="12"/>
    </row>
    <row r="17085" spans="1:1" x14ac:dyDescent="0.3">
      <c r="A17085" s="12"/>
    </row>
    <row r="17086" spans="1:1" x14ac:dyDescent="0.3">
      <c r="A17086" s="12"/>
    </row>
    <row r="17087" spans="1:1" x14ac:dyDescent="0.3">
      <c r="A17087" s="12"/>
    </row>
    <row r="17088" spans="1:1" x14ac:dyDescent="0.3">
      <c r="A17088" s="12"/>
    </row>
    <row r="17089" spans="1:1" x14ac:dyDescent="0.3">
      <c r="A17089" s="12"/>
    </row>
    <row r="17090" spans="1:1" x14ac:dyDescent="0.3">
      <c r="A17090" s="12"/>
    </row>
    <row r="17091" spans="1:1" x14ac:dyDescent="0.3">
      <c r="A17091" s="12"/>
    </row>
    <row r="17092" spans="1:1" x14ac:dyDescent="0.3">
      <c r="A17092" s="12"/>
    </row>
    <row r="17093" spans="1:1" x14ac:dyDescent="0.3">
      <c r="A17093" s="12"/>
    </row>
    <row r="17094" spans="1:1" x14ac:dyDescent="0.3">
      <c r="A17094" s="12"/>
    </row>
    <row r="17095" spans="1:1" x14ac:dyDescent="0.3">
      <c r="A17095" s="12"/>
    </row>
    <row r="17096" spans="1:1" x14ac:dyDescent="0.3">
      <c r="A17096" s="12"/>
    </row>
    <row r="17097" spans="1:1" x14ac:dyDescent="0.3">
      <c r="A17097" s="12"/>
    </row>
    <row r="17098" spans="1:1" x14ac:dyDescent="0.3">
      <c r="A17098" s="12"/>
    </row>
    <row r="17099" spans="1:1" x14ac:dyDescent="0.3">
      <c r="A17099" s="12"/>
    </row>
    <row r="17100" spans="1:1" x14ac:dyDescent="0.3">
      <c r="A17100" s="12"/>
    </row>
    <row r="17101" spans="1:1" x14ac:dyDescent="0.3">
      <c r="A17101" s="12"/>
    </row>
    <row r="17102" spans="1:1" x14ac:dyDescent="0.3">
      <c r="A17102" s="12"/>
    </row>
    <row r="17103" spans="1:1" x14ac:dyDescent="0.3">
      <c r="A17103" s="12"/>
    </row>
    <row r="17104" spans="1:1" x14ac:dyDescent="0.3">
      <c r="A17104" s="12"/>
    </row>
    <row r="17105" spans="1:1" x14ac:dyDescent="0.3">
      <c r="A17105" s="12"/>
    </row>
    <row r="17106" spans="1:1" x14ac:dyDescent="0.3">
      <c r="A17106" s="12"/>
    </row>
    <row r="17107" spans="1:1" x14ac:dyDescent="0.3">
      <c r="A17107" s="12"/>
    </row>
    <row r="17108" spans="1:1" x14ac:dyDescent="0.3">
      <c r="A17108" s="12"/>
    </row>
    <row r="17109" spans="1:1" x14ac:dyDescent="0.3">
      <c r="A17109" s="12"/>
    </row>
    <row r="17110" spans="1:1" x14ac:dyDescent="0.3">
      <c r="A17110" s="12"/>
    </row>
    <row r="17111" spans="1:1" x14ac:dyDescent="0.3">
      <c r="A17111" s="12"/>
    </row>
    <row r="17112" spans="1:1" x14ac:dyDescent="0.3">
      <c r="A17112" s="12"/>
    </row>
    <row r="17113" spans="1:1" x14ac:dyDescent="0.3">
      <c r="A17113" s="12"/>
    </row>
    <row r="17114" spans="1:1" x14ac:dyDescent="0.3">
      <c r="A17114" s="12"/>
    </row>
    <row r="17115" spans="1:1" x14ac:dyDescent="0.3">
      <c r="A17115" s="12"/>
    </row>
    <row r="17116" spans="1:1" x14ac:dyDescent="0.3">
      <c r="A17116" s="12"/>
    </row>
    <row r="17117" spans="1:1" x14ac:dyDescent="0.3">
      <c r="A17117" s="12"/>
    </row>
    <row r="17118" spans="1:1" x14ac:dyDescent="0.3">
      <c r="A17118" s="12"/>
    </row>
    <row r="17119" spans="1:1" x14ac:dyDescent="0.3">
      <c r="A17119" s="12"/>
    </row>
    <row r="17120" spans="1:1" x14ac:dyDescent="0.3">
      <c r="A17120" s="12"/>
    </row>
    <row r="17121" spans="1:1" x14ac:dyDescent="0.3">
      <c r="A17121" s="12"/>
    </row>
    <row r="17122" spans="1:1" x14ac:dyDescent="0.3">
      <c r="A17122" s="12"/>
    </row>
    <row r="17123" spans="1:1" x14ac:dyDescent="0.3">
      <c r="A17123" s="12"/>
    </row>
    <row r="17124" spans="1:1" x14ac:dyDescent="0.3">
      <c r="A17124" s="12"/>
    </row>
    <row r="17125" spans="1:1" x14ac:dyDescent="0.3">
      <c r="A17125" s="12"/>
    </row>
    <row r="17126" spans="1:1" x14ac:dyDescent="0.3">
      <c r="A17126" s="12"/>
    </row>
    <row r="17127" spans="1:1" x14ac:dyDescent="0.3">
      <c r="A17127" s="12"/>
    </row>
    <row r="17128" spans="1:1" x14ac:dyDescent="0.3">
      <c r="A17128" s="12"/>
    </row>
    <row r="17129" spans="1:1" x14ac:dyDescent="0.3">
      <c r="A17129" s="12"/>
    </row>
    <row r="17130" spans="1:1" x14ac:dyDescent="0.3">
      <c r="A17130" s="12"/>
    </row>
    <row r="17131" spans="1:1" x14ac:dyDescent="0.3">
      <c r="A17131" s="12"/>
    </row>
    <row r="17132" spans="1:1" x14ac:dyDescent="0.3">
      <c r="A17132" s="12"/>
    </row>
    <row r="17133" spans="1:1" x14ac:dyDescent="0.3">
      <c r="A17133" s="12"/>
    </row>
    <row r="17134" spans="1:1" x14ac:dyDescent="0.3">
      <c r="A17134" s="12"/>
    </row>
    <row r="17135" spans="1:1" x14ac:dyDescent="0.3">
      <c r="A17135" s="12"/>
    </row>
    <row r="17136" spans="1:1" x14ac:dyDescent="0.3">
      <c r="A17136" s="12"/>
    </row>
    <row r="17137" spans="1:1" x14ac:dyDescent="0.3">
      <c r="A17137" s="12"/>
    </row>
    <row r="17138" spans="1:1" x14ac:dyDescent="0.3">
      <c r="A17138" s="12"/>
    </row>
    <row r="17139" spans="1:1" x14ac:dyDescent="0.3">
      <c r="A17139" s="12"/>
    </row>
    <row r="17140" spans="1:1" x14ac:dyDescent="0.3">
      <c r="A17140" s="12"/>
    </row>
    <row r="17141" spans="1:1" x14ac:dyDescent="0.3">
      <c r="A17141" s="12"/>
    </row>
    <row r="17142" spans="1:1" x14ac:dyDescent="0.3">
      <c r="A17142" s="12"/>
    </row>
    <row r="17143" spans="1:1" x14ac:dyDescent="0.3">
      <c r="A17143" s="12"/>
    </row>
    <row r="17144" spans="1:1" x14ac:dyDescent="0.3">
      <c r="A17144" s="12"/>
    </row>
    <row r="17145" spans="1:1" x14ac:dyDescent="0.3">
      <c r="A17145" s="12"/>
    </row>
    <row r="17146" spans="1:1" x14ac:dyDescent="0.3">
      <c r="A17146" s="12"/>
    </row>
    <row r="17147" spans="1:1" x14ac:dyDescent="0.3">
      <c r="A17147" s="12"/>
    </row>
    <row r="17148" spans="1:1" x14ac:dyDescent="0.3">
      <c r="A17148" s="12"/>
    </row>
    <row r="17149" spans="1:1" x14ac:dyDescent="0.3">
      <c r="A17149" s="12"/>
    </row>
    <row r="17150" spans="1:1" x14ac:dyDescent="0.3">
      <c r="A17150" s="12"/>
    </row>
    <row r="17151" spans="1:1" x14ac:dyDescent="0.3">
      <c r="A17151" s="12"/>
    </row>
    <row r="17152" spans="1:1" x14ac:dyDescent="0.3">
      <c r="A17152" s="12"/>
    </row>
    <row r="17153" spans="1:1" x14ac:dyDescent="0.3">
      <c r="A17153" s="12"/>
    </row>
    <row r="17154" spans="1:1" x14ac:dyDescent="0.3">
      <c r="A17154" s="12"/>
    </row>
    <row r="17155" spans="1:1" x14ac:dyDescent="0.3">
      <c r="A17155" s="12"/>
    </row>
    <row r="17156" spans="1:1" x14ac:dyDescent="0.3">
      <c r="A17156" s="12"/>
    </row>
    <row r="17157" spans="1:1" x14ac:dyDescent="0.3">
      <c r="A17157" s="12"/>
    </row>
    <row r="17158" spans="1:1" x14ac:dyDescent="0.3">
      <c r="A17158" s="12"/>
    </row>
    <row r="17159" spans="1:1" x14ac:dyDescent="0.3">
      <c r="A17159" s="12"/>
    </row>
    <row r="17160" spans="1:1" x14ac:dyDescent="0.3">
      <c r="A17160" s="12"/>
    </row>
    <row r="17161" spans="1:1" x14ac:dyDescent="0.3">
      <c r="A17161" s="12"/>
    </row>
    <row r="17162" spans="1:1" x14ac:dyDescent="0.3">
      <c r="A17162" s="12"/>
    </row>
    <row r="17163" spans="1:1" x14ac:dyDescent="0.3">
      <c r="A17163" s="12"/>
    </row>
    <row r="17164" spans="1:1" x14ac:dyDescent="0.3">
      <c r="A17164" s="12"/>
    </row>
    <row r="17165" spans="1:1" x14ac:dyDescent="0.3">
      <c r="A17165" s="12"/>
    </row>
    <row r="17166" spans="1:1" x14ac:dyDescent="0.3">
      <c r="A17166" s="12"/>
    </row>
    <row r="17167" spans="1:1" x14ac:dyDescent="0.3">
      <c r="A17167" s="12"/>
    </row>
    <row r="17168" spans="1:1" x14ac:dyDescent="0.3">
      <c r="A17168" s="12"/>
    </row>
    <row r="17169" spans="1:1" x14ac:dyDescent="0.3">
      <c r="A17169" s="12"/>
    </row>
    <row r="17170" spans="1:1" x14ac:dyDescent="0.3">
      <c r="A17170" s="12"/>
    </row>
    <row r="17171" spans="1:1" x14ac:dyDescent="0.3">
      <c r="A17171" s="12"/>
    </row>
    <row r="17172" spans="1:1" x14ac:dyDescent="0.3">
      <c r="A17172" s="12"/>
    </row>
    <row r="17173" spans="1:1" x14ac:dyDescent="0.3">
      <c r="A17173" s="12"/>
    </row>
    <row r="17174" spans="1:1" x14ac:dyDescent="0.3">
      <c r="A17174" s="12"/>
    </row>
    <row r="17175" spans="1:1" x14ac:dyDescent="0.3">
      <c r="A17175" s="12"/>
    </row>
    <row r="17176" spans="1:1" x14ac:dyDescent="0.3">
      <c r="A17176" s="12"/>
    </row>
    <row r="17177" spans="1:1" x14ac:dyDescent="0.3">
      <c r="A17177" s="12"/>
    </row>
    <row r="17178" spans="1:1" x14ac:dyDescent="0.3">
      <c r="A17178" s="12"/>
    </row>
    <row r="17179" spans="1:1" x14ac:dyDescent="0.3">
      <c r="A17179" s="12"/>
    </row>
    <row r="17180" spans="1:1" x14ac:dyDescent="0.3">
      <c r="A17180" s="12"/>
    </row>
    <row r="17181" spans="1:1" x14ac:dyDescent="0.3">
      <c r="A17181" s="12"/>
    </row>
    <row r="17182" spans="1:1" x14ac:dyDescent="0.3">
      <c r="A17182" s="12"/>
    </row>
    <row r="17183" spans="1:1" x14ac:dyDescent="0.3">
      <c r="A17183" s="12"/>
    </row>
    <row r="17184" spans="1:1" x14ac:dyDescent="0.3">
      <c r="A17184" s="12"/>
    </row>
    <row r="17185" spans="1:1" x14ac:dyDescent="0.3">
      <c r="A17185" s="12"/>
    </row>
    <row r="17186" spans="1:1" x14ac:dyDescent="0.3">
      <c r="A17186" s="12"/>
    </row>
    <row r="17187" spans="1:1" x14ac:dyDescent="0.3">
      <c r="A17187" s="12"/>
    </row>
    <row r="17188" spans="1:1" x14ac:dyDescent="0.3">
      <c r="A17188" s="12"/>
    </row>
    <row r="17189" spans="1:1" x14ac:dyDescent="0.3">
      <c r="A17189" s="12"/>
    </row>
    <row r="17190" spans="1:1" x14ac:dyDescent="0.3">
      <c r="A17190" s="12"/>
    </row>
    <row r="17191" spans="1:1" x14ac:dyDescent="0.3">
      <c r="A17191" s="12"/>
    </row>
    <row r="17192" spans="1:1" x14ac:dyDescent="0.3">
      <c r="A17192" s="12"/>
    </row>
    <row r="17193" spans="1:1" x14ac:dyDescent="0.3">
      <c r="A17193" s="12"/>
    </row>
    <row r="17194" spans="1:1" x14ac:dyDescent="0.3">
      <c r="A17194" s="12"/>
    </row>
    <row r="17195" spans="1:1" x14ac:dyDescent="0.3">
      <c r="A17195" s="12"/>
    </row>
    <row r="17196" spans="1:1" x14ac:dyDescent="0.3">
      <c r="A17196" s="12"/>
    </row>
    <row r="17197" spans="1:1" x14ac:dyDescent="0.3">
      <c r="A17197" s="12"/>
    </row>
    <row r="17198" spans="1:1" x14ac:dyDescent="0.3">
      <c r="A17198" s="12"/>
    </row>
    <row r="17199" spans="1:1" x14ac:dyDescent="0.3">
      <c r="A17199" s="12"/>
    </row>
    <row r="17200" spans="1:1" x14ac:dyDescent="0.3">
      <c r="A17200" s="12"/>
    </row>
    <row r="17201" spans="1:1" x14ac:dyDescent="0.3">
      <c r="A17201" s="12"/>
    </row>
    <row r="17202" spans="1:1" x14ac:dyDescent="0.3">
      <c r="A17202" s="12"/>
    </row>
    <row r="17203" spans="1:1" x14ac:dyDescent="0.3">
      <c r="A17203" s="12"/>
    </row>
    <row r="17204" spans="1:1" x14ac:dyDescent="0.3">
      <c r="A17204" s="12"/>
    </row>
    <row r="17205" spans="1:1" x14ac:dyDescent="0.3">
      <c r="A17205" s="12"/>
    </row>
    <row r="17206" spans="1:1" x14ac:dyDescent="0.3">
      <c r="A17206" s="12"/>
    </row>
    <row r="17207" spans="1:1" x14ac:dyDescent="0.3">
      <c r="A17207" s="12"/>
    </row>
    <row r="17208" spans="1:1" x14ac:dyDescent="0.3">
      <c r="A17208" s="12"/>
    </row>
    <row r="17209" spans="1:1" x14ac:dyDescent="0.3">
      <c r="A17209" s="12"/>
    </row>
    <row r="17210" spans="1:1" x14ac:dyDescent="0.3">
      <c r="A17210" s="12"/>
    </row>
    <row r="17211" spans="1:1" x14ac:dyDescent="0.3">
      <c r="A17211" s="12"/>
    </row>
    <row r="17212" spans="1:1" x14ac:dyDescent="0.3">
      <c r="A17212" s="12"/>
    </row>
    <row r="17213" spans="1:1" x14ac:dyDescent="0.3">
      <c r="A17213" s="12"/>
    </row>
    <row r="17214" spans="1:1" x14ac:dyDescent="0.3">
      <c r="A17214" s="12"/>
    </row>
    <row r="17215" spans="1:1" x14ac:dyDescent="0.3">
      <c r="A17215" s="12"/>
    </row>
    <row r="17216" spans="1:1" x14ac:dyDescent="0.3">
      <c r="A17216" s="12"/>
    </row>
    <row r="17217" spans="1:1" x14ac:dyDescent="0.3">
      <c r="A17217" s="12"/>
    </row>
    <row r="17218" spans="1:1" x14ac:dyDescent="0.3">
      <c r="A17218" s="12"/>
    </row>
    <row r="17219" spans="1:1" x14ac:dyDescent="0.3">
      <c r="A17219" s="12"/>
    </row>
    <row r="17220" spans="1:1" x14ac:dyDescent="0.3">
      <c r="A17220" s="12"/>
    </row>
    <row r="17221" spans="1:1" x14ac:dyDescent="0.3">
      <c r="A17221" s="12"/>
    </row>
    <row r="17222" spans="1:1" x14ac:dyDescent="0.3">
      <c r="A17222" s="12"/>
    </row>
    <row r="17223" spans="1:1" x14ac:dyDescent="0.3">
      <c r="A17223" s="12"/>
    </row>
    <row r="17224" spans="1:1" x14ac:dyDescent="0.3">
      <c r="A17224" s="12"/>
    </row>
    <row r="17225" spans="1:1" x14ac:dyDescent="0.3">
      <c r="A17225" s="12"/>
    </row>
    <row r="17226" spans="1:1" x14ac:dyDescent="0.3">
      <c r="A17226" s="12"/>
    </row>
    <row r="17227" spans="1:1" x14ac:dyDescent="0.3">
      <c r="A17227" s="12"/>
    </row>
    <row r="17228" spans="1:1" x14ac:dyDescent="0.3">
      <c r="A17228" s="12"/>
    </row>
    <row r="17229" spans="1:1" x14ac:dyDescent="0.3">
      <c r="A17229" s="12"/>
    </row>
    <row r="17230" spans="1:1" x14ac:dyDescent="0.3">
      <c r="A17230" s="12"/>
    </row>
    <row r="17231" spans="1:1" x14ac:dyDescent="0.3">
      <c r="A17231" s="12"/>
    </row>
    <row r="17232" spans="1:1" x14ac:dyDescent="0.3">
      <c r="A17232" s="12"/>
    </row>
    <row r="17233" spans="1:1" x14ac:dyDescent="0.3">
      <c r="A17233" s="12"/>
    </row>
    <row r="17234" spans="1:1" x14ac:dyDescent="0.3">
      <c r="A17234" s="12"/>
    </row>
    <row r="17235" spans="1:1" x14ac:dyDescent="0.3">
      <c r="A17235" s="12"/>
    </row>
    <row r="17236" spans="1:1" x14ac:dyDescent="0.3">
      <c r="A17236" s="12"/>
    </row>
    <row r="17237" spans="1:1" x14ac:dyDescent="0.3">
      <c r="A17237" s="12"/>
    </row>
    <row r="17238" spans="1:1" x14ac:dyDescent="0.3">
      <c r="A17238" s="12"/>
    </row>
    <row r="17239" spans="1:1" x14ac:dyDescent="0.3">
      <c r="A17239" s="12"/>
    </row>
    <row r="17240" spans="1:1" x14ac:dyDescent="0.3">
      <c r="A17240" s="12"/>
    </row>
    <row r="17241" spans="1:1" x14ac:dyDescent="0.3">
      <c r="A17241" s="12"/>
    </row>
    <row r="17242" spans="1:1" x14ac:dyDescent="0.3">
      <c r="A17242" s="12"/>
    </row>
    <row r="17243" spans="1:1" x14ac:dyDescent="0.3">
      <c r="A17243" s="12"/>
    </row>
    <row r="17244" spans="1:1" x14ac:dyDescent="0.3">
      <c r="A17244" s="12"/>
    </row>
    <row r="17245" spans="1:1" x14ac:dyDescent="0.3">
      <c r="A17245" s="12"/>
    </row>
    <row r="17246" spans="1:1" x14ac:dyDescent="0.3">
      <c r="A17246" s="12"/>
    </row>
    <row r="17247" spans="1:1" x14ac:dyDescent="0.3">
      <c r="A17247" s="12"/>
    </row>
    <row r="17248" spans="1:1" x14ac:dyDescent="0.3">
      <c r="A17248" s="12"/>
    </row>
    <row r="17249" spans="1:1" x14ac:dyDescent="0.3">
      <c r="A17249" s="12"/>
    </row>
    <row r="17250" spans="1:1" x14ac:dyDescent="0.3">
      <c r="A17250" s="12"/>
    </row>
    <row r="17251" spans="1:1" x14ac:dyDescent="0.3">
      <c r="A17251" s="12"/>
    </row>
    <row r="17252" spans="1:1" x14ac:dyDescent="0.3">
      <c r="A17252" s="12"/>
    </row>
    <row r="17253" spans="1:1" x14ac:dyDescent="0.3">
      <c r="A17253" s="12"/>
    </row>
    <row r="17254" spans="1:1" x14ac:dyDescent="0.3">
      <c r="A17254" s="12"/>
    </row>
    <row r="17255" spans="1:1" x14ac:dyDescent="0.3">
      <c r="A17255" s="12"/>
    </row>
    <row r="17256" spans="1:1" x14ac:dyDescent="0.3">
      <c r="A17256" s="12"/>
    </row>
    <row r="17257" spans="1:1" x14ac:dyDescent="0.3">
      <c r="A17257" s="12"/>
    </row>
    <row r="17258" spans="1:1" x14ac:dyDescent="0.3">
      <c r="A17258" s="12"/>
    </row>
    <row r="17259" spans="1:1" x14ac:dyDescent="0.3">
      <c r="A17259" s="12"/>
    </row>
    <row r="17260" spans="1:1" x14ac:dyDescent="0.3">
      <c r="A17260" s="12"/>
    </row>
    <row r="17261" spans="1:1" x14ac:dyDescent="0.3">
      <c r="A17261" s="12"/>
    </row>
    <row r="17262" spans="1:1" x14ac:dyDescent="0.3">
      <c r="A17262" s="12"/>
    </row>
    <row r="17263" spans="1:1" x14ac:dyDescent="0.3">
      <c r="A17263" s="12"/>
    </row>
    <row r="17264" spans="1:1" x14ac:dyDescent="0.3">
      <c r="A17264" s="12"/>
    </row>
    <row r="17265" spans="1:1" x14ac:dyDescent="0.3">
      <c r="A17265" s="12"/>
    </row>
    <row r="17266" spans="1:1" x14ac:dyDescent="0.3">
      <c r="A17266" s="12"/>
    </row>
    <row r="17267" spans="1:1" x14ac:dyDescent="0.3">
      <c r="A17267" s="12"/>
    </row>
    <row r="17268" spans="1:1" x14ac:dyDescent="0.3">
      <c r="A17268" s="12"/>
    </row>
    <row r="17269" spans="1:1" x14ac:dyDescent="0.3">
      <c r="A17269" s="12"/>
    </row>
    <row r="17270" spans="1:1" x14ac:dyDescent="0.3">
      <c r="A17270" s="12"/>
    </row>
    <row r="17271" spans="1:1" x14ac:dyDescent="0.3">
      <c r="A17271" s="12"/>
    </row>
    <row r="17272" spans="1:1" x14ac:dyDescent="0.3">
      <c r="A17272" s="12"/>
    </row>
    <row r="17273" spans="1:1" x14ac:dyDescent="0.3">
      <c r="A17273" s="12"/>
    </row>
    <row r="17274" spans="1:1" x14ac:dyDescent="0.3">
      <c r="A17274" s="12"/>
    </row>
    <row r="17275" spans="1:1" x14ac:dyDescent="0.3">
      <c r="A17275" s="12"/>
    </row>
    <row r="17276" spans="1:1" x14ac:dyDescent="0.3">
      <c r="A17276" s="12"/>
    </row>
    <row r="17277" spans="1:1" x14ac:dyDescent="0.3">
      <c r="A17277" s="12"/>
    </row>
    <row r="17278" spans="1:1" x14ac:dyDescent="0.3">
      <c r="A17278" s="12"/>
    </row>
    <row r="17279" spans="1:1" x14ac:dyDescent="0.3">
      <c r="A17279" s="12"/>
    </row>
    <row r="17280" spans="1:1" x14ac:dyDescent="0.3">
      <c r="A17280" s="12"/>
    </row>
    <row r="17281" spans="1:1" x14ac:dyDescent="0.3">
      <c r="A17281" s="12"/>
    </row>
    <row r="17282" spans="1:1" x14ac:dyDescent="0.3">
      <c r="A17282" s="12"/>
    </row>
    <row r="17283" spans="1:1" x14ac:dyDescent="0.3">
      <c r="A17283" s="12"/>
    </row>
    <row r="17284" spans="1:1" x14ac:dyDescent="0.3">
      <c r="A17284" s="12"/>
    </row>
    <row r="17285" spans="1:1" x14ac:dyDescent="0.3">
      <c r="A17285" s="12"/>
    </row>
    <row r="17286" spans="1:1" x14ac:dyDescent="0.3">
      <c r="A17286" s="12"/>
    </row>
    <row r="17287" spans="1:1" x14ac:dyDescent="0.3">
      <c r="A17287" s="12"/>
    </row>
    <row r="17288" spans="1:1" x14ac:dyDescent="0.3">
      <c r="A17288" s="12"/>
    </row>
    <row r="17289" spans="1:1" x14ac:dyDescent="0.3">
      <c r="A17289" s="12"/>
    </row>
    <row r="17290" spans="1:1" x14ac:dyDescent="0.3">
      <c r="A17290" s="12"/>
    </row>
    <row r="17291" spans="1:1" x14ac:dyDescent="0.3">
      <c r="A17291" s="12"/>
    </row>
    <row r="17292" spans="1:1" x14ac:dyDescent="0.3">
      <c r="A17292" s="12"/>
    </row>
    <row r="17293" spans="1:1" x14ac:dyDescent="0.3">
      <c r="A17293" s="12"/>
    </row>
    <row r="17294" spans="1:1" x14ac:dyDescent="0.3">
      <c r="A17294" s="12"/>
    </row>
    <row r="17295" spans="1:1" x14ac:dyDescent="0.3">
      <c r="A17295" s="12"/>
    </row>
    <row r="17296" spans="1:1" x14ac:dyDescent="0.3">
      <c r="A17296" s="12"/>
    </row>
    <row r="17297" spans="1:1" x14ac:dyDescent="0.3">
      <c r="A17297" s="12"/>
    </row>
    <row r="17298" spans="1:1" x14ac:dyDescent="0.3">
      <c r="A17298" s="12"/>
    </row>
    <row r="17299" spans="1:1" x14ac:dyDescent="0.3">
      <c r="A17299" s="12"/>
    </row>
    <row r="17300" spans="1:1" x14ac:dyDescent="0.3">
      <c r="A17300" s="12"/>
    </row>
    <row r="17301" spans="1:1" x14ac:dyDescent="0.3">
      <c r="A17301" s="12"/>
    </row>
    <row r="17302" spans="1:1" x14ac:dyDescent="0.3">
      <c r="A17302" s="12"/>
    </row>
    <row r="17303" spans="1:1" x14ac:dyDescent="0.3">
      <c r="A17303" s="12"/>
    </row>
    <row r="17304" spans="1:1" x14ac:dyDescent="0.3">
      <c r="A17304" s="12"/>
    </row>
    <row r="17305" spans="1:1" x14ac:dyDescent="0.3">
      <c r="A17305" s="12"/>
    </row>
    <row r="17306" spans="1:1" x14ac:dyDescent="0.3">
      <c r="A17306" s="12"/>
    </row>
    <row r="17307" spans="1:1" x14ac:dyDescent="0.3">
      <c r="A17307" s="12"/>
    </row>
    <row r="17308" spans="1:1" x14ac:dyDescent="0.3">
      <c r="A17308" s="12"/>
    </row>
    <row r="17309" spans="1:1" x14ac:dyDescent="0.3">
      <c r="A17309" s="12"/>
    </row>
    <row r="17310" spans="1:1" x14ac:dyDescent="0.3">
      <c r="A17310" s="12"/>
    </row>
    <row r="17311" spans="1:1" x14ac:dyDescent="0.3">
      <c r="A17311" s="12"/>
    </row>
    <row r="17312" spans="1:1" x14ac:dyDescent="0.3">
      <c r="A17312" s="12"/>
    </row>
    <row r="17313" spans="1:1" x14ac:dyDescent="0.3">
      <c r="A17313" s="12"/>
    </row>
    <row r="17314" spans="1:1" x14ac:dyDescent="0.3">
      <c r="A17314" s="12"/>
    </row>
    <row r="17315" spans="1:1" x14ac:dyDescent="0.3">
      <c r="A17315" s="12"/>
    </row>
    <row r="17316" spans="1:1" x14ac:dyDescent="0.3">
      <c r="A17316" s="12"/>
    </row>
    <row r="17317" spans="1:1" x14ac:dyDescent="0.3">
      <c r="A17317" s="12"/>
    </row>
    <row r="17318" spans="1:1" x14ac:dyDescent="0.3">
      <c r="A17318" s="12"/>
    </row>
    <row r="17319" spans="1:1" x14ac:dyDescent="0.3">
      <c r="A17319" s="12"/>
    </row>
    <row r="17320" spans="1:1" x14ac:dyDescent="0.3">
      <c r="A17320" s="12"/>
    </row>
    <row r="17321" spans="1:1" x14ac:dyDescent="0.3">
      <c r="A17321" s="12"/>
    </row>
    <row r="17322" spans="1:1" x14ac:dyDescent="0.3">
      <c r="A17322" s="12"/>
    </row>
    <row r="17323" spans="1:1" x14ac:dyDescent="0.3">
      <c r="A17323" s="12"/>
    </row>
    <row r="17324" spans="1:1" x14ac:dyDescent="0.3">
      <c r="A17324" s="12"/>
    </row>
    <row r="17325" spans="1:1" x14ac:dyDescent="0.3">
      <c r="A17325" s="12"/>
    </row>
    <row r="17326" spans="1:1" x14ac:dyDescent="0.3">
      <c r="A17326" s="12"/>
    </row>
    <row r="17327" spans="1:1" x14ac:dyDescent="0.3">
      <c r="A17327" s="12"/>
    </row>
    <row r="17328" spans="1:1" x14ac:dyDescent="0.3">
      <c r="A17328" s="12"/>
    </row>
    <row r="17329" spans="1:1" x14ac:dyDescent="0.3">
      <c r="A17329" s="12"/>
    </row>
    <row r="17330" spans="1:1" x14ac:dyDescent="0.3">
      <c r="A17330" s="12"/>
    </row>
    <row r="17331" spans="1:1" x14ac:dyDescent="0.3">
      <c r="A17331" s="12"/>
    </row>
    <row r="17332" spans="1:1" x14ac:dyDescent="0.3">
      <c r="A17332" s="12"/>
    </row>
    <row r="17333" spans="1:1" x14ac:dyDescent="0.3">
      <c r="A17333" s="12"/>
    </row>
    <row r="17334" spans="1:1" x14ac:dyDescent="0.3">
      <c r="A17334" s="12"/>
    </row>
    <row r="17335" spans="1:1" x14ac:dyDescent="0.3">
      <c r="A17335" s="12"/>
    </row>
    <row r="17336" spans="1:1" x14ac:dyDescent="0.3">
      <c r="A17336" s="12"/>
    </row>
    <row r="17337" spans="1:1" x14ac:dyDescent="0.3">
      <c r="A17337" s="12"/>
    </row>
    <row r="17338" spans="1:1" x14ac:dyDescent="0.3">
      <c r="A17338" s="12"/>
    </row>
    <row r="17339" spans="1:1" x14ac:dyDescent="0.3">
      <c r="A17339" s="12"/>
    </row>
    <row r="17340" spans="1:1" x14ac:dyDescent="0.3">
      <c r="A17340" s="12"/>
    </row>
    <row r="17341" spans="1:1" x14ac:dyDescent="0.3">
      <c r="A17341" s="12"/>
    </row>
    <row r="17342" spans="1:1" x14ac:dyDescent="0.3">
      <c r="A17342" s="12"/>
    </row>
    <row r="17343" spans="1:1" x14ac:dyDescent="0.3">
      <c r="A17343" s="12"/>
    </row>
    <row r="17344" spans="1:1" x14ac:dyDescent="0.3">
      <c r="A17344" s="12"/>
    </row>
    <row r="17345" spans="1:1" x14ac:dyDescent="0.3">
      <c r="A17345" s="12"/>
    </row>
    <row r="17346" spans="1:1" x14ac:dyDescent="0.3">
      <c r="A17346" s="12"/>
    </row>
    <row r="17347" spans="1:1" x14ac:dyDescent="0.3">
      <c r="A17347" s="12"/>
    </row>
    <row r="17348" spans="1:1" x14ac:dyDescent="0.3">
      <c r="A17348" s="12"/>
    </row>
    <row r="17349" spans="1:1" x14ac:dyDescent="0.3">
      <c r="A17349" s="12"/>
    </row>
    <row r="17350" spans="1:1" x14ac:dyDescent="0.3">
      <c r="A17350" s="12"/>
    </row>
    <row r="17351" spans="1:1" x14ac:dyDescent="0.3">
      <c r="A17351" s="12"/>
    </row>
    <row r="17352" spans="1:1" x14ac:dyDescent="0.3">
      <c r="A17352" s="12"/>
    </row>
    <row r="17353" spans="1:1" x14ac:dyDescent="0.3">
      <c r="A17353" s="12"/>
    </row>
    <row r="17354" spans="1:1" x14ac:dyDescent="0.3">
      <c r="A17354" s="12"/>
    </row>
    <row r="17355" spans="1:1" x14ac:dyDescent="0.3">
      <c r="A17355" s="12"/>
    </row>
    <row r="17356" spans="1:1" x14ac:dyDescent="0.3">
      <c r="A17356" s="12"/>
    </row>
    <row r="17357" spans="1:1" x14ac:dyDescent="0.3">
      <c r="A17357" s="12"/>
    </row>
    <row r="17358" spans="1:1" x14ac:dyDescent="0.3">
      <c r="A17358" s="12"/>
    </row>
    <row r="17359" spans="1:1" x14ac:dyDescent="0.3">
      <c r="A17359" s="12"/>
    </row>
    <row r="17360" spans="1:1" x14ac:dyDescent="0.3">
      <c r="A17360" s="12"/>
    </row>
    <row r="17361" spans="1:1" x14ac:dyDescent="0.3">
      <c r="A17361" s="12"/>
    </row>
    <row r="17362" spans="1:1" x14ac:dyDescent="0.3">
      <c r="A17362" s="12"/>
    </row>
    <row r="17363" spans="1:1" x14ac:dyDescent="0.3">
      <c r="A17363" s="12"/>
    </row>
    <row r="17364" spans="1:1" x14ac:dyDescent="0.3">
      <c r="A17364" s="12"/>
    </row>
    <row r="17365" spans="1:1" x14ac:dyDescent="0.3">
      <c r="A17365" s="12"/>
    </row>
    <row r="17366" spans="1:1" x14ac:dyDescent="0.3">
      <c r="A17366" s="12"/>
    </row>
    <row r="17367" spans="1:1" x14ac:dyDescent="0.3">
      <c r="A17367" s="12"/>
    </row>
    <row r="17368" spans="1:1" x14ac:dyDescent="0.3">
      <c r="A17368" s="12"/>
    </row>
    <row r="17369" spans="1:1" x14ac:dyDescent="0.3">
      <c r="A17369" s="12"/>
    </row>
    <row r="17370" spans="1:1" x14ac:dyDescent="0.3">
      <c r="A17370" s="12"/>
    </row>
    <row r="17371" spans="1:1" x14ac:dyDescent="0.3">
      <c r="A17371" s="12"/>
    </row>
    <row r="17372" spans="1:1" x14ac:dyDescent="0.3">
      <c r="A17372" s="12"/>
    </row>
    <row r="17373" spans="1:1" x14ac:dyDescent="0.3">
      <c r="A17373" s="12"/>
    </row>
    <row r="17374" spans="1:1" x14ac:dyDescent="0.3">
      <c r="A17374" s="12"/>
    </row>
    <row r="17375" spans="1:1" x14ac:dyDescent="0.3">
      <c r="A17375" s="12"/>
    </row>
    <row r="17376" spans="1:1" x14ac:dyDescent="0.3">
      <c r="A17376" s="12"/>
    </row>
    <row r="17377" spans="1:1" x14ac:dyDescent="0.3">
      <c r="A17377" s="12"/>
    </row>
    <row r="17378" spans="1:1" x14ac:dyDescent="0.3">
      <c r="A17378" s="12"/>
    </row>
    <row r="17379" spans="1:1" x14ac:dyDescent="0.3">
      <c r="A17379" s="12"/>
    </row>
    <row r="17380" spans="1:1" x14ac:dyDescent="0.3">
      <c r="A17380" s="12"/>
    </row>
    <row r="17381" spans="1:1" x14ac:dyDescent="0.3">
      <c r="A17381" s="12"/>
    </row>
    <row r="17382" spans="1:1" x14ac:dyDescent="0.3">
      <c r="A17382" s="12"/>
    </row>
    <row r="17383" spans="1:1" x14ac:dyDescent="0.3">
      <c r="A17383" s="12"/>
    </row>
    <row r="17384" spans="1:1" x14ac:dyDescent="0.3">
      <c r="A17384" s="12"/>
    </row>
    <row r="17385" spans="1:1" x14ac:dyDescent="0.3">
      <c r="A17385" s="12"/>
    </row>
    <row r="17386" spans="1:1" x14ac:dyDescent="0.3">
      <c r="A17386" s="12"/>
    </row>
    <row r="17387" spans="1:1" x14ac:dyDescent="0.3">
      <c r="A17387" s="12"/>
    </row>
    <row r="17388" spans="1:1" x14ac:dyDescent="0.3">
      <c r="A17388" s="12"/>
    </row>
    <row r="17389" spans="1:1" x14ac:dyDescent="0.3">
      <c r="A17389" s="12"/>
    </row>
    <row r="17390" spans="1:1" x14ac:dyDescent="0.3">
      <c r="A17390" s="12"/>
    </row>
    <row r="17391" spans="1:1" x14ac:dyDescent="0.3">
      <c r="A17391" s="12"/>
    </row>
    <row r="17392" spans="1:1" x14ac:dyDescent="0.3">
      <c r="A17392" s="12"/>
    </row>
    <row r="17393" spans="1:1" x14ac:dyDescent="0.3">
      <c r="A17393" s="12"/>
    </row>
    <row r="17394" spans="1:1" x14ac:dyDescent="0.3">
      <c r="A17394" s="12"/>
    </row>
    <row r="17395" spans="1:1" x14ac:dyDescent="0.3">
      <c r="A17395" s="12"/>
    </row>
    <row r="17396" spans="1:1" x14ac:dyDescent="0.3">
      <c r="A17396" s="12"/>
    </row>
    <row r="17397" spans="1:1" x14ac:dyDescent="0.3">
      <c r="A17397" s="12"/>
    </row>
    <row r="17398" spans="1:1" x14ac:dyDescent="0.3">
      <c r="A17398" s="12"/>
    </row>
    <row r="17399" spans="1:1" x14ac:dyDescent="0.3">
      <c r="A17399" s="12"/>
    </row>
    <row r="17400" spans="1:1" x14ac:dyDescent="0.3">
      <c r="A17400" s="12"/>
    </row>
    <row r="17401" spans="1:1" x14ac:dyDescent="0.3">
      <c r="A17401" s="12"/>
    </row>
    <row r="17402" spans="1:1" x14ac:dyDescent="0.3">
      <c r="A17402" s="12"/>
    </row>
    <row r="17403" spans="1:1" x14ac:dyDescent="0.3">
      <c r="A17403" s="12"/>
    </row>
    <row r="17404" spans="1:1" x14ac:dyDescent="0.3">
      <c r="A17404" s="12"/>
    </row>
    <row r="17405" spans="1:1" x14ac:dyDescent="0.3">
      <c r="A17405" s="12"/>
    </row>
    <row r="17406" spans="1:1" x14ac:dyDescent="0.3">
      <c r="A17406" s="12"/>
    </row>
    <row r="17407" spans="1:1" x14ac:dyDescent="0.3">
      <c r="A17407" s="12"/>
    </row>
    <row r="17408" spans="1:1" x14ac:dyDescent="0.3">
      <c r="A17408" s="12"/>
    </row>
    <row r="17409" spans="1:1" x14ac:dyDescent="0.3">
      <c r="A17409" s="12"/>
    </row>
    <row r="17410" spans="1:1" x14ac:dyDescent="0.3">
      <c r="A17410" s="12"/>
    </row>
    <row r="17411" spans="1:1" x14ac:dyDescent="0.3">
      <c r="A17411" s="12"/>
    </row>
    <row r="17412" spans="1:1" x14ac:dyDescent="0.3">
      <c r="A17412" s="12"/>
    </row>
    <row r="17413" spans="1:1" x14ac:dyDescent="0.3">
      <c r="A17413" s="12"/>
    </row>
    <row r="17414" spans="1:1" x14ac:dyDescent="0.3">
      <c r="A17414" s="12"/>
    </row>
    <row r="17415" spans="1:1" x14ac:dyDescent="0.3">
      <c r="A17415" s="12"/>
    </row>
    <row r="17416" spans="1:1" x14ac:dyDescent="0.3">
      <c r="A17416" s="12"/>
    </row>
    <row r="17417" spans="1:1" x14ac:dyDescent="0.3">
      <c r="A17417" s="12"/>
    </row>
    <row r="17418" spans="1:1" x14ac:dyDescent="0.3">
      <c r="A17418" s="12"/>
    </row>
    <row r="17419" spans="1:1" x14ac:dyDescent="0.3">
      <c r="A17419" s="12"/>
    </row>
    <row r="17420" spans="1:1" x14ac:dyDescent="0.3">
      <c r="A17420" s="12"/>
    </row>
    <row r="17421" spans="1:1" x14ac:dyDescent="0.3">
      <c r="A17421" s="12"/>
    </row>
    <row r="17422" spans="1:1" x14ac:dyDescent="0.3">
      <c r="A17422" s="12"/>
    </row>
    <row r="17423" spans="1:1" x14ac:dyDescent="0.3">
      <c r="A17423" s="12"/>
    </row>
    <row r="17424" spans="1:1" x14ac:dyDescent="0.3">
      <c r="A17424" s="12"/>
    </row>
    <row r="17425" spans="1:1" x14ac:dyDescent="0.3">
      <c r="A17425" s="12"/>
    </row>
    <row r="17426" spans="1:1" x14ac:dyDescent="0.3">
      <c r="A17426" s="12"/>
    </row>
    <row r="17427" spans="1:1" x14ac:dyDescent="0.3">
      <c r="A17427" s="12"/>
    </row>
    <row r="17428" spans="1:1" x14ac:dyDescent="0.3">
      <c r="A17428" s="12"/>
    </row>
    <row r="17429" spans="1:1" x14ac:dyDescent="0.3">
      <c r="A17429" s="12"/>
    </row>
    <row r="17430" spans="1:1" x14ac:dyDescent="0.3">
      <c r="A17430" s="12"/>
    </row>
    <row r="17431" spans="1:1" x14ac:dyDescent="0.3">
      <c r="A17431" s="12"/>
    </row>
    <row r="17432" spans="1:1" x14ac:dyDescent="0.3">
      <c r="A17432" s="12"/>
    </row>
    <row r="17433" spans="1:1" x14ac:dyDescent="0.3">
      <c r="A17433" s="12"/>
    </row>
    <row r="17434" spans="1:1" x14ac:dyDescent="0.3">
      <c r="A17434" s="12"/>
    </row>
    <row r="17435" spans="1:1" x14ac:dyDescent="0.3">
      <c r="A17435" s="12"/>
    </row>
    <row r="17436" spans="1:1" x14ac:dyDescent="0.3">
      <c r="A17436" s="12"/>
    </row>
    <row r="17437" spans="1:1" x14ac:dyDescent="0.3">
      <c r="A17437" s="12"/>
    </row>
    <row r="17438" spans="1:1" x14ac:dyDescent="0.3">
      <c r="A17438" s="12"/>
    </row>
    <row r="17439" spans="1:1" x14ac:dyDescent="0.3">
      <c r="A17439" s="12"/>
    </row>
    <row r="17440" spans="1:1" x14ac:dyDescent="0.3">
      <c r="A17440" s="12"/>
    </row>
    <row r="17441" spans="1:1" x14ac:dyDescent="0.3">
      <c r="A17441" s="12"/>
    </row>
    <row r="17442" spans="1:1" x14ac:dyDescent="0.3">
      <c r="A17442" s="12"/>
    </row>
    <row r="17443" spans="1:1" x14ac:dyDescent="0.3">
      <c r="A17443" s="12"/>
    </row>
    <row r="17444" spans="1:1" x14ac:dyDescent="0.3">
      <c r="A17444" s="12"/>
    </row>
    <row r="17445" spans="1:1" x14ac:dyDescent="0.3">
      <c r="A17445" s="12"/>
    </row>
    <row r="17446" spans="1:1" x14ac:dyDescent="0.3">
      <c r="A17446" s="12"/>
    </row>
    <row r="17447" spans="1:1" x14ac:dyDescent="0.3">
      <c r="A17447" s="12"/>
    </row>
    <row r="17448" spans="1:1" x14ac:dyDescent="0.3">
      <c r="A17448" s="12"/>
    </row>
    <row r="17449" spans="1:1" x14ac:dyDescent="0.3">
      <c r="A17449" s="12"/>
    </row>
    <row r="17450" spans="1:1" x14ac:dyDescent="0.3">
      <c r="A17450" s="12"/>
    </row>
    <row r="17451" spans="1:1" x14ac:dyDescent="0.3">
      <c r="A17451" s="12"/>
    </row>
    <row r="17452" spans="1:1" x14ac:dyDescent="0.3">
      <c r="A17452" s="12"/>
    </row>
    <row r="17453" spans="1:1" x14ac:dyDescent="0.3">
      <c r="A17453" s="12"/>
    </row>
    <row r="17454" spans="1:1" x14ac:dyDescent="0.3">
      <c r="A17454" s="12"/>
    </row>
    <row r="17455" spans="1:1" x14ac:dyDescent="0.3">
      <c r="A17455" s="12"/>
    </row>
    <row r="17456" spans="1:1" x14ac:dyDescent="0.3">
      <c r="A17456" s="12"/>
    </row>
    <row r="17457" spans="1:1" x14ac:dyDescent="0.3">
      <c r="A17457" s="12"/>
    </row>
    <row r="17458" spans="1:1" x14ac:dyDescent="0.3">
      <c r="A17458" s="12"/>
    </row>
    <row r="17459" spans="1:1" x14ac:dyDescent="0.3">
      <c r="A17459" s="12"/>
    </row>
    <row r="17460" spans="1:1" x14ac:dyDescent="0.3">
      <c r="A17460" s="12"/>
    </row>
    <row r="17461" spans="1:1" x14ac:dyDescent="0.3">
      <c r="A17461" s="12"/>
    </row>
    <row r="17462" spans="1:1" x14ac:dyDescent="0.3">
      <c r="A17462" s="12"/>
    </row>
    <row r="17463" spans="1:1" x14ac:dyDescent="0.3">
      <c r="A17463" s="12"/>
    </row>
    <row r="17464" spans="1:1" x14ac:dyDescent="0.3">
      <c r="A17464" s="12"/>
    </row>
    <row r="17465" spans="1:1" x14ac:dyDescent="0.3">
      <c r="A17465" s="12"/>
    </row>
    <row r="17466" spans="1:1" x14ac:dyDescent="0.3">
      <c r="A17466" s="12"/>
    </row>
    <row r="17467" spans="1:1" x14ac:dyDescent="0.3">
      <c r="A17467" s="12"/>
    </row>
    <row r="17468" spans="1:1" x14ac:dyDescent="0.3">
      <c r="A17468" s="12"/>
    </row>
    <row r="17469" spans="1:1" x14ac:dyDescent="0.3">
      <c r="A17469" s="12"/>
    </row>
    <row r="17470" spans="1:1" x14ac:dyDescent="0.3">
      <c r="A17470" s="12"/>
    </row>
    <row r="17471" spans="1:1" x14ac:dyDescent="0.3">
      <c r="A17471" s="12"/>
    </row>
    <row r="17472" spans="1:1" x14ac:dyDescent="0.3">
      <c r="A17472" s="12"/>
    </row>
    <row r="17473" spans="1:1" x14ac:dyDescent="0.3">
      <c r="A17473" s="12"/>
    </row>
    <row r="17474" spans="1:1" x14ac:dyDescent="0.3">
      <c r="A17474" s="12"/>
    </row>
    <row r="17475" spans="1:1" x14ac:dyDescent="0.3">
      <c r="A17475" s="12"/>
    </row>
    <row r="17476" spans="1:1" x14ac:dyDescent="0.3">
      <c r="A17476" s="12"/>
    </row>
    <row r="17477" spans="1:1" x14ac:dyDescent="0.3">
      <c r="A17477" s="12"/>
    </row>
    <row r="17478" spans="1:1" x14ac:dyDescent="0.3">
      <c r="A17478" s="12"/>
    </row>
    <row r="17479" spans="1:1" x14ac:dyDescent="0.3">
      <c r="A17479" s="12"/>
    </row>
    <row r="17480" spans="1:1" x14ac:dyDescent="0.3">
      <c r="A17480" s="12"/>
    </row>
    <row r="17481" spans="1:1" x14ac:dyDescent="0.3">
      <c r="A17481" s="12"/>
    </row>
    <row r="17482" spans="1:1" x14ac:dyDescent="0.3">
      <c r="A17482" s="12"/>
    </row>
    <row r="17483" spans="1:1" x14ac:dyDescent="0.3">
      <c r="A17483" s="12"/>
    </row>
    <row r="17484" spans="1:1" x14ac:dyDescent="0.3">
      <c r="A17484" s="12"/>
    </row>
    <row r="17485" spans="1:1" x14ac:dyDescent="0.3">
      <c r="A17485" s="12"/>
    </row>
    <row r="17486" spans="1:1" x14ac:dyDescent="0.3">
      <c r="A17486" s="12"/>
    </row>
    <row r="17487" spans="1:1" x14ac:dyDescent="0.3">
      <c r="A17487" s="12"/>
    </row>
    <row r="17488" spans="1:1" x14ac:dyDescent="0.3">
      <c r="A17488" s="12"/>
    </row>
    <row r="17489" spans="1:1" x14ac:dyDescent="0.3">
      <c r="A17489" s="12"/>
    </row>
    <row r="17490" spans="1:1" x14ac:dyDescent="0.3">
      <c r="A17490" s="12"/>
    </row>
    <row r="17491" spans="1:1" x14ac:dyDescent="0.3">
      <c r="A17491" s="12"/>
    </row>
    <row r="17492" spans="1:1" x14ac:dyDescent="0.3">
      <c r="A17492" s="12"/>
    </row>
    <row r="17493" spans="1:1" x14ac:dyDescent="0.3">
      <c r="A17493" s="12"/>
    </row>
    <row r="17494" spans="1:1" x14ac:dyDescent="0.3">
      <c r="A17494" s="12"/>
    </row>
    <row r="17495" spans="1:1" x14ac:dyDescent="0.3">
      <c r="A17495" s="12"/>
    </row>
    <row r="17496" spans="1:1" x14ac:dyDescent="0.3">
      <c r="A17496" s="12"/>
    </row>
    <row r="17497" spans="1:1" x14ac:dyDescent="0.3">
      <c r="A17497" s="12"/>
    </row>
    <row r="17498" spans="1:1" x14ac:dyDescent="0.3">
      <c r="A17498" s="12"/>
    </row>
    <row r="17499" spans="1:1" x14ac:dyDescent="0.3">
      <c r="A17499" s="12"/>
    </row>
    <row r="17500" spans="1:1" x14ac:dyDescent="0.3">
      <c r="A17500" s="12"/>
    </row>
    <row r="17501" spans="1:1" x14ac:dyDescent="0.3">
      <c r="A17501" s="12"/>
    </row>
    <row r="17502" spans="1:1" x14ac:dyDescent="0.3">
      <c r="A17502" s="12"/>
    </row>
    <row r="17503" spans="1:1" x14ac:dyDescent="0.3">
      <c r="A17503" s="12"/>
    </row>
    <row r="17504" spans="1:1" x14ac:dyDescent="0.3">
      <c r="A17504" s="12"/>
    </row>
    <row r="17505" spans="1:1" x14ac:dyDescent="0.3">
      <c r="A17505" s="12"/>
    </row>
    <row r="17506" spans="1:1" x14ac:dyDescent="0.3">
      <c r="A17506" s="12"/>
    </row>
    <row r="17507" spans="1:1" x14ac:dyDescent="0.3">
      <c r="A17507" s="12"/>
    </row>
    <row r="17508" spans="1:1" x14ac:dyDescent="0.3">
      <c r="A17508" s="12"/>
    </row>
    <row r="17509" spans="1:1" x14ac:dyDescent="0.3">
      <c r="A17509" s="12"/>
    </row>
    <row r="17510" spans="1:1" x14ac:dyDescent="0.3">
      <c r="A17510" s="12"/>
    </row>
    <row r="17511" spans="1:1" x14ac:dyDescent="0.3">
      <c r="A17511" s="12"/>
    </row>
    <row r="17512" spans="1:1" x14ac:dyDescent="0.3">
      <c r="A17512" s="12"/>
    </row>
    <row r="17513" spans="1:1" x14ac:dyDescent="0.3">
      <c r="A17513" s="12"/>
    </row>
    <row r="17514" spans="1:1" x14ac:dyDescent="0.3">
      <c r="A17514" s="12"/>
    </row>
    <row r="17515" spans="1:1" x14ac:dyDescent="0.3">
      <c r="A17515" s="12"/>
    </row>
    <row r="17516" spans="1:1" x14ac:dyDescent="0.3">
      <c r="A17516" s="12"/>
    </row>
    <row r="17517" spans="1:1" x14ac:dyDescent="0.3">
      <c r="A17517" s="12"/>
    </row>
    <row r="17518" spans="1:1" x14ac:dyDescent="0.3">
      <c r="A17518" s="12"/>
    </row>
    <row r="17519" spans="1:1" x14ac:dyDescent="0.3">
      <c r="A17519" s="12"/>
    </row>
    <row r="17520" spans="1:1" x14ac:dyDescent="0.3">
      <c r="A17520" s="12"/>
    </row>
    <row r="17521" spans="1:1" x14ac:dyDescent="0.3">
      <c r="A17521" s="12"/>
    </row>
    <row r="17522" spans="1:1" x14ac:dyDescent="0.3">
      <c r="A17522" s="12"/>
    </row>
    <row r="17523" spans="1:1" x14ac:dyDescent="0.3">
      <c r="A17523" s="12"/>
    </row>
    <row r="17524" spans="1:1" x14ac:dyDescent="0.3">
      <c r="A17524" s="12"/>
    </row>
    <row r="17525" spans="1:1" x14ac:dyDescent="0.3">
      <c r="A17525" s="12"/>
    </row>
    <row r="17526" spans="1:1" x14ac:dyDescent="0.3">
      <c r="A17526" s="12"/>
    </row>
    <row r="17527" spans="1:1" x14ac:dyDescent="0.3">
      <c r="A17527" s="12"/>
    </row>
    <row r="17528" spans="1:1" x14ac:dyDescent="0.3">
      <c r="A17528" s="12"/>
    </row>
    <row r="17529" spans="1:1" x14ac:dyDescent="0.3">
      <c r="A17529" s="12"/>
    </row>
    <row r="17530" spans="1:1" x14ac:dyDescent="0.3">
      <c r="A17530" s="12"/>
    </row>
    <row r="17531" spans="1:1" x14ac:dyDescent="0.3">
      <c r="A17531" s="12"/>
    </row>
    <row r="17532" spans="1:1" x14ac:dyDescent="0.3">
      <c r="A17532" s="12"/>
    </row>
    <row r="17533" spans="1:1" x14ac:dyDescent="0.3">
      <c r="A17533" s="12"/>
    </row>
    <row r="17534" spans="1:1" x14ac:dyDescent="0.3">
      <c r="A17534" s="12"/>
    </row>
    <row r="17535" spans="1:1" x14ac:dyDescent="0.3">
      <c r="A17535" s="12"/>
    </row>
    <row r="17536" spans="1:1" x14ac:dyDescent="0.3">
      <c r="A17536" s="12"/>
    </row>
    <row r="17537" spans="1:1" x14ac:dyDescent="0.3">
      <c r="A17537" s="12"/>
    </row>
    <row r="17538" spans="1:1" x14ac:dyDescent="0.3">
      <c r="A17538" s="12"/>
    </row>
    <row r="17539" spans="1:1" x14ac:dyDescent="0.3">
      <c r="A17539" s="12"/>
    </row>
    <row r="17540" spans="1:1" x14ac:dyDescent="0.3">
      <c r="A17540" s="12"/>
    </row>
    <row r="17541" spans="1:1" x14ac:dyDescent="0.3">
      <c r="A17541" s="12"/>
    </row>
    <row r="17542" spans="1:1" x14ac:dyDescent="0.3">
      <c r="A17542" s="12"/>
    </row>
    <row r="17543" spans="1:1" x14ac:dyDescent="0.3">
      <c r="A17543" s="12"/>
    </row>
    <row r="17544" spans="1:1" x14ac:dyDescent="0.3">
      <c r="A17544" s="12"/>
    </row>
    <row r="17545" spans="1:1" x14ac:dyDescent="0.3">
      <c r="A17545" s="12"/>
    </row>
    <row r="17546" spans="1:1" x14ac:dyDescent="0.3">
      <c r="A17546" s="12"/>
    </row>
    <row r="17547" spans="1:1" x14ac:dyDescent="0.3">
      <c r="A17547" s="12"/>
    </row>
    <row r="17548" spans="1:1" x14ac:dyDescent="0.3">
      <c r="A17548" s="12"/>
    </row>
    <row r="17549" spans="1:1" x14ac:dyDescent="0.3">
      <c r="A17549" s="12"/>
    </row>
    <row r="17550" spans="1:1" x14ac:dyDescent="0.3">
      <c r="A17550" s="12"/>
    </row>
    <row r="17551" spans="1:1" x14ac:dyDescent="0.3">
      <c r="A17551" s="12"/>
    </row>
    <row r="17552" spans="1:1" x14ac:dyDescent="0.3">
      <c r="A17552" s="12"/>
    </row>
    <row r="17553" spans="1:1" x14ac:dyDescent="0.3">
      <c r="A17553" s="12"/>
    </row>
    <row r="17554" spans="1:1" x14ac:dyDescent="0.3">
      <c r="A17554" s="12"/>
    </row>
    <row r="17555" spans="1:1" x14ac:dyDescent="0.3">
      <c r="A17555" s="12"/>
    </row>
    <row r="17556" spans="1:1" x14ac:dyDescent="0.3">
      <c r="A17556" s="12"/>
    </row>
    <row r="17557" spans="1:1" x14ac:dyDescent="0.3">
      <c r="A17557" s="12"/>
    </row>
    <row r="17558" spans="1:1" x14ac:dyDescent="0.3">
      <c r="A17558" s="12"/>
    </row>
    <row r="17559" spans="1:1" x14ac:dyDescent="0.3">
      <c r="A17559" s="12"/>
    </row>
    <row r="17560" spans="1:1" x14ac:dyDescent="0.3">
      <c r="A17560" s="12"/>
    </row>
    <row r="17561" spans="1:1" x14ac:dyDescent="0.3">
      <c r="A17561" s="12"/>
    </row>
    <row r="17562" spans="1:1" x14ac:dyDescent="0.3">
      <c r="A17562" s="12"/>
    </row>
    <row r="17563" spans="1:1" x14ac:dyDescent="0.3">
      <c r="A17563" s="12"/>
    </row>
    <row r="17564" spans="1:1" x14ac:dyDescent="0.3">
      <c r="A17564" s="12"/>
    </row>
    <row r="17565" spans="1:1" x14ac:dyDescent="0.3">
      <c r="A17565" s="12"/>
    </row>
    <row r="17566" spans="1:1" x14ac:dyDescent="0.3">
      <c r="A17566" s="12"/>
    </row>
    <row r="17567" spans="1:1" x14ac:dyDescent="0.3">
      <c r="A17567" s="12"/>
    </row>
    <row r="17568" spans="1:1" x14ac:dyDescent="0.3">
      <c r="A17568" s="12"/>
    </row>
    <row r="17569" spans="1:1" x14ac:dyDescent="0.3">
      <c r="A17569" s="12"/>
    </row>
    <row r="17570" spans="1:1" x14ac:dyDescent="0.3">
      <c r="A17570" s="12"/>
    </row>
    <row r="17571" spans="1:1" x14ac:dyDescent="0.3">
      <c r="A17571" s="12"/>
    </row>
    <row r="17572" spans="1:1" x14ac:dyDescent="0.3">
      <c r="A17572" s="12"/>
    </row>
    <row r="17573" spans="1:1" x14ac:dyDescent="0.3">
      <c r="A17573" s="12"/>
    </row>
    <row r="17574" spans="1:1" x14ac:dyDescent="0.3">
      <c r="A17574" s="12"/>
    </row>
    <row r="17575" spans="1:1" x14ac:dyDescent="0.3">
      <c r="A17575" s="12"/>
    </row>
    <row r="17576" spans="1:1" x14ac:dyDescent="0.3">
      <c r="A17576" s="12"/>
    </row>
    <row r="17577" spans="1:1" x14ac:dyDescent="0.3">
      <c r="A17577" s="12"/>
    </row>
    <row r="17578" spans="1:1" x14ac:dyDescent="0.3">
      <c r="A17578" s="12"/>
    </row>
    <row r="17579" spans="1:1" x14ac:dyDescent="0.3">
      <c r="A17579" s="12"/>
    </row>
    <row r="17580" spans="1:1" x14ac:dyDescent="0.3">
      <c r="A17580" s="12"/>
    </row>
    <row r="17581" spans="1:1" x14ac:dyDescent="0.3">
      <c r="A17581" s="12"/>
    </row>
    <row r="17582" spans="1:1" x14ac:dyDescent="0.3">
      <c r="A17582" s="12"/>
    </row>
    <row r="17583" spans="1:1" x14ac:dyDescent="0.3">
      <c r="A17583" s="12"/>
    </row>
    <row r="17584" spans="1:1" x14ac:dyDescent="0.3">
      <c r="A17584" s="12"/>
    </row>
    <row r="17585" spans="1:1" x14ac:dyDescent="0.3">
      <c r="A17585" s="12"/>
    </row>
    <row r="17586" spans="1:1" x14ac:dyDescent="0.3">
      <c r="A17586" s="12"/>
    </row>
    <row r="17587" spans="1:1" x14ac:dyDescent="0.3">
      <c r="A17587" s="12"/>
    </row>
    <row r="17588" spans="1:1" x14ac:dyDescent="0.3">
      <c r="A17588" s="12"/>
    </row>
    <row r="17589" spans="1:1" x14ac:dyDescent="0.3">
      <c r="A17589" s="12"/>
    </row>
    <row r="17590" spans="1:1" x14ac:dyDescent="0.3">
      <c r="A17590" s="12"/>
    </row>
    <row r="17591" spans="1:1" x14ac:dyDescent="0.3">
      <c r="A17591" s="12"/>
    </row>
    <row r="17592" spans="1:1" x14ac:dyDescent="0.3">
      <c r="A17592" s="12"/>
    </row>
    <row r="17593" spans="1:1" x14ac:dyDescent="0.3">
      <c r="A17593" s="12"/>
    </row>
    <row r="17594" spans="1:1" x14ac:dyDescent="0.3">
      <c r="A17594" s="12"/>
    </row>
    <row r="17595" spans="1:1" x14ac:dyDescent="0.3">
      <c r="A17595" s="12"/>
    </row>
    <row r="17596" spans="1:1" x14ac:dyDescent="0.3">
      <c r="A17596" s="12"/>
    </row>
    <row r="17597" spans="1:1" x14ac:dyDescent="0.3">
      <c r="A17597" s="12"/>
    </row>
    <row r="17598" spans="1:1" x14ac:dyDescent="0.3">
      <c r="A17598" s="12"/>
    </row>
    <row r="17599" spans="1:1" x14ac:dyDescent="0.3">
      <c r="A17599" s="12"/>
    </row>
    <row r="17600" spans="1:1" x14ac:dyDescent="0.3">
      <c r="A17600" s="12"/>
    </row>
    <row r="17601" spans="1:1" x14ac:dyDescent="0.3">
      <c r="A17601" s="12"/>
    </row>
    <row r="17602" spans="1:1" x14ac:dyDescent="0.3">
      <c r="A17602" s="12"/>
    </row>
    <row r="17603" spans="1:1" x14ac:dyDescent="0.3">
      <c r="A17603" s="12"/>
    </row>
    <row r="17604" spans="1:1" x14ac:dyDescent="0.3">
      <c r="A17604" s="12"/>
    </row>
    <row r="17605" spans="1:1" x14ac:dyDescent="0.3">
      <c r="A17605" s="12"/>
    </row>
    <row r="17606" spans="1:1" x14ac:dyDescent="0.3">
      <c r="A17606" s="12"/>
    </row>
    <row r="17607" spans="1:1" x14ac:dyDescent="0.3">
      <c r="A17607" s="12"/>
    </row>
    <row r="17608" spans="1:1" x14ac:dyDescent="0.3">
      <c r="A17608" s="12"/>
    </row>
    <row r="17609" spans="1:1" x14ac:dyDescent="0.3">
      <c r="A17609" s="12"/>
    </row>
    <row r="17610" spans="1:1" x14ac:dyDescent="0.3">
      <c r="A17610" s="12"/>
    </row>
    <row r="17611" spans="1:1" x14ac:dyDescent="0.3">
      <c r="A17611" s="12"/>
    </row>
    <row r="17612" spans="1:1" x14ac:dyDescent="0.3">
      <c r="A17612" s="12"/>
    </row>
    <row r="17613" spans="1:1" x14ac:dyDescent="0.3">
      <c r="A17613" s="12"/>
    </row>
    <row r="17614" spans="1:1" x14ac:dyDescent="0.3">
      <c r="A17614" s="12"/>
    </row>
    <row r="17615" spans="1:1" x14ac:dyDescent="0.3">
      <c r="A17615" s="12"/>
    </row>
    <row r="17616" spans="1:1" x14ac:dyDescent="0.3">
      <c r="A17616" s="12"/>
    </row>
    <row r="17617" spans="1:1" x14ac:dyDescent="0.3">
      <c r="A17617" s="12"/>
    </row>
    <row r="17618" spans="1:1" x14ac:dyDescent="0.3">
      <c r="A17618" s="12"/>
    </row>
    <row r="17619" spans="1:1" x14ac:dyDescent="0.3">
      <c r="A17619" s="12"/>
    </row>
    <row r="17620" spans="1:1" x14ac:dyDescent="0.3">
      <c r="A17620" s="12"/>
    </row>
    <row r="17621" spans="1:1" x14ac:dyDescent="0.3">
      <c r="A17621" s="12"/>
    </row>
    <row r="17622" spans="1:1" x14ac:dyDescent="0.3">
      <c r="A17622" s="12"/>
    </row>
    <row r="17623" spans="1:1" x14ac:dyDescent="0.3">
      <c r="A17623" s="12"/>
    </row>
    <row r="17624" spans="1:1" x14ac:dyDescent="0.3">
      <c r="A17624" s="12"/>
    </row>
    <row r="17625" spans="1:1" x14ac:dyDescent="0.3">
      <c r="A17625" s="12"/>
    </row>
    <row r="17626" spans="1:1" x14ac:dyDescent="0.3">
      <c r="A17626" s="12"/>
    </row>
    <row r="17627" spans="1:1" x14ac:dyDescent="0.3">
      <c r="A17627" s="12"/>
    </row>
    <row r="17628" spans="1:1" x14ac:dyDescent="0.3">
      <c r="A17628" s="12"/>
    </row>
    <row r="17629" spans="1:1" x14ac:dyDescent="0.3">
      <c r="A17629" s="12"/>
    </row>
    <row r="17630" spans="1:1" x14ac:dyDescent="0.3">
      <c r="A17630" s="12"/>
    </row>
    <row r="17631" spans="1:1" x14ac:dyDescent="0.3">
      <c r="A17631" s="12"/>
    </row>
    <row r="17632" spans="1:1" x14ac:dyDescent="0.3">
      <c r="A17632" s="12"/>
    </row>
    <row r="17633" spans="1:1" x14ac:dyDescent="0.3">
      <c r="A17633" s="12"/>
    </row>
    <row r="17634" spans="1:1" x14ac:dyDescent="0.3">
      <c r="A17634" s="12"/>
    </row>
    <row r="17635" spans="1:1" x14ac:dyDescent="0.3">
      <c r="A17635" s="12"/>
    </row>
    <row r="17636" spans="1:1" x14ac:dyDescent="0.3">
      <c r="A17636" s="12"/>
    </row>
    <row r="17637" spans="1:1" x14ac:dyDescent="0.3">
      <c r="A17637" s="12"/>
    </row>
    <row r="17638" spans="1:1" x14ac:dyDescent="0.3">
      <c r="A17638" s="12"/>
    </row>
    <row r="17639" spans="1:1" x14ac:dyDescent="0.3">
      <c r="A17639" s="12"/>
    </row>
    <row r="17640" spans="1:1" x14ac:dyDescent="0.3">
      <c r="A17640" s="12"/>
    </row>
    <row r="17641" spans="1:1" x14ac:dyDescent="0.3">
      <c r="A17641" s="12"/>
    </row>
    <row r="17642" spans="1:1" x14ac:dyDescent="0.3">
      <c r="A17642" s="12"/>
    </row>
    <row r="17643" spans="1:1" x14ac:dyDescent="0.3">
      <c r="A17643" s="12"/>
    </row>
    <row r="17644" spans="1:1" x14ac:dyDescent="0.3">
      <c r="A17644" s="12"/>
    </row>
    <row r="17645" spans="1:1" x14ac:dyDescent="0.3">
      <c r="A17645" s="12"/>
    </row>
    <row r="17646" spans="1:1" x14ac:dyDescent="0.3">
      <c r="A17646" s="12"/>
    </row>
    <row r="17647" spans="1:1" x14ac:dyDescent="0.3">
      <c r="A17647" s="12"/>
    </row>
    <row r="17648" spans="1:1" x14ac:dyDescent="0.3">
      <c r="A17648" s="12"/>
    </row>
    <row r="17649" spans="1:1" x14ac:dyDescent="0.3">
      <c r="A17649" s="12"/>
    </row>
    <row r="17650" spans="1:1" x14ac:dyDescent="0.3">
      <c r="A17650" s="12"/>
    </row>
    <row r="17651" spans="1:1" x14ac:dyDescent="0.3">
      <c r="A17651" s="12"/>
    </row>
    <row r="17652" spans="1:1" x14ac:dyDescent="0.3">
      <c r="A17652" s="12"/>
    </row>
    <row r="17653" spans="1:1" x14ac:dyDescent="0.3">
      <c r="A17653" s="12"/>
    </row>
    <row r="17654" spans="1:1" x14ac:dyDescent="0.3">
      <c r="A17654" s="12"/>
    </row>
    <row r="17655" spans="1:1" x14ac:dyDescent="0.3">
      <c r="A17655" s="12"/>
    </row>
    <row r="17656" spans="1:1" x14ac:dyDescent="0.3">
      <c r="A17656" s="12"/>
    </row>
    <row r="17657" spans="1:1" x14ac:dyDescent="0.3">
      <c r="A17657" s="12"/>
    </row>
    <row r="17658" spans="1:1" x14ac:dyDescent="0.3">
      <c r="A17658" s="12"/>
    </row>
    <row r="17659" spans="1:1" x14ac:dyDescent="0.3">
      <c r="A17659" s="12"/>
    </row>
    <row r="17660" spans="1:1" x14ac:dyDescent="0.3">
      <c r="A17660" s="12"/>
    </row>
    <row r="17661" spans="1:1" x14ac:dyDescent="0.3">
      <c r="A17661" s="12"/>
    </row>
    <row r="17662" spans="1:1" x14ac:dyDescent="0.3">
      <c r="A17662" s="12"/>
    </row>
    <row r="17663" spans="1:1" x14ac:dyDescent="0.3">
      <c r="A17663" s="12"/>
    </row>
    <row r="17664" spans="1:1" x14ac:dyDescent="0.3">
      <c r="A17664" s="12"/>
    </row>
    <row r="17665" spans="1:1" x14ac:dyDescent="0.3">
      <c r="A17665" s="12"/>
    </row>
    <row r="17666" spans="1:1" x14ac:dyDescent="0.3">
      <c r="A17666" s="12"/>
    </row>
    <row r="17667" spans="1:1" x14ac:dyDescent="0.3">
      <c r="A17667" s="12"/>
    </row>
    <row r="17668" spans="1:1" x14ac:dyDescent="0.3">
      <c r="A17668" s="12"/>
    </row>
    <row r="17669" spans="1:1" x14ac:dyDescent="0.3">
      <c r="A17669" s="12"/>
    </row>
    <row r="17670" spans="1:1" x14ac:dyDescent="0.3">
      <c r="A17670" s="12"/>
    </row>
    <row r="17671" spans="1:1" x14ac:dyDescent="0.3">
      <c r="A17671" s="12"/>
    </row>
    <row r="17672" spans="1:1" x14ac:dyDescent="0.3">
      <c r="A17672" s="12"/>
    </row>
    <row r="17673" spans="1:1" x14ac:dyDescent="0.3">
      <c r="A17673" s="12"/>
    </row>
    <row r="17674" spans="1:1" x14ac:dyDescent="0.3">
      <c r="A17674" s="12"/>
    </row>
    <row r="17675" spans="1:1" x14ac:dyDescent="0.3">
      <c r="A17675" s="12"/>
    </row>
    <row r="17676" spans="1:1" x14ac:dyDescent="0.3">
      <c r="A17676" s="12"/>
    </row>
    <row r="17677" spans="1:1" x14ac:dyDescent="0.3">
      <c r="A17677" s="12"/>
    </row>
    <row r="17678" spans="1:1" x14ac:dyDescent="0.3">
      <c r="A17678" s="12"/>
    </row>
    <row r="17679" spans="1:1" x14ac:dyDescent="0.3">
      <c r="A17679" s="12"/>
    </row>
    <row r="17680" spans="1:1" x14ac:dyDescent="0.3">
      <c r="A17680" s="12"/>
    </row>
    <row r="17681" spans="1:1" x14ac:dyDescent="0.3">
      <c r="A17681" s="12"/>
    </row>
    <row r="17682" spans="1:1" x14ac:dyDescent="0.3">
      <c r="A17682" s="12"/>
    </row>
    <row r="17683" spans="1:1" x14ac:dyDescent="0.3">
      <c r="A17683" s="12"/>
    </row>
    <row r="17684" spans="1:1" x14ac:dyDescent="0.3">
      <c r="A17684" s="12"/>
    </row>
    <row r="17685" spans="1:1" x14ac:dyDescent="0.3">
      <c r="A17685" s="12"/>
    </row>
    <row r="17686" spans="1:1" x14ac:dyDescent="0.3">
      <c r="A17686" s="12"/>
    </row>
    <row r="17687" spans="1:1" x14ac:dyDescent="0.3">
      <c r="A17687" s="12"/>
    </row>
    <row r="17688" spans="1:1" x14ac:dyDescent="0.3">
      <c r="A17688" s="12"/>
    </row>
    <row r="17689" spans="1:1" x14ac:dyDescent="0.3">
      <c r="A17689" s="12"/>
    </row>
    <row r="17690" spans="1:1" x14ac:dyDescent="0.3">
      <c r="A17690" s="12"/>
    </row>
    <row r="17691" spans="1:1" x14ac:dyDescent="0.3">
      <c r="A17691" s="12"/>
    </row>
    <row r="17692" spans="1:1" x14ac:dyDescent="0.3">
      <c r="A17692" s="12"/>
    </row>
    <row r="17693" spans="1:1" x14ac:dyDescent="0.3">
      <c r="A17693" s="12"/>
    </row>
    <row r="17694" spans="1:1" x14ac:dyDescent="0.3">
      <c r="A17694" s="12"/>
    </row>
    <row r="17695" spans="1:1" x14ac:dyDescent="0.3">
      <c r="A17695" s="12"/>
    </row>
    <row r="17696" spans="1:1" x14ac:dyDescent="0.3">
      <c r="A17696" s="12"/>
    </row>
    <row r="17697" spans="1:1" x14ac:dyDescent="0.3">
      <c r="A17697" s="12"/>
    </row>
    <row r="17698" spans="1:1" x14ac:dyDescent="0.3">
      <c r="A17698" s="12"/>
    </row>
    <row r="17699" spans="1:1" x14ac:dyDescent="0.3">
      <c r="A17699" s="12"/>
    </row>
    <row r="17700" spans="1:1" x14ac:dyDescent="0.3">
      <c r="A17700" s="12"/>
    </row>
    <row r="17701" spans="1:1" x14ac:dyDescent="0.3">
      <c r="A17701" s="12"/>
    </row>
    <row r="17702" spans="1:1" x14ac:dyDescent="0.3">
      <c r="A17702" s="12"/>
    </row>
    <row r="17703" spans="1:1" x14ac:dyDescent="0.3">
      <c r="A17703" s="12"/>
    </row>
    <row r="17704" spans="1:1" x14ac:dyDescent="0.3">
      <c r="A17704" s="12"/>
    </row>
    <row r="17705" spans="1:1" x14ac:dyDescent="0.3">
      <c r="A17705" s="12"/>
    </row>
    <row r="17706" spans="1:1" x14ac:dyDescent="0.3">
      <c r="A17706" s="12"/>
    </row>
    <row r="17707" spans="1:1" x14ac:dyDescent="0.3">
      <c r="A17707" s="12"/>
    </row>
    <row r="17708" spans="1:1" x14ac:dyDescent="0.3">
      <c r="A17708" s="12"/>
    </row>
    <row r="17709" spans="1:1" x14ac:dyDescent="0.3">
      <c r="A17709" s="12"/>
    </row>
    <row r="17710" spans="1:1" x14ac:dyDescent="0.3">
      <c r="A17710" s="12"/>
    </row>
    <row r="17711" spans="1:1" x14ac:dyDescent="0.3">
      <c r="A17711" s="12"/>
    </row>
    <row r="17712" spans="1:1" x14ac:dyDescent="0.3">
      <c r="A17712" s="12"/>
    </row>
    <row r="17713" spans="1:1" x14ac:dyDescent="0.3">
      <c r="A17713" s="12"/>
    </row>
    <row r="17714" spans="1:1" x14ac:dyDescent="0.3">
      <c r="A17714" s="12"/>
    </row>
    <row r="17715" spans="1:1" x14ac:dyDescent="0.3">
      <c r="A17715" s="12"/>
    </row>
    <row r="17716" spans="1:1" x14ac:dyDescent="0.3">
      <c r="A17716" s="12"/>
    </row>
    <row r="17717" spans="1:1" x14ac:dyDescent="0.3">
      <c r="A17717" s="12"/>
    </row>
    <row r="17718" spans="1:1" x14ac:dyDescent="0.3">
      <c r="A17718" s="12"/>
    </row>
    <row r="17719" spans="1:1" x14ac:dyDescent="0.3">
      <c r="A17719" s="12"/>
    </row>
    <row r="17720" spans="1:1" x14ac:dyDescent="0.3">
      <c r="A17720" s="12"/>
    </row>
    <row r="17721" spans="1:1" x14ac:dyDescent="0.3">
      <c r="A17721" s="12"/>
    </row>
    <row r="17722" spans="1:1" x14ac:dyDescent="0.3">
      <c r="A17722" s="12"/>
    </row>
    <row r="17723" spans="1:1" x14ac:dyDescent="0.3">
      <c r="A17723" s="12"/>
    </row>
    <row r="17724" spans="1:1" x14ac:dyDescent="0.3">
      <c r="A17724" s="12"/>
    </row>
    <row r="17725" spans="1:1" x14ac:dyDescent="0.3">
      <c r="A17725" s="12"/>
    </row>
    <row r="17726" spans="1:1" x14ac:dyDescent="0.3">
      <c r="A17726" s="12"/>
    </row>
    <row r="17727" spans="1:1" x14ac:dyDescent="0.3">
      <c r="A17727" s="12"/>
    </row>
    <row r="17728" spans="1:1" x14ac:dyDescent="0.3">
      <c r="A17728" s="12"/>
    </row>
    <row r="17729" spans="1:1" x14ac:dyDescent="0.3">
      <c r="A17729" s="12"/>
    </row>
    <row r="17730" spans="1:1" x14ac:dyDescent="0.3">
      <c r="A17730" s="12"/>
    </row>
    <row r="17731" spans="1:1" x14ac:dyDescent="0.3">
      <c r="A17731" s="12"/>
    </row>
    <row r="17732" spans="1:1" x14ac:dyDescent="0.3">
      <c r="A17732" s="12"/>
    </row>
    <row r="17733" spans="1:1" x14ac:dyDescent="0.3">
      <c r="A17733" s="12"/>
    </row>
    <row r="17734" spans="1:1" x14ac:dyDescent="0.3">
      <c r="A17734" s="12"/>
    </row>
    <row r="17735" spans="1:1" x14ac:dyDescent="0.3">
      <c r="A17735" s="12"/>
    </row>
    <row r="17736" spans="1:1" x14ac:dyDescent="0.3">
      <c r="A17736" s="12"/>
    </row>
    <row r="17737" spans="1:1" x14ac:dyDescent="0.3">
      <c r="A17737" s="12"/>
    </row>
    <row r="17738" spans="1:1" x14ac:dyDescent="0.3">
      <c r="A17738" s="12"/>
    </row>
    <row r="17739" spans="1:1" x14ac:dyDescent="0.3">
      <c r="A17739" s="12"/>
    </row>
    <row r="17740" spans="1:1" x14ac:dyDescent="0.3">
      <c r="A17740" s="12"/>
    </row>
    <row r="17741" spans="1:1" x14ac:dyDescent="0.3">
      <c r="A17741" s="12"/>
    </row>
    <row r="17742" spans="1:1" x14ac:dyDescent="0.3">
      <c r="A17742" s="12"/>
    </row>
    <row r="17743" spans="1:1" x14ac:dyDescent="0.3">
      <c r="A17743" s="12"/>
    </row>
    <row r="17744" spans="1:1" x14ac:dyDescent="0.3">
      <c r="A17744" s="12"/>
    </row>
    <row r="17745" spans="1:1" x14ac:dyDescent="0.3">
      <c r="A17745" s="12"/>
    </row>
    <row r="17746" spans="1:1" x14ac:dyDescent="0.3">
      <c r="A17746" s="12"/>
    </row>
    <row r="17747" spans="1:1" x14ac:dyDescent="0.3">
      <c r="A17747" s="12"/>
    </row>
    <row r="17748" spans="1:1" x14ac:dyDescent="0.3">
      <c r="A17748" s="12"/>
    </row>
    <row r="17749" spans="1:1" x14ac:dyDescent="0.3">
      <c r="A17749" s="12"/>
    </row>
    <row r="17750" spans="1:1" x14ac:dyDescent="0.3">
      <c r="A17750" s="12"/>
    </row>
    <row r="17751" spans="1:1" x14ac:dyDescent="0.3">
      <c r="A17751" s="12"/>
    </row>
    <row r="17752" spans="1:1" x14ac:dyDescent="0.3">
      <c r="A17752" s="12"/>
    </row>
    <row r="17753" spans="1:1" x14ac:dyDescent="0.3">
      <c r="A17753" s="12"/>
    </row>
    <row r="17754" spans="1:1" x14ac:dyDescent="0.3">
      <c r="A17754" s="12"/>
    </row>
    <row r="17755" spans="1:1" x14ac:dyDescent="0.3">
      <c r="A17755" s="12"/>
    </row>
    <row r="17756" spans="1:1" x14ac:dyDescent="0.3">
      <c r="A17756" s="12"/>
    </row>
    <row r="17757" spans="1:1" x14ac:dyDescent="0.3">
      <c r="A17757" s="12"/>
    </row>
    <row r="17758" spans="1:1" x14ac:dyDescent="0.3">
      <c r="A17758" s="12"/>
    </row>
    <row r="17759" spans="1:1" x14ac:dyDescent="0.3">
      <c r="A17759" s="12"/>
    </row>
    <row r="17760" spans="1:1" x14ac:dyDescent="0.3">
      <c r="A17760" s="12"/>
    </row>
    <row r="17761" spans="1:1" x14ac:dyDescent="0.3">
      <c r="A17761" s="12"/>
    </row>
    <row r="17762" spans="1:1" x14ac:dyDescent="0.3">
      <c r="A17762" s="12"/>
    </row>
    <row r="17763" spans="1:1" x14ac:dyDescent="0.3">
      <c r="A17763" s="12"/>
    </row>
    <row r="17764" spans="1:1" x14ac:dyDescent="0.3">
      <c r="A17764" s="12"/>
    </row>
    <row r="17765" spans="1:1" x14ac:dyDescent="0.3">
      <c r="A17765" s="12"/>
    </row>
    <row r="17766" spans="1:1" x14ac:dyDescent="0.3">
      <c r="A17766" s="12"/>
    </row>
    <row r="17767" spans="1:1" x14ac:dyDescent="0.3">
      <c r="A17767" s="12"/>
    </row>
    <row r="17768" spans="1:1" x14ac:dyDescent="0.3">
      <c r="A17768" s="12"/>
    </row>
    <row r="17769" spans="1:1" x14ac:dyDescent="0.3">
      <c r="A17769" s="12"/>
    </row>
    <row r="17770" spans="1:1" x14ac:dyDescent="0.3">
      <c r="A17770" s="12"/>
    </row>
    <row r="17771" spans="1:1" x14ac:dyDescent="0.3">
      <c r="A17771" s="12"/>
    </row>
    <row r="17772" spans="1:1" x14ac:dyDescent="0.3">
      <c r="A17772" s="12"/>
    </row>
    <row r="17773" spans="1:1" x14ac:dyDescent="0.3">
      <c r="A17773" s="12"/>
    </row>
    <row r="17774" spans="1:1" x14ac:dyDescent="0.3">
      <c r="A17774" s="12"/>
    </row>
    <row r="17775" spans="1:1" x14ac:dyDescent="0.3">
      <c r="A17775" s="12"/>
    </row>
    <row r="17776" spans="1:1" x14ac:dyDescent="0.3">
      <c r="A17776" s="12"/>
    </row>
    <row r="17777" spans="1:1" x14ac:dyDescent="0.3">
      <c r="A17777" s="12"/>
    </row>
    <row r="17778" spans="1:1" x14ac:dyDescent="0.3">
      <c r="A17778" s="12"/>
    </row>
    <row r="17779" spans="1:1" x14ac:dyDescent="0.3">
      <c r="A17779" s="12"/>
    </row>
    <row r="17780" spans="1:1" x14ac:dyDescent="0.3">
      <c r="A17780" s="12"/>
    </row>
    <row r="17781" spans="1:1" x14ac:dyDescent="0.3">
      <c r="A17781" s="12"/>
    </row>
    <row r="17782" spans="1:1" x14ac:dyDescent="0.3">
      <c r="A17782" s="12"/>
    </row>
    <row r="17783" spans="1:1" x14ac:dyDescent="0.3">
      <c r="A17783" s="12"/>
    </row>
    <row r="17784" spans="1:1" x14ac:dyDescent="0.3">
      <c r="A17784" s="12"/>
    </row>
    <row r="17785" spans="1:1" x14ac:dyDescent="0.3">
      <c r="A17785" s="12"/>
    </row>
    <row r="17786" spans="1:1" x14ac:dyDescent="0.3">
      <c r="A17786" s="12"/>
    </row>
    <row r="17787" spans="1:1" x14ac:dyDescent="0.3">
      <c r="A17787" s="12"/>
    </row>
    <row r="17788" spans="1:1" x14ac:dyDescent="0.3">
      <c r="A17788" s="12"/>
    </row>
    <row r="17789" spans="1:1" x14ac:dyDescent="0.3">
      <c r="A17789" s="12"/>
    </row>
    <row r="17790" spans="1:1" x14ac:dyDescent="0.3">
      <c r="A17790" s="12"/>
    </row>
    <row r="17791" spans="1:1" x14ac:dyDescent="0.3">
      <c r="A17791" s="12"/>
    </row>
    <row r="17792" spans="1:1" x14ac:dyDescent="0.3">
      <c r="A17792" s="12"/>
    </row>
    <row r="17793" spans="1:1" x14ac:dyDescent="0.3">
      <c r="A17793" s="12"/>
    </row>
    <row r="17794" spans="1:1" x14ac:dyDescent="0.3">
      <c r="A17794" s="12"/>
    </row>
    <row r="17795" spans="1:1" x14ac:dyDescent="0.3">
      <c r="A17795" s="12"/>
    </row>
    <row r="17796" spans="1:1" x14ac:dyDescent="0.3">
      <c r="A17796" s="12"/>
    </row>
    <row r="17797" spans="1:1" x14ac:dyDescent="0.3">
      <c r="A17797" s="12"/>
    </row>
    <row r="17798" spans="1:1" x14ac:dyDescent="0.3">
      <c r="A17798" s="12"/>
    </row>
    <row r="17799" spans="1:1" x14ac:dyDescent="0.3">
      <c r="A17799" s="12"/>
    </row>
    <row r="17800" spans="1:1" x14ac:dyDescent="0.3">
      <c r="A17800" s="12"/>
    </row>
    <row r="17801" spans="1:1" x14ac:dyDescent="0.3">
      <c r="A17801" s="12"/>
    </row>
    <row r="17802" spans="1:1" x14ac:dyDescent="0.3">
      <c r="A17802" s="12"/>
    </row>
    <row r="17803" spans="1:1" x14ac:dyDescent="0.3">
      <c r="A17803" s="12"/>
    </row>
    <row r="17804" spans="1:1" x14ac:dyDescent="0.3">
      <c r="A17804" s="12"/>
    </row>
    <row r="17805" spans="1:1" x14ac:dyDescent="0.3">
      <c r="A17805" s="12"/>
    </row>
    <row r="17806" spans="1:1" x14ac:dyDescent="0.3">
      <c r="A17806" s="12"/>
    </row>
    <row r="17807" spans="1:1" x14ac:dyDescent="0.3">
      <c r="A17807" s="12"/>
    </row>
    <row r="17808" spans="1:1" x14ac:dyDescent="0.3">
      <c r="A17808" s="12"/>
    </row>
    <row r="17809" spans="1:1" x14ac:dyDescent="0.3">
      <c r="A17809" s="12"/>
    </row>
    <row r="17810" spans="1:1" x14ac:dyDescent="0.3">
      <c r="A17810" s="12"/>
    </row>
    <row r="17811" spans="1:1" x14ac:dyDescent="0.3">
      <c r="A17811" s="12"/>
    </row>
    <row r="17812" spans="1:1" x14ac:dyDescent="0.3">
      <c r="A17812" s="12"/>
    </row>
    <row r="17813" spans="1:1" x14ac:dyDescent="0.3">
      <c r="A17813" s="12"/>
    </row>
    <row r="17814" spans="1:1" x14ac:dyDescent="0.3">
      <c r="A17814" s="12"/>
    </row>
    <row r="17815" spans="1:1" x14ac:dyDescent="0.3">
      <c r="A17815" s="12"/>
    </row>
    <row r="17816" spans="1:1" x14ac:dyDescent="0.3">
      <c r="A17816" s="12"/>
    </row>
    <row r="17817" spans="1:1" x14ac:dyDescent="0.3">
      <c r="A17817" s="12"/>
    </row>
    <row r="17818" spans="1:1" x14ac:dyDescent="0.3">
      <c r="A17818" s="12"/>
    </row>
    <row r="17819" spans="1:1" x14ac:dyDescent="0.3">
      <c r="A17819" s="12"/>
    </row>
    <row r="17820" spans="1:1" x14ac:dyDescent="0.3">
      <c r="A17820" s="12"/>
    </row>
    <row r="17821" spans="1:1" x14ac:dyDescent="0.3">
      <c r="A17821" s="12"/>
    </row>
    <row r="17822" spans="1:1" x14ac:dyDescent="0.3">
      <c r="A17822" s="12"/>
    </row>
    <row r="17823" spans="1:1" x14ac:dyDescent="0.3">
      <c r="A17823" s="12"/>
    </row>
    <row r="17824" spans="1:1" x14ac:dyDescent="0.3">
      <c r="A17824" s="12"/>
    </row>
    <row r="17825" spans="1:1" x14ac:dyDescent="0.3">
      <c r="A17825" s="12"/>
    </row>
    <row r="17826" spans="1:1" x14ac:dyDescent="0.3">
      <c r="A17826" s="12"/>
    </row>
    <row r="17827" spans="1:1" x14ac:dyDescent="0.3">
      <c r="A17827" s="12"/>
    </row>
    <row r="17828" spans="1:1" x14ac:dyDescent="0.3">
      <c r="A17828" s="12"/>
    </row>
    <row r="17829" spans="1:1" x14ac:dyDescent="0.3">
      <c r="A17829" s="12"/>
    </row>
    <row r="17830" spans="1:1" x14ac:dyDescent="0.3">
      <c r="A17830" s="12"/>
    </row>
    <row r="17831" spans="1:1" x14ac:dyDescent="0.3">
      <c r="A17831" s="12"/>
    </row>
    <row r="17832" spans="1:1" x14ac:dyDescent="0.3">
      <c r="A17832" s="12"/>
    </row>
    <row r="17833" spans="1:1" x14ac:dyDescent="0.3">
      <c r="A17833" s="12"/>
    </row>
    <row r="17834" spans="1:1" x14ac:dyDescent="0.3">
      <c r="A17834" s="12"/>
    </row>
    <row r="17835" spans="1:1" x14ac:dyDescent="0.3">
      <c r="A17835" s="12"/>
    </row>
    <row r="17836" spans="1:1" x14ac:dyDescent="0.3">
      <c r="A17836" s="12"/>
    </row>
    <row r="17837" spans="1:1" x14ac:dyDescent="0.3">
      <c r="A17837" s="12"/>
    </row>
    <row r="17838" spans="1:1" x14ac:dyDescent="0.3">
      <c r="A17838" s="12"/>
    </row>
    <row r="17839" spans="1:1" x14ac:dyDescent="0.3">
      <c r="A17839" s="12"/>
    </row>
    <row r="17840" spans="1:1" x14ac:dyDescent="0.3">
      <c r="A17840" s="12"/>
    </row>
    <row r="17841" spans="1:1" x14ac:dyDescent="0.3">
      <c r="A17841" s="12"/>
    </row>
    <row r="17842" spans="1:1" x14ac:dyDescent="0.3">
      <c r="A17842" s="12"/>
    </row>
    <row r="17843" spans="1:1" x14ac:dyDescent="0.3">
      <c r="A17843" s="12"/>
    </row>
    <row r="17844" spans="1:1" x14ac:dyDescent="0.3">
      <c r="A17844" s="12"/>
    </row>
    <row r="17845" spans="1:1" x14ac:dyDescent="0.3">
      <c r="A17845" s="12"/>
    </row>
    <row r="17846" spans="1:1" x14ac:dyDescent="0.3">
      <c r="A17846" s="12"/>
    </row>
    <row r="17847" spans="1:1" x14ac:dyDescent="0.3">
      <c r="A17847" s="12"/>
    </row>
    <row r="17848" spans="1:1" x14ac:dyDescent="0.3">
      <c r="A17848" s="12"/>
    </row>
    <row r="17849" spans="1:1" x14ac:dyDescent="0.3">
      <c r="A17849" s="12"/>
    </row>
    <row r="17850" spans="1:1" x14ac:dyDescent="0.3">
      <c r="A17850" s="12"/>
    </row>
    <row r="17851" spans="1:1" x14ac:dyDescent="0.3">
      <c r="A17851" s="12"/>
    </row>
    <row r="17852" spans="1:1" x14ac:dyDescent="0.3">
      <c r="A17852" s="12"/>
    </row>
    <row r="17853" spans="1:1" x14ac:dyDescent="0.3">
      <c r="A17853" s="12"/>
    </row>
    <row r="17854" spans="1:1" x14ac:dyDescent="0.3">
      <c r="A17854" s="12"/>
    </row>
    <row r="17855" spans="1:1" x14ac:dyDescent="0.3">
      <c r="A17855" s="12"/>
    </row>
    <row r="17856" spans="1:1" x14ac:dyDescent="0.3">
      <c r="A17856" s="12"/>
    </row>
    <row r="17857" spans="1:1" x14ac:dyDescent="0.3">
      <c r="A17857" s="12"/>
    </row>
    <row r="17858" spans="1:1" x14ac:dyDescent="0.3">
      <c r="A17858" s="12"/>
    </row>
    <row r="17859" spans="1:1" x14ac:dyDescent="0.3">
      <c r="A17859" s="12"/>
    </row>
    <row r="17860" spans="1:1" x14ac:dyDescent="0.3">
      <c r="A17860" s="12"/>
    </row>
    <row r="17861" spans="1:1" x14ac:dyDescent="0.3">
      <c r="A17861" s="12"/>
    </row>
    <row r="17862" spans="1:1" x14ac:dyDescent="0.3">
      <c r="A17862" s="12"/>
    </row>
    <row r="17863" spans="1:1" x14ac:dyDescent="0.3">
      <c r="A17863" s="12"/>
    </row>
    <row r="17864" spans="1:1" x14ac:dyDescent="0.3">
      <c r="A17864" s="12"/>
    </row>
    <row r="17865" spans="1:1" x14ac:dyDescent="0.3">
      <c r="A17865" s="12"/>
    </row>
    <row r="17866" spans="1:1" x14ac:dyDescent="0.3">
      <c r="A17866" s="12"/>
    </row>
    <row r="17867" spans="1:1" x14ac:dyDescent="0.3">
      <c r="A17867" s="12"/>
    </row>
    <row r="17868" spans="1:1" x14ac:dyDescent="0.3">
      <c r="A17868" s="12"/>
    </row>
    <row r="17869" spans="1:1" x14ac:dyDescent="0.3">
      <c r="A17869" s="12"/>
    </row>
    <row r="17870" spans="1:1" x14ac:dyDescent="0.3">
      <c r="A17870" s="12"/>
    </row>
    <row r="17871" spans="1:1" x14ac:dyDescent="0.3">
      <c r="A17871" s="12"/>
    </row>
    <row r="17872" spans="1:1" x14ac:dyDescent="0.3">
      <c r="A17872" s="12"/>
    </row>
    <row r="17873" spans="1:1" x14ac:dyDescent="0.3">
      <c r="A17873" s="12"/>
    </row>
    <row r="17874" spans="1:1" x14ac:dyDescent="0.3">
      <c r="A17874" s="12"/>
    </row>
    <row r="17875" spans="1:1" x14ac:dyDescent="0.3">
      <c r="A17875" s="12"/>
    </row>
    <row r="17876" spans="1:1" x14ac:dyDescent="0.3">
      <c r="A17876" s="12"/>
    </row>
    <row r="17877" spans="1:1" x14ac:dyDescent="0.3">
      <c r="A17877" s="12"/>
    </row>
    <row r="17878" spans="1:1" x14ac:dyDescent="0.3">
      <c r="A17878" s="12"/>
    </row>
    <row r="17879" spans="1:1" x14ac:dyDescent="0.3">
      <c r="A17879" s="12"/>
    </row>
    <row r="17880" spans="1:1" x14ac:dyDescent="0.3">
      <c r="A17880" s="12"/>
    </row>
    <row r="17881" spans="1:1" x14ac:dyDescent="0.3">
      <c r="A17881" s="12"/>
    </row>
    <row r="17882" spans="1:1" x14ac:dyDescent="0.3">
      <c r="A17882" s="12"/>
    </row>
    <row r="17883" spans="1:1" x14ac:dyDescent="0.3">
      <c r="A17883" s="12"/>
    </row>
    <row r="17884" spans="1:1" x14ac:dyDescent="0.3">
      <c r="A17884" s="12"/>
    </row>
    <row r="17885" spans="1:1" x14ac:dyDescent="0.3">
      <c r="A17885" s="12"/>
    </row>
    <row r="17886" spans="1:1" x14ac:dyDescent="0.3">
      <c r="A17886" s="12"/>
    </row>
    <row r="17887" spans="1:1" x14ac:dyDescent="0.3">
      <c r="A17887" s="12"/>
    </row>
    <row r="17888" spans="1:1" x14ac:dyDescent="0.3">
      <c r="A17888" s="12"/>
    </row>
    <row r="17889" spans="1:1" x14ac:dyDescent="0.3">
      <c r="A17889" s="12"/>
    </row>
    <row r="17890" spans="1:1" x14ac:dyDescent="0.3">
      <c r="A17890" s="12"/>
    </row>
    <row r="17891" spans="1:1" x14ac:dyDescent="0.3">
      <c r="A17891" s="12"/>
    </row>
    <row r="17892" spans="1:1" x14ac:dyDescent="0.3">
      <c r="A17892" s="12"/>
    </row>
    <row r="17893" spans="1:1" x14ac:dyDescent="0.3">
      <c r="A17893" s="12"/>
    </row>
    <row r="17894" spans="1:1" x14ac:dyDescent="0.3">
      <c r="A17894" s="12"/>
    </row>
    <row r="17895" spans="1:1" x14ac:dyDescent="0.3">
      <c r="A17895" s="12"/>
    </row>
    <row r="17896" spans="1:1" x14ac:dyDescent="0.3">
      <c r="A17896" s="12"/>
    </row>
    <row r="17897" spans="1:1" x14ac:dyDescent="0.3">
      <c r="A17897" s="12"/>
    </row>
    <row r="17898" spans="1:1" x14ac:dyDescent="0.3">
      <c r="A17898" s="12"/>
    </row>
    <row r="17899" spans="1:1" x14ac:dyDescent="0.3">
      <c r="A17899" s="12"/>
    </row>
    <row r="17900" spans="1:1" x14ac:dyDescent="0.3">
      <c r="A17900" s="12"/>
    </row>
    <row r="17901" spans="1:1" x14ac:dyDescent="0.3">
      <c r="A17901" s="12"/>
    </row>
    <row r="17902" spans="1:1" x14ac:dyDescent="0.3">
      <c r="A17902" s="12"/>
    </row>
    <row r="17903" spans="1:1" x14ac:dyDescent="0.3">
      <c r="A17903" s="12"/>
    </row>
    <row r="17904" spans="1:1" x14ac:dyDescent="0.3">
      <c r="A17904" s="12"/>
    </row>
    <row r="17905" spans="1:1" x14ac:dyDescent="0.3">
      <c r="A17905" s="12"/>
    </row>
    <row r="17906" spans="1:1" x14ac:dyDescent="0.3">
      <c r="A17906" s="12"/>
    </row>
    <row r="17907" spans="1:1" x14ac:dyDescent="0.3">
      <c r="A17907" s="12"/>
    </row>
    <row r="17908" spans="1:1" x14ac:dyDescent="0.3">
      <c r="A17908" s="12"/>
    </row>
    <row r="17909" spans="1:1" x14ac:dyDescent="0.3">
      <c r="A17909" s="12"/>
    </row>
    <row r="17910" spans="1:1" x14ac:dyDescent="0.3">
      <c r="A17910" s="12"/>
    </row>
    <row r="17911" spans="1:1" x14ac:dyDescent="0.3">
      <c r="A17911" s="12"/>
    </row>
    <row r="17912" spans="1:1" x14ac:dyDescent="0.3">
      <c r="A17912" s="12"/>
    </row>
    <row r="17913" spans="1:1" x14ac:dyDescent="0.3">
      <c r="A17913" s="12"/>
    </row>
    <row r="17914" spans="1:1" x14ac:dyDescent="0.3">
      <c r="A17914" s="12"/>
    </row>
    <row r="17915" spans="1:1" x14ac:dyDescent="0.3">
      <c r="A17915" s="12"/>
    </row>
    <row r="17916" spans="1:1" x14ac:dyDescent="0.3">
      <c r="A17916" s="12"/>
    </row>
    <row r="17917" spans="1:1" x14ac:dyDescent="0.3">
      <c r="A17917" s="12"/>
    </row>
    <row r="17918" spans="1:1" x14ac:dyDescent="0.3">
      <c r="A17918" s="12"/>
    </row>
    <row r="17919" spans="1:1" x14ac:dyDescent="0.3">
      <c r="A17919" s="12"/>
    </row>
    <row r="17920" spans="1:1" x14ac:dyDescent="0.3">
      <c r="A17920" s="12"/>
    </row>
    <row r="17921" spans="1:1" x14ac:dyDescent="0.3">
      <c r="A17921" s="12"/>
    </row>
    <row r="17922" spans="1:1" x14ac:dyDescent="0.3">
      <c r="A17922" s="12"/>
    </row>
    <row r="17923" spans="1:1" x14ac:dyDescent="0.3">
      <c r="A17923" s="12"/>
    </row>
    <row r="17924" spans="1:1" x14ac:dyDescent="0.3">
      <c r="A17924" s="12"/>
    </row>
    <row r="17925" spans="1:1" x14ac:dyDescent="0.3">
      <c r="A17925" s="12"/>
    </row>
    <row r="17926" spans="1:1" x14ac:dyDescent="0.3">
      <c r="A17926" s="12"/>
    </row>
    <row r="17927" spans="1:1" x14ac:dyDescent="0.3">
      <c r="A17927" s="12"/>
    </row>
    <row r="17928" spans="1:1" x14ac:dyDescent="0.3">
      <c r="A17928" s="12"/>
    </row>
    <row r="17929" spans="1:1" x14ac:dyDescent="0.3">
      <c r="A17929" s="12"/>
    </row>
    <row r="17930" spans="1:1" x14ac:dyDescent="0.3">
      <c r="A17930" s="12"/>
    </row>
    <row r="17931" spans="1:1" x14ac:dyDescent="0.3">
      <c r="A17931" s="12"/>
    </row>
    <row r="17932" spans="1:1" x14ac:dyDescent="0.3">
      <c r="A17932" s="12"/>
    </row>
    <row r="17933" spans="1:1" x14ac:dyDescent="0.3">
      <c r="A17933" s="12"/>
    </row>
    <row r="17934" spans="1:1" x14ac:dyDescent="0.3">
      <c r="A17934" s="12"/>
    </row>
    <row r="17935" spans="1:1" x14ac:dyDescent="0.3">
      <c r="A17935" s="12"/>
    </row>
    <row r="17936" spans="1:1" x14ac:dyDescent="0.3">
      <c r="A17936" s="12"/>
    </row>
    <row r="17937" spans="1:1" x14ac:dyDescent="0.3">
      <c r="A17937" s="12"/>
    </row>
    <row r="17938" spans="1:1" x14ac:dyDescent="0.3">
      <c r="A17938" s="12"/>
    </row>
    <row r="17939" spans="1:1" x14ac:dyDescent="0.3">
      <c r="A17939" s="12"/>
    </row>
    <row r="17940" spans="1:1" x14ac:dyDescent="0.3">
      <c r="A17940" s="12"/>
    </row>
    <row r="17941" spans="1:1" x14ac:dyDescent="0.3">
      <c r="A17941" s="12"/>
    </row>
    <row r="17942" spans="1:1" x14ac:dyDescent="0.3">
      <c r="A17942" s="12"/>
    </row>
    <row r="17943" spans="1:1" x14ac:dyDescent="0.3">
      <c r="A17943" s="12"/>
    </row>
    <row r="17944" spans="1:1" x14ac:dyDescent="0.3">
      <c r="A17944" s="12"/>
    </row>
    <row r="17945" spans="1:1" x14ac:dyDescent="0.3">
      <c r="A17945" s="12"/>
    </row>
    <row r="17946" spans="1:1" x14ac:dyDescent="0.3">
      <c r="A17946" s="12"/>
    </row>
    <row r="17947" spans="1:1" x14ac:dyDescent="0.3">
      <c r="A17947" s="12"/>
    </row>
    <row r="17948" spans="1:1" x14ac:dyDescent="0.3">
      <c r="A17948" s="12"/>
    </row>
    <row r="17949" spans="1:1" x14ac:dyDescent="0.3">
      <c r="A17949" s="12"/>
    </row>
    <row r="17950" spans="1:1" x14ac:dyDescent="0.3">
      <c r="A17950" s="12"/>
    </row>
    <row r="17951" spans="1:1" x14ac:dyDescent="0.3">
      <c r="A17951" s="12"/>
    </row>
    <row r="17952" spans="1:1" x14ac:dyDescent="0.3">
      <c r="A17952" s="12"/>
    </row>
    <row r="17953" spans="1:1" x14ac:dyDescent="0.3">
      <c r="A17953" s="12"/>
    </row>
    <row r="17954" spans="1:1" x14ac:dyDescent="0.3">
      <c r="A17954" s="12"/>
    </row>
    <row r="17955" spans="1:1" x14ac:dyDescent="0.3">
      <c r="A17955" s="12"/>
    </row>
    <row r="17956" spans="1:1" x14ac:dyDescent="0.3">
      <c r="A17956" s="12"/>
    </row>
    <row r="17957" spans="1:1" x14ac:dyDescent="0.3">
      <c r="A17957" s="12"/>
    </row>
    <row r="17958" spans="1:1" x14ac:dyDescent="0.3">
      <c r="A17958" s="12"/>
    </row>
    <row r="17959" spans="1:1" x14ac:dyDescent="0.3">
      <c r="A17959" s="12"/>
    </row>
    <row r="17960" spans="1:1" x14ac:dyDescent="0.3">
      <c r="A17960" s="12"/>
    </row>
    <row r="17961" spans="1:1" x14ac:dyDescent="0.3">
      <c r="A17961" s="12"/>
    </row>
    <row r="17962" spans="1:1" x14ac:dyDescent="0.3">
      <c r="A17962" s="12"/>
    </row>
    <row r="17963" spans="1:1" x14ac:dyDescent="0.3">
      <c r="A17963" s="12"/>
    </row>
    <row r="17964" spans="1:1" x14ac:dyDescent="0.3">
      <c r="A17964" s="12"/>
    </row>
    <row r="17965" spans="1:1" x14ac:dyDescent="0.3">
      <c r="A17965" s="12"/>
    </row>
    <row r="17966" spans="1:1" x14ac:dyDescent="0.3">
      <c r="A17966" s="12"/>
    </row>
    <row r="17967" spans="1:1" x14ac:dyDescent="0.3">
      <c r="A17967" s="12"/>
    </row>
    <row r="17968" spans="1:1" x14ac:dyDescent="0.3">
      <c r="A17968" s="12"/>
    </row>
    <row r="17969" spans="1:1" x14ac:dyDescent="0.3">
      <c r="A17969" s="12"/>
    </row>
    <row r="17970" spans="1:1" x14ac:dyDescent="0.3">
      <c r="A17970" s="12"/>
    </row>
    <row r="17971" spans="1:1" x14ac:dyDescent="0.3">
      <c r="A17971" s="12"/>
    </row>
    <row r="17972" spans="1:1" x14ac:dyDescent="0.3">
      <c r="A17972" s="12"/>
    </row>
    <row r="17973" spans="1:1" x14ac:dyDescent="0.3">
      <c r="A17973" s="12"/>
    </row>
    <row r="17974" spans="1:1" x14ac:dyDescent="0.3">
      <c r="A17974" s="12"/>
    </row>
    <row r="17975" spans="1:1" x14ac:dyDescent="0.3">
      <c r="A17975" s="12"/>
    </row>
    <row r="17976" spans="1:1" x14ac:dyDescent="0.3">
      <c r="A17976" s="12"/>
    </row>
    <row r="17977" spans="1:1" x14ac:dyDescent="0.3">
      <c r="A17977" s="12"/>
    </row>
    <row r="17978" spans="1:1" x14ac:dyDescent="0.3">
      <c r="A17978" s="12"/>
    </row>
    <row r="17979" spans="1:1" x14ac:dyDescent="0.3">
      <c r="A17979" s="12"/>
    </row>
    <row r="17980" spans="1:1" x14ac:dyDescent="0.3">
      <c r="A17980" s="12"/>
    </row>
    <row r="17981" spans="1:1" x14ac:dyDescent="0.3">
      <c r="A17981" s="12"/>
    </row>
    <row r="17982" spans="1:1" x14ac:dyDescent="0.3">
      <c r="A17982" s="12"/>
    </row>
    <row r="17983" spans="1:1" x14ac:dyDescent="0.3">
      <c r="A17983" s="12"/>
    </row>
    <row r="17984" spans="1:1" x14ac:dyDescent="0.3">
      <c r="A17984" s="12"/>
    </row>
    <row r="17985" spans="1:1" x14ac:dyDescent="0.3">
      <c r="A17985" s="12"/>
    </row>
    <row r="17986" spans="1:1" x14ac:dyDescent="0.3">
      <c r="A17986" s="12"/>
    </row>
    <row r="17987" spans="1:1" x14ac:dyDescent="0.3">
      <c r="A17987" s="12"/>
    </row>
    <row r="17988" spans="1:1" x14ac:dyDescent="0.3">
      <c r="A17988" s="12"/>
    </row>
    <row r="17989" spans="1:1" x14ac:dyDescent="0.3">
      <c r="A17989" s="12"/>
    </row>
    <row r="17990" spans="1:1" x14ac:dyDescent="0.3">
      <c r="A17990" s="12"/>
    </row>
    <row r="17991" spans="1:1" x14ac:dyDescent="0.3">
      <c r="A17991" s="12"/>
    </row>
    <row r="17992" spans="1:1" x14ac:dyDescent="0.3">
      <c r="A17992" s="12"/>
    </row>
    <row r="17993" spans="1:1" x14ac:dyDescent="0.3">
      <c r="A17993" s="12"/>
    </row>
    <row r="17994" spans="1:1" x14ac:dyDescent="0.3">
      <c r="A17994" s="12"/>
    </row>
    <row r="17995" spans="1:1" x14ac:dyDescent="0.3">
      <c r="A17995" s="12"/>
    </row>
    <row r="17996" spans="1:1" x14ac:dyDescent="0.3">
      <c r="A17996" s="12"/>
    </row>
    <row r="17997" spans="1:1" x14ac:dyDescent="0.3">
      <c r="A17997" s="12"/>
    </row>
    <row r="17998" spans="1:1" x14ac:dyDescent="0.3">
      <c r="A17998" s="12"/>
    </row>
    <row r="17999" spans="1:1" x14ac:dyDescent="0.3">
      <c r="A17999" s="12"/>
    </row>
    <row r="18000" spans="1:1" x14ac:dyDescent="0.3">
      <c r="A18000" s="12"/>
    </row>
    <row r="18001" spans="1:1" x14ac:dyDescent="0.3">
      <c r="A18001" s="12"/>
    </row>
    <row r="18002" spans="1:1" x14ac:dyDescent="0.3">
      <c r="A18002" s="12"/>
    </row>
    <row r="18003" spans="1:1" x14ac:dyDescent="0.3">
      <c r="A18003" s="12"/>
    </row>
    <row r="18004" spans="1:1" x14ac:dyDescent="0.3">
      <c r="A18004" s="12"/>
    </row>
    <row r="18005" spans="1:1" x14ac:dyDescent="0.3">
      <c r="A18005" s="12"/>
    </row>
    <row r="18006" spans="1:1" x14ac:dyDescent="0.3">
      <c r="A18006" s="12"/>
    </row>
    <row r="18007" spans="1:1" x14ac:dyDescent="0.3">
      <c r="A18007" s="12"/>
    </row>
    <row r="18008" spans="1:1" x14ac:dyDescent="0.3">
      <c r="A18008" s="12"/>
    </row>
    <row r="18009" spans="1:1" x14ac:dyDescent="0.3">
      <c r="A18009" s="12"/>
    </row>
    <row r="18010" spans="1:1" x14ac:dyDescent="0.3">
      <c r="A18010" s="12"/>
    </row>
    <row r="18011" spans="1:1" x14ac:dyDescent="0.3">
      <c r="A18011" s="12"/>
    </row>
    <row r="18012" spans="1:1" x14ac:dyDescent="0.3">
      <c r="A18012" s="12"/>
    </row>
    <row r="18013" spans="1:1" x14ac:dyDescent="0.3">
      <c r="A18013" s="12"/>
    </row>
    <row r="18014" spans="1:1" x14ac:dyDescent="0.3">
      <c r="A18014" s="12"/>
    </row>
    <row r="18015" spans="1:1" x14ac:dyDescent="0.3">
      <c r="A18015" s="12"/>
    </row>
    <row r="18016" spans="1:1" x14ac:dyDescent="0.3">
      <c r="A18016" s="12"/>
    </row>
    <row r="18017" spans="1:1" x14ac:dyDescent="0.3">
      <c r="A18017" s="12"/>
    </row>
    <row r="18018" spans="1:1" x14ac:dyDescent="0.3">
      <c r="A18018" s="12"/>
    </row>
    <row r="18019" spans="1:1" x14ac:dyDescent="0.3">
      <c r="A18019" s="12"/>
    </row>
    <row r="18020" spans="1:1" x14ac:dyDescent="0.3">
      <c r="A18020" s="12"/>
    </row>
    <row r="18021" spans="1:1" x14ac:dyDescent="0.3">
      <c r="A18021" s="12"/>
    </row>
    <row r="18022" spans="1:1" x14ac:dyDescent="0.3">
      <c r="A18022" s="12"/>
    </row>
    <row r="18023" spans="1:1" x14ac:dyDescent="0.3">
      <c r="A18023" s="12"/>
    </row>
    <row r="18024" spans="1:1" x14ac:dyDescent="0.3">
      <c r="A18024" s="12"/>
    </row>
    <row r="18025" spans="1:1" x14ac:dyDescent="0.3">
      <c r="A18025" s="12"/>
    </row>
    <row r="18026" spans="1:1" x14ac:dyDescent="0.3">
      <c r="A18026" s="12"/>
    </row>
    <row r="18027" spans="1:1" x14ac:dyDescent="0.3">
      <c r="A18027" s="12"/>
    </row>
    <row r="18028" spans="1:1" x14ac:dyDescent="0.3">
      <c r="A18028" s="12"/>
    </row>
    <row r="18029" spans="1:1" x14ac:dyDescent="0.3">
      <c r="A18029" s="12"/>
    </row>
    <row r="18030" spans="1:1" x14ac:dyDescent="0.3">
      <c r="A18030" s="12"/>
    </row>
    <row r="18031" spans="1:1" x14ac:dyDescent="0.3">
      <c r="A18031" s="12"/>
    </row>
    <row r="18032" spans="1:1" x14ac:dyDescent="0.3">
      <c r="A18032" s="12"/>
    </row>
    <row r="18033" spans="1:1" x14ac:dyDescent="0.3">
      <c r="A18033" s="12"/>
    </row>
    <row r="18034" spans="1:1" x14ac:dyDescent="0.3">
      <c r="A18034" s="12"/>
    </row>
    <row r="18035" spans="1:1" x14ac:dyDescent="0.3">
      <c r="A18035" s="12"/>
    </row>
    <row r="18036" spans="1:1" x14ac:dyDescent="0.3">
      <c r="A18036" s="12"/>
    </row>
    <row r="18037" spans="1:1" x14ac:dyDescent="0.3">
      <c r="A18037" s="12"/>
    </row>
    <row r="18038" spans="1:1" x14ac:dyDescent="0.3">
      <c r="A18038" s="12"/>
    </row>
    <row r="18039" spans="1:1" x14ac:dyDescent="0.3">
      <c r="A18039" s="12"/>
    </row>
    <row r="18040" spans="1:1" x14ac:dyDescent="0.3">
      <c r="A18040" s="12"/>
    </row>
    <row r="18041" spans="1:1" x14ac:dyDescent="0.3">
      <c r="A18041" s="12"/>
    </row>
    <row r="18042" spans="1:1" x14ac:dyDescent="0.3">
      <c r="A18042" s="12"/>
    </row>
    <row r="18043" spans="1:1" x14ac:dyDescent="0.3">
      <c r="A18043" s="12"/>
    </row>
    <row r="18044" spans="1:1" x14ac:dyDescent="0.3">
      <c r="A18044" s="12"/>
    </row>
    <row r="18045" spans="1:1" x14ac:dyDescent="0.3">
      <c r="A18045" s="12"/>
    </row>
    <row r="18046" spans="1:1" x14ac:dyDescent="0.3">
      <c r="A18046" s="12"/>
    </row>
    <row r="18047" spans="1:1" x14ac:dyDescent="0.3">
      <c r="A18047" s="12"/>
    </row>
    <row r="18048" spans="1:1" x14ac:dyDescent="0.3">
      <c r="A18048" s="12"/>
    </row>
    <row r="18049" spans="1:1" x14ac:dyDescent="0.3">
      <c r="A18049" s="12"/>
    </row>
    <row r="18050" spans="1:1" x14ac:dyDescent="0.3">
      <c r="A18050" s="12"/>
    </row>
    <row r="18051" spans="1:1" x14ac:dyDescent="0.3">
      <c r="A18051" s="12"/>
    </row>
    <row r="18052" spans="1:1" x14ac:dyDescent="0.3">
      <c r="A18052" s="12"/>
    </row>
    <row r="18053" spans="1:1" x14ac:dyDescent="0.3">
      <c r="A18053" s="12"/>
    </row>
    <row r="18054" spans="1:1" x14ac:dyDescent="0.3">
      <c r="A18054" s="12"/>
    </row>
    <row r="18055" spans="1:1" x14ac:dyDescent="0.3">
      <c r="A18055" s="12"/>
    </row>
    <row r="18056" spans="1:1" x14ac:dyDescent="0.3">
      <c r="A18056" s="12"/>
    </row>
    <row r="18057" spans="1:1" x14ac:dyDescent="0.3">
      <c r="A18057" s="12"/>
    </row>
    <row r="18058" spans="1:1" x14ac:dyDescent="0.3">
      <c r="A18058" s="12"/>
    </row>
    <row r="18059" spans="1:1" x14ac:dyDescent="0.3">
      <c r="A18059" s="12"/>
    </row>
    <row r="18060" spans="1:1" x14ac:dyDescent="0.3">
      <c r="A18060" s="12"/>
    </row>
    <row r="18061" spans="1:1" x14ac:dyDescent="0.3">
      <c r="A18061" s="12"/>
    </row>
    <row r="18062" spans="1:1" x14ac:dyDescent="0.3">
      <c r="A18062" s="12"/>
    </row>
    <row r="18063" spans="1:1" x14ac:dyDescent="0.3">
      <c r="A18063" s="12"/>
    </row>
    <row r="18064" spans="1:1" x14ac:dyDescent="0.3">
      <c r="A18064" s="12"/>
    </row>
    <row r="18065" spans="1:1" x14ac:dyDescent="0.3">
      <c r="A18065" s="12"/>
    </row>
    <row r="18066" spans="1:1" x14ac:dyDescent="0.3">
      <c r="A18066" s="12"/>
    </row>
    <row r="18067" spans="1:1" x14ac:dyDescent="0.3">
      <c r="A18067" s="12"/>
    </row>
    <row r="18068" spans="1:1" x14ac:dyDescent="0.3">
      <c r="A18068" s="12"/>
    </row>
    <row r="18069" spans="1:1" x14ac:dyDescent="0.3">
      <c r="A18069" s="12"/>
    </row>
    <row r="18070" spans="1:1" x14ac:dyDescent="0.3">
      <c r="A18070" s="12"/>
    </row>
    <row r="18071" spans="1:1" x14ac:dyDescent="0.3">
      <c r="A18071" s="12"/>
    </row>
    <row r="18072" spans="1:1" x14ac:dyDescent="0.3">
      <c r="A18072" s="12"/>
    </row>
    <row r="18073" spans="1:1" x14ac:dyDescent="0.3">
      <c r="A18073" s="12"/>
    </row>
    <row r="18074" spans="1:1" x14ac:dyDescent="0.3">
      <c r="A18074" s="12"/>
    </row>
    <row r="18075" spans="1:1" x14ac:dyDescent="0.3">
      <c r="A18075" s="12"/>
    </row>
    <row r="18076" spans="1:1" x14ac:dyDescent="0.3">
      <c r="A18076" s="12"/>
    </row>
    <row r="18077" spans="1:1" x14ac:dyDescent="0.3">
      <c r="A18077" s="12"/>
    </row>
    <row r="18078" spans="1:1" x14ac:dyDescent="0.3">
      <c r="A18078" s="12"/>
    </row>
    <row r="18079" spans="1:1" x14ac:dyDescent="0.3">
      <c r="A18079" s="12"/>
    </row>
    <row r="18080" spans="1:1" x14ac:dyDescent="0.3">
      <c r="A18080" s="12"/>
    </row>
    <row r="18081" spans="1:1" x14ac:dyDescent="0.3">
      <c r="A18081" s="12"/>
    </row>
    <row r="18082" spans="1:1" x14ac:dyDescent="0.3">
      <c r="A18082" s="12"/>
    </row>
    <row r="18083" spans="1:1" x14ac:dyDescent="0.3">
      <c r="A18083" s="12"/>
    </row>
    <row r="18084" spans="1:1" x14ac:dyDescent="0.3">
      <c r="A18084" s="12"/>
    </row>
    <row r="18085" spans="1:1" x14ac:dyDescent="0.3">
      <c r="A18085" s="12"/>
    </row>
    <row r="18086" spans="1:1" x14ac:dyDescent="0.3">
      <c r="A18086" s="12"/>
    </row>
    <row r="18087" spans="1:1" x14ac:dyDescent="0.3">
      <c r="A18087" s="12"/>
    </row>
    <row r="18088" spans="1:1" x14ac:dyDescent="0.3">
      <c r="A18088" s="12"/>
    </row>
    <row r="18089" spans="1:1" x14ac:dyDescent="0.3">
      <c r="A18089" s="12"/>
    </row>
    <row r="18090" spans="1:1" x14ac:dyDescent="0.3">
      <c r="A18090" s="12"/>
    </row>
    <row r="18091" spans="1:1" x14ac:dyDescent="0.3">
      <c r="A18091" s="12"/>
    </row>
    <row r="18092" spans="1:1" x14ac:dyDescent="0.3">
      <c r="A18092" s="12"/>
    </row>
    <row r="18093" spans="1:1" x14ac:dyDescent="0.3">
      <c r="A18093" s="12"/>
    </row>
    <row r="18094" spans="1:1" x14ac:dyDescent="0.3">
      <c r="A18094" s="12"/>
    </row>
    <row r="18095" spans="1:1" x14ac:dyDescent="0.3">
      <c r="A18095" s="12"/>
    </row>
    <row r="18096" spans="1:1" x14ac:dyDescent="0.3">
      <c r="A18096" s="12"/>
    </row>
    <row r="18097" spans="1:1" x14ac:dyDescent="0.3">
      <c r="A18097" s="12"/>
    </row>
    <row r="18098" spans="1:1" x14ac:dyDescent="0.3">
      <c r="A18098" s="12"/>
    </row>
    <row r="18099" spans="1:1" x14ac:dyDescent="0.3">
      <c r="A18099" s="12"/>
    </row>
    <row r="18100" spans="1:1" x14ac:dyDescent="0.3">
      <c r="A18100" s="12"/>
    </row>
    <row r="18101" spans="1:1" x14ac:dyDescent="0.3">
      <c r="A18101" s="12"/>
    </row>
    <row r="18102" spans="1:1" x14ac:dyDescent="0.3">
      <c r="A18102" s="12"/>
    </row>
    <row r="18103" spans="1:1" x14ac:dyDescent="0.3">
      <c r="A18103" s="12"/>
    </row>
    <row r="18104" spans="1:1" x14ac:dyDescent="0.3">
      <c r="A18104" s="12"/>
    </row>
    <row r="18105" spans="1:1" x14ac:dyDescent="0.3">
      <c r="A18105" s="12"/>
    </row>
    <row r="18106" spans="1:1" x14ac:dyDescent="0.3">
      <c r="A18106" s="12"/>
    </row>
    <row r="18107" spans="1:1" x14ac:dyDescent="0.3">
      <c r="A18107" s="12"/>
    </row>
    <row r="18108" spans="1:1" x14ac:dyDescent="0.3">
      <c r="A18108" s="12"/>
    </row>
    <row r="18109" spans="1:1" x14ac:dyDescent="0.3">
      <c r="A18109" s="12"/>
    </row>
    <row r="18110" spans="1:1" x14ac:dyDescent="0.3">
      <c r="A18110" s="12"/>
    </row>
    <row r="18111" spans="1:1" x14ac:dyDescent="0.3">
      <c r="A18111" s="12"/>
    </row>
    <row r="18112" spans="1:1" x14ac:dyDescent="0.3">
      <c r="A18112" s="12"/>
    </row>
    <row r="18113" spans="1:1" x14ac:dyDescent="0.3">
      <c r="A18113" s="12"/>
    </row>
    <row r="18114" spans="1:1" x14ac:dyDescent="0.3">
      <c r="A18114" s="12"/>
    </row>
    <row r="18115" spans="1:1" x14ac:dyDescent="0.3">
      <c r="A18115" s="12"/>
    </row>
    <row r="18116" spans="1:1" x14ac:dyDescent="0.3">
      <c r="A18116" s="12"/>
    </row>
    <row r="18117" spans="1:1" x14ac:dyDescent="0.3">
      <c r="A18117" s="12"/>
    </row>
    <row r="18118" spans="1:1" x14ac:dyDescent="0.3">
      <c r="A18118" s="12"/>
    </row>
    <row r="18119" spans="1:1" x14ac:dyDescent="0.3">
      <c r="A18119" s="12"/>
    </row>
    <row r="18120" spans="1:1" x14ac:dyDescent="0.3">
      <c r="A18120" s="12"/>
    </row>
    <row r="18121" spans="1:1" x14ac:dyDescent="0.3">
      <c r="A18121" s="12"/>
    </row>
    <row r="18122" spans="1:1" x14ac:dyDescent="0.3">
      <c r="A18122" s="12"/>
    </row>
    <row r="18123" spans="1:1" x14ac:dyDescent="0.3">
      <c r="A18123" s="12"/>
    </row>
    <row r="18124" spans="1:1" x14ac:dyDescent="0.3">
      <c r="A18124" s="12"/>
    </row>
    <row r="18125" spans="1:1" x14ac:dyDescent="0.3">
      <c r="A18125" s="12"/>
    </row>
    <row r="18126" spans="1:1" x14ac:dyDescent="0.3">
      <c r="A18126" s="12"/>
    </row>
    <row r="18127" spans="1:1" x14ac:dyDescent="0.3">
      <c r="A18127" s="12"/>
    </row>
    <row r="18128" spans="1:1" x14ac:dyDescent="0.3">
      <c r="A18128" s="12"/>
    </row>
    <row r="18129" spans="1:1" x14ac:dyDescent="0.3">
      <c r="A18129" s="12"/>
    </row>
    <row r="18130" spans="1:1" x14ac:dyDescent="0.3">
      <c r="A18130" s="12"/>
    </row>
    <row r="18131" spans="1:1" x14ac:dyDescent="0.3">
      <c r="A18131" s="12"/>
    </row>
    <row r="18132" spans="1:1" x14ac:dyDescent="0.3">
      <c r="A18132" s="12"/>
    </row>
    <row r="18133" spans="1:1" x14ac:dyDescent="0.3">
      <c r="A18133" s="12"/>
    </row>
    <row r="18134" spans="1:1" x14ac:dyDescent="0.3">
      <c r="A18134" s="12"/>
    </row>
    <row r="18135" spans="1:1" x14ac:dyDescent="0.3">
      <c r="A18135" s="12"/>
    </row>
    <row r="18136" spans="1:1" x14ac:dyDescent="0.3">
      <c r="A18136" s="12"/>
    </row>
    <row r="18137" spans="1:1" x14ac:dyDescent="0.3">
      <c r="A18137" s="12"/>
    </row>
    <row r="18138" spans="1:1" x14ac:dyDescent="0.3">
      <c r="A18138" s="12"/>
    </row>
    <row r="18139" spans="1:1" x14ac:dyDescent="0.3">
      <c r="A18139" s="12"/>
    </row>
    <row r="18140" spans="1:1" x14ac:dyDescent="0.3">
      <c r="A18140" s="12"/>
    </row>
    <row r="18141" spans="1:1" x14ac:dyDescent="0.3">
      <c r="A18141" s="12"/>
    </row>
    <row r="18142" spans="1:1" x14ac:dyDescent="0.3">
      <c r="A18142" s="12"/>
    </row>
    <row r="18143" spans="1:1" x14ac:dyDescent="0.3">
      <c r="A18143" s="12"/>
    </row>
    <row r="18144" spans="1:1" x14ac:dyDescent="0.3">
      <c r="A18144" s="12"/>
    </row>
    <row r="18145" spans="1:1" x14ac:dyDescent="0.3">
      <c r="A18145" s="12"/>
    </row>
    <row r="18146" spans="1:1" x14ac:dyDescent="0.3">
      <c r="A18146" s="12"/>
    </row>
    <row r="18147" spans="1:1" x14ac:dyDescent="0.3">
      <c r="A18147" s="12"/>
    </row>
    <row r="18148" spans="1:1" x14ac:dyDescent="0.3">
      <c r="A18148" s="12"/>
    </row>
    <row r="18149" spans="1:1" x14ac:dyDescent="0.3">
      <c r="A18149" s="12"/>
    </row>
    <row r="18150" spans="1:1" x14ac:dyDescent="0.3">
      <c r="A18150" s="12"/>
    </row>
    <row r="18151" spans="1:1" x14ac:dyDescent="0.3">
      <c r="A18151" s="12"/>
    </row>
    <row r="18152" spans="1:1" x14ac:dyDescent="0.3">
      <c r="A18152" s="12"/>
    </row>
    <row r="18153" spans="1:1" x14ac:dyDescent="0.3">
      <c r="A18153" s="12"/>
    </row>
    <row r="18154" spans="1:1" x14ac:dyDescent="0.3">
      <c r="A18154" s="12"/>
    </row>
    <row r="18155" spans="1:1" x14ac:dyDescent="0.3">
      <c r="A18155" s="12"/>
    </row>
    <row r="18156" spans="1:1" x14ac:dyDescent="0.3">
      <c r="A18156" s="12"/>
    </row>
    <row r="18157" spans="1:1" x14ac:dyDescent="0.3">
      <c r="A18157" s="12"/>
    </row>
    <row r="18158" spans="1:1" x14ac:dyDescent="0.3">
      <c r="A18158" s="12"/>
    </row>
    <row r="18159" spans="1:1" x14ac:dyDescent="0.3">
      <c r="A18159" s="12"/>
    </row>
    <row r="18160" spans="1:1" x14ac:dyDescent="0.3">
      <c r="A18160" s="12"/>
    </row>
    <row r="18161" spans="1:1" x14ac:dyDescent="0.3">
      <c r="A18161" s="12"/>
    </row>
    <row r="18162" spans="1:1" x14ac:dyDescent="0.3">
      <c r="A18162" s="12"/>
    </row>
    <row r="18163" spans="1:1" x14ac:dyDescent="0.3">
      <c r="A18163" s="12"/>
    </row>
    <row r="18164" spans="1:1" x14ac:dyDescent="0.3">
      <c r="A18164" s="12"/>
    </row>
    <row r="18165" spans="1:1" x14ac:dyDescent="0.3">
      <c r="A18165" s="12"/>
    </row>
    <row r="18166" spans="1:1" x14ac:dyDescent="0.3">
      <c r="A18166" s="12"/>
    </row>
    <row r="18167" spans="1:1" x14ac:dyDescent="0.3">
      <c r="A18167" s="12"/>
    </row>
    <row r="18168" spans="1:1" x14ac:dyDescent="0.3">
      <c r="A18168" s="12"/>
    </row>
    <row r="18169" spans="1:1" x14ac:dyDescent="0.3">
      <c r="A18169" s="12"/>
    </row>
    <row r="18170" spans="1:1" x14ac:dyDescent="0.3">
      <c r="A18170" s="12"/>
    </row>
    <row r="18171" spans="1:1" x14ac:dyDescent="0.3">
      <c r="A18171" s="12"/>
    </row>
    <row r="18172" spans="1:1" x14ac:dyDescent="0.3">
      <c r="A18172" s="12"/>
    </row>
    <row r="18173" spans="1:1" x14ac:dyDescent="0.3">
      <c r="A18173" s="12"/>
    </row>
    <row r="18174" spans="1:1" x14ac:dyDescent="0.3">
      <c r="A18174" s="12"/>
    </row>
    <row r="18175" spans="1:1" x14ac:dyDescent="0.3">
      <c r="A18175" s="12"/>
    </row>
    <row r="18176" spans="1:1" x14ac:dyDescent="0.3">
      <c r="A18176" s="12"/>
    </row>
    <row r="18177" spans="1:1" x14ac:dyDescent="0.3">
      <c r="A18177" s="12"/>
    </row>
    <row r="18178" spans="1:1" x14ac:dyDescent="0.3">
      <c r="A18178" s="12"/>
    </row>
    <row r="18179" spans="1:1" x14ac:dyDescent="0.3">
      <c r="A18179" s="12"/>
    </row>
    <row r="18180" spans="1:1" x14ac:dyDescent="0.3">
      <c r="A18180" s="12"/>
    </row>
    <row r="18181" spans="1:1" x14ac:dyDescent="0.3">
      <c r="A18181" s="12"/>
    </row>
    <row r="18182" spans="1:1" x14ac:dyDescent="0.3">
      <c r="A18182" s="12"/>
    </row>
    <row r="18183" spans="1:1" x14ac:dyDescent="0.3">
      <c r="A18183" s="12"/>
    </row>
    <row r="18184" spans="1:1" x14ac:dyDescent="0.3">
      <c r="A18184" s="12"/>
    </row>
    <row r="18185" spans="1:1" x14ac:dyDescent="0.3">
      <c r="A18185" s="12"/>
    </row>
    <row r="18186" spans="1:1" x14ac:dyDescent="0.3">
      <c r="A18186" s="12"/>
    </row>
    <row r="18187" spans="1:1" x14ac:dyDescent="0.3">
      <c r="A18187" s="12"/>
    </row>
    <row r="18188" spans="1:1" x14ac:dyDescent="0.3">
      <c r="A18188" s="12"/>
    </row>
    <row r="18189" spans="1:1" x14ac:dyDescent="0.3">
      <c r="A18189" s="12"/>
    </row>
    <row r="18190" spans="1:1" x14ac:dyDescent="0.3">
      <c r="A18190" s="12"/>
    </row>
    <row r="18191" spans="1:1" x14ac:dyDescent="0.3">
      <c r="A18191" s="12"/>
    </row>
    <row r="18192" spans="1:1" x14ac:dyDescent="0.3">
      <c r="A18192" s="12"/>
    </row>
    <row r="18193" spans="1:1" x14ac:dyDescent="0.3">
      <c r="A18193" s="12"/>
    </row>
    <row r="18194" spans="1:1" x14ac:dyDescent="0.3">
      <c r="A18194" s="12"/>
    </row>
    <row r="18195" spans="1:1" x14ac:dyDescent="0.3">
      <c r="A18195" s="12"/>
    </row>
    <row r="18196" spans="1:1" x14ac:dyDescent="0.3">
      <c r="A18196" s="12"/>
    </row>
    <row r="18197" spans="1:1" x14ac:dyDescent="0.3">
      <c r="A18197" s="12"/>
    </row>
    <row r="18198" spans="1:1" x14ac:dyDescent="0.3">
      <c r="A18198" s="12"/>
    </row>
    <row r="18199" spans="1:1" x14ac:dyDescent="0.3">
      <c r="A18199" s="12"/>
    </row>
    <row r="18200" spans="1:1" x14ac:dyDescent="0.3">
      <c r="A18200" s="12"/>
    </row>
    <row r="18201" spans="1:1" x14ac:dyDescent="0.3">
      <c r="A18201" s="12"/>
    </row>
    <row r="18202" spans="1:1" x14ac:dyDescent="0.3">
      <c r="A18202" s="12"/>
    </row>
    <row r="18203" spans="1:1" x14ac:dyDescent="0.3">
      <c r="A18203" s="12"/>
    </row>
    <row r="18204" spans="1:1" x14ac:dyDescent="0.3">
      <c r="A18204" s="12"/>
    </row>
    <row r="18205" spans="1:1" x14ac:dyDescent="0.3">
      <c r="A18205" s="12"/>
    </row>
    <row r="18206" spans="1:1" x14ac:dyDescent="0.3">
      <c r="A18206" s="12"/>
    </row>
    <row r="18207" spans="1:1" x14ac:dyDescent="0.3">
      <c r="A18207" s="12"/>
    </row>
    <row r="18208" spans="1:1" x14ac:dyDescent="0.3">
      <c r="A18208" s="12"/>
    </row>
    <row r="18209" spans="1:1" x14ac:dyDescent="0.3">
      <c r="A18209" s="12"/>
    </row>
    <row r="18210" spans="1:1" x14ac:dyDescent="0.3">
      <c r="A18210" s="12"/>
    </row>
    <row r="18211" spans="1:1" x14ac:dyDescent="0.3">
      <c r="A18211" s="12"/>
    </row>
    <row r="18212" spans="1:1" x14ac:dyDescent="0.3">
      <c r="A18212" s="12"/>
    </row>
    <row r="18213" spans="1:1" x14ac:dyDescent="0.3">
      <c r="A18213" s="12"/>
    </row>
    <row r="18214" spans="1:1" x14ac:dyDescent="0.3">
      <c r="A18214" s="12"/>
    </row>
    <row r="18215" spans="1:1" x14ac:dyDescent="0.3">
      <c r="A18215" s="12"/>
    </row>
    <row r="18216" spans="1:1" x14ac:dyDescent="0.3">
      <c r="A18216" s="12"/>
    </row>
    <row r="18217" spans="1:1" x14ac:dyDescent="0.3">
      <c r="A18217" s="12"/>
    </row>
    <row r="18218" spans="1:1" x14ac:dyDescent="0.3">
      <c r="A18218" s="12"/>
    </row>
    <row r="18219" spans="1:1" x14ac:dyDescent="0.3">
      <c r="A18219" s="12"/>
    </row>
    <row r="18220" spans="1:1" x14ac:dyDescent="0.3">
      <c r="A18220" s="12"/>
    </row>
    <row r="18221" spans="1:1" x14ac:dyDescent="0.3">
      <c r="A18221" s="12"/>
    </row>
    <row r="18222" spans="1:1" x14ac:dyDescent="0.3">
      <c r="A18222" s="12"/>
    </row>
    <row r="18223" spans="1:1" x14ac:dyDescent="0.3">
      <c r="A18223" s="12"/>
    </row>
    <row r="18224" spans="1:1" x14ac:dyDescent="0.3">
      <c r="A18224" s="12"/>
    </row>
    <row r="18225" spans="1:1" x14ac:dyDescent="0.3">
      <c r="A18225" s="12"/>
    </row>
    <row r="18226" spans="1:1" x14ac:dyDescent="0.3">
      <c r="A18226" s="12"/>
    </row>
    <row r="18227" spans="1:1" x14ac:dyDescent="0.3">
      <c r="A18227" s="12"/>
    </row>
    <row r="18228" spans="1:1" x14ac:dyDescent="0.3">
      <c r="A18228" s="12"/>
    </row>
    <row r="18229" spans="1:1" x14ac:dyDescent="0.3">
      <c r="A18229" s="12"/>
    </row>
    <row r="18230" spans="1:1" x14ac:dyDescent="0.3">
      <c r="A18230" s="12"/>
    </row>
    <row r="18231" spans="1:1" x14ac:dyDescent="0.3">
      <c r="A18231" s="12"/>
    </row>
    <row r="18232" spans="1:1" x14ac:dyDescent="0.3">
      <c r="A18232" s="12"/>
    </row>
    <row r="18233" spans="1:1" x14ac:dyDescent="0.3">
      <c r="A18233" s="12"/>
    </row>
    <row r="18234" spans="1:1" x14ac:dyDescent="0.3">
      <c r="A18234" s="12"/>
    </row>
    <row r="18235" spans="1:1" x14ac:dyDescent="0.3">
      <c r="A18235" s="12"/>
    </row>
    <row r="18236" spans="1:1" x14ac:dyDescent="0.3">
      <c r="A18236" s="12"/>
    </row>
    <row r="18237" spans="1:1" x14ac:dyDescent="0.3">
      <c r="A18237" s="12"/>
    </row>
    <row r="18238" spans="1:1" x14ac:dyDescent="0.3">
      <c r="A18238" s="12"/>
    </row>
    <row r="18239" spans="1:1" x14ac:dyDescent="0.3">
      <c r="A18239" s="12"/>
    </row>
    <row r="18240" spans="1:1" x14ac:dyDescent="0.3">
      <c r="A18240" s="12"/>
    </row>
    <row r="18241" spans="1:1" x14ac:dyDescent="0.3">
      <c r="A18241" s="12"/>
    </row>
    <row r="18242" spans="1:1" x14ac:dyDescent="0.3">
      <c r="A18242" s="12"/>
    </row>
    <row r="18243" spans="1:1" x14ac:dyDescent="0.3">
      <c r="A18243" s="12"/>
    </row>
    <row r="18244" spans="1:1" x14ac:dyDescent="0.3">
      <c r="A18244" s="12"/>
    </row>
    <row r="18245" spans="1:1" x14ac:dyDescent="0.3">
      <c r="A18245" s="12"/>
    </row>
    <row r="18246" spans="1:1" x14ac:dyDescent="0.3">
      <c r="A18246" s="12"/>
    </row>
    <row r="18247" spans="1:1" x14ac:dyDescent="0.3">
      <c r="A18247" s="12"/>
    </row>
    <row r="18248" spans="1:1" x14ac:dyDescent="0.3">
      <c r="A18248" s="12"/>
    </row>
    <row r="18249" spans="1:1" x14ac:dyDescent="0.3">
      <c r="A18249" s="12"/>
    </row>
    <row r="18250" spans="1:1" x14ac:dyDescent="0.3">
      <c r="A18250" s="12"/>
    </row>
    <row r="18251" spans="1:1" x14ac:dyDescent="0.3">
      <c r="A18251" s="12"/>
    </row>
    <row r="18252" spans="1:1" x14ac:dyDescent="0.3">
      <c r="A18252" s="12"/>
    </row>
    <row r="18253" spans="1:1" x14ac:dyDescent="0.3">
      <c r="A18253" s="12"/>
    </row>
    <row r="18254" spans="1:1" x14ac:dyDescent="0.3">
      <c r="A18254" s="12"/>
    </row>
    <row r="18255" spans="1:1" x14ac:dyDescent="0.3">
      <c r="A18255" s="12"/>
    </row>
    <row r="18256" spans="1:1" x14ac:dyDescent="0.3">
      <c r="A18256" s="12"/>
    </row>
    <row r="18257" spans="1:1" x14ac:dyDescent="0.3">
      <c r="A18257" s="12"/>
    </row>
    <row r="18258" spans="1:1" x14ac:dyDescent="0.3">
      <c r="A18258" s="12"/>
    </row>
    <row r="18259" spans="1:1" x14ac:dyDescent="0.3">
      <c r="A18259" s="12"/>
    </row>
    <row r="18260" spans="1:1" x14ac:dyDescent="0.3">
      <c r="A18260" s="12"/>
    </row>
    <row r="18261" spans="1:1" x14ac:dyDescent="0.3">
      <c r="A18261" s="12"/>
    </row>
    <row r="18262" spans="1:1" x14ac:dyDescent="0.3">
      <c r="A18262" s="12"/>
    </row>
    <row r="18263" spans="1:1" x14ac:dyDescent="0.3">
      <c r="A18263" s="12"/>
    </row>
    <row r="18264" spans="1:1" x14ac:dyDescent="0.3">
      <c r="A18264" s="12"/>
    </row>
    <row r="18265" spans="1:1" x14ac:dyDescent="0.3">
      <c r="A18265" s="12"/>
    </row>
    <row r="18266" spans="1:1" x14ac:dyDescent="0.3">
      <c r="A18266" s="12"/>
    </row>
    <row r="18267" spans="1:1" x14ac:dyDescent="0.3">
      <c r="A18267" s="12"/>
    </row>
    <row r="18268" spans="1:1" x14ac:dyDescent="0.3">
      <c r="A18268" s="12"/>
    </row>
    <row r="18269" spans="1:1" x14ac:dyDescent="0.3">
      <c r="A18269" s="12"/>
    </row>
    <row r="18270" spans="1:1" x14ac:dyDescent="0.3">
      <c r="A18270" s="12"/>
    </row>
    <row r="18271" spans="1:1" x14ac:dyDescent="0.3">
      <c r="A18271" s="12"/>
    </row>
    <row r="18272" spans="1:1" x14ac:dyDescent="0.3">
      <c r="A18272" s="12"/>
    </row>
    <row r="18273" spans="1:1" x14ac:dyDescent="0.3">
      <c r="A18273" s="12"/>
    </row>
    <row r="18274" spans="1:1" x14ac:dyDescent="0.3">
      <c r="A18274" s="12"/>
    </row>
    <row r="18275" spans="1:1" x14ac:dyDescent="0.3">
      <c r="A18275" s="12"/>
    </row>
    <row r="18276" spans="1:1" x14ac:dyDescent="0.3">
      <c r="A18276" s="12"/>
    </row>
    <row r="18277" spans="1:1" x14ac:dyDescent="0.3">
      <c r="A18277" s="12"/>
    </row>
    <row r="18278" spans="1:1" x14ac:dyDescent="0.3">
      <c r="A18278" s="12"/>
    </row>
    <row r="18279" spans="1:1" x14ac:dyDescent="0.3">
      <c r="A18279" s="12"/>
    </row>
    <row r="18280" spans="1:1" x14ac:dyDescent="0.3">
      <c r="A18280" s="12"/>
    </row>
    <row r="18281" spans="1:1" x14ac:dyDescent="0.3">
      <c r="A18281" s="12"/>
    </row>
    <row r="18282" spans="1:1" x14ac:dyDescent="0.3">
      <c r="A18282" s="12"/>
    </row>
    <row r="18283" spans="1:1" x14ac:dyDescent="0.3">
      <c r="A18283" s="12"/>
    </row>
    <row r="18284" spans="1:1" x14ac:dyDescent="0.3">
      <c r="A18284" s="12"/>
    </row>
    <row r="18285" spans="1:1" x14ac:dyDescent="0.3">
      <c r="A18285" s="12"/>
    </row>
    <row r="18286" spans="1:1" x14ac:dyDescent="0.3">
      <c r="A18286" s="12"/>
    </row>
    <row r="18287" spans="1:1" x14ac:dyDescent="0.3">
      <c r="A18287" s="12"/>
    </row>
    <row r="18288" spans="1:1" x14ac:dyDescent="0.3">
      <c r="A18288" s="12"/>
    </row>
    <row r="18289" spans="1:1" x14ac:dyDescent="0.3">
      <c r="A18289" s="12"/>
    </row>
    <row r="18290" spans="1:1" x14ac:dyDescent="0.3">
      <c r="A18290" s="12"/>
    </row>
    <row r="18291" spans="1:1" x14ac:dyDescent="0.3">
      <c r="A18291" s="12"/>
    </row>
    <row r="18292" spans="1:1" x14ac:dyDescent="0.3">
      <c r="A18292" s="12"/>
    </row>
    <row r="18293" spans="1:1" x14ac:dyDescent="0.3">
      <c r="A18293" s="12"/>
    </row>
    <row r="18294" spans="1:1" x14ac:dyDescent="0.3">
      <c r="A18294" s="12"/>
    </row>
    <row r="18295" spans="1:1" x14ac:dyDescent="0.3">
      <c r="A18295" s="12"/>
    </row>
    <row r="18296" spans="1:1" x14ac:dyDescent="0.3">
      <c r="A18296" s="12"/>
    </row>
    <row r="18297" spans="1:1" x14ac:dyDescent="0.3">
      <c r="A18297" s="12"/>
    </row>
    <row r="18298" spans="1:1" x14ac:dyDescent="0.3">
      <c r="A18298" s="12"/>
    </row>
    <row r="18299" spans="1:1" x14ac:dyDescent="0.3">
      <c r="A18299" s="12"/>
    </row>
    <row r="18300" spans="1:1" x14ac:dyDescent="0.3">
      <c r="A18300" s="12"/>
    </row>
    <row r="18301" spans="1:1" x14ac:dyDescent="0.3">
      <c r="A18301" s="12"/>
    </row>
    <row r="18302" spans="1:1" x14ac:dyDescent="0.3">
      <c r="A18302" s="12"/>
    </row>
    <row r="18303" spans="1:1" x14ac:dyDescent="0.3">
      <c r="A18303" s="12"/>
    </row>
    <row r="18304" spans="1:1" x14ac:dyDescent="0.3">
      <c r="A18304" s="12"/>
    </row>
    <row r="18305" spans="1:1" x14ac:dyDescent="0.3">
      <c r="A18305" s="12"/>
    </row>
    <row r="18306" spans="1:1" x14ac:dyDescent="0.3">
      <c r="A18306" s="12"/>
    </row>
    <row r="18307" spans="1:1" x14ac:dyDescent="0.3">
      <c r="A18307" s="12"/>
    </row>
    <row r="18308" spans="1:1" x14ac:dyDescent="0.3">
      <c r="A18308" s="12"/>
    </row>
    <row r="18309" spans="1:1" x14ac:dyDescent="0.3">
      <c r="A18309" s="12"/>
    </row>
    <row r="18310" spans="1:1" x14ac:dyDescent="0.3">
      <c r="A18310" s="12"/>
    </row>
    <row r="18311" spans="1:1" x14ac:dyDescent="0.3">
      <c r="A18311" s="12"/>
    </row>
    <row r="18312" spans="1:1" x14ac:dyDescent="0.3">
      <c r="A18312" s="12"/>
    </row>
    <row r="18313" spans="1:1" x14ac:dyDescent="0.3">
      <c r="A18313" s="12"/>
    </row>
    <row r="18314" spans="1:1" x14ac:dyDescent="0.3">
      <c r="A18314" s="12"/>
    </row>
    <row r="18315" spans="1:1" x14ac:dyDescent="0.3">
      <c r="A18315" s="12"/>
    </row>
    <row r="18316" spans="1:1" x14ac:dyDescent="0.3">
      <c r="A18316" s="12"/>
    </row>
    <row r="18317" spans="1:1" x14ac:dyDescent="0.3">
      <c r="A18317" s="12"/>
    </row>
    <row r="18318" spans="1:1" x14ac:dyDescent="0.3">
      <c r="A18318" s="12"/>
    </row>
    <row r="18319" spans="1:1" x14ac:dyDescent="0.3">
      <c r="A18319" s="12"/>
    </row>
    <row r="18320" spans="1:1" x14ac:dyDescent="0.3">
      <c r="A18320" s="12"/>
    </row>
    <row r="18321" spans="1:1" x14ac:dyDescent="0.3">
      <c r="A18321" s="12"/>
    </row>
    <row r="18322" spans="1:1" x14ac:dyDescent="0.3">
      <c r="A18322" s="12"/>
    </row>
    <row r="18323" spans="1:1" x14ac:dyDescent="0.3">
      <c r="A18323" s="12"/>
    </row>
    <row r="18324" spans="1:1" x14ac:dyDescent="0.3">
      <c r="A18324" s="12"/>
    </row>
    <row r="18325" spans="1:1" x14ac:dyDescent="0.3">
      <c r="A18325" s="12"/>
    </row>
    <row r="18326" spans="1:1" x14ac:dyDescent="0.3">
      <c r="A18326" s="12"/>
    </row>
    <row r="18327" spans="1:1" x14ac:dyDescent="0.3">
      <c r="A18327" s="12"/>
    </row>
    <row r="18328" spans="1:1" x14ac:dyDescent="0.3">
      <c r="A18328" s="12"/>
    </row>
    <row r="18329" spans="1:1" x14ac:dyDescent="0.3">
      <c r="A18329" s="12"/>
    </row>
    <row r="18330" spans="1:1" x14ac:dyDescent="0.3">
      <c r="A18330" s="12"/>
    </row>
    <row r="18331" spans="1:1" x14ac:dyDescent="0.3">
      <c r="A18331" s="12"/>
    </row>
    <row r="18332" spans="1:1" x14ac:dyDescent="0.3">
      <c r="A18332" s="12"/>
    </row>
    <row r="18333" spans="1:1" x14ac:dyDescent="0.3">
      <c r="A18333" s="12"/>
    </row>
    <row r="18334" spans="1:1" x14ac:dyDescent="0.3">
      <c r="A18334" s="12"/>
    </row>
    <row r="18335" spans="1:1" x14ac:dyDescent="0.3">
      <c r="A18335" s="12"/>
    </row>
    <row r="18336" spans="1:1" x14ac:dyDescent="0.3">
      <c r="A18336" s="12"/>
    </row>
    <row r="18337" spans="1:1" x14ac:dyDescent="0.3">
      <c r="A18337" s="12"/>
    </row>
    <row r="18338" spans="1:1" x14ac:dyDescent="0.3">
      <c r="A18338" s="12"/>
    </row>
    <row r="18339" spans="1:1" x14ac:dyDescent="0.3">
      <c r="A18339" s="12"/>
    </row>
    <row r="18340" spans="1:1" x14ac:dyDescent="0.3">
      <c r="A18340" s="12"/>
    </row>
    <row r="18341" spans="1:1" x14ac:dyDescent="0.3">
      <c r="A18341" s="12"/>
    </row>
    <row r="18342" spans="1:1" x14ac:dyDescent="0.3">
      <c r="A18342" s="12"/>
    </row>
    <row r="18343" spans="1:1" x14ac:dyDescent="0.3">
      <c r="A18343" s="12"/>
    </row>
    <row r="18344" spans="1:1" x14ac:dyDescent="0.3">
      <c r="A18344" s="12"/>
    </row>
    <row r="18345" spans="1:1" x14ac:dyDescent="0.3">
      <c r="A18345" s="12"/>
    </row>
    <row r="18346" spans="1:1" x14ac:dyDescent="0.3">
      <c r="A18346" s="12"/>
    </row>
    <row r="18347" spans="1:1" x14ac:dyDescent="0.3">
      <c r="A18347" s="12"/>
    </row>
    <row r="18348" spans="1:1" x14ac:dyDescent="0.3">
      <c r="A18348" s="12"/>
    </row>
    <row r="18349" spans="1:1" x14ac:dyDescent="0.3">
      <c r="A18349" s="12"/>
    </row>
    <row r="18350" spans="1:1" x14ac:dyDescent="0.3">
      <c r="A18350" s="12"/>
    </row>
    <row r="18351" spans="1:1" x14ac:dyDescent="0.3">
      <c r="A18351" s="12"/>
    </row>
    <row r="18352" spans="1:1" x14ac:dyDescent="0.3">
      <c r="A18352" s="12"/>
    </row>
    <row r="18353" spans="1:1" x14ac:dyDescent="0.3">
      <c r="A18353" s="12"/>
    </row>
    <row r="18354" spans="1:1" x14ac:dyDescent="0.3">
      <c r="A18354" s="12"/>
    </row>
    <row r="18355" spans="1:1" x14ac:dyDescent="0.3">
      <c r="A18355" s="12"/>
    </row>
    <row r="18356" spans="1:1" x14ac:dyDescent="0.3">
      <c r="A18356" s="12"/>
    </row>
    <row r="18357" spans="1:1" x14ac:dyDescent="0.3">
      <c r="A18357" s="12"/>
    </row>
    <row r="18358" spans="1:1" x14ac:dyDescent="0.3">
      <c r="A18358" s="12"/>
    </row>
    <row r="18359" spans="1:1" x14ac:dyDescent="0.3">
      <c r="A18359" s="12"/>
    </row>
    <row r="18360" spans="1:1" x14ac:dyDescent="0.3">
      <c r="A18360" s="12"/>
    </row>
    <row r="18361" spans="1:1" x14ac:dyDescent="0.3">
      <c r="A18361" s="12"/>
    </row>
    <row r="18362" spans="1:1" x14ac:dyDescent="0.3">
      <c r="A18362" s="12"/>
    </row>
    <row r="18363" spans="1:1" x14ac:dyDescent="0.3">
      <c r="A18363" s="12"/>
    </row>
    <row r="18364" spans="1:1" x14ac:dyDescent="0.3">
      <c r="A18364" s="12"/>
    </row>
    <row r="18365" spans="1:1" x14ac:dyDescent="0.3">
      <c r="A18365" s="12"/>
    </row>
    <row r="18366" spans="1:1" x14ac:dyDescent="0.3">
      <c r="A18366" s="12"/>
    </row>
    <row r="18367" spans="1:1" x14ac:dyDescent="0.3">
      <c r="A18367" s="12"/>
    </row>
    <row r="18368" spans="1:1" x14ac:dyDescent="0.3">
      <c r="A18368" s="12"/>
    </row>
    <row r="18369" spans="1:1" x14ac:dyDescent="0.3">
      <c r="A18369" s="12"/>
    </row>
    <row r="18370" spans="1:1" x14ac:dyDescent="0.3">
      <c r="A18370" s="12"/>
    </row>
    <row r="18371" spans="1:1" x14ac:dyDescent="0.3">
      <c r="A18371" s="12"/>
    </row>
    <row r="18372" spans="1:1" x14ac:dyDescent="0.3">
      <c r="A18372" s="12"/>
    </row>
    <row r="18373" spans="1:1" x14ac:dyDescent="0.3">
      <c r="A18373" s="12"/>
    </row>
    <row r="18374" spans="1:1" x14ac:dyDescent="0.3">
      <c r="A18374" s="12"/>
    </row>
    <row r="18375" spans="1:1" x14ac:dyDescent="0.3">
      <c r="A18375" s="12"/>
    </row>
    <row r="18376" spans="1:1" x14ac:dyDescent="0.3">
      <c r="A18376" s="12"/>
    </row>
    <row r="18377" spans="1:1" x14ac:dyDescent="0.3">
      <c r="A18377" s="12"/>
    </row>
    <row r="18378" spans="1:1" x14ac:dyDescent="0.3">
      <c r="A18378" s="12"/>
    </row>
    <row r="18379" spans="1:1" x14ac:dyDescent="0.3">
      <c r="A18379" s="12"/>
    </row>
    <row r="18380" spans="1:1" x14ac:dyDescent="0.3">
      <c r="A18380" s="12"/>
    </row>
    <row r="18381" spans="1:1" x14ac:dyDescent="0.3">
      <c r="A18381" s="12"/>
    </row>
    <row r="18382" spans="1:1" x14ac:dyDescent="0.3">
      <c r="A18382" s="12"/>
    </row>
    <row r="18383" spans="1:1" x14ac:dyDescent="0.3">
      <c r="A18383" s="12"/>
    </row>
    <row r="18384" spans="1:1" x14ac:dyDescent="0.3">
      <c r="A18384" s="12"/>
    </row>
    <row r="18385" spans="1:1" x14ac:dyDescent="0.3">
      <c r="A18385" s="12"/>
    </row>
    <row r="18386" spans="1:1" x14ac:dyDescent="0.3">
      <c r="A18386" s="12"/>
    </row>
    <row r="18387" spans="1:1" x14ac:dyDescent="0.3">
      <c r="A18387" s="12"/>
    </row>
    <row r="18388" spans="1:1" x14ac:dyDescent="0.3">
      <c r="A18388" s="12"/>
    </row>
    <row r="18389" spans="1:1" x14ac:dyDescent="0.3">
      <c r="A18389" s="12"/>
    </row>
    <row r="18390" spans="1:1" x14ac:dyDescent="0.3">
      <c r="A18390" s="12"/>
    </row>
    <row r="18391" spans="1:1" x14ac:dyDescent="0.3">
      <c r="A18391" s="12"/>
    </row>
    <row r="18392" spans="1:1" x14ac:dyDescent="0.3">
      <c r="A18392" s="12"/>
    </row>
    <row r="18393" spans="1:1" x14ac:dyDescent="0.3">
      <c r="A18393" s="12"/>
    </row>
    <row r="18394" spans="1:1" x14ac:dyDescent="0.3">
      <c r="A18394" s="12"/>
    </row>
    <row r="18395" spans="1:1" x14ac:dyDescent="0.3">
      <c r="A18395" s="12"/>
    </row>
    <row r="18396" spans="1:1" x14ac:dyDescent="0.3">
      <c r="A18396" s="12"/>
    </row>
    <row r="18397" spans="1:1" x14ac:dyDescent="0.3">
      <c r="A18397" s="12"/>
    </row>
    <row r="18398" spans="1:1" x14ac:dyDescent="0.3">
      <c r="A18398" s="12"/>
    </row>
    <row r="18399" spans="1:1" x14ac:dyDescent="0.3">
      <c r="A18399" s="12"/>
    </row>
    <row r="18400" spans="1:1" x14ac:dyDescent="0.3">
      <c r="A18400" s="12"/>
    </row>
    <row r="18401" spans="1:1" x14ac:dyDescent="0.3">
      <c r="A18401" s="12"/>
    </row>
    <row r="18402" spans="1:1" x14ac:dyDescent="0.3">
      <c r="A18402" s="12"/>
    </row>
    <row r="18403" spans="1:1" x14ac:dyDescent="0.3">
      <c r="A18403" s="12"/>
    </row>
    <row r="18404" spans="1:1" x14ac:dyDescent="0.3">
      <c r="A18404" s="12"/>
    </row>
    <row r="18405" spans="1:1" x14ac:dyDescent="0.3">
      <c r="A18405" s="12"/>
    </row>
    <row r="18406" spans="1:1" x14ac:dyDescent="0.3">
      <c r="A18406" s="12"/>
    </row>
    <row r="18407" spans="1:1" x14ac:dyDescent="0.3">
      <c r="A18407" s="12"/>
    </row>
    <row r="18408" spans="1:1" x14ac:dyDescent="0.3">
      <c r="A18408" s="12"/>
    </row>
    <row r="18409" spans="1:1" x14ac:dyDescent="0.3">
      <c r="A18409" s="12"/>
    </row>
    <row r="18410" spans="1:1" x14ac:dyDescent="0.3">
      <c r="A18410" s="12"/>
    </row>
    <row r="18411" spans="1:1" x14ac:dyDescent="0.3">
      <c r="A18411" s="12"/>
    </row>
    <row r="18412" spans="1:1" x14ac:dyDescent="0.3">
      <c r="A18412" s="12"/>
    </row>
    <row r="18413" spans="1:1" x14ac:dyDescent="0.3">
      <c r="A18413" s="12"/>
    </row>
    <row r="18414" spans="1:1" x14ac:dyDescent="0.3">
      <c r="A18414" s="12"/>
    </row>
    <row r="18415" spans="1:1" x14ac:dyDescent="0.3">
      <c r="A18415" s="12"/>
    </row>
    <row r="18416" spans="1:1" x14ac:dyDescent="0.3">
      <c r="A18416" s="12"/>
    </row>
    <row r="18417" spans="1:1" x14ac:dyDescent="0.3">
      <c r="A18417" s="12"/>
    </row>
    <row r="18418" spans="1:1" x14ac:dyDescent="0.3">
      <c r="A18418" s="12"/>
    </row>
    <row r="18419" spans="1:1" x14ac:dyDescent="0.3">
      <c r="A18419" s="12"/>
    </row>
    <row r="18420" spans="1:1" x14ac:dyDescent="0.3">
      <c r="A18420" s="12"/>
    </row>
    <row r="18421" spans="1:1" x14ac:dyDescent="0.3">
      <c r="A18421" s="12"/>
    </row>
    <row r="18422" spans="1:1" x14ac:dyDescent="0.3">
      <c r="A18422" s="12"/>
    </row>
    <row r="18423" spans="1:1" x14ac:dyDescent="0.3">
      <c r="A18423" s="12"/>
    </row>
    <row r="18424" spans="1:1" x14ac:dyDescent="0.3">
      <c r="A18424" s="12"/>
    </row>
    <row r="18425" spans="1:1" x14ac:dyDescent="0.3">
      <c r="A18425" s="12"/>
    </row>
    <row r="18426" spans="1:1" x14ac:dyDescent="0.3">
      <c r="A18426" s="12"/>
    </row>
    <row r="18427" spans="1:1" x14ac:dyDescent="0.3">
      <c r="A18427" s="12"/>
    </row>
    <row r="18428" spans="1:1" x14ac:dyDescent="0.3">
      <c r="A18428" s="12"/>
    </row>
    <row r="18429" spans="1:1" x14ac:dyDescent="0.3">
      <c r="A18429" s="12"/>
    </row>
    <row r="18430" spans="1:1" x14ac:dyDescent="0.3">
      <c r="A18430" s="12"/>
    </row>
    <row r="18431" spans="1:1" x14ac:dyDescent="0.3">
      <c r="A18431" s="12"/>
    </row>
    <row r="18432" spans="1:1" x14ac:dyDescent="0.3">
      <c r="A18432" s="12"/>
    </row>
    <row r="18433" spans="1:1" x14ac:dyDescent="0.3">
      <c r="A18433" s="12"/>
    </row>
    <row r="18434" spans="1:1" x14ac:dyDescent="0.3">
      <c r="A18434" s="12"/>
    </row>
    <row r="18435" spans="1:1" x14ac:dyDescent="0.3">
      <c r="A18435" s="12"/>
    </row>
    <row r="18436" spans="1:1" x14ac:dyDescent="0.3">
      <c r="A18436" s="12"/>
    </row>
    <row r="18437" spans="1:1" x14ac:dyDescent="0.3">
      <c r="A18437" s="12"/>
    </row>
    <row r="18438" spans="1:1" x14ac:dyDescent="0.3">
      <c r="A18438" s="12"/>
    </row>
    <row r="18439" spans="1:1" x14ac:dyDescent="0.3">
      <c r="A18439" s="12"/>
    </row>
    <row r="18440" spans="1:1" x14ac:dyDescent="0.3">
      <c r="A18440" s="12"/>
    </row>
    <row r="18441" spans="1:1" x14ac:dyDescent="0.3">
      <c r="A18441" s="12"/>
    </row>
    <row r="18442" spans="1:1" x14ac:dyDescent="0.3">
      <c r="A18442" s="12"/>
    </row>
    <row r="18443" spans="1:1" x14ac:dyDescent="0.3">
      <c r="A18443" s="12"/>
    </row>
    <row r="18444" spans="1:1" x14ac:dyDescent="0.3">
      <c r="A18444" s="12"/>
    </row>
    <row r="18445" spans="1:1" x14ac:dyDescent="0.3">
      <c r="A18445" s="12"/>
    </row>
    <row r="18446" spans="1:1" x14ac:dyDescent="0.3">
      <c r="A18446" s="12"/>
    </row>
    <row r="18447" spans="1:1" x14ac:dyDescent="0.3">
      <c r="A18447" s="12"/>
    </row>
    <row r="18448" spans="1:1" x14ac:dyDescent="0.3">
      <c r="A18448" s="12"/>
    </row>
    <row r="18449" spans="1:1" x14ac:dyDescent="0.3">
      <c r="A18449" s="12"/>
    </row>
    <row r="18450" spans="1:1" x14ac:dyDescent="0.3">
      <c r="A18450" s="12"/>
    </row>
    <row r="18451" spans="1:1" x14ac:dyDescent="0.3">
      <c r="A18451" s="12"/>
    </row>
    <row r="18452" spans="1:1" x14ac:dyDescent="0.3">
      <c r="A18452" s="12"/>
    </row>
    <row r="18453" spans="1:1" x14ac:dyDescent="0.3">
      <c r="A18453" s="12"/>
    </row>
    <row r="18454" spans="1:1" x14ac:dyDescent="0.3">
      <c r="A18454" s="12"/>
    </row>
    <row r="18455" spans="1:1" x14ac:dyDescent="0.3">
      <c r="A18455" s="12"/>
    </row>
    <row r="18456" spans="1:1" x14ac:dyDescent="0.3">
      <c r="A18456" s="12"/>
    </row>
    <row r="18457" spans="1:1" x14ac:dyDescent="0.3">
      <c r="A18457" s="12"/>
    </row>
    <row r="18458" spans="1:1" x14ac:dyDescent="0.3">
      <c r="A18458" s="12"/>
    </row>
    <row r="18459" spans="1:1" x14ac:dyDescent="0.3">
      <c r="A18459" s="12"/>
    </row>
    <row r="18460" spans="1:1" x14ac:dyDescent="0.3">
      <c r="A18460" s="12"/>
    </row>
    <row r="18461" spans="1:1" x14ac:dyDescent="0.3">
      <c r="A18461" s="12"/>
    </row>
    <row r="18462" spans="1:1" x14ac:dyDescent="0.3">
      <c r="A18462" s="12"/>
    </row>
    <row r="18463" spans="1:1" x14ac:dyDescent="0.3">
      <c r="A18463" s="12"/>
    </row>
    <row r="18464" spans="1:1" x14ac:dyDescent="0.3">
      <c r="A18464" s="12"/>
    </row>
    <row r="18465" spans="1:1" x14ac:dyDescent="0.3">
      <c r="A18465" s="12"/>
    </row>
    <row r="18466" spans="1:1" x14ac:dyDescent="0.3">
      <c r="A18466" s="12"/>
    </row>
    <row r="18467" spans="1:1" x14ac:dyDescent="0.3">
      <c r="A18467" s="12"/>
    </row>
    <row r="18468" spans="1:1" x14ac:dyDescent="0.3">
      <c r="A18468" s="12"/>
    </row>
    <row r="18469" spans="1:1" x14ac:dyDescent="0.3">
      <c r="A18469" s="12"/>
    </row>
    <row r="18470" spans="1:1" x14ac:dyDescent="0.3">
      <c r="A18470" s="12"/>
    </row>
    <row r="18471" spans="1:1" x14ac:dyDescent="0.3">
      <c r="A18471" s="12"/>
    </row>
    <row r="18472" spans="1:1" x14ac:dyDescent="0.3">
      <c r="A18472" s="12"/>
    </row>
    <row r="18473" spans="1:1" x14ac:dyDescent="0.3">
      <c r="A18473" s="12"/>
    </row>
    <row r="18474" spans="1:1" x14ac:dyDescent="0.3">
      <c r="A18474" s="12"/>
    </row>
    <row r="18475" spans="1:1" x14ac:dyDescent="0.3">
      <c r="A18475" s="12"/>
    </row>
    <row r="18476" spans="1:1" x14ac:dyDescent="0.3">
      <c r="A18476" s="12"/>
    </row>
    <row r="18477" spans="1:1" x14ac:dyDescent="0.3">
      <c r="A18477" s="12"/>
    </row>
    <row r="18478" spans="1:1" x14ac:dyDescent="0.3">
      <c r="A18478" s="12"/>
    </row>
    <row r="18479" spans="1:1" x14ac:dyDescent="0.3">
      <c r="A18479" s="12"/>
    </row>
    <row r="18480" spans="1:1" x14ac:dyDescent="0.3">
      <c r="A18480" s="12"/>
    </row>
    <row r="18481" spans="1:1" x14ac:dyDescent="0.3">
      <c r="A18481" s="12"/>
    </row>
    <row r="18482" spans="1:1" x14ac:dyDescent="0.3">
      <c r="A18482" s="12"/>
    </row>
    <row r="18483" spans="1:1" x14ac:dyDescent="0.3">
      <c r="A18483" s="12"/>
    </row>
    <row r="18484" spans="1:1" x14ac:dyDescent="0.3">
      <c r="A18484" s="12"/>
    </row>
    <row r="18485" spans="1:1" x14ac:dyDescent="0.3">
      <c r="A18485" s="12"/>
    </row>
    <row r="18486" spans="1:1" x14ac:dyDescent="0.3">
      <c r="A18486" s="12"/>
    </row>
    <row r="18487" spans="1:1" x14ac:dyDescent="0.3">
      <c r="A18487" s="12"/>
    </row>
    <row r="18488" spans="1:1" x14ac:dyDescent="0.3">
      <c r="A18488" s="12"/>
    </row>
    <row r="18489" spans="1:1" x14ac:dyDescent="0.3">
      <c r="A18489" s="12"/>
    </row>
    <row r="18490" spans="1:1" x14ac:dyDescent="0.3">
      <c r="A18490" s="12"/>
    </row>
    <row r="18491" spans="1:1" x14ac:dyDescent="0.3">
      <c r="A18491" s="12"/>
    </row>
    <row r="18492" spans="1:1" x14ac:dyDescent="0.3">
      <c r="A18492" s="12"/>
    </row>
    <row r="18493" spans="1:1" x14ac:dyDescent="0.3">
      <c r="A18493" s="12"/>
    </row>
    <row r="18494" spans="1:1" x14ac:dyDescent="0.3">
      <c r="A18494" s="12"/>
    </row>
    <row r="18495" spans="1:1" x14ac:dyDescent="0.3">
      <c r="A18495" s="12"/>
    </row>
    <row r="18496" spans="1:1" x14ac:dyDescent="0.3">
      <c r="A18496" s="12"/>
    </row>
    <row r="18497" spans="1:1" x14ac:dyDescent="0.3">
      <c r="A18497" s="12"/>
    </row>
    <row r="18498" spans="1:1" x14ac:dyDescent="0.3">
      <c r="A18498" s="12"/>
    </row>
    <row r="18499" spans="1:1" x14ac:dyDescent="0.3">
      <c r="A18499" s="12"/>
    </row>
    <row r="18500" spans="1:1" x14ac:dyDescent="0.3">
      <c r="A18500" s="12"/>
    </row>
    <row r="18501" spans="1:1" x14ac:dyDescent="0.3">
      <c r="A18501" s="12"/>
    </row>
    <row r="18502" spans="1:1" x14ac:dyDescent="0.3">
      <c r="A18502" s="12"/>
    </row>
    <row r="18503" spans="1:1" x14ac:dyDescent="0.3">
      <c r="A18503" s="12"/>
    </row>
    <row r="18504" spans="1:1" x14ac:dyDescent="0.3">
      <c r="A18504" s="12"/>
    </row>
    <row r="18505" spans="1:1" x14ac:dyDescent="0.3">
      <c r="A18505" s="12"/>
    </row>
    <row r="18506" spans="1:1" x14ac:dyDescent="0.3">
      <c r="A18506" s="12"/>
    </row>
    <row r="18507" spans="1:1" x14ac:dyDescent="0.3">
      <c r="A18507" s="12"/>
    </row>
    <row r="18508" spans="1:1" x14ac:dyDescent="0.3">
      <c r="A18508" s="12"/>
    </row>
    <row r="18509" spans="1:1" x14ac:dyDescent="0.3">
      <c r="A18509" s="12"/>
    </row>
    <row r="18510" spans="1:1" x14ac:dyDescent="0.3">
      <c r="A18510" s="12"/>
    </row>
    <row r="18511" spans="1:1" x14ac:dyDescent="0.3">
      <c r="A18511" s="12"/>
    </row>
    <row r="18512" spans="1:1" x14ac:dyDescent="0.3">
      <c r="A18512" s="12"/>
    </row>
    <row r="18513" spans="1:1" x14ac:dyDescent="0.3">
      <c r="A18513" s="12"/>
    </row>
    <row r="18514" spans="1:1" x14ac:dyDescent="0.3">
      <c r="A18514" s="12"/>
    </row>
    <row r="18515" spans="1:1" x14ac:dyDescent="0.3">
      <c r="A18515" s="12"/>
    </row>
    <row r="18516" spans="1:1" x14ac:dyDescent="0.3">
      <c r="A18516" s="12"/>
    </row>
    <row r="18517" spans="1:1" x14ac:dyDescent="0.3">
      <c r="A18517" s="12"/>
    </row>
    <row r="18518" spans="1:1" x14ac:dyDescent="0.3">
      <c r="A18518" s="12"/>
    </row>
    <row r="18519" spans="1:1" x14ac:dyDescent="0.3">
      <c r="A18519" s="12"/>
    </row>
    <row r="18520" spans="1:1" x14ac:dyDescent="0.3">
      <c r="A18520" s="12"/>
    </row>
    <row r="18521" spans="1:1" x14ac:dyDescent="0.3">
      <c r="A18521" s="12"/>
    </row>
    <row r="18522" spans="1:1" x14ac:dyDescent="0.3">
      <c r="A18522" s="12"/>
    </row>
    <row r="18523" spans="1:1" x14ac:dyDescent="0.3">
      <c r="A18523" s="12"/>
    </row>
    <row r="18524" spans="1:1" x14ac:dyDescent="0.3">
      <c r="A18524" s="12"/>
    </row>
    <row r="18525" spans="1:1" x14ac:dyDescent="0.3">
      <c r="A18525" s="12"/>
    </row>
    <row r="18526" spans="1:1" x14ac:dyDescent="0.3">
      <c r="A18526" s="12"/>
    </row>
    <row r="18527" spans="1:1" x14ac:dyDescent="0.3">
      <c r="A18527" s="12"/>
    </row>
    <row r="18528" spans="1:1" x14ac:dyDescent="0.3">
      <c r="A18528" s="12"/>
    </row>
    <row r="18529" spans="1:1" x14ac:dyDescent="0.3">
      <c r="A18529" s="12"/>
    </row>
    <row r="18530" spans="1:1" x14ac:dyDescent="0.3">
      <c r="A18530" s="12"/>
    </row>
    <row r="18531" spans="1:1" x14ac:dyDescent="0.3">
      <c r="A18531" s="12"/>
    </row>
    <row r="18532" spans="1:1" x14ac:dyDescent="0.3">
      <c r="A18532" s="12"/>
    </row>
    <row r="18533" spans="1:1" x14ac:dyDescent="0.3">
      <c r="A18533" s="12"/>
    </row>
    <row r="18534" spans="1:1" x14ac:dyDescent="0.3">
      <c r="A18534" s="12"/>
    </row>
    <row r="18535" spans="1:1" x14ac:dyDescent="0.3">
      <c r="A18535" s="12"/>
    </row>
    <row r="18536" spans="1:1" x14ac:dyDescent="0.3">
      <c r="A18536" s="12"/>
    </row>
    <row r="18537" spans="1:1" x14ac:dyDescent="0.3">
      <c r="A18537" s="12"/>
    </row>
    <row r="18538" spans="1:1" x14ac:dyDescent="0.3">
      <c r="A18538" s="12"/>
    </row>
    <row r="18539" spans="1:1" x14ac:dyDescent="0.3">
      <c r="A18539" s="12"/>
    </row>
    <row r="18540" spans="1:1" x14ac:dyDescent="0.3">
      <c r="A18540" s="12"/>
    </row>
    <row r="18541" spans="1:1" x14ac:dyDescent="0.3">
      <c r="A18541" s="12"/>
    </row>
    <row r="18542" spans="1:1" x14ac:dyDescent="0.3">
      <c r="A18542" s="12"/>
    </row>
    <row r="18543" spans="1:1" x14ac:dyDescent="0.3">
      <c r="A18543" s="12"/>
    </row>
    <row r="18544" spans="1:1" x14ac:dyDescent="0.3">
      <c r="A18544" s="12"/>
    </row>
    <row r="18545" spans="1:1" x14ac:dyDescent="0.3">
      <c r="A18545" s="12"/>
    </row>
    <row r="18546" spans="1:1" x14ac:dyDescent="0.3">
      <c r="A18546" s="12"/>
    </row>
    <row r="18547" spans="1:1" x14ac:dyDescent="0.3">
      <c r="A18547" s="12"/>
    </row>
    <row r="18548" spans="1:1" x14ac:dyDescent="0.3">
      <c r="A18548" s="12"/>
    </row>
    <row r="18549" spans="1:1" x14ac:dyDescent="0.3">
      <c r="A18549" s="12"/>
    </row>
    <row r="18550" spans="1:1" x14ac:dyDescent="0.3">
      <c r="A18550" s="12"/>
    </row>
    <row r="18551" spans="1:1" x14ac:dyDescent="0.3">
      <c r="A18551" s="12"/>
    </row>
    <row r="18552" spans="1:1" x14ac:dyDescent="0.3">
      <c r="A18552" s="12"/>
    </row>
    <row r="18553" spans="1:1" x14ac:dyDescent="0.3">
      <c r="A18553" s="12"/>
    </row>
    <row r="18554" spans="1:1" x14ac:dyDescent="0.3">
      <c r="A18554" s="12"/>
    </row>
    <row r="18555" spans="1:1" x14ac:dyDescent="0.3">
      <c r="A18555" s="12"/>
    </row>
    <row r="18556" spans="1:1" x14ac:dyDescent="0.3">
      <c r="A18556" s="12"/>
    </row>
    <row r="18557" spans="1:1" x14ac:dyDescent="0.3">
      <c r="A18557" s="12"/>
    </row>
    <row r="18558" spans="1:1" x14ac:dyDescent="0.3">
      <c r="A18558" s="12"/>
    </row>
    <row r="18559" spans="1:1" x14ac:dyDescent="0.3">
      <c r="A18559" s="12"/>
    </row>
    <row r="18560" spans="1:1" x14ac:dyDescent="0.3">
      <c r="A18560" s="12"/>
    </row>
    <row r="18561" spans="1:1" x14ac:dyDescent="0.3">
      <c r="A18561" s="12"/>
    </row>
    <row r="18562" spans="1:1" x14ac:dyDescent="0.3">
      <c r="A18562" s="12"/>
    </row>
    <row r="18563" spans="1:1" x14ac:dyDescent="0.3">
      <c r="A18563" s="12"/>
    </row>
    <row r="18564" spans="1:1" x14ac:dyDescent="0.3">
      <c r="A18564" s="12"/>
    </row>
    <row r="18565" spans="1:1" x14ac:dyDescent="0.3">
      <c r="A18565" s="12"/>
    </row>
    <row r="18566" spans="1:1" x14ac:dyDescent="0.3">
      <c r="A18566" s="12"/>
    </row>
    <row r="18567" spans="1:1" x14ac:dyDescent="0.3">
      <c r="A18567" s="12"/>
    </row>
    <row r="18568" spans="1:1" x14ac:dyDescent="0.3">
      <c r="A18568" s="12"/>
    </row>
    <row r="18569" spans="1:1" x14ac:dyDescent="0.3">
      <c r="A18569" s="12"/>
    </row>
    <row r="18570" spans="1:1" x14ac:dyDescent="0.3">
      <c r="A18570" s="12"/>
    </row>
    <row r="18571" spans="1:1" x14ac:dyDescent="0.3">
      <c r="A18571" s="12"/>
    </row>
    <row r="18572" spans="1:1" x14ac:dyDescent="0.3">
      <c r="A18572" s="12"/>
    </row>
    <row r="18573" spans="1:1" x14ac:dyDescent="0.3">
      <c r="A18573" s="12"/>
    </row>
    <row r="18574" spans="1:1" x14ac:dyDescent="0.3">
      <c r="A18574" s="12"/>
    </row>
    <row r="18575" spans="1:1" x14ac:dyDescent="0.3">
      <c r="A18575" s="12"/>
    </row>
    <row r="18576" spans="1:1" x14ac:dyDescent="0.3">
      <c r="A18576" s="12"/>
    </row>
    <row r="18577" spans="1:1" x14ac:dyDescent="0.3">
      <c r="A18577" s="12"/>
    </row>
    <row r="18578" spans="1:1" x14ac:dyDescent="0.3">
      <c r="A18578" s="12"/>
    </row>
    <row r="18579" spans="1:1" x14ac:dyDescent="0.3">
      <c r="A18579" s="12"/>
    </row>
    <row r="18580" spans="1:1" x14ac:dyDescent="0.3">
      <c r="A18580" s="12"/>
    </row>
    <row r="18581" spans="1:1" x14ac:dyDescent="0.3">
      <c r="A18581" s="12"/>
    </row>
    <row r="18582" spans="1:1" x14ac:dyDescent="0.3">
      <c r="A18582" s="12"/>
    </row>
    <row r="18583" spans="1:1" x14ac:dyDescent="0.3">
      <c r="A18583" s="12"/>
    </row>
    <row r="18584" spans="1:1" x14ac:dyDescent="0.3">
      <c r="A18584" s="12"/>
    </row>
    <row r="18585" spans="1:1" x14ac:dyDescent="0.3">
      <c r="A18585" s="12"/>
    </row>
    <row r="18586" spans="1:1" x14ac:dyDescent="0.3">
      <c r="A18586" s="12"/>
    </row>
    <row r="18587" spans="1:1" x14ac:dyDescent="0.3">
      <c r="A18587" s="12"/>
    </row>
    <row r="18588" spans="1:1" x14ac:dyDescent="0.3">
      <c r="A18588" s="12"/>
    </row>
    <row r="18589" spans="1:1" x14ac:dyDescent="0.3">
      <c r="A18589" s="12"/>
    </row>
    <row r="18590" spans="1:1" x14ac:dyDescent="0.3">
      <c r="A18590" s="12"/>
    </row>
    <row r="18591" spans="1:1" x14ac:dyDescent="0.3">
      <c r="A18591" s="12"/>
    </row>
    <row r="18592" spans="1:1" x14ac:dyDescent="0.3">
      <c r="A18592" s="12"/>
    </row>
    <row r="18593" spans="1:1" x14ac:dyDescent="0.3">
      <c r="A18593" s="12"/>
    </row>
    <row r="18594" spans="1:1" x14ac:dyDescent="0.3">
      <c r="A18594" s="12"/>
    </row>
    <row r="18595" spans="1:1" x14ac:dyDescent="0.3">
      <c r="A18595" s="12"/>
    </row>
    <row r="18596" spans="1:1" x14ac:dyDescent="0.3">
      <c r="A18596" s="12"/>
    </row>
    <row r="18597" spans="1:1" x14ac:dyDescent="0.3">
      <c r="A18597" s="12"/>
    </row>
    <row r="18598" spans="1:1" x14ac:dyDescent="0.3">
      <c r="A18598" s="12"/>
    </row>
    <row r="18599" spans="1:1" x14ac:dyDescent="0.3">
      <c r="A18599" s="12"/>
    </row>
    <row r="18600" spans="1:1" x14ac:dyDescent="0.3">
      <c r="A18600" s="12"/>
    </row>
    <row r="18601" spans="1:1" x14ac:dyDescent="0.3">
      <c r="A18601" s="12"/>
    </row>
    <row r="18602" spans="1:1" x14ac:dyDescent="0.3">
      <c r="A18602" s="12"/>
    </row>
    <row r="18603" spans="1:1" x14ac:dyDescent="0.3">
      <c r="A18603" s="12"/>
    </row>
    <row r="18604" spans="1:1" x14ac:dyDescent="0.3">
      <c r="A18604" s="12"/>
    </row>
    <row r="18605" spans="1:1" x14ac:dyDescent="0.3">
      <c r="A18605" s="12"/>
    </row>
    <row r="18606" spans="1:1" x14ac:dyDescent="0.3">
      <c r="A18606" s="12"/>
    </row>
    <row r="18607" spans="1:1" x14ac:dyDescent="0.3">
      <c r="A18607" s="12"/>
    </row>
    <row r="18608" spans="1:1" x14ac:dyDescent="0.3">
      <c r="A18608" s="12"/>
    </row>
    <row r="18609" spans="1:1" x14ac:dyDescent="0.3">
      <c r="A18609" s="12"/>
    </row>
    <row r="18610" spans="1:1" x14ac:dyDescent="0.3">
      <c r="A18610" s="12"/>
    </row>
    <row r="18611" spans="1:1" x14ac:dyDescent="0.3">
      <c r="A18611" s="12"/>
    </row>
    <row r="18612" spans="1:1" x14ac:dyDescent="0.3">
      <c r="A18612" s="12"/>
    </row>
    <row r="18613" spans="1:1" x14ac:dyDescent="0.3">
      <c r="A18613" s="12"/>
    </row>
    <row r="18614" spans="1:1" x14ac:dyDescent="0.3">
      <c r="A18614" s="12"/>
    </row>
    <row r="18615" spans="1:1" x14ac:dyDescent="0.3">
      <c r="A18615" s="12"/>
    </row>
    <row r="18616" spans="1:1" x14ac:dyDescent="0.3">
      <c r="A18616" s="12"/>
    </row>
    <row r="18617" spans="1:1" x14ac:dyDescent="0.3">
      <c r="A18617" s="12"/>
    </row>
    <row r="18618" spans="1:1" x14ac:dyDescent="0.3">
      <c r="A18618" s="12"/>
    </row>
    <row r="18619" spans="1:1" x14ac:dyDescent="0.3">
      <c r="A18619" s="12"/>
    </row>
    <row r="18620" spans="1:1" x14ac:dyDescent="0.3">
      <c r="A18620" s="12"/>
    </row>
    <row r="18621" spans="1:1" x14ac:dyDescent="0.3">
      <c r="A18621" s="12"/>
    </row>
    <row r="18622" spans="1:1" x14ac:dyDescent="0.3">
      <c r="A18622" s="12"/>
    </row>
    <row r="18623" spans="1:1" x14ac:dyDescent="0.3">
      <c r="A18623" s="12"/>
    </row>
    <row r="18624" spans="1:1" x14ac:dyDescent="0.3">
      <c r="A18624" s="12"/>
    </row>
    <row r="18625" spans="1:1" x14ac:dyDescent="0.3">
      <c r="A18625" s="12"/>
    </row>
    <row r="18626" spans="1:1" x14ac:dyDescent="0.3">
      <c r="A18626" s="12"/>
    </row>
    <row r="18627" spans="1:1" x14ac:dyDescent="0.3">
      <c r="A18627" s="12"/>
    </row>
    <row r="18628" spans="1:1" x14ac:dyDescent="0.3">
      <c r="A18628" s="12"/>
    </row>
    <row r="18629" spans="1:1" x14ac:dyDescent="0.3">
      <c r="A18629" s="12"/>
    </row>
    <row r="18630" spans="1:1" x14ac:dyDescent="0.3">
      <c r="A18630" s="12"/>
    </row>
    <row r="18631" spans="1:1" x14ac:dyDescent="0.3">
      <c r="A18631" s="12"/>
    </row>
    <row r="18632" spans="1:1" x14ac:dyDescent="0.3">
      <c r="A18632" s="12"/>
    </row>
    <row r="18633" spans="1:1" x14ac:dyDescent="0.3">
      <c r="A18633" s="12"/>
    </row>
    <row r="18634" spans="1:1" x14ac:dyDescent="0.3">
      <c r="A18634" s="12"/>
    </row>
    <row r="18635" spans="1:1" x14ac:dyDescent="0.3">
      <c r="A18635" s="12"/>
    </row>
    <row r="18636" spans="1:1" x14ac:dyDescent="0.3">
      <c r="A18636" s="12"/>
    </row>
    <row r="18637" spans="1:1" x14ac:dyDescent="0.3">
      <c r="A18637" s="12"/>
    </row>
    <row r="18638" spans="1:1" x14ac:dyDescent="0.3">
      <c r="A18638" s="12"/>
    </row>
    <row r="18639" spans="1:1" x14ac:dyDescent="0.3">
      <c r="A18639" s="12"/>
    </row>
    <row r="18640" spans="1:1" x14ac:dyDescent="0.3">
      <c r="A18640" s="12"/>
    </row>
    <row r="18641" spans="1:1" x14ac:dyDescent="0.3">
      <c r="A18641" s="12"/>
    </row>
    <row r="18642" spans="1:1" x14ac:dyDescent="0.3">
      <c r="A18642" s="12"/>
    </row>
    <row r="18643" spans="1:1" x14ac:dyDescent="0.3">
      <c r="A18643" s="12"/>
    </row>
    <row r="18644" spans="1:1" x14ac:dyDescent="0.3">
      <c r="A18644" s="12"/>
    </row>
    <row r="18645" spans="1:1" x14ac:dyDescent="0.3">
      <c r="A18645" s="12"/>
    </row>
    <row r="18646" spans="1:1" x14ac:dyDescent="0.3">
      <c r="A18646" s="12"/>
    </row>
    <row r="18647" spans="1:1" x14ac:dyDescent="0.3">
      <c r="A18647" s="12"/>
    </row>
    <row r="18648" spans="1:1" x14ac:dyDescent="0.3">
      <c r="A18648" s="12"/>
    </row>
    <row r="18649" spans="1:1" x14ac:dyDescent="0.3">
      <c r="A18649" s="12"/>
    </row>
    <row r="18650" spans="1:1" x14ac:dyDescent="0.3">
      <c r="A18650" s="12"/>
    </row>
    <row r="18651" spans="1:1" x14ac:dyDescent="0.3">
      <c r="A18651" s="12"/>
    </row>
    <row r="18652" spans="1:1" x14ac:dyDescent="0.3">
      <c r="A18652" s="12"/>
    </row>
    <row r="18653" spans="1:1" x14ac:dyDescent="0.3">
      <c r="A18653" s="12"/>
    </row>
    <row r="18654" spans="1:1" x14ac:dyDescent="0.3">
      <c r="A18654" s="12"/>
    </row>
    <row r="18655" spans="1:1" x14ac:dyDescent="0.3">
      <c r="A18655" s="12"/>
    </row>
    <row r="18656" spans="1:1" x14ac:dyDescent="0.3">
      <c r="A18656" s="12"/>
    </row>
    <row r="18657" spans="1:1" x14ac:dyDescent="0.3">
      <c r="A18657" s="12"/>
    </row>
    <row r="18658" spans="1:1" x14ac:dyDescent="0.3">
      <c r="A18658" s="12"/>
    </row>
    <row r="18659" spans="1:1" x14ac:dyDescent="0.3">
      <c r="A18659" s="12"/>
    </row>
    <row r="18660" spans="1:1" x14ac:dyDescent="0.3">
      <c r="A18660" s="12"/>
    </row>
    <row r="18661" spans="1:1" x14ac:dyDescent="0.3">
      <c r="A18661" s="12"/>
    </row>
    <row r="18662" spans="1:1" x14ac:dyDescent="0.3">
      <c r="A18662" s="12"/>
    </row>
    <row r="18663" spans="1:1" x14ac:dyDescent="0.3">
      <c r="A18663" s="12"/>
    </row>
    <row r="18664" spans="1:1" x14ac:dyDescent="0.3">
      <c r="A18664" s="12"/>
    </row>
    <row r="18665" spans="1:1" x14ac:dyDescent="0.3">
      <c r="A18665" s="12"/>
    </row>
    <row r="18666" spans="1:1" x14ac:dyDescent="0.3">
      <c r="A18666" s="12"/>
    </row>
    <row r="18667" spans="1:1" x14ac:dyDescent="0.3">
      <c r="A18667" s="12"/>
    </row>
    <row r="18668" spans="1:1" x14ac:dyDescent="0.3">
      <c r="A18668" s="12"/>
    </row>
    <row r="18669" spans="1:1" x14ac:dyDescent="0.3">
      <c r="A18669" s="12"/>
    </row>
    <row r="18670" spans="1:1" x14ac:dyDescent="0.3">
      <c r="A18670" s="12"/>
    </row>
    <row r="18671" spans="1:1" x14ac:dyDescent="0.3">
      <c r="A18671" s="12"/>
    </row>
    <row r="18672" spans="1:1" x14ac:dyDescent="0.3">
      <c r="A18672" s="12"/>
    </row>
    <row r="18673" spans="1:1" x14ac:dyDescent="0.3">
      <c r="A18673" s="12"/>
    </row>
    <row r="18674" spans="1:1" x14ac:dyDescent="0.3">
      <c r="A18674" s="12"/>
    </row>
    <row r="18675" spans="1:1" x14ac:dyDescent="0.3">
      <c r="A18675" s="12"/>
    </row>
    <row r="18676" spans="1:1" x14ac:dyDescent="0.3">
      <c r="A18676" s="12"/>
    </row>
    <row r="18677" spans="1:1" x14ac:dyDescent="0.3">
      <c r="A18677" s="12"/>
    </row>
    <row r="18678" spans="1:1" x14ac:dyDescent="0.3">
      <c r="A18678" s="12"/>
    </row>
    <row r="18679" spans="1:1" x14ac:dyDescent="0.3">
      <c r="A18679" s="12"/>
    </row>
    <row r="18680" spans="1:1" x14ac:dyDescent="0.3">
      <c r="A18680" s="12"/>
    </row>
    <row r="18681" spans="1:1" x14ac:dyDescent="0.3">
      <c r="A18681" s="12"/>
    </row>
    <row r="18682" spans="1:1" x14ac:dyDescent="0.3">
      <c r="A18682" s="12"/>
    </row>
    <row r="18683" spans="1:1" x14ac:dyDescent="0.3">
      <c r="A18683" s="12"/>
    </row>
    <row r="18684" spans="1:1" x14ac:dyDescent="0.3">
      <c r="A18684" s="12"/>
    </row>
    <row r="18685" spans="1:1" x14ac:dyDescent="0.3">
      <c r="A18685" s="12"/>
    </row>
    <row r="18686" spans="1:1" x14ac:dyDescent="0.3">
      <c r="A18686" s="12"/>
    </row>
    <row r="18687" spans="1:1" x14ac:dyDescent="0.3">
      <c r="A18687" s="12"/>
    </row>
    <row r="18688" spans="1:1" x14ac:dyDescent="0.3">
      <c r="A18688" s="12"/>
    </row>
    <row r="18689" spans="1:1" x14ac:dyDescent="0.3">
      <c r="A18689" s="12"/>
    </row>
    <row r="18690" spans="1:1" x14ac:dyDescent="0.3">
      <c r="A18690" s="12"/>
    </row>
    <row r="18691" spans="1:1" x14ac:dyDescent="0.3">
      <c r="A18691" s="12"/>
    </row>
    <row r="18692" spans="1:1" x14ac:dyDescent="0.3">
      <c r="A18692" s="12"/>
    </row>
    <row r="18693" spans="1:1" x14ac:dyDescent="0.3">
      <c r="A18693" s="12"/>
    </row>
    <row r="18694" spans="1:1" x14ac:dyDescent="0.3">
      <c r="A18694" s="12"/>
    </row>
    <row r="18695" spans="1:1" x14ac:dyDescent="0.3">
      <c r="A18695" s="12"/>
    </row>
    <row r="18696" spans="1:1" x14ac:dyDescent="0.3">
      <c r="A18696" s="12"/>
    </row>
    <row r="18697" spans="1:1" x14ac:dyDescent="0.3">
      <c r="A18697" s="12"/>
    </row>
    <row r="18698" spans="1:1" x14ac:dyDescent="0.3">
      <c r="A18698" s="12"/>
    </row>
    <row r="18699" spans="1:1" x14ac:dyDescent="0.3">
      <c r="A18699" s="12"/>
    </row>
    <row r="18700" spans="1:1" x14ac:dyDescent="0.3">
      <c r="A18700" s="12"/>
    </row>
    <row r="18701" spans="1:1" x14ac:dyDescent="0.3">
      <c r="A18701" s="12"/>
    </row>
    <row r="18702" spans="1:1" x14ac:dyDescent="0.3">
      <c r="A18702" s="12"/>
    </row>
    <row r="18703" spans="1:1" x14ac:dyDescent="0.3">
      <c r="A18703" s="12"/>
    </row>
    <row r="18704" spans="1:1" x14ac:dyDescent="0.3">
      <c r="A18704" s="12"/>
    </row>
    <row r="18705" spans="1:1" x14ac:dyDescent="0.3">
      <c r="A18705" s="12"/>
    </row>
    <row r="18706" spans="1:1" x14ac:dyDescent="0.3">
      <c r="A18706" s="12"/>
    </row>
    <row r="18707" spans="1:1" x14ac:dyDescent="0.3">
      <c r="A18707" s="12"/>
    </row>
    <row r="18708" spans="1:1" x14ac:dyDescent="0.3">
      <c r="A18708" s="12"/>
    </row>
    <row r="18709" spans="1:1" x14ac:dyDescent="0.3">
      <c r="A18709" s="12"/>
    </row>
    <row r="18710" spans="1:1" x14ac:dyDescent="0.3">
      <c r="A18710" s="12"/>
    </row>
    <row r="18711" spans="1:1" x14ac:dyDescent="0.3">
      <c r="A18711" s="12"/>
    </row>
    <row r="18712" spans="1:1" x14ac:dyDescent="0.3">
      <c r="A18712" s="12"/>
    </row>
    <row r="18713" spans="1:1" x14ac:dyDescent="0.3">
      <c r="A18713" s="12"/>
    </row>
    <row r="18714" spans="1:1" x14ac:dyDescent="0.3">
      <c r="A18714" s="12"/>
    </row>
    <row r="18715" spans="1:1" x14ac:dyDescent="0.3">
      <c r="A18715" s="12"/>
    </row>
    <row r="18716" spans="1:1" x14ac:dyDescent="0.3">
      <c r="A18716" s="12"/>
    </row>
    <row r="18717" spans="1:1" x14ac:dyDescent="0.3">
      <c r="A18717" s="12"/>
    </row>
    <row r="18718" spans="1:1" x14ac:dyDescent="0.3">
      <c r="A18718" s="12"/>
    </row>
    <row r="18719" spans="1:1" x14ac:dyDescent="0.3">
      <c r="A18719" s="12"/>
    </row>
    <row r="18720" spans="1:1" x14ac:dyDescent="0.3">
      <c r="A18720" s="12"/>
    </row>
    <row r="18721" spans="1:1" x14ac:dyDescent="0.3">
      <c r="A18721" s="12"/>
    </row>
    <row r="18722" spans="1:1" x14ac:dyDescent="0.3">
      <c r="A18722" s="12"/>
    </row>
    <row r="18723" spans="1:1" x14ac:dyDescent="0.3">
      <c r="A18723" s="12"/>
    </row>
    <row r="18724" spans="1:1" x14ac:dyDescent="0.3">
      <c r="A18724" s="12"/>
    </row>
    <row r="18725" spans="1:1" x14ac:dyDescent="0.3">
      <c r="A18725" s="12"/>
    </row>
    <row r="18726" spans="1:1" x14ac:dyDescent="0.3">
      <c r="A18726" s="12"/>
    </row>
    <row r="18727" spans="1:1" x14ac:dyDescent="0.3">
      <c r="A18727" s="12"/>
    </row>
    <row r="18728" spans="1:1" x14ac:dyDescent="0.3">
      <c r="A18728" s="12"/>
    </row>
    <row r="18729" spans="1:1" x14ac:dyDescent="0.3">
      <c r="A18729" s="12"/>
    </row>
    <row r="18730" spans="1:1" x14ac:dyDescent="0.3">
      <c r="A18730" s="12"/>
    </row>
    <row r="18731" spans="1:1" x14ac:dyDescent="0.3">
      <c r="A18731" s="12"/>
    </row>
    <row r="18732" spans="1:1" x14ac:dyDescent="0.3">
      <c r="A18732" s="12"/>
    </row>
    <row r="18733" spans="1:1" x14ac:dyDescent="0.3">
      <c r="A18733" s="12"/>
    </row>
    <row r="18734" spans="1:1" x14ac:dyDescent="0.3">
      <c r="A18734" s="12"/>
    </row>
    <row r="18735" spans="1:1" x14ac:dyDescent="0.3">
      <c r="A18735" s="12"/>
    </row>
    <row r="18736" spans="1:1" x14ac:dyDescent="0.3">
      <c r="A18736" s="12"/>
    </row>
    <row r="18737" spans="1:1" x14ac:dyDescent="0.3">
      <c r="A18737" s="12"/>
    </row>
    <row r="18738" spans="1:1" x14ac:dyDescent="0.3">
      <c r="A18738" s="12"/>
    </row>
    <row r="18739" spans="1:1" x14ac:dyDescent="0.3">
      <c r="A18739" s="12"/>
    </row>
    <row r="18740" spans="1:1" x14ac:dyDescent="0.3">
      <c r="A18740" s="12"/>
    </row>
    <row r="18741" spans="1:1" x14ac:dyDescent="0.3">
      <c r="A18741" s="12"/>
    </row>
    <row r="18742" spans="1:1" x14ac:dyDescent="0.3">
      <c r="A18742" s="12"/>
    </row>
    <row r="18743" spans="1:1" x14ac:dyDescent="0.3">
      <c r="A18743" s="12"/>
    </row>
    <row r="18744" spans="1:1" x14ac:dyDescent="0.3">
      <c r="A18744" s="12"/>
    </row>
    <row r="18745" spans="1:1" x14ac:dyDescent="0.3">
      <c r="A18745" s="12"/>
    </row>
    <row r="18746" spans="1:1" x14ac:dyDescent="0.3">
      <c r="A18746" s="12"/>
    </row>
    <row r="18747" spans="1:1" x14ac:dyDescent="0.3">
      <c r="A18747" s="12"/>
    </row>
    <row r="18748" spans="1:1" x14ac:dyDescent="0.3">
      <c r="A18748" s="12"/>
    </row>
    <row r="18749" spans="1:1" x14ac:dyDescent="0.3">
      <c r="A18749" s="12"/>
    </row>
    <row r="18750" spans="1:1" x14ac:dyDescent="0.3">
      <c r="A18750" s="12"/>
    </row>
    <row r="18751" spans="1:1" x14ac:dyDescent="0.3">
      <c r="A18751" s="12"/>
    </row>
    <row r="18752" spans="1:1" x14ac:dyDescent="0.3">
      <c r="A18752" s="12"/>
    </row>
    <row r="18753" spans="1:1" x14ac:dyDescent="0.3">
      <c r="A18753" s="12"/>
    </row>
    <row r="18754" spans="1:1" x14ac:dyDescent="0.3">
      <c r="A18754" s="12"/>
    </row>
    <row r="18755" spans="1:1" x14ac:dyDescent="0.3">
      <c r="A18755" s="12"/>
    </row>
    <row r="18756" spans="1:1" x14ac:dyDescent="0.3">
      <c r="A18756" s="12"/>
    </row>
    <row r="18757" spans="1:1" x14ac:dyDescent="0.3">
      <c r="A18757" s="12"/>
    </row>
    <row r="18758" spans="1:1" x14ac:dyDescent="0.3">
      <c r="A18758" s="12"/>
    </row>
    <row r="18759" spans="1:1" x14ac:dyDescent="0.3">
      <c r="A18759" s="12"/>
    </row>
    <row r="18760" spans="1:1" x14ac:dyDescent="0.3">
      <c r="A18760" s="12"/>
    </row>
    <row r="18761" spans="1:1" x14ac:dyDescent="0.3">
      <c r="A18761" s="12"/>
    </row>
    <row r="18762" spans="1:1" x14ac:dyDescent="0.3">
      <c r="A18762" s="12"/>
    </row>
    <row r="18763" spans="1:1" x14ac:dyDescent="0.3">
      <c r="A18763" s="12"/>
    </row>
    <row r="18764" spans="1:1" x14ac:dyDescent="0.3">
      <c r="A18764" s="12"/>
    </row>
    <row r="18765" spans="1:1" x14ac:dyDescent="0.3">
      <c r="A18765" s="12"/>
    </row>
    <row r="18766" spans="1:1" x14ac:dyDescent="0.3">
      <c r="A18766" s="12"/>
    </row>
    <row r="18767" spans="1:1" x14ac:dyDescent="0.3">
      <c r="A18767" s="12"/>
    </row>
    <row r="18768" spans="1:1" x14ac:dyDescent="0.3">
      <c r="A18768" s="12"/>
    </row>
    <row r="18769" spans="1:1" x14ac:dyDescent="0.3">
      <c r="A18769" s="12"/>
    </row>
    <row r="18770" spans="1:1" x14ac:dyDescent="0.3">
      <c r="A18770" s="12"/>
    </row>
    <row r="18771" spans="1:1" x14ac:dyDescent="0.3">
      <c r="A18771" s="12"/>
    </row>
    <row r="18772" spans="1:1" x14ac:dyDescent="0.3">
      <c r="A18772" s="12"/>
    </row>
    <row r="18773" spans="1:1" x14ac:dyDescent="0.3">
      <c r="A18773" s="12"/>
    </row>
    <row r="18774" spans="1:1" x14ac:dyDescent="0.3">
      <c r="A18774" s="12"/>
    </row>
    <row r="18775" spans="1:1" x14ac:dyDescent="0.3">
      <c r="A18775" s="12"/>
    </row>
    <row r="18776" spans="1:1" x14ac:dyDescent="0.3">
      <c r="A18776" s="12"/>
    </row>
    <row r="18777" spans="1:1" x14ac:dyDescent="0.3">
      <c r="A18777" s="12"/>
    </row>
    <row r="18778" spans="1:1" x14ac:dyDescent="0.3">
      <c r="A18778" s="12"/>
    </row>
    <row r="18779" spans="1:1" x14ac:dyDescent="0.3">
      <c r="A18779" s="12"/>
    </row>
    <row r="18780" spans="1:1" x14ac:dyDescent="0.3">
      <c r="A18780" s="12"/>
    </row>
    <row r="18781" spans="1:1" x14ac:dyDescent="0.3">
      <c r="A18781" s="12"/>
    </row>
    <row r="18782" spans="1:1" x14ac:dyDescent="0.3">
      <c r="A18782" s="12"/>
    </row>
    <row r="18783" spans="1:1" x14ac:dyDescent="0.3">
      <c r="A18783" s="12"/>
    </row>
    <row r="18784" spans="1:1" x14ac:dyDescent="0.3">
      <c r="A18784" s="12"/>
    </row>
    <row r="18785" spans="1:1" x14ac:dyDescent="0.3">
      <c r="A18785" s="12"/>
    </row>
    <row r="18786" spans="1:1" x14ac:dyDescent="0.3">
      <c r="A18786" s="12"/>
    </row>
    <row r="18787" spans="1:1" x14ac:dyDescent="0.3">
      <c r="A18787" s="12"/>
    </row>
    <row r="18788" spans="1:1" x14ac:dyDescent="0.3">
      <c r="A18788" s="12"/>
    </row>
    <row r="18789" spans="1:1" x14ac:dyDescent="0.3">
      <c r="A18789" s="12"/>
    </row>
    <row r="18790" spans="1:1" x14ac:dyDescent="0.3">
      <c r="A18790" s="12"/>
    </row>
    <row r="18791" spans="1:1" x14ac:dyDescent="0.3">
      <c r="A18791" s="12"/>
    </row>
    <row r="18792" spans="1:1" x14ac:dyDescent="0.3">
      <c r="A18792" s="12"/>
    </row>
    <row r="18793" spans="1:1" x14ac:dyDescent="0.3">
      <c r="A18793" s="12"/>
    </row>
    <row r="18794" spans="1:1" x14ac:dyDescent="0.3">
      <c r="A18794" s="12"/>
    </row>
    <row r="18795" spans="1:1" x14ac:dyDescent="0.3">
      <c r="A18795" s="12"/>
    </row>
    <row r="18796" spans="1:1" x14ac:dyDescent="0.3">
      <c r="A18796" s="12"/>
    </row>
    <row r="18797" spans="1:1" x14ac:dyDescent="0.3">
      <c r="A18797" s="12"/>
    </row>
    <row r="18798" spans="1:1" x14ac:dyDescent="0.3">
      <c r="A18798" s="12"/>
    </row>
    <row r="18799" spans="1:1" x14ac:dyDescent="0.3">
      <c r="A18799" s="12"/>
    </row>
    <row r="18800" spans="1:1" x14ac:dyDescent="0.3">
      <c r="A18800" s="12"/>
    </row>
    <row r="18801" spans="1:1" x14ac:dyDescent="0.3">
      <c r="A18801" s="12"/>
    </row>
    <row r="18802" spans="1:1" x14ac:dyDescent="0.3">
      <c r="A18802" s="12"/>
    </row>
    <row r="18803" spans="1:1" x14ac:dyDescent="0.3">
      <c r="A18803" s="12"/>
    </row>
    <row r="18804" spans="1:1" x14ac:dyDescent="0.3">
      <c r="A18804" s="12"/>
    </row>
    <row r="18805" spans="1:1" x14ac:dyDescent="0.3">
      <c r="A18805" s="12"/>
    </row>
    <row r="18806" spans="1:1" x14ac:dyDescent="0.3">
      <c r="A18806" s="12"/>
    </row>
    <row r="18807" spans="1:1" x14ac:dyDescent="0.3">
      <c r="A18807" s="12"/>
    </row>
    <row r="18808" spans="1:1" x14ac:dyDescent="0.3">
      <c r="A18808" s="12"/>
    </row>
    <row r="18809" spans="1:1" x14ac:dyDescent="0.3">
      <c r="A18809" s="12"/>
    </row>
    <row r="18810" spans="1:1" x14ac:dyDescent="0.3">
      <c r="A18810" s="12"/>
    </row>
    <row r="18811" spans="1:1" x14ac:dyDescent="0.3">
      <c r="A18811" s="12"/>
    </row>
    <row r="18812" spans="1:1" x14ac:dyDescent="0.3">
      <c r="A18812" s="12"/>
    </row>
    <row r="18813" spans="1:1" x14ac:dyDescent="0.3">
      <c r="A18813" s="12"/>
    </row>
    <row r="18814" spans="1:1" x14ac:dyDescent="0.3">
      <c r="A18814" s="12"/>
    </row>
    <row r="18815" spans="1:1" x14ac:dyDescent="0.3">
      <c r="A18815" s="12"/>
    </row>
    <row r="18816" spans="1:1" x14ac:dyDescent="0.3">
      <c r="A18816" s="12"/>
    </row>
    <row r="18817" spans="1:1" x14ac:dyDescent="0.3">
      <c r="A18817" s="12"/>
    </row>
    <row r="18818" spans="1:1" x14ac:dyDescent="0.3">
      <c r="A18818" s="12"/>
    </row>
    <row r="18819" spans="1:1" x14ac:dyDescent="0.3">
      <c r="A18819" s="12"/>
    </row>
    <row r="18820" spans="1:1" x14ac:dyDescent="0.3">
      <c r="A18820" s="12"/>
    </row>
    <row r="18821" spans="1:1" x14ac:dyDescent="0.3">
      <c r="A18821" s="12"/>
    </row>
    <row r="18822" spans="1:1" x14ac:dyDescent="0.3">
      <c r="A18822" s="12"/>
    </row>
    <row r="18823" spans="1:1" x14ac:dyDescent="0.3">
      <c r="A18823" s="12"/>
    </row>
    <row r="18824" spans="1:1" x14ac:dyDescent="0.3">
      <c r="A18824" s="12"/>
    </row>
    <row r="18825" spans="1:1" x14ac:dyDescent="0.3">
      <c r="A18825" s="12"/>
    </row>
    <row r="18826" spans="1:1" x14ac:dyDescent="0.3">
      <c r="A18826" s="12"/>
    </row>
    <row r="18827" spans="1:1" x14ac:dyDescent="0.3">
      <c r="A18827" s="12"/>
    </row>
    <row r="18828" spans="1:1" x14ac:dyDescent="0.3">
      <c r="A18828" s="12"/>
    </row>
    <row r="18829" spans="1:1" x14ac:dyDescent="0.3">
      <c r="A18829" s="12"/>
    </row>
    <row r="18830" spans="1:1" x14ac:dyDescent="0.3">
      <c r="A18830" s="12"/>
    </row>
    <row r="18831" spans="1:1" x14ac:dyDescent="0.3">
      <c r="A18831" s="12"/>
    </row>
    <row r="18832" spans="1:1" x14ac:dyDescent="0.3">
      <c r="A18832" s="12"/>
    </row>
    <row r="18833" spans="1:1" x14ac:dyDescent="0.3">
      <c r="A18833" s="12"/>
    </row>
    <row r="18834" spans="1:1" x14ac:dyDescent="0.3">
      <c r="A18834" s="12"/>
    </row>
    <row r="18835" spans="1:1" x14ac:dyDescent="0.3">
      <c r="A18835" s="12"/>
    </row>
    <row r="18836" spans="1:1" x14ac:dyDescent="0.3">
      <c r="A18836" s="12"/>
    </row>
    <row r="18837" spans="1:1" x14ac:dyDescent="0.3">
      <c r="A18837" s="12"/>
    </row>
    <row r="18838" spans="1:1" x14ac:dyDescent="0.3">
      <c r="A18838" s="12"/>
    </row>
    <row r="18839" spans="1:1" x14ac:dyDescent="0.3">
      <c r="A18839" s="12"/>
    </row>
    <row r="18840" spans="1:1" x14ac:dyDescent="0.3">
      <c r="A18840" s="12"/>
    </row>
    <row r="18841" spans="1:1" x14ac:dyDescent="0.3">
      <c r="A18841" s="12"/>
    </row>
    <row r="18842" spans="1:1" x14ac:dyDescent="0.3">
      <c r="A18842" s="12"/>
    </row>
    <row r="18843" spans="1:1" x14ac:dyDescent="0.3">
      <c r="A18843" s="12"/>
    </row>
    <row r="18844" spans="1:1" x14ac:dyDescent="0.3">
      <c r="A18844" s="12"/>
    </row>
    <row r="18845" spans="1:1" x14ac:dyDescent="0.3">
      <c r="A18845" s="12"/>
    </row>
    <row r="18846" spans="1:1" x14ac:dyDescent="0.3">
      <c r="A18846" s="12"/>
    </row>
    <row r="18847" spans="1:1" x14ac:dyDescent="0.3">
      <c r="A18847" s="12"/>
    </row>
    <row r="18848" spans="1:1" x14ac:dyDescent="0.3">
      <c r="A18848" s="12"/>
    </row>
    <row r="18849" spans="1:1" x14ac:dyDescent="0.3">
      <c r="A18849" s="12"/>
    </row>
    <row r="18850" spans="1:1" x14ac:dyDescent="0.3">
      <c r="A18850" s="12"/>
    </row>
    <row r="18851" spans="1:1" x14ac:dyDescent="0.3">
      <c r="A18851" s="12"/>
    </row>
    <row r="18852" spans="1:1" x14ac:dyDescent="0.3">
      <c r="A18852" s="12"/>
    </row>
    <row r="18853" spans="1:1" x14ac:dyDescent="0.3">
      <c r="A18853" s="12"/>
    </row>
    <row r="18854" spans="1:1" x14ac:dyDescent="0.3">
      <c r="A18854" s="12"/>
    </row>
    <row r="18855" spans="1:1" x14ac:dyDescent="0.3">
      <c r="A18855" s="12"/>
    </row>
    <row r="18856" spans="1:1" x14ac:dyDescent="0.3">
      <c r="A18856" s="12"/>
    </row>
    <row r="18857" spans="1:1" x14ac:dyDescent="0.3">
      <c r="A18857" s="12"/>
    </row>
    <row r="18858" spans="1:1" x14ac:dyDescent="0.3">
      <c r="A18858" s="12"/>
    </row>
    <row r="18859" spans="1:1" x14ac:dyDescent="0.3">
      <c r="A18859" s="12"/>
    </row>
    <row r="18860" spans="1:1" x14ac:dyDescent="0.3">
      <c r="A18860" s="12"/>
    </row>
    <row r="18861" spans="1:1" x14ac:dyDescent="0.3">
      <c r="A18861" s="12"/>
    </row>
    <row r="18862" spans="1:1" x14ac:dyDescent="0.3">
      <c r="A18862" s="12"/>
    </row>
    <row r="18863" spans="1:1" x14ac:dyDescent="0.3">
      <c r="A18863" s="12"/>
    </row>
    <row r="18864" spans="1:1" x14ac:dyDescent="0.3">
      <c r="A18864" s="12"/>
    </row>
    <row r="18865" spans="1:1" x14ac:dyDescent="0.3">
      <c r="A18865" s="12"/>
    </row>
    <row r="18866" spans="1:1" x14ac:dyDescent="0.3">
      <c r="A18866" s="12"/>
    </row>
    <row r="18867" spans="1:1" x14ac:dyDescent="0.3">
      <c r="A18867" s="12"/>
    </row>
    <row r="18868" spans="1:1" x14ac:dyDescent="0.3">
      <c r="A18868" s="12"/>
    </row>
    <row r="18869" spans="1:1" x14ac:dyDescent="0.3">
      <c r="A18869" s="12"/>
    </row>
    <row r="18870" spans="1:1" x14ac:dyDescent="0.3">
      <c r="A18870" s="12"/>
    </row>
    <row r="18871" spans="1:1" x14ac:dyDescent="0.3">
      <c r="A18871" s="12"/>
    </row>
    <row r="18872" spans="1:1" x14ac:dyDescent="0.3">
      <c r="A18872" s="12"/>
    </row>
    <row r="18873" spans="1:1" x14ac:dyDescent="0.3">
      <c r="A18873" s="12"/>
    </row>
    <row r="18874" spans="1:1" x14ac:dyDescent="0.3">
      <c r="A18874" s="12"/>
    </row>
    <row r="18875" spans="1:1" x14ac:dyDescent="0.3">
      <c r="A18875" s="12"/>
    </row>
    <row r="18876" spans="1:1" x14ac:dyDescent="0.3">
      <c r="A18876" s="12"/>
    </row>
    <row r="18877" spans="1:1" x14ac:dyDescent="0.3">
      <c r="A18877" s="12"/>
    </row>
    <row r="18878" spans="1:1" x14ac:dyDescent="0.3">
      <c r="A18878" s="12"/>
    </row>
    <row r="18879" spans="1:1" x14ac:dyDescent="0.3">
      <c r="A18879" s="12"/>
    </row>
    <row r="18880" spans="1:1" x14ac:dyDescent="0.3">
      <c r="A18880" s="12"/>
    </row>
    <row r="18881" spans="1:1" x14ac:dyDescent="0.3">
      <c r="A18881" s="12"/>
    </row>
    <row r="18882" spans="1:1" x14ac:dyDescent="0.3">
      <c r="A18882" s="12"/>
    </row>
    <row r="18883" spans="1:1" x14ac:dyDescent="0.3">
      <c r="A18883" s="12"/>
    </row>
    <row r="18884" spans="1:1" x14ac:dyDescent="0.3">
      <c r="A18884" s="12"/>
    </row>
    <row r="18885" spans="1:1" x14ac:dyDescent="0.3">
      <c r="A18885" s="12"/>
    </row>
    <row r="18886" spans="1:1" x14ac:dyDescent="0.3">
      <c r="A18886" s="12"/>
    </row>
    <row r="18887" spans="1:1" x14ac:dyDescent="0.3">
      <c r="A18887" s="12"/>
    </row>
    <row r="18888" spans="1:1" x14ac:dyDescent="0.3">
      <c r="A18888" s="12"/>
    </row>
    <row r="18889" spans="1:1" x14ac:dyDescent="0.3">
      <c r="A18889" s="12"/>
    </row>
    <row r="18890" spans="1:1" x14ac:dyDescent="0.3">
      <c r="A18890" s="12"/>
    </row>
    <row r="18891" spans="1:1" x14ac:dyDescent="0.3">
      <c r="A18891" s="12"/>
    </row>
    <row r="18892" spans="1:1" x14ac:dyDescent="0.3">
      <c r="A18892" s="12"/>
    </row>
    <row r="18893" spans="1:1" x14ac:dyDescent="0.3">
      <c r="A18893" s="12"/>
    </row>
    <row r="18894" spans="1:1" x14ac:dyDescent="0.3">
      <c r="A18894" s="12"/>
    </row>
    <row r="18895" spans="1:1" x14ac:dyDescent="0.3">
      <c r="A18895" s="12"/>
    </row>
    <row r="18896" spans="1:1" x14ac:dyDescent="0.3">
      <c r="A18896" s="12"/>
    </row>
    <row r="18897" spans="1:1" x14ac:dyDescent="0.3">
      <c r="A18897" s="12"/>
    </row>
    <row r="18898" spans="1:1" x14ac:dyDescent="0.3">
      <c r="A18898" s="12"/>
    </row>
    <row r="18899" spans="1:1" x14ac:dyDescent="0.3">
      <c r="A18899" s="12"/>
    </row>
    <row r="18900" spans="1:1" x14ac:dyDescent="0.3">
      <c r="A18900" s="12"/>
    </row>
    <row r="18901" spans="1:1" x14ac:dyDescent="0.3">
      <c r="A18901" s="12"/>
    </row>
    <row r="18902" spans="1:1" x14ac:dyDescent="0.3">
      <c r="A18902" s="12"/>
    </row>
    <row r="18903" spans="1:1" x14ac:dyDescent="0.3">
      <c r="A18903" s="12"/>
    </row>
    <row r="18904" spans="1:1" x14ac:dyDescent="0.3">
      <c r="A18904" s="12"/>
    </row>
    <row r="18905" spans="1:1" x14ac:dyDescent="0.3">
      <c r="A18905" s="12"/>
    </row>
    <row r="18906" spans="1:1" x14ac:dyDescent="0.3">
      <c r="A18906" s="12"/>
    </row>
    <row r="18907" spans="1:1" x14ac:dyDescent="0.3">
      <c r="A18907" s="12"/>
    </row>
    <row r="18908" spans="1:1" x14ac:dyDescent="0.3">
      <c r="A18908" s="12"/>
    </row>
    <row r="18909" spans="1:1" x14ac:dyDescent="0.3">
      <c r="A18909" s="12"/>
    </row>
    <row r="18910" spans="1:1" x14ac:dyDescent="0.3">
      <c r="A18910" s="12"/>
    </row>
    <row r="18911" spans="1:1" x14ac:dyDescent="0.3">
      <c r="A18911" s="12"/>
    </row>
    <row r="18912" spans="1:1" x14ac:dyDescent="0.3">
      <c r="A18912" s="12"/>
    </row>
    <row r="18913" spans="1:1" x14ac:dyDescent="0.3">
      <c r="A18913" s="12"/>
    </row>
    <row r="18914" spans="1:1" x14ac:dyDescent="0.3">
      <c r="A18914" s="12"/>
    </row>
    <row r="18915" spans="1:1" x14ac:dyDescent="0.3">
      <c r="A18915" s="12"/>
    </row>
    <row r="18916" spans="1:1" x14ac:dyDescent="0.3">
      <c r="A18916" s="12"/>
    </row>
    <row r="18917" spans="1:1" x14ac:dyDescent="0.3">
      <c r="A18917" s="12"/>
    </row>
    <row r="18918" spans="1:1" x14ac:dyDescent="0.3">
      <c r="A18918" s="12"/>
    </row>
    <row r="18919" spans="1:1" x14ac:dyDescent="0.3">
      <c r="A18919" s="12"/>
    </row>
    <row r="18920" spans="1:1" x14ac:dyDescent="0.3">
      <c r="A18920" s="12"/>
    </row>
    <row r="18921" spans="1:1" x14ac:dyDescent="0.3">
      <c r="A18921" s="12"/>
    </row>
    <row r="18922" spans="1:1" x14ac:dyDescent="0.3">
      <c r="A18922" s="12"/>
    </row>
    <row r="18923" spans="1:1" x14ac:dyDescent="0.3">
      <c r="A18923" s="12"/>
    </row>
    <row r="18924" spans="1:1" x14ac:dyDescent="0.3">
      <c r="A18924" s="12"/>
    </row>
    <row r="18925" spans="1:1" x14ac:dyDescent="0.3">
      <c r="A18925" s="12"/>
    </row>
    <row r="18926" spans="1:1" x14ac:dyDescent="0.3">
      <c r="A18926" s="12"/>
    </row>
    <row r="18927" spans="1:1" x14ac:dyDescent="0.3">
      <c r="A18927" s="12"/>
    </row>
    <row r="18928" spans="1:1" x14ac:dyDescent="0.3">
      <c r="A18928" s="12"/>
    </row>
    <row r="18929" spans="1:1" x14ac:dyDescent="0.3">
      <c r="A18929" s="12"/>
    </row>
    <row r="18930" spans="1:1" x14ac:dyDescent="0.3">
      <c r="A18930" s="12"/>
    </row>
    <row r="18931" spans="1:1" x14ac:dyDescent="0.3">
      <c r="A18931" s="12"/>
    </row>
    <row r="18932" spans="1:1" x14ac:dyDescent="0.3">
      <c r="A18932" s="12"/>
    </row>
    <row r="18933" spans="1:1" x14ac:dyDescent="0.3">
      <c r="A18933" s="12"/>
    </row>
    <row r="18934" spans="1:1" x14ac:dyDescent="0.3">
      <c r="A18934" s="12"/>
    </row>
    <row r="18935" spans="1:1" x14ac:dyDescent="0.3">
      <c r="A18935" s="12"/>
    </row>
    <row r="18936" spans="1:1" x14ac:dyDescent="0.3">
      <c r="A18936" s="12"/>
    </row>
    <row r="18937" spans="1:1" x14ac:dyDescent="0.3">
      <c r="A18937" s="12"/>
    </row>
    <row r="18938" spans="1:1" x14ac:dyDescent="0.3">
      <c r="A18938" s="12"/>
    </row>
    <row r="18939" spans="1:1" x14ac:dyDescent="0.3">
      <c r="A18939" s="12"/>
    </row>
    <row r="18940" spans="1:1" x14ac:dyDescent="0.3">
      <c r="A18940" s="12"/>
    </row>
    <row r="18941" spans="1:1" x14ac:dyDescent="0.3">
      <c r="A18941" s="12"/>
    </row>
    <row r="18942" spans="1:1" x14ac:dyDescent="0.3">
      <c r="A18942" s="12"/>
    </row>
    <row r="18943" spans="1:1" x14ac:dyDescent="0.3">
      <c r="A18943" s="12"/>
    </row>
    <row r="18944" spans="1:1" x14ac:dyDescent="0.3">
      <c r="A18944" s="12"/>
    </row>
    <row r="18945" spans="1:1" x14ac:dyDescent="0.3">
      <c r="A18945" s="12"/>
    </row>
    <row r="18946" spans="1:1" x14ac:dyDescent="0.3">
      <c r="A18946" s="12"/>
    </row>
    <row r="18947" spans="1:1" x14ac:dyDescent="0.3">
      <c r="A18947" s="12"/>
    </row>
    <row r="18948" spans="1:1" x14ac:dyDescent="0.3">
      <c r="A18948" s="12"/>
    </row>
    <row r="18949" spans="1:1" x14ac:dyDescent="0.3">
      <c r="A18949" s="12"/>
    </row>
    <row r="18950" spans="1:1" x14ac:dyDescent="0.3">
      <c r="A18950" s="12"/>
    </row>
    <row r="18951" spans="1:1" x14ac:dyDescent="0.3">
      <c r="A18951" s="12"/>
    </row>
    <row r="18952" spans="1:1" x14ac:dyDescent="0.3">
      <c r="A18952" s="12"/>
    </row>
    <row r="18953" spans="1:1" x14ac:dyDescent="0.3">
      <c r="A18953" s="12"/>
    </row>
    <row r="18954" spans="1:1" x14ac:dyDescent="0.3">
      <c r="A18954" s="12"/>
    </row>
    <row r="18955" spans="1:1" x14ac:dyDescent="0.3">
      <c r="A18955" s="12"/>
    </row>
    <row r="18956" spans="1:1" x14ac:dyDescent="0.3">
      <c r="A18956" s="12"/>
    </row>
    <row r="18957" spans="1:1" x14ac:dyDescent="0.3">
      <c r="A18957" s="12"/>
    </row>
    <row r="18958" spans="1:1" x14ac:dyDescent="0.3">
      <c r="A18958" s="12"/>
    </row>
    <row r="18959" spans="1:1" x14ac:dyDescent="0.3">
      <c r="A18959" s="12"/>
    </row>
    <row r="18960" spans="1:1" x14ac:dyDescent="0.3">
      <c r="A18960" s="12"/>
    </row>
    <row r="18961" spans="1:1" x14ac:dyDescent="0.3">
      <c r="A18961" s="12"/>
    </row>
    <row r="18962" spans="1:1" x14ac:dyDescent="0.3">
      <c r="A18962" s="12"/>
    </row>
    <row r="18963" spans="1:1" x14ac:dyDescent="0.3">
      <c r="A18963" s="12"/>
    </row>
    <row r="18964" spans="1:1" x14ac:dyDescent="0.3">
      <c r="A18964" s="12"/>
    </row>
    <row r="18965" spans="1:1" x14ac:dyDescent="0.3">
      <c r="A18965" s="12"/>
    </row>
    <row r="18966" spans="1:1" x14ac:dyDescent="0.3">
      <c r="A18966" s="12"/>
    </row>
    <row r="18967" spans="1:1" x14ac:dyDescent="0.3">
      <c r="A18967" s="12"/>
    </row>
    <row r="18968" spans="1:1" x14ac:dyDescent="0.3">
      <c r="A18968" s="12"/>
    </row>
    <row r="18969" spans="1:1" x14ac:dyDescent="0.3">
      <c r="A18969" s="12"/>
    </row>
    <row r="18970" spans="1:1" x14ac:dyDescent="0.3">
      <c r="A18970" s="12"/>
    </row>
    <row r="18971" spans="1:1" x14ac:dyDescent="0.3">
      <c r="A18971" s="12"/>
    </row>
    <row r="18972" spans="1:1" x14ac:dyDescent="0.3">
      <c r="A18972" s="12"/>
    </row>
    <row r="18973" spans="1:1" x14ac:dyDescent="0.3">
      <c r="A18973" s="12"/>
    </row>
    <row r="18974" spans="1:1" x14ac:dyDescent="0.3">
      <c r="A18974" s="12"/>
    </row>
    <row r="18975" spans="1:1" x14ac:dyDescent="0.3">
      <c r="A18975" s="12"/>
    </row>
    <row r="18976" spans="1:1" x14ac:dyDescent="0.3">
      <c r="A18976" s="12"/>
    </row>
    <row r="18977" spans="1:1" x14ac:dyDescent="0.3">
      <c r="A18977" s="12"/>
    </row>
    <row r="18978" spans="1:1" x14ac:dyDescent="0.3">
      <c r="A18978" s="12"/>
    </row>
    <row r="18979" spans="1:1" x14ac:dyDescent="0.3">
      <c r="A18979" s="12"/>
    </row>
    <row r="18980" spans="1:1" x14ac:dyDescent="0.3">
      <c r="A18980" s="12"/>
    </row>
    <row r="18981" spans="1:1" x14ac:dyDescent="0.3">
      <c r="A18981" s="12"/>
    </row>
    <row r="18982" spans="1:1" x14ac:dyDescent="0.3">
      <c r="A18982" s="12"/>
    </row>
    <row r="18983" spans="1:1" x14ac:dyDescent="0.3">
      <c r="A18983" s="12"/>
    </row>
    <row r="18984" spans="1:1" x14ac:dyDescent="0.3">
      <c r="A18984" s="12"/>
    </row>
    <row r="18985" spans="1:1" x14ac:dyDescent="0.3">
      <c r="A18985" s="12"/>
    </row>
    <row r="18986" spans="1:1" x14ac:dyDescent="0.3">
      <c r="A18986" s="12"/>
    </row>
    <row r="18987" spans="1:1" x14ac:dyDescent="0.3">
      <c r="A18987" s="12"/>
    </row>
    <row r="18988" spans="1:1" x14ac:dyDescent="0.3">
      <c r="A18988" s="12"/>
    </row>
    <row r="18989" spans="1:1" x14ac:dyDescent="0.3">
      <c r="A18989" s="12"/>
    </row>
    <row r="18990" spans="1:1" x14ac:dyDescent="0.3">
      <c r="A18990" s="12"/>
    </row>
    <row r="18991" spans="1:1" x14ac:dyDescent="0.3">
      <c r="A18991" s="12"/>
    </row>
    <row r="18992" spans="1:1" x14ac:dyDescent="0.3">
      <c r="A18992" s="12"/>
    </row>
    <row r="18993" spans="1:1" x14ac:dyDescent="0.3">
      <c r="A18993" s="12"/>
    </row>
    <row r="18994" spans="1:1" x14ac:dyDescent="0.3">
      <c r="A18994" s="12"/>
    </row>
    <row r="18995" spans="1:1" x14ac:dyDescent="0.3">
      <c r="A18995" s="12"/>
    </row>
    <row r="18996" spans="1:1" x14ac:dyDescent="0.3">
      <c r="A18996" s="12"/>
    </row>
    <row r="18997" spans="1:1" x14ac:dyDescent="0.3">
      <c r="A18997" s="12"/>
    </row>
    <row r="18998" spans="1:1" x14ac:dyDescent="0.3">
      <c r="A18998" s="12"/>
    </row>
    <row r="18999" spans="1:1" x14ac:dyDescent="0.3">
      <c r="A18999" s="12"/>
    </row>
    <row r="19000" spans="1:1" x14ac:dyDescent="0.3">
      <c r="A19000" s="12"/>
    </row>
    <row r="19001" spans="1:1" x14ac:dyDescent="0.3">
      <c r="A19001" s="12"/>
    </row>
    <row r="19002" spans="1:1" x14ac:dyDescent="0.3">
      <c r="A19002" s="12"/>
    </row>
    <row r="19003" spans="1:1" x14ac:dyDescent="0.3">
      <c r="A19003" s="12"/>
    </row>
    <row r="19004" spans="1:1" x14ac:dyDescent="0.3">
      <c r="A19004" s="12"/>
    </row>
    <row r="19005" spans="1:1" x14ac:dyDescent="0.3">
      <c r="A19005" s="12"/>
    </row>
    <row r="19006" spans="1:1" x14ac:dyDescent="0.3">
      <c r="A19006" s="12"/>
    </row>
    <row r="19007" spans="1:1" x14ac:dyDescent="0.3">
      <c r="A19007" s="12"/>
    </row>
    <row r="19008" spans="1:1" x14ac:dyDescent="0.3">
      <c r="A19008" s="12"/>
    </row>
    <row r="19009" spans="1:1" x14ac:dyDescent="0.3">
      <c r="A19009" s="12"/>
    </row>
    <row r="19010" spans="1:1" x14ac:dyDescent="0.3">
      <c r="A19010" s="12"/>
    </row>
    <row r="19011" spans="1:1" x14ac:dyDescent="0.3">
      <c r="A19011" s="12"/>
    </row>
    <row r="19012" spans="1:1" x14ac:dyDescent="0.3">
      <c r="A19012" s="12"/>
    </row>
    <row r="19013" spans="1:1" x14ac:dyDescent="0.3">
      <c r="A19013" s="12"/>
    </row>
    <row r="19014" spans="1:1" x14ac:dyDescent="0.3">
      <c r="A19014" s="12"/>
    </row>
    <row r="19015" spans="1:1" x14ac:dyDescent="0.3">
      <c r="A19015" s="12"/>
    </row>
    <row r="19016" spans="1:1" x14ac:dyDescent="0.3">
      <c r="A19016" s="12"/>
    </row>
    <row r="19017" spans="1:1" x14ac:dyDescent="0.3">
      <c r="A19017" s="12"/>
    </row>
    <row r="19018" spans="1:1" x14ac:dyDescent="0.3">
      <c r="A19018" s="12"/>
    </row>
    <row r="19019" spans="1:1" x14ac:dyDescent="0.3">
      <c r="A19019" s="12"/>
    </row>
    <row r="19020" spans="1:1" x14ac:dyDescent="0.3">
      <c r="A19020" s="12"/>
    </row>
    <row r="19021" spans="1:1" x14ac:dyDescent="0.3">
      <c r="A19021" s="12"/>
    </row>
    <row r="19022" spans="1:1" x14ac:dyDescent="0.3">
      <c r="A19022" s="12"/>
    </row>
    <row r="19023" spans="1:1" x14ac:dyDescent="0.3">
      <c r="A19023" s="12"/>
    </row>
    <row r="19024" spans="1:1" x14ac:dyDescent="0.3">
      <c r="A19024" s="12"/>
    </row>
    <row r="19025" spans="1:1" x14ac:dyDescent="0.3">
      <c r="A19025" s="12"/>
    </row>
    <row r="19026" spans="1:1" x14ac:dyDescent="0.3">
      <c r="A19026" s="12"/>
    </row>
    <row r="19027" spans="1:1" x14ac:dyDescent="0.3">
      <c r="A19027" s="12"/>
    </row>
    <row r="19028" spans="1:1" x14ac:dyDescent="0.3">
      <c r="A19028" s="12"/>
    </row>
    <row r="19029" spans="1:1" x14ac:dyDescent="0.3">
      <c r="A19029" s="12"/>
    </row>
    <row r="19030" spans="1:1" x14ac:dyDescent="0.3">
      <c r="A19030" s="12"/>
    </row>
    <row r="19031" spans="1:1" x14ac:dyDescent="0.3">
      <c r="A19031" s="12"/>
    </row>
    <row r="19032" spans="1:1" x14ac:dyDescent="0.3">
      <c r="A19032" s="12"/>
    </row>
    <row r="19033" spans="1:1" x14ac:dyDescent="0.3">
      <c r="A19033" s="12"/>
    </row>
    <row r="19034" spans="1:1" x14ac:dyDescent="0.3">
      <c r="A19034" s="12"/>
    </row>
    <row r="19035" spans="1:1" x14ac:dyDescent="0.3">
      <c r="A19035" s="12"/>
    </row>
    <row r="19036" spans="1:1" x14ac:dyDescent="0.3">
      <c r="A19036" s="12"/>
    </row>
    <row r="19037" spans="1:1" x14ac:dyDescent="0.3">
      <c r="A19037" s="12"/>
    </row>
    <row r="19038" spans="1:1" x14ac:dyDescent="0.3">
      <c r="A19038" s="12"/>
    </row>
    <row r="19039" spans="1:1" x14ac:dyDescent="0.3">
      <c r="A19039" s="12"/>
    </row>
    <row r="19040" spans="1:1" x14ac:dyDescent="0.3">
      <c r="A19040" s="12"/>
    </row>
    <row r="19041" spans="1:1" x14ac:dyDescent="0.3">
      <c r="A19041" s="12"/>
    </row>
    <row r="19042" spans="1:1" x14ac:dyDescent="0.3">
      <c r="A19042" s="12"/>
    </row>
    <row r="19043" spans="1:1" x14ac:dyDescent="0.3">
      <c r="A19043" s="12"/>
    </row>
    <row r="19044" spans="1:1" x14ac:dyDescent="0.3">
      <c r="A19044" s="12"/>
    </row>
    <row r="19045" spans="1:1" x14ac:dyDescent="0.3">
      <c r="A19045" s="12"/>
    </row>
    <row r="19046" spans="1:1" x14ac:dyDescent="0.3">
      <c r="A19046" s="12"/>
    </row>
    <row r="19047" spans="1:1" x14ac:dyDescent="0.3">
      <c r="A19047" s="12"/>
    </row>
    <row r="19048" spans="1:1" x14ac:dyDescent="0.3">
      <c r="A19048" s="12"/>
    </row>
    <row r="19049" spans="1:1" x14ac:dyDescent="0.3">
      <c r="A19049" s="12"/>
    </row>
    <row r="19050" spans="1:1" x14ac:dyDescent="0.3">
      <c r="A19050" s="12"/>
    </row>
    <row r="19051" spans="1:1" x14ac:dyDescent="0.3">
      <c r="A19051" s="12"/>
    </row>
    <row r="19052" spans="1:1" x14ac:dyDescent="0.3">
      <c r="A19052" s="12"/>
    </row>
    <row r="19053" spans="1:1" x14ac:dyDescent="0.3">
      <c r="A19053" s="12"/>
    </row>
    <row r="19054" spans="1:1" x14ac:dyDescent="0.3">
      <c r="A19054" s="12"/>
    </row>
    <row r="19055" spans="1:1" x14ac:dyDescent="0.3">
      <c r="A19055" s="12"/>
    </row>
    <row r="19056" spans="1:1" x14ac:dyDescent="0.3">
      <c r="A19056" s="12"/>
    </row>
    <row r="19057" spans="1:1" x14ac:dyDescent="0.3">
      <c r="A19057" s="12"/>
    </row>
    <row r="19058" spans="1:1" x14ac:dyDescent="0.3">
      <c r="A19058" s="12"/>
    </row>
    <row r="19059" spans="1:1" x14ac:dyDescent="0.3">
      <c r="A19059" s="12"/>
    </row>
    <row r="19060" spans="1:1" x14ac:dyDescent="0.3">
      <c r="A19060" s="12"/>
    </row>
    <row r="19061" spans="1:1" x14ac:dyDescent="0.3">
      <c r="A19061" s="12"/>
    </row>
    <row r="19062" spans="1:1" x14ac:dyDescent="0.3">
      <c r="A19062" s="12"/>
    </row>
    <row r="19063" spans="1:1" x14ac:dyDescent="0.3">
      <c r="A19063" s="12"/>
    </row>
    <row r="19064" spans="1:1" x14ac:dyDescent="0.3">
      <c r="A19064" s="12"/>
    </row>
    <row r="19065" spans="1:1" x14ac:dyDescent="0.3">
      <c r="A19065" s="12"/>
    </row>
    <row r="19066" spans="1:1" x14ac:dyDescent="0.3">
      <c r="A19066" s="12"/>
    </row>
    <row r="19067" spans="1:1" x14ac:dyDescent="0.3">
      <c r="A19067" s="12"/>
    </row>
    <row r="19068" spans="1:1" x14ac:dyDescent="0.3">
      <c r="A19068" s="12"/>
    </row>
    <row r="19069" spans="1:1" x14ac:dyDescent="0.3">
      <c r="A19069" s="12"/>
    </row>
    <row r="19070" spans="1:1" x14ac:dyDescent="0.3">
      <c r="A19070" s="12"/>
    </row>
    <row r="19071" spans="1:1" x14ac:dyDescent="0.3">
      <c r="A19071" s="12"/>
    </row>
    <row r="19072" spans="1:1" x14ac:dyDescent="0.3">
      <c r="A19072" s="12"/>
    </row>
    <row r="19073" spans="1:1" x14ac:dyDescent="0.3">
      <c r="A19073" s="12"/>
    </row>
    <row r="19074" spans="1:1" x14ac:dyDescent="0.3">
      <c r="A19074" s="12"/>
    </row>
    <row r="19075" spans="1:1" x14ac:dyDescent="0.3">
      <c r="A19075" s="12"/>
    </row>
    <row r="19076" spans="1:1" x14ac:dyDescent="0.3">
      <c r="A19076" s="12"/>
    </row>
    <row r="19077" spans="1:1" x14ac:dyDescent="0.3">
      <c r="A19077" s="12"/>
    </row>
    <row r="19078" spans="1:1" x14ac:dyDescent="0.3">
      <c r="A19078" s="12"/>
    </row>
    <row r="19079" spans="1:1" x14ac:dyDescent="0.3">
      <c r="A19079" s="12"/>
    </row>
    <row r="19080" spans="1:1" x14ac:dyDescent="0.3">
      <c r="A19080" s="12"/>
    </row>
    <row r="19081" spans="1:1" x14ac:dyDescent="0.3">
      <c r="A19081" s="12"/>
    </row>
    <row r="19082" spans="1:1" x14ac:dyDescent="0.3">
      <c r="A19082" s="12"/>
    </row>
    <row r="19083" spans="1:1" x14ac:dyDescent="0.3">
      <c r="A19083" s="12"/>
    </row>
    <row r="19084" spans="1:1" x14ac:dyDescent="0.3">
      <c r="A19084" s="12"/>
    </row>
    <row r="19085" spans="1:1" x14ac:dyDescent="0.3">
      <c r="A19085" s="12"/>
    </row>
    <row r="19086" spans="1:1" x14ac:dyDescent="0.3">
      <c r="A19086" s="12"/>
    </row>
    <row r="19087" spans="1:1" x14ac:dyDescent="0.3">
      <c r="A19087" s="12"/>
    </row>
    <row r="19088" spans="1:1" x14ac:dyDescent="0.3">
      <c r="A19088" s="12"/>
    </row>
    <row r="19089" spans="1:1" x14ac:dyDescent="0.3">
      <c r="A19089" s="12"/>
    </row>
    <row r="19090" spans="1:1" x14ac:dyDescent="0.3">
      <c r="A19090" s="12"/>
    </row>
    <row r="19091" spans="1:1" x14ac:dyDescent="0.3">
      <c r="A19091" s="12"/>
    </row>
    <row r="19092" spans="1:1" x14ac:dyDescent="0.3">
      <c r="A19092" s="12"/>
    </row>
    <row r="19093" spans="1:1" x14ac:dyDescent="0.3">
      <c r="A19093" s="12"/>
    </row>
    <row r="19094" spans="1:1" x14ac:dyDescent="0.3">
      <c r="A19094" s="12"/>
    </row>
    <row r="19095" spans="1:1" x14ac:dyDescent="0.3">
      <c r="A19095" s="12"/>
    </row>
    <row r="19096" spans="1:1" x14ac:dyDescent="0.3">
      <c r="A19096" s="12"/>
    </row>
    <row r="19097" spans="1:1" x14ac:dyDescent="0.3">
      <c r="A19097" s="12"/>
    </row>
    <row r="19098" spans="1:1" x14ac:dyDescent="0.3">
      <c r="A19098" s="12"/>
    </row>
    <row r="19099" spans="1:1" x14ac:dyDescent="0.3">
      <c r="A19099" s="12"/>
    </row>
    <row r="19100" spans="1:1" x14ac:dyDescent="0.3">
      <c r="A19100" s="12"/>
    </row>
    <row r="19101" spans="1:1" x14ac:dyDescent="0.3">
      <c r="A19101" s="12"/>
    </row>
    <row r="19102" spans="1:1" x14ac:dyDescent="0.3">
      <c r="A19102" s="12"/>
    </row>
    <row r="19103" spans="1:1" x14ac:dyDescent="0.3">
      <c r="A19103" s="12"/>
    </row>
    <row r="19104" spans="1:1" x14ac:dyDescent="0.3">
      <c r="A19104" s="12"/>
    </row>
    <row r="19105" spans="1:1" x14ac:dyDescent="0.3">
      <c r="A19105" s="12"/>
    </row>
    <row r="19106" spans="1:1" x14ac:dyDescent="0.3">
      <c r="A19106" s="12"/>
    </row>
    <row r="19107" spans="1:1" x14ac:dyDescent="0.3">
      <c r="A19107" s="12"/>
    </row>
    <row r="19108" spans="1:1" x14ac:dyDescent="0.3">
      <c r="A19108" s="12"/>
    </row>
    <row r="19109" spans="1:1" x14ac:dyDescent="0.3">
      <c r="A19109" s="12"/>
    </row>
    <row r="19110" spans="1:1" x14ac:dyDescent="0.3">
      <c r="A19110" s="12"/>
    </row>
    <row r="19111" spans="1:1" x14ac:dyDescent="0.3">
      <c r="A19111" s="12"/>
    </row>
    <row r="19112" spans="1:1" x14ac:dyDescent="0.3">
      <c r="A19112" s="12"/>
    </row>
    <row r="19113" spans="1:1" x14ac:dyDescent="0.3">
      <c r="A19113" s="12"/>
    </row>
    <row r="19114" spans="1:1" x14ac:dyDescent="0.3">
      <c r="A19114" s="12"/>
    </row>
    <row r="19115" spans="1:1" x14ac:dyDescent="0.3">
      <c r="A19115" s="12"/>
    </row>
    <row r="19116" spans="1:1" x14ac:dyDescent="0.3">
      <c r="A19116" s="12"/>
    </row>
    <row r="19117" spans="1:1" x14ac:dyDescent="0.3">
      <c r="A19117" s="12"/>
    </row>
    <row r="19118" spans="1:1" x14ac:dyDescent="0.3">
      <c r="A19118" s="12"/>
    </row>
    <row r="19119" spans="1:1" x14ac:dyDescent="0.3">
      <c r="A19119" s="12"/>
    </row>
    <row r="19120" spans="1:1" x14ac:dyDescent="0.3">
      <c r="A19120" s="12"/>
    </row>
    <row r="19121" spans="1:1" x14ac:dyDescent="0.3">
      <c r="A19121" s="12"/>
    </row>
    <row r="19122" spans="1:1" x14ac:dyDescent="0.3">
      <c r="A19122" s="12"/>
    </row>
    <row r="19123" spans="1:1" x14ac:dyDescent="0.3">
      <c r="A19123" s="12"/>
    </row>
    <row r="19124" spans="1:1" x14ac:dyDescent="0.3">
      <c r="A19124" s="12"/>
    </row>
    <row r="19125" spans="1:1" x14ac:dyDescent="0.3">
      <c r="A19125" s="12"/>
    </row>
    <row r="19126" spans="1:1" x14ac:dyDescent="0.3">
      <c r="A19126" s="12"/>
    </row>
    <row r="19127" spans="1:1" x14ac:dyDescent="0.3">
      <c r="A19127" s="12"/>
    </row>
    <row r="19128" spans="1:1" x14ac:dyDescent="0.3">
      <c r="A19128" s="12"/>
    </row>
    <row r="19129" spans="1:1" x14ac:dyDescent="0.3">
      <c r="A19129" s="12"/>
    </row>
    <row r="19130" spans="1:1" x14ac:dyDescent="0.3">
      <c r="A19130" s="12"/>
    </row>
    <row r="19131" spans="1:1" x14ac:dyDescent="0.3">
      <c r="A19131" s="12"/>
    </row>
    <row r="19132" spans="1:1" x14ac:dyDescent="0.3">
      <c r="A19132" s="12"/>
    </row>
    <row r="19133" spans="1:1" x14ac:dyDescent="0.3">
      <c r="A19133" s="12"/>
    </row>
    <row r="19134" spans="1:1" x14ac:dyDescent="0.3">
      <c r="A19134" s="12"/>
    </row>
    <row r="19135" spans="1:1" x14ac:dyDescent="0.3">
      <c r="A19135" s="12"/>
    </row>
    <row r="19136" spans="1:1" x14ac:dyDescent="0.3">
      <c r="A19136" s="12"/>
    </row>
    <row r="19137" spans="1:1" x14ac:dyDescent="0.3">
      <c r="A19137" s="12"/>
    </row>
    <row r="19138" spans="1:1" x14ac:dyDescent="0.3">
      <c r="A19138" s="12"/>
    </row>
    <row r="19139" spans="1:1" x14ac:dyDescent="0.3">
      <c r="A19139" s="12"/>
    </row>
    <row r="19140" spans="1:1" x14ac:dyDescent="0.3">
      <c r="A19140" s="12"/>
    </row>
    <row r="19141" spans="1:1" x14ac:dyDescent="0.3">
      <c r="A19141" s="12"/>
    </row>
    <row r="19142" spans="1:1" x14ac:dyDescent="0.3">
      <c r="A19142" s="12"/>
    </row>
    <row r="19143" spans="1:1" x14ac:dyDescent="0.3">
      <c r="A19143" s="12"/>
    </row>
    <row r="19144" spans="1:1" x14ac:dyDescent="0.3">
      <c r="A19144" s="12"/>
    </row>
    <row r="19145" spans="1:1" x14ac:dyDescent="0.3">
      <c r="A19145" s="12"/>
    </row>
    <row r="19146" spans="1:1" x14ac:dyDescent="0.3">
      <c r="A19146" s="12"/>
    </row>
    <row r="19147" spans="1:1" x14ac:dyDescent="0.3">
      <c r="A19147" s="12"/>
    </row>
    <row r="19148" spans="1:1" x14ac:dyDescent="0.3">
      <c r="A19148" s="12"/>
    </row>
    <row r="19149" spans="1:1" x14ac:dyDescent="0.3">
      <c r="A19149" s="12"/>
    </row>
    <row r="19150" spans="1:1" x14ac:dyDescent="0.3">
      <c r="A19150" s="12"/>
    </row>
    <row r="19151" spans="1:1" x14ac:dyDescent="0.3">
      <c r="A19151" s="12"/>
    </row>
    <row r="19152" spans="1:1" x14ac:dyDescent="0.3">
      <c r="A19152" s="12"/>
    </row>
    <row r="19153" spans="1:1" x14ac:dyDescent="0.3">
      <c r="A19153" s="12"/>
    </row>
    <row r="19154" spans="1:1" x14ac:dyDescent="0.3">
      <c r="A19154" s="12"/>
    </row>
    <row r="19155" spans="1:1" x14ac:dyDescent="0.3">
      <c r="A19155" s="12"/>
    </row>
    <row r="19156" spans="1:1" x14ac:dyDescent="0.3">
      <c r="A19156" s="12"/>
    </row>
    <row r="19157" spans="1:1" x14ac:dyDescent="0.3">
      <c r="A19157" s="12"/>
    </row>
    <row r="19158" spans="1:1" x14ac:dyDescent="0.3">
      <c r="A19158" s="12"/>
    </row>
    <row r="19159" spans="1:1" x14ac:dyDescent="0.3">
      <c r="A19159" s="12"/>
    </row>
    <row r="19160" spans="1:1" x14ac:dyDescent="0.3">
      <c r="A19160" s="12"/>
    </row>
    <row r="19161" spans="1:1" x14ac:dyDescent="0.3">
      <c r="A19161" s="12"/>
    </row>
    <row r="19162" spans="1:1" x14ac:dyDescent="0.3">
      <c r="A19162" s="12"/>
    </row>
    <row r="19163" spans="1:1" x14ac:dyDescent="0.3">
      <c r="A19163" s="12"/>
    </row>
    <row r="19164" spans="1:1" x14ac:dyDescent="0.3">
      <c r="A19164" s="12"/>
    </row>
    <row r="19165" spans="1:1" x14ac:dyDescent="0.3">
      <c r="A19165" s="12"/>
    </row>
    <row r="19166" spans="1:1" x14ac:dyDescent="0.3">
      <c r="A19166" s="12"/>
    </row>
    <row r="19167" spans="1:1" x14ac:dyDescent="0.3">
      <c r="A19167" s="12"/>
    </row>
    <row r="19168" spans="1:1" x14ac:dyDescent="0.3">
      <c r="A19168" s="12"/>
    </row>
    <row r="19169" spans="1:1" x14ac:dyDescent="0.3">
      <c r="A19169" s="12"/>
    </row>
    <row r="19170" spans="1:1" x14ac:dyDescent="0.3">
      <c r="A19170" s="12"/>
    </row>
    <row r="19171" spans="1:1" x14ac:dyDescent="0.3">
      <c r="A19171" s="12"/>
    </row>
    <row r="19172" spans="1:1" x14ac:dyDescent="0.3">
      <c r="A19172" s="12"/>
    </row>
    <row r="19173" spans="1:1" x14ac:dyDescent="0.3">
      <c r="A19173" s="12"/>
    </row>
    <row r="19174" spans="1:1" x14ac:dyDescent="0.3">
      <c r="A19174" s="12"/>
    </row>
    <row r="19175" spans="1:1" x14ac:dyDescent="0.3">
      <c r="A19175" s="12"/>
    </row>
    <row r="19176" spans="1:1" x14ac:dyDescent="0.3">
      <c r="A19176" s="12"/>
    </row>
    <row r="19177" spans="1:1" x14ac:dyDescent="0.3">
      <c r="A19177" s="12"/>
    </row>
    <row r="19178" spans="1:1" x14ac:dyDescent="0.3">
      <c r="A19178" s="12"/>
    </row>
    <row r="19179" spans="1:1" x14ac:dyDescent="0.3">
      <c r="A19179" s="12"/>
    </row>
    <row r="19180" spans="1:1" x14ac:dyDescent="0.3">
      <c r="A19180" s="12"/>
    </row>
    <row r="19181" spans="1:1" x14ac:dyDescent="0.3">
      <c r="A19181" s="12"/>
    </row>
    <row r="19182" spans="1:1" x14ac:dyDescent="0.3">
      <c r="A19182" s="12"/>
    </row>
    <row r="19183" spans="1:1" x14ac:dyDescent="0.3">
      <c r="A19183" s="12"/>
    </row>
    <row r="19184" spans="1:1" x14ac:dyDescent="0.3">
      <c r="A19184" s="12"/>
    </row>
    <row r="19185" spans="1:1" x14ac:dyDescent="0.3">
      <c r="A19185" s="12"/>
    </row>
    <row r="19186" spans="1:1" x14ac:dyDescent="0.3">
      <c r="A19186" s="12"/>
    </row>
    <row r="19187" spans="1:1" x14ac:dyDescent="0.3">
      <c r="A19187" s="12"/>
    </row>
    <row r="19188" spans="1:1" x14ac:dyDescent="0.3">
      <c r="A19188" s="12"/>
    </row>
    <row r="19189" spans="1:1" x14ac:dyDescent="0.3">
      <c r="A19189" s="12"/>
    </row>
    <row r="19190" spans="1:1" x14ac:dyDescent="0.3">
      <c r="A19190" s="12"/>
    </row>
    <row r="19191" spans="1:1" x14ac:dyDescent="0.3">
      <c r="A19191" s="12"/>
    </row>
    <row r="19192" spans="1:1" x14ac:dyDescent="0.3">
      <c r="A19192" s="12"/>
    </row>
    <row r="19193" spans="1:1" x14ac:dyDescent="0.3">
      <c r="A19193" s="12"/>
    </row>
    <row r="19194" spans="1:1" x14ac:dyDescent="0.3">
      <c r="A19194" s="12"/>
    </row>
    <row r="19195" spans="1:1" x14ac:dyDescent="0.3">
      <c r="A19195" s="12"/>
    </row>
    <row r="19196" spans="1:1" x14ac:dyDescent="0.3">
      <c r="A19196" s="12"/>
    </row>
    <row r="19197" spans="1:1" x14ac:dyDescent="0.3">
      <c r="A19197" s="12"/>
    </row>
    <row r="19198" spans="1:1" x14ac:dyDescent="0.3">
      <c r="A19198" s="12"/>
    </row>
    <row r="19199" spans="1:1" x14ac:dyDescent="0.3">
      <c r="A19199" s="12"/>
    </row>
    <row r="19200" spans="1:1" x14ac:dyDescent="0.3">
      <c r="A19200" s="12"/>
    </row>
    <row r="19201" spans="1:1" x14ac:dyDescent="0.3">
      <c r="A19201" s="12"/>
    </row>
    <row r="19202" spans="1:1" x14ac:dyDescent="0.3">
      <c r="A19202" s="12"/>
    </row>
    <row r="19203" spans="1:1" x14ac:dyDescent="0.3">
      <c r="A19203" s="12"/>
    </row>
    <row r="19204" spans="1:1" x14ac:dyDescent="0.3">
      <c r="A19204" s="12"/>
    </row>
    <row r="19205" spans="1:1" x14ac:dyDescent="0.3">
      <c r="A19205" s="12"/>
    </row>
    <row r="19206" spans="1:1" x14ac:dyDescent="0.3">
      <c r="A19206" s="12"/>
    </row>
    <row r="19207" spans="1:1" x14ac:dyDescent="0.3">
      <c r="A19207" s="12"/>
    </row>
    <row r="19208" spans="1:1" x14ac:dyDescent="0.3">
      <c r="A19208" s="12"/>
    </row>
    <row r="19209" spans="1:1" x14ac:dyDescent="0.3">
      <c r="A19209" s="12"/>
    </row>
    <row r="19210" spans="1:1" x14ac:dyDescent="0.3">
      <c r="A19210" s="12"/>
    </row>
    <row r="19211" spans="1:1" x14ac:dyDescent="0.3">
      <c r="A19211" s="12"/>
    </row>
    <row r="19212" spans="1:1" x14ac:dyDescent="0.3">
      <c r="A19212" s="12"/>
    </row>
    <row r="19213" spans="1:1" x14ac:dyDescent="0.3">
      <c r="A19213" s="12"/>
    </row>
    <row r="19214" spans="1:1" x14ac:dyDescent="0.3">
      <c r="A19214" s="12"/>
    </row>
    <row r="19215" spans="1:1" x14ac:dyDescent="0.3">
      <c r="A19215" s="12"/>
    </row>
    <row r="19216" spans="1:1" x14ac:dyDescent="0.3">
      <c r="A19216" s="12"/>
    </row>
    <row r="19217" spans="1:1" x14ac:dyDescent="0.3">
      <c r="A19217" s="12"/>
    </row>
    <row r="19218" spans="1:1" x14ac:dyDescent="0.3">
      <c r="A19218" s="12"/>
    </row>
    <row r="19219" spans="1:1" x14ac:dyDescent="0.3">
      <c r="A19219" s="12"/>
    </row>
    <row r="19220" spans="1:1" x14ac:dyDescent="0.3">
      <c r="A19220" s="12"/>
    </row>
    <row r="19221" spans="1:1" x14ac:dyDescent="0.3">
      <c r="A19221" s="12"/>
    </row>
    <row r="19222" spans="1:1" x14ac:dyDescent="0.3">
      <c r="A19222" s="12"/>
    </row>
    <row r="19223" spans="1:1" x14ac:dyDescent="0.3">
      <c r="A19223" s="12"/>
    </row>
    <row r="19224" spans="1:1" x14ac:dyDescent="0.3">
      <c r="A19224" s="12"/>
    </row>
    <row r="19225" spans="1:1" x14ac:dyDescent="0.3">
      <c r="A19225" s="12"/>
    </row>
    <row r="19226" spans="1:1" x14ac:dyDescent="0.3">
      <c r="A19226" s="12"/>
    </row>
    <row r="19227" spans="1:1" x14ac:dyDescent="0.3">
      <c r="A19227" s="12"/>
    </row>
    <row r="19228" spans="1:1" x14ac:dyDescent="0.3">
      <c r="A19228" s="12"/>
    </row>
    <row r="19229" spans="1:1" x14ac:dyDescent="0.3">
      <c r="A19229" s="12"/>
    </row>
    <row r="19230" spans="1:1" x14ac:dyDescent="0.3">
      <c r="A19230" s="12"/>
    </row>
    <row r="19231" spans="1:1" x14ac:dyDescent="0.3">
      <c r="A19231" s="12"/>
    </row>
    <row r="19232" spans="1:1" x14ac:dyDescent="0.3">
      <c r="A19232" s="12"/>
    </row>
    <row r="19233" spans="1:1" x14ac:dyDescent="0.3">
      <c r="A19233" s="12"/>
    </row>
    <row r="19234" spans="1:1" x14ac:dyDescent="0.3">
      <c r="A19234" s="12"/>
    </row>
    <row r="19235" spans="1:1" x14ac:dyDescent="0.3">
      <c r="A19235" s="12"/>
    </row>
    <row r="19236" spans="1:1" x14ac:dyDescent="0.3">
      <c r="A19236" s="12"/>
    </row>
    <row r="19237" spans="1:1" x14ac:dyDescent="0.3">
      <c r="A19237" s="12"/>
    </row>
    <row r="19238" spans="1:1" x14ac:dyDescent="0.3">
      <c r="A19238" s="12"/>
    </row>
    <row r="19239" spans="1:1" x14ac:dyDescent="0.3">
      <c r="A19239" s="12"/>
    </row>
    <row r="19240" spans="1:1" x14ac:dyDescent="0.3">
      <c r="A19240" s="12"/>
    </row>
    <row r="19241" spans="1:1" x14ac:dyDescent="0.3">
      <c r="A19241" s="12"/>
    </row>
    <row r="19242" spans="1:1" x14ac:dyDescent="0.3">
      <c r="A19242" s="12"/>
    </row>
    <row r="19243" spans="1:1" x14ac:dyDescent="0.3">
      <c r="A19243" s="12"/>
    </row>
    <row r="19244" spans="1:1" x14ac:dyDescent="0.3">
      <c r="A19244" s="12"/>
    </row>
    <row r="19245" spans="1:1" x14ac:dyDescent="0.3">
      <c r="A19245" s="12"/>
    </row>
    <row r="19246" spans="1:1" x14ac:dyDescent="0.3">
      <c r="A19246" s="12"/>
    </row>
    <row r="19247" spans="1:1" x14ac:dyDescent="0.3">
      <c r="A19247" s="12"/>
    </row>
    <row r="19248" spans="1:1" x14ac:dyDescent="0.3">
      <c r="A19248" s="12"/>
    </row>
    <row r="19249" spans="1:1" x14ac:dyDescent="0.3">
      <c r="A19249" s="12"/>
    </row>
    <row r="19250" spans="1:1" x14ac:dyDescent="0.3">
      <c r="A19250" s="12"/>
    </row>
    <row r="19251" spans="1:1" x14ac:dyDescent="0.3">
      <c r="A19251" s="12"/>
    </row>
    <row r="19252" spans="1:1" x14ac:dyDescent="0.3">
      <c r="A19252" s="12"/>
    </row>
    <row r="19253" spans="1:1" x14ac:dyDescent="0.3">
      <c r="A19253" s="12"/>
    </row>
    <row r="19254" spans="1:1" x14ac:dyDescent="0.3">
      <c r="A19254" s="12"/>
    </row>
    <row r="19255" spans="1:1" x14ac:dyDescent="0.3">
      <c r="A19255" s="12"/>
    </row>
    <row r="19256" spans="1:1" x14ac:dyDescent="0.3">
      <c r="A19256" s="12"/>
    </row>
    <row r="19257" spans="1:1" x14ac:dyDescent="0.3">
      <c r="A19257" s="12"/>
    </row>
    <row r="19258" spans="1:1" x14ac:dyDescent="0.3">
      <c r="A19258" s="12"/>
    </row>
    <row r="19259" spans="1:1" x14ac:dyDescent="0.3">
      <c r="A19259" s="12"/>
    </row>
    <row r="19260" spans="1:1" x14ac:dyDescent="0.3">
      <c r="A19260" s="12"/>
    </row>
    <row r="19261" spans="1:1" x14ac:dyDescent="0.3">
      <c r="A19261" s="12"/>
    </row>
    <row r="19262" spans="1:1" x14ac:dyDescent="0.3">
      <c r="A19262" s="12"/>
    </row>
    <row r="19263" spans="1:1" x14ac:dyDescent="0.3">
      <c r="A19263" s="12"/>
    </row>
    <row r="19264" spans="1:1" x14ac:dyDescent="0.3">
      <c r="A19264" s="12"/>
    </row>
    <row r="19265" spans="1:1" x14ac:dyDescent="0.3">
      <c r="A19265" s="12"/>
    </row>
    <row r="19266" spans="1:1" x14ac:dyDescent="0.3">
      <c r="A19266" s="12"/>
    </row>
    <row r="19267" spans="1:1" x14ac:dyDescent="0.3">
      <c r="A19267" s="12"/>
    </row>
    <row r="19268" spans="1:1" x14ac:dyDescent="0.3">
      <c r="A19268" s="12"/>
    </row>
    <row r="19269" spans="1:1" x14ac:dyDescent="0.3">
      <c r="A19269" s="12"/>
    </row>
    <row r="19270" spans="1:1" x14ac:dyDescent="0.3">
      <c r="A19270" s="12"/>
    </row>
    <row r="19271" spans="1:1" x14ac:dyDescent="0.3">
      <c r="A19271" s="12"/>
    </row>
    <row r="19272" spans="1:1" x14ac:dyDescent="0.3">
      <c r="A19272" s="12"/>
    </row>
    <row r="19273" spans="1:1" x14ac:dyDescent="0.3">
      <c r="A19273" s="12"/>
    </row>
    <row r="19274" spans="1:1" x14ac:dyDescent="0.3">
      <c r="A19274" s="12"/>
    </row>
    <row r="19275" spans="1:1" x14ac:dyDescent="0.3">
      <c r="A19275" s="12"/>
    </row>
    <row r="19276" spans="1:1" x14ac:dyDescent="0.3">
      <c r="A19276" s="12"/>
    </row>
    <row r="19277" spans="1:1" x14ac:dyDescent="0.3">
      <c r="A19277" s="12"/>
    </row>
    <row r="19278" spans="1:1" x14ac:dyDescent="0.3">
      <c r="A19278" s="12"/>
    </row>
    <row r="19279" spans="1:1" x14ac:dyDescent="0.3">
      <c r="A19279" s="12"/>
    </row>
    <row r="19280" spans="1:1" x14ac:dyDescent="0.3">
      <c r="A19280" s="12"/>
    </row>
    <row r="19281" spans="1:1" x14ac:dyDescent="0.3">
      <c r="A19281" s="12"/>
    </row>
    <row r="19282" spans="1:1" x14ac:dyDescent="0.3">
      <c r="A19282" s="12"/>
    </row>
    <row r="19283" spans="1:1" x14ac:dyDescent="0.3">
      <c r="A19283" s="12"/>
    </row>
    <row r="19284" spans="1:1" x14ac:dyDescent="0.3">
      <c r="A19284" s="12"/>
    </row>
    <row r="19285" spans="1:1" x14ac:dyDescent="0.3">
      <c r="A19285" s="12"/>
    </row>
    <row r="19286" spans="1:1" x14ac:dyDescent="0.3">
      <c r="A19286" s="12"/>
    </row>
    <row r="19287" spans="1:1" x14ac:dyDescent="0.3">
      <c r="A19287" s="12"/>
    </row>
    <row r="19288" spans="1:1" x14ac:dyDescent="0.3">
      <c r="A19288" s="12"/>
    </row>
    <row r="19289" spans="1:1" x14ac:dyDescent="0.3">
      <c r="A19289" s="12"/>
    </row>
    <row r="19290" spans="1:1" x14ac:dyDescent="0.3">
      <c r="A19290" s="12"/>
    </row>
    <row r="19291" spans="1:1" x14ac:dyDescent="0.3">
      <c r="A19291" s="12"/>
    </row>
    <row r="19292" spans="1:1" x14ac:dyDescent="0.3">
      <c r="A19292" s="12"/>
    </row>
    <row r="19293" spans="1:1" x14ac:dyDescent="0.3">
      <c r="A19293" s="12"/>
    </row>
    <row r="19294" spans="1:1" x14ac:dyDescent="0.3">
      <c r="A19294" s="12"/>
    </row>
    <row r="19295" spans="1:1" x14ac:dyDescent="0.3">
      <c r="A19295" s="12"/>
    </row>
    <row r="19296" spans="1:1" x14ac:dyDescent="0.3">
      <c r="A19296" s="12"/>
    </row>
    <row r="19297" spans="1:1" x14ac:dyDescent="0.3">
      <c r="A19297" s="12"/>
    </row>
    <row r="19298" spans="1:1" x14ac:dyDescent="0.3">
      <c r="A19298" s="12"/>
    </row>
    <row r="19299" spans="1:1" x14ac:dyDescent="0.3">
      <c r="A19299" s="12"/>
    </row>
    <row r="19300" spans="1:1" x14ac:dyDescent="0.3">
      <c r="A19300" s="12"/>
    </row>
    <row r="19301" spans="1:1" x14ac:dyDescent="0.3">
      <c r="A19301" s="12"/>
    </row>
    <row r="19302" spans="1:1" x14ac:dyDescent="0.3">
      <c r="A19302" s="12"/>
    </row>
    <row r="19303" spans="1:1" x14ac:dyDescent="0.3">
      <c r="A19303" s="12"/>
    </row>
    <row r="19304" spans="1:1" x14ac:dyDescent="0.3">
      <c r="A19304" s="12"/>
    </row>
    <row r="19305" spans="1:1" x14ac:dyDescent="0.3">
      <c r="A19305" s="12"/>
    </row>
    <row r="19306" spans="1:1" x14ac:dyDescent="0.3">
      <c r="A19306" s="12"/>
    </row>
    <row r="19307" spans="1:1" x14ac:dyDescent="0.3">
      <c r="A19307" s="12"/>
    </row>
    <row r="19308" spans="1:1" x14ac:dyDescent="0.3">
      <c r="A19308" s="12"/>
    </row>
    <row r="19309" spans="1:1" x14ac:dyDescent="0.3">
      <c r="A19309" s="12"/>
    </row>
    <row r="19310" spans="1:1" x14ac:dyDescent="0.3">
      <c r="A19310" s="12"/>
    </row>
    <row r="19311" spans="1:1" x14ac:dyDescent="0.3">
      <c r="A19311" s="12"/>
    </row>
    <row r="19312" spans="1:1" x14ac:dyDescent="0.3">
      <c r="A19312" s="12"/>
    </row>
    <row r="19313" spans="1:1" x14ac:dyDescent="0.3">
      <c r="A19313" s="12"/>
    </row>
    <row r="19314" spans="1:1" x14ac:dyDescent="0.3">
      <c r="A19314" s="12"/>
    </row>
    <row r="19315" spans="1:1" x14ac:dyDescent="0.3">
      <c r="A19315" s="12"/>
    </row>
    <row r="19316" spans="1:1" x14ac:dyDescent="0.3">
      <c r="A19316" s="12"/>
    </row>
    <row r="19317" spans="1:1" x14ac:dyDescent="0.3">
      <c r="A19317" s="12"/>
    </row>
    <row r="19318" spans="1:1" x14ac:dyDescent="0.3">
      <c r="A19318" s="12"/>
    </row>
    <row r="19319" spans="1:1" x14ac:dyDescent="0.3">
      <c r="A19319" s="12"/>
    </row>
    <row r="19320" spans="1:1" x14ac:dyDescent="0.3">
      <c r="A19320" s="12"/>
    </row>
    <row r="19321" spans="1:1" x14ac:dyDescent="0.3">
      <c r="A19321" s="12"/>
    </row>
    <row r="19322" spans="1:1" x14ac:dyDescent="0.3">
      <c r="A19322" s="12"/>
    </row>
    <row r="19323" spans="1:1" x14ac:dyDescent="0.3">
      <c r="A19323" s="12"/>
    </row>
    <row r="19324" spans="1:1" x14ac:dyDescent="0.3">
      <c r="A19324" s="12"/>
    </row>
    <row r="19325" spans="1:1" x14ac:dyDescent="0.3">
      <c r="A19325" s="12"/>
    </row>
    <row r="19326" spans="1:1" x14ac:dyDescent="0.3">
      <c r="A19326" s="12"/>
    </row>
    <row r="19327" spans="1:1" x14ac:dyDescent="0.3">
      <c r="A19327" s="12"/>
    </row>
    <row r="19328" spans="1:1" x14ac:dyDescent="0.3">
      <c r="A19328" s="12"/>
    </row>
    <row r="19329" spans="1:1" x14ac:dyDescent="0.3">
      <c r="A19329" s="12"/>
    </row>
    <row r="19330" spans="1:1" x14ac:dyDescent="0.3">
      <c r="A19330" s="12"/>
    </row>
    <row r="19331" spans="1:1" x14ac:dyDescent="0.3">
      <c r="A19331" s="12"/>
    </row>
    <row r="19332" spans="1:1" x14ac:dyDescent="0.3">
      <c r="A19332" s="12"/>
    </row>
    <row r="19333" spans="1:1" x14ac:dyDescent="0.3">
      <c r="A19333" s="12"/>
    </row>
    <row r="19334" spans="1:1" x14ac:dyDescent="0.3">
      <c r="A19334" s="12"/>
    </row>
    <row r="19335" spans="1:1" x14ac:dyDescent="0.3">
      <c r="A19335" s="12"/>
    </row>
    <row r="19336" spans="1:1" x14ac:dyDescent="0.3">
      <c r="A19336" s="12"/>
    </row>
    <row r="19337" spans="1:1" x14ac:dyDescent="0.3">
      <c r="A19337" s="12"/>
    </row>
    <row r="19338" spans="1:1" x14ac:dyDescent="0.3">
      <c r="A19338" s="12"/>
    </row>
    <row r="19339" spans="1:1" x14ac:dyDescent="0.3">
      <c r="A19339" s="12"/>
    </row>
    <row r="19340" spans="1:1" x14ac:dyDescent="0.3">
      <c r="A19340" s="12"/>
    </row>
    <row r="19341" spans="1:1" x14ac:dyDescent="0.3">
      <c r="A19341" s="12"/>
    </row>
    <row r="19342" spans="1:1" x14ac:dyDescent="0.3">
      <c r="A19342" s="12"/>
    </row>
    <row r="19343" spans="1:1" x14ac:dyDescent="0.3">
      <c r="A19343" s="12"/>
    </row>
    <row r="19344" spans="1:1" x14ac:dyDescent="0.3">
      <c r="A19344" s="12"/>
    </row>
    <row r="19345" spans="1:1" x14ac:dyDescent="0.3">
      <c r="A19345" s="12"/>
    </row>
    <row r="19346" spans="1:1" x14ac:dyDescent="0.3">
      <c r="A19346" s="12"/>
    </row>
    <row r="19347" spans="1:1" x14ac:dyDescent="0.3">
      <c r="A19347" s="12"/>
    </row>
    <row r="19348" spans="1:1" x14ac:dyDescent="0.3">
      <c r="A19348" s="12"/>
    </row>
    <row r="19349" spans="1:1" x14ac:dyDescent="0.3">
      <c r="A19349" s="12"/>
    </row>
    <row r="19350" spans="1:1" x14ac:dyDescent="0.3">
      <c r="A19350" s="12"/>
    </row>
    <row r="19351" spans="1:1" x14ac:dyDescent="0.3">
      <c r="A19351" s="12"/>
    </row>
    <row r="19352" spans="1:1" x14ac:dyDescent="0.3">
      <c r="A19352" s="12"/>
    </row>
    <row r="19353" spans="1:1" x14ac:dyDescent="0.3">
      <c r="A19353" s="12"/>
    </row>
    <row r="19354" spans="1:1" x14ac:dyDescent="0.3">
      <c r="A19354" s="12"/>
    </row>
    <row r="19355" spans="1:1" x14ac:dyDescent="0.3">
      <c r="A19355" s="12"/>
    </row>
    <row r="19356" spans="1:1" x14ac:dyDescent="0.3">
      <c r="A19356" s="12"/>
    </row>
    <row r="19357" spans="1:1" x14ac:dyDescent="0.3">
      <c r="A19357" s="12"/>
    </row>
    <row r="19358" spans="1:1" x14ac:dyDescent="0.3">
      <c r="A19358" s="12"/>
    </row>
    <row r="19359" spans="1:1" x14ac:dyDescent="0.3">
      <c r="A19359" s="12"/>
    </row>
    <row r="19360" spans="1:1" x14ac:dyDescent="0.3">
      <c r="A19360" s="12"/>
    </row>
    <row r="19361" spans="1:1" x14ac:dyDescent="0.3">
      <c r="A19361" s="12"/>
    </row>
    <row r="19362" spans="1:1" x14ac:dyDescent="0.3">
      <c r="A19362" s="12"/>
    </row>
    <row r="19363" spans="1:1" x14ac:dyDescent="0.3">
      <c r="A19363" s="12"/>
    </row>
    <row r="19364" spans="1:1" x14ac:dyDescent="0.3">
      <c r="A19364" s="12"/>
    </row>
    <row r="19365" spans="1:1" x14ac:dyDescent="0.3">
      <c r="A19365" s="12"/>
    </row>
    <row r="19366" spans="1:1" x14ac:dyDescent="0.3">
      <c r="A19366" s="12"/>
    </row>
    <row r="19367" spans="1:1" x14ac:dyDescent="0.3">
      <c r="A19367" s="12"/>
    </row>
    <row r="19368" spans="1:1" x14ac:dyDescent="0.3">
      <c r="A19368" s="12"/>
    </row>
    <row r="19369" spans="1:1" x14ac:dyDescent="0.3">
      <c r="A19369" s="12"/>
    </row>
    <row r="19370" spans="1:1" x14ac:dyDescent="0.3">
      <c r="A19370" s="12"/>
    </row>
    <row r="19371" spans="1:1" x14ac:dyDescent="0.3">
      <c r="A19371" s="12"/>
    </row>
    <row r="19372" spans="1:1" x14ac:dyDescent="0.3">
      <c r="A19372" s="12"/>
    </row>
    <row r="19373" spans="1:1" x14ac:dyDescent="0.3">
      <c r="A19373" s="12"/>
    </row>
    <row r="19374" spans="1:1" x14ac:dyDescent="0.3">
      <c r="A19374" s="12"/>
    </row>
    <row r="19375" spans="1:1" x14ac:dyDescent="0.3">
      <c r="A19375" s="12"/>
    </row>
    <row r="19376" spans="1:1" x14ac:dyDescent="0.3">
      <c r="A19376" s="12"/>
    </row>
    <row r="19377" spans="1:1" x14ac:dyDescent="0.3">
      <c r="A19377" s="12"/>
    </row>
    <row r="19378" spans="1:1" x14ac:dyDescent="0.3">
      <c r="A19378" s="12"/>
    </row>
    <row r="19379" spans="1:1" x14ac:dyDescent="0.3">
      <c r="A19379" s="12"/>
    </row>
    <row r="19380" spans="1:1" x14ac:dyDescent="0.3">
      <c r="A19380" s="12"/>
    </row>
    <row r="19381" spans="1:1" x14ac:dyDescent="0.3">
      <c r="A19381" s="12"/>
    </row>
    <row r="19382" spans="1:1" x14ac:dyDescent="0.3">
      <c r="A19382" s="12"/>
    </row>
    <row r="19383" spans="1:1" x14ac:dyDescent="0.3">
      <c r="A19383" s="12"/>
    </row>
    <row r="19384" spans="1:1" x14ac:dyDescent="0.3">
      <c r="A19384" s="12"/>
    </row>
    <row r="19385" spans="1:1" x14ac:dyDescent="0.3">
      <c r="A19385" s="12"/>
    </row>
    <row r="19386" spans="1:1" x14ac:dyDescent="0.3">
      <c r="A19386" s="12"/>
    </row>
    <row r="19387" spans="1:1" x14ac:dyDescent="0.3">
      <c r="A19387" s="12"/>
    </row>
    <row r="19388" spans="1:1" x14ac:dyDescent="0.3">
      <c r="A19388" s="12"/>
    </row>
    <row r="19389" spans="1:1" x14ac:dyDescent="0.3">
      <c r="A19389" s="12"/>
    </row>
    <row r="19390" spans="1:1" x14ac:dyDescent="0.3">
      <c r="A19390" s="12"/>
    </row>
    <row r="19391" spans="1:1" x14ac:dyDescent="0.3">
      <c r="A19391" s="12"/>
    </row>
    <row r="19392" spans="1:1" x14ac:dyDescent="0.3">
      <c r="A19392" s="12"/>
    </row>
    <row r="19393" spans="1:1" x14ac:dyDescent="0.3">
      <c r="A19393" s="12"/>
    </row>
    <row r="19394" spans="1:1" x14ac:dyDescent="0.3">
      <c r="A19394" s="12"/>
    </row>
    <row r="19395" spans="1:1" x14ac:dyDescent="0.3">
      <c r="A19395" s="12"/>
    </row>
    <row r="19396" spans="1:1" x14ac:dyDescent="0.3">
      <c r="A19396" s="12"/>
    </row>
    <row r="19397" spans="1:1" x14ac:dyDescent="0.3">
      <c r="A19397" s="12"/>
    </row>
    <row r="19398" spans="1:1" x14ac:dyDescent="0.3">
      <c r="A19398" s="12"/>
    </row>
    <row r="19399" spans="1:1" x14ac:dyDescent="0.3">
      <c r="A19399" s="12"/>
    </row>
    <row r="19400" spans="1:1" x14ac:dyDescent="0.3">
      <c r="A19400" s="12"/>
    </row>
    <row r="19401" spans="1:1" x14ac:dyDescent="0.3">
      <c r="A19401" s="12"/>
    </row>
    <row r="19402" spans="1:1" x14ac:dyDescent="0.3">
      <c r="A19402" s="12"/>
    </row>
    <row r="19403" spans="1:1" x14ac:dyDescent="0.3">
      <c r="A19403" s="12"/>
    </row>
    <row r="19404" spans="1:1" x14ac:dyDescent="0.3">
      <c r="A19404" s="12"/>
    </row>
    <row r="19405" spans="1:1" x14ac:dyDescent="0.3">
      <c r="A19405" s="12"/>
    </row>
    <row r="19406" spans="1:1" x14ac:dyDescent="0.3">
      <c r="A19406" s="12"/>
    </row>
    <row r="19407" spans="1:1" x14ac:dyDescent="0.3">
      <c r="A19407" s="12"/>
    </row>
    <row r="19408" spans="1:1" x14ac:dyDescent="0.3">
      <c r="A19408" s="12"/>
    </row>
    <row r="19409" spans="1:1" x14ac:dyDescent="0.3">
      <c r="A19409" s="12"/>
    </row>
    <row r="19410" spans="1:1" x14ac:dyDescent="0.3">
      <c r="A19410" s="12"/>
    </row>
    <row r="19411" spans="1:1" x14ac:dyDescent="0.3">
      <c r="A19411" s="12"/>
    </row>
    <row r="19412" spans="1:1" x14ac:dyDescent="0.3">
      <c r="A19412" s="12"/>
    </row>
    <row r="19413" spans="1:1" x14ac:dyDescent="0.3">
      <c r="A19413" s="12"/>
    </row>
    <row r="19414" spans="1:1" x14ac:dyDescent="0.3">
      <c r="A19414" s="12"/>
    </row>
    <row r="19415" spans="1:1" x14ac:dyDescent="0.3">
      <c r="A19415" s="12"/>
    </row>
    <row r="19416" spans="1:1" x14ac:dyDescent="0.3">
      <c r="A19416" s="12"/>
    </row>
    <row r="19417" spans="1:1" x14ac:dyDescent="0.3">
      <c r="A19417" s="12"/>
    </row>
    <row r="19418" spans="1:1" x14ac:dyDescent="0.3">
      <c r="A19418" s="12"/>
    </row>
    <row r="19419" spans="1:1" x14ac:dyDescent="0.3">
      <c r="A19419" s="12"/>
    </row>
    <row r="19420" spans="1:1" x14ac:dyDescent="0.3">
      <c r="A19420" s="12"/>
    </row>
    <row r="19421" spans="1:1" x14ac:dyDescent="0.3">
      <c r="A19421" s="12"/>
    </row>
    <row r="19422" spans="1:1" x14ac:dyDescent="0.3">
      <c r="A19422" s="12"/>
    </row>
    <row r="19423" spans="1:1" x14ac:dyDescent="0.3">
      <c r="A19423" s="12"/>
    </row>
    <row r="19424" spans="1:1" x14ac:dyDescent="0.3">
      <c r="A19424" s="12"/>
    </row>
    <row r="19425" spans="1:1" x14ac:dyDescent="0.3">
      <c r="A19425" s="12"/>
    </row>
    <row r="19426" spans="1:1" x14ac:dyDescent="0.3">
      <c r="A19426" s="12"/>
    </row>
    <row r="19427" spans="1:1" x14ac:dyDescent="0.3">
      <c r="A19427" s="12"/>
    </row>
    <row r="19428" spans="1:1" x14ac:dyDescent="0.3">
      <c r="A19428" s="12"/>
    </row>
    <row r="19429" spans="1:1" x14ac:dyDescent="0.3">
      <c r="A19429" s="12"/>
    </row>
    <row r="19430" spans="1:1" x14ac:dyDescent="0.3">
      <c r="A19430" s="12"/>
    </row>
    <row r="19431" spans="1:1" x14ac:dyDescent="0.3">
      <c r="A19431" s="12"/>
    </row>
    <row r="19432" spans="1:1" x14ac:dyDescent="0.3">
      <c r="A19432" s="12"/>
    </row>
    <row r="19433" spans="1:1" x14ac:dyDescent="0.3">
      <c r="A19433" s="12"/>
    </row>
    <row r="19434" spans="1:1" x14ac:dyDescent="0.3">
      <c r="A19434" s="12"/>
    </row>
    <row r="19435" spans="1:1" x14ac:dyDescent="0.3">
      <c r="A19435" s="12"/>
    </row>
    <row r="19436" spans="1:1" x14ac:dyDescent="0.3">
      <c r="A19436" s="12"/>
    </row>
    <row r="19437" spans="1:1" x14ac:dyDescent="0.3">
      <c r="A19437" s="12"/>
    </row>
    <row r="19438" spans="1:1" x14ac:dyDescent="0.3">
      <c r="A19438" s="12"/>
    </row>
    <row r="19439" spans="1:1" x14ac:dyDescent="0.3">
      <c r="A19439" s="12"/>
    </row>
    <row r="19440" spans="1:1" x14ac:dyDescent="0.3">
      <c r="A19440" s="12"/>
    </row>
    <row r="19441" spans="1:1" x14ac:dyDescent="0.3">
      <c r="A19441" s="12"/>
    </row>
    <row r="19442" spans="1:1" x14ac:dyDescent="0.3">
      <c r="A19442" s="12"/>
    </row>
    <row r="19443" spans="1:1" x14ac:dyDescent="0.3">
      <c r="A19443" s="12"/>
    </row>
    <row r="19444" spans="1:1" x14ac:dyDescent="0.3">
      <c r="A19444" s="12"/>
    </row>
    <row r="19445" spans="1:1" x14ac:dyDescent="0.3">
      <c r="A19445" s="12"/>
    </row>
    <row r="19446" spans="1:1" x14ac:dyDescent="0.3">
      <c r="A19446" s="12"/>
    </row>
    <row r="19447" spans="1:1" x14ac:dyDescent="0.3">
      <c r="A19447" s="12"/>
    </row>
    <row r="19448" spans="1:1" x14ac:dyDescent="0.3">
      <c r="A19448" s="12"/>
    </row>
    <row r="19449" spans="1:1" x14ac:dyDescent="0.3">
      <c r="A19449" s="12"/>
    </row>
    <row r="19450" spans="1:1" x14ac:dyDescent="0.3">
      <c r="A19450" s="12"/>
    </row>
    <row r="19451" spans="1:1" x14ac:dyDescent="0.3">
      <c r="A19451" s="12"/>
    </row>
    <row r="19452" spans="1:1" x14ac:dyDescent="0.3">
      <c r="A19452" s="12"/>
    </row>
    <row r="19453" spans="1:1" x14ac:dyDescent="0.3">
      <c r="A19453" s="12"/>
    </row>
    <row r="19454" spans="1:1" x14ac:dyDescent="0.3">
      <c r="A19454" s="12"/>
    </row>
    <row r="19455" spans="1:1" x14ac:dyDescent="0.3">
      <c r="A19455" s="12"/>
    </row>
    <row r="19456" spans="1:1" x14ac:dyDescent="0.3">
      <c r="A19456" s="12"/>
    </row>
    <row r="19457" spans="1:1" x14ac:dyDescent="0.3">
      <c r="A19457" s="12"/>
    </row>
    <row r="19458" spans="1:1" x14ac:dyDescent="0.3">
      <c r="A19458" s="12"/>
    </row>
    <row r="19459" spans="1:1" x14ac:dyDescent="0.3">
      <c r="A19459" s="12"/>
    </row>
    <row r="19460" spans="1:1" x14ac:dyDescent="0.3">
      <c r="A19460" s="12"/>
    </row>
    <row r="19461" spans="1:1" x14ac:dyDescent="0.3">
      <c r="A19461" s="12"/>
    </row>
    <row r="19462" spans="1:1" x14ac:dyDescent="0.3">
      <c r="A19462" s="12"/>
    </row>
    <row r="19463" spans="1:1" x14ac:dyDescent="0.3">
      <c r="A19463" s="12"/>
    </row>
    <row r="19464" spans="1:1" x14ac:dyDescent="0.3">
      <c r="A19464" s="12"/>
    </row>
    <row r="19465" spans="1:1" x14ac:dyDescent="0.3">
      <c r="A19465" s="12"/>
    </row>
    <row r="19466" spans="1:1" x14ac:dyDescent="0.3">
      <c r="A19466" s="12"/>
    </row>
    <row r="19467" spans="1:1" x14ac:dyDescent="0.3">
      <c r="A19467" s="12"/>
    </row>
    <row r="19468" spans="1:1" x14ac:dyDescent="0.3">
      <c r="A19468" s="12"/>
    </row>
    <row r="19469" spans="1:1" x14ac:dyDescent="0.3">
      <c r="A19469" s="12"/>
    </row>
    <row r="19470" spans="1:1" x14ac:dyDescent="0.3">
      <c r="A19470" s="12"/>
    </row>
    <row r="19471" spans="1:1" x14ac:dyDescent="0.3">
      <c r="A19471" s="12"/>
    </row>
    <row r="19472" spans="1:1" x14ac:dyDescent="0.3">
      <c r="A19472" s="12"/>
    </row>
    <row r="19473" spans="1:1" x14ac:dyDescent="0.3">
      <c r="A19473" s="12"/>
    </row>
    <row r="19474" spans="1:1" x14ac:dyDescent="0.3">
      <c r="A19474" s="12"/>
    </row>
    <row r="19475" spans="1:1" x14ac:dyDescent="0.3">
      <c r="A19475" s="12"/>
    </row>
    <row r="19476" spans="1:1" x14ac:dyDescent="0.3">
      <c r="A19476" s="12"/>
    </row>
    <row r="19477" spans="1:1" x14ac:dyDescent="0.3">
      <c r="A19477" s="12"/>
    </row>
    <row r="19478" spans="1:1" x14ac:dyDescent="0.3">
      <c r="A19478" s="12"/>
    </row>
    <row r="19479" spans="1:1" x14ac:dyDescent="0.3">
      <c r="A19479" s="12"/>
    </row>
    <row r="19480" spans="1:1" x14ac:dyDescent="0.3">
      <c r="A19480" s="12"/>
    </row>
    <row r="19481" spans="1:1" x14ac:dyDescent="0.3">
      <c r="A19481" s="12"/>
    </row>
    <row r="19482" spans="1:1" x14ac:dyDescent="0.3">
      <c r="A19482" s="12"/>
    </row>
    <row r="19483" spans="1:1" x14ac:dyDescent="0.3">
      <c r="A19483" s="12"/>
    </row>
    <row r="19484" spans="1:1" x14ac:dyDescent="0.3">
      <c r="A19484" s="12"/>
    </row>
    <row r="19485" spans="1:1" x14ac:dyDescent="0.3">
      <c r="A19485" s="12"/>
    </row>
    <row r="19486" spans="1:1" x14ac:dyDescent="0.3">
      <c r="A19486" s="12"/>
    </row>
    <row r="19487" spans="1:1" x14ac:dyDescent="0.3">
      <c r="A19487" s="12"/>
    </row>
    <row r="19488" spans="1:1" x14ac:dyDescent="0.3">
      <c r="A19488" s="12"/>
    </row>
    <row r="19489" spans="1:1" x14ac:dyDescent="0.3">
      <c r="A19489" s="12"/>
    </row>
    <row r="19490" spans="1:1" x14ac:dyDescent="0.3">
      <c r="A19490" s="12"/>
    </row>
    <row r="19491" spans="1:1" x14ac:dyDescent="0.3">
      <c r="A19491" s="12"/>
    </row>
    <row r="19492" spans="1:1" x14ac:dyDescent="0.3">
      <c r="A19492" s="12"/>
    </row>
    <row r="19493" spans="1:1" x14ac:dyDescent="0.3">
      <c r="A19493" s="12"/>
    </row>
    <row r="19494" spans="1:1" x14ac:dyDescent="0.3">
      <c r="A19494" s="12"/>
    </row>
    <row r="19495" spans="1:1" x14ac:dyDescent="0.3">
      <c r="A19495" s="12"/>
    </row>
    <row r="19496" spans="1:1" x14ac:dyDescent="0.3">
      <c r="A19496" s="12"/>
    </row>
    <row r="19497" spans="1:1" x14ac:dyDescent="0.3">
      <c r="A19497" s="12"/>
    </row>
    <row r="19498" spans="1:1" x14ac:dyDescent="0.3">
      <c r="A19498" s="12"/>
    </row>
    <row r="19499" spans="1:1" x14ac:dyDescent="0.3">
      <c r="A19499" s="12"/>
    </row>
    <row r="19500" spans="1:1" x14ac:dyDescent="0.3">
      <c r="A19500" s="12"/>
    </row>
    <row r="19501" spans="1:1" x14ac:dyDescent="0.3">
      <c r="A19501" s="12"/>
    </row>
    <row r="19502" spans="1:1" x14ac:dyDescent="0.3">
      <c r="A19502" s="12"/>
    </row>
    <row r="19503" spans="1:1" x14ac:dyDescent="0.3">
      <c r="A19503" s="12"/>
    </row>
    <row r="19504" spans="1:1" x14ac:dyDescent="0.3">
      <c r="A19504" s="12"/>
    </row>
    <row r="19505" spans="1:1" x14ac:dyDescent="0.3">
      <c r="A19505" s="12"/>
    </row>
    <row r="19506" spans="1:1" x14ac:dyDescent="0.3">
      <c r="A19506" s="12"/>
    </row>
    <row r="19507" spans="1:1" x14ac:dyDescent="0.3">
      <c r="A19507" s="12"/>
    </row>
    <row r="19508" spans="1:1" x14ac:dyDescent="0.3">
      <c r="A19508" s="12"/>
    </row>
    <row r="19509" spans="1:1" x14ac:dyDescent="0.3">
      <c r="A19509" s="12"/>
    </row>
    <row r="19510" spans="1:1" x14ac:dyDescent="0.3">
      <c r="A19510" s="12"/>
    </row>
    <row r="19511" spans="1:1" x14ac:dyDescent="0.3">
      <c r="A19511" s="12"/>
    </row>
    <row r="19512" spans="1:1" x14ac:dyDescent="0.3">
      <c r="A19512" s="12"/>
    </row>
    <row r="19513" spans="1:1" x14ac:dyDescent="0.3">
      <c r="A19513" s="12"/>
    </row>
    <row r="19514" spans="1:1" x14ac:dyDescent="0.3">
      <c r="A19514" s="12"/>
    </row>
    <row r="19515" spans="1:1" x14ac:dyDescent="0.3">
      <c r="A19515" s="12"/>
    </row>
    <row r="19516" spans="1:1" x14ac:dyDescent="0.3">
      <c r="A19516" s="12"/>
    </row>
    <row r="19517" spans="1:1" x14ac:dyDescent="0.3">
      <c r="A19517" s="12"/>
    </row>
    <row r="19518" spans="1:1" x14ac:dyDescent="0.3">
      <c r="A19518" s="12"/>
    </row>
    <row r="19519" spans="1:1" x14ac:dyDescent="0.3">
      <c r="A19519" s="12"/>
    </row>
    <row r="19520" spans="1:1" x14ac:dyDescent="0.3">
      <c r="A19520" s="12"/>
    </row>
    <row r="19521" spans="1:1" x14ac:dyDescent="0.3">
      <c r="A19521" s="12"/>
    </row>
    <row r="19522" spans="1:1" x14ac:dyDescent="0.3">
      <c r="A19522" s="12"/>
    </row>
    <row r="19523" spans="1:1" x14ac:dyDescent="0.3">
      <c r="A19523" s="12"/>
    </row>
    <row r="19524" spans="1:1" x14ac:dyDescent="0.3">
      <c r="A19524" s="12"/>
    </row>
    <row r="19525" spans="1:1" x14ac:dyDescent="0.3">
      <c r="A19525" s="12"/>
    </row>
    <row r="19526" spans="1:1" x14ac:dyDescent="0.3">
      <c r="A19526" s="12"/>
    </row>
    <row r="19527" spans="1:1" x14ac:dyDescent="0.3">
      <c r="A19527" s="12"/>
    </row>
    <row r="19528" spans="1:1" x14ac:dyDescent="0.3">
      <c r="A19528" s="12"/>
    </row>
    <row r="19529" spans="1:1" x14ac:dyDescent="0.3">
      <c r="A19529" s="12"/>
    </row>
    <row r="19530" spans="1:1" x14ac:dyDescent="0.3">
      <c r="A19530" s="12"/>
    </row>
    <row r="19531" spans="1:1" x14ac:dyDescent="0.3">
      <c r="A19531" s="12"/>
    </row>
    <row r="19532" spans="1:1" x14ac:dyDescent="0.3">
      <c r="A19532" s="12"/>
    </row>
    <row r="19533" spans="1:1" x14ac:dyDescent="0.3">
      <c r="A19533" s="12"/>
    </row>
    <row r="19534" spans="1:1" x14ac:dyDescent="0.3">
      <c r="A19534" s="12"/>
    </row>
    <row r="19535" spans="1:1" x14ac:dyDescent="0.3">
      <c r="A19535" s="12"/>
    </row>
    <row r="19536" spans="1:1" x14ac:dyDescent="0.3">
      <c r="A19536" s="12"/>
    </row>
    <row r="19537" spans="1:1" x14ac:dyDescent="0.3">
      <c r="A19537" s="12"/>
    </row>
    <row r="19538" spans="1:1" x14ac:dyDescent="0.3">
      <c r="A19538" s="12"/>
    </row>
    <row r="19539" spans="1:1" x14ac:dyDescent="0.3">
      <c r="A19539" s="12"/>
    </row>
    <row r="19540" spans="1:1" x14ac:dyDescent="0.3">
      <c r="A19540" s="12"/>
    </row>
    <row r="19541" spans="1:1" x14ac:dyDescent="0.3">
      <c r="A19541" s="12"/>
    </row>
    <row r="19542" spans="1:1" x14ac:dyDescent="0.3">
      <c r="A19542" s="12"/>
    </row>
    <row r="19543" spans="1:1" x14ac:dyDescent="0.3">
      <c r="A19543" s="12"/>
    </row>
    <row r="19544" spans="1:1" x14ac:dyDescent="0.3">
      <c r="A19544" s="12"/>
    </row>
    <row r="19545" spans="1:1" x14ac:dyDescent="0.3">
      <c r="A19545" s="12"/>
    </row>
    <row r="19546" spans="1:1" x14ac:dyDescent="0.3">
      <c r="A19546" s="12"/>
    </row>
    <row r="19547" spans="1:1" x14ac:dyDescent="0.3">
      <c r="A19547" s="12"/>
    </row>
    <row r="19548" spans="1:1" x14ac:dyDescent="0.3">
      <c r="A19548" s="12"/>
    </row>
    <row r="19549" spans="1:1" x14ac:dyDescent="0.3">
      <c r="A19549" s="12"/>
    </row>
    <row r="19550" spans="1:1" x14ac:dyDescent="0.3">
      <c r="A19550" s="12"/>
    </row>
    <row r="19551" spans="1:1" x14ac:dyDescent="0.3">
      <c r="A19551" s="12"/>
    </row>
    <row r="19552" spans="1:1" x14ac:dyDescent="0.3">
      <c r="A19552" s="12"/>
    </row>
    <row r="19553" spans="1:1" x14ac:dyDescent="0.3">
      <c r="A19553" s="12"/>
    </row>
    <row r="19554" spans="1:1" x14ac:dyDescent="0.3">
      <c r="A19554" s="12"/>
    </row>
    <row r="19555" spans="1:1" x14ac:dyDescent="0.3">
      <c r="A19555" s="12"/>
    </row>
    <row r="19556" spans="1:1" x14ac:dyDescent="0.3">
      <c r="A19556" s="12"/>
    </row>
    <row r="19557" spans="1:1" x14ac:dyDescent="0.3">
      <c r="A19557" s="12"/>
    </row>
    <row r="19558" spans="1:1" x14ac:dyDescent="0.3">
      <c r="A19558" s="12"/>
    </row>
    <row r="19559" spans="1:1" x14ac:dyDescent="0.3">
      <c r="A19559" s="12"/>
    </row>
    <row r="19560" spans="1:1" x14ac:dyDescent="0.3">
      <c r="A19560" s="12"/>
    </row>
    <row r="19561" spans="1:1" x14ac:dyDescent="0.3">
      <c r="A19561" s="12"/>
    </row>
    <row r="19562" spans="1:1" x14ac:dyDescent="0.3">
      <c r="A19562" s="12"/>
    </row>
    <row r="19563" spans="1:1" x14ac:dyDescent="0.3">
      <c r="A19563" s="12"/>
    </row>
    <row r="19564" spans="1:1" x14ac:dyDescent="0.3">
      <c r="A19564" s="12"/>
    </row>
    <row r="19565" spans="1:1" x14ac:dyDescent="0.3">
      <c r="A19565" s="12"/>
    </row>
    <row r="19566" spans="1:1" x14ac:dyDescent="0.3">
      <c r="A19566" s="12"/>
    </row>
    <row r="19567" spans="1:1" x14ac:dyDescent="0.3">
      <c r="A19567" s="12"/>
    </row>
    <row r="19568" spans="1:1" x14ac:dyDescent="0.3">
      <c r="A19568" s="12"/>
    </row>
    <row r="19569" spans="1:1" x14ac:dyDescent="0.3">
      <c r="A19569" s="12"/>
    </row>
    <row r="19570" spans="1:1" x14ac:dyDescent="0.3">
      <c r="A19570" s="12"/>
    </row>
    <row r="19571" spans="1:1" x14ac:dyDescent="0.3">
      <c r="A19571" s="12"/>
    </row>
    <row r="19572" spans="1:1" x14ac:dyDescent="0.3">
      <c r="A19572" s="12"/>
    </row>
    <row r="19573" spans="1:1" x14ac:dyDescent="0.3">
      <c r="A19573" s="12"/>
    </row>
    <row r="19574" spans="1:1" x14ac:dyDescent="0.3">
      <c r="A19574" s="12"/>
    </row>
    <row r="19575" spans="1:1" x14ac:dyDescent="0.3">
      <c r="A19575" s="12"/>
    </row>
    <row r="19576" spans="1:1" x14ac:dyDescent="0.3">
      <c r="A19576" s="12"/>
    </row>
    <row r="19577" spans="1:1" x14ac:dyDescent="0.3">
      <c r="A19577" s="12"/>
    </row>
    <row r="19578" spans="1:1" x14ac:dyDescent="0.3">
      <c r="A19578" s="12"/>
    </row>
    <row r="19579" spans="1:1" x14ac:dyDescent="0.3">
      <c r="A19579" s="12"/>
    </row>
    <row r="19580" spans="1:1" x14ac:dyDescent="0.3">
      <c r="A19580" s="12"/>
    </row>
    <row r="19581" spans="1:1" x14ac:dyDescent="0.3">
      <c r="A19581" s="12"/>
    </row>
    <row r="19582" spans="1:1" x14ac:dyDescent="0.3">
      <c r="A19582" s="12"/>
    </row>
    <row r="19583" spans="1:1" x14ac:dyDescent="0.3">
      <c r="A19583" s="12"/>
    </row>
    <row r="19584" spans="1:1" x14ac:dyDescent="0.3">
      <c r="A19584" s="12"/>
    </row>
    <row r="19585" spans="1:1" x14ac:dyDescent="0.3">
      <c r="A19585" s="12"/>
    </row>
    <row r="19586" spans="1:1" x14ac:dyDescent="0.3">
      <c r="A19586" s="12"/>
    </row>
    <row r="19587" spans="1:1" x14ac:dyDescent="0.3">
      <c r="A19587" s="12"/>
    </row>
    <row r="19588" spans="1:1" x14ac:dyDescent="0.3">
      <c r="A19588" s="12"/>
    </row>
    <row r="19589" spans="1:1" x14ac:dyDescent="0.3">
      <c r="A19589" s="12"/>
    </row>
    <row r="19590" spans="1:1" x14ac:dyDescent="0.3">
      <c r="A19590" s="12"/>
    </row>
    <row r="19591" spans="1:1" x14ac:dyDescent="0.3">
      <c r="A19591" s="12"/>
    </row>
    <row r="19592" spans="1:1" x14ac:dyDescent="0.3">
      <c r="A19592" s="12"/>
    </row>
    <row r="19593" spans="1:1" x14ac:dyDescent="0.3">
      <c r="A19593" s="12"/>
    </row>
    <row r="19594" spans="1:1" x14ac:dyDescent="0.3">
      <c r="A19594" s="12"/>
    </row>
    <row r="19595" spans="1:1" x14ac:dyDescent="0.3">
      <c r="A19595" s="12"/>
    </row>
    <row r="19596" spans="1:1" x14ac:dyDescent="0.3">
      <c r="A19596" s="12"/>
    </row>
    <row r="19597" spans="1:1" x14ac:dyDescent="0.3">
      <c r="A19597" s="12"/>
    </row>
    <row r="19598" spans="1:1" x14ac:dyDescent="0.3">
      <c r="A19598" s="12"/>
    </row>
    <row r="19599" spans="1:1" x14ac:dyDescent="0.3">
      <c r="A19599" s="12"/>
    </row>
    <row r="19600" spans="1:1" x14ac:dyDescent="0.3">
      <c r="A19600" s="12"/>
    </row>
    <row r="19601" spans="1:1" x14ac:dyDescent="0.3">
      <c r="A19601" s="12"/>
    </row>
    <row r="19602" spans="1:1" x14ac:dyDescent="0.3">
      <c r="A19602" s="12"/>
    </row>
    <row r="19603" spans="1:1" x14ac:dyDescent="0.3">
      <c r="A19603" s="12"/>
    </row>
    <row r="19604" spans="1:1" x14ac:dyDescent="0.3">
      <c r="A19604" s="12"/>
    </row>
    <row r="19605" spans="1:1" x14ac:dyDescent="0.3">
      <c r="A19605" s="12"/>
    </row>
    <row r="19606" spans="1:1" x14ac:dyDescent="0.3">
      <c r="A19606" s="12"/>
    </row>
    <row r="19607" spans="1:1" x14ac:dyDescent="0.3">
      <c r="A19607" s="12"/>
    </row>
    <row r="19608" spans="1:1" x14ac:dyDescent="0.3">
      <c r="A19608" s="12"/>
    </row>
    <row r="19609" spans="1:1" x14ac:dyDescent="0.3">
      <c r="A19609" s="12"/>
    </row>
    <row r="19610" spans="1:1" x14ac:dyDescent="0.3">
      <c r="A19610" s="12"/>
    </row>
    <row r="19611" spans="1:1" x14ac:dyDescent="0.3">
      <c r="A19611" s="12"/>
    </row>
    <row r="19612" spans="1:1" x14ac:dyDescent="0.3">
      <c r="A19612" s="12"/>
    </row>
    <row r="19613" spans="1:1" x14ac:dyDescent="0.3">
      <c r="A19613" s="12"/>
    </row>
    <row r="19614" spans="1:1" x14ac:dyDescent="0.3">
      <c r="A19614" s="12"/>
    </row>
    <row r="19615" spans="1:1" x14ac:dyDescent="0.3">
      <c r="A19615" s="12"/>
    </row>
    <row r="19616" spans="1:1" x14ac:dyDescent="0.3">
      <c r="A19616" s="12"/>
    </row>
    <row r="19617" spans="1:1" x14ac:dyDescent="0.3">
      <c r="A19617" s="12"/>
    </row>
    <row r="19618" spans="1:1" x14ac:dyDescent="0.3">
      <c r="A19618" s="12"/>
    </row>
    <row r="19619" spans="1:1" x14ac:dyDescent="0.3">
      <c r="A19619" s="12"/>
    </row>
    <row r="19620" spans="1:1" x14ac:dyDescent="0.3">
      <c r="A19620" s="12"/>
    </row>
    <row r="19621" spans="1:1" x14ac:dyDescent="0.3">
      <c r="A19621" s="12"/>
    </row>
    <row r="19622" spans="1:1" x14ac:dyDescent="0.3">
      <c r="A19622" s="12"/>
    </row>
    <row r="19623" spans="1:1" x14ac:dyDescent="0.3">
      <c r="A19623" s="12"/>
    </row>
    <row r="19624" spans="1:1" x14ac:dyDescent="0.3">
      <c r="A19624" s="12"/>
    </row>
    <row r="19625" spans="1:1" x14ac:dyDescent="0.3">
      <c r="A19625" s="12"/>
    </row>
    <row r="19626" spans="1:1" x14ac:dyDescent="0.3">
      <c r="A19626" s="12"/>
    </row>
    <row r="19627" spans="1:1" x14ac:dyDescent="0.3">
      <c r="A19627" s="12"/>
    </row>
    <row r="19628" spans="1:1" x14ac:dyDescent="0.3">
      <c r="A19628" s="12"/>
    </row>
    <row r="19629" spans="1:1" x14ac:dyDescent="0.3">
      <c r="A19629" s="12"/>
    </row>
    <row r="19630" spans="1:1" x14ac:dyDescent="0.3">
      <c r="A19630" s="12"/>
    </row>
    <row r="19631" spans="1:1" x14ac:dyDescent="0.3">
      <c r="A19631" s="12"/>
    </row>
    <row r="19632" spans="1:1" x14ac:dyDescent="0.3">
      <c r="A19632" s="12"/>
    </row>
    <row r="19633" spans="1:1" x14ac:dyDescent="0.3">
      <c r="A19633" s="12"/>
    </row>
    <row r="19634" spans="1:1" x14ac:dyDescent="0.3">
      <c r="A19634" s="12"/>
    </row>
    <row r="19635" spans="1:1" x14ac:dyDescent="0.3">
      <c r="A19635" s="12"/>
    </row>
    <row r="19636" spans="1:1" x14ac:dyDescent="0.3">
      <c r="A19636" s="12"/>
    </row>
    <row r="19637" spans="1:1" x14ac:dyDescent="0.3">
      <c r="A19637" s="12"/>
    </row>
    <row r="19638" spans="1:1" x14ac:dyDescent="0.3">
      <c r="A19638" s="12"/>
    </row>
    <row r="19639" spans="1:1" x14ac:dyDescent="0.3">
      <c r="A19639" s="12"/>
    </row>
    <row r="19640" spans="1:1" x14ac:dyDescent="0.3">
      <c r="A19640" s="12"/>
    </row>
    <row r="19641" spans="1:1" x14ac:dyDescent="0.3">
      <c r="A19641" s="12"/>
    </row>
    <row r="19642" spans="1:1" x14ac:dyDescent="0.3">
      <c r="A19642" s="12"/>
    </row>
    <row r="19643" spans="1:1" x14ac:dyDescent="0.3">
      <c r="A19643" s="12"/>
    </row>
    <row r="19644" spans="1:1" x14ac:dyDescent="0.3">
      <c r="A19644" s="12"/>
    </row>
    <row r="19645" spans="1:1" x14ac:dyDescent="0.3">
      <c r="A19645" s="12"/>
    </row>
    <row r="19646" spans="1:1" x14ac:dyDescent="0.3">
      <c r="A19646" s="12"/>
    </row>
    <row r="19647" spans="1:1" x14ac:dyDescent="0.3">
      <c r="A19647" s="12"/>
    </row>
    <row r="19648" spans="1:1" x14ac:dyDescent="0.3">
      <c r="A19648" s="12"/>
    </row>
    <row r="19649" spans="1:1" x14ac:dyDescent="0.3">
      <c r="A19649" s="12"/>
    </row>
    <row r="19650" spans="1:1" x14ac:dyDescent="0.3">
      <c r="A19650" s="12"/>
    </row>
    <row r="19651" spans="1:1" x14ac:dyDescent="0.3">
      <c r="A19651" s="12"/>
    </row>
    <row r="19652" spans="1:1" x14ac:dyDescent="0.3">
      <c r="A19652" s="12"/>
    </row>
    <row r="19653" spans="1:1" x14ac:dyDescent="0.3">
      <c r="A19653" s="12"/>
    </row>
    <row r="19654" spans="1:1" x14ac:dyDescent="0.3">
      <c r="A19654" s="12"/>
    </row>
    <row r="19655" spans="1:1" x14ac:dyDescent="0.3">
      <c r="A19655" s="12"/>
    </row>
    <row r="19656" spans="1:1" x14ac:dyDescent="0.3">
      <c r="A19656" s="12"/>
    </row>
    <row r="19657" spans="1:1" x14ac:dyDescent="0.3">
      <c r="A19657" s="12"/>
    </row>
    <row r="19658" spans="1:1" x14ac:dyDescent="0.3">
      <c r="A19658" s="12"/>
    </row>
    <row r="19659" spans="1:1" x14ac:dyDescent="0.3">
      <c r="A19659" s="12"/>
    </row>
    <row r="19660" spans="1:1" x14ac:dyDescent="0.3">
      <c r="A19660" s="12"/>
    </row>
    <row r="19661" spans="1:1" x14ac:dyDescent="0.3">
      <c r="A19661" s="12"/>
    </row>
    <row r="19662" spans="1:1" x14ac:dyDescent="0.3">
      <c r="A19662" s="12"/>
    </row>
    <row r="19663" spans="1:1" x14ac:dyDescent="0.3">
      <c r="A19663" s="12"/>
    </row>
    <row r="19664" spans="1:1" x14ac:dyDescent="0.3">
      <c r="A19664" s="12"/>
    </row>
    <row r="19665" spans="1:1" x14ac:dyDescent="0.3">
      <c r="A19665" s="12"/>
    </row>
    <row r="19666" spans="1:1" x14ac:dyDescent="0.3">
      <c r="A19666" s="12"/>
    </row>
    <row r="19667" spans="1:1" x14ac:dyDescent="0.3">
      <c r="A19667" s="12"/>
    </row>
    <row r="19668" spans="1:1" x14ac:dyDescent="0.3">
      <c r="A19668" s="12"/>
    </row>
    <row r="19669" spans="1:1" x14ac:dyDescent="0.3">
      <c r="A19669" s="12"/>
    </row>
    <row r="19670" spans="1:1" x14ac:dyDescent="0.3">
      <c r="A19670" s="12"/>
    </row>
    <row r="19671" spans="1:1" x14ac:dyDescent="0.3">
      <c r="A19671" s="12"/>
    </row>
    <row r="19672" spans="1:1" x14ac:dyDescent="0.3">
      <c r="A19672" s="12"/>
    </row>
    <row r="19673" spans="1:1" x14ac:dyDescent="0.3">
      <c r="A19673" s="12"/>
    </row>
    <row r="19674" spans="1:1" x14ac:dyDescent="0.3">
      <c r="A19674" s="12"/>
    </row>
    <row r="19675" spans="1:1" x14ac:dyDescent="0.3">
      <c r="A19675" s="12"/>
    </row>
    <row r="19676" spans="1:1" x14ac:dyDescent="0.3">
      <c r="A19676" s="12"/>
    </row>
    <row r="19677" spans="1:1" x14ac:dyDescent="0.3">
      <c r="A19677" s="12"/>
    </row>
    <row r="19678" spans="1:1" x14ac:dyDescent="0.3">
      <c r="A19678" s="12"/>
    </row>
    <row r="19679" spans="1:1" x14ac:dyDescent="0.3">
      <c r="A19679" s="12"/>
    </row>
    <row r="19680" spans="1:1" x14ac:dyDescent="0.3">
      <c r="A19680" s="12"/>
    </row>
    <row r="19681" spans="1:1" x14ac:dyDescent="0.3">
      <c r="A19681" s="12"/>
    </row>
    <row r="19682" spans="1:1" x14ac:dyDescent="0.3">
      <c r="A19682" s="12"/>
    </row>
    <row r="19683" spans="1:1" x14ac:dyDescent="0.3">
      <c r="A19683" s="12"/>
    </row>
    <row r="19684" spans="1:1" x14ac:dyDescent="0.3">
      <c r="A19684" s="12"/>
    </row>
    <row r="19685" spans="1:1" x14ac:dyDescent="0.3">
      <c r="A19685" s="12"/>
    </row>
    <row r="19686" spans="1:1" x14ac:dyDescent="0.3">
      <c r="A19686" s="12"/>
    </row>
    <row r="19687" spans="1:1" x14ac:dyDescent="0.3">
      <c r="A19687" s="12"/>
    </row>
    <row r="19688" spans="1:1" x14ac:dyDescent="0.3">
      <c r="A19688" s="12"/>
    </row>
    <row r="19689" spans="1:1" x14ac:dyDescent="0.3">
      <c r="A19689" s="12"/>
    </row>
    <row r="19690" spans="1:1" x14ac:dyDescent="0.3">
      <c r="A19690" s="12"/>
    </row>
    <row r="19691" spans="1:1" x14ac:dyDescent="0.3">
      <c r="A19691" s="12"/>
    </row>
    <row r="19692" spans="1:1" x14ac:dyDescent="0.3">
      <c r="A19692" s="12"/>
    </row>
    <row r="19693" spans="1:1" x14ac:dyDescent="0.3">
      <c r="A19693" s="12"/>
    </row>
    <row r="19694" spans="1:1" x14ac:dyDescent="0.3">
      <c r="A19694" s="12"/>
    </row>
    <row r="19695" spans="1:1" x14ac:dyDescent="0.3">
      <c r="A19695" s="12"/>
    </row>
    <row r="19696" spans="1:1" x14ac:dyDescent="0.3">
      <c r="A19696" s="12"/>
    </row>
    <row r="19697" spans="1:1" x14ac:dyDescent="0.3">
      <c r="A19697" s="12"/>
    </row>
    <row r="19698" spans="1:1" x14ac:dyDescent="0.3">
      <c r="A19698" s="12"/>
    </row>
    <row r="19699" spans="1:1" x14ac:dyDescent="0.3">
      <c r="A19699" s="12"/>
    </row>
    <row r="19700" spans="1:1" x14ac:dyDescent="0.3">
      <c r="A19700" s="12"/>
    </row>
    <row r="19701" spans="1:1" x14ac:dyDescent="0.3">
      <c r="A19701" s="12"/>
    </row>
    <row r="19702" spans="1:1" x14ac:dyDescent="0.3">
      <c r="A19702" s="12"/>
    </row>
    <row r="19703" spans="1:1" x14ac:dyDescent="0.3">
      <c r="A19703" s="12"/>
    </row>
    <row r="19704" spans="1:1" x14ac:dyDescent="0.3">
      <c r="A19704" s="12"/>
    </row>
    <row r="19705" spans="1:1" x14ac:dyDescent="0.3">
      <c r="A19705" s="12"/>
    </row>
    <row r="19706" spans="1:1" x14ac:dyDescent="0.3">
      <c r="A19706" s="12"/>
    </row>
    <row r="19707" spans="1:1" x14ac:dyDescent="0.3">
      <c r="A19707" s="12"/>
    </row>
    <row r="19708" spans="1:1" x14ac:dyDescent="0.3">
      <c r="A19708" s="12"/>
    </row>
    <row r="19709" spans="1:1" x14ac:dyDescent="0.3">
      <c r="A19709" s="12"/>
    </row>
    <row r="19710" spans="1:1" x14ac:dyDescent="0.3">
      <c r="A19710" s="12"/>
    </row>
    <row r="19711" spans="1:1" x14ac:dyDescent="0.3">
      <c r="A19711" s="12"/>
    </row>
    <row r="19712" spans="1:1" x14ac:dyDescent="0.3">
      <c r="A19712" s="12"/>
    </row>
    <row r="19713" spans="1:1" x14ac:dyDescent="0.3">
      <c r="A19713" s="12"/>
    </row>
    <row r="19714" spans="1:1" x14ac:dyDescent="0.3">
      <c r="A19714" s="12"/>
    </row>
    <row r="19715" spans="1:1" x14ac:dyDescent="0.3">
      <c r="A19715" s="12"/>
    </row>
    <row r="19716" spans="1:1" x14ac:dyDescent="0.3">
      <c r="A19716" s="12"/>
    </row>
    <row r="19717" spans="1:1" x14ac:dyDescent="0.3">
      <c r="A19717" s="12"/>
    </row>
    <row r="19718" spans="1:1" x14ac:dyDescent="0.3">
      <c r="A19718" s="12"/>
    </row>
    <row r="19719" spans="1:1" x14ac:dyDescent="0.3">
      <c r="A19719" s="12"/>
    </row>
    <row r="19720" spans="1:1" x14ac:dyDescent="0.3">
      <c r="A19720" s="12"/>
    </row>
    <row r="19721" spans="1:1" x14ac:dyDescent="0.3">
      <c r="A19721" s="12"/>
    </row>
    <row r="19722" spans="1:1" x14ac:dyDescent="0.3">
      <c r="A19722" s="12"/>
    </row>
    <row r="19723" spans="1:1" x14ac:dyDescent="0.3">
      <c r="A19723" s="12"/>
    </row>
    <row r="19724" spans="1:1" x14ac:dyDescent="0.3">
      <c r="A19724" s="12"/>
    </row>
    <row r="19725" spans="1:1" x14ac:dyDescent="0.3">
      <c r="A19725" s="12"/>
    </row>
    <row r="19726" spans="1:1" x14ac:dyDescent="0.3">
      <c r="A19726" s="12"/>
    </row>
    <row r="19727" spans="1:1" x14ac:dyDescent="0.3">
      <c r="A19727" s="12"/>
    </row>
    <row r="19728" spans="1:1" x14ac:dyDescent="0.3">
      <c r="A19728" s="12"/>
    </row>
    <row r="19729" spans="1:1" x14ac:dyDescent="0.3">
      <c r="A19729" s="12"/>
    </row>
    <row r="19730" spans="1:1" x14ac:dyDescent="0.3">
      <c r="A19730" s="12"/>
    </row>
    <row r="19731" spans="1:1" x14ac:dyDescent="0.3">
      <c r="A19731" s="12"/>
    </row>
    <row r="19732" spans="1:1" x14ac:dyDescent="0.3">
      <c r="A19732" s="12"/>
    </row>
    <row r="19733" spans="1:1" x14ac:dyDescent="0.3">
      <c r="A19733" s="12"/>
    </row>
    <row r="19734" spans="1:1" x14ac:dyDescent="0.3">
      <c r="A19734" s="12"/>
    </row>
    <row r="19735" spans="1:1" x14ac:dyDescent="0.3">
      <c r="A19735" s="12"/>
    </row>
    <row r="19736" spans="1:1" x14ac:dyDescent="0.3">
      <c r="A19736" s="12"/>
    </row>
    <row r="19737" spans="1:1" x14ac:dyDescent="0.3">
      <c r="A19737" s="12"/>
    </row>
    <row r="19738" spans="1:1" x14ac:dyDescent="0.3">
      <c r="A19738" s="12"/>
    </row>
    <row r="19739" spans="1:1" x14ac:dyDescent="0.3">
      <c r="A19739" s="12"/>
    </row>
    <row r="19740" spans="1:1" x14ac:dyDescent="0.3">
      <c r="A19740" s="12"/>
    </row>
    <row r="19741" spans="1:1" x14ac:dyDescent="0.3">
      <c r="A19741" s="12"/>
    </row>
    <row r="19742" spans="1:1" x14ac:dyDescent="0.3">
      <c r="A19742" s="12"/>
    </row>
    <row r="19743" spans="1:1" x14ac:dyDescent="0.3">
      <c r="A19743" s="12"/>
    </row>
    <row r="19744" spans="1:1" x14ac:dyDescent="0.3">
      <c r="A19744" s="12"/>
    </row>
    <row r="19745" spans="1:1" x14ac:dyDescent="0.3">
      <c r="A19745" s="12"/>
    </row>
    <row r="19746" spans="1:1" x14ac:dyDescent="0.3">
      <c r="A19746" s="12"/>
    </row>
    <row r="19747" spans="1:1" x14ac:dyDescent="0.3">
      <c r="A19747" s="12"/>
    </row>
    <row r="19748" spans="1:1" x14ac:dyDescent="0.3">
      <c r="A19748" s="12"/>
    </row>
    <row r="19749" spans="1:1" x14ac:dyDescent="0.3">
      <c r="A19749" s="12"/>
    </row>
    <row r="19750" spans="1:1" x14ac:dyDescent="0.3">
      <c r="A19750" s="12"/>
    </row>
    <row r="19751" spans="1:1" x14ac:dyDescent="0.3">
      <c r="A19751" s="12"/>
    </row>
    <row r="19752" spans="1:1" x14ac:dyDescent="0.3">
      <c r="A19752" s="12"/>
    </row>
    <row r="19753" spans="1:1" x14ac:dyDescent="0.3">
      <c r="A19753" s="12"/>
    </row>
    <row r="19754" spans="1:1" x14ac:dyDescent="0.3">
      <c r="A19754" s="12"/>
    </row>
    <row r="19755" spans="1:1" x14ac:dyDescent="0.3">
      <c r="A19755" s="12"/>
    </row>
    <row r="19756" spans="1:1" x14ac:dyDescent="0.3">
      <c r="A19756" s="12"/>
    </row>
    <row r="19757" spans="1:1" x14ac:dyDescent="0.3">
      <c r="A19757" s="12"/>
    </row>
    <row r="19758" spans="1:1" x14ac:dyDescent="0.3">
      <c r="A19758" s="12"/>
    </row>
    <row r="19759" spans="1:1" x14ac:dyDescent="0.3">
      <c r="A19759" s="12"/>
    </row>
    <row r="19760" spans="1:1" x14ac:dyDescent="0.3">
      <c r="A19760" s="12"/>
    </row>
    <row r="19761" spans="1:1" x14ac:dyDescent="0.3">
      <c r="A19761" s="12"/>
    </row>
    <row r="19762" spans="1:1" x14ac:dyDescent="0.3">
      <c r="A19762" s="12"/>
    </row>
    <row r="19763" spans="1:1" x14ac:dyDescent="0.3">
      <c r="A19763" s="12"/>
    </row>
    <row r="19764" spans="1:1" x14ac:dyDescent="0.3">
      <c r="A19764" s="12"/>
    </row>
    <row r="19765" spans="1:1" x14ac:dyDescent="0.3">
      <c r="A19765" s="12"/>
    </row>
    <row r="19766" spans="1:1" x14ac:dyDescent="0.3">
      <c r="A19766" s="12"/>
    </row>
    <row r="19767" spans="1:1" x14ac:dyDescent="0.3">
      <c r="A19767" s="12"/>
    </row>
    <row r="19768" spans="1:1" x14ac:dyDescent="0.3">
      <c r="A19768" s="12"/>
    </row>
    <row r="19769" spans="1:1" x14ac:dyDescent="0.3">
      <c r="A19769" s="12"/>
    </row>
    <row r="19770" spans="1:1" x14ac:dyDescent="0.3">
      <c r="A19770" s="12"/>
    </row>
    <row r="19771" spans="1:1" x14ac:dyDescent="0.3">
      <c r="A19771" s="12"/>
    </row>
    <row r="19772" spans="1:1" x14ac:dyDescent="0.3">
      <c r="A19772" s="12"/>
    </row>
    <row r="19773" spans="1:1" x14ac:dyDescent="0.3">
      <c r="A19773" s="12"/>
    </row>
    <row r="19774" spans="1:1" x14ac:dyDescent="0.3">
      <c r="A19774" s="12"/>
    </row>
    <row r="19775" spans="1:1" x14ac:dyDescent="0.3">
      <c r="A19775" s="12"/>
    </row>
    <row r="19776" spans="1:1" x14ac:dyDescent="0.3">
      <c r="A19776" s="12"/>
    </row>
    <row r="19777" spans="1:1" x14ac:dyDescent="0.3">
      <c r="A19777" s="12"/>
    </row>
    <row r="19778" spans="1:1" x14ac:dyDescent="0.3">
      <c r="A19778" s="12"/>
    </row>
    <row r="19779" spans="1:1" x14ac:dyDescent="0.3">
      <c r="A19779" s="12"/>
    </row>
    <row r="19780" spans="1:1" x14ac:dyDescent="0.3">
      <c r="A19780" s="12"/>
    </row>
    <row r="19781" spans="1:1" x14ac:dyDescent="0.3">
      <c r="A19781" s="12"/>
    </row>
    <row r="19782" spans="1:1" x14ac:dyDescent="0.3">
      <c r="A19782" s="12"/>
    </row>
    <row r="19783" spans="1:1" x14ac:dyDescent="0.3">
      <c r="A19783" s="12"/>
    </row>
    <row r="19784" spans="1:1" x14ac:dyDescent="0.3">
      <c r="A19784" s="12"/>
    </row>
    <row r="19785" spans="1:1" x14ac:dyDescent="0.3">
      <c r="A19785" s="12"/>
    </row>
    <row r="19786" spans="1:1" x14ac:dyDescent="0.3">
      <c r="A19786" s="12"/>
    </row>
    <row r="19787" spans="1:1" x14ac:dyDescent="0.3">
      <c r="A19787" s="12"/>
    </row>
    <row r="19788" spans="1:1" x14ac:dyDescent="0.3">
      <c r="A19788" s="12"/>
    </row>
    <row r="19789" spans="1:1" x14ac:dyDescent="0.3">
      <c r="A19789" s="12"/>
    </row>
    <row r="19790" spans="1:1" x14ac:dyDescent="0.3">
      <c r="A19790" s="12"/>
    </row>
    <row r="19791" spans="1:1" x14ac:dyDescent="0.3">
      <c r="A19791" s="12"/>
    </row>
    <row r="19792" spans="1:1" x14ac:dyDescent="0.3">
      <c r="A19792" s="12"/>
    </row>
    <row r="19793" spans="1:1" x14ac:dyDescent="0.3">
      <c r="A19793" s="12"/>
    </row>
    <row r="19794" spans="1:1" x14ac:dyDescent="0.3">
      <c r="A19794" s="12"/>
    </row>
    <row r="19795" spans="1:1" x14ac:dyDescent="0.3">
      <c r="A19795" s="12"/>
    </row>
    <row r="19796" spans="1:1" x14ac:dyDescent="0.3">
      <c r="A19796" s="12"/>
    </row>
    <row r="19797" spans="1:1" x14ac:dyDescent="0.3">
      <c r="A19797" s="12"/>
    </row>
    <row r="19798" spans="1:1" x14ac:dyDescent="0.3">
      <c r="A19798" s="12"/>
    </row>
    <row r="19799" spans="1:1" x14ac:dyDescent="0.3">
      <c r="A19799" s="12"/>
    </row>
    <row r="19800" spans="1:1" x14ac:dyDescent="0.3">
      <c r="A19800" s="12"/>
    </row>
    <row r="19801" spans="1:1" x14ac:dyDescent="0.3">
      <c r="A19801" s="12"/>
    </row>
    <row r="19802" spans="1:1" x14ac:dyDescent="0.3">
      <c r="A19802" s="12"/>
    </row>
    <row r="19803" spans="1:1" x14ac:dyDescent="0.3">
      <c r="A19803" s="12"/>
    </row>
    <row r="19804" spans="1:1" x14ac:dyDescent="0.3">
      <c r="A19804" s="12"/>
    </row>
    <row r="19805" spans="1:1" x14ac:dyDescent="0.3">
      <c r="A19805" s="12"/>
    </row>
    <row r="19806" spans="1:1" x14ac:dyDescent="0.3">
      <c r="A19806" s="12"/>
    </row>
    <row r="19807" spans="1:1" x14ac:dyDescent="0.3">
      <c r="A19807" s="12"/>
    </row>
    <row r="19808" spans="1:1" x14ac:dyDescent="0.3">
      <c r="A19808" s="12"/>
    </row>
    <row r="19809" spans="1:1" x14ac:dyDescent="0.3">
      <c r="A19809" s="12"/>
    </row>
    <row r="19810" spans="1:1" x14ac:dyDescent="0.3">
      <c r="A19810" s="12"/>
    </row>
    <row r="19811" spans="1:1" x14ac:dyDescent="0.3">
      <c r="A19811" s="12"/>
    </row>
    <row r="19812" spans="1:1" x14ac:dyDescent="0.3">
      <c r="A19812" s="12"/>
    </row>
    <row r="19813" spans="1:1" x14ac:dyDescent="0.3">
      <c r="A19813" s="12"/>
    </row>
    <row r="19814" spans="1:1" x14ac:dyDescent="0.3">
      <c r="A19814" s="12"/>
    </row>
    <row r="19815" spans="1:1" x14ac:dyDescent="0.3">
      <c r="A19815" s="12"/>
    </row>
    <row r="19816" spans="1:1" x14ac:dyDescent="0.3">
      <c r="A19816" s="12"/>
    </row>
    <row r="19817" spans="1:1" x14ac:dyDescent="0.3">
      <c r="A19817" s="12"/>
    </row>
    <row r="19818" spans="1:1" x14ac:dyDescent="0.3">
      <c r="A19818" s="12"/>
    </row>
    <row r="19819" spans="1:1" x14ac:dyDescent="0.3">
      <c r="A19819" s="12"/>
    </row>
    <row r="19820" spans="1:1" x14ac:dyDescent="0.3">
      <c r="A19820" s="12"/>
    </row>
    <row r="19821" spans="1:1" x14ac:dyDescent="0.3">
      <c r="A19821" s="12"/>
    </row>
    <row r="19822" spans="1:1" x14ac:dyDescent="0.3">
      <c r="A19822" s="12"/>
    </row>
    <row r="19823" spans="1:1" x14ac:dyDescent="0.3">
      <c r="A19823" s="12"/>
    </row>
    <row r="19824" spans="1:1" x14ac:dyDescent="0.3">
      <c r="A19824" s="12"/>
    </row>
    <row r="19825" spans="1:1" x14ac:dyDescent="0.3">
      <c r="A19825" s="12"/>
    </row>
    <row r="19826" spans="1:1" x14ac:dyDescent="0.3">
      <c r="A19826" s="12"/>
    </row>
    <row r="19827" spans="1:1" x14ac:dyDescent="0.3">
      <c r="A19827" s="12"/>
    </row>
    <row r="19828" spans="1:1" x14ac:dyDescent="0.3">
      <c r="A19828" s="12"/>
    </row>
    <row r="19829" spans="1:1" x14ac:dyDescent="0.3">
      <c r="A19829" s="12"/>
    </row>
    <row r="19830" spans="1:1" x14ac:dyDescent="0.3">
      <c r="A19830" s="12"/>
    </row>
    <row r="19831" spans="1:1" x14ac:dyDescent="0.3">
      <c r="A19831" s="12"/>
    </row>
    <row r="19832" spans="1:1" x14ac:dyDescent="0.3">
      <c r="A19832" s="12"/>
    </row>
    <row r="19833" spans="1:1" x14ac:dyDescent="0.3">
      <c r="A19833" s="12"/>
    </row>
    <row r="19834" spans="1:1" x14ac:dyDescent="0.3">
      <c r="A19834" s="12"/>
    </row>
    <row r="19835" spans="1:1" x14ac:dyDescent="0.3">
      <c r="A19835" s="12"/>
    </row>
    <row r="19836" spans="1:1" x14ac:dyDescent="0.3">
      <c r="A19836" s="12"/>
    </row>
    <row r="19837" spans="1:1" x14ac:dyDescent="0.3">
      <c r="A19837" s="12"/>
    </row>
    <row r="19838" spans="1:1" x14ac:dyDescent="0.3">
      <c r="A19838" s="12"/>
    </row>
    <row r="19839" spans="1:1" x14ac:dyDescent="0.3">
      <c r="A19839" s="12"/>
    </row>
    <row r="19840" spans="1:1" x14ac:dyDescent="0.3">
      <c r="A19840" s="12"/>
    </row>
    <row r="19841" spans="1:1" x14ac:dyDescent="0.3">
      <c r="A19841" s="12"/>
    </row>
    <row r="19842" spans="1:1" x14ac:dyDescent="0.3">
      <c r="A19842" s="12"/>
    </row>
    <row r="19843" spans="1:1" x14ac:dyDescent="0.3">
      <c r="A19843" s="12"/>
    </row>
    <row r="19844" spans="1:1" x14ac:dyDescent="0.3">
      <c r="A19844" s="12"/>
    </row>
    <row r="19845" spans="1:1" x14ac:dyDescent="0.3">
      <c r="A19845" s="12"/>
    </row>
    <row r="19846" spans="1:1" x14ac:dyDescent="0.3">
      <c r="A19846" s="12"/>
    </row>
    <row r="19847" spans="1:1" x14ac:dyDescent="0.3">
      <c r="A19847" s="12"/>
    </row>
    <row r="19848" spans="1:1" x14ac:dyDescent="0.3">
      <c r="A19848" s="12"/>
    </row>
    <row r="19849" spans="1:1" x14ac:dyDescent="0.3">
      <c r="A19849" s="12"/>
    </row>
    <row r="19850" spans="1:1" x14ac:dyDescent="0.3">
      <c r="A19850" s="12"/>
    </row>
    <row r="19851" spans="1:1" x14ac:dyDescent="0.3">
      <c r="A19851" s="12"/>
    </row>
    <row r="19852" spans="1:1" x14ac:dyDescent="0.3">
      <c r="A19852" s="12"/>
    </row>
    <row r="19853" spans="1:1" x14ac:dyDescent="0.3">
      <c r="A19853" s="12"/>
    </row>
    <row r="19854" spans="1:1" x14ac:dyDescent="0.3">
      <c r="A19854" s="12"/>
    </row>
    <row r="19855" spans="1:1" x14ac:dyDescent="0.3">
      <c r="A19855" s="12"/>
    </row>
    <row r="19856" spans="1:1" x14ac:dyDescent="0.3">
      <c r="A19856" s="12"/>
    </row>
    <row r="19857" spans="1:1" x14ac:dyDescent="0.3">
      <c r="A19857" s="12"/>
    </row>
    <row r="19858" spans="1:1" x14ac:dyDescent="0.3">
      <c r="A19858" s="12"/>
    </row>
    <row r="19859" spans="1:1" x14ac:dyDescent="0.3">
      <c r="A19859" s="12"/>
    </row>
    <row r="19860" spans="1:1" x14ac:dyDescent="0.3">
      <c r="A19860" s="12"/>
    </row>
    <row r="19861" spans="1:1" x14ac:dyDescent="0.3">
      <c r="A19861" s="12"/>
    </row>
    <row r="19862" spans="1:1" x14ac:dyDescent="0.3">
      <c r="A19862" s="12"/>
    </row>
    <row r="19863" spans="1:1" x14ac:dyDescent="0.3">
      <c r="A19863" s="12"/>
    </row>
    <row r="19864" spans="1:1" x14ac:dyDescent="0.3">
      <c r="A19864" s="12"/>
    </row>
    <row r="19865" spans="1:1" x14ac:dyDescent="0.3">
      <c r="A19865" s="12"/>
    </row>
    <row r="19866" spans="1:1" x14ac:dyDescent="0.3">
      <c r="A19866" s="12"/>
    </row>
    <row r="19867" spans="1:1" x14ac:dyDescent="0.3">
      <c r="A19867" s="12"/>
    </row>
    <row r="19868" spans="1:1" x14ac:dyDescent="0.3">
      <c r="A19868" s="12"/>
    </row>
    <row r="19869" spans="1:1" x14ac:dyDescent="0.3">
      <c r="A19869" s="12"/>
    </row>
    <row r="19870" spans="1:1" x14ac:dyDescent="0.3">
      <c r="A19870" s="12"/>
    </row>
    <row r="19871" spans="1:1" x14ac:dyDescent="0.3">
      <c r="A19871" s="12"/>
    </row>
    <row r="19872" spans="1:1" x14ac:dyDescent="0.3">
      <c r="A19872" s="12"/>
    </row>
    <row r="19873" spans="1:1" x14ac:dyDescent="0.3">
      <c r="A19873" s="12"/>
    </row>
    <row r="19874" spans="1:1" x14ac:dyDescent="0.3">
      <c r="A19874" s="12"/>
    </row>
    <row r="19875" spans="1:1" x14ac:dyDescent="0.3">
      <c r="A19875" s="12"/>
    </row>
    <row r="19876" spans="1:1" x14ac:dyDescent="0.3">
      <c r="A19876" s="12"/>
    </row>
    <row r="19877" spans="1:1" x14ac:dyDescent="0.3">
      <c r="A19877" s="12"/>
    </row>
    <row r="19878" spans="1:1" x14ac:dyDescent="0.3">
      <c r="A19878" s="12"/>
    </row>
    <row r="19879" spans="1:1" x14ac:dyDescent="0.3">
      <c r="A19879" s="12"/>
    </row>
    <row r="19880" spans="1:1" x14ac:dyDescent="0.3">
      <c r="A19880" s="12"/>
    </row>
    <row r="19881" spans="1:1" x14ac:dyDescent="0.3">
      <c r="A19881" s="12"/>
    </row>
    <row r="19882" spans="1:1" x14ac:dyDescent="0.3">
      <c r="A19882" s="12"/>
    </row>
    <row r="19883" spans="1:1" x14ac:dyDescent="0.3">
      <c r="A19883" s="12"/>
    </row>
    <row r="19884" spans="1:1" x14ac:dyDescent="0.3">
      <c r="A19884" s="12"/>
    </row>
    <row r="19885" spans="1:1" x14ac:dyDescent="0.3">
      <c r="A19885" s="12"/>
    </row>
    <row r="19886" spans="1:1" x14ac:dyDescent="0.3">
      <c r="A19886" s="12"/>
    </row>
    <row r="19887" spans="1:1" x14ac:dyDescent="0.3">
      <c r="A19887" s="12"/>
    </row>
    <row r="19888" spans="1:1" x14ac:dyDescent="0.3">
      <c r="A19888" s="12"/>
    </row>
    <row r="19889" spans="1:1" x14ac:dyDescent="0.3">
      <c r="A19889" s="12"/>
    </row>
    <row r="19890" spans="1:1" x14ac:dyDescent="0.3">
      <c r="A19890" s="12"/>
    </row>
    <row r="19891" spans="1:1" x14ac:dyDescent="0.3">
      <c r="A19891" s="12"/>
    </row>
    <row r="19892" spans="1:1" x14ac:dyDescent="0.3">
      <c r="A19892" s="12"/>
    </row>
    <row r="19893" spans="1:1" x14ac:dyDescent="0.3">
      <c r="A19893" s="12"/>
    </row>
    <row r="19894" spans="1:1" x14ac:dyDescent="0.3">
      <c r="A19894" s="12"/>
    </row>
    <row r="19895" spans="1:1" x14ac:dyDescent="0.3">
      <c r="A19895" s="12"/>
    </row>
    <row r="19896" spans="1:1" x14ac:dyDescent="0.3">
      <c r="A19896" s="12"/>
    </row>
    <row r="19897" spans="1:1" x14ac:dyDescent="0.3">
      <c r="A19897" s="12"/>
    </row>
    <row r="19898" spans="1:1" x14ac:dyDescent="0.3">
      <c r="A19898" s="12"/>
    </row>
    <row r="19899" spans="1:1" x14ac:dyDescent="0.3">
      <c r="A19899" s="12"/>
    </row>
    <row r="19900" spans="1:1" x14ac:dyDescent="0.3">
      <c r="A19900" s="12"/>
    </row>
    <row r="19901" spans="1:1" x14ac:dyDescent="0.3">
      <c r="A19901" s="12"/>
    </row>
    <row r="19902" spans="1:1" x14ac:dyDescent="0.3">
      <c r="A19902" s="12"/>
    </row>
    <row r="19903" spans="1:1" x14ac:dyDescent="0.3">
      <c r="A19903" s="12"/>
    </row>
    <row r="19904" spans="1:1" x14ac:dyDescent="0.3">
      <c r="A19904" s="12"/>
    </row>
    <row r="19905" spans="1:1" x14ac:dyDescent="0.3">
      <c r="A19905" s="12"/>
    </row>
    <row r="19906" spans="1:1" x14ac:dyDescent="0.3">
      <c r="A19906" s="12"/>
    </row>
    <row r="19907" spans="1:1" x14ac:dyDescent="0.3">
      <c r="A19907" s="12"/>
    </row>
    <row r="19908" spans="1:1" x14ac:dyDescent="0.3">
      <c r="A19908" s="12"/>
    </row>
    <row r="19909" spans="1:1" x14ac:dyDescent="0.3">
      <c r="A19909" s="12"/>
    </row>
    <row r="19910" spans="1:1" x14ac:dyDescent="0.3">
      <c r="A19910" s="12"/>
    </row>
    <row r="19911" spans="1:1" x14ac:dyDescent="0.3">
      <c r="A19911" s="12"/>
    </row>
    <row r="19912" spans="1:1" x14ac:dyDescent="0.3">
      <c r="A19912" s="12"/>
    </row>
    <row r="19913" spans="1:1" x14ac:dyDescent="0.3">
      <c r="A19913" s="12"/>
    </row>
    <row r="19914" spans="1:1" x14ac:dyDescent="0.3">
      <c r="A19914" s="12"/>
    </row>
    <row r="19915" spans="1:1" x14ac:dyDescent="0.3">
      <c r="A19915" s="12"/>
    </row>
    <row r="19916" spans="1:1" x14ac:dyDescent="0.3">
      <c r="A19916" s="12"/>
    </row>
    <row r="19917" spans="1:1" x14ac:dyDescent="0.3">
      <c r="A19917" s="12"/>
    </row>
    <row r="19918" spans="1:1" x14ac:dyDescent="0.3">
      <c r="A19918" s="12"/>
    </row>
    <row r="19919" spans="1:1" x14ac:dyDescent="0.3">
      <c r="A19919" s="12"/>
    </row>
    <row r="19920" spans="1:1" x14ac:dyDescent="0.3">
      <c r="A19920" s="12"/>
    </row>
    <row r="19921" spans="1:1" x14ac:dyDescent="0.3">
      <c r="A19921" s="12"/>
    </row>
    <row r="19922" spans="1:1" x14ac:dyDescent="0.3">
      <c r="A19922" s="12"/>
    </row>
    <row r="19923" spans="1:1" x14ac:dyDescent="0.3">
      <c r="A19923" s="12"/>
    </row>
    <row r="19924" spans="1:1" x14ac:dyDescent="0.3">
      <c r="A19924" s="12"/>
    </row>
    <row r="19925" spans="1:1" x14ac:dyDescent="0.3">
      <c r="A19925" s="12"/>
    </row>
    <row r="19926" spans="1:1" x14ac:dyDescent="0.3">
      <c r="A19926" s="12"/>
    </row>
    <row r="19927" spans="1:1" x14ac:dyDescent="0.3">
      <c r="A19927" s="12"/>
    </row>
    <row r="19928" spans="1:1" x14ac:dyDescent="0.3">
      <c r="A19928" s="12"/>
    </row>
    <row r="19929" spans="1:1" x14ac:dyDescent="0.3">
      <c r="A19929" s="12"/>
    </row>
    <row r="19930" spans="1:1" x14ac:dyDescent="0.3">
      <c r="A19930" s="12"/>
    </row>
    <row r="19931" spans="1:1" x14ac:dyDescent="0.3">
      <c r="A19931" s="12"/>
    </row>
    <row r="19932" spans="1:1" x14ac:dyDescent="0.3">
      <c r="A19932" s="12"/>
    </row>
    <row r="19933" spans="1:1" x14ac:dyDescent="0.3">
      <c r="A19933" s="12"/>
    </row>
    <row r="19934" spans="1:1" x14ac:dyDescent="0.3">
      <c r="A19934" s="12"/>
    </row>
    <row r="19935" spans="1:1" x14ac:dyDescent="0.3">
      <c r="A19935" s="12"/>
    </row>
    <row r="19936" spans="1:1" x14ac:dyDescent="0.3">
      <c r="A19936" s="12"/>
    </row>
    <row r="19937" spans="1:1" x14ac:dyDescent="0.3">
      <c r="A19937" s="12"/>
    </row>
    <row r="19938" spans="1:1" x14ac:dyDescent="0.3">
      <c r="A19938" s="12"/>
    </row>
    <row r="19939" spans="1:1" x14ac:dyDescent="0.3">
      <c r="A19939" s="12"/>
    </row>
    <row r="19940" spans="1:1" x14ac:dyDescent="0.3">
      <c r="A19940" s="12"/>
    </row>
    <row r="19941" spans="1:1" x14ac:dyDescent="0.3">
      <c r="A19941" s="12"/>
    </row>
    <row r="19942" spans="1:1" x14ac:dyDescent="0.3">
      <c r="A19942" s="12"/>
    </row>
    <row r="19943" spans="1:1" x14ac:dyDescent="0.3">
      <c r="A19943" s="12"/>
    </row>
    <row r="19944" spans="1:1" x14ac:dyDescent="0.3">
      <c r="A19944" s="12"/>
    </row>
    <row r="19945" spans="1:1" x14ac:dyDescent="0.3">
      <c r="A19945" s="12"/>
    </row>
    <row r="19946" spans="1:1" x14ac:dyDescent="0.3">
      <c r="A19946" s="12"/>
    </row>
    <row r="19947" spans="1:1" x14ac:dyDescent="0.3">
      <c r="A19947" s="12"/>
    </row>
    <row r="19948" spans="1:1" x14ac:dyDescent="0.3">
      <c r="A19948" s="12"/>
    </row>
    <row r="19949" spans="1:1" x14ac:dyDescent="0.3">
      <c r="A19949" s="12"/>
    </row>
    <row r="19950" spans="1:1" x14ac:dyDescent="0.3">
      <c r="A19950" s="12"/>
    </row>
    <row r="19951" spans="1:1" x14ac:dyDescent="0.3">
      <c r="A19951" s="12"/>
    </row>
    <row r="19952" spans="1:1" x14ac:dyDescent="0.3">
      <c r="A19952" s="12"/>
    </row>
    <row r="19953" spans="1:1" x14ac:dyDescent="0.3">
      <c r="A19953" s="12"/>
    </row>
    <row r="19954" spans="1:1" x14ac:dyDescent="0.3">
      <c r="A19954" s="12"/>
    </row>
    <row r="19955" spans="1:1" x14ac:dyDescent="0.3">
      <c r="A19955" s="12"/>
    </row>
    <row r="19956" spans="1:1" x14ac:dyDescent="0.3">
      <c r="A19956" s="12"/>
    </row>
    <row r="19957" spans="1:1" x14ac:dyDescent="0.3">
      <c r="A19957" s="12"/>
    </row>
    <row r="19958" spans="1:1" x14ac:dyDescent="0.3">
      <c r="A19958" s="12"/>
    </row>
    <row r="19959" spans="1:1" x14ac:dyDescent="0.3">
      <c r="A19959" s="12"/>
    </row>
    <row r="19960" spans="1:1" x14ac:dyDescent="0.3">
      <c r="A19960" s="12"/>
    </row>
    <row r="19961" spans="1:1" x14ac:dyDescent="0.3">
      <c r="A19961" s="12"/>
    </row>
    <row r="19962" spans="1:1" x14ac:dyDescent="0.3">
      <c r="A19962" s="12"/>
    </row>
    <row r="19963" spans="1:1" x14ac:dyDescent="0.3">
      <c r="A19963" s="12"/>
    </row>
    <row r="19964" spans="1:1" x14ac:dyDescent="0.3">
      <c r="A19964" s="12"/>
    </row>
    <row r="19965" spans="1:1" x14ac:dyDescent="0.3">
      <c r="A19965" s="12"/>
    </row>
    <row r="19966" spans="1:1" x14ac:dyDescent="0.3">
      <c r="A19966" s="12"/>
    </row>
    <row r="19967" spans="1:1" x14ac:dyDescent="0.3">
      <c r="A19967" s="12"/>
    </row>
    <row r="19968" spans="1:1" x14ac:dyDescent="0.3">
      <c r="A19968" s="12"/>
    </row>
    <row r="19969" spans="1:1" x14ac:dyDescent="0.3">
      <c r="A19969" s="12"/>
    </row>
    <row r="19970" spans="1:1" x14ac:dyDescent="0.3">
      <c r="A19970" s="12"/>
    </row>
    <row r="19971" spans="1:1" x14ac:dyDescent="0.3">
      <c r="A19971" s="12"/>
    </row>
    <row r="19972" spans="1:1" x14ac:dyDescent="0.3">
      <c r="A19972" s="12"/>
    </row>
    <row r="19973" spans="1:1" x14ac:dyDescent="0.3">
      <c r="A19973" s="12"/>
    </row>
    <row r="19974" spans="1:1" x14ac:dyDescent="0.3">
      <c r="A19974" s="12"/>
    </row>
    <row r="19975" spans="1:1" x14ac:dyDescent="0.3">
      <c r="A19975" s="12"/>
    </row>
    <row r="19976" spans="1:1" x14ac:dyDescent="0.3">
      <c r="A19976" s="12"/>
    </row>
    <row r="19977" spans="1:1" x14ac:dyDescent="0.3">
      <c r="A19977" s="12"/>
    </row>
    <row r="19978" spans="1:1" x14ac:dyDescent="0.3">
      <c r="A19978" s="12"/>
    </row>
    <row r="19979" spans="1:1" x14ac:dyDescent="0.3">
      <c r="A19979" s="12"/>
    </row>
    <row r="19980" spans="1:1" x14ac:dyDescent="0.3">
      <c r="A19980" s="12"/>
    </row>
    <row r="19981" spans="1:1" x14ac:dyDescent="0.3">
      <c r="A19981" s="12"/>
    </row>
    <row r="19982" spans="1:1" x14ac:dyDescent="0.3">
      <c r="A19982" s="12"/>
    </row>
    <row r="19983" spans="1:1" x14ac:dyDescent="0.3">
      <c r="A19983" s="12"/>
    </row>
    <row r="19984" spans="1:1" x14ac:dyDescent="0.3">
      <c r="A19984" s="12"/>
    </row>
    <row r="19985" spans="1:1" x14ac:dyDescent="0.3">
      <c r="A19985" s="12"/>
    </row>
    <row r="19986" spans="1:1" x14ac:dyDescent="0.3">
      <c r="A19986" s="12"/>
    </row>
    <row r="19987" spans="1:1" x14ac:dyDescent="0.3">
      <c r="A19987" s="12"/>
    </row>
    <row r="19988" spans="1:1" x14ac:dyDescent="0.3">
      <c r="A19988" s="12"/>
    </row>
    <row r="19989" spans="1:1" x14ac:dyDescent="0.3">
      <c r="A19989" s="12"/>
    </row>
    <row r="19990" spans="1:1" x14ac:dyDescent="0.3">
      <c r="A19990" s="12"/>
    </row>
    <row r="19991" spans="1:1" x14ac:dyDescent="0.3">
      <c r="A19991" s="12"/>
    </row>
    <row r="19992" spans="1:1" x14ac:dyDescent="0.3">
      <c r="A19992" s="12"/>
    </row>
    <row r="19993" spans="1:1" x14ac:dyDescent="0.3">
      <c r="A19993" s="12"/>
    </row>
    <row r="19994" spans="1:1" x14ac:dyDescent="0.3">
      <c r="A19994" s="12"/>
    </row>
    <row r="19995" spans="1:1" x14ac:dyDescent="0.3">
      <c r="A19995" s="12"/>
    </row>
    <row r="19996" spans="1:1" x14ac:dyDescent="0.3">
      <c r="A19996" s="12"/>
    </row>
    <row r="19997" spans="1:1" x14ac:dyDescent="0.3">
      <c r="A19997" s="12"/>
    </row>
    <row r="19998" spans="1:1" x14ac:dyDescent="0.3">
      <c r="A19998" s="12"/>
    </row>
    <row r="19999" spans="1:1" x14ac:dyDescent="0.3">
      <c r="A19999" s="12"/>
    </row>
    <row r="20000" spans="1:1" x14ac:dyDescent="0.3">
      <c r="A20000" s="12"/>
    </row>
    <row r="20001" spans="1:1" x14ac:dyDescent="0.3">
      <c r="A20001" s="12"/>
    </row>
    <row r="20002" spans="1:1" x14ac:dyDescent="0.3">
      <c r="A20002" s="12"/>
    </row>
    <row r="20003" spans="1:1" x14ac:dyDescent="0.3">
      <c r="A20003" s="12"/>
    </row>
    <row r="20004" spans="1:1" x14ac:dyDescent="0.3">
      <c r="A20004" s="12"/>
    </row>
    <row r="20005" spans="1:1" x14ac:dyDescent="0.3">
      <c r="A20005" s="12"/>
    </row>
    <row r="20006" spans="1:1" x14ac:dyDescent="0.3">
      <c r="A20006" s="12"/>
    </row>
    <row r="20007" spans="1:1" x14ac:dyDescent="0.3">
      <c r="A20007" s="12"/>
    </row>
    <row r="20008" spans="1:1" x14ac:dyDescent="0.3">
      <c r="A20008" s="12"/>
    </row>
    <row r="20009" spans="1:1" x14ac:dyDescent="0.3">
      <c r="A20009" s="12"/>
    </row>
    <row r="20010" spans="1:1" x14ac:dyDescent="0.3">
      <c r="A20010" s="12"/>
    </row>
    <row r="20011" spans="1:1" x14ac:dyDescent="0.3">
      <c r="A20011" s="12"/>
    </row>
    <row r="20012" spans="1:1" x14ac:dyDescent="0.3">
      <c r="A20012" s="12"/>
    </row>
    <row r="20013" spans="1:1" x14ac:dyDescent="0.3">
      <c r="A20013" s="12"/>
    </row>
    <row r="20014" spans="1:1" x14ac:dyDescent="0.3">
      <c r="A20014" s="12"/>
    </row>
    <row r="20015" spans="1:1" x14ac:dyDescent="0.3">
      <c r="A20015" s="12"/>
    </row>
    <row r="20016" spans="1:1" x14ac:dyDescent="0.3">
      <c r="A20016" s="12"/>
    </row>
    <row r="20017" spans="1:1" x14ac:dyDescent="0.3">
      <c r="A20017" s="12"/>
    </row>
    <row r="20018" spans="1:1" x14ac:dyDescent="0.3">
      <c r="A20018" s="12"/>
    </row>
    <row r="20019" spans="1:1" x14ac:dyDescent="0.3">
      <c r="A20019" s="12"/>
    </row>
    <row r="20020" spans="1:1" x14ac:dyDescent="0.3">
      <c r="A20020" s="12"/>
    </row>
    <row r="20021" spans="1:1" x14ac:dyDescent="0.3">
      <c r="A20021" s="12"/>
    </row>
    <row r="20022" spans="1:1" x14ac:dyDescent="0.3">
      <c r="A20022" s="12"/>
    </row>
    <row r="20023" spans="1:1" x14ac:dyDescent="0.3">
      <c r="A20023" s="12"/>
    </row>
    <row r="20024" spans="1:1" x14ac:dyDescent="0.3">
      <c r="A20024" s="12"/>
    </row>
    <row r="20025" spans="1:1" x14ac:dyDescent="0.3">
      <c r="A20025" s="12"/>
    </row>
    <row r="20026" spans="1:1" x14ac:dyDescent="0.3">
      <c r="A20026" s="12"/>
    </row>
    <row r="20027" spans="1:1" x14ac:dyDescent="0.3">
      <c r="A20027" s="12"/>
    </row>
    <row r="20028" spans="1:1" x14ac:dyDescent="0.3">
      <c r="A20028" s="12"/>
    </row>
    <row r="20029" spans="1:1" x14ac:dyDescent="0.3">
      <c r="A20029" s="12"/>
    </row>
    <row r="20030" spans="1:1" x14ac:dyDescent="0.3">
      <c r="A20030" s="12"/>
    </row>
    <row r="20031" spans="1:1" x14ac:dyDescent="0.3">
      <c r="A20031" s="12"/>
    </row>
    <row r="20032" spans="1:1" x14ac:dyDescent="0.3">
      <c r="A20032" s="12"/>
    </row>
    <row r="20033" spans="1:1" x14ac:dyDescent="0.3">
      <c r="A20033" s="12"/>
    </row>
    <row r="20034" spans="1:1" x14ac:dyDescent="0.3">
      <c r="A20034" s="12"/>
    </row>
    <row r="20035" spans="1:1" x14ac:dyDescent="0.3">
      <c r="A20035" s="12"/>
    </row>
    <row r="20036" spans="1:1" x14ac:dyDescent="0.3">
      <c r="A20036" s="12"/>
    </row>
    <row r="20037" spans="1:1" x14ac:dyDescent="0.3">
      <c r="A20037" s="12"/>
    </row>
    <row r="20038" spans="1:1" x14ac:dyDescent="0.3">
      <c r="A20038" s="12"/>
    </row>
    <row r="20039" spans="1:1" x14ac:dyDescent="0.3">
      <c r="A20039" s="12"/>
    </row>
    <row r="20040" spans="1:1" x14ac:dyDescent="0.3">
      <c r="A20040" s="12"/>
    </row>
    <row r="20041" spans="1:1" x14ac:dyDescent="0.3">
      <c r="A20041" s="12"/>
    </row>
    <row r="20042" spans="1:1" x14ac:dyDescent="0.3">
      <c r="A20042" s="12"/>
    </row>
    <row r="20043" spans="1:1" x14ac:dyDescent="0.3">
      <c r="A20043" s="12"/>
    </row>
    <row r="20044" spans="1:1" x14ac:dyDescent="0.3">
      <c r="A20044" s="12"/>
    </row>
    <row r="20045" spans="1:1" x14ac:dyDescent="0.3">
      <c r="A20045" s="12"/>
    </row>
    <row r="20046" spans="1:1" x14ac:dyDescent="0.3">
      <c r="A20046" s="12"/>
    </row>
    <row r="20047" spans="1:1" x14ac:dyDescent="0.3">
      <c r="A20047" s="12"/>
    </row>
    <row r="20048" spans="1:1" x14ac:dyDescent="0.3">
      <c r="A20048" s="12"/>
    </row>
    <row r="20049" spans="1:1" x14ac:dyDescent="0.3">
      <c r="A20049" s="12"/>
    </row>
    <row r="20050" spans="1:1" x14ac:dyDescent="0.3">
      <c r="A20050" s="12"/>
    </row>
    <row r="20051" spans="1:1" x14ac:dyDescent="0.3">
      <c r="A20051" s="12"/>
    </row>
    <row r="20052" spans="1:1" x14ac:dyDescent="0.3">
      <c r="A20052" s="12"/>
    </row>
    <row r="20053" spans="1:1" x14ac:dyDescent="0.3">
      <c r="A20053" s="12"/>
    </row>
    <row r="20054" spans="1:1" x14ac:dyDescent="0.3">
      <c r="A20054" s="12"/>
    </row>
    <row r="20055" spans="1:1" x14ac:dyDescent="0.3">
      <c r="A20055" s="12"/>
    </row>
    <row r="20056" spans="1:1" x14ac:dyDescent="0.3">
      <c r="A20056" s="12"/>
    </row>
    <row r="20057" spans="1:1" x14ac:dyDescent="0.3">
      <c r="A20057" s="12"/>
    </row>
    <row r="20058" spans="1:1" x14ac:dyDescent="0.3">
      <c r="A20058" s="12"/>
    </row>
    <row r="20059" spans="1:1" x14ac:dyDescent="0.3">
      <c r="A20059" s="12"/>
    </row>
    <row r="20060" spans="1:1" x14ac:dyDescent="0.3">
      <c r="A20060" s="12"/>
    </row>
    <row r="20061" spans="1:1" x14ac:dyDescent="0.3">
      <c r="A20061" s="12"/>
    </row>
    <row r="20062" spans="1:1" x14ac:dyDescent="0.3">
      <c r="A20062" s="12"/>
    </row>
    <row r="20063" spans="1:1" x14ac:dyDescent="0.3">
      <c r="A20063" s="12"/>
    </row>
    <row r="20064" spans="1:1" x14ac:dyDescent="0.3">
      <c r="A20064" s="12"/>
    </row>
    <row r="20065" spans="1:1" x14ac:dyDescent="0.3">
      <c r="A20065" s="12"/>
    </row>
    <row r="20066" spans="1:1" x14ac:dyDescent="0.3">
      <c r="A20066" s="12"/>
    </row>
    <row r="20067" spans="1:1" x14ac:dyDescent="0.3">
      <c r="A20067" s="12"/>
    </row>
    <row r="20068" spans="1:1" x14ac:dyDescent="0.3">
      <c r="A20068" s="12"/>
    </row>
    <row r="20069" spans="1:1" x14ac:dyDescent="0.3">
      <c r="A20069" s="12"/>
    </row>
    <row r="20070" spans="1:1" x14ac:dyDescent="0.3">
      <c r="A20070" s="12"/>
    </row>
    <row r="20071" spans="1:1" x14ac:dyDescent="0.3">
      <c r="A20071" s="12"/>
    </row>
    <row r="20072" spans="1:1" x14ac:dyDescent="0.3">
      <c r="A20072" s="12"/>
    </row>
    <row r="20073" spans="1:1" x14ac:dyDescent="0.3">
      <c r="A20073" s="12"/>
    </row>
    <row r="20074" spans="1:1" x14ac:dyDescent="0.3">
      <c r="A20074" s="12"/>
    </row>
    <row r="20075" spans="1:1" x14ac:dyDescent="0.3">
      <c r="A20075" s="12"/>
    </row>
    <row r="20076" spans="1:1" x14ac:dyDescent="0.3">
      <c r="A20076" s="12"/>
    </row>
    <row r="20077" spans="1:1" x14ac:dyDescent="0.3">
      <c r="A20077" s="12"/>
    </row>
    <row r="20078" spans="1:1" x14ac:dyDescent="0.3">
      <c r="A20078" s="12"/>
    </row>
    <row r="20079" spans="1:1" x14ac:dyDescent="0.3">
      <c r="A20079" s="12"/>
    </row>
    <row r="20080" spans="1:1" x14ac:dyDescent="0.3">
      <c r="A20080" s="12"/>
    </row>
    <row r="20081" spans="1:1" x14ac:dyDescent="0.3">
      <c r="A20081" s="12"/>
    </row>
    <row r="20082" spans="1:1" x14ac:dyDescent="0.3">
      <c r="A20082" s="12"/>
    </row>
    <row r="20083" spans="1:1" x14ac:dyDescent="0.3">
      <c r="A20083" s="12"/>
    </row>
    <row r="20084" spans="1:1" x14ac:dyDescent="0.3">
      <c r="A20084" s="12"/>
    </row>
    <row r="20085" spans="1:1" x14ac:dyDescent="0.3">
      <c r="A20085" s="12"/>
    </row>
    <row r="20086" spans="1:1" x14ac:dyDescent="0.3">
      <c r="A20086" s="12"/>
    </row>
    <row r="20087" spans="1:1" x14ac:dyDescent="0.3">
      <c r="A20087" s="12"/>
    </row>
    <row r="20088" spans="1:1" x14ac:dyDescent="0.3">
      <c r="A20088" s="12"/>
    </row>
    <row r="20089" spans="1:1" x14ac:dyDescent="0.3">
      <c r="A20089" s="12"/>
    </row>
    <row r="20090" spans="1:1" x14ac:dyDescent="0.3">
      <c r="A20090" s="12"/>
    </row>
    <row r="20091" spans="1:1" x14ac:dyDescent="0.3">
      <c r="A20091" s="12"/>
    </row>
    <row r="20092" spans="1:1" x14ac:dyDescent="0.3">
      <c r="A20092" s="12"/>
    </row>
    <row r="20093" spans="1:1" x14ac:dyDescent="0.3">
      <c r="A20093" s="12"/>
    </row>
    <row r="20094" spans="1:1" x14ac:dyDescent="0.3">
      <c r="A20094" s="12"/>
    </row>
    <row r="20095" spans="1:1" x14ac:dyDescent="0.3">
      <c r="A20095" s="12"/>
    </row>
    <row r="20096" spans="1:1" x14ac:dyDescent="0.3">
      <c r="A20096" s="12"/>
    </row>
    <row r="20097" spans="1:1" x14ac:dyDescent="0.3">
      <c r="A20097" s="12"/>
    </row>
    <row r="20098" spans="1:1" x14ac:dyDescent="0.3">
      <c r="A20098" s="12"/>
    </row>
    <row r="20099" spans="1:1" x14ac:dyDescent="0.3">
      <c r="A20099" s="12"/>
    </row>
    <row r="20100" spans="1:1" x14ac:dyDescent="0.3">
      <c r="A20100" s="12"/>
    </row>
    <row r="20101" spans="1:1" x14ac:dyDescent="0.3">
      <c r="A20101" s="12"/>
    </row>
    <row r="20102" spans="1:1" x14ac:dyDescent="0.3">
      <c r="A20102" s="12"/>
    </row>
    <row r="20103" spans="1:1" x14ac:dyDescent="0.3">
      <c r="A20103" s="12"/>
    </row>
    <row r="20104" spans="1:1" x14ac:dyDescent="0.3">
      <c r="A20104" s="12"/>
    </row>
    <row r="20105" spans="1:1" x14ac:dyDescent="0.3">
      <c r="A20105" s="12"/>
    </row>
    <row r="20106" spans="1:1" x14ac:dyDescent="0.3">
      <c r="A20106" s="12"/>
    </row>
    <row r="20107" spans="1:1" x14ac:dyDescent="0.3">
      <c r="A20107" s="12"/>
    </row>
    <row r="20108" spans="1:1" x14ac:dyDescent="0.3">
      <c r="A20108" s="12"/>
    </row>
    <row r="20109" spans="1:1" x14ac:dyDescent="0.3">
      <c r="A20109" s="12"/>
    </row>
    <row r="20110" spans="1:1" x14ac:dyDescent="0.3">
      <c r="A20110" s="12"/>
    </row>
    <row r="20111" spans="1:1" x14ac:dyDescent="0.3">
      <c r="A20111" s="12"/>
    </row>
    <row r="20112" spans="1:1" x14ac:dyDescent="0.3">
      <c r="A20112" s="12"/>
    </row>
    <row r="20113" spans="1:1" x14ac:dyDescent="0.3">
      <c r="A20113" s="12"/>
    </row>
    <row r="20114" spans="1:1" x14ac:dyDescent="0.3">
      <c r="A20114" s="12"/>
    </row>
    <row r="20115" spans="1:1" x14ac:dyDescent="0.3">
      <c r="A20115" s="12"/>
    </row>
    <row r="20116" spans="1:1" x14ac:dyDescent="0.3">
      <c r="A20116" s="12"/>
    </row>
    <row r="20117" spans="1:1" x14ac:dyDescent="0.3">
      <c r="A20117" s="12"/>
    </row>
    <row r="20118" spans="1:1" x14ac:dyDescent="0.3">
      <c r="A20118" s="12"/>
    </row>
    <row r="20119" spans="1:1" x14ac:dyDescent="0.3">
      <c r="A20119" s="12"/>
    </row>
    <row r="20120" spans="1:1" x14ac:dyDescent="0.3">
      <c r="A20120" s="12"/>
    </row>
    <row r="20121" spans="1:1" x14ac:dyDescent="0.3">
      <c r="A20121" s="12"/>
    </row>
    <row r="20122" spans="1:1" x14ac:dyDescent="0.3">
      <c r="A20122" s="12"/>
    </row>
    <row r="20123" spans="1:1" x14ac:dyDescent="0.3">
      <c r="A20123" s="12"/>
    </row>
    <row r="20124" spans="1:1" x14ac:dyDescent="0.3">
      <c r="A20124" s="12"/>
    </row>
    <row r="20125" spans="1:1" x14ac:dyDescent="0.3">
      <c r="A20125" s="12"/>
    </row>
    <row r="20126" spans="1:1" x14ac:dyDescent="0.3">
      <c r="A20126" s="12"/>
    </row>
    <row r="20127" spans="1:1" x14ac:dyDescent="0.3">
      <c r="A20127" s="12"/>
    </row>
    <row r="20128" spans="1:1" x14ac:dyDescent="0.3">
      <c r="A20128" s="12"/>
    </row>
    <row r="20129" spans="1:1" x14ac:dyDescent="0.3">
      <c r="A20129" s="12"/>
    </row>
    <row r="20130" spans="1:1" x14ac:dyDescent="0.3">
      <c r="A20130" s="12"/>
    </row>
    <row r="20131" spans="1:1" x14ac:dyDescent="0.3">
      <c r="A20131" s="12"/>
    </row>
    <row r="20132" spans="1:1" x14ac:dyDescent="0.3">
      <c r="A20132" s="12"/>
    </row>
    <row r="20133" spans="1:1" x14ac:dyDescent="0.3">
      <c r="A20133" s="12"/>
    </row>
    <row r="20134" spans="1:1" x14ac:dyDescent="0.3">
      <c r="A20134" s="12"/>
    </row>
    <row r="20135" spans="1:1" x14ac:dyDescent="0.3">
      <c r="A20135" s="12"/>
    </row>
    <row r="20136" spans="1:1" x14ac:dyDescent="0.3">
      <c r="A20136" s="12"/>
    </row>
    <row r="20137" spans="1:1" x14ac:dyDescent="0.3">
      <c r="A20137" s="12"/>
    </row>
    <row r="20138" spans="1:1" x14ac:dyDescent="0.3">
      <c r="A20138" s="12"/>
    </row>
    <row r="20139" spans="1:1" x14ac:dyDescent="0.3">
      <c r="A20139" s="12"/>
    </row>
    <row r="20140" spans="1:1" x14ac:dyDescent="0.3">
      <c r="A20140" s="12"/>
    </row>
    <row r="20141" spans="1:1" x14ac:dyDescent="0.3">
      <c r="A20141" s="12"/>
    </row>
    <row r="20142" spans="1:1" x14ac:dyDescent="0.3">
      <c r="A20142" s="12"/>
    </row>
    <row r="20143" spans="1:1" x14ac:dyDescent="0.3">
      <c r="A20143" s="12"/>
    </row>
    <row r="20144" spans="1:1" x14ac:dyDescent="0.3">
      <c r="A20144" s="12"/>
    </row>
    <row r="20145" spans="1:1" x14ac:dyDescent="0.3">
      <c r="A20145" s="12"/>
    </row>
    <row r="20146" spans="1:1" x14ac:dyDescent="0.3">
      <c r="A20146" s="12"/>
    </row>
    <row r="20147" spans="1:1" x14ac:dyDescent="0.3">
      <c r="A20147" s="12"/>
    </row>
    <row r="20148" spans="1:1" x14ac:dyDescent="0.3">
      <c r="A20148" s="12"/>
    </row>
    <row r="20149" spans="1:1" x14ac:dyDescent="0.3">
      <c r="A20149" s="12"/>
    </row>
    <row r="20150" spans="1:1" x14ac:dyDescent="0.3">
      <c r="A20150" s="12"/>
    </row>
    <row r="20151" spans="1:1" x14ac:dyDescent="0.3">
      <c r="A20151" s="12"/>
    </row>
    <row r="20152" spans="1:1" x14ac:dyDescent="0.3">
      <c r="A20152" s="12"/>
    </row>
    <row r="20153" spans="1:1" x14ac:dyDescent="0.3">
      <c r="A20153" s="12"/>
    </row>
    <row r="20154" spans="1:1" x14ac:dyDescent="0.3">
      <c r="A20154" s="12"/>
    </row>
    <row r="20155" spans="1:1" x14ac:dyDescent="0.3">
      <c r="A20155" s="12"/>
    </row>
    <row r="20156" spans="1:1" x14ac:dyDescent="0.3">
      <c r="A20156" s="12"/>
    </row>
    <row r="20157" spans="1:1" x14ac:dyDescent="0.3">
      <c r="A20157" s="12"/>
    </row>
    <row r="20158" spans="1:1" x14ac:dyDescent="0.3">
      <c r="A20158" s="12"/>
    </row>
    <row r="20159" spans="1:1" x14ac:dyDescent="0.3">
      <c r="A20159" s="12"/>
    </row>
    <row r="20160" spans="1:1" x14ac:dyDescent="0.3">
      <c r="A20160" s="12"/>
    </row>
    <row r="20161" spans="1:1" x14ac:dyDescent="0.3">
      <c r="A20161" s="12"/>
    </row>
    <row r="20162" spans="1:1" x14ac:dyDescent="0.3">
      <c r="A20162" s="12"/>
    </row>
    <row r="20163" spans="1:1" x14ac:dyDescent="0.3">
      <c r="A20163" s="12"/>
    </row>
    <row r="20164" spans="1:1" x14ac:dyDescent="0.3">
      <c r="A20164" s="12"/>
    </row>
    <row r="20165" spans="1:1" x14ac:dyDescent="0.3">
      <c r="A20165" s="12"/>
    </row>
    <row r="20166" spans="1:1" x14ac:dyDescent="0.3">
      <c r="A20166" s="12"/>
    </row>
    <row r="20167" spans="1:1" x14ac:dyDescent="0.3">
      <c r="A20167" s="12"/>
    </row>
    <row r="20168" spans="1:1" x14ac:dyDescent="0.3">
      <c r="A20168" s="12"/>
    </row>
    <row r="20169" spans="1:1" x14ac:dyDescent="0.3">
      <c r="A20169" s="12"/>
    </row>
    <row r="20170" spans="1:1" x14ac:dyDescent="0.3">
      <c r="A20170" s="12"/>
    </row>
    <row r="20171" spans="1:1" x14ac:dyDescent="0.3">
      <c r="A20171" s="12"/>
    </row>
    <row r="20172" spans="1:1" x14ac:dyDescent="0.3">
      <c r="A20172" s="12"/>
    </row>
    <row r="20173" spans="1:1" x14ac:dyDescent="0.3">
      <c r="A20173" s="12"/>
    </row>
    <row r="20174" spans="1:1" x14ac:dyDescent="0.3">
      <c r="A20174" s="12"/>
    </row>
    <row r="20175" spans="1:1" x14ac:dyDescent="0.3">
      <c r="A20175" s="12"/>
    </row>
    <row r="20176" spans="1:1" x14ac:dyDescent="0.3">
      <c r="A20176" s="12"/>
    </row>
    <row r="20177" spans="1:1" x14ac:dyDescent="0.3">
      <c r="A20177" s="12"/>
    </row>
    <row r="20178" spans="1:1" x14ac:dyDescent="0.3">
      <c r="A20178" s="12"/>
    </row>
    <row r="20179" spans="1:1" x14ac:dyDescent="0.3">
      <c r="A20179" s="12"/>
    </row>
    <row r="20180" spans="1:1" x14ac:dyDescent="0.3">
      <c r="A20180" s="12"/>
    </row>
    <row r="20181" spans="1:1" x14ac:dyDescent="0.3">
      <c r="A20181" s="12"/>
    </row>
    <row r="20182" spans="1:1" x14ac:dyDescent="0.3">
      <c r="A20182" s="12"/>
    </row>
    <row r="20183" spans="1:1" x14ac:dyDescent="0.3">
      <c r="A20183" s="12"/>
    </row>
    <row r="20184" spans="1:1" x14ac:dyDescent="0.3">
      <c r="A20184" s="12"/>
    </row>
    <row r="20185" spans="1:1" x14ac:dyDescent="0.3">
      <c r="A20185" s="12"/>
    </row>
    <row r="20186" spans="1:1" x14ac:dyDescent="0.3">
      <c r="A20186" s="12"/>
    </row>
    <row r="20187" spans="1:1" x14ac:dyDescent="0.3">
      <c r="A20187" s="12"/>
    </row>
    <row r="20188" spans="1:1" x14ac:dyDescent="0.3">
      <c r="A20188" s="12"/>
    </row>
    <row r="20189" spans="1:1" x14ac:dyDescent="0.3">
      <c r="A20189" s="12"/>
    </row>
    <row r="20190" spans="1:1" x14ac:dyDescent="0.3">
      <c r="A20190" s="12"/>
    </row>
    <row r="20191" spans="1:1" x14ac:dyDescent="0.3">
      <c r="A20191" s="12"/>
    </row>
    <row r="20192" spans="1:1" x14ac:dyDescent="0.3">
      <c r="A20192" s="12"/>
    </row>
    <row r="20193" spans="1:1" x14ac:dyDescent="0.3">
      <c r="A20193" s="12"/>
    </row>
    <row r="20194" spans="1:1" x14ac:dyDescent="0.3">
      <c r="A20194" s="12"/>
    </row>
    <row r="20195" spans="1:1" x14ac:dyDescent="0.3">
      <c r="A20195" s="12"/>
    </row>
    <row r="20196" spans="1:1" x14ac:dyDescent="0.3">
      <c r="A20196" s="12"/>
    </row>
    <row r="20197" spans="1:1" x14ac:dyDescent="0.3">
      <c r="A20197" s="12"/>
    </row>
    <row r="20198" spans="1:1" x14ac:dyDescent="0.3">
      <c r="A20198" s="12"/>
    </row>
    <row r="20199" spans="1:1" x14ac:dyDescent="0.3">
      <c r="A20199" s="12"/>
    </row>
    <row r="20200" spans="1:1" x14ac:dyDescent="0.3">
      <c r="A20200" s="12"/>
    </row>
    <row r="20201" spans="1:1" x14ac:dyDescent="0.3">
      <c r="A20201" s="12"/>
    </row>
    <row r="20202" spans="1:1" x14ac:dyDescent="0.3">
      <c r="A20202" s="12"/>
    </row>
    <row r="20203" spans="1:1" x14ac:dyDescent="0.3">
      <c r="A20203" s="12"/>
    </row>
    <row r="20204" spans="1:1" x14ac:dyDescent="0.3">
      <c r="A20204" s="12"/>
    </row>
    <row r="20205" spans="1:1" x14ac:dyDescent="0.3">
      <c r="A20205" s="12"/>
    </row>
    <row r="20206" spans="1:1" x14ac:dyDescent="0.3">
      <c r="A20206" s="12"/>
    </row>
    <row r="20207" spans="1:1" x14ac:dyDescent="0.3">
      <c r="A20207" s="12"/>
    </row>
    <row r="20208" spans="1:1" x14ac:dyDescent="0.3">
      <c r="A20208" s="12"/>
    </row>
    <row r="20209" spans="1:1" x14ac:dyDescent="0.3">
      <c r="A20209" s="12"/>
    </row>
    <row r="20210" spans="1:1" x14ac:dyDescent="0.3">
      <c r="A20210" s="12"/>
    </row>
    <row r="20211" spans="1:1" x14ac:dyDescent="0.3">
      <c r="A20211" s="12"/>
    </row>
    <row r="20212" spans="1:1" x14ac:dyDescent="0.3">
      <c r="A20212" s="12"/>
    </row>
    <row r="20213" spans="1:1" x14ac:dyDescent="0.3">
      <c r="A20213" s="12"/>
    </row>
    <row r="20214" spans="1:1" x14ac:dyDescent="0.3">
      <c r="A20214" s="12"/>
    </row>
    <row r="20215" spans="1:1" x14ac:dyDescent="0.3">
      <c r="A20215" s="12"/>
    </row>
    <row r="20216" spans="1:1" x14ac:dyDescent="0.3">
      <c r="A20216" s="12"/>
    </row>
    <row r="20217" spans="1:1" x14ac:dyDescent="0.3">
      <c r="A20217" s="12"/>
    </row>
    <row r="20218" spans="1:1" x14ac:dyDescent="0.3">
      <c r="A20218" s="12"/>
    </row>
    <row r="20219" spans="1:1" x14ac:dyDescent="0.3">
      <c r="A20219" s="12"/>
    </row>
    <row r="20220" spans="1:1" x14ac:dyDescent="0.3">
      <c r="A20220" s="12"/>
    </row>
    <row r="20221" spans="1:1" x14ac:dyDescent="0.3">
      <c r="A20221" s="12"/>
    </row>
    <row r="20222" spans="1:1" x14ac:dyDescent="0.3">
      <c r="A20222" s="12"/>
    </row>
    <row r="20223" spans="1:1" x14ac:dyDescent="0.3">
      <c r="A20223" s="12"/>
    </row>
    <row r="20224" spans="1:1" x14ac:dyDescent="0.3">
      <c r="A20224" s="12"/>
    </row>
    <row r="20225" spans="1:1" x14ac:dyDescent="0.3">
      <c r="A20225" s="12"/>
    </row>
    <row r="20226" spans="1:1" x14ac:dyDescent="0.3">
      <c r="A20226" s="12"/>
    </row>
    <row r="20227" spans="1:1" x14ac:dyDescent="0.3">
      <c r="A20227" s="12"/>
    </row>
    <row r="20228" spans="1:1" x14ac:dyDescent="0.3">
      <c r="A20228" s="12"/>
    </row>
    <row r="20229" spans="1:1" x14ac:dyDescent="0.3">
      <c r="A20229" s="12"/>
    </row>
    <row r="20230" spans="1:1" x14ac:dyDescent="0.3">
      <c r="A20230" s="12"/>
    </row>
    <row r="20231" spans="1:1" x14ac:dyDescent="0.3">
      <c r="A20231" s="12"/>
    </row>
    <row r="20232" spans="1:1" x14ac:dyDescent="0.3">
      <c r="A20232" s="12"/>
    </row>
    <row r="20233" spans="1:1" x14ac:dyDescent="0.3">
      <c r="A20233" s="12"/>
    </row>
    <row r="20234" spans="1:1" x14ac:dyDescent="0.3">
      <c r="A20234" s="12"/>
    </row>
    <row r="20235" spans="1:1" x14ac:dyDescent="0.3">
      <c r="A20235" s="12"/>
    </row>
    <row r="20236" spans="1:1" x14ac:dyDescent="0.3">
      <c r="A20236" s="12"/>
    </row>
    <row r="20237" spans="1:1" x14ac:dyDescent="0.3">
      <c r="A20237" s="12"/>
    </row>
    <row r="20238" spans="1:1" x14ac:dyDescent="0.3">
      <c r="A20238" s="12"/>
    </row>
    <row r="20239" spans="1:1" x14ac:dyDescent="0.3">
      <c r="A20239" s="12"/>
    </row>
    <row r="20240" spans="1:1" x14ac:dyDescent="0.3">
      <c r="A20240" s="12"/>
    </row>
    <row r="20241" spans="1:1" x14ac:dyDescent="0.3">
      <c r="A20241" s="12"/>
    </row>
    <row r="20242" spans="1:1" x14ac:dyDescent="0.3">
      <c r="A20242" s="12"/>
    </row>
    <row r="20243" spans="1:1" x14ac:dyDescent="0.3">
      <c r="A20243" s="12"/>
    </row>
    <row r="20244" spans="1:1" x14ac:dyDescent="0.3">
      <c r="A20244" s="12"/>
    </row>
    <row r="20245" spans="1:1" x14ac:dyDescent="0.3">
      <c r="A20245" s="12"/>
    </row>
    <row r="20246" spans="1:1" x14ac:dyDescent="0.3">
      <c r="A20246" s="12"/>
    </row>
    <row r="20247" spans="1:1" x14ac:dyDescent="0.3">
      <c r="A20247" s="12"/>
    </row>
    <row r="20248" spans="1:1" x14ac:dyDescent="0.3">
      <c r="A20248" s="12"/>
    </row>
    <row r="20249" spans="1:1" x14ac:dyDescent="0.3">
      <c r="A20249" s="12"/>
    </row>
    <row r="20250" spans="1:1" x14ac:dyDescent="0.3">
      <c r="A20250" s="12"/>
    </row>
    <row r="20251" spans="1:1" x14ac:dyDescent="0.3">
      <c r="A20251" s="12"/>
    </row>
    <row r="20252" spans="1:1" x14ac:dyDescent="0.3">
      <c r="A20252" s="12"/>
    </row>
    <row r="20253" spans="1:1" x14ac:dyDescent="0.3">
      <c r="A20253" s="12"/>
    </row>
    <row r="20254" spans="1:1" x14ac:dyDescent="0.3">
      <c r="A20254" s="12"/>
    </row>
    <row r="20255" spans="1:1" x14ac:dyDescent="0.3">
      <c r="A20255" s="12"/>
    </row>
    <row r="20256" spans="1:1" x14ac:dyDescent="0.3">
      <c r="A20256" s="12"/>
    </row>
    <row r="20257" spans="1:1" x14ac:dyDescent="0.3">
      <c r="A20257" s="12"/>
    </row>
    <row r="20258" spans="1:1" x14ac:dyDescent="0.3">
      <c r="A20258" s="12"/>
    </row>
    <row r="20259" spans="1:1" x14ac:dyDescent="0.3">
      <c r="A20259" s="12"/>
    </row>
    <row r="20260" spans="1:1" x14ac:dyDescent="0.3">
      <c r="A20260" s="12"/>
    </row>
    <row r="20261" spans="1:1" x14ac:dyDescent="0.3">
      <c r="A20261" s="12"/>
    </row>
    <row r="20262" spans="1:1" x14ac:dyDescent="0.3">
      <c r="A20262" s="12"/>
    </row>
    <row r="20263" spans="1:1" x14ac:dyDescent="0.3">
      <c r="A20263" s="12"/>
    </row>
    <row r="20264" spans="1:1" x14ac:dyDescent="0.3">
      <c r="A20264" s="12"/>
    </row>
    <row r="20265" spans="1:1" x14ac:dyDescent="0.3">
      <c r="A20265" s="12"/>
    </row>
    <row r="20266" spans="1:1" x14ac:dyDescent="0.3">
      <c r="A20266" s="12"/>
    </row>
    <row r="20267" spans="1:1" x14ac:dyDescent="0.3">
      <c r="A20267" s="12"/>
    </row>
    <row r="20268" spans="1:1" x14ac:dyDescent="0.3">
      <c r="A20268" s="12"/>
    </row>
    <row r="20269" spans="1:1" x14ac:dyDescent="0.3">
      <c r="A20269" s="12"/>
    </row>
    <row r="20270" spans="1:1" x14ac:dyDescent="0.3">
      <c r="A20270" s="12"/>
    </row>
    <row r="20271" spans="1:1" x14ac:dyDescent="0.3">
      <c r="A20271" s="12"/>
    </row>
    <row r="20272" spans="1:1" x14ac:dyDescent="0.3">
      <c r="A20272" s="12"/>
    </row>
    <row r="20273" spans="1:1" x14ac:dyDescent="0.3">
      <c r="A20273" s="12"/>
    </row>
    <row r="20274" spans="1:1" x14ac:dyDescent="0.3">
      <c r="A20274" s="12"/>
    </row>
    <row r="20275" spans="1:1" x14ac:dyDescent="0.3">
      <c r="A20275" s="12"/>
    </row>
    <row r="20276" spans="1:1" x14ac:dyDescent="0.3">
      <c r="A20276" s="12"/>
    </row>
    <row r="20277" spans="1:1" x14ac:dyDescent="0.3">
      <c r="A20277" s="12"/>
    </row>
    <row r="20278" spans="1:1" x14ac:dyDescent="0.3">
      <c r="A20278" s="12"/>
    </row>
    <row r="20279" spans="1:1" x14ac:dyDescent="0.3">
      <c r="A20279" s="12"/>
    </row>
    <row r="20280" spans="1:1" x14ac:dyDescent="0.3">
      <c r="A20280" s="12"/>
    </row>
    <row r="20281" spans="1:1" x14ac:dyDescent="0.3">
      <c r="A20281" s="12"/>
    </row>
    <row r="20282" spans="1:1" x14ac:dyDescent="0.3">
      <c r="A20282" s="12"/>
    </row>
    <row r="20283" spans="1:1" x14ac:dyDescent="0.3">
      <c r="A20283" s="12"/>
    </row>
    <row r="20284" spans="1:1" x14ac:dyDescent="0.3">
      <c r="A20284" s="12"/>
    </row>
    <row r="20285" spans="1:1" x14ac:dyDescent="0.3">
      <c r="A20285" s="12"/>
    </row>
    <row r="20286" spans="1:1" x14ac:dyDescent="0.3">
      <c r="A20286" s="12"/>
    </row>
    <row r="20287" spans="1:1" x14ac:dyDescent="0.3">
      <c r="A20287" s="12"/>
    </row>
    <row r="20288" spans="1:1" x14ac:dyDescent="0.3">
      <c r="A20288" s="12"/>
    </row>
    <row r="20289" spans="1:1" x14ac:dyDescent="0.3">
      <c r="A20289" s="12"/>
    </row>
    <row r="20290" spans="1:1" x14ac:dyDescent="0.3">
      <c r="A20290" s="12"/>
    </row>
    <row r="20291" spans="1:1" x14ac:dyDescent="0.3">
      <c r="A20291" s="12"/>
    </row>
    <row r="20292" spans="1:1" x14ac:dyDescent="0.3">
      <c r="A20292" s="12"/>
    </row>
    <row r="20293" spans="1:1" x14ac:dyDescent="0.3">
      <c r="A20293" s="12"/>
    </row>
    <row r="20294" spans="1:1" x14ac:dyDescent="0.3">
      <c r="A20294" s="12"/>
    </row>
    <row r="20295" spans="1:1" x14ac:dyDescent="0.3">
      <c r="A20295" s="12"/>
    </row>
    <row r="20296" spans="1:1" x14ac:dyDescent="0.3">
      <c r="A20296" s="12"/>
    </row>
    <row r="20297" spans="1:1" x14ac:dyDescent="0.3">
      <c r="A20297" s="12"/>
    </row>
    <row r="20298" spans="1:1" x14ac:dyDescent="0.3">
      <c r="A20298" s="12"/>
    </row>
    <row r="20299" spans="1:1" x14ac:dyDescent="0.3">
      <c r="A20299" s="12"/>
    </row>
    <row r="20300" spans="1:1" x14ac:dyDescent="0.3">
      <c r="A20300" s="12"/>
    </row>
    <row r="20301" spans="1:1" x14ac:dyDescent="0.3">
      <c r="A20301" s="12"/>
    </row>
    <row r="20302" spans="1:1" x14ac:dyDescent="0.3">
      <c r="A20302" s="12"/>
    </row>
    <row r="20303" spans="1:1" x14ac:dyDescent="0.3">
      <c r="A20303" s="12"/>
    </row>
    <row r="20304" spans="1:1" x14ac:dyDescent="0.3">
      <c r="A20304" s="12"/>
    </row>
    <row r="20305" spans="1:1" x14ac:dyDescent="0.3">
      <c r="A20305" s="12"/>
    </row>
    <row r="20306" spans="1:1" x14ac:dyDescent="0.3">
      <c r="A20306" s="12"/>
    </row>
    <row r="20307" spans="1:1" x14ac:dyDescent="0.3">
      <c r="A20307" s="12"/>
    </row>
    <row r="20308" spans="1:1" x14ac:dyDescent="0.3">
      <c r="A20308" s="12"/>
    </row>
    <row r="20309" spans="1:1" x14ac:dyDescent="0.3">
      <c r="A20309" s="12"/>
    </row>
    <row r="20310" spans="1:1" x14ac:dyDescent="0.3">
      <c r="A20310" s="12"/>
    </row>
    <row r="20311" spans="1:1" x14ac:dyDescent="0.3">
      <c r="A20311" s="12"/>
    </row>
    <row r="20312" spans="1:1" x14ac:dyDescent="0.3">
      <c r="A20312" s="12"/>
    </row>
    <row r="20313" spans="1:1" x14ac:dyDescent="0.3">
      <c r="A20313" s="12"/>
    </row>
    <row r="20314" spans="1:1" x14ac:dyDescent="0.3">
      <c r="A20314" s="12"/>
    </row>
    <row r="20315" spans="1:1" x14ac:dyDescent="0.3">
      <c r="A20315" s="12"/>
    </row>
    <row r="20316" spans="1:1" x14ac:dyDescent="0.3">
      <c r="A20316" s="12"/>
    </row>
    <row r="20317" spans="1:1" x14ac:dyDescent="0.3">
      <c r="A20317" s="12"/>
    </row>
    <row r="20318" spans="1:1" x14ac:dyDescent="0.3">
      <c r="A20318" s="12"/>
    </row>
    <row r="20319" spans="1:1" x14ac:dyDescent="0.3">
      <c r="A20319" s="12"/>
    </row>
    <row r="20320" spans="1:1" x14ac:dyDescent="0.3">
      <c r="A20320" s="12"/>
    </row>
    <row r="20321" spans="1:1" x14ac:dyDescent="0.3">
      <c r="A20321" s="12"/>
    </row>
    <row r="20322" spans="1:1" x14ac:dyDescent="0.3">
      <c r="A20322" s="12"/>
    </row>
    <row r="20323" spans="1:1" x14ac:dyDescent="0.3">
      <c r="A20323" s="12"/>
    </row>
    <row r="20324" spans="1:1" x14ac:dyDescent="0.3">
      <c r="A20324" s="12"/>
    </row>
    <row r="20325" spans="1:1" x14ac:dyDescent="0.3">
      <c r="A20325" s="12"/>
    </row>
    <row r="20326" spans="1:1" x14ac:dyDescent="0.3">
      <c r="A20326" s="12"/>
    </row>
    <row r="20327" spans="1:1" x14ac:dyDescent="0.3">
      <c r="A20327" s="12"/>
    </row>
    <row r="20328" spans="1:1" x14ac:dyDescent="0.3">
      <c r="A20328" s="12"/>
    </row>
    <row r="20329" spans="1:1" x14ac:dyDescent="0.3">
      <c r="A20329" s="12"/>
    </row>
    <row r="20330" spans="1:1" x14ac:dyDescent="0.3">
      <c r="A20330" s="12"/>
    </row>
    <row r="20331" spans="1:1" x14ac:dyDescent="0.3">
      <c r="A20331" s="12"/>
    </row>
    <row r="20332" spans="1:1" x14ac:dyDescent="0.3">
      <c r="A20332" s="12"/>
    </row>
    <row r="20333" spans="1:1" x14ac:dyDescent="0.3">
      <c r="A20333" s="12"/>
    </row>
    <row r="20334" spans="1:1" x14ac:dyDescent="0.3">
      <c r="A20334" s="12"/>
    </row>
    <row r="20335" spans="1:1" x14ac:dyDescent="0.3">
      <c r="A20335" s="12"/>
    </row>
    <row r="20336" spans="1:1" x14ac:dyDescent="0.3">
      <c r="A20336" s="12"/>
    </row>
    <row r="20337" spans="1:1" x14ac:dyDescent="0.3">
      <c r="A20337" s="12"/>
    </row>
    <row r="20338" spans="1:1" x14ac:dyDescent="0.3">
      <c r="A20338" s="12"/>
    </row>
    <row r="20339" spans="1:1" x14ac:dyDescent="0.3">
      <c r="A20339" s="12"/>
    </row>
    <row r="20340" spans="1:1" x14ac:dyDescent="0.3">
      <c r="A20340" s="12"/>
    </row>
    <row r="20341" spans="1:1" x14ac:dyDescent="0.3">
      <c r="A20341" s="12"/>
    </row>
    <row r="20342" spans="1:1" x14ac:dyDescent="0.3">
      <c r="A20342" s="12"/>
    </row>
    <row r="20343" spans="1:1" x14ac:dyDescent="0.3">
      <c r="A20343" s="12"/>
    </row>
    <row r="20344" spans="1:1" x14ac:dyDescent="0.3">
      <c r="A20344" s="12"/>
    </row>
    <row r="20345" spans="1:1" x14ac:dyDescent="0.3">
      <c r="A20345" s="12"/>
    </row>
    <row r="20346" spans="1:1" x14ac:dyDescent="0.3">
      <c r="A20346" s="12"/>
    </row>
    <row r="20347" spans="1:1" x14ac:dyDescent="0.3">
      <c r="A20347" s="12"/>
    </row>
    <row r="20348" spans="1:1" x14ac:dyDescent="0.3">
      <c r="A20348" s="12"/>
    </row>
    <row r="20349" spans="1:1" x14ac:dyDescent="0.3">
      <c r="A20349" s="12"/>
    </row>
    <row r="20350" spans="1:1" x14ac:dyDescent="0.3">
      <c r="A20350" s="12"/>
    </row>
    <row r="20351" spans="1:1" x14ac:dyDescent="0.3">
      <c r="A20351" s="12"/>
    </row>
    <row r="20352" spans="1:1" x14ac:dyDescent="0.3">
      <c r="A20352" s="12"/>
    </row>
    <row r="20353" spans="1:1" x14ac:dyDescent="0.3">
      <c r="A20353" s="12"/>
    </row>
    <row r="20354" spans="1:1" x14ac:dyDescent="0.3">
      <c r="A20354" s="12"/>
    </row>
    <row r="20355" spans="1:1" x14ac:dyDescent="0.3">
      <c r="A20355" s="12"/>
    </row>
    <row r="20356" spans="1:1" x14ac:dyDescent="0.3">
      <c r="A20356" s="12"/>
    </row>
    <row r="20357" spans="1:1" x14ac:dyDescent="0.3">
      <c r="A20357" s="12"/>
    </row>
    <row r="20358" spans="1:1" x14ac:dyDescent="0.3">
      <c r="A20358" s="12"/>
    </row>
    <row r="20359" spans="1:1" x14ac:dyDescent="0.3">
      <c r="A20359" s="12"/>
    </row>
    <row r="20360" spans="1:1" x14ac:dyDescent="0.3">
      <c r="A20360" s="12"/>
    </row>
    <row r="20361" spans="1:1" x14ac:dyDescent="0.3">
      <c r="A20361" s="12"/>
    </row>
    <row r="20362" spans="1:1" x14ac:dyDescent="0.3">
      <c r="A20362" s="12"/>
    </row>
    <row r="20363" spans="1:1" x14ac:dyDescent="0.3">
      <c r="A20363" s="12"/>
    </row>
    <row r="20364" spans="1:1" x14ac:dyDescent="0.3">
      <c r="A20364" s="12"/>
    </row>
    <row r="20365" spans="1:1" x14ac:dyDescent="0.3">
      <c r="A20365" s="12"/>
    </row>
    <row r="20366" spans="1:1" x14ac:dyDescent="0.3">
      <c r="A20366" s="12"/>
    </row>
    <row r="20367" spans="1:1" x14ac:dyDescent="0.3">
      <c r="A20367" s="12"/>
    </row>
    <row r="20368" spans="1:1" x14ac:dyDescent="0.3">
      <c r="A20368" s="12"/>
    </row>
    <row r="20369" spans="1:1" x14ac:dyDescent="0.3">
      <c r="A20369" s="12"/>
    </row>
    <row r="20370" spans="1:1" x14ac:dyDescent="0.3">
      <c r="A20370" s="12"/>
    </row>
    <row r="20371" spans="1:1" x14ac:dyDescent="0.3">
      <c r="A20371" s="12"/>
    </row>
    <row r="20372" spans="1:1" x14ac:dyDescent="0.3">
      <c r="A20372" s="12"/>
    </row>
    <row r="20373" spans="1:1" x14ac:dyDescent="0.3">
      <c r="A20373" s="12"/>
    </row>
    <row r="20374" spans="1:1" x14ac:dyDescent="0.3">
      <c r="A20374" s="12"/>
    </row>
    <row r="20375" spans="1:1" x14ac:dyDescent="0.3">
      <c r="A20375" s="12"/>
    </row>
    <row r="20376" spans="1:1" x14ac:dyDescent="0.3">
      <c r="A20376" s="12"/>
    </row>
    <row r="20377" spans="1:1" x14ac:dyDescent="0.3">
      <c r="A20377" s="12"/>
    </row>
    <row r="20378" spans="1:1" x14ac:dyDescent="0.3">
      <c r="A20378" s="12"/>
    </row>
    <row r="20379" spans="1:1" x14ac:dyDescent="0.3">
      <c r="A20379" s="12"/>
    </row>
    <row r="20380" spans="1:1" x14ac:dyDescent="0.3">
      <c r="A20380" s="12"/>
    </row>
    <row r="20381" spans="1:1" x14ac:dyDescent="0.3">
      <c r="A20381" s="12"/>
    </row>
    <row r="20382" spans="1:1" x14ac:dyDescent="0.3">
      <c r="A20382" s="12"/>
    </row>
    <row r="20383" spans="1:1" x14ac:dyDescent="0.3">
      <c r="A20383" s="12"/>
    </row>
    <row r="20384" spans="1:1" x14ac:dyDescent="0.3">
      <c r="A20384" s="12"/>
    </row>
    <row r="20385" spans="1:1" x14ac:dyDescent="0.3">
      <c r="A20385" s="12"/>
    </row>
    <row r="20386" spans="1:1" x14ac:dyDescent="0.3">
      <c r="A20386" s="12"/>
    </row>
    <row r="20387" spans="1:1" x14ac:dyDescent="0.3">
      <c r="A20387" s="12"/>
    </row>
    <row r="20388" spans="1:1" x14ac:dyDescent="0.3">
      <c r="A20388" s="12"/>
    </row>
    <row r="20389" spans="1:1" x14ac:dyDescent="0.3">
      <c r="A20389" s="12"/>
    </row>
    <row r="20390" spans="1:1" x14ac:dyDescent="0.3">
      <c r="A20390" s="12"/>
    </row>
    <row r="20391" spans="1:1" x14ac:dyDescent="0.3">
      <c r="A20391" s="12"/>
    </row>
    <row r="20392" spans="1:1" x14ac:dyDescent="0.3">
      <c r="A20392" s="12"/>
    </row>
    <row r="20393" spans="1:1" x14ac:dyDescent="0.3">
      <c r="A20393" s="12"/>
    </row>
    <row r="20394" spans="1:1" x14ac:dyDescent="0.3">
      <c r="A20394" s="12"/>
    </row>
    <row r="20395" spans="1:1" x14ac:dyDescent="0.3">
      <c r="A20395" s="12"/>
    </row>
    <row r="20396" spans="1:1" x14ac:dyDescent="0.3">
      <c r="A20396" s="12"/>
    </row>
    <row r="20397" spans="1:1" x14ac:dyDescent="0.3">
      <c r="A20397" s="12"/>
    </row>
    <row r="20398" spans="1:1" x14ac:dyDescent="0.3">
      <c r="A20398" s="12"/>
    </row>
    <row r="20399" spans="1:1" x14ac:dyDescent="0.3">
      <c r="A20399" s="12"/>
    </row>
    <row r="20400" spans="1:1" x14ac:dyDescent="0.3">
      <c r="A20400" s="12"/>
    </row>
    <row r="20401" spans="1:1" x14ac:dyDescent="0.3">
      <c r="A20401" s="12"/>
    </row>
    <row r="20402" spans="1:1" x14ac:dyDescent="0.3">
      <c r="A20402" s="12"/>
    </row>
    <row r="20403" spans="1:1" x14ac:dyDescent="0.3">
      <c r="A20403" s="12"/>
    </row>
    <row r="20404" spans="1:1" x14ac:dyDescent="0.3">
      <c r="A20404" s="12"/>
    </row>
    <row r="20405" spans="1:1" x14ac:dyDescent="0.3">
      <c r="A20405" s="12"/>
    </row>
    <row r="20406" spans="1:1" x14ac:dyDescent="0.3">
      <c r="A20406" s="12"/>
    </row>
    <row r="20407" spans="1:1" x14ac:dyDescent="0.3">
      <c r="A20407" s="12"/>
    </row>
    <row r="20408" spans="1:1" x14ac:dyDescent="0.3">
      <c r="A20408" s="12"/>
    </row>
    <row r="20409" spans="1:1" x14ac:dyDescent="0.3">
      <c r="A20409" s="12"/>
    </row>
    <row r="20410" spans="1:1" x14ac:dyDescent="0.3">
      <c r="A20410" s="12"/>
    </row>
    <row r="20411" spans="1:1" x14ac:dyDescent="0.3">
      <c r="A20411" s="12"/>
    </row>
    <row r="20412" spans="1:1" x14ac:dyDescent="0.3">
      <c r="A20412" s="12"/>
    </row>
    <row r="20413" spans="1:1" x14ac:dyDescent="0.3">
      <c r="A20413" s="12"/>
    </row>
    <row r="20414" spans="1:1" x14ac:dyDescent="0.3">
      <c r="A20414" s="12"/>
    </row>
    <row r="20415" spans="1:1" x14ac:dyDescent="0.3">
      <c r="A20415" s="12"/>
    </row>
    <row r="20416" spans="1:1" x14ac:dyDescent="0.3">
      <c r="A20416" s="12"/>
    </row>
    <row r="20417" spans="1:1" x14ac:dyDescent="0.3">
      <c r="A20417" s="12"/>
    </row>
    <row r="20418" spans="1:1" x14ac:dyDescent="0.3">
      <c r="A20418" s="12"/>
    </row>
    <row r="20419" spans="1:1" x14ac:dyDescent="0.3">
      <c r="A20419" s="12"/>
    </row>
    <row r="20420" spans="1:1" x14ac:dyDescent="0.3">
      <c r="A20420" s="12"/>
    </row>
    <row r="20421" spans="1:1" x14ac:dyDescent="0.3">
      <c r="A20421" s="12"/>
    </row>
    <row r="20422" spans="1:1" x14ac:dyDescent="0.3">
      <c r="A20422" s="12"/>
    </row>
    <row r="20423" spans="1:1" x14ac:dyDescent="0.3">
      <c r="A20423" s="12"/>
    </row>
    <row r="20424" spans="1:1" x14ac:dyDescent="0.3">
      <c r="A20424" s="12"/>
    </row>
    <row r="20425" spans="1:1" x14ac:dyDescent="0.3">
      <c r="A20425" s="12"/>
    </row>
    <row r="20426" spans="1:1" x14ac:dyDescent="0.3">
      <c r="A20426" s="12"/>
    </row>
    <row r="20427" spans="1:1" x14ac:dyDescent="0.3">
      <c r="A20427" s="12"/>
    </row>
    <row r="20428" spans="1:1" x14ac:dyDescent="0.3">
      <c r="A20428" s="12"/>
    </row>
    <row r="20429" spans="1:1" x14ac:dyDescent="0.3">
      <c r="A20429" s="12"/>
    </row>
    <row r="20430" spans="1:1" x14ac:dyDescent="0.3">
      <c r="A20430" s="12"/>
    </row>
    <row r="20431" spans="1:1" x14ac:dyDescent="0.3">
      <c r="A20431" s="12"/>
    </row>
    <row r="20432" spans="1:1" x14ac:dyDescent="0.3">
      <c r="A20432" s="12"/>
    </row>
    <row r="20433" spans="1:1" x14ac:dyDescent="0.3">
      <c r="A20433" s="12"/>
    </row>
    <row r="20434" spans="1:1" x14ac:dyDescent="0.3">
      <c r="A20434" s="12"/>
    </row>
    <row r="20435" spans="1:1" x14ac:dyDescent="0.3">
      <c r="A20435" s="12"/>
    </row>
    <row r="20436" spans="1:1" x14ac:dyDescent="0.3">
      <c r="A20436" s="12"/>
    </row>
    <row r="20437" spans="1:1" x14ac:dyDescent="0.3">
      <c r="A20437" s="12"/>
    </row>
    <row r="20438" spans="1:1" x14ac:dyDescent="0.3">
      <c r="A20438" s="12"/>
    </row>
    <row r="20439" spans="1:1" x14ac:dyDescent="0.3">
      <c r="A20439" s="12"/>
    </row>
    <row r="20440" spans="1:1" x14ac:dyDescent="0.3">
      <c r="A20440" s="12"/>
    </row>
    <row r="20441" spans="1:1" x14ac:dyDescent="0.3">
      <c r="A20441" s="12"/>
    </row>
    <row r="20442" spans="1:1" x14ac:dyDescent="0.3">
      <c r="A20442" s="12"/>
    </row>
    <row r="20443" spans="1:1" x14ac:dyDescent="0.3">
      <c r="A20443" s="12"/>
    </row>
    <row r="20444" spans="1:1" x14ac:dyDescent="0.3">
      <c r="A20444" s="12"/>
    </row>
    <row r="20445" spans="1:1" x14ac:dyDescent="0.3">
      <c r="A20445" s="12"/>
    </row>
    <row r="20446" spans="1:1" x14ac:dyDescent="0.3">
      <c r="A20446" s="12"/>
    </row>
    <row r="20447" spans="1:1" x14ac:dyDescent="0.3">
      <c r="A20447" s="12"/>
    </row>
    <row r="20448" spans="1:1" x14ac:dyDescent="0.3">
      <c r="A20448" s="12"/>
    </row>
    <row r="20449" spans="1:1" x14ac:dyDescent="0.3">
      <c r="A20449" s="12"/>
    </row>
    <row r="20450" spans="1:1" x14ac:dyDescent="0.3">
      <c r="A20450" s="12"/>
    </row>
    <row r="20451" spans="1:1" x14ac:dyDescent="0.3">
      <c r="A20451" s="12"/>
    </row>
    <row r="20452" spans="1:1" x14ac:dyDescent="0.3">
      <c r="A20452" s="12"/>
    </row>
    <row r="20453" spans="1:1" x14ac:dyDescent="0.3">
      <c r="A20453" s="12"/>
    </row>
    <row r="20454" spans="1:1" x14ac:dyDescent="0.3">
      <c r="A20454" s="12"/>
    </row>
    <row r="20455" spans="1:1" x14ac:dyDescent="0.3">
      <c r="A20455" s="12"/>
    </row>
    <row r="20456" spans="1:1" x14ac:dyDescent="0.3">
      <c r="A20456" s="12"/>
    </row>
    <row r="20457" spans="1:1" x14ac:dyDescent="0.3">
      <c r="A20457" s="12"/>
    </row>
    <row r="20458" spans="1:1" x14ac:dyDescent="0.3">
      <c r="A20458" s="12"/>
    </row>
    <row r="20459" spans="1:1" x14ac:dyDescent="0.3">
      <c r="A20459" s="12"/>
    </row>
    <row r="20460" spans="1:1" x14ac:dyDescent="0.3">
      <c r="A20460" s="12"/>
    </row>
    <row r="20461" spans="1:1" x14ac:dyDescent="0.3">
      <c r="A20461" s="12"/>
    </row>
    <row r="20462" spans="1:1" x14ac:dyDescent="0.3">
      <c r="A20462" s="12"/>
    </row>
    <row r="20463" spans="1:1" x14ac:dyDescent="0.3">
      <c r="A20463" s="12"/>
    </row>
    <row r="20464" spans="1:1" x14ac:dyDescent="0.3">
      <c r="A20464" s="12"/>
    </row>
    <row r="20465" spans="1:1" x14ac:dyDescent="0.3">
      <c r="A20465" s="12"/>
    </row>
    <row r="20466" spans="1:1" x14ac:dyDescent="0.3">
      <c r="A20466" s="12"/>
    </row>
    <row r="20467" spans="1:1" x14ac:dyDescent="0.3">
      <c r="A20467" s="12"/>
    </row>
    <row r="20468" spans="1:1" x14ac:dyDescent="0.3">
      <c r="A20468" s="12"/>
    </row>
    <row r="20469" spans="1:1" x14ac:dyDescent="0.3">
      <c r="A20469" s="12"/>
    </row>
    <row r="20470" spans="1:1" x14ac:dyDescent="0.3">
      <c r="A20470" s="12"/>
    </row>
    <row r="20471" spans="1:1" x14ac:dyDescent="0.3">
      <c r="A20471" s="12"/>
    </row>
    <row r="20472" spans="1:1" x14ac:dyDescent="0.3">
      <c r="A20472" s="12"/>
    </row>
    <row r="20473" spans="1:1" x14ac:dyDescent="0.3">
      <c r="A20473" s="12"/>
    </row>
    <row r="20474" spans="1:1" x14ac:dyDescent="0.3">
      <c r="A20474" s="12"/>
    </row>
    <row r="20475" spans="1:1" x14ac:dyDescent="0.3">
      <c r="A20475" s="12"/>
    </row>
    <row r="20476" spans="1:1" x14ac:dyDescent="0.3">
      <c r="A20476" s="12"/>
    </row>
    <row r="20477" spans="1:1" x14ac:dyDescent="0.3">
      <c r="A20477" s="12"/>
    </row>
    <row r="20478" spans="1:1" x14ac:dyDescent="0.3">
      <c r="A20478" s="12"/>
    </row>
    <row r="20479" spans="1:1" x14ac:dyDescent="0.3">
      <c r="A20479" s="12"/>
    </row>
    <row r="20480" spans="1:1" x14ac:dyDescent="0.3">
      <c r="A20480" s="12"/>
    </row>
    <row r="20481" spans="1:1" x14ac:dyDescent="0.3">
      <c r="A20481" s="12"/>
    </row>
    <row r="20482" spans="1:1" x14ac:dyDescent="0.3">
      <c r="A20482" s="12"/>
    </row>
    <row r="20483" spans="1:1" x14ac:dyDescent="0.3">
      <c r="A20483" s="12"/>
    </row>
    <row r="20484" spans="1:1" x14ac:dyDescent="0.3">
      <c r="A20484" s="12"/>
    </row>
    <row r="20485" spans="1:1" x14ac:dyDescent="0.3">
      <c r="A20485" s="12"/>
    </row>
    <row r="20486" spans="1:1" x14ac:dyDescent="0.3">
      <c r="A20486" s="12"/>
    </row>
    <row r="20487" spans="1:1" x14ac:dyDescent="0.3">
      <c r="A20487" s="12"/>
    </row>
    <row r="20488" spans="1:1" x14ac:dyDescent="0.3">
      <c r="A20488" s="12"/>
    </row>
    <row r="20489" spans="1:1" x14ac:dyDescent="0.3">
      <c r="A20489" s="12"/>
    </row>
    <row r="20490" spans="1:1" x14ac:dyDescent="0.3">
      <c r="A20490" s="12"/>
    </row>
    <row r="20491" spans="1:1" x14ac:dyDescent="0.3">
      <c r="A20491" s="12"/>
    </row>
    <row r="20492" spans="1:1" x14ac:dyDescent="0.3">
      <c r="A20492" s="12"/>
    </row>
    <row r="20493" spans="1:1" x14ac:dyDescent="0.3">
      <c r="A20493" s="12"/>
    </row>
    <row r="20494" spans="1:1" x14ac:dyDescent="0.3">
      <c r="A20494" s="12"/>
    </row>
    <row r="20495" spans="1:1" x14ac:dyDescent="0.3">
      <c r="A20495" s="12"/>
    </row>
    <row r="20496" spans="1:1" x14ac:dyDescent="0.3">
      <c r="A20496" s="12"/>
    </row>
    <row r="20497" spans="1:1" x14ac:dyDescent="0.3">
      <c r="A20497" s="12"/>
    </row>
    <row r="20498" spans="1:1" x14ac:dyDescent="0.3">
      <c r="A20498" s="12"/>
    </row>
    <row r="20499" spans="1:1" x14ac:dyDescent="0.3">
      <c r="A20499" s="12"/>
    </row>
    <row r="20500" spans="1:1" x14ac:dyDescent="0.3">
      <c r="A20500" s="12"/>
    </row>
    <row r="20501" spans="1:1" x14ac:dyDescent="0.3">
      <c r="A20501" s="12"/>
    </row>
    <row r="20502" spans="1:1" x14ac:dyDescent="0.3">
      <c r="A20502" s="12"/>
    </row>
    <row r="20503" spans="1:1" x14ac:dyDescent="0.3">
      <c r="A20503" s="12"/>
    </row>
    <row r="20504" spans="1:1" x14ac:dyDescent="0.3">
      <c r="A20504" s="12"/>
    </row>
    <row r="20505" spans="1:1" x14ac:dyDescent="0.3">
      <c r="A20505" s="12"/>
    </row>
    <row r="20506" spans="1:1" x14ac:dyDescent="0.3">
      <c r="A20506" s="12"/>
    </row>
    <row r="20507" spans="1:1" x14ac:dyDescent="0.3">
      <c r="A20507" s="12"/>
    </row>
    <row r="20508" spans="1:1" x14ac:dyDescent="0.3">
      <c r="A20508" s="12"/>
    </row>
    <row r="20509" spans="1:1" x14ac:dyDescent="0.3">
      <c r="A20509" s="12"/>
    </row>
    <row r="20510" spans="1:1" x14ac:dyDescent="0.3">
      <c r="A20510" s="12"/>
    </row>
    <row r="20511" spans="1:1" x14ac:dyDescent="0.3">
      <c r="A20511" s="12"/>
    </row>
    <row r="20512" spans="1:1" x14ac:dyDescent="0.3">
      <c r="A20512" s="12"/>
    </row>
    <row r="20513" spans="1:1" x14ac:dyDescent="0.3">
      <c r="A20513" s="12"/>
    </row>
    <row r="20514" spans="1:1" x14ac:dyDescent="0.3">
      <c r="A20514" s="12"/>
    </row>
    <row r="20515" spans="1:1" x14ac:dyDescent="0.3">
      <c r="A20515" s="12"/>
    </row>
    <row r="20516" spans="1:1" x14ac:dyDescent="0.3">
      <c r="A20516" s="12"/>
    </row>
    <row r="20517" spans="1:1" x14ac:dyDescent="0.3">
      <c r="A20517" s="12"/>
    </row>
    <row r="20518" spans="1:1" x14ac:dyDescent="0.3">
      <c r="A20518" s="12"/>
    </row>
    <row r="20519" spans="1:1" x14ac:dyDescent="0.3">
      <c r="A20519" s="12"/>
    </row>
    <row r="20520" spans="1:1" x14ac:dyDescent="0.3">
      <c r="A20520" s="12"/>
    </row>
    <row r="20521" spans="1:1" x14ac:dyDescent="0.3">
      <c r="A20521" s="12"/>
    </row>
    <row r="20522" spans="1:1" x14ac:dyDescent="0.3">
      <c r="A20522" s="12"/>
    </row>
    <row r="20523" spans="1:1" x14ac:dyDescent="0.3">
      <c r="A20523" s="12"/>
    </row>
    <row r="20524" spans="1:1" x14ac:dyDescent="0.3">
      <c r="A20524" s="12"/>
    </row>
    <row r="20525" spans="1:1" x14ac:dyDescent="0.3">
      <c r="A20525" s="12"/>
    </row>
    <row r="20526" spans="1:1" x14ac:dyDescent="0.3">
      <c r="A20526" s="12"/>
    </row>
    <row r="20527" spans="1:1" x14ac:dyDescent="0.3">
      <c r="A20527" s="12"/>
    </row>
    <row r="20528" spans="1:1" x14ac:dyDescent="0.3">
      <c r="A20528" s="12"/>
    </row>
    <row r="20529" spans="1:1" x14ac:dyDescent="0.3">
      <c r="A20529" s="12"/>
    </row>
    <row r="20530" spans="1:1" x14ac:dyDescent="0.3">
      <c r="A20530" s="12"/>
    </row>
    <row r="20531" spans="1:1" x14ac:dyDescent="0.3">
      <c r="A20531" s="12"/>
    </row>
    <row r="20532" spans="1:1" x14ac:dyDescent="0.3">
      <c r="A20532" s="12"/>
    </row>
    <row r="20533" spans="1:1" x14ac:dyDescent="0.3">
      <c r="A20533" s="12"/>
    </row>
    <row r="20534" spans="1:1" x14ac:dyDescent="0.3">
      <c r="A20534" s="12"/>
    </row>
    <row r="20535" spans="1:1" x14ac:dyDescent="0.3">
      <c r="A20535" s="12"/>
    </row>
    <row r="20536" spans="1:1" x14ac:dyDescent="0.3">
      <c r="A20536" s="12"/>
    </row>
    <row r="20537" spans="1:1" x14ac:dyDescent="0.3">
      <c r="A20537" s="12"/>
    </row>
    <row r="20538" spans="1:1" x14ac:dyDescent="0.3">
      <c r="A20538" s="12"/>
    </row>
    <row r="20539" spans="1:1" x14ac:dyDescent="0.3">
      <c r="A20539" s="12"/>
    </row>
    <row r="20540" spans="1:1" x14ac:dyDescent="0.3">
      <c r="A20540" s="12"/>
    </row>
    <row r="20541" spans="1:1" x14ac:dyDescent="0.3">
      <c r="A20541" s="12"/>
    </row>
    <row r="20542" spans="1:1" x14ac:dyDescent="0.3">
      <c r="A20542" s="12"/>
    </row>
    <row r="20543" spans="1:1" x14ac:dyDescent="0.3">
      <c r="A20543" s="12"/>
    </row>
    <row r="20544" spans="1:1" x14ac:dyDescent="0.3">
      <c r="A20544" s="12"/>
    </row>
    <row r="20545" spans="1:1" x14ac:dyDescent="0.3">
      <c r="A20545" s="12"/>
    </row>
    <row r="20546" spans="1:1" x14ac:dyDescent="0.3">
      <c r="A20546" s="12"/>
    </row>
    <row r="20547" spans="1:1" x14ac:dyDescent="0.3">
      <c r="A20547" s="12"/>
    </row>
    <row r="20548" spans="1:1" x14ac:dyDescent="0.3">
      <c r="A20548" s="12"/>
    </row>
    <row r="20549" spans="1:1" x14ac:dyDescent="0.3">
      <c r="A20549" s="12"/>
    </row>
    <row r="20550" spans="1:1" x14ac:dyDescent="0.3">
      <c r="A20550" s="12"/>
    </row>
    <row r="20551" spans="1:1" x14ac:dyDescent="0.3">
      <c r="A20551" s="12"/>
    </row>
    <row r="20552" spans="1:1" x14ac:dyDescent="0.3">
      <c r="A20552" s="12"/>
    </row>
    <row r="20553" spans="1:1" x14ac:dyDescent="0.3">
      <c r="A20553" s="12"/>
    </row>
    <row r="20554" spans="1:1" x14ac:dyDescent="0.3">
      <c r="A20554" s="12"/>
    </row>
    <row r="20555" spans="1:1" x14ac:dyDescent="0.3">
      <c r="A20555" s="12"/>
    </row>
    <row r="20556" spans="1:1" x14ac:dyDescent="0.3">
      <c r="A20556" s="12"/>
    </row>
    <row r="20557" spans="1:1" x14ac:dyDescent="0.3">
      <c r="A20557" s="12"/>
    </row>
    <row r="20558" spans="1:1" x14ac:dyDescent="0.3">
      <c r="A20558" s="12"/>
    </row>
    <row r="20559" spans="1:1" x14ac:dyDescent="0.3">
      <c r="A20559" s="12"/>
    </row>
    <row r="20560" spans="1:1" x14ac:dyDescent="0.3">
      <c r="A20560" s="12"/>
    </row>
    <row r="20561" spans="1:1" x14ac:dyDescent="0.3">
      <c r="A20561" s="12"/>
    </row>
    <row r="20562" spans="1:1" x14ac:dyDescent="0.3">
      <c r="A20562" s="12"/>
    </row>
    <row r="20563" spans="1:1" x14ac:dyDescent="0.3">
      <c r="A20563" s="12"/>
    </row>
    <row r="20564" spans="1:1" x14ac:dyDescent="0.3">
      <c r="A20564" s="12"/>
    </row>
    <row r="20565" spans="1:1" x14ac:dyDescent="0.3">
      <c r="A20565" s="12"/>
    </row>
    <row r="20566" spans="1:1" x14ac:dyDescent="0.3">
      <c r="A20566" s="12"/>
    </row>
    <row r="20567" spans="1:1" x14ac:dyDescent="0.3">
      <c r="A20567" s="12"/>
    </row>
    <row r="20568" spans="1:1" x14ac:dyDescent="0.3">
      <c r="A20568" s="12"/>
    </row>
    <row r="20569" spans="1:1" x14ac:dyDescent="0.3">
      <c r="A20569" s="12"/>
    </row>
    <row r="20570" spans="1:1" x14ac:dyDescent="0.3">
      <c r="A20570" s="12"/>
    </row>
    <row r="20571" spans="1:1" x14ac:dyDescent="0.3">
      <c r="A20571" s="12"/>
    </row>
    <row r="20572" spans="1:1" x14ac:dyDescent="0.3">
      <c r="A20572" s="12"/>
    </row>
    <row r="20573" spans="1:1" x14ac:dyDescent="0.3">
      <c r="A20573" s="12"/>
    </row>
    <row r="20574" spans="1:1" x14ac:dyDescent="0.3">
      <c r="A20574" s="12"/>
    </row>
    <row r="20575" spans="1:1" x14ac:dyDescent="0.3">
      <c r="A20575" s="12"/>
    </row>
    <row r="20576" spans="1:1" x14ac:dyDescent="0.3">
      <c r="A20576" s="12"/>
    </row>
    <row r="20577" spans="1:1" x14ac:dyDescent="0.3">
      <c r="A20577" s="12"/>
    </row>
    <row r="20578" spans="1:1" x14ac:dyDescent="0.3">
      <c r="A20578" s="12"/>
    </row>
    <row r="20579" spans="1:1" x14ac:dyDescent="0.3">
      <c r="A20579" s="12"/>
    </row>
    <row r="20580" spans="1:1" x14ac:dyDescent="0.3">
      <c r="A20580" s="12"/>
    </row>
    <row r="20581" spans="1:1" x14ac:dyDescent="0.3">
      <c r="A20581" s="12"/>
    </row>
    <row r="20582" spans="1:1" x14ac:dyDescent="0.3">
      <c r="A20582" s="12"/>
    </row>
    <row r="20583" spans="1:1" x14ac:dyDescent="0.3">
      <c r="A20583" s="12"/>
    </row>
    <row r="20584" spans="1:1" x14ac:dyDescent="0.3">
      <c r="A20584" s="12"/>
    </row>
    <row r="20585" spans="1:1" x14ac:dyDescent="0.3">
      <c r="A20585" s="12"/>
    </row>
    <row r="20586" spans="1:1" x14ac:dyDescent="0.3">
      <c r="A20586" s="12"/>
    </row>
    <row r="20587" spans="1:1" x14ac:dyDescent="0.3">
      <c r="A20587" s="12"/>
    </row>
    <row r="20588" spans="1:1" x14ac:dyDescent="0.3">
      <c r="A20588" s="12"/>
    </row>
    <row r="20589" spans="1:1" x14ac:dyDescent="0.3">
      <c r="A20589" s="12"/>
    </row>
    <row r="20590" spans="1:1" x14ac:dyDescent="0.3">
      <c r="A20590" s="12"/>
    </row>
    <row r="20591" spans="1:1" x14ac:dyDescent="0.3">
      <c r="A20591" s="12"/>
    </row>
    <row r="20592" spans="1:1" x14ac:dyDescent="0.3">
      <c r="A20592" s="12"/>
    </row>
    <row r="20593" spans="1:1" x14ac:dyDescent="0.3">
      <c r="A20593" s="12"/>
    </row>
    <row r="20594" spans="1:1" x14ac:dyDescent="0.3">
      <c r="A20594" s="12"/>
    </row>
    <row r="20595" spans="1:1" x14ac:dyDescent="0.3">
      <c r="A20595" s="12"/>
    </row>
    <row r="20596" spans="1:1" x14ac:dyDescent="0.3">
      <c r="A20596" s="12"/>
    </row>
    <row r="20597" spans="1:1" x14ac:dyDescent="0.3">
      <c r="A20597" s="12"/>
    </row>
    <row r="20598" spans="1:1" x14ac:dyDescent="0.3">
      <c r="A20598" s="12"/>
    </row>
    <row r="20599" spans="1:1" x14ac:dyDescent="0.3">
      <c r="A20599" s="12"/>
    </row>
    <row r="20600" spans="1:1" x14ac:dyDescent="0.3">
      <c r="A20600" s="12"/>
    </row>
    <row r="20601" spans="1:1" x14ac:dyDescent="0.3">
      <c r="A20601" s="12"/>
    </row>
    <row r="20602" spans="1:1" x14ac:dyDescent="0.3">
      <c r="A20602" s="12"/>
    </row>
    <row r="20603" spans="1:1" x14ac:dyDescent="0.3">
      <c r="A20603" s="12"/>
    </row>
    <row r="20604" spans="1:1" x14ac:dyDescent="0.3">
      <c r="A20604" s="12"/>
    </row>
    <row r="20605" spans="1:1" x14ac:dyDescent="0.3">
      <c r="A20605" s="12"/>
    </row>
    <row r="20606" spans="1:1" x14ac:dyDescent="0.3">
      <c r="A20606" s="12"/>
    </row>
    <row r="20607" spans="1:1" x14ac:dyDescent="0.3">
      <c r="A20607" s="12"/>
    </row>
    <row r="20608" spans="1:1" x14ac:dyDescent="0.3">
      <c r="A20608" s="12"/>
    </row>
    <row r="20609" spans="1:1" x14ac:dyDescent="0.3">
      <c r="A20609" s="12"/>
    </row>
    <row r="20610" spans="1:1" x14ac:dyDescent="0.3">
      <c r="A20610" s="12"/>
    </row>
    <row r="20611" spans="1:1" x14ac:dyDescent="0.3">
      <c r="A20611" s="12"/>
    </row>
    <row r="20612" spans="1:1" x14ac:dyDescent="0.3">
      <c r="A20612" s="12"/>
    </row>
    <row r="20613" spans="1:1" x14ac:dyDescent="0.3">
      <c r="A20613" s="12"/>
    </row>
    <row r="20614" spans="1:1" x14ac:dyDescent="0.3">
      <c r="A20614" s="12"/>
    </row>
    <row r="20615" spans="1:1" x14ac:dyDescent="0.3">
      <c r="A20615" s="12"/>
    </row>
    <row r="20616" spans="1:1" x14ac:dyDescent="0.3">
      <c r="A20616" s="12"/>
    </row>
    <row r="20617" spans="1:1" x14ac:dyDescent="0.3">
      <c r="A20617" s="12"/>
    </row>
    <row r="20618" spans="1:1" x14ac:dyDescent="0.3">
      <c r="A20618" s="12"/>
    </row>
    <row r="20619" spans="1:1" x14ac:dyDescent="0.3">
      <c r="A20619" s="12"/>
    </row>
    <row r="20620" spans="1:1" x14ac:dyDescent="0.3">
      <c r="A20620" s="12"/>
    </row>
    <row r="20621" spans="1:1" x14ac:dyDescent="0.3">
      <c r="A20621" s="12"/>
    </row>
    <row r="20622" spans="1:1" x14ac:dyDescent="0.3">
      <c r="A20622" s="12"/>
    </row>
    <row r="20623" spans="1:1" x14ac:dyDescent="0.3">
      <c r="A20623" s="12"/>
    </row>
    <row r="20624" spans="1:1" x14ac:dyDescent="0.3">
      <c r="A20624" s="12"/>
    </row>
    <row r="20625" spans="1:1" x14ac:dyDescent="0.3">
      <c r="A20625" s="12"/>
    </row>
    <row r="20626" spans="1:1" x14ac:dyDescent="0.3">
      <c r="A20626" s="12"/>
    </row>
    <row r="20627" spans="1:1" x14ac:dyDescent="0.3">
      <c r="A20627" s="12"/>
    </row>
    <row r="20628" spans="1:1" x14ac:dyDescent="0.3">
      <c r="A20628" s="12"/>
    </row>
    <row r="20629" spans="1:1" x14ac:dyDescent="0.3">
      <c r="A20629" s="12"/>
    </row>
    <row r="20630" spans="1:1" x14ac:dyDescent="0.3">
      <c r="A20630" s="12"/>
    </row>
    <row r="20631" spans="1:1" x14ac:dyDescent="0.3">
      <c r="A20631" s="12"/>
    </row>
    <row r="20632" spans="1:1" x14ac:dyDescent="0.3">
      <c r="A20632" s="12"/>
    </row>
    <row r="20633" spans="1:1" x14ac:dyDescent="0.3">
      <c r="A20633" s="12"/>
    </row>
    <row r="20634" spans="1:1" x14ac:dyDescent="0.3">
      <c r="A20634" s="12"/>
    </row>
    <row r="20635" spans="1:1" x14ac:dyDescent="0.3">
      <c r="A20635" s="12"/>
    </row>
    <row r="20636" spans="1:1" x14ac:dyDescent="0.3">
      <c r="A20636" s="12"/>
    </row>
    <row r="20637" spans="1:1" x14ac:dyDescent="0.3">
      <c r="A20637" s="12"/>
    </row>
    <row r="20638" spans="1:1" x14ac:dyDescent="0.3">
      <c r="A20638" s="12"/>
    </row>
    <row r="20639" spans="1:1" x14ac:dyDescent="0.3">
      <c r="A20639" s="12"/>
    </row>
    <row r="20640" spans="1:1" x14ac:dyDescent="0.3">
      <c r="A20640" s="12"/>
    </row>
    <row r="20641" spans="1:1" x14ac:dyDescent="0.3">
      <c r="A20641" s="12"/>
    </row>
    <row r="20642" spans="1:1" x14ac:dyDescent="0.3">
      <c r="A20642" s="12"/>
    </row>
    <row r="20643" spans="1:1" x14ac:dyDescent="0.3">
      <c r="A20643" s="12"/>
    </row>
    <row r="20644" spans="1:1" x14ac:dyDescent="0.3">
      <c r="A20644" s="12"/>
    </row>
    <row r="20645" spans="1:1" x14ac:dyDescent="0.3">
      <c r="A20645" s="12"/>
    </row>
    <row r="20646" spans="1:1" x14ac:dyDescent="0.3">
      <c r="A20646" s="12"/>
    </row>
    <row r="20647" spans="1:1" x14ac:dyDescent="0.3">
      <c r="A20647" s="12"/>
    </row>
    <row r="20648" spans="1:1" x14ac:dyDescent="0.3">
      <c r="A20648" s="12"/>
    </row>
    <row r="20649" spans="1:1" x14ac:dyDescent="0.3">
      <c r="A20649" s="12"/>
    </row>
    <row r="20650" spans="1:1" x14ac:dyDescent="0.3">
      <c r="A20650" s="12"/>
    </row>
    <row r="20651" spans="1:1" x14ac:dyDescent="0.3">
      <c r="A20651" s="12"/>
    </row>
    <row r="20652" spans="1:1" x14ac:dyDescent="0.3">
      <c r="A20652" s="12"/>
    </row>
    <row r="20653" spans="1:1" x14ac:dyDescent="0.3">
      <c r="A20653" s="12"/>
    </row>
    <row r="20654" spans="1:1" x14ac:dyDescent="0.3">
      <c r="A20654" s="12"/>
    </row>
    <row r="20655" spans="1:1" x14ac:dyDescent="0.3">
      <c r="A20655" s="12"/>
    </row>
    <row r="20656" spans="1:1" x14ac:dyDescent="0.3">
      <c r="A20656" s="12"/>
    </row>
    <row r="20657" spans="1:1" x14ac:dyDescent="0.3">
      <c r="A20657" s="12"/>
    </row>
    <row r="20658" spans="1:1" x14ac:dyDescent="0.3">
      <c r="A20658" s="12"/>
    </row>
    <row r="20659" spans="1:1" x14ac:dyDescent="0.3">
      <c r="A20659" s="12"/>
    </row>
    <row r="20660" spans="1:1" x14ac:dyDescent="0.3">
      <c r="A20660" s="12"/>
    </row>
    <row r="20661" spans="1:1" x14ac:dyDescent="0.3">
      <c r="A20661" s="12"/>
    </row>
    <row r="20662" spans="1:1" x14ac:dyDescent="0.3">
      <c r="A20662" s="12"/>
    </row>
    <row r="20663" spans="1:1" x14ac:dyDescent="0.3">
      <c r="A20663" s="12"/>
    </row>
    <row r="20664" spans="1:1" x14ac:dyDescent="0.3">
      <c r="A20664" s="12"/>
    </row>
    <row r="20665" spans="1:1" x14ac:dyDescent="0.3">
      <c r="A20665" s="12"/>
    </row>
    <row r="20666" spans="1:1" x14ac:dyDescent="0.3">
      <c r="A20666" s="12"/>
    </row>
    <row r="20667" spans="1:1" x14ac:dyDescent="0.3">
      <c r="A20667" s="12"/>
    </row>
    <row r="20668" spans="1:1" x14ac:dyDescent="0.3">
      <c r="A20668" s="12"/>
    </row>
    <row r="20669" spans="1:1" x14ac:dyDescent="0.3">
      <c r="A20669" s="12"/>
    </row>
    <row r="20670" spans="1:1" x14ac:dyDescent="0.3">
      <c r="A20670" s="12"/>
    </row>
    <row r="20671" spans="1:1" x14ac:dyDescent="0.3">
      <c r="A20671" s="12"/>
    </row>
    <row r="20672" spans="1:1" x14ac:dyDescent="0.3">
      <c r="A20672" s="12"/>
    </row>
    <row r="20673" spans="1:1" x14ac:dyDescent="0.3">
      <c r="A20673" s="12"/>
    </row>
    <row r="20674" spans="1:1" x14ac:dyDescent="0.3">
      <c r="A20674" s="12"/>
    </row>
    <row r="20675" spans="1:1" x14ac:dyDescent="0.3">
      <c r="A20675" s="12"/>
    </row>
    <row r="20676" spans="1:1" x14ac:dyDescent="0.3">
      <c r="A20676" s="12"/>
    </row>
    <row r="20677" spans="1:1" x14ac:dyDescent="0.3">
      <c r="A20677" s="12"/>
    </row>
    <row r="20678" spans="1:1" x14ac:dyDescent="0.3">
      <c r="A20678" s="12"/>
    </row>
    <row r="20679" spans="1:1" x14ac:dyDescent="0.3">
      <c r="A20679" s="12"/>
    </row>
    <row r="20680" spans="1:1" x14ac:dyDescent="0.3">
      <c r="A20680" s="12"/>
    </row>
    <row r="20681" spans="1:1" x14ac:dyDescent="0.3">
      <c r="A20681" s="12"/>
    </row>
    <row r="20682" spans="1:1" x14ac:dyDescent="0.3">
      <c r="A20682" s="12"/>
    </row>
    <row r="20683" spans="1:1" x14ac:dyDescent="0.3">
      <c r="A20683" s="12"/>
    </row>
    <row r="20684" spans="1:1" x14ac:dyDescent="0.3">
      <c r="A20684" s="12"/>
    </row>
    <row r="20685" spans="1:1" x14ac:dyDescent="0.3">
      <c r="A20685" s="12"/>
    </row>
    <row r="20686" spans="1:1" x14ac:dyDescent="0.3">
      <c r="A20686" s="12"/>
    </row>
    <row r="20687" spans="1:1" x14ac:dyDescent="0.3">
      <c r="A20687" s="12"/>
    </row>
    <row r="20688" spans="1:1" x14ac:dyDescent="0.3">
      <c r="A20688" s="12"/>
    </row>
    <row r="20689" spans="1:1" x14ac:dyDescent="0.3">
      <c r="A20689" s="12"/>
    </row>
    <row r="20690" spans="1:1" x14ac:dyDescent="0.3">
      <c r="A20690" s="12"/>
    </row>
    <row r="20691" spans="1:1" x14ac:dyDescent="0.3">
      <c r="A20691" s="12"/>
    </row>
    <row r="20692" spans="1:1" x14ac:dyDescent="0.3">
      <c r="A20692" s="12"/>
    </row>
    <row r="20693" spans="1:1" x14ac:dyDescent="0.3">
      <c r="A20693" s="12"/>
    </row>
    <row r="20694" spans="1:1" x14ac:dyDescent="0.3">
      <c r="A20694" s="12"/>
    </row>
    <row r="20695" spans="1:1" x14ac:dyDescent="0.3">
      <c r="A20695" s="12"/>
    </row>
    <row r="20696" spans="1:1" x14ac:dyDescent="0.3">
      <c r="A20696" s="12"/>
    </row>
    <row r="20697" spans="1:1" x14ac:dyDescent="0.3">
      <c r="A20697" s="12"/>
    </row>
    <row r="20698" spans="1:1" x14ac:dyDescent="0.3">
      <c r="A20698" s="12"/>
    </row>
    <row r="20699" spans="1:1" x14ac:dyDescent="0.3">
      <c r="A20699" s="12"/>
    </row>
    <row r="20700" spans="1:1" x14ac:dyDescent="0.3">
      <c r="A20700" s="12"/>
    </row>
    <row r="20701" spans="1:1" x14ac:dyDescent="0.3">
      <c r="A20701" s="12"/>
    </row>
    <row r="20702" spans="1:1" x14ac:dyDescent="0.3">
      <c r="A20702" s="12"/>
    </row>
    <row r="20703" spans="1:1" x14ac:dyDescent="0.3">
      <c r="A20703" s="12"/>
    </row>
    <row r="20704" spans="1:1" x14ac:dyDescent="0.3">
      <c r="A20704" s="12"/>
    </row>
    <row r="20705" spans="1:1" x14ac:dyDescent="0.3">
      <c r="A20705" s="12"/>
    </row>
    <row r="20706" spans="1:1" x14ac:dyDescent="0.3">
      <c r="A20706" s="12"/>
    </row>
    <row r="20707" spans="1:1" x14ac:dyDescent="0.3">
      <c r="A20707" s="12"/>
    </row>
    <row r="20708" spans="1:1" x14ac:dyDescent="0.3">
      <c r="A20708" s="12"/>
    </row>
    <row r="20709" spans="1:1" x14ac:dyDescent="0.3">
      <c r="A20709" s="12"/>
    </row>
    <row r="20710" spans="1:1" x14ac:dyDescent="0.3">
      <c r="A20710" s="12"/>
    </row>
    <row r="20711" spans="1:1" x14ac:dyDescent="0.3">
      <c r="A20711" s="12"/>
    </row>
    <row r="20712" spans="1:1" x14ac:dyDescent="0.3">
      <c r="A20712" s="12"/>
    </row>
    <row r="20713" spans="1:1" x14ac:dyDescent="0.3">
      <c r="A20713" s="12"/>
    </row>
    <row r="20714" spans="1:1" x14ac:dyDescent="0.3">
      <c r="A20714" s="12"/>
    </row>
    <row r="20715" spans="1:1" x14ac:dyDescent="0.3">
      <c r="A20715" s="12"/>
    </row>
    <row r="20716" spans="1:1" x14ac:dyDescent="0.3">
      <c r="A20716" s="12"/>
    </row>
    <row r="20717" spans="1:1" x14ac:dyDescent="0.3">
      <c r="A20717" s="12"/>
    </row>
    <row r="20718" spans="1:1" x14ac:dyDescent="0.3">
      <c r="A20718" s="12"/>
    </row>
    <row r="20719" spans="1:1" x14ac:dyDescent="0.3">
      <c r="A20719" s="12"/>
    </row>
    <row r="20720" spans="1:1" x14ac:dyDescent="0.3">
      <c r="A20720" s="12"/>
    </row>
    <row r="20721" spans="1:1" x14ac:dyDescent="0.3">
      <c r="A20721" s="12"/>
    </row>
    <row r="20722" spans="1:1" x14ac:dyDescent="0.3">
      <c r="A20722" s="12"/>
    </row>
    <row r="20723" spans="1:1" x14ac:dyDescent="0.3">
      <c r="A20723" s="12"/>
    </row>
    <row r="20724" spans="1:1" x14ac:dyDescent="0.3">
      <c r="A20724" s="12"/>
    </row>
    <row r="20725" spans="1:1" x14ac:dyDescent="0.3">
      <c r="A20725" s="12"/>
    </row>
    <row r="20726" spans="1:1" x14ac:dyDescent="0.3">
      <c r="A20726" s="12"/>
    </row>
    <row r="20727" spans="1:1" x14ac:dyDescent="0.3">
      <c r="A20727" s="12"/>
    </row>
    <row r="20728" spans="1:1" x14ac:dyDescent="0.3">
      <c r="A20728" s="12"/>
    </row>
    <row r="20729" spans="1:1" x14ac:dyDescent="0.3">
      <c r="A20729" s="12"/>
    </row>
    <row r="20730" spans="1:1" x14ac:dyDescent="0.3">
      <c r="A20730" s="12"/>
    </row>
    <row r="20731" spans="1:1" x14ac:dyDescent="0.3">
      <c r="A20731" s="12"/>
    </row>
    <row r="20732" spans="1:1" x14ac:dyDescent="0.3">
      <c r="A20732" s="12"/>
    </row>
    <row r="20733" spans="1:1" x14ac:dyDescent="0.3">
      <c r="A20733" s="12"/>
    </row>
    <row r="20734" spans="1:1" x14ac:dyDescent="0.3">
      <c r="A20734" s="12"/>
    </row>
    <row r="20735" spans="1:1" x14ac:dyDescent="0.3">
      <c r="A20735" s="12"/>
    </row>
    <row r="20736" spans="1:1" x14ac:dyDescent="0.3">
      <c r="A20736" s="12"/>
    </row>
    <row r="20737" spans="1:1" x14ac:dyDescent="0.3">
      <c r="A20737" s="12"/>
    </row>
    <row r="20738" spans="1:1" x14ac:dyDescent="0.3">
      <c r="A20738" s="12"/>
    </row>
    <row r="20739" spans="1:1" x14ac:dyDescent="0.3">
      <c r="A20739" s="12"/>
    </row>
    <row r="20740" spans="1:1" x14ac:dyDescent="0.3">
      <c r="A20740" s="12"/>
    </row>
    <row r="20741" spans="1:1" x14ac:dyDescent="0.3">
      <c r="A20741" s="12"/>
    </row>
    <row r="20742" spans="1:1" x14ac:dyDescent="0.3">
      <c r="A20742" s="12"/>
    </row>
    <row r="20743" spans="1:1" x14ac:dyDescent="0.3">
      <c r="A20743" s="12"/>
    </row>
    <row r="20744" spans="1:1" x14ac:dyDescent="0.3">
      <c r="A20744" s="12"/>
    </row>
    <row r="20745" spans="1:1" x14ac:dyDescent="0.3">
      <c r="A20745" s="12"/>
    </row>
    <row r="20746" spans="1:1" x14ac:dyDescent="0.3">
      <c r="A20746" s="12"/>
    </row>
    <row r="20747" spans="1:1" x14ac:dyDescent="0.3">
      <c r="A20747" s="12"/>
    </row>
    <row r="20748" spans="1:1" x14ac:dyDescent="0.3">
      <c r="A20748" s="12"/>
    </row>
    <row r="20749" spans="1:1" x14ac:dyDescent="0.3">
      <c r="A20749" s="12"/>
    </row>
    <row r="20750" spans="1:1" x14ac:dyDescent="0.3">
      <c r="A20750" s="12"/>
    </row>
    <row r="20751" spans="1:1" x14ac:dyDescent="0.3">
      <c r="A20751" s="12"/>
    </row>
    <row r="20752" spans="1:1" x14ac:dyDescent="0.3">
      <c r="A20752" s="12"/>
    </row>
    <row r="20753" spans="1:1" x14ac:dyDescent="0.3">
      <c r="A20753" s="12"/>
    </row>
    <row r="20754" spans="1:1" x14ac:dyDescent="0.3">
      <c r="A20754" s="12"/>
    </row>
    <row r="20755" spans="1:1" x14ac:dyDescent="0.3">
      <c r="A20755" s="12"/>
    </row>
    <row r="20756" spans="1:1" x14ac:dyDescent="0.3">
      <c r="A20756" s="12"/>
    </row>
    <row r="20757" spans="1:1" x14ac:dyDescent="0.3">
      <c r="A20757" s="12"/>
    </row>
    <row r="20758" spans="1:1" x14ac:dyDescent="0.3">
      <c r="A20758" s="12"/>
    </row>
    <row r="20759" spans="1:1" x14ac:dyDescent="0.3">
      <c r="A20759" s="12"/>
    </row>
    <row r="20760" spans="1:1" x14ac:dyDescent="0.3">
      <c r="A20760" s="12"/>
    </row>
    <row r="20761" spans="1:1" x14ac:dyDescent="0.3">
      <c r="A20761" s="12"/>
    </row>
    <row r="20762" spans="1:1" x14ac:dyDescent="0.3">
      <c r="A20762" s="12"/>
    </row>
    <row r="20763" spans="1:1" x14ac:dyDescent="0.3">
      <c r="A20763" s="12"/>
    </row>
    <row r="20764" spans="1:1" x14ac:dyDescent="0.3">
      <c r="A20764" s="12"/>
    </row>
    <row r="20765" spans="1:1" x14ac:dyDescent="0.3">
      <c r="A20765" s="12"/>
    </row>
    <row r="20766" spans="1:1" x14ac:dyDescent="0.3">
      <c r="A20766" s="12"/>
    </row>
    <row r="20767" spans="1:1" x14ac:dyDescent="0.3">
      <c r="A20767" s="12"/>
    </row>
    <row r="20768" spans="1:1" x14ac:dyDescent="0.3">
      <c r="A20768" s="12"/>
    </row>
    <row r="20769" spans="1:1" x14ac:dyDescent="0.3">
      <c r="A20769" s="12"/>
    </row>
    <row r="20770" spans="1:1" x14ac:dyDescent="0.3">
      <c r="A20770" s="12"/>
    </row>
    <row r="20771" spans="1:1" x14ac:dyDescent="0.3">
      <c r="A20771" s="12"/>
    </row>
    <row r="20772" spans="1:1" x14ac:dyDescent="0.3">
      <c r="A20772" s="12"/>
    </row>
    <row r="20773" spans="1:1" x14ac:dyDescent="0.3">
      <c r="A20773" s="12"/>
    </row>
    <row r="20774" spans="1:1" x14ac:dyDescent="0.3">
      <c r="A20774" s="12"/>
    </row>
    <row r="20775" spans="1:1" x14ac:dyDescent="0.3">
      <c r="A20775" s="12"/>
    </row>
    <row r="20776" spans="1:1" x14ac:dyDescent="0.3">
      <c r="A20776" s="12"/>
    </row>
    <row r="20777" spans="1:1" x14ac:dyDescent="0.3">
      <c r="A20777" s="12"/>
    </row>
    <row r="20778" spans="1:1" x14ac:dyDescent="0.3">
      <c r="A20778" s="12"/>
    </row>
    <row r="20779" spans="1:1" x14ac:dyDescent="0.3">
      <c r="A20779" s="12"/>
    </row>
    <row r="20780" spans="1:1" x14ac:dyDescent="0.3">
      <c r="A20780" s="12"/>
    </row>
    <row r="20781" spans="1:1" x14ac:dyDescent="0.3">
      <c r="A20781" s="12"/>
    </row>
    <row r="20782" spans="1:1" x14ac:dyDescent="0.3">
      <c r="A20782" s="12"/>
    </row>
    <row r="20783" spans="1:1" x14ac:dyDescent="0.3">
      <c r="A20783" s="12"/>
    </row>
    <row r="20784" spans="1:1" x14ac:dyDescent="0.3">
      <c r="A20784" s="12"/>
    </row>
    <row r="20785" spans="1:1" x14ac:dyDescent="0.3">
      <c r="A20785" s="12"/>
    </row>
    <row r="20786" spans="1:1" x14ac:dyDescent="0.3">
      <c r="A20786" s="12"/>
    </row>
    <row r="20787" spans="1:1" x14ac:dyDescent="0.3">
      <c r="A20787" s="12"/>
    </row>
    <row r="20788" spans="1:1" x14ac:dyDescent="0.3">
      <c r="A20788" s="12"/>
    </row>
    <row r="20789" spans="1:1" x14ac:dyDescent="0.3">
      <c r="A20789" s="12"/>
    </row>
    <row r="20790" spans="1:1" x14ac:dyDescent="0.3">
      <c r="A20790" s="12"/>
    </row>
    <row r="20791" spans="1:1" x14ac:dyDescent="0.3">
      <c r="A20791" s="12"/>
    </row>
    <row r="20792" spans="1:1" x14ac:dyDescent="0.3">
      <c r="A20792" s="12"/>
    </row>
    <row r="20793" spans="1:1" x14ac:dyDescent="0.3">
      <c r="A20793" s="12"/>
    </row>
    <row r="20794" spans="1:1" x14ac:dyDescent="0.3">
      <c r="A20794" s="12"/>
    </row>
    <row r="20795" spans="1:1" x14ac:dyDescent="0.3">
      <c r="A20795" s="12"/>
    </row>
    <row r="20796" spans="1:1" x14ac:dyDescent="0.3">
      <c r="A20796" s="12"/>
    </row>
    <row r="20797" spans="1:1" x14ac:dyDescent="0.3">
      <c r="A20797" s="12"/>
    </row>
    <row r="20798" spans="1:1" x14ac:dyDescent="0.3">
      <c r="A20798" s="12"/>
    </row>
    <row r="20799" spans="1:1" x14ac:dyDescent="0.3">
      <c r="A20799" s="12"/>
    </row>
    <row r="20800" spans="1:1" x14ac:dyDescent="0.3">
      <c r="A20800" s="12"/>
    </row>
    <row r="20801" spans="1:1" x14ac:dyDescent="0.3">
      <c r="A20801" s="12"/>
    </row>
    <row r="20802" spans="1:1" x14ac:dyDescent="0.3">
      <c r="A20802" s="12"/>
    </row>
    <row r="20803" spans="1:1" x14ac:dyDescent="0.3">
      <c r="A20803" s="12"/>
    </row>
    <row r="20804" spans="1:1" x14ac:dyDescent="0.3">
      <c r="A20804" s="12"/>
    </row>
    <row r="20805" spans="1:1" x14ac:dyDescent="0.3">
      <c r="A20805" s="12"/>
    </row>
    <row r="20806" spans="1:1" x14ac:dyDescent="0.3">
      <c r="A20806" s="12"/>
    </row>
    <row r="20807" spans="1:1" x14ac:dyDescent="0.3">
      <c r="A20807" s="12"/>
    </row>
    <row r="20808" spans="1:1" x14ac:dyDescent="0.3">
      <c r="A20808" s="12"/>
    </row>
    <row r="20809" spans="1:1" x14ac:dyDescent="0.3">
      <c r="A20809" s="12"/>
    </row>
    <row r="20810" spans="1:1" x14ac:dyDescent="0.3">
      <c r="A20810" s="12"/>
    </row>
    <row r="20811" spans="1:1" x14ac:dyDescent="0.3">
      <c r="A20811" s="12"/>
    </row>
    <row r="20812" spans="1:1" x14ac:dyDescent="0.3">
      <c r="A20812" s="12"/>
    </row>
    <row r="20813" spans="1:1" x14ac:dyDescent="0.3">
      <c r="A20813" s="12"/>
    </row>
    <row r="20814" spans="1:1" x14ac:dyDescent="0.3">
      <c r="A20814" s="12"/>
    </row>
    <row r="20815" spans="1:1" x14ac:dyDescent="0.3">
      <c r="A20815" s="12"/>
    </row>
    <row r="20816" spans="1:1" x14ac:dyDescent="0.3">
      <c r="A20816" s="12"/>
    </row>
    <row r="20817" spans="1:1" x14ac:dyDescent="0.3">
      <c r="A20817" s="12"/>
    </row>
    <row r="20818" spans="1:1" x14ac:dyDescent="0.3">
      <c r="A20818" s="12"/>
    </row>
    <row r="20819" spans="1:1" x14ac:dyDescent="0.3">
      <c r="A20819" s="12"/>
    </row>
    <row r="20820" spans="1:1" x14ac:dyDescent="0.3">
      <c r="A20820" s="12"/>
    </row>
    <row r="20821" spans="1:1" x14ac:dyDescent="0.3">
      <c r="A20821" s="12"/>
    </row>
    <row r="20822" spans="1:1" x14ac:dyDescent="0.3">
      <c r="A20822" s="12"/>
    </row>
    <row r="20823" spans="1:1" x14ac:dyDescent="0.3">
      <c r="A20823" s="12"/>
    </row>
    <row r="20824" spans="1:1" x14ac:dyDescent="0.3">
      <c r="A20824" s="12"/>
    </row>
    <row r="20825" spans="1:1" x14ac:dyDescent="0.3">
      <c r="A20825" s="12"/>
    </row>
    <row r="20826" spans="1:1" x14ac:dyDescent="0.3">
      <c r="A20826" s="12"/>
    </row>
    <row r="20827" spans="1:1" x14ac:dyDescent="0.3">
      <c r="A20827" s="12"/>
    </row>
    <row r="20828" spans="1:1" x14ac:dyDescent="0.3">
      <c r="A20828" s="12"/>
    </row>
    <row r="20829" spans="1:1" x14ac:dyDescent="0.3">
      <c r="A20829" s="12"/>
    </row>
    <row r="20830" spans="1:1" x14ac:dyDescent="0.3">
      <c r="A20830" s="12"/>
    </row>
    <row r="20831" spans="1:1" x14ac:dyDescent="0.3">
      <c r="A20831" s="12"/>
    </row>
    <row r="20832" spans="1:1" x14ac:dyDescent="0.3">
      <c r="A20832" s="12"/>
    </row>
    <row r="20833" spans="1:1" x14ac:dyDescent="0.3">
      <c r="A20833" s="12"/>
    </row>
    <row r="20834" spans="1:1" x14ac:dyDescent="0.3">
      <c r="A20834" s="12"/>
    </row>
    <row r="20835" spans="1:1" x14ac:dyDescent="0.3">
      <c r="A20835" s="12"/>
    </row>
    <row r="20836" spans="1:1" x14ac:dyDescent="0.3">
      <c r="A20836" s="12"/>
    </row>
    <row r="20837" spans="1:1" x14ac:dyDescent="0.3">
      <c r="A20837" s="12"/>
    </row>
    <row r="20838" spans="1:1" x14ac:dyDescent="0.3">
      <c r="A20838" s="12"/>
    </row>
    <row r="20839" spans="1:1" x14ac:dyDescent="0.3">
      <c r="A20839" s="12"/>
    </row>
    <row r="20840" spans="1:1" x14ac:dyDescent="0.3">
      <c r="A20840" s="12"/>
    </row>
    <row r="20841" spans="1:1" x14ac:dyDescent="0.3">
      <c r="A20841" s="12"/>
    </row>
    <row r="20842" spans="1:1" x14ac:dyDescent="0.3">
      <c r="A20842" s="12"/>
    </row>
    <row r="20843" spans="1:1" x14ac:dyDescent="0.3">
      <c r="A20843" s="12"/>
    </row>
    <row r="20844" spans="1:1" x14ac:dyDescent="0.3">
      <c r="A20844" s="12"/>
    </row>
    <row r="20845" spans="1:1" x14ac:dyDescent="0.3">
      <c r="A20845" s="12"/>
    </row>
    <row r="20846" spans="1:1" x14ac:dyDescent="0.3">
      <c r="A20846" s="12"/>
    </row>
    <row r="20847" spans="1:1" x14ac:dyDescent="0.3">
      <c r="A20847" s="12"/>
    </row>
    <row r="20848" spans="1:1" x14ac:dyDescent="0.3">
      <c r="A20848" s="12"/>
    </row>
    <row r="20849" spans="1:1" x14ac:dyDescent="0.3">
      <c r="A20849" s="12"/>
    </row>
    <row r="20850" spans="1:1" x14ac:dyDescent="0.3">
      <c r="A20850" s="12"/>
    </row>
    <row r="20851" spans="1:1" x14ac:dyDescent="0.3">
      <c r="A20851" s="12"/>
    </row>
    <row r="20852" spans="1:1" x14ac:dyDescent="0.3">
      <c r="A20852" s="12"/>
    </row>
    <row r="20853" spans="1:1" x14ac:dyDescent="0.3">
      <c r="A20853" s="12"/>
    </row>
    <row r="20854" spans="1:1" x14ac:dyDescent="0.3">
      <c r="A20854" s="12"/>
    </row>
    <row r="20855" spans="1:1" x14ac:dyDescent="0.3">
      <c r="A20855" s="12"/>
    </row>
    <row r="20856" spans="1:1" x14ac:dyDescent="0.3">
      <c r="A20856" s="12"/>
    </row>
    <row r="20857" spans="1:1" x14ac:dyDescent="0.3">
      <c r="A20857" s="12"/>
    </row>
    <row r="20858" spans="1:1" x14ac:dyDescent="0.3">
      <c r="A20858" s="12"/>
    </row>
    <row r="20859" spans="1:1" x14ac:dyDescent="0.3">
      <c r="A20859" s="12"/>
    </row>
    <row r="20860" spans="1:1" x14ac:dyDescent="0.3">
      <c r="A20860" s="12"/>
    </row>
    <row r="20861" spans="1:1" x14ac:dyDescent="0.3">
      <c r="A20861" s="12"/>
    </row>
    <row r="20862" spans="1:1" x14ac:dyDescent="0.3">
      <c r="A20862" s="12"/>
    </row>
    <row r="20863" spans="1:1" x14ac:dyDescent="0.3">
      <c r="A20863" s="12"/>
    </row>
    <row r="20864" spans="1:1" x14ac:dyDescent="0.3">
      <c r="A20864" s="12"/>
    </row>
    <row r="20865" spans="1:1" x14ac:dyDescent="0.3">
      <c r="A20865" s="12"/>
    </row>
    <row r="20866" spans="1:1" x14ac:dyDescent="0.3">
      <c r="A20866" s="12"/>
    </row>
    <row r="20867" spans="1:1" x14ac:dyDescent="0.3">
      <c r="A20867" s="12"/>
    </row>
    <row r="20868" spans="1:1" x14ac:dyDescent="0.3">
      <c r="A20868" s="12"/>
    </row>
    <row r="20869" spans="1:1" x14ac:dyDescent="0.3">
      <c r="A20869" s="12"/>
    </row>
    <row r="20870" spans="1:1" x14ac:dyDescent="0.3">
      <c r="A20870" s="12"/>
    </row>
    <row r="20871" spans="1:1" x14ac:dyDescent="0.3">
      <c r="A20871" s="12"/>
    </row>
    <row r="20872" spans="1:1" x14ac:dyDescent="0.3">
      <c r="A20872" s="12"/>
    </row>
    <row r="20873" spans="1:1" x14ac:dyDescent="0.3">
      <c r="A20873" s="12"/>
    </row>
    <row r="20874" spans="1:1" x14ac:dyDescent="0.3">
      <c r="A20874" s="12"/>
    </row>
    <row r="20875" spans="1:1" x14ac:dyDescent="0.3">
      <c r="A20875" s="12"/>
    </row>
    <row r="20876" spans="1:1" x14ac:dyDescent="0.3">
      <c r="A20876" s="12"/>
    </row>
    <row r="20877" spans="1:1" x14ac:dyDescent="0.3">
      <c r="A20877" s="12"/>
    </row>
    <row r="20878" spans="1:1" x14ac:dyDescent="0.3">
      <c r="A20878" s="12"/>
    </row>
    <row r="20879" spans="1:1" x14ac:dyDescent="0.3">
      <c r="A20879" s="12"/>
    </row>
    <row r="20880" spans="1:1" x14ac:dyDescent="0.3">
      <c r="A20880" s="12"/>
    </row>
    <row r="20881" spans="1:1" x14ac:dyDescent="0.3">
      <c r="A20881" s="12"/>
    </row>
    <row r="20882" spans="1:1" x14ac:dyDescent="0.3">
      <c r="A20882" s="12"/>
    </row>
    <row r="20883" spans="1:1" x14ac:dyDescent="0.3">
      <c r="A20883" s="12"/>
    </row>
    <row r="20884" spans="1:1" x14ac:dyDescent="0.3">
      <c r="A20884" s="12"/>
    </row>
    <row r="20885" spans="1:1" x14ac:dyDescent="0.3">
      <c r="A20885" s="12"/>
    </row>
    <row r="20886" spans="1:1" x14ac:dyDescent="0.3">
      <c r="A20886" s="12"/>
    </row>
    <row r="20887" spans="1:1" x14ac:dyDescent="0.3">
      <c r="A20887" s="12"/>
    </row>
    <row r="20888" spans="1:1" x14ac:dyDescent="0.3">
      <c r="A20888" s="12"/>
    </row>
    <row r="20889" spans="1:1" x14ac:dyDescent="0.3">
      <c r="A20889" s="12"/>
    </row>
    <row r="20890" spans="1:1" x14ac:dyDescent="0.3">
      <c r="A20890" s="12"/>
    </row>
    <row r="20891" spans="1:1" x14ac:dyDescent="0.3">
      <c r="A20891" s="12"/>
    </row>
    <row r="20892" spans="1:1" x14ac:dyDescent="0.3">
      <c r="A20892" s="12"/>
    </row>
    <row r="20893" spans="1:1" x14ac:dyDescent="0.3">
      <c r="A20893" s="12"/>
    </row>
    <row r="20894" spans="1:1" x14ac:dyDescent="0.3">
      <c r="A20894" s="12"/>
    </row>
    <row r="20895" spans="1:1" x14ac:dyDescent="0.3">
      <c r="A20895" s="12"/>
    </row>
    <row r="20896" spans="1:1" x14ac:dyDescent="0.3">
      <c r="A20896" s="12"/>
    </row>
    <row r="20897" spans="1:1" x14ac:dyDescent="0.3">
      <c r="A20897" s="12"/>
    </row>
    <row r="20898" spans="1:1" x14ac:dyDescent="0.3">
      <c r="A20898" s="12"/>
    </row>
    <row r="20899" spans="1:1" x14ac:dyDescent="0.3">
      <c r="A20899" s="12"/>
    </row>
    <row r="20900" spans="1:1" x14ac:dyDescent="0.3">
      <c r="A20900" s="12"/>
    </row>
    <row r="20901" spans="1:1" x14ac:dyDescent="0.3">
      <c r="A20901" s="12"/>
    </row>
    <row r="20902" spans="1:1" x14ac:dyDescent="0.3">
      <c r="A20902" s="12"/>
    </row>
    <row r="20903" spans="1:1" x14ac:dyDescent="0.3">
      <c r="A20903" s="12"/>
    </row>
    <row r="20904" spans="1:1" x14ac:dyDescent="0.3">
      <c r="A20904" s="12"/>
    </row>
    <row r="20905" spans="1:1" x14ac:dyDescent="0.3">
      <c r="A20905" s="12"/>
    </row>
    <row r="20906" spans="1:1" x14ac:dyDescent="0.3">
      <c r="A20906" s="12"/>
    </row>
    <row r="20907" spans="1:1" x14ac:dyDescent="0.3">
      <c r="A20907" s="12"/>
    </row>
    <row r="20908" spans="1:1" x14ac:dyDescent="0.3">
      <c r="A20908" s="12"/>
    </row>
    <row r="20909" spans="1:1" x14ac:dyDescent="0.3">
      <c r="A20909" s="12"/>
    </row>
    <row r="20910" spans="1:1" x14ac:dyDescent="0.3">
      <c r="A20910" s="12"/>
    </row>
    <row r="20911" spans="1:1" x14ac:dyDescent="0.3">
      <c r="A20911" s="12"/>
    </row>
    <row r="20912" spans="1:1" x14ac:dyDescent="0.3">
      <c r="A20912" s="12"/>
    </row>
    <row r="20913" spans="1:1" x14ac:dyDescent="0.3">
      <c r="A20913" s="12"/>
    </row>
    <row r="20914" spans="1:1" x14ac:dyDescent="0.3">
      <c r="A20914" s="12"/>
    </row>
    <row r="20915" spans="1:1" x14ac:dyDescent="0.3">
      <c r="A20915" s="12"/>
    </row>
    <row r="20916" spans="1:1" x14ac:dyDescent="0.3">
      <c r="A20916" s="12"/>
    </row>
    <row r="20917" spans="1:1" x14ac:dyDescent="0.3">
      <c r="A20917" s="12"/>
    </row>
    <row r="20918" spans="1:1" x14ac:dyDescent="0.3">
      <c r="A20918" s="12"/>
    </row>
    <row r="20919" spans="1:1" x14ac:dyDescent="0.3">
      <c r="A20919" s="12"/>
    </row>
    <row r="20920" spans="1:1" x14ac:dyDescent="0.3">
      <c r="A20920" s="12"/>
    </row>
    <row r="20921" spans="1:1" x14ac:dyDescent="0.3">
      <c r="A20921" s="12"/>
    </row>
    <row r="20922" spans="1:1" x14ac:dyDescent="0.3">
      <c r="A20922" s="12"/>
    </row>
    <row r="20923" spans="1:1" x14ac:dyDescent="0.3">
      <c r="A20923" s="12"/>
    </row>
    <row r="20924" spans="1:1" x14ac:dyDescent="0.3">
      <c r="A20924" s="12"/>
    </row>
    <row r="20925" spans="1:1" x14ac:dyDescent="0.3">
      <c r="A20925" s="12"/>
    </row>
    <row r="20926" spans="1:1" x14ac:dyDescent="0.3">
      <c r="A20926" s="12"/>
    </row>
    <row r="20927" spans="1:1" x14ac:dyDescent="0.3">
      <c r="A20927" s="12"/>
    </row>
    <row r="20928" spans="1:1" x14ac:dyDescent="0.3">
      <c r="A20928" s="12"/>
    </row>
    <row r="20929" spans="1:1" x14ac:dyDescent="0.3">
      <c r="A20929" s="12"/>
    </row>
    <row r="20930" spans="1:1" x14ac:dyDescent="0.3">
      <c r="A20930" s="12"/>
    </row>
    <row r="20931" spans="1:1" x14ac:dyDescent="0.3">
      <c r="A20931" s="12"/>
    </row>
    <row r="20932" spans="1:1" x14ac:dyDescent="0.3">
      <c r="A20932" s="12"/>
    </row>
    <row r="20933" spans="1:1" x14ac:dyDescent="0.3">
      <c r="A20933" s="12"/>
    </row>
    <row r="20934" spans="1:1" x14ac:dyDescent="0.3">
      <c r="A20934" s="12"/>
    </row>
    <row r="20935" spans="1:1" x14ac:dyDescent="0.3">
      <c r="A20935" s="12"/>
    </row>
    <row r="20936" spans="1:1" x14ac:dyDescent="0.3">
      <c r="A20936" s="12"/>
    </row>
    <row r="20937" spans="1:1" x14ac:dyDescent="0.3">
      <c r="A20937" s="12"/>
    </row>
    <row r="20938" spans="1:1" x14ac:dyDescent="0.3">
      <c r="A20938" s="12"/>
    </row>
    <row r="20939" spans="1:1" x14ac:dyDescent="0.3">
      <c r="A20939" s="12"/>
    </row>
    <row r="20940" spans="1:1" x14ac:dyDescent="0.3">
      <c r="A20940" s="12"/>
    </row>
    <row r="20941" spans="1:1" x14ac:dyDescent="0.3">
      <c r="A20941" s="12"/>
    </row>
    <row r="20942" spans="1:1" x14ac:dyDescent="0.3">
      <c r="A20942" s="12"/>
    </row>
    <row r="20943" spans="1:1" x14ac:dyDescent="0.3">
      <c r="A20943" s="12"/>
    </row>
    <row r="20944" spans="1:1" x14ac:dyDescent="0.3">
      <c r="A20944" s="12"/>
    </row>
    <row r="20945" spans="1:1" x14ac:dyDescent="0.3">
      <c r="A20945" s="12"/>
    </row>
    <row r="20946" spans="1:1" x14ac:dyDescent="0.3">
      <c r="A20946" s="12"/>
    </row>
    <row r="20947" spans="1:1" x14ac:dyDescent="0.3">
      <c r="A20947" s="12"/>
    </row>
    <row r="20948" spans="1:1" x14ac:dyDescent="0.3">
      <c r="A20948" s="12"/>
    </row>
    <row r="20949" spans="1:1" x14ac:dyDescent="0.3">
      <c r="A20949" s="12"/>
    </row>
    <row r="20950" spans="1:1" x14ac:dyDescent="0.3">
      <c r="A20950" s="12"/>
    </row>
    <row r="20951" spans="1:1" x14ac:dyDescent="0.3">
      <c r="A20951" s="12"/>
    </row>
    <row r="20952" spans="1:1" x14ac:dyDescent="0.3">
      <c r="A20952" s="12"/>
    </row>
    <row r="20953" spans="1:1" x14ac:dyDescent="0.3">
      <c r="A20953" s="12"/>
    </row>
    <row r="20954" spans="1:1" x14ac:dyDescent="0.3">
      <c r="A20954" s="12"/>
    </row>
    <row r="20955" spans="1:1" x14ac:dyDescent="0.3">
      <c r="A20955" s="12"/>
    </row>
    <row r="20956" spans="1:1" x14ac:dyDescent="0.3">
      <c r="A20956" s="12"/>
    </row>
    <row r="20957" spans="1:1" x14ac:dyDescent="0.3">
      <c r="A20957" s="12"/>
    </row>
    <row r="20958" spans="1:1" x14ac:dyDescent="0.3">
      <c r="A20958" s="12"/>
    </row>
    <row r="20959" spans="1:1" x14ac:dyDescent="0.3">
      <c r="A20959" s="12"/>
    </row>
    <row r="20960" spans="1:1" x14ac:dyDescent="0.3">
      <c r="A20960" s="12"/>
    </row>
    <row r="20961" spans="1:1" x14ac:dyDescent="0.3">
      <c r="A20961" s="12"/>
    </row>
    <row r="20962" spans="1:1" x14ac:dyDescent="0.3">
      <c r="A20962" s="12"/>
    </row>
    <row r="20963" spans="1:1" x14ac:dyDescent="0.3">
      <c r="A20963" s="12"/>
    </row>
    <row r="20964" spans="1:1" x14ac:dyDescent="0.3">
      <c r="A20964" s="12"/>
    </row>
    <row r="20965" spans="1:1" x14ac:dyDescent="0.3">
      <c r="A20965" s="12"/>
    </row>
    <row r="20966" spans="1:1" x14ac:dyDescent="0.3">
      <c r="A20966" s="12"/>
    </row>
    <row r="20967" spans="1:1" x14ac:dyDescent="0.3">
      <c r="A20967" s="12"/>
    </row>
    <row r="20968" spans="1:1" x14ac:dyDescent="0.3">
      <c r="A20968" s="12"/>
    </row>
    <row r="20969" spans="1:1" x14ac:dyDescent="0.3">
      <c r="A20969" s="12"/>
    </row>
    <row r="20970" spans="1:1" x14ac:dyDescent="0.3">
      <c r="A20970" s="12"/>
    </row>
    <row r="20971" spans="1:1" x14ac:dyDescent="0.3">
      <c r="A20971" s="12"/>
    </row>
    <row r="20972" spans="1:1" x14ac:dyDescent="0.3">
      <c r="A20972" s="12"/>
    </row>
    <row r="20973" spans="1:1" x14ac:dyDescent="0.3">
      <c r="A20973" s="12"/>
    </row>
    <row r="20974" spans="1:1" x14ac:dyDescent="0.3">
      <c r="A20974" s="12"/>
    </row>
    <row r="20975" spans="1:1" x14ac:dyDescent="0.3">
      <c r="A20975" s="12"/>
    </row>
    <row r="20976" spans="1:1" x14ac:dyDescent="0.3">
      <c r="A20976" s="12"/>
    </row>
    <row r="20977" spans="1:1" x14ac:dyDescent="0.3">
      <c r="A20977" s="12"/>
    </row>
    <row r="20978" spans="1:1" x14ac:dyDescent="0.3">
      <c r="A20978" s="12"/>
    </row>
    <row r="20979" spans="1:1" x14ac:dyDescent="0.3">
      <c r="A20979" s="12"/>
    </row>
    <row r="20980" spans="1:1" x14ac:dyDescent="0.3">
      <c r="A20980" s="12"/>
    </row>
    <row r="20981" spans="1:1" x14ac:dyDescent="0.3">
      <c r="A20981" s="12"/>
    </row>
    <row r="20982" spans="1:1" x14ac:dyDescent="0.3">
      <c r="A20982" s="12"/>
    </row>
    <row r="20983" spans="1:1" x14ac:dyDescent="0.3">
      <c r="A20983" s="12"/>
    </row>
    <row r="20984" spans="1:1" x14ac:dyDescent="0.3">
      <c r="A20984" s="12"/>
    </row>
    <row r="20985" spans="1:1" x14ac:dyDescent="0.3">
      <c r="A20985" s="12"/>
    </row>
    <row r="20986" spans="1:1" x14ac:dyDescent="0.3">
      <c r="A20986" s="12"/>
    </row>
    <row r="20987" spans="1:1" x14ac:dyDescent="0.3">
      <c r="A20987" s="12"/>
    </row>
    <row r="20988" spans="1:1" x14ac:dyDescent="0.3">
      <c r="A20988" s="12"/>
    </row>
    <row r="20989" spans="1:1" x14ac:dyDescent="0.3">
      <c r="A20989" s="12"/>
    </row>
    <row r="20990" spans="1:1" x14ac:dyDescent="0.3">
      <c r="A20990" s="12"/>
    </row>
    <row r="20991" spans="1:1" x14ac:dyDescent="0.3">
      <c r="A20991" s="12"/>
    </row>
    <row r="20992" spans="1:1" x14ac:dyDescent="0.3">
      <c r="A20992" s="12"/>
    </row>
    <row r="20993" spans="1:1" x14ac:dyDescent="0.3">
      <c r="A20993" s="12"/>
    </row>
    <row r="20994" spans="1:1" x14ac:dyDescent="0.3">
      <c r="A20994" s="12"/>
    </row>
    <row r="20995" spans="1:1" x14ac:dyDescent="0.3">
      <c r="A20995" s="12"/>
    </row>
    <row r="20996" spans="1:1" x14ac:dyDescent="0.3">
      <c r="A20996" s="12"/>
    </row>
    <row r="20997" spans="1:1" x14ac:dyDescent="0.3">
      <c r="A20997" s="12"/>
    </row>
    <row r="20998" spans="1:1" x14ac:dyDescent="0.3">
      <c r="A20998" s="12"/>
    </row>
    <row r="20999" spans="1:1" x14ac:dyDescent="0.3">
      <c r="A20999" s="12"/>
    </row>
    <row r="21000" spans="1:1" x14ac:dyDescent="0.3">
      <c r="A21000" s="12"/>
    </row>
    <row r="21001" spans="1:1" x14ac:dyDescent="0.3">
      <c r="A21001" s="12"/>
    </row>
    <row r="21002" spans="1:1" x14ac:dyDescent="0.3">
      <c r="A21002" s="12"/>
    </row>
    <row r="21003" spans="1:1" x14ac:dyDescent="0.3">
      <c r="A21003" s="12"/>
    </row>
    <row r="21004" spans="1:1" x14ac:dyDescent="0.3">
      <c r="A21004" s="12"/>
    </row>
    <row r="21005" spans="1:1" x14ac:dyDescent="0.3">
      <c r="A21005" s="12"/>
    </row>
    <row r="21006" spans="1:1" x14ac:dyDescent="0.3">
      <c r="A21006" s="12"/>
    </row>
    <row r="21007" spans="1:1" x14ac:dyDescent="0.3">
      <c r="A21007" s="12"/>
    </row>
    <row r="21008" spans="1:1" x14ac:dyDescent="0.3">
      <c r="A21008" s="12"/>
    </row>
    <row r="21009" spans="1:1" x14ac:dyDescent="0.3">
      <c r="A21009" s="12"/>
    </row>
    <row r="21010" spans="1:1" x14ac:dyDescent="0.3">
      <c r="A21010" s="12"/>
    </row>
    <row r="21011" spans="1:1" x14ac:dyDescent="0.3">
      <c r="A21011" s="12"/>
    </row>
    <row r="21012" spans="1:1" x14ac:dyDescent="0.3">
      <c r="A21012" s="12"/>
    </row>
    <row r="21013" spans="1:1" x14ac:dyDescent="0.3">
      <c r="A21013" s="12"/>
    </row>
    <row r="21014" spans="1:1" x14ac:dyDescent="0.3">
      <c r="A21014" s="12"/>
    </row>
    <row r="21015" spans="1:1" x14ac:dyDescent="0.3">
      <c r="A21015" s="12"/>
    </row>
    <row r="21016" spans="1:1" x14ac:dyDescent="0.3">
      <c r="A21016" s="12"/>
    </row>
    <row r="21017" spans="1:1" x14ac:dyDescent="0.3">
      <c r="A21017" s="12"/>
    </row>
    <row r="21018" spans="1:1" x14ac:dyDescent="0.3">
      <c r="A21018" s="12"/>
    </row>
    <row r="21019" spans="1:1" x14ac:dyDescent="0.3">
      <c r="A21019" s="12"/>
    </row>
    <row r="21020" spans="1:1" x14ac:dyDescent="0.3">
      <c r="A21020" s="12"/>
    </row>
    <row r="21021" spans="1:1" x14ac:dyDescent="0.3">
      <c r="A21021" s="12"/>
    </row>
    <row r="21022" spans="1:1" x14ac:dyDescent="0.3">
      <c r="A21022" s="12"/>
    </row>
    <row r="21023" spans="1:1" x14ac:dyDescent="0.3">
      <c r="A21023" s="12"/>
    </row>
    <row r="21024" spans="1:1" x14ac:dyDescent="0.3">
      <c r="A21024" s="12"/>
    </row>
    <row r="21025" spans="1:1" x14ac:dyDescent="0.3">
      <c r="A21025" s="12"/>
    </row>
    <row r="21026" spans="1:1" x14ac:dyDescent="0.3">
      <c r="A21026" s="12"/>
    </row>
    <row r="21027" spans="1:1" x14ac:dyDescent="0.3">
      <c r="A21027" s="12"/>
    </row>
    <row r="21028" spans="1:1" x14ac:dyDescent="0.3">
      <c r="A21028" s="12"/>
    </row>
    <row r="21029" spans="1:1" x14ac:dyDescent="0.3">
      <c r="A21029" s="12"/>
    </row>
    <row r="21030" spans="1:1" x14ac:dyDescent="0.3">
      <c r="A21030" s="12"/>
    </row>
    <row r="21031" spans="1:1" x14ac:dyDescent="0.3">
      <c r="A21031" s="12"/>
    </row>
    <row r="21032" spans="1:1" x14ac:dyDescent="0.3">
      <c r="A21032" s="12"/>
    </row>
    <row r="21033" spans="1:1" x14ac:dyDescent="0.3">
      <c r="A21033" s="12"/>
    </row>
    <row r="21034" spans="1:1" x14ac:dyDescent="0.3">
      <c r="A21034" s="12"/>
    </row>
    <row r="21035" spans="1:1" x14ac:dyDescent="0.3">
      <c r="A21035" s="12"/>
    </row>
    <row r="21036" spans="1:1" x14ac:dyDescent="0.3">
      <c r="A21036" s="12"/>
    </row>
    <row r="21037" spans="1:1" x14ac:dyDescent="0.3">
      <c r="A21037" s="12"/>
    </row>
    <row r="21038" spans="1:1" x14ac:dyDescent="0.3">
      <c r="A21038" s="12"/>
    </row>
    <row r="21039" spans="1:1" x14ac:dyDescent="0.3">
      <c r="A21039" s="12"/>
    </row>
    <row r="21040" spans="1:1" x14ac:dyDescent="0.3">
      <c r="A21040" s="12"/>
    </row>
    <row r="21041" spans="1:1" x14ac:dyDescent="0.3">
      <c r="A21041" s="12"/>
    </row>
    <row r="21042" spans="1:1" x14ac:dyDescent="0.3">
      <c r="A21042" s="12"/>
    </row>
    <row r="21043" spans="1:1" x14ac:dyDescent="0.3">
      <c r="A21043" s="12"/>
    </row>
    <row r="21044" spans="1:1" x14ac:dyDescent="0.3">
      <c r="A21044" s="12"/>
    </row>
    <row r="21045" spans="1:1" x14ac:dyDescent="0.3">
      <c r="A21045" s="12"/>
    </row>
    <row r="21046" spans="1:1" x14ac:dyDescent="0.3">
      <c r="A21046" s="12"/>
    </row>
    <row r="21047" spans="1:1" x14ac:dyDescent="0.3">
      <c r="A21047" s="12"/>
    </row>
    <row r="21048" spans="1:1" x14ac:dyDescent="0.3">
      <c r="A21048" s="12"/>
    </row>
    <row r="21049" spans="1:1" x14ac:dyDescent="0.3">
      <c r="A21049" s="12"/>
    </row>
    <row r="21050" spans="1:1" x14ac:dyDescent="0.3">
      <c r="A21050" s="12"/>
    </row>
    <row r="21051" spans="1:1" x14ac:dyDescent="0.3">
      <c r="A21051" s="12"/>
    </row>
    <row r="21052" spans="1:1" x14ac:dyDescent="0.3">
      <c r="A21052" s="12"/>
    </row>
    <row r="21053" spans="1:1" x14ac:dyDescent="0.3">
      <c r="A21053" s="12"/>
    </row>
    <row r="21054" spans="1:1" x14ac:dyDescent="0.3">
      <c r="A21054" s="12"/>
    </row>
    <row r="21055" spans="1:1" x14ac:dyDescent="0.3">
      <c r="A21055" s="12"/>
    </row>
    <row r="21056" spans="1:1" x14ac:dyDescent="0.3">
      <c r="A21056" s="12"/>
    </row>
    <row r="21057" spans="1:1" x14ac:dyDescent="0.3">
      <c r="A21057" s="12"/>
    </row>
    <row r="21058" spans="1:1" x14ac:dyDescent="0.3">
      <c r="A21058" s="12"/>
    </row>
    <row r="21059" spans="1:1" x14ac:dyDescent="0.3">
      <c r="A21059" s="12"/>
    </row>
    <row r="21060" spans="1:1" x14ac:dyDescent="0.3">
      <c r="A21060" s="12"/>
    </row>
    <row r="21061" spans="1:1" x14ac:dyDescent="0.3">
      <c r="A21061" s="12"/>
    </row>
    <row r="21062" spans="1:1" x14ac:dyDescent="0.3">
      <c r="A21062" s="12"/>
    </row>
    <row r="21063" spans="1:1" x14ac:dyDescent="0.3">
      <c r="A21063" s="12"/>
    </row>
    <row r="21064" spans="1:1" x14ac:dyDescent="0.3">
      <c r="A21064" s="12"/>
    </row>
    <row r="21065" spans="1:1" x14ac:dyDescent="0.3">
      <c r="A21065" s="12"/>
    </row>
    <row r="21066" spans="1:1" x14ac:dyDescent="0.3">
      <c r="A21066" s="12"/>
    </row>
    <row r="21067" spans="1:1" x14ac:dyDescent="0.3">
      <c r="A21067" s="12"/>
    </row>
    <row r="21068" spans="1:1" x14ac:dyDescent="0.3">
      <c r="A21068" s="12"/>
    </row>
    <row r="21069" spans="1:1" x14ac:dyDescent="0.3">
      <c r="A21069" s="12"/>
    </row>
    <row r="21070" spans="1:1" x14ac:dyDescent="0.3">
      <c r="A21070" s="12"/>
    </row>
    <row r="21071" spans="1:1" x14ac:dyDescent="0.3">
      <c r="A21071" s="12"/>
    </row>
    <row r="21072" spans="1:1" x14ac:dyDescent="0.3">
      <c r="A21072" s="12"/>
    </row>
    <row r="21073" spans="1:1" x14ac:dyDescent="0.3">
      <c r="A21073" s="12"/>
    </row>
    <row r="21074" spans="1:1" x14ac:dyDescent="0.3">
      <c r="A21074" s="12"/>
    </row>
    <row r="21075" spans="1:1" x14ac:dyDescent="0.3">
      <c r="A21075" s="12"/>
    </row>
    <row r="21076" spans="1:1" x14ac:dyDescent="0.3">
      <c r="A21076" s="12"/>
    </row>
    <row r="21077" spans="1:1" x14ac:dyDescent="0.3">
      <c r="A21077" s="12"/>
    </row>
    <row r="21078" spans="1:1" x14ac:dyDescent="0.3">
      <c r="A21078" s="12"/>
    </row>
    <row r="21079" spans="1:1" x14ac:dyDescent="0.3">
      <c r="A21079" s="12"/>
    </row>
    <row r="21080" spans="1:1" x14ac:dyDescent="0.3">
      <c r="A21080" s="12"/>
    </row>
    <row r="21081" spans="1:1" x14ac:dyDescent="0.3">
      <c r="A21081" s="12"/>
    </row>
    <row r="21082" spans="1:1" x14ac:dyDescent="0.3">
      <c r="A21082" s="12"/>
    </row>
    <row r="21083" spans="1:1" x14ac:dyDescent="0.3">
      <c r="A21083" s="12"/>
    </row>
    <row r="21084" spans="1:1" x14ac:dyDescent="0.3">
      <c r="A21084" s="12"/>
    </row>
    <row r="21085" spans="1:1" x14ac:dyDescent="0.3">
      <c r="A21085" s="12"/>
    </row>
    <row r="21086" spans="1:1" x14ac:dyDescent="0.3">
      <c r="A21086" s="12"/>
    </row>
    <row r="21087" spans="1:1" x14ac:dyDescent="0.3">
      <c r="A21087" s="12"/>
    </row>
    <row r="21088" spans="1:1" x14ac:dyDescent="0.3">
      <c r="A21088" s="12"/>
    </row>
    <row r="21089" spans="1:1" x14ac:dyDescent="0.3">
      <c r="A21089" s="12"/>
    </row>
    <row r="21090" spans="1:1" x14ac:dyDescent="0.3">
      <c r="A21090" s="12"/>
    </row>
    <row r="21091" spans="1:1" x14ac:dyDescent="0.3">
      <c r="A21091" s="12"/>
    </row>
    <row r="21092" spans="1:1" x14ac:dyDescent="0.3">
      <c r="A21092" s="12"/>
    </row>
    <row r="21093" spans="1:1" x14ac:dyDescent="0.3">
      <c r="A21093" s="12"/>
    </row>
    <row r="21094" spans="1:1" x14ac:dyDescent="0.3">
      <c r="A21094" s="12"/>
    </row>
    <row r="21095" spans="1:1" x14ac:dyDescent="0.3">
      <c r="A21095" s="12"/>
    </row>
    <row r="21096" spans="1:1" x14ac:dyDescent="0.3">
      <c r="A21096" s="12"/>
    </row>
    <row r="21097" spans="1:1" x14ac:dyDescent="0.3">
      <c r="A21097" s="12"/>
    </row>
    <row r="21098" spans="1:1" x14ac:dyDescent="0.3">
      <c r="A21098" s="12"/>
    </row>
    <row r="21099" spans="1:1" x14ac:dyDescent="0.3">
      <c r="A21099" s="12"/>
    </row>
    <row r="21100" spans="1:1" x14ac:dyDescent="0.3">
      <c r="A21100" s="12"/>
    </row>
    <row r="21101" spans="1:1" x14ac:dyDescent="0.3">
      <c r="A21101" s="12"/>
    </row>
    <row r="21102" spans="1:1" x14ac:dyDescent="0.3">
      <c r="A21102" s="12"/>
    </row>
    <row r="21103" spans="1:1" x14ac:dyDescent="0.3">
      <c r="A21103" s="12"/>
    </row>
    <row r="21104" spans="1:1" x14ac:dyDescent="0.3">
      <c r="A21104" s="12"/>
    </row>
    <row r="21105" spans="1:1" x14ac:dyDescent="0.3">
      <c r="A21105" s="12"/>
    </row>
    <row r="21106" spans="1:1" x14ac:dyDescent="0.3">
      <c r="A21106" s="12"/>
    </row>
    <row r="21107" spans="1:1" x14ac:dyDescent="0.3">
      <c r="A21107" s="12"/>
    </row>
    <row r="21108" spans="1:1" x14ac:dyDescent="0.3">
      <c r="A21108" s="12"/>
    </row>
    <row r="21109" spans="1:1" x14ac:dyDescent="0.3">
      <c r="A21109" s="12"/>
    </row>
    <row r="21110" spans="1:1" x14ac:dyDescent="0.3">
      <c r="A21110" s="12"/>
    </row>
    <row r="21111" spans="1:1" x14ac:dyDescent="0.3">
      <c r="A21111" s="12"/>
    </row>
    <row r="21112" spans="1:1" x14ac:dyDescent="0.3">
      <c r="A21112" s="12"/>
    </row>
    <row r="21113" spans="1:1" x14ac:dyDescent="0.3">
      <c r="A21113" s="12"/>
    </row>
    <row r="21114" spans="1:1" x14ac:dyDescent="0.3">
      <c r="A21114" s="12"/>
    </row>
    <row r="21115" spans="1:1" x14ac:dyDescent="0.3">
      <c r="A21115" s="12"/>
    </row>
    <row r="21116" spans="1:1" x14ac:dyDescent="0.3">
      <c r="A21116" s="12"/>
    </row>
    <row r="21117" spans="1:1" x14ac:dyDescent="0.3">
      <c r="A21117" s="12"/>
    </row>
    <row r="21118" spans="1:1" x14ac:dyDescent="0.3">
      <c r="A21118" s="12"/>
    </row>
    <row r="21119" spans="1:1" x14ac:dyDescent="0.3">
      <c r="A21119" s="12"/>
    </row>
    <row r="21120" spans="1:1" x14ac:dyDescent="0.3">
      <c r="A21120" s="12"/>
    </row>
    <row r="21121" spans="1:1" x14ac:dyDescent="0.3">
      <c r="A21121" s="12"/>
    </row>
    <row r="21122" spans="1:1" x14ac:dyDescent="0.3">
      <c r="A21122" s="12"/>
    </row>
    <row r="21123" spans="1:1" x14ac:dyDescent="0.3">
      <c r="A21123" s="12"/>
    </row>
    <row r="21124" spans="1:1" x14ac:dyDescent="0.3">
      <c r="A21124" s="12"/>
    </row>
    <row r="21125" spans="1:1" x14ac:dyDescent="0.3">
      <c r="A21125" s="12"/>
    </row>
    <row r="21126" spans="1:1" x14ac:dyDescent="0.3">
      <c r="A21126" s="12"/>
    </row>
    <row r="21127" spans="1:1" x14ac:dyDescent="0.3">
      <c r="A21127" s="12"/>
    </row>
    <row r="21128" spans="1:1" x14ac:dyDescent="0.3">
      <c r="A21128" s="12"/>
    </row>
    <row r="21129" spans="1:1" x14ac:dyDescent="0.3">
      <c r="A21129" s="12"/>
    </row>
    <row r="21130" spans="1:1" x14ac:dyDescent="0.3">
      <c r="A21130" s="12"/>
    </row>
    <row r="21131" spans="1:1" x14ac:dyDescent="0.3">
      <c r="A21131" s="12"/>
    </row>
    <row r="21132" spans="1:1" x14ac:dyDescent="0.3">
      <c r="A21132" s="12"/>
    </row>
    <row r="21133" spans="1:1" x14ac:dyDescent="0.3">
      <c r="A21133" s="12"/>
    </row>
    <row r="21134" spans="1:1" x14ac:dyDescent="0.3">
      <c r="A21134" s="12"/>
    </row>
    <row r="21135" spans="1:1" x14ac:dyDescent="0.3">
      <c r="A21135" s="12"/>
    </row>
    <row r="21136" spans="1:1" x14ac:dyDescent="0.3">
      <c r="A21136" s="12"/>
    </row>
    <row r="21137" spans="1:1" x14ac:dyDescent="0.3">
      <c r="A21137" s="12"/>
    </row>
    <row r="21138" spans="1:1" x14ac:dyDescent="0.3">
      <c r="A21138" s="12"/>
    </row>
    <row r="21139" spans="1:1" x14ac:dyDescent="0.3">
      <c r="A21139" s="12"/>
    </row>
    <row r="21140" spans="1:1" x14ac:dyDescent="0.3">
      <c r="A21140" s="12"/>
    </row>
    <row r="21141" spans="1:1" x14ac:dyDescent="0.3">
      <c r="A21141" s="12"/>
    </row>
    <row r="21142" spans="1:1" x14ac:dyDescent="0.3">
      <c r="A21142" s="12"/>
    </row>
    <row r="21143" spans="1:1" x14ac:dyDescent="0.3">
      <c r="A21143" s="12"/>
    </row>
    <row r="21144" spans="1:1" x14ac:dyDescent="0.3">
      <c r="A21144" s="12"/>
    </row>
    <row r="21145" spans="1:1" x14ac:dyDescent="0.3">
      <c r="A21145" s="12"/>
    </row>
    <row r="21146" spans="1:1" x14ac:dyDescent="0.3">
      <c r="A21146" s="12"/>
    </row>
    <row r="21147" spans="1:1" x14ac:dyDescent="0.3">
      <c r="A21147" s="12"/>
    </row>
    <row r="21148" spans="1:1" x14ac:dyDescent="0.3">
      <c r="A21148" s="12"/>
    </row>
    <row r="21149" spans="1:1" x14ac:dyDescent="0.3">
      <c r="A21149" s="12"/>
    </row>
    <row r="21150" spans="1:1" x14ac:dyDescent="0.3">
      <c r="A21150" s="12"/>
    </row>
    <row r="21151" spans="1:1" x14ac:dyDescent="0.3">
      <c r="A21151" s="12"/>
    </row>
    <row r="21152" spans="1:1" x14ac:dyDescent="0.3">
      <c r="A21152" s="12"/>
    </row>
    <row r="21153" spans="1:1" x14ac:dyDescent="0.3">
      <c r="A21153" s="12"/>
    </row>
    <row r="21154" spans="1:1" x14ac:dyDescent="0.3">
      <c r="A21154" s="12"/>
    </row>
    <row r="21155" spans="1:1" x14ac:dyDescent="0.3">
      <c r="A21155" s="12"/>
    </row>
    <row r="21156" spans="1:1" x14ac:dyDescent="0.3">
      <c r="A21156" s="12"/>
    </row>
    <row r="21157" spans="1:1" x14ac:dyDescent="0.3">
      <c r="A21157" s="12"/>
    </row>
    <row r="21158" spans="1:1" x14ac:dyDescent="0.3">
      <c r="A21158" s="12"/>
    </row>
    <row r="21159" spans="1:1" x14ac:dyDescent="0.3">
      <c r="A21159" s="12"/>
    </row>
    <row r="21160" spans="1:1" x14ac:dyDescent="0.3">
      <c r="A21160" s="12"/>
    </row>
    <row r="21161" spans="1:1" x14ac:dyDescent="0.3">
      <c r="A21161" s="12"/>
    </row>
    <row r="21162" spans="1:1" x14ac:dyDescent="0.3">
      <c r="A21162" s="12"/>
    </row>
    <row r="21163" spans="1:1" x14ac:dyDescent="0.3">
      <c r="A21163" s="12"/>
    </row>
    <row r="21164" spans="1:1" x14ac:dyDescent="0.3">
      <c r="A21164" s="12"/>
    </row>
    <row r="21165" spans="1:1" x14ac:dyDescent="0.3">
      <c r="A21165" s="12"/>
    </row>
    <row r="21166" spans="1:1" x14ac:dyDescent="0.3">
      <c r="A21166" s="12"/>
    </row>
    <row r="21167" spans="1:1" x14ac:dyDescent="0.3">
      <c r="A21167" s="12"/>
    </row>
    <row r="21168" spans="1:1" x14ac:dyDescent="0.3">
      <c r="A21168" s="12"/>
    </row>
    <row r="21169" spans="1:1" x14ac:dyDescent="0.3">
      <c r="A21169" s="12"/>
    </row>
    <row r="21170" spans="1:1" x14ac:dyDescent="0.3">
      <c r="A21170" s="12"/>
    </row>
    <row r="21171" spans="1:1" x14ac:dyDescent="0.3">
      <c r="A21171" s="12"/>
    </row>
    <row r="21172" spans="1:1" x14ac:dyDescent="0.3">
      <c r="A21172" s="12"/>
    </row>
    <row r="21173" spans="1:1" x14ac:dyDescent="0.3">
      <c r="A21173" s="12"/>
    </row>
    <row r="21174" spans="1:1" x14ac:dyDescent="0.3">
      <c r="A21174" s="12"/>
    </row>
    <row r="21175" spans="1:1" x14ac:dyDescent="0.3">
      <c r="A21175" s="12"/>
    </row>
    <row r="21176" spans="1:1" x14ac:dyDescent="0.3">
      <c r="A21176" s="12"/>
    </row>
    <row r="21177" spans="1:1" x14ac:dyDescent="0.3">
      <c r="A21177" s="12"/>
    </row>
    <row r="21178" spans="1:1" x14ac:dyDescent="0.3">
      <c r="A21178" s="12"/>
    </row>
    <row r="21179" spans="1:1" x14ac:dyDescent="0.3">
      <c r="A21179" s="12"/>
    </row>
    <row r="21180" spans="1:1" x14ac:dyDescent="0.3">
      <c r="A21180" s="12"/>
    </row>
    <row r="21181" spans="1:1" x14ac:dyDescent="0.3">
      <c r="A21181" s="12"/>
    </row>
    <row r="21182" spans="1:1" x14ac:dyDescent="0.3">
      <c r="A21182" s="12"/>
    </row>
    <row r="21183" spans="1:1" x14ac:dyDescent="0.3">
      <c r="A21183" s="12"/>
    </row>
    <row r="21184" spans="1:1" x14ac:dyDescent="0.3">
      <c r="A21184" s="12"/>
    </row>
    <row r="21185" spans="1:1" x14ac:dyDescent="0.3">
      <c r="A21185" s="12"/>
    </row>
    <row r="21186" spans="1:1" x14ac:dyDescent="0.3">
      <c r="A21186" s="12"/>
    </row>
    <row r="21187" spans="1:1" x14ac:dyDescent="0.3">
      <c r="A21187" s="12"/>
    </row>
    <row r="21188" spans="1:1" x14ac:dyDescent="0.3">
      <c r="A21188" s="12"/>
    </row>
    <row r="21189" spans="1:1" x14ac:dyDescent="0.3">
      <c r="A21189" s="12"/>
    </row>
    <row r="21190" spans="1:1" x14ac:dyDescent="0.3">
      <c r="A21190" s="12"/>
    </row>
    <row r="21191" spans="1:1" x14ac:dyDescent="0.3">
      <c r="A21191" s="12"/>
    </row>
    <row r="21192" spans="1:1" x14ac:dyDescent="0.3">
      <c r="A21192" s="12"/>
    </row>
    <row r="21193" spans="1:1" x14ac:dyDescent="0.3">
      <c r="A21193" s="12"/>
    </row>
    <row r="21194" spans="1:1" x14ac:dyDescent="0.3">
      <c r="A21194" s="12"/>
    </row>
    <row r="21195" spans="1:1" x14ac:dyDescent="0.3">
      <c r="A21195" s="12"/>
    </row>
    <row r="21196" spans="1:1" x14ac:dyDescent="0.3">
      <c r="A21196" s="12"/>
    </row>
    <row r="21197" spans="1:1" x14ac:dyDescent="0.3">
      <c r="A21197" s="12"/>
    </row>
    <row r="21198" spans="1:1" x14ac:dyDescent="0.3">
      <c r="A21198" s="12"/>
    </row>
    <row r="21199" spans="1:1" x14ac:dyDescent="0.3">
      <c r="A21199" s="12"/>
    </row>
    <row r="21200" spans="1:1" x14ac:dyDescent="0.3">
      <c r="A21200" s="12"/>
    </row>
    <row r="21201" spans="1:1" x14ac:dyDescent="0.3">
      <c r="A21201" s="12"/>
    </row>
    <row r="21202" spans="1:1" x14ac:dyDescent="0.3">
      <c r="A21202" s="12"/>
    </row>
    <row r="21203" spans="1:1" x14ac:dyDescent="0.3">
      <c r="A21203" s="12"/>
    </row>
    <row r="21204" spans="1:1" x14ac:dyDescent="0.3">
      <c r="A21204" s="12"/>
    </row>
    <row r="21205" spans="1:1" x14ac:dyDescent="0.3">
      <c r="A21205" s="12"/>
    </row>
    <row r="21206" spans="1:1" x14ac:dyDescent="0.3">
      <c r="A21206" s="12"/>
    </row>
    <row r="21207" spans="1:1" x14ac:dyDescent="0.3">
      <c r="A21207" s="12"/>
    </row>
    <row r="21208" spans="1:1" x14ac:dyDescent="0.3">
      <c r="A21208" s="12"/>
    </row>
    <row r="21209" spans="1:1" x14ac:dyDescent="0.3">
      <c r="A21209" s="12"/>
    </row>
    <row r="21210" spans="1:1" x14ac:dyDescent="0.3">
      <c r="A21210" s="12"/>
    </row>
    <row r="21211" spans="1:1" x14ac:dyDescent="0.3">
      <c r="A21211" s="12"/>
    </row>
    <row r="21212" spans="1:1" x14ac:dyDescent="0.3">
      <c r="A21212" s="12"/>
    </row>
    <row r="21213" spans="1:1" x14ac:dyDescent="0.3">
      <c r="A21213" s="12"/>
    </row>
    <row r="21214" spans="1:1" x14ac:dyDescent="0.3">
      <c r="A21214" s="12"/>
    </row>
    <row r="21215" spans="1:1" x14ac:dyDescent="0.3">
      <c r="A21215" s="12"/>
    </row>
    <row r="21216" spans="1:1" x14ac:dyDescent="0.3">
      <c r="A21216" s="12"/>
    </row>
    <row r="21217" spans="1:1" x14ac:dyDescent="0.3">
      <c r="A21217" s="12"/>
    </row>
    <row r="21218" spans="1:1" x14ac:dyDescent="0.3">
      <c r="A21218" s="12"/>
    </row>
    <row r="21219" spans="1:1" x14ac:dyDescent="0.3">
      <c r="A21219" s="12"/>
    </row>
    <row r="21220" spans="1:1" x14ac:dyDescent="0.3">
      <c r="A21220" s="12"/>
    </row>
    <row r="21221" spans="1:1" x14ac:dyDescent="0.3">
      <c r="A21221" s="12"/>
    </row>
    <row r="21222" spans="1:1" x14ac:dyDescent="0.3">
      <c r="A21222" s="12"/>
    </row>
    <row r="21223" spans="1:1" x14ac:dyDescent="0.3">
      <c r="A21223" s="12"/>
    </row>
    <row r="21224" spans="1:1" x14ac:dyDescent="0.3">
      <c r="A21224" s="12"/>
    </row>
    <row r="21225" spans="1:1" x14ac:dyDescent="0.3">
      <c r="A21225" s="12"/>
    </row>
    <row r="21226" spans="1:1" x14ac:dyDescent="0.3">
      <c r="A21226" s="12"/>
    </row>
    <row r="21227" spans="1:1" x14ac:dyDescent="0.3">
      <c r="A21227" s="12"/>
    </row>
    <row r="21228" spans="1:1" x14ac:dyDescent="0.3">
      <c r="A21228" s="12"/>
    </row>
    <row r="21229" spans="1:1" x14ac:dyDescent="0.3">
      <c r="A21229" s="12"/>
    </row>
    <row r="21230" spans="1:1" x14ac:dyDescent="0.3">
      <c r="A21230" s="12"/>
    </row>
    <row r="21231" spans="1:1" x14ac:dyDescent="0.3">
      <c r="A21231" s="12"/>
    </row>
    <row r="21232" spans="1:1" x14ac:dyDescent="0.3">
      <c r="A21232" s="12"/>
    </row>
    <row r="21233" spans="1:1" x14ac:dyDescent="0.3">
      <c r="A21233" s="12"/>
    </row>
    <row r="21234" spans="1:1" x14ac:dyDescent="0.3">
      <c r="A21234" s="12"/>
    </row>
    <row r="21235" spans="1:1" x14ac:dyDescent="0.3">
      <c r="A21235" s="12"/>
    </row>
    <row r="21236" spans="1:1" x14ac:dyDescent="0.3">
      <c r="A21236" s="12"/>
    </row>
    <row r="21237" spans="1:1" x14ac:dyDescent="0.3">
      <c r="A21237" s="12"/>
    </row>
    <row r="21238" spans="1:1" x14ac:dyDescent="0.3">
      <c r="A21238" s="12"/>
    </row>
    <row r="21239" spans="1:1" x14ac:dyDescent="0.3">
      <c r="A21239" s="12"/>
    </row>
    <row r="21240" spans="1:1" x14ac:dyDescent="0.3">
      <c r="A21240" s="12"/>
    </row>
    <row r="21241" spans="1:1" x14ac:dyDescent="0.3">
      <c r="A21241" s="12"/>
    </row>
    <row r="21242" spans="1:1" x14ac:dyDescent="0.3">
      <c r="A21242" s="12"/>
    </row>
    <row r="21243" spans="1:1" x14ac:dyDescent="0.3">
      <c r="A21243" s="12"/>
    </row>
    <row r="21244" spans="1:1" x14ac:dyDescent="0.3">
      <c r="A21244" s="12"/>
    </row>
    <row r="21245" spans="1:1" x14ac:dyDescent="0.3">
      <c r="A21245" s="12"/>
    </row>
    <row r="21246" spans="1:1" x14ac:dyDescent="0.3">
      <c r="A21246" s="12"/>
    </row>
    <row r="21247" spans="1:1" x14ac:dyDescent="0.3">
      <c r="A21247" s="12"/>
    </row>
    <row r="21248" spans="1:1" x14ac:dyDescent="0.3">
      <c r="A21248" s="12"/>
    </row>
    <row r="21249" spans="1:1" x14ac:dyDescent="0.3">
      <c r="A21249" s="12"/>
    </row>
    <row r="21250" spans="1:1" x14ac:dyDescent="0.3">
      <c r="A21250" s="12"/>
    </row>
    <row r="21251" spans="1:1" x14ac:dyDescent="0.3">
      <c r="A21251" s="12"/>
    </row>
    <row r="21252" spans="1:1" x14ac:dyDescent="0.3">
      <c r="A21252" s="12"/>
    </row>
    <row r="21253" spans="1:1" x14ac:dyDescent="0.3">
      <c r="A21253" s="12"/>
    </row>
    <row r="21254" spans="1:1" x14ac:dyDescent="0.3">
      <c r="A21254" s="12"/>
    </row>
    <row r="21255" spans="1:1" x14ac:dyDescent="0.3">
      <c r="A21255" s="12"/>
    </row>
    <row r="21256" spans="1:1" x14ac:dyDescent="0.3">
      <c r="A21256" s="12"/>
    </row>
    <row r="21257" spans="1:1" x14ac:dyDescent="0.3">
      <c r="A21257" s="12"/>
    </row>
    <row r="21258" spans="1:1" x14ac:dyDescent="0.3">
      <c r="A21258" s="12"/>
    </row>
    <row r="21259" spans="1:1" x14ac:dyDescent="0.3">
      <c r="A21259" s="12"/>
    </row>
    <row r="21260" spans="1:1" x14ac:dyDescent="0.3">
      <c r="A21260" s="12"/>
    </row>
    <row r="21261" spans="1:1" x14ac:dyDescent="0.3">
      <c r="A21261" s="12"/>
    </row>
    <row r="21262" spans="1:1" x14ac:dyDescent="0.3">
      <c r="A21262" s="12"/>
    </row>
    <row r="21263" spans="1:1" x14ac:dyDescent="0.3">
      <c r="A21263" s="12"/>
    </row>
    <row r="21264" spans="1:1" x14ac:dyDescent="0.3">
      <c r="A21264" s="12"/>
    </row>
    <row r="21265" spans="1:1" x14ac:dyDescent="0.3">
      <c r="A21265" s="12"/>
    </row>
    <row r="21266" spans="1:1" x14ac:dyDescent="0.3">
      <c r="A21266" s="12"/>
    </row>
    <row r="21267" spans="1:1" x14ac:dyDescent="0.3">
      <c r="A21267" s="12"/>
    </row>
    <row r="21268" spans="1:1" x14ac:dyDescent="0.3">
      <c r="A21268" s="12"/>
    </row>
    <row r="21269" spans="1:1" x14ac:dyDescent="0.3">
      <c r="A21269" s="12"/>
    </row>
    <row r="21270" spans="1:1" x14ac:dyDescent="0.3">
      <c r="A21270" s="12"/>
    </row>
    <row r="21271" spans="1:1" x14ac:dyDescent="0.3">
      <c r="A21271" s="12"/>
    </row>
    <row r="21272" spans="1:1" x14ac:dyDescent="0.3">
      <c r="A21272" s="12"/>
    </row>
    <row r="21273" spans="1:1" x14ac:dyDescent="0.3">
      <c r="A21273" s="12"/>
    </row>
    <row r="21274" spans="1:1" x14ac:dyDescent="0.3">
      <c r="A21274" s="12"/>
    </row>
    <row r="21275" spans="1:1" x14ac:dyDescent="0.3">
      <c r="A21275" s="12"/>
    </row>
    <row r="21276" spans="1:1" x14ac:dyDescent="0.3">
      <c r="A21276" s="12"/>
    </row>
    <row r="21277" spans="1:1" x14ac:dyDescent="0.3">
      <c r="A21277" s="12"/>
    </row>
    <row r="21278" spans="1:1" x14ac:dyDescent="0.3">
      <c r="A21278" s="12"/>
    </row>
    <row r="21279" spans="1:1" x14ac:dyDescent="0.3">
      <c r="A21279" s="12"/>
    </row>
    <row r="21280" spans="1:1" x14ac:dyDescent="0.3">
      <c r="A21280" s="12"/>
    </row>
    <row r="21281" spans="1:1" x14ac:dyDescent="0.3">
      <c r="A21281" s="12"/>
    </row>
    <row r="21282" spans="1:1" x14ac:dyDescent="0.3">
      <c r="A21282" s="12"/>
    </row>
    <row r="21283" spans="1:1" x14ac:dyDescent="0.3">
      <c r="A21283" s="12"/>
    </row>
    <row r="21284" spans="1:1" x14ac:dyDescent="0.3">
      <c r="A21284" s="12"/>
    </row>
    <row r="21285" spans="1:1" x14ac:dyDescent="0.3">
      <c r="A21285" s="12"/>
    </row>
    <row r="21286" spans="1:1" x14ac:dyDescent="0.3">
      <c r="A21286" s="12"/>
    </row>
    <row r="21287" spans="1:1" x14ac:dyDescent="0.3">
      <c r="A21287" s="12"/>
    </row>
    <row r="21288" spans="1:1" x14ac:dyDescent="0.3">
      <c r="A21288" s="12"/>
    </row>
    <row r="21289" spans="1:1" x14ac:dyDescent="0.3">
      <c r="A21289" s="12"/>
    </row>
    <row r="21290" spans="1:1" x14ac:dyDescent="0.3">
      <c r="A21290" s="12"/>
    </row>
    <row r="21291" spans="1:1" x14ac:dyDescent="0.3">
      <c r="A21291" s="12"/>
    </row>
    <row r="21292" spans="1:1" x14ac:dyDescent="0.3">
      <c r="A21292" s="12"/>
    </row>
    <row r="21293" spans="1:1" x14ac:dyDescent="0.3">
      <c r="A21293" s="12"/>
    </row>
    <row r="21294" spans="1:1" x14ac:dyDescent="0.3">
      <c r="A21294" s="12"/>
    </row>
    <row r="21295" spans="1:1" x14ac:dyDescent="0.3">
      <c r="A21295" s="12"/>
    </row>
    <row r="21296" spans="1:1" x14ac:dyDescent="0.3">
      <c r="A21296" s="12"/>
    </row>
    <row r="21297" spans="1:1" x14ac:dyDescent="0.3">
      <c r="A21297" s="12"/>
    </row>
    <row r="21298" spans="1:1" x14ac:dyDescent="0.3">
      <c r="A21298" s="12"/>
    </row>
    <row r="21299" spans="1:1" x14ac:dyDescent="0.3">
      <c r="A21299" s="12"/>
    </row>
    <row r="21300" spans="1:1" x14ac:dyDescent="0.3">
      <c r="A21300" s="12"/>
    </row>
    <row r="21301" spans="1:1" x14ac:dyDescent="0.3">
      <c r="A21301" s="12"/>
    </row>
    <row r="21302" spans="1:1" x14ac:dyDescent="0.3">
      <c r="A21302" s="12"/>
    </row>
    <row r="21303" spans="1:1" x14ac:dyDescent="0.3">
      <c r="A21303" s="12"/>
    </row>
    <row r="21304" spans="1:1" x14ac:dyDescent="0.3">
      <c r="A21304" s="12"/>
    </row>
    <row r="21305" spans="1:1" x14ac:dyDescent="0.3">
      <c r="A21305" s="12"/>
    </row>
    <row r="21306" spans="1:1" x14ac:dyDescent="0.3">
      <c r="A21306" s="12"/>
    </row>
    <row r="21307" spans="1:1" x14ac:dyDescent="0.3">
      <c r="A21307" s="12"/>
    </row>
    <row r="21308" spans="1:1" x14ac:dyDescent="0.3">
      <c r="A21308" s="12"/>
    </row>
    <row r="21309" spans="1:1" x14ac:dyDescent="0.3">
      <c r="A21309" s="12"/>
    </row>
    <row r="21310" spans="1:1" x14ac:dyDescent="0.3">
      <c r="A21310" s="12"/>
    </row>
    <row r="21311" spans="1:1" x14ac:dyDescent="0.3">
      <c r="A21311" s="12"/>
    </row>
    <row r="21312" spans="1:1" x14ac:dyDescent="0.3">
      <c r="A21312" s="12"/>
    </row>
    <row r="21313" spans="1:1" x14ac:dyDescent="0.3">
      <c r="A21313" s="12"/>
    </row>
    <row r="21314" spans="1:1" x14ac:dyDescent="0.3">
      <c r="A21314" s="12"/>
    </row>
    <row r="21315" spans="1:1" x14ac:dyDescent="0.3">
      <c r="A21315" s="12"/>
    </row>
    <row r="21316" spans="1:1" x14ac:dyDescent="0.3">
      <c r="A21316" s="12"/>
    </row>
    <row r="21317" spans="1:1" x14ac:dyDescent="0.3">
      <c r="A21317" s="12"/>
    </row>
    <row r="21318" spans="1:1" x14ac:dyDescent="0.3">
      <c r="A21318" s="12"/>
    </row>
    <row r="21319" spans="1:1" x14ac:dyDescent="0.3">
      <c r="A21319" s="12"/>
    </row>
    <row r="21320" spans="1:1" x14ac:dyDescent="0.3">
      <c r="A21320" s="12"/>
    </row>
    <row r="21321" spans="1:1" x14ac:dyDescent="0.3">
      <c r="A21321" s="12"/>
    </row>
    <row r="21322" spans="1:1" x14ac:dyDescent="0.3">
      <c r="A21322" s="12"/>
    </row>
    <row r="21323" spans="1:1" x14ac:dyDescent="0.3">
      <c r="A21323" s="12"/>
    </row>
    <row r="21324" spans="1:1" x14ac:dyDescent="0.3">
      <c r="A21324" s="12"/>
    </row>
    <row r="21325" spans="1:1" x14ac:dyDescent="0.3">
      <c r="A21325" s="12"/>
    </row>
    <row r="21326" spans="1:1" x14ac:dyDescent="0.3">
      <c r="A21326" s="12"/>
    </row>
    <row r="21327" spans="1:1" x14ac:dyDescent="0.3">
      <c r="A21327" s="12"/>
    </row>
    <row r="21328" spans="1:1" x14ac:dyDescent="0.3">
      <c r="A21328" s="12"/>
    </row>
    <row r="21329" spans="1:1" x14ac:dyDescent="0.3">
      <c r="A21329" s="12"/>
    </row>
    <row r="21330" spans="1:1" x14ac:dyDescent="0.3">
      <c r="A21330" s="12"/>
    </row>
    <row r="21331" spans="1:1" x14ac:dyDescent="0.3">
      <c r="A21331" s="12"/>
    </row>
    <row r="21332" spans="1:1" x14ac:dyDescent="0.3">
      <c r="A21332" s="12"/>
    </row>
    <row r="21333" spans="1:1" x14ac:dyDescent="0.3">
      <c r="A21333" s="12"/>
    </row>
    <row r="21334" spans="1:1" x14ac:dyDescent="0.3">
      <c r="A21334" s="12"/>
    </row>
    <row r="21335" spans="1:1" x14ac:dyDescent="0.3">
      <c r="A21335" s="12"/>
    </row>
    <row r="21336" spans="1:1" x14ac:dyDescent="0.3">
      <c r="A21336" s="12"/>
    </row>
    <row r="21337" spans="1:1" x14ac:dyDescent="0.3">
      <c r="A21337" s="12"/>
    </row>
    <row r="21338" spans="1:1" x14ac:dyDescent="0.3">
      <c r="A21338" s="12"/>
    </row>
    <row r="21339" spans="1:1" x14ac:dyDescent="0.3">
      <c r="A21339" s="12"/>
    </row>
    <row r="21340" spans="1:1" x14ac:dyDescent="0.3">
      <c r="A21340" s="12"/>
    </row>
    <row r="21341" spans="1:1" x14ac:dyDescent="0.3">
      <c r="A21341" s="12"/>
    </row>
    <row r="21342" spans="1:1" x14ac:dyDescent="0.3">
      <c r="A21342" s="12"/>
    </row>
    <row r="21343" spans="1:1" x14ac:dyDescent="0.3">
      <c r="A21343" s="12"/>
    </row>
    <row r="21344" spans="1:1" x14ac:dyDescent="0.3">
      <c r="A21344" s="12"/>
    </row>
    <row r="21345" spans="1:1" x14ac:dyDescent="0.3">
      <c r="A21345" s="12"/>
    </row>
    <row r="21346" spans="1:1" x14ac:dyDescent="0.3">
      <c r="A21346" s="12"/>
    </row>
    <row r="21347" spans="1:1" x14ac:dyDescent="0.3">
      <c r="A21347" s="12"/>
    </row>
    <row r="21348" spans="1:1" x14ac:dyDescent="0.3">
      <c r="A21348" s="12"/>
    </row>
    <row r="21349" spans="1:1" x14ac:dyDescent="0.3">
      <c r="A21349" s="12"/>
    </row>
    <row r="21350" spans="1:1" x14ac:dyDescent="0.3">
      <c r="A21350" s="12"/>
    </row>
    <row r="21351" spans="1:1" x14ac:dyDescent="0.3">
      <c r="A21351" s="12"/>
    </row>
    <row r="21352" spans="1:1" x14ac:dyDescent="0.3">
      <c r="A21352" s="12"/>
    </row>
    <row r="21353" spans="1:1" x14ac:dyDescent="0.3">
      <c r="A21353" s="12"/>
    </row>
    <row r="21354" spans="1:1" x14ac:dyDescent="0.3">
      <c r="A21354" s="12"/>
    </row>
    <row r="21355" spans="1:1" x14ac:dyDescent="0.3">
      <c r="A21355" s="12"/>
    </row>
    <row r="21356" spans="1:1" x14ac:dyDescent="0.3">
      <c r="A21356" s="12"/>
    </row>
    <row r="21357" spans="1:1" x14ac:dyDescent="0.3">
      <c r="A21357" s="12"/>
    </row>
    <row r="21358" spans="1:1" x14ac:dyDescent="0.3">
      <c r="A21358" s="12"/>
    </row>
    <row r="21359" spans="1:1" x14ac:dyDescent="0.3">
      <c r="A21359" s="12"/>
    </row>
    <row r="21360" spans="1:1" x14ac:dyDescent="0.3">
      <c r="A21360" s="12"/>
    </row>
    <row r="21361" spans="1:1" x14ac:dyDescent="0.3">
      <c r="A21361" s="12"/>
    </row>
    <row r="21362" spans="1:1" x14ac:dyDescent="0.3">
      <c r="A21362" s="12"/>
    </row>
    <row r="21363" spans="1:1" x14ac:dyDescent="0.3">
      <c r="A21363" s="12"/>
    </row>
    <row r="21364" spans="1:1" x14ac:dyDescent="0.3">
      <c r="A21364" s="12"/>
    </row>
    <row r="21365" spans="1:1" x14ac:dyDescent="0.3">
      <c r="A21365" s="12"/>
    </row>
    <row r="21366" spans="1:1" x14ac:dyDescent="0.3">
      <c r="A21366" s="12"/>
    </row>
    <row r="21367" spans="1:1" x14ac:dyDescent="0.3">
      <c r="A21367" s="12"/>
    </row>
    <row r="21368" spans="1:1" x14ac:dyDescent="0.3">
      <c r="A21368" s="12"/>
    </row>
    <row r="21369" spans="1:1" x14ac:dyDescent="0.3">
      <c r="A21369" s="12"/>
    </row>
    <row r="21370" spans="1:1" x14ac:dyDescent="0.3">
      <c r="A21370" s="12"/>
    </row>
    <row r="21371" spans="1:1" x14ac:dyDescent="0.3">
      <c r="A21371" s="12"/>
    </row>
    <row r="21372" spans="1:1" x14ac:dyDescent="0.3">
      <c r="A21372" s="12"/>
    </row>
    <row r="21373" spans="1:1" x14ac:dyDescent="0.3">
      <c r="A21373" s="12"/>
    </row>
    <row r="21374" spans="1:1" x14ac:dyDescent="0.3">
      <c r="A21374" s="12"/>
    </row>
    <row r="21375" spans="1:1" x14ac:dyDescent="0.3">
      <c r="A21375" s="12"/>
    </row>
    <row r="21376" spans="1:1" x14ac:dyDescent="0.3">
      <c r="A21376" s="12"/>
    </row>
    <row r="21377" spans="1:1" x14ac:dyDescent="0.3">
      <c r="A21377" s="12"/>
    </row>
    <row r="21378" spans="1:1" x14ac:dyDescent="0.3">
      <c r="A21378" s="12"/>
    </row>
    <row r="21379" spans="1:1" x14ac:dyDescent="0.3">
      <c r="A21379" s="12"/>
    </row>
    <row r="21380" spans="1:1" x14ac:dyDescent="0.3">
      <c r="A21380" s="12"/>
    </row>
    <row r="21381" spans="1:1" x14ac:dyDescent="0.3">
      <c r="A21381" s="12"/>
    </row>
    <row r="21382" spans="1:1" x14ac:dyDescent="0.3">
      <c r="A21382" s="12"/>
    </row>
    <row r="21383" spans="1:1" x14ac:dyDescent="0.3">
      <c r="A21383" s="12"/>
    </row>
    <row r="21384" spans="1:1" x14ac:dyDescent="0.3">
      <c r="A21384" s="12"/>
    </row>
    <row r="21385" spans="1:1" x14ac:dyDescent="0.3">
      <c r="A21385" s="12"/>
    </row>
    <row r="21386" spans="1:1" x14ac:dyDescent="0.3">
      <c r="A21386" s="12"/>
    </row>
    <row r="21387" spans="1:1" x14ac:dyDescent="0.3">
      <c r="A21387" s="12"/>
    </row>
    <row r="21388" spans="1:1" x14ac:dyDescent="0.3">
      <c r="A21388" s="12"/>
    </row>
    <row r="21389" spans="1:1" x14ac:dyDescent="0.3">
      <c r="A21389" s="12"/>
    </row>
    <row r="21390" spans="1:1" x14ac:dyDescent="0.3">
      <c r="A21390" s="12"/>
    </row>
    <row r="21391" spans="1:1" x14ac:dyDescent="0.3">
      <c r="A21391" s="12"/>
    </row>
    <row r="21392" spans="1:1" x14ac:dyDescent="0.3">
      <c r="A21392" s="12"/>
    </row>
    <row r="21393" spans="1:1" x14ac:dyDescent="0.3">
      <c r="A21393" s="12"/>
    </row>
    <row r="21394" spans="1:1" x14ac:dyDescent="0.3">
      <c r="A21394" s="12"/>
    </row>
    <row r="21395" spans="1:1" x14ac:dyDescent="0.3">
      <c r="A21395" s="12"/>
    </row>
    <row r="21396" spans="1:1" x14ac:dyDescent="0.3">
      <c r="A21396" s="12"/>
    </row>
    <row r="21397" spans="1:1" x14ac:dyDescent="0.3">
      <c r="A21397" s="12"/>
    </row>
    <row r="21398" spans="1:1" x14ac:dyDescent="0.3">
      <c r="A21398" s="12"/>
    </row>
    <row r="21399" spans="1:1" x14ac:dyDescent="0.3">
      <c r="A21399" s="12"/>
    </row>
    <row r="21400" spans="1:1" x14ac:dyDescent="0.3">
      <c r="A21400" s="12"/>
    </row>
    <row r="21401" spans="1:1" x14ac:dyDescent="0.3">
      <c r="A21401" s="12"/>
    </row>
    <row r="21402" spans="1:1" x14ac:dyDescent="0.3">
      <c r="A21402" s="12"/>
    </row>
    <row r="21403" spans="1:1" x14ac:dyDescent="0.3">
      <c r="A21403" s="12"/>
    </row>
    <row r="21404" spans="1:1" x14ac:dyDescent="0.3">
      <c r="A21404" s="12"/>
    </row>
    <row r="21405" spans="1:1" x14ac:dyDescent="0.3">
      <c r="A21405" s="12"/>
    </row>
    <row r="21406" spans="1:1" x14ac:dyDescent="0.3">
      <c r="A21406" s="12"/>
    </row>
    <row r="21407" spans="1:1" x14ac:dyDescent="0.3">
      <c r="A21407" s="12"/>
    </row>
    <row r="21408" spans="1:1" x14ac:dyDescent="0.3">
      <c r="A21408" s="12"/>
    </row>
    <row r="21409" spans="1:1" x14ac:dyDescent="0.3">
      <c r="A21409" s="12"/>
    </row>
    <row r="21410" spans="1:1" x14ac:dyDescent="0.3">
      <c r="A21410" s="12"/>
    </row>
    <row r="21411" spans="1:1" x14ac:dyDescent="0.3">
      <c r="A21411" s="12"/>
    </row>
    <row r="21412" spans="1:1" x14ac:dyDescent="0.3">
      <c r="A21412" s="12"/>
    </row>
    <row r="21413" spans="1:1" x14ac:dyDescent="0.3">
      <c r="A21413" s="12"/>
    </row>
    <row r="21414" spans="1:1" x14ac:dyDescent="0.3">
      <c r="A21414" s="12"/>
    </row>
    <row r="21415" spans="1:1" x14ac:dyDescent="0.3">
      <c r="A21415" s="12"/>
    </row>
    <row r="21416" spans="1:1" x14ac:dyDescent="0.3">
      <c r="A21416" s="12"/>
    </row>
    <row r="21417" spans="1:1" x14ac:dyDescent="0.3">
      <c r="A21417" s="12"/>
    </row>
    <row r="21418" spans="1:1" x14ac:dyDescent="0.3">
      <c r="A21418" s="12"/>
    </row>
    <row r="21419" spans="1:1" x14ac:dyDescent="0.3">
      <c r="A21419" s="12"/>
    </row>
    <row r="21420" spans="1:1" x14ac:dyDescent="0.3">
      <c r="A21420" s="12"/>
    </row>
    <row r="21421" spans="1:1" x14ac:dyDescent="0.3">
      <c r="A21421" s="12"/>
    </row>
    <row r="21422" spans="1:1" x14ac:dyDescent="0.3">
      <c r="A21422" s="12"/>
    </row>
    <row r="21423" spans="1:1" x14ac:dyDescent="0.3">
      <c r="A21423" s="12"/>
    </row>
    <row r="21424" spans="1:1" x14ac:dyDescent="0.3">
      <c r="A21424" s="12"/>
    </row>
    <row r="21425" spans="1:1" x14ac:dyDescent="0.3">
      <c r="A21425" s="12"/>
    </row>
    <row r="21426" spans="1:1" x14ac:dyDescent="0.3">
      <c r="A21426" s="12"/>
    </row>
    <row r="21427" spans="1:1" x14ac:dyDescent="0.3">
      <c r="A21427" s="12"/>
    </row>
    <row r="21428" spans="1:1" x14ac:dyDescent="0.3">
      <c r="A21428" s="12"/>
    </row>
    <row r="21429" spans="1:1" x14ac:dyDescent="0.3">
      <c r="A21429" s="12"/>
    </row>
    <row r="21430" spans="1:1" x14ac:dyDescent="0.3">
      <c r="A21430" s="12"/>
    </row>
    <row r="21431" spans="1:1" x14ac:dyDescent="0.3">
      <c r="A21431" s="12"/>
    </row>
    <row r="21432" spans="1:1" x14ac:dyDescent="0.3">
      <c r="A21432" s="12"/>
    </row>
    <row r="21433" spans="1:1" x14ac:dyDescent="0.3">
      <c r="A21433" s="12"/>
    </row>
    <row r="21434" spans="1:1" x14ac:dyDescent="0.3">
      <c r="A21434" s="12"/>
    </row>
    <row r="21435" spans="1:1" x14ac:dyDescent="0.3">
      <c r="A21435" s="12"/>
    </row>
    <row r="21436" spans="1:1" x14ac:dyDescent="0.3">
      <c r="A21436" s="12"/>
    </row>
    <row r="21437" spans="1:1" x14ac:dyDescent="0.3">
      <c r="A21437" s="12"/>
    </row>
    <row r="21438" spans="1:1" x14ac:dyDescent="0.3">
      <c r="A21438" s="12"/>
    </row>
    <row r="21439" spans="1:1" x14ac:dyDescent="0.3">
      <c r="A21439" s="12"/>
    </row>
    <row r="21440" spans="1:1" x14ac:dyDescent="0.3">
      <c r="A21440" s="12"/>
    </row>
    <row r="21441" spans="1:1" x14ac:dyDescent="0.3">
      <c r="A21441" s="12"/>
    </row>
    <row r="21442" spans="1:1" x14ac:dyDescent="0.3">
      <c r="A21442" s="12"/>
    </row>
    <row r="21443" spans="1:1" x14ac:dyDescent="0.3">
      <c r="A21443" s="12"/>
    </row>
    <row r="21444" spans="1:1" x14ac:dyDescent="0.3">
      <c r="A21444" s="12"/>
    </row>
    <row r="21445" spans="1:1" x14ac:dyDescent="0.3">
      <c r="A21445" s="12"/>
    </row>
    <row r="21446" spans="1:1" x14ac:dyDescent="0.3">
      <c r="A21446" s="12"/>
    </row>
    <row r="21447" spans="1:1" x14ac:dyDescent="0.3">
      <c r="A21447" s="12"/>
    </row>
    <row r="21448" spans="1:1" x14ac:dyDescent="0.3">
      <c r="A21448" s="12"/>
    </row>
    <row r="21449" spans="1:1" x14ac:dyDescent="0.3">
      <c r="A21449" s="12"/>
    </row>
    <row r="21450" spans="1:1" x14ac:dyDescent="0.3">
      <c r="A21450" s="12"/>
    </row>
    <row r="21451" spans="1:1" x14ac:dyDescent="0.3">
      <c r="A21451" s="12"/>
    </row>
    <row r="21452" spans="1:1" x14ac:dyDescent="0.3">
      <c r="A21452" s="12"/>
    </row>
    <row r="21453" spans="1:1" x14ac:dyDescent="0.3">
      <c r="A21453" s="12"/>
    </row>
    <row r="21454" spans="1:1" x14ac:dyDescent="0.3">
      <c r="A21454" s="12"/>
    </row>
    <row r="21455" spans="1:1" x14ac:dyDescent="0.3">
      <c r="A21455" s="12"/>
    </row>
    <row r="21456" spans="1:1" x14ac:dyDescent="0.3">
      <c r="A21456" s="12"/>
    </row>
    <row r="21457" spans="1:1" x14ac:dyDescent="0.3">
      <c r="A21457" s="12"/>
    </row>
    <row r="21458" spans="1:1" x14ac:dyDescent="0.3">
      <c r="A21458" s="12"/>
    </row>
    <row r="21459" spans="1:1" x14ac:dyDescent="0.3">
      <c r="A21459" s="12"/>
    </row>
    <row r="21460" spans="1:1" x14ac:dyDescent="0.3">
      <c r="A21460" s="12"/>
    </row>
    <row r="21461" spans="1:1" x14ac:dyDescent="0.3">
      <c r="A21461" s="12"/>
    </row>
    <row r="21462" spans="1:1" x14ac:dyDescent="0.3">
      <c r="A21462" s="12"/>
    </row>
    <row r="21463" spans="1:1" x14ac:dyDescent="0.3">
      <c r="A21463" s="12"/>
    </row>
    <row r="21464" spans="1:1" x14ac:dyDescent="0.3">
      <c r="A21464" s="12"/>
    </row>
    <row r="21465" spans="1:1" x14ac:dyDescent="0.3">
      <c r="A21465" s="12"/>
    </row>
    <row r="21466" spans="1:1" x14ac:dyDescent="0.3">
      <c r="A21466" s="12"/>
    </row>
    <row r="21467" spans="1:1" x14ac:dyDescent="0.3">
      <c r="A21467" s="12"/>
    </row>
    <row r="21468" spans="1:1" x14ac:dyDescent="0.3">
      <c r="A21468" s="12"/>
    </row>
    <row r="21469" spans="1:1" x14ac:dyDescent="0.3">
      <c r="A21469" s="12"/>
    </row>
    <row r="21470" spans="1:1" x14ac:dyDescent="0.3">
      <c r="A21470" s="12"/>
    </row>
    <row r="21471" spans="1:1" x14ac:dyDescent="0.3">
      <c r="A21471" s="12"/>
    </row>
    <row r="21472" spans="1:1" x14ac:dyDescent="0.3">
      <c r="A21472" s="12"/>
    </row>
    <row r="21473" spans="1:1" x14ac:dyDescent="0.3">
      <c r="A21473" s="12"/>
    </row>
    <row r="21474" spans="1:1" x14ac:dyDescent="0.3">
      <c r="A21474" s="12"/>
    </row>
    <row r="21475" spans="1:1" x14ac:dyDescent="0.3">
      <c r="A21475" s="12"/>
    </row>
    <row r="21476" spans="1:1" x14ac:dyDescent="0.3">
      <c r="A21476" s="12"/>
    </row>
    <row r="21477" spans="1:1" x14ac:dyDescent="0.3">
      <c r="A21477" s="12"/>
    </row>
    <row r="21478" spans="1:1" x14ac:dyDescent="0.3">
      <c r="A21478" s="12"/>
    </row>
    <row r="21479" spans="1:1" x14ac:dyDescent="0.3">
      <c r="A21479" s="12"/>
    </row>
    <row r="21480" spans="1:1" x14ac:dyDescent="0.3">
      <c r="A21480" s="12"/>
    </row>
    <row r="21481" spans="1:1" x14ac:dyDescent="0.3">
      <c r="A21481" s="12"/>
    </row>
    <row r="21482" spans="1:1" x14ac:dyDescent="0.3">
      <c r="A21482" s="12"/>
    </row>
    <row r="21483" spans="1:1" x14ac:dyDescent="0.3">
      <c r="A21483" s="12"/>
    </row>
    <row r="21484" spans="1:1" x14ac:dyDescent="0.3">
      <c r="A21484" s="12"/>
    </row>
    <row r="21485" spans="1:1" x14ac:dyDescent="0.3">
      <c r="A21485" s="12"/>
    </row>
    <row r="21486" spans="1:1" x14ac:dyDescent="0.3">
      <c r="A21486" s="12"/>
    </row>
    <row r="21487" spans="1:1" x14ac:dyDescent="0.3">
      <c r="A21487" s="12"/>
    </row>
    <row r="21488" spans="1:1" x14ac:dyDescent="0.3">
      <c r="A21488" s="12"/>
    </row>
    <row r="21489" spans="1:1" x14ac:dyDescent="0.3">
      <c r="A21489" s="12"/>
    </row>
    <row r="21490" spans="1:1" x14ac:dyDescent="0.3">
      <c r="A21490" s="12"/>
    </row>
    <row r="21491" spans="1:1" x14ac:dyDescent="0.3">
      <c r="A21491" s="12"/>
    </row>
    <row r="21492" spans="1:1" x14ac:dyDescent="0.3">
      <c r="A21492" s="12"/>
    </row>
    <row r="21493" spans="1:1" x14ac:dyDescent="0.3">
      <c r="A21493" s="12"/>
    </row>
    <row r="21494" spans="1:1" x14ac:dyDescent="0.3">
      <c r="A21494" s="12"/>
    </row>
    <row r="21495" spans="1:1" x14ac:dyDescent="0.3">
      <c r="A21495" s="12"/>
    </row>
    <row r="21496" spans="1:1" x14ac:dyDescent="0.3">
      <c r="A21496" s="12"/>
    </row>
    <row r="21497" spans="1:1" x14ac:dyDescent="0.3">
      <c r="A21497" s="12"/>
    </row>
    <row r="21498" spans="1:1" x14ac:dyDescent="0.3">
      <c r="A21498" s="12"/>
    </row>
    <row r="21499" spans="1:1" x14ac:dyDescent="0.3">
      <c r="A21499" s="12"/>
    </row>
    <row r="21500" spans="1:1" x14ac:dyDescent="0.3">
      <c r="A21500" s="12"/>
    </row>
    <row r="21501" spans="1:1" x14ac:dyDescent="0.3">
      <c r="A21501" s="12"/>
    </row>
    <row r="21502" spans="1:1" x14ac:dyDescent="0.3">
      <c r="A21502" s="12"/>
    </row>
    <row r="21503" spans="1:1" x14ac:dyDescent="0.3">
      <c r="A21503" s="12"/>
    </row>
    <row r="21504" spans="1:1" x14ac:dyDescent="0.3">
      <c r="A21504" s="12"/>
    </row>
    <row r="21505" spans="1:1" x14ac:dyDescent="0.3">
      <c r="A21505" s="12"/>
    </row>
    <row r="21506" spans="1:1" x14ac:dyDescent="0.3">
      <c r="A21506" s="12"/>
    </row>
    <row r="21507" spans="1:1" x14ac:dyDescent="0.3">
      <c r="A21507" s="12"/>
    </row>
    <row r="21508" spans="1:1" x14ac:dyDescent="0.3">
      <c r="A21508" s="12"/>
    </row>
    <row r="21509" spans="1:1" x14ac:dyDescent="0.3">
      <c r="A21509" s="12"/>
    </row>
    <row r="21510" spans="1:1" x14ac:dyDescent="0.3">
      <c r="A21510" s="12"/>
    </row>
    <row r="21511" spans="1:1" x14ac:dyDescent="0.3">
      <c r="A21511" s="12"/>
    </row>
    <row r="21512" spans="1:1" x14ac:dyDescent="0.3">
      <c r="A21512" s="12"/>
    </row>
    <row r="21513" spans="1:1" x14ac:dyDescent="0.3">
      <c r="A21513" s="12"/>
    </row>
    <row r="21514" spans="1:1" x14ac:dyDescent="0.3">
      <c r="A21514" s="12"/>
    </row>
    <row r="21515" spans="1:1" x14ac:dyDescent="0.3">
      <c r="A21515" s="12"/>
    </row>
    <row r="21516" spans="1:1" x14ac:dyDescent="0.3">
      <c r="A21516" s="12"/>
    </row>
    <row r="21517" spans="1:1" x14ac:dyDescent="0.3">
      <c r="A21517" s="12"/>
    </row>
    <row r="21518" spans="1:1" x14ac:dyDescent="0.3">
      <c r="A21518" s="12"/>
    </row>
    <row r="21519" spans="1:1" x14ac:dyDescent="0.3">
      <c r="A21519" s="12"/>
    </row>
    <row r="21520" spans="1:1" x14ac:dyDescent="0.3">
      <c r="A21520" s="12"/>
    </row>
    <row r="21521" spans="1:1" x14ac:dyDescent="0.3">
      <c r="A21521" s="12"/>
    </row>
    <row r="21522" spans="1:1" x14ac:dyDescent="0.3">
      <c r="A21522" s="12"/>
    </row>
    <row r="21523" spans="1:1" x14ac:dyDescent="0.3">
      <c r="A21523" s="12"/>
    </row>
    <row r="21524" spans="1:1" x14ac:dyDescent="0.3">
      <c r="A21524" s="12"/>
    </row>
    <row r="21525" spans="1:1" x14ac:dyDescent="0.3">
      <c r="A21525" s="12"/>
    </row>
    <row r="21526" spans="1:1" x14ac:dyDescent="0.3">
      <c r="A21526" s="12"/>
    </row>
    <row r="21527" spans="1:1" x14ac:dyDescent="0.3">
      <c r="A21527" s="12"/>
    </row>
    <row r="21528" spans="1:1" x14ac:dyDescent="0.3">
      <c r="A21528" s="12"/>
    </row>
    <row r="21529" spans="1:1" x14ac:dyDescent="0.3">
      <c r="A21529" s="12"/>
    </row>
    <row r="21530" spans="1:1" x14ac:dyDescent="0.3">
      <c r="A21530" s="12"/>
    </row>
    <row r="21531" spans="1:1" x14ac:dyDescent="0.3">
      <c r="A21531" s="12"/>
    </row>
    <row r="21532" spans="1:1" x14ac:dyDescent="0.3">
      <c r="A21532" s="12"/>
    </row>
    <row r="21533" spans="1:1" x14ac:dyDescent="0.3">
      <c r="A21533" s="12"/>
    </row>
    <row r="21534" spans="1:1" x14ac:dyDescent="0.3">
      <c r="A21534" s="12"/>
    </row>
    <row r="21535" spans="1:1" x14ac:dyDescent="0.3">
      <c r="A21535" s="12"/>
    </row>
    <row r="21536" spans="1:1" x14ac:dyDescent="0.3">
      <c r="A21536" s="12"/>
    </row>
    <row r="21537" spans="1:1" x14ac:dyDescent="0.3">
      <c r="A21537" s="12"/>
    </row>
    <row r="21538" spans="1:1" x14ac:dyDescent="0.3">
      <c r="A21538" s="12"/>
    </row>
    <row r="21539" spans="1:1" x14ac:dyDescent="0.3">
      <c r="A21539" s="12"/>
    </row>
    <row r="21540" spans="1:1" x14ac:dyDescent="0.3">
      <c r="A21540" s="12"/>
    </row>
    <row r="21541" spans="1:1" x14ac:dyDescent="0.3">
      <c r="A21541" s="12"/>
    </row>
    <row r="21542" spans="1:1" x14ac:dyDescent="0.3">
      <c r="A21542" s="12"/>
    </row>
    <row r="21543" spans="1:1" x14ac:dyDescent="0.3">
      <c r="A21543" s="12"/>
    </row>
    <row r="21544" spans="1:1" x14ac:dyDescent="0.3">
      <c r="A21544" s="12"/>
    </row>
    <row r="21545" spans="1:1" x14ac:dyDescent="0.3">
      <c r="A21545" s="12"/>
    </row>
    <row r="21546" spans="1:1" x14ac:dyDescent="0.3">
      <c r="A21546" s="12"/>
    </row>
    <row r="21547" spans="1:1" x14ac:dyDescent="0.3">
      <c r="A21547" s="12"/>
    </row>
    <row r="21548" spans="1:1" x14ac:dyDescent="0.3">
      <c r="A21548" s="12"/>
    </row>
    <row r="21549" spans="1:1" x14ac:dyDescent="0.3">
      <c r="A21549" s="12"/>
    </row>
    <row r="21550" spans="1:1" x14ac:dyDescent="0.3">
      <c r="A21550" s="12"/>
    </row>
    <row r="21551" spans="1:1" x14ac:dyDescent="0.3">
      <c r="A21551" s="12"/>
    </row>
    <row r="21552" spans="1:1" x14ac:dyDescent="0.3">
      <c r="A21552" s="12"/>
    </row>
    <row r="21553" spans="1:1" x14ac:dyDescent="0.3">
      <c r="A21553" s="12"/>
    </row>
    <row r="21554" spans="1:1" x14ac:dyDescent="0.3">
      <c r="A21554" s="12"/>
    </row>
    <row r="21555" spans="1:1" x14ac:dyDescent="0.3">
      <c r="A21555" s="12"/>
    </row>
    <row r="21556" spans="1:1" x14ac:dyDescent="0.3">
      <c r="A21556" s="12"/>
    </row>
    <row r="21557" spans="1:1" x14ac:dyDescent="0.3">
      <c r="A21557" s="12"/>
    </row>
    <row r="21558" spans="1:1" x14ac:dyDescent="0.3">
      <c r="A21558" s="12"/>
    </row>
    <row r="21559" spans="1:1" x14ac:dyDescent="0.3">
      <c r="A21559" s="12"/>
    </row>
    <row r="21560" spans="1:1" x14ac:dyDescent="0.3">
      <c r="A21560" s="12"/>
    </row>
    <row r="21561" spans="1:1" x14ac:dyDescent="0.3">
      <c r="A21561" s="12"/>
    </row>
    <row r="21562" spans="1:1" x14ac:dyDescent="0.3">
      <c r="A21562" s="12"/>
    </row>
    <row r="21563" spans="1:1" x14ac:dyDescent="0.3">
      <c r="A21563" s="12"/>
    </row>
    <row r="21564" spans="1:1" x14ac:dyDescent="0.3">
      <c r="A21564" s="12"/>
    </row>
    <row r="21565" spans="1:1" x14ac:dyDescent="0.3">
      <c r="A21565" s="12"/>
    </row>
    <row r="21566" spans="1:1" x14ac:dyDescent="0.3">
      <c r="A21566" s="12"/>
    </row>
    <row r="21567" spans="1:1" x14ac:dyDescent="0.3">
      <c r="A21567" s="12"/>
    </row>
    <row r="21568" spans="1:1" x14ac:dyDescent="0.3">
      <c r="A21568" s="12"/>
    </row>
    <row r="21569" spans="1:1" x14ac:dyDescent="0.3">
      <c r="A21569" s="12"/>
    </row>
    <row r="21570" spans="1:1" x14ac:dyDescent="0.3">
      <c r="A21570" s="12"/>
    </row>
    <row r="21571" spans="1:1" x14ac:dyDescent="0.3">
      <c r="A21571" s="12"/>
    </row>
    <row r="21572" spans="1:1" x14ac:dyDescent="0.3">
      <c r="A21572" s="12"/>
    </row>
    <row r="21573" spans="1:1" x14ac:dyDescent="0.3">
      <c r="A21573" s="12"/>
    </row>
    <row r="21574" spans="1:1" x14ac:dyDescent="0.3">
      <c r="A21574" s="12"/>
    </row>
    <row r="21575" spans="1:1" x14ac:dyDescent="0.3">
      <c r="A21575" s="12"/>
    </row>
    <row r="21576" spans="1:1" x14ac:dyDescent="0.3">
      <c r="A21576" s="12"/>
    </row>
    <row r="21577" spans="1:1" x14ac:dyDescent="0.3">
      <c r="A21577" s="12"/>
    </row>
    <row r="21578" spans="1:1" x14ac:dyDescent="0.3">
      <c r="A21578" s="12"/>
    </row>
    <row r="21579" spans="1:1" x14ac:dyDescent="0.3">
      <c r="A21579" s="12"/>
    </row>
    <row r="21580" spans="1:1" x14ac:dyDescent="0.3">
      <c r="A21580" s="12"/>
    </row>
    <row r="21581" spans="1:1" x14ac:dyDescent="0.3">
      <c r="A21581" s="12"/>
    </row>
    <row r="21582" spans="1:1" x14ac:dyDescent="0.3">
      <c r="A21582" s="12"/>
    </row>
    <row r="21583" spans="1:1" x14ac:dyDescent="0.3">
      <c r="A21583" s="12"/>
    </row>
    <row r="21584" spans="1:1" x14ac:dyDescent="0.3">
      <c r="A21584" s="12"/>
    </row>
    <row r="21585" spans="1:1" x14ac:dyDescent="0.3">
      <c r="A21585" s="12"/>
    </row>
    <row r="21586" spans="1:1" x14ac:dyDescent="0.3">
      <c r="A21586" s="12"/>
    </row>
    <row r="21587" spans="1:1" x14ac:dyDescent="0.3">
      <c r="A21587" s="12"/>
    </row>
    <row r="21588" spans="1:1" x14ac:dyDescent="0.3">
      <c r="A21588" s="12"/>
    </row>
    <row r="21589" spans="1:1" x14ac:dyDescent="0.3">
      <c r="A21589" s="12"/>
    </row>
    <row r="21590" spans="1:1" x14ac:dyDescent="0.3">
      <c r="A21590" s="12"/>
    </row>
    <row r="21591" spans="1:1" x14ac:dyDescent="0.3">
      <c r="A21591" s="12"/>
    </row>
    <row r="21592" spans="1:1" x14ac:dyDescent="0.3">
      <c r="A21592" s="12"/>
    </row>
    <row r="21593" spans="1:1" x14ac:dyDescent="0.3">
      <c r="A21593" s="12"/>
    </row>
    <row r="21594" spans="1:1" x14ac:dyDescent="0.3">
      <c r="A21594" s="12"/>
    </row>
    <row r="21595" spans="1:1" x14ac:dyDescent="0.3">
      <c r="A21595" s="12"/>
    </row>
    <row r="21596" spans="1:1" x14ac:dyDescent="0.3">
      <c r="A21596" s="12"/>
    </row>
    <row r="21597" spans="1:1" x14ac:dyDescent="0.3">
      <c r="A21597" s="12"/>
    </row>
    <row r="21598" spans="1:1" x14ac:dyDescent="0.3">
      <c r="A21598" s="12"/>
    </row>
    <row r="21599" spans="1:1" x14ac:dyDescent="0.3">
      <c r="A21599" s="12"/>
    </row>
    <row r="21600" spans="1:1" x14ac:dyDescent="0.3">
      <c r="A21600" s="12"/>
    </row>
    <row r="21601" spans="1:1" x14ac:dyDescent="0.3">
      <c r="A21601" s="12"/>
    </row>
    <row r="21602" spans="1:1" x14ac:dyDescent="0.3">
      <c r="A21602" s="12"/>
    </row>
    <row r="21603" spans="1:1" x14ac:dyDescent="0.3">
      <c r="A21603" s="12"/>
    </row>
    <row r="21604" spans="1:1" x14ac:dyDescent="0.3">
      <c r="A21604" s="12"/>
    </row>
    <row r="21605" spans="1:1" x14ac:dyDescent="0.3">
      <c r="A21605" s="12"/>
    </row>
    <row r="21606" spans="1:1" x14ac:dyDescent="0.3">
      <c r="A21606" s="12"/>
    </row>
    <row r="21607" spans="1:1" x14ac:dyDescent="0.3">
      <c r="A21607" s="12"/>
    </row>
    <row r="21608" spans="1:1" x14ac:dyDescent="0.3">
      <c r="A21608" s="12"/>
    </row>
    <row r="21609" spans="1:1" x14ac:dyDescent="0.3">
      <c r="A21609" s="12"/>
    </row>
    <row r="21610" spans="1:1" x14ac:dyDescent="0.3">
      <c r="A21610" s="12"/>
    </row>
    <row r="21611" spans="1:1" x14ac:dyDescent="0.3">
      <c r="A21611" s="12"/>
    </row>
    <row r="21612" spans="1:1" x14ac:dyDescent="0.3">
      <c r="A21612" s="12"/>
    </row>
    <row r="21613" spans="1:1" x14ac:dyDescent="0.3">
      <c r="A21613" s="12"/>
    </row>
    <row r="21614" spans="1:1" x14ac:dyDescent="0.3">
      <c r="A21614" s="12"/>
    </row>
    <row r="21615" spans="1:1" x14ac:dyDescent="0.3">
      <c r="A21615" s="12"/>
    </row>
    <row r="21616" spans="1:1" x14ac:dyDescent="0.3">
      <c r="A21616" s="12"/>
    </row>
    <row r="21617" spans="1:1" x14ac:dyDescent="0.3">
      <c r="A21617" s="12"/>
    </row>
    <row r="21618" spans="1:1" x14ac:dyDescent="0.3">
      <c r="A21618" s="12"/>
    </row>
    <row r="21619" spans="1:1" x14ac:dyDescent="0.3">
      <c r="A21619" s="12"/>
    </row>
    <row r="21620" spans="1:1" x14ac:dyDescent="0.3">
      <c r="A21620" s="12"/>
    </row>
    <row r="21621" spans="1:1" x14ac:dyDescent="0.3">
      <c r="A21621" s="12"/>
    </row>
    <row r="21622" spans="1:1" x14ac:dyDescent="0.3">
      <c r="A21622" s="12"/>
    </row>
    <row r="21623" spans="1:1" x14ac:dyDescent="0.3">
      <c r="A21623" s="12"/>
    </row>
    <row r="21624" spans="1:1" x14ac:dyDescent="0.3">
      <c r="A21624" s="12"/>
    </row>
    <row r="21625" spans="1:1" x14ac:dyDescent="0.3">
      <c r="A21625" s="12"/>
    </row>
    <row r="21626" spans="1:1" x14ac:dyDescent="0.3">
      <c r="A21626" s="12"/>
    </row>
    <row r="21627" spans="1:1" x14ac:dyDescent="0.3">
      <c r="A21627" s="12"/>
    </row>
    <row r="21628" spans="1:1" x14ac:dyDescent="0.3">
      <c r="A21628" s="12"/>
    </row>
    <row r="21629" spans="1:1" x14ac:dyDescent="0.3">
      <c r="A21629" s="12"/>
    </row>
    <row r="21630" spans="1:1" x14ac:dyDescent="0.3">
      <c r="A21630" s="12"/>
    </row>
    <row r="21631" spans="1:1" x14ac:dyDescent="0.3">
      <c r="A21631" s="12"/>
    </row>
    <row r="21632" spans="1:1" x14ac:dyDescent="0.3">
      <c r="A21632" s="12"/>
    </row>
    <row r="21633" spans="1:1" x14ac:dyDescent="0.3">
      <c r="A21633" s="12"/>
    </row>
    <row r="21634" spans="1:1" x14ac:dyDescent="0.3">
      <c r="A21634" s="12"/>
    </row>
    <row r="21635" spans="1:1" x14ac:dyDescent="0.3">
      <c r="A21635" s="12"/>
    </row>
    <row r="21636" spans="1:1" x14ac:dyDescent="0.3">
      <c r="A21636" s="12"/>
    </row>
    <row r="21637" spans="1:1" x14ac:dyDescent="0.3">
      <c r="A21637" s="12"/>
    </row>
    <row r="21638" spans="1:1" x14ac:dyDescent="0.3">
      <c r="A21638" s="12"/>
    </row>
    <row r="21639" spans="1:1" x14ac:dyDescent="0.3">
      <c r="A21639" s="12"/>
    </row>
    <row r="21640" spans="1:1" x14ac:dyDescent="0.3">
      <c r="A21640" s="12"/>
    </row>
    <row r="21641" spans="1:1" x14ac:dyDescent="0.3">
      <c r="A21641" s="12"/>
    </row>
    <row r="21642" spans="1:1" x14ac:dyDescent="0.3">
      <c r="A21642" s="12"/>
    </row>
    <row r="21643" spans="1:1" x14ac:dyDescent="0.3">
      <c r="A21643" s="12"/>
    </row>
    <row r="21644" spans="1:1" x14ac:dyDescent="0.3">
      <c r="A21644" s="12"/>
    </row>
    <row r="21645" spans="1:1" x14ac:dyDescent="0.3">
      <c r="A21645" s="12"/>
    </row>
    <row r="21646" spans="1:1" x14ac:dyDescent="0.3">
      <c r="A21646" s="12"/>
    </row>
    <row r="21647" spans="1:1" x14ac:dyDescent="0.3">
      <c r="A21647" s="12"/>
    </row>
    <row r="21648" spans="1:1" x14ac:dyDescent="0.3">
      <c r="A21648" s="12"/>
    </row>
    <row r="21649" spans="1:1" x14ac:dyDescent="0.3">
      <c r="A21649" s="12"/>
    </row>
    <row r="21650" spans="1:1" x14ac:dyDescent="0.3">
      <c r="A21650" s="12"/>
    </row>
    <row r="21651" spans="1:1" x14ac:dyDescent="0.3">
      <c r="A21651" s="12"/>
    </row>
    <row r="21652" spans="1:1" x14ac:dyDescent="0.3">
      <c r="A21652" s="12"/>
    </row>
    <row r="21653" spans="1:1" x14ac:dyDescent="0.3">
      <c r="A21653" s="12"/>
    </row>
    <row r="21654" spans="1:1" x14ac:dyDescent="0.3">
      <c r="A21654" s="12"/>
    </row>
    <row r="21655" spans="1:1" x14ac:dyDescent="0.3">
      <c r="A21655" s="12"/>
    </row>
    <row r="21656" spans="1:1" x14ac:dyDescent="0.3">
      <c r="A21656" s="12"/>
    </row>
    <row r="21657" spans="1:1" x14ac:dyDescent="0.3">
      <c r="A21657" s="12"/>
    </row>
    <row r="21658" spans="1:1" x14ac:dyDescent="0.3">
      <c r="A21658" s="12"/>
    </row>
    <row r="21659" spans="1:1" x14ac:dyDescent="0.3">
      <c r="A21659" s="12"/>
    </row>
    <row r="21660" spans="1:1" x14ac:dyDescent="0.3">
      <c r="A21660" s="12"/>
    </row>
    <row r="21661" spans="1:1" x14ac:dyDescent="0.3">
      <c r="A21661" s="12"/>
    </row>
    <row r="21662" spans="1:1" x14ac:dyDescent="0.3">
      <c r="A21662" s="12"/>
    </row>
    <row r="21663" spans="1:1" x14ac:dyDescent="0.3">
      <c r="A21663" s="12"/>
    </row>
    <row r="21664" spans="1:1" x14ac:dyDescent="0.3">
      <c r="A21664" s="12"/>
    </row>
    <row r="21665" spans="1:1" x14ac:dyDescent="0.3">
      <c r="A21665" s="12"/>
    </row>
    <row r="21666" spans="1:1" x14ac:dyDescent="0.3">
      <c r="A21666" s="12"/>
    </row>
    <row r="21667" spans="1:1" x14ac:dyDescent="0.3">
      <c r="A21667" s="12"/>
    </row>
    <row r="21668" spans="1:1" x14ac:dyDescent="0.3">
      <c r="A21668" s="12"/>
    </row>
    <row r="21669" spans="1:1" x14ac:dyDescent="0.3">
      <c r="A21669" s="12"/>
    </row>
    <row r="21670" spans="1:1" x14ac:dyDescent="0.3">
      <c r="A21670" s="12"/>
    </row>
    <row r="21671" spans="1:1" x14ac:dyDescent="0.3">
      <c r="A21671" s="12"/>
    </row>
    <row r="21672" spans="1:1" x14ac:dyDescent="0.3">
      <c r="A21672" s="12"/>
    </row>
    <row r="21673" spans="1:1" x14ac:dyDescent="0.3">
      <c r="A21673" s="12"/>
    </row>
    <row r="21674" spans="1:1" x14ac:dyDescent="0.3">
      <c r="A21674" s="12"/>
    </row>
    <row r="21675" spans="1:1" x14ac:dyDescent="0.3">
      <c r="A21675" s="12"/>
    </row>
    <row r="21676" spans="1:1" x14ac:dyDescent="0.3">
      <c r="A21676" s="12"/>
    </row>
    <row r="21677" spans="1:1" x14ac:dyDescent="0.3">
      <c r="A21677" s="12"/>
    </row>
    <row r="21678" spans="1:1" x14ac:dyDescent="0.3">
      <c r="A21678" s="12"/>
    </row>
    <row r="21679" spans="1:1" x14ac:dyDescent="0.3">
      <c r="A21679" s="12"/>
    </row>
    <row r="21680" spans="1:1" x14ac:dyDescent="0.3">
      <c r="A21680" s="12"/>
    </row>
    <row r="21681" spans="1:1" x14ac:dyDescent="0.3">
      <c r="A21681" s="12"/>
    </row>
    <row r="21682" spans="1:1" x14ac:dyDescent="0.3">
      <c r="A21682" s="12"/>
    </row>
    <row r="21683" spans="1:1" x14ac:dyDescent="0.3">
      <c r="A21683" s="12"/>
    </row>
    <row r="21684" spans="1:1" x14ac:dyDescent="0.3">
      <c r="A21684" s="12"/>
    </row>
    <row r="21685" spans="1:1" x14ac:dyDescent="0.3">
      <c r="A21685" s="12"/>
    </row>
    <row r="21686" spans="1:1" x14ac:dyDescent="0.3">
      <c r="A21686" s="12"/>
    </row>
    <row r="21687" spans="1:1" x14ac:dyDescent="0.3">
      <c r="A21687" s="12"/>
    </row>
    <row r="21688" spans="1:1" x14ac:dyDescent="0.3">
      <c r="A21688" s="12"/>
    </row>
    <row r="21689" spans="1:1" x14ac:dyDescent="0.3">
      <c r="A21689" s="12"/>
    </row>
    <row r="21690" spans="1:1" x14ac:dyDescent="0.3">
      <c r="A21690" s="12"/>
    </row>
    <row r="21691" spans="1:1" x14ac:dyDescent="0.3">
      <c r="A21691" s="12"/>
    </row>
    <row r="21692" spans="1:1" x14ac:dyDescent="0.3">
      <c r="A21692" s="12"/>
    </row>
    <row r="21693" spans="1:1" x14ac:dyDescent="0.3">
      <c r="A21693" s="12"/>
    </row>
    <row r="21694" spans="1:1" x14ac:dyDescent="0.3">
      <c r="A21694" s="12"/>
    </row>
    <row r="21695" spans="1:1" x14ac:dyDescent="0.3">
      <c r="A21695" s="12"/>
    </row>
    <row r="21696" spans="1:1" x14ac:dyDescent="0.3">
      <c r="A21696" s="12"/>
    </row>
    <row r="21697" spans="1:1" x14ac:dyDescent="0.3">
      <c r="A21697" s="12"/>
    </row>
    <row r="21698" spans="1:1" x14ac:dyDescent="0.3">
      <c r="A21698" s="12"/>
    </row>
    <row r="21699" spans="1:1" x14ac:dyDescent="0.3">
      <c r="A21699" s="12"/>
    </row>
    <row r="21700" spans="1:1" x14ac:dyDescent="0.3">
      <c r="A21700" s="12"/>
    </row>
    <row r="21701" spans="1:1" x14ac:dyDescent="0.3">
      <c r="A21701" s="12"/>
    </row>
    <row r="21702" spans="1:1" x14ac:dyDescent="0.3">
      <c r="A21702" s="12"/>
    </row>
    <row r="21703" spans="1:1" x14ac:dyDescent="0.3">
      <c r="A21703" s="12"/>
    </row>
    <row r="21704" spans="1:1" x14ac:dyDescent="0.3">
      <c r="A21704" s="12"/>
    </row>
    <row r="21705" spans="1:1" x14ac:dyDescent="0.3">
      <c r="A21705" s="12"/>
    </row>
    <row r="21706" spans="1:1" x14ac:dyDescent="0.3">
      <c r="A21706" s="12"/>
    </row>
    <row r="21707" spans="1:1" x14ac:dyDescent="0.3">
      <c r="A21707" s="12"/>
    </row>
    <row r="21708" spans="1:1" x14ac:dyDescent="0.3">
      <c r="A21708" s="12"/>
    </row>
    <row r="21709" spans="1:1" x14ac:dyDescent="0.3">
      <c r="A21709" s="12"/>
    </row>
    <row r="21710" spans="1:1" x14ac:dyDescent="0.3">
      <c r="A21710" s="12"/>
    </row>
    <row r="21711" spans="1:1" x14ac:dyDescent="0.3">
      <c r="A21711" s="12"/>
    </row>
    <row r="21712" spans="1:1" x14ac:dyDescent="0.3">
      <c r="A21712" s="12"/>
    </row>
    <row r="21713" spans="1:1" x14ac:dyDescent="0.3">
      <c r="A21713" s="12"/>
    </row>
    <row r="21714" spans="1:1" x14ac:dyDescent="0.3">
      <c r="A21714" s="12"/>
    </row>
    <row r="21715" spans="1:1" x14ac:dyDescent="0.3">
      <c r="A21715" s="12"/>
    </row>
    <row r="21716" spans="1:1" x14ac:dyDescent="0.3">
      <c r="A21716" s="12"/>
    </row>
    <row r="21717" spans="1:1" x14ac:dyDescent="0.3">
      <c r="A21717" s="12"/>
    </row>
    <row r="21718" spans="1:1" x14ac:dyDescent="0.3">
      <c r="A21718" s="12"/>
    </row>
    <row r="21719" spans="1:1" x14ac:dyDescent="0.3">
      <c r="A21719" s="12"/>
    </row>
    <row r="21720" spans="1:1" x14ac:dyDescent="0.3">
      <c r="A21720" s="12"/>
    </row>
    <row r="21721" spans="1:1" x14ac:dyDescent="0.3">
      <c r="A21721" s="12"/>
    </row>
    <row r="21722" spans="1:1" x14ac:dyDescent="0.3">
      <c r="A21722" s="12"/>
    </row>
    <row r="21723" spans="1:1" x14ac:dyDescent="0.3">
      <c r="A21723" s="12"/>
    </row>
    <row r="21724" spans="1:1" x14ac:dyDescent="0.3">
      <c r="A21724" s="12"/>
    </row>
    <row r="21725" spans="1:1" x14ac:dyDescent="0.3">
      <c r="A21725" s="12"/>
    </row>
    <row r="21726" spans="1:1" x14ac:dyDescent="0.3">
      <c r="A21726" s="12"/>
    </row>
    <row r="21727" spans="1:1" x14ac:dyDescent="0.3">
      <c r="A21727" s="12"/>
    </row>
    <row r="21728" spans="1:1" x14ac:dyDescent="0.3">
      <c r="A21728" s="12"/>
    </row>
    <row r="21729" spans="1:1" x14ac:dyDescent="0.3">
      <c r="A21729" s="12"/>
    </row>
    <row r="21730" spans="1:1" x14ac:dyDescent="0.3">
      <c r="A21730" s="12"/>
    </row>
    <row r="21731" spans="1:1" x14ac:dyDescent="0.3">
      <c r="A21731" s="12"/>
    </row>
    <row r="21732" spans="1:1" x14ac:dyDescent="0.3">
      <c r="A21732" s="12"/>
    </row>
    <row r="21733" spans="1:1" x14ac:dyDescent="0.3">
      <c r="A21733" s="12"/>
    </row>
    <row r="21734" spans="1:1" x14ac:dyDescent="0.3">
      <c r="A21734" s="12"/>
    </row>
    <row r="21735" spans="1:1" x14ac:dyDescent="0.3">
      <c r="A21735" s="12"/>
    </row>
    <row r="21736" spans="1:1" x14ac:dyDescent="0.3">
      <c r="A21736" s="12"/>
    </row>
    <row r="21737" spans="1:1" x14ac:dyDescent="0.3">
      <c r="A21737" s="12"/>
    </row>
    <row r="21738" spans="1:1" x14ac:dyDescent="0.3">
      <c r="A21738" s="12"/>
    </row>
    <row r="21739" spans="1:1" x14ac:dyDescent="0.3">
      <c r="A21739" s="12"/>
    </row>
    <row r="21740" spans="1:1" x14ac:dyDescent="0.3">
      <c r="A21740" s="12"/>
    </row>
    <row r="21741" spans="1:1" x14ac:dyDescent="0.3">
      <c r="A21741" s="12"/>
    </row>
    <row r="21742" spans="1:1" x14ac:dyDescent="0.3">
      <c r="A21742" s="12"/>
    </row>
    <row r="21743" spans="1:1" x14ac:dyDescent="0.3">
      <c r="A21743" s="12"/>
    </row>
    <row r="21744" spans="1:1" x14ac:dyDescent="0.3">
      <c r="A21744" s="12"/>
    </row>
    <row r="21745" spans="1:1" x14ac:dyDescent="0.3">
      <c r="A21745" s="12"/>
    </row>
    <row r="21746" spans="1:1" x14ac:dyDescent="0.3">
      <c r="A21746" s="12"/>
    </row>
    <row r="21747" spans="1:1" x14ac:dyDescent="0.3">
      <c r="A21747" s="12"/>
    </row>
    <row r="21748" spans="1:1" x14ac:dyDescent="0.3">
      <c r="A21748" s="12"/>
    </row>
    <row r="21749" spans="1:1" x14ac:dyDescent="0.3">
      <c r="A21749" s="12"/>
    </row>
    <row r="21750" spans="1:1" x14ac:dyDescent="0.3">
      <c r="A21750" s="12"/>
    </row>
    <row r="21751" spans="1:1" x14ac:dyDescent="0.3">
      <c r="A21751" s="12"/>
    </row>
    <row r="21752" spans="1:1" x14ac:dyDescent="0.3">
      <c r="A21752" s="12"/>
    </row>
    <row r="21753" spans="1:1" x14ac:dyDescent="0.3">
      <c r="A21753" s="12"/>
    </row>
    <row r="21754" spans="1:1" x14ac:dyDescent="0.3">
      <c r="A21754" s="12"/>
    </row>
    <row r="21755" spans="1:1" x14ac:dyDescent="0.3">
      <c r="A21755" s="12"/>
    </row>
    <row r="21756" spans="1:1" x14ac:dyDescent="0.3">
      <c r="A21756" s="12"/>
    </row>
    <row r="21757" spans="1:1" x14ac:dyDescent="0.3">
      <c r="A21757" s="12"/>
    </row>
    <row r="21758" spans="1:1" x14ac:dyDescent="0.3">
      <c r="A21758" s="12"/>
    </row>
    <row r="21759" spans="1:1" x14ac:dyDescent="0.3">
      <c r="A21759" s="12"/>
    </row>
    <row r="21760" spans="1:1" x14ac:dyDescent="0.3">
      <c r="A21760" s="12"/>
    </row>
    <row r="21761" spans="1:1" x14ac:dyDescent="0.3">
      <c r="A21761" s="12"/>
    </row>
    <row r="21762" spans="1:1" x14ac:dyDescent="0.3">
      <c r="A21762" s="12"/>
    </row>
    <row r="21763" spans="1:1" x14ac:dyDescent="0.3">
      <c r="A21763" s="12"/>
    </row>
    <row r="21764" spans="1:1" x14ac:dyDescent="0.3">
      <c r="A21764" s="12"/>
    </row>
    <row r="21765" spans="1:1" x14ac:dyDescent="0.3">
      <c r="A21765" s="12"/>
    </row>
    <row r="21766" spans="1:1" x14ac:dyDescent="0.3">
      <c r="A21766" s="12"/>
    </row>
    <row r="21767" spans="1:1" x14ac:dyDescent="0.3">
      <c r="A21767" s="12"/>
    </row>
    <row r="21768" spans="1:1" x14ac:dyDescent="0.3">
      <c r="A21768" s="12"/>
    </row>
    <row r="21769" spans="1:1" x14ac:dyDescent="0.3">
      <c r="A21769" s="12"/>
    </row>
    <row r="21770" spans="1:1" x14ac:dyDescent="0.3">
      <c r="A21770" s="12"/>
    </row>
    <row r="21771" spans="1:1" x14ac:dyDescent="0.3">
      <c r="A21771" s="12"/>
    </row>
    <row r="21772" spans="1:1" x14ac:dyDescent="0.3">
      <c r="A21772" s="12"/>
    </row>
    <row r="21773" spans="1:1" x14ac:dyDescent="0.3">
      <c r="A21773" s="12"/>
    </row>
    <row r="21774" spans="1:1" x14ac:dyDescent="0.3">
      <c r="A21774" s="12"/>
    </row>
    <row r="21775" spans="1:1" x14ac:dyDescent="0.3">
      <c r="A21775" s="12"/>
    </row>
    <row r="21776" spans="1:1" x14ac:dyDescent="0.3">
      <c r="A21776" s="12"/>
    </row>
    <row r="21777" spans="1:1" x14ac:dyDescent="0.3">
      <c r="A21777" s="12"/>
    </row>
    <row r="21778" spans="1:1" x14ac:dyDescent="0.3">
      <c r="A21778" s="12"/>
    </row>
    <row r="21779" spans="1:1" x14ac:dyDescent="0.3">
      <c r="A21779" s="12"/>
    </row>
    <row r="21780" spans="1:1" x14ac:dyDescent="0.3">
      <c r="A21780" s="12"/>
    </row>
    <row r="21781" spans="1:1" x14ac:dyDescent="0.3">
      <c r="A21781" s="12"/>
    </row>
    <row r="21782" spans="1:1" x14ac:dyDescent="0.3">
      <c r="A21782" s="12"/>
    </row>
    <row r="21783" spans="1:1" x14ac:dyDescent="0.3">
      <c r="A21783" s="12"/>
    </row>
    <row r="21784" spans="1:1" x14ac:dyDescent="0.3">
      <c r="A21784" s="12"/>
    </row>
    <row r="21785" spans="1:1" x14ac:dyDescent="0.3">
      <c r="A21785" s="12"/>
    </row>
    <row r="21786" spans="1:1" x14ac:dyDescent="0.3">
      <c r="A21786" s="12"/>
    </row>
    <row r="21787" spans="1:1" x14ac:dyDescent="0.3">
      <c r="A21787" s="12"/>
    </row>
    <row r="21788" spans="1:1" x14ac:dyDescent="0.3">
      <c r="A21788" s="12"/>
    </row>
    <row r="21789" spans="1:1" x14ac:dyDescent="0.3">
      <c r="A21789" s="12"/>
    </row>
    <row r="21790" spans="1:1" x14ac:dyDescent="0.3">
      <c r="A21790" s="12"/>
    </row>
    <row r="21791" spans="1:1" x14ac:dyDescent="0.3">
      <c r="A21791" s="12"/>
    </row>
    <row r="21792" spans="1:1" x14ac:dyDescent="0.3">
      <c r="A21792" s="12"/>
    </row>
    <row r="21793" spans="1:1" x14ac:dyDescent="0.3">
      <c r="A21793" s="12"/>
    </row>
    <row r="21794" spans="1:1" x14ac:dyDescent="0.3">
      <c r="A21794" s="12"/>
    </row>
    <row r="21795" spans="1:1" x14ac:dyDescent="0.3">
      <c r="A21795" s="12"/>
    </row>
    <row r="21796" spans="1:1" x14ac:dyDescent="0.3">
      <c r="A21796" s="12"/>
    </row>
    <row r="21797" spans="1:1" x14ac:dyDescent="0.3">
      <c r="A21797" s="12"/>
    </row>
    <row r="21798" spans="1:1" x14ac:dyDescent="0.3">
      <c r="A21798" s="12"/>
    </row>
    <row r="21799" spans="1:1" x14ac:dyDescent="0.3">
      <c r="A21799" s="12"/>
    </row>
    <row r="21800" spans="1:1" x14ac:dyDescent="0.3">
      <c r="A21800" s="12"/>
    </row>
    <row r="21801" spans="1:1" x14ac:dyDescent="0.3">
      <c r="A21801" s="12"/>
    </row>
    <row r="21802" spans="1:1" x14ac:dyDescent="0.3">
      <c r="A21802" s="12"/>
    </row>
    <row r="21803" spans="1:1" x14ac:dyDescent="0.3">
      <c r="A21803" s="12"/>
    </row>
    <row r="21804" spans="1:1" x14ac:dyDescent="0.3">
      <c r="A21804" s="12"/>
    </row>
    <row r="21805" spans="1:1" x14ac:dyDescent="0.3">
      <c r="A21805" s="12"/>
    </row>
    <row r="21806" spans="1:1" x14ac:dyDescent="0.3">
      <c r="A21806" s="12"/>
    </row>
    <row r="21807" spans="1:1" x14ac:dyDescent="0.3">
      <c r="A21807" s="12"/>
    </row>
    <row r="21808" spans="1:1" x14ac:dyDescent="0.3">
      <c r="A21808" s="12"/>
    </row>
    <row r="21809" spans="1:1" x14ac:dyDescent="0.3">
      <c r="A21809" s="12"/>
    </row>
    <row r="21810" spans="1:1" x14ac:dyDescent="0.3">
      <c r="A21810" s="12"/>
    </row>
    <row r="21811" spans="1:1" x14ac:dyDescent="0.3">
      <c r="A21811" s="12"/>
    </row>
    <row r="21812" spans="1:1" x14ac:dyDescent="0.3">
      <c r="A21812" s="12"/>
    </row>
    <row r="21813" spans="1:1" x14ac:dyDescent="0.3">
      <c r="A21813" s="12"/>
    </row>
    <row r="21814" spans="1:1" x14ac:dyDescent="0.3">
      <c r="A21814" s="12"/>
    </row>
    <row r="21815" spans="1:1" x14ac:dyDescent="0.3">
      <c r="A21815" s="12"/>
    </row>
    <row r="21816" spans="1:1" x14ac:dyDescent="0.3">
      <c r="A21816" s="12"/>
    </row>
    <row r="21817" spans="1:1" x14ac:dyDescent="0.3">
      <c r="A21817" s="12"/>
    </row>
    <row r="21818" spans="1:1" x14ac:dyDescent="0.3">
      <c r="A21818" s="12"/>
    </row>
    <row r="21819" spans="1:1" x14ac:dyDescent="0.3">
      <c r="A21819" s="12"/>
    </row>
    <row r="21820" spans="1:1" x14ac:dyDescent="0.3">
      <c r="A21820" s="12"/>
    </row>
    <row r="21821" spans="1:1" x14ac:dyDescent="0.3">
      <c r="A21821" s="12"/>
    </row>
    <row r="21822" spans="1:1" x14ac:dyDescent="0.3">
      <c r="A21822" s="12"/>
    </row>
    <row r="21823" spans="1:1" x14ac:dyDescent="0.3">
      <c r="A21823" s="12"/>
    </row>
    <row r="21824" spans="1:1" x14ac:dyDescent="0.3">
      <c r="A21824" s="12"/>
    </row>
    <row r="21825" spans="1:1" x14ac:dyDescent="0.3">
      <c r="A21825" s="12"/>
    </row>
    <row r="21826" spans="1:1" x14ac:dyDescent="0.3">
      <c r="A21826" s="12"/>
    </row>
    <row r="21827" spans="1:1" x14ac:dyDescent="0.3">
      <c r="A21827" s="12"/>
    </row>
    <row r="21828" spans="1:1" x14ac:dyDescent="0.3">
      <c r="A21828" s="12"/>
    </row>
    <row r="21829" spans="1:1" x14ac:dyDescent="0.3">
      <c r="A21829" s="12"/>
    </row>
    <row r="21830" spans="1:1" x14ac:dyDescent="0.3">
      <c r="A21830" s="12"/>
    </row>
    <row r="21831" spans="1:1" x14ac:dyDescent="0.3">
      <c r="A21831" s="12"/>
    </row>
    <row r="21832" spans="1:1" x14ac:dyDescent="0.3">
      <c r="A21832" s="12"/>
    </row>
    <row r="21833" spans="1:1" x14ac:dyDescent="0.3">
      <c r="A21833" s="12"/>
    </row>
    <row r="21834" spans="1:1" x14ac:dyDescent="0.3">
      <c r="A21834" s="12"/>
    </row>
    <row r="21835" spans="1:1" x14ac:dyDescent="0.3">
      <c r="A21835" s="12"/>
    </row>
    <row r="21836" spans="1:1" x14ac:dyDescent="0.3">
      <c r="A21836" s="12"/>
    </row>
    <row r="21837" spans="1:1" x14ac:dyDescent="0.3">
      <c r="A21837" s="12"/>
    </row>
    <row r="21838" spans="1:1" x14ac:dyDescent="0.3">
      <c r="A21838" s="12"/>
    </row>
    <row r="21839" spans="1:1" x14ac:dyDescent="0.3">
      <c r="A21839" s="12"/>
    </row>
    <row r="21840" spans="1:1" x14ac:dyDescent="0.3">
      <c r="A21840" s="12"/>
    </row>
    <row r="21841" spans="1:1" x14ac:dyDescent="0.3">
      <c r="A21841" s="12"/>
    </row>
    <row r="21842" spans="1:1" x14ac:dyDescent="0.3">
      <c r="A21842" s="12"/>
    </row>
    <row r="21843" spans="1:1" x14ac:dyDescent="0.3">
      <c r="A21843" s="12"/>
    </row>
    <row r="21844" spans="1:1" x14ac:dyDescent="0.3">
      <c r="A21844" s="12"/>
    </row>
    <row r="21845" spans="1:1" x14ac:dyDescent="0.3">
      <c r="A21845" s="12"/>
    </row>
    <row r="21846" spans="1:1" x14ac:dyDescent="0.3">
      <c r="A21846" s="12"/>
    </row>
    <row r="21847" spans="1:1" x14ac:dyDescent="0.3">
      <c r="A21847" s="12"/>
    </row>
    <row r="21848" spans="1:1" x14ac:dyDescent="0.3">
      <c r="A21848" s="12"/>
    </row>
    <row r="21849" spans="1:1" x14ac:dyDescent="0.3">
      <c r="A21849" s="12"/>
    </row>
    <row r="21850" spans="1:1" x14ac:dyDescent="0.3">
      <c r="A21850" s="12"/>
    </row>
    <row r="21851" spans="1:1" x14ac:dyDescent="0.3">
      <c r="A21851" s="12"/>
    </row>
    <row r="21852" spans="1:1" x14ac:dyDescent="0.3">
      <c r="A21852" s="12"/>
    </row>
    <row r="21853" spans="1:1" x14ac:dyDescent="0.3">
      <c r="A21853" s="12"/>
    </row>
    <row r="21854" spans="1:1" x14ac:dyDescent="0.3">
      <c r="A21854" s="12"/>
    </row>
    <row r="21855" spans="1:1" x14ac:dyDescent="0.3">
      <c r="A21855" s="12"/>
    </row>
    <row r="21856" spans="1:1" x14ac:dyDescent="0.3">
      <c r="A21856" s="12"/>
    </row>
    <row r="21857" spans="1:1" x14ac:dyDescent="0.3">
      <c r="A21857" s="12"/>
    </row>
    <row r="21858" spans="1:1" x14ac:dyDescent="0.3">
      <c r="A21858" s="12"/>
    </row>
    <row r="21859" spans="1:1" x14ac:dyDescent="0.3">
      <c r="A21859" s="12"/>
    </row>
    <row r="21860" spans="1:1" x14ac:dyDescent="0.3">
      <c r="A21860" s="12"/>
    </row>
    <row r="21861" spans="1:1" x14ac:dyDescent="0.3">
      <c r="A21861" s="12"/>
    </row>
    <row r="21862" spans="1:1" x14ac:dyDescent="0.3">
      <c r="A21862" s="12"/>
    </row>
    <row r="21863" spans="1:1" x14ac:dyDescent="0.3">
      <c r="A21863" s="12"/>
    </row>
    <row r="21864" spans="1:1" x14ac:dyDescent="0.3">
      <c r="A21864" s="12"/>
    </row>
    <row r="21865" spans="1:1" x14ac:dyDescent="0.3">
      <c r="A21865" s="12"/>
    </row>
    <row r="21866" spans="1:1" x14ac:dyDescent="0.3">
      <c r="A21866" s="12"/>
    </row>
    <row r="21867" spans="1:1" x14ac:dyDescent="0.3">
      <c r="A21867" s="12"/>
    </row>
    <row r="21868" spans="1:1" x14ac:dyDescent="0.3">
      <c r="A21868" s="12"/>
    </row>
    <row r="21869" spans="1:1" x14ac:dyDescent="0.3">
      <c r="A21869" s="12"/>
    </row>
    <row r="21870" spans="1:1" x14ac:dyDescent="0.3">
      <c r="A21870" s="12"/>
    </row>
    <row r="21871" spans="1:1" x14ac:dyDescent="0.3">
      <c r="A21871" s="12"/>
    </row>
    <row r="21872" spans="1:1" x14ac:dyDescent="0.3">
      <c r="A21872" s="12"/>
    </row>
    <row r="21873" spans="1:1" x14ac:dyDescent="0.3">
      <c r="A21873" s="12"/>
    </row>
    <row r="21874" spans="1:1" x14ac:dyDescent="0.3">
      <c r="A21874" s="12"/>
    </row>
    <row r="21875" spans="1:1" x14ac:dyDescent="0.3">
      <c r="A21875" s="12"/>
    </row>
    <row r="21876" spans="1:1" x14ac:dyDescent="0.3">
      <c r="A21876" s="12"/>
    </row>
    <row r="21877" spans="1:1" x14ac:dyDescent="0.3">
      <c r="A21877" s="12"/>
    </row>
    <row r="21878" spans="1:1" x14ac:dyDescent="0.3">
      <c r="A21878" s="12"/>
    </row>
    <row r="21879" spans="1:1" x14ac:dyDescent="0.3">
      <c r="A21879" s="12"/>
    </row>
    <row r="21880" spans="1:1" x14ac:dyDescent="0.3">
      <c r="A21880" s="12"/>
    </row>
    <row r="21881" spans="1:1" x14ac:dyDescent="0.3">
      <c r="A21881" s="12"/>
    </row>
    <row r="21882" spans="1:1" x14ac:dyDescent="0.3">
      <c r="A21882" s="12"/>
    </row>
    <row r="21883" spans="1:1" x14ac:dyDescent="0.3">
      <c r="A21883" s="12"/>
    </row>
    <row r="21884" spans="1:1" x14ac:dyDescent="0.3">
      <c r="A21884" s="12"/>
    </row>
    <row r="21885" spans="1:1" x14ac:dyDescent="0.3">
      <c r="A21885" s="12"/>
    </row>
    <row r="21886" spans="1:1" x14ac:dyDescent="0.3">
      <c r="A21886" s="12"/>
    </row>
    <row r="21887" spans="1:1" x14ac:dyDescent="0.3">
      <c r="A21887" s="12"/>
    </row>
    <row r="21888" spans="1:1" x14ac:dyDescent="0.3">
      <c r="A21888" s="12"/>
    </row>
    <row r="21889" spans="1:1" x14ac:dyDescent="0.3">
      <c r="A21889" s="12"/>
    </row>
    <row r="21890" spans="1:1" x14ac:dyDescent="0.3">
      <c r="A21890" s="12"/>
    </row>
    <row r="21891" spans="1:1" x14ac:dyDescent="0.3">
      <c r="A21891" s="12"/>
    </row>
    <row r="21892" spans="1:1" x14ac:dyDescent="0.3">
      <c r="A21892" s="12"/>
    </row>
    <row r="21893" spans="1:1" x14ac:dyDescent="0.3">
      <c r="A21893" s="12"/>
    </row>
    <row r="21894" spans="1:1" x14ac:dyDescent="0.3">
      <c r="A21894" s="12"/>
    </row>
    <row r="21895" spans="1:1" x14ac:dyDescent="0.3">
      <c r="A21895" s="12"/>
    </row>
    <row r="21896" spans="1:1" x14ac:dyDescent="0.3">
      <c r="A21896" s="12"/>
    </row>
    <row r="21897" spans="1:1" x14ac:dyDescent="0.3">
      <c r="A21897" s="12"/>
    </row>
    <row r="21898" spans="1:1" x14ac:dyDescent="0.3">
      <c r="A21898" s="12"/>
    </row>
    <row r="21899" spans="1:1" x14ac:dyDescent="0.3">
      <c r="A21899" s="12"/>
    </row>
    <row r="21900" spans="1:1" x14ac:dyDescent="0.3">
      <c r="A21900" s="12"/>
    </row>
    <row r="21901" spans="1:1" x14ac:dyDescent="0.3">
      <c r="A21901" s="12"/>
    </row>
    <row r="21902" spans="1:1" x14ac:dyDescent="0.3">
      <c r="A21902" s="12"/>
    </row>
    <row r="21903" spans="1:1" x14ac:dyDescent="0.3">
      <c r="A21903" s="12"/>
    </row>
    <row r="21904" spans="1:1" x14ac:dyDescent="0.3">
      <c r="A21904" s="12"/>
    </row>
    <row r="21905" spans="1:1" x14ac:dyDescent="0.3">
      <c r="A21905" s="12"/>
    </row>
    <row r="21906" spans="1:1" x14ac:dyDescent="0.3">
      <c r="A21906" s="12"/>
    </row>
    <row r="21907" spans="1:1" x14ac:dyDescent="0.3">
      <c r="A21907" s="12"/>
    </row>
    <row r="21908" spans="1:1" x14ac:dyDescent="0.3">
      <c r="A21908" s="12"/>
    </row>
    <row r="21909" spans="1:1" x14ac:dyDescent="0.3">
      <c r="A21909" s="12"/>
    </row>
    <row r="21910" spans="1:1" x14ac:dyDescent="0.3">
      <c r="A21910" s="12"/>
    </row>
    <row r="21911" spans="1:1" x14ac:dyDescent="0.3">
      <c r="A21911" s="12"/>
    </row>
    <row r="21912" spans="1:1" x14ac:dyDescent="0.3">
      <c r="A21912" s="12"/>
    </row>
    <row r="21913" spans="1:1" x14ac:dyDescent="0.3">
      <c r="A21913" s="12"/>
    </row>
    <row r="21914" spans="1:1" x14ac:dyDescent="0.3">
      <c r="A21914" s="12"/>
    </row>
    <row r="21915" spans="1:1" x14ac:dyDescent="0.3">
      <c r="A21915" s="12"/>
    </row>
    <row r="21916" spans="1:1" x14ac:dyDescent="0.3">
      <c r="A21916" s="12"/>
    </row>
    <row r="21917" spans="1:1" x14ac:dyDescent="0.3">
      <c r="A21917" s="12"/>
    </row>
    <row r="21918" spans="1:1" x14ac:dyDescent="0.3">
      <c r="A21918" s="12"/>
    </row>
    <row r="21919" spans="1:1" x14ac:dyDescent="0.3">
      <c r="A21919" s="12"/>
    </row>
    <row r="21920" spans="1:1" x14ac:dyDescent="0.3">
      <c r="A21920" s="12"/>
    </row>
    <row r="21921" spans="1:1" x14ac:dyDescent="0.3">
      <c r="A21921" s="12"/>
    </row>
    <row r="21922" spans="1:1" x14ac:dyDescent="0.3">
      <c r="A21922" s="12"/>
    </row>
    <row r="21923" spans="1:1" x14ac:dyDescent="0.3">
      <c r="A21923" s="12"/>
    </row>
    <row r="21924" spans="1:1" x14ac:dyDescent="0.3">
      <c r="A21924" s="12"/>
    </row>
    <row r="21925" spans="1:1" x14ac:dyDescent="0.3">
      <c r="A21925" s="12"/>
    </row>
    <row r="21926" spans="1:1" x14ac:dyDescent="0.3">
      <c r="A21926" s="12"/>
    </row>
    <row r="21927" spans="1:1" x14ac:dyDescent="0.3">
      <c r="A21927" s="12"/>
    </row>
    <row r="21928" spans="1:1" x14ac:dyDescent="0.3">
      <c r="A21928" s="12"/>
    </row>
    <row r="21929" spans="1:1" x14ac:dyDescent="0.3">
      <c r="A21929" s="12"/>
    </row>
    <row r="21930" spans="1:1" x14ac:dyDescent="0.3">
      <c r="A21930" s="12"/>
    </row>
    <row r="21931" spans="1:1" x14ac:dyDescent="0.3">
      <c r="A21931" s="12"/>
    </row>
    <row r="21932" spans="1:1" x14ac:dyDescent="0.3">
      <c r="A21932" s="12"/>
    </row>
    <row r="21933" spans="1:1" x14ac:dyDescent="0.3">
      <c r="A21933" s="12"/>
    </row>
    <row r="21934" spans="1:1" x14ac:dyDescent="0.3">
      <c r="A21934" s="12"/>
    </row>
    <row r="21935" spans="1:1" x14ac:dyDescent="0.3">
      <c r="A21935" s="12"/>
    </row>
    <row r="21936" spans="1:1" x14ac:dyDescent="0.3">
      <c r="A21936" s="12"/>
    </row>
    <row r="21937" spans="1:1" x14ac:dyDescent="0.3">
      <c r="A21937" s="12"/>
    </row>
    <row r="21938" spans="1:1" x14ac:dyDescent="0.3">
      <c r="A21938" s="12"/>
    </row>
    <row r="21939" spans="1:1" x14ac:dyDescent="0.3">
      <c r="A21939" s="12"/>
    </row>
    <row r="21940" spans="1:1" x14ac:dyDescent="0.3">
      <c r="A21940" s="12"/>
    </row>
    <row r="21941" spans="1:1" x14ac:dyDescent="0.3">
      <c r="A21941" s="12"/>
    </row>
    <row r="21942" spans="1:1" x14ac:dyDescent="0.3">
      <c r="A21942" s="12"/>
    </row>
    <row r="21943" spans="1:1" x14ac:dyDescent="0.3">
      <c r="A21943" s="12"/>
    </row>
    <row r="21944" spans="1:1" x14ac:dyDescent="0.3">
      <c r="A21944" s="12"/>
    </row>
    <row r="21945" spans="1:1" x14ac:dyDescent="0.3">
      <c r="A21945" s="12"/>
    </row>
    <row r="21946" spans="1:1" x14ac:dyDescent="0.3">
      <c r="A21946" s="12"/>
    </row>
    <row r="21947" spans="1:1" x14ac:dyDescent="0.3">
      <c r="A21947" s="12"/>
    </row>
    <row r="21948" spans="1:1" x14ac:dyDescent="0.3">
      <c r="A21948" s="12"/>
    </row>
    <row r="21949" spans="1:1" x14ac:dyDescent="0.3">
      <c r="A21949" s="12"/>
    </row>
    <row r="21950" spans="1:1" x14ac:dyDescent="0.3">
      <c r="A21950" s="12"/>
    </row>
    <row r="21951" spans="1:1" x14ac:dyDescent="0.3">
      <c r="A21951" s="12"/>
    </row>
    <row r="21952" spans="1:1" x14ac:dyDescent="0.3">
      <c r="A21952" s="12"/>
    </row>
    <row r="21953" spans="1:1" x14ac:dyDescent="0.3">
      <c r="A21953" s="12"/>
    </row>
    <row r="21954" spans="1:1" x14ac:dyDescent="0.3">
      <c r="A21954" s="12"/>
    </row>
    <row r="21955" spans="1:1" x14ac:dyDescent="0.3">
      <c r="A21955" s="12"/>
    </row>
    <row r="21956" spans="1:1" x14ac:dyDescent="0.3">
      <c r="A21956" s="12"/>
    </row>
    <row r="21957" spans="1:1" x14ac:dyDescent="0.3">
      <c r="A21957" s="12"/>
    </row>
    <row r="21958" spans="1:1" x14ac:dyDescent="0.3">
      <c r="A21958" s="12"/>
    </row>
    <row r="21959" spans="1:1" x14ac:dyDescent="0.3">
      <c r="A21959" s="12"/>
    </row>
    <row r="21960" spans="1:1" x14ac:dyDescent="0.3">
      <c r="A21960" s="12"/>
    </row>
    <row r="21961" spans="1:1" x14ac:dyDescent="0.3">
      <c r="A21961" s="12"/>
    </row>
    <row r="21962" spans="1:1" x14ac:dyDescent="0.3">
      <c r="A21962" s="12"/>
    </row>
    <row r="21963" spans="1:1" x14ac:dyDescent="0.3">
      <c r="A21963" s="12"/>
    </row>
    <row r="21964" spans="1:1" x14ac:dyDescent="0.3">
      <c r="A21964" s="12"/>
    </row>
    <row r="21965" spans="1:1" x14ac:dyDescent="0.3">
      <c r="A21965" s="12"/>
    </row>
    <row r="21966" spans="1:1" x14ac:dyDescent="0.3">
      <c r="A21966" s="12"/>
    </row>
    <row r="21967" spans="1:1" x14ac:dyDescent="0.3">
      <c r="A21967" s="12"/>
    </row>
    <row r="21968" spans="1:1" x14ac:dyDescent="0.3">
      <c r="A21968" s="12"/>
    </row>
    <row r="21969" spans="1:1" x14ac:dyDescent="0.3">
      <c r="A21969" s="12"/>
    </row>
    <row r="21970" spans="1:1" x14ac:dyDescent="0.3">
      <c r="A21970" s="12"/>
    </row>
    <row r="21971" spans="1:1" x14ac:dyDescent="0.3">
      <c r="A21971" s="12"/>
    </row>
    <row r="21972" spans="1:1" x14ac:dyDescent="0.3">
      <c r="A21972" s="12"/>
    </row>
    <row r="21973" spans="1:1" x14ac:dyDescent="0.3">
      <c r="A21973" s="12"/>
    </row>
    <row r="21974" spans="1:1" x14ac:dyDescent="0.3">
      <c r="A21974" s="12"/>
    </row>
    <row r="21975" spans="1:1" x14ac:dyDescent="0.3">
      <c r="A21975" s="12"/>
    </row>
    <row r="21976" spans="1:1" x14ac:dyDescent="0.3">
      <c r="A21976" s="12"/>
    </row>
    <row r="21977" spans="1:1" x14ac:dyDescent="0.3">
      <c r="A21977" s="12"/>
    </row>
    <row r="21978" spans="1:1" x14ac:dyDescent="0.3">
      <c r="A21978" s="12"/>
    </row>
    <row r="21979" spans="1:1" x14ac:dyDescent="0.3">
      <c r="A21979" s="12"/>
    </row>
    <row r="21980" spans="1:1" x14ac:dyDescent="0.3">
      <c r="A21980" s="12"/>
    </row>
    <row r="21981" spans="1:1" x14ac:dyDescent="0.3">
      <c r="A21981" s="12"/>
    </row>
    <row r="21982" spans="1:1" x14ac:dyDescent="0.3">
      <c r="A21982" s="12"/>
    </row>
    <row r="21983" spans="1:1" x14ac:dyDescent="0.3">
      <c r="A21983" s="12"/>
    </row>
    <row r="21984" spans="1:1" x14ac:dyDescent="0.3">
      <c r="A21984" s="12"/>
    </row>
    <row r="21985" spans="1:1" x14ac:dyDescent="0.3">
      <c r="A21985" s="12"/>
    </row>
    <row r="21986" spans="1:1" x14ac:dyDescent="0.3">
      <c r="A21986" s="12"/>
    </row>
    <row r="21987" spans="1:1" x14ac:dyDescent="0.3">
      <c r="A21987" s="12"/>
    </row>
    <row r="21988" spans="1:1" x14ac:dyDescent="0.3">
      <c r="A21988" s="12"/>
    </row>
    <row r="21989" spans="1:1" x14ac:dyDescent="0.3">
      <c r="A21989" s="12"/>
    </row>
    <row r="21990" spans="1:1" x14ac:dyDescent="0.3">
      <c r="A21990" s="12"/>
    </row>
    <row r="21991" spans="1:1" x14ac:dyDescent="0.3">
      <c r="A21991" s="12"/>
    </row>
    <row r="21992" spans="1:1" x14ac:dyDescent="0.3">
      <c r="A21992" s="12"/>
    </row>
    <row r="21993" spans="1:1" x14ac:dyDescent="0.3">
      <c r="A21993" s="12"/>
    </row>
    <row r="21994" spans="1:1" x14ac:dyDescent="0.3">
      <c r="A21994" s="12"/>
    </row>
    <row r="21995" spans="1:1" x14ac:dyDescent="0.3">
      <c r="A21995" s="12"/>
    </row>
    <row r="21996" spans="1:1" x14ac:dyDescent="0.3">
      <c r="A21996" s="12"/>
    </row>
    <row r="21997" spans="1:1" x14ac:dyDescent="0.3">
      <c r="A21997" s="12"/>
    </row>
    <row r="21998" spans="1:1" x14ac:dyDescent="0.3">
      <c r="A21998" s="12"/>
    </row>
    <row r="21999" spans="1:1" x14ac:dyDescent="0.3">
      <c r="A21999" s="12"/>
    </row>
    <row r="22000" spans="1:1" x14ac:dyDescent="0.3">
      <c r="A22000" s="12"/>
    </row>
    <row r="22001" spans="1:1" x14ac:dyDescent="0.3">
      <c r="A22001" s="12"/>
    </row>
    <row r="22002" spans="1:1" x14ac:dyDescent="0.3">
      <c r="A22002" s="12"/>
    </row>
    <row r="22003" spans="1:1" x14ac:dyDescent="0.3">
      <c r="A22003" s="12"/>
    </row>
    <row r="22004" spans="1:1" x14ac:dyDescent="0.3">
      <c r="A22004" s="12"/>
    </row>
    <row r="22005" spans="1:1" x14ac:dyDescent="0.3">
      <c r="A22005" s="12"/>
    </row>
    <row r="22006" spans="1:1" x14ac:dyDescent="0.3">
      <c r="A22006" s="12"/>
    </row>
    <row r="22007" spans="1:1" x14ac:dyDescent="0.3">
      <c r="A22007" s="12"/>
    </row>
    <row r="22008" spans="1:1" x14ac:dyDescent="0.3">
      <c r="A22008" s="12"/>
    </row>
    <row r="22009" spans="1:1" x14ac:dyDescent="0.3">
      <c r="A22009" s="12"/>
    </row>
    <row r="22010" spans="1:1" x14ac:dyDescent="0.3">
      <c r="A22010" s="12"/>
    </row>
    <row r="22011" spans="1:1" x14ac:dyDescent="0.3">
      <c r="A22011" s="12"/>
    </row>
    <row r="22012" spans="1:1" x14ac:dyDescent="0.3">
      <c r="A22012" s="12"/>
    </row>
    <row r="22013" spans="1:1" x14ac:dyDescent="0.3">
      <c r="A22013" s="12"/>
    </row>
    <row r="22014" spans="1:1" x14ac:dyDescent="0.3">
      <c r="A22014" s="12"/>
    </row>
    <row r="22015" spans="1:1" x14ac:dyDescent="0.3">
      <c r="A22015" s="12"/>
    </row>
    <row r="22016" spans="1:1" x14ac:dyDescent="0.3">
      <c r="A22016" s="12"/>
    </row>
    <row r="22017" spans="1:1" x14ac:dyDescent="0.3">
      <c r="A22017" s="12"/>
    </row>
    <row r="22018" spans="1:1" x14ac:dyDescent="0.3">
      <c r="A22018" s="12"/>
    </row>
    <row r="22019" spans="1:1" x14ac:dyDescent="0.3">
      <c r="A22019" s="12"/>
    </row>
    <row r="22020" spans="1:1" x14ac:dyDescent="0.3">
      <c r="A22020" s="12"/>
    </row>
    <row r="22021" spans="1:1" x14ac:dyDescent="0.3">
      <c r="A22021" s="12"/>
    </row>
    <row r="22022" spans="1:1" x14ac:dyDescent="0.3">
      <c r="A22022" s="12"/>
    </row>
    <row r="22023" spans="1:1" x14ac:dyDescent="0.3">
      <c r="A22023" s="12"/>
    </row>
    <row r="22024" spans="1:1" x14ac:dyDescent="0.3">
      <c r="A22024" s="12"/>
    </row>
    <row r="22025" spans="1:1" x14ac:dyDescent="0.3">
      <c r="A22025" s="12"/>
    </row>
    <row r="22026" spans="1:1" x14ac:dyDescent="0.3">
      <c r="A22026" s="12"/>
    </row>
    <row r="22027" spans="1:1" x14ac:dyDescent="0.3">
      <c r="A22027" s="12"/>
    </row>
    <row r="22028" spans="1:1" x14ac:dyDescent="0.3">
      <c r="A22028" s="12"/>
    </row>
    <row r="22029" spans="1:1" x14ac:dyDescent="0.3">
      <c r="A22029" s="12"/>
    </row>
    <row r="22030" spans="1:1" x14ac:dyDescent="0.3">
      <c r="A22030" s="12"/>
    </row>
    <row r="22031" spans="1:1" x14ac:dyDescent="0.3">
      <c r="A22031" s="12"/>
    </row>
    <row r="22032" spans="1:1" x14ac:dyDescent="0.3">
      <c r="A22032" s="12"/>
    </row>
    <row r="22033" spans="1:1" x14ac:dyDescent="0.3">
      <c r="A22033" s="12"/>
    </row>
    <row r="22034" spans="1:1" x14ac:dyDescent="0.3">
      <c r="A22034" s="12"/>
    </row>
    <row r="22035" spans="1:1" x14ac:dyDescent="0.3">
      <c r="A22035" s="12"/>
    </row>
    <row r="22036" spans="1:1" x14ac:dyDescent="0.3">
      <c r="A22036" s="12"/>
    </row>
    <row r="22037" spans="1:1" x14ac:dyDescent="0.3">
      <c r="A22037" s="12"/>
    </row>
    <row r="22038" spans="1:1" x14ac:dyDescent="0.3">
      <c r="A22038" s="12"/>
    </row>
    <row r="22039" spans="1:1" x14ac:dyDescent="0.3">
      <c r="A22039" s="12"/>
    </row>
    <row r="22040" spans="1:1" x14ac:dyDescent="0.3">
      <c r="A22040" s="12"/>
    </row>
    <row r="22041" spans="1:1" x14ac:dyDescent="0.3">
      <c r="A22041" s="12"/>
    </row>
    <row r="22042" spans="1:1" x14ac:dyDescent="0.3">
      <c r="A22042" s="12"/>
    </row>
    <row r="22043" spans="1:1" x14ac:dyDescent="0.3">
      <c r="A22043" s="12"/>
    </row>
    <row r="22044" spans="1:1" x14ac:dyDescent="0.3">
      <c r="A22044" s="12"/>
    </row>
    <row r="22045" spans="1:1" x14ac:dyDescent="0.3">
      <c r="A22045" s="12"/>
    </row>
    <row r="22046" spans="1:1" x14ac:dyDescent="0.3">
      <c r="A22046" s="12"/>
    </row>
    <row r="22047" spans="1:1" x14ac:dyDescent="0.3">
      <c r="A22047" s="12"/>
    </row>
    <row r="22048" spans="1:1" x14ac:dyDescent="0.3">
      <c r="A22048" s="12"/>
    </row>
    <row r="22049" spans="1:1" x14ac:dyDescent="0.3">
      <c r="A22049" s="12"/>
    </row>
    <row r="22050" spans="1:1" x14ac:dyDescent="0.3">
      <c r="A22050" s="12"/>
    </row>
    <row r="22051" spans="1:1" x14ac:dyDescent="0.3">
      <c r="A22051" s="12"/>
    </row>
    <row r="22052" spans="1:1" x14ac:dyDescent="0.3">
      <c r="A22052" s="12"/>
    </row>
    <row r="22053" spans="1:1" x14ac:dyDescent="0.3">
      <c r="A22053" s="12"/>
    </row>
    <row r="22054" spans="1:1" x14ac:dyDescent="0.3">
      <c r="A22054" s="12"/>
    </row>
    <row r="22055" spans="1:1" x14ac:dyDescent="0.3">
      <c r="A22055" s="12"/>
    </row>
    <row r="22056" spans="1:1" x14ac:dyDescent="0.3">
      <c r="A22056" s="12"/>
    </row>
    <row r="22057" spans="1:1" x14ac:dyDescent="0.3">
      <c r="A22057" s="12"/>
    </row>
    <row r="22058" spans="1:1" x14ac:dyDescent="0.3">
      <c r="A22058" s="12"/>
    </row>
    <row r="22059" spans="1:1" x14ac:dyDescent="0.3">
      <c r="A22059" s="12"/>
    </row>
    <row r="22060" spans="1:1" x14ac:dyDescent="0.3">
      <c r="A22060" s="12"/>
    </row>
    <row r="22061" spans="1:1" x14ac:dyDescent="0.3">
      <c r="A22061" s="12"/>
    </row>
    <row r="22062" spans="1:1" x14ac:dyDescent="0.3">
      <c r="A22062" s="12"/>
    </row>
    <row r="22063" spans="1:1" x14ac:dyDescent="0.3">
      <c r="A22063" s="12"/>
    </row>
    <row r="22064" spans="1:1" x14ac:dyDescent="0.3">
      <c r="A22064" s="12"/>
    </row>
    <row r="22065" spans="1:1" x14ac:dyDescent="0.3">
      <c r="A22065" s="12"/>
    </row>
    <row r="22066" spans="1:1" x14ac:dyDescent="0.3">
      <c r="A22066" s="12"/>
    </row>
    <row r="22067" spans="1:1" x14ac:dyDescent="0.3">
      <c r="A22067" s="12"/>
    </row>
    <row r="22068" spans="1:1" x14ac:dyDescent="0.3">
      <c r="A22068" s="12"/>
    </row>
    <row r="22069" spans="1:1" x14ac:dyDescent="0.3">
      <c r="A22069" s="12"/>
    </row>
    <row r="22070" spans="1:1" x14ac:dyDescent="0.3">
      <c r="A22070" s="12"/>
    </row>
    <row r="22071" spans="1:1" x14ac:dyDescent="0.3">
      <c r="A22071" s="12"/>
    </row>
    <row r="22072" spans="1:1" x14ac:dyDescent="0.3">
      <c r="A22072" s="12"/>
    </row>
    <row r="22073" spans="1:1" x14ac:dyDescent="0.3">
      <c r="A22073" s="12"/>
    </row>
    <row r="22074" spans="1:1" x14ac:dyDescent="0.3">
      <c r="A22074" s="12"/>
    </row>
    <row r="22075" spans="1:1" x14ac:dyDescent="0.3">
      <c r="A22075" s="12"/>
    </row>
    <row r="22076" spans="1:1" x14ac:dyDescent="0.3">
      <c r="A22076" s="12"/>
    </row>
    <row r="22077" spans="1:1" x14ac:dyDescent="0.3">
      <c r="A22077" s="12"/>
    </row>
    <row r="22078" spans="1:1" x14ac:dyDescent="0.3">
      <c r="A22078" s="12"/>
    </row>
    <row r="22079" spans="1:1" x14ac:dyDescent="0.3">
      <c r="A22079" s="12"/>
    </row>
    <row r="22080" spans="1:1" x14ac:dyDescent="0.3">
      <c r="A22080" s="12"/>
    </row>
    <row r="22081" spans="1:1" x14ac:dyDescent="0.3">
      <c r="A22081" s="12"/>
    </row>
    <row r="22082" spans="1:1" x14ac:dyDescent="0.3">
      <c r="A22082" s="12"/>
    </row>
    <row r="22083" spans="1:1" x14ac:dyDescent="0.3">
      <c r="A22083" s="12"/>
    </row>
    <row r="22084" spans="1:1" x14ac:dyDescent="0.3">
      <c r="A22084" s="12"/>
    </row>
    <row r="22085" spans="1:1" x14ac:dyDescent="0.3">
      <c r="A22085" s="12"/>
    </row>
    <row r="22086" spans="1:1" x14ac:dyDescent="0.3">
      <c r="A22086" s="12"/>
    </row>
    <row r="22087" spans="1:1" x14ac:dyDescent="0.3">
      <c r="A22087" s="12"/>
    </row>
    <row r="22088" spans="1:1" x14ac:dyDescent="0.3">
      <c r="A22088" s="12"/>
    </row>
    <row r="22089" spans="1:1" x14ac:dyDescent="0.3">
      <c r="A22089" s="12"/>
    </row>
    <row r="22090" spans="1:1" x14ac:dyDescent="0.3">
      <c r="A22090" s="12"/>
    </row>
    <row r="22091" spans="1:1" x14ac:dyDescent="0.3">
      <c r="A22091" s="12"/>
    </row>
    <row r="22092" spans="1:1" x14ac:dyDescent="0.3">
      <c r="A22092" s="12"/>
    </row>
    <row r="22093" spans="1:1" x14ac:dyDescent="0.3">
      <c r="A22093" s="12"/>
    </row>
    <row r="22094" spans="1:1" x14ac:dyDescent="0.3">
      <c r="A22094" s="12"/>
    </row>
    <row r="22095" spans="1:1" x14ac:dyDescent="0.3">
      <c r="A22095" s="12"/>
    </row>
    <row r="22096" spans="1:1" x14ac:dyDescent="0.3">
      <c r="A22096" s="12"/>
    </row>
    <row r="22097" spans="1:1" x14ac:dyDescent="0.3">
      <c r="A22097" s="12"/>
    </row>
    <row r="22098" spans="1:1" x14ac:dyDescent="0.3">
      <c r="A22098" s="12"/>
    </row>
    <row r="22099" spans="1:1" x14ac:dyDescent="0.3">
      <c r="A22099" s="12"/>
    </row>
    <row r="22100" spans="1:1" x14ac:dyDescent="0.3">
      <c r="A22100" s="12"/>
    </row>
    <row r="22101" spans="1:1" x14ac:dyDescent="0.3">
      <c r="A22101" s="12"/>
    </row>
    <row r="22102" spans="1:1" x14ac:dyDescent="0.3">
      <c r="A22102" s="12"/>
    </row>
    <row r="22103" spans="1:1" x14ac:dyDescent="0.3">
      <c r="A22103" s="12"/>
    </row>
    <row r="22104" spans="1:1" x14ac:dyDescent="0.3">
      <c r="A22104" s="12"/>
    </row>
    <row r="22105" spans="1:1" x14ac:dyDescent="0.3">
      <c r="A22105" s="12"/>
    </row>
    <row r="22106" spans="1:1" x14ac:dyDescent="0.3">
      <c r="A22106" s="12"/>
    </row>
    <row r="22107" spans="1:1" x14ac:dyDescent="0.3">
      <c r="A22107" s="12"/>
    </row>
    <row r="22108" spans="1:1" x14ac:dyDescent="0.3">
      <c r="A22108" s="12"/>
    </row>
    <row r="22109" spans="1:1" x14ac:dyDescent="0.3">
      <c r="A22109" s="12"/>
    </row>
    <row r="22110" spans="1:1" x14ac:dyDescent="0.3">
      <c r="A22110" s="12"/>
    </row>
    <row r="22111" spans="1:1" x14ac:dyDescent="0.3">
      <c r="A22111" s="12"/>
    </row>
    <row r="22112" spans="1:1" x14ac:dyDescent="0.3">
      <c r="A22112" s="12"/>
    </row>
    <row r="22113" spans="1:1" x14ac:dyDescent="0.3">
      <c r="A22113" s="12"/>
    </row>
    <row r="22114" spans="1:1" x14ac:dyDescent="0.3">
      <c r="A22114" s="12"/>
    </row>
    <row r="22115" spans="1:1" x14ac:dyDescent="0.3">
      <c r="A22115" s="12"/>
    </row>
    <row r="22116" spans="1:1" x14ac:dyDescent="0.3">
      <c r="A22116" s="12"/>
    </row>
    <row r="22117" spans="1:1" x14ac:dyDescent="0.3">
      <c r="A22117" s="12"/>
    </row>
    <row r="22118" spans="1:1" x14ac:dyDescent="0.3">
      <c r="A22118" s="12"/>
    </row>
    <row r="22119" spans="1:1" x14ac:dyDescent="0.3">
      <c r="A22119" s="12"/>
    </row>
    <row r="22120" spans="1:1" x14ac:dyDescent="0.3">
      <c r="A22120" s="12"/>
    </row>
    <row r="22121" spans="1:1" x14ac:dyDescent="0.3">
      <c r="A22121" s="12"/>
    </row>
    <row r="22122" spans="1:1" x14ac:dyDescent="0.3">
      <c r="A22122" s="12"/>
    </row>
    <row r="22123" spans="1:1" x14ac:dyDescent="0.3">
      <c r="A22123" s="12"/>
    </row>
    <row r="22124" spans="1:1" x14ac:dyDescent="0.3">
      <c r="A22124" s="12"/>
    </row>
    <row r="22125" spans="1:1" x14ac:dyDescent="0.3">
      <c r="A22125" s="12"/>
    </row>
    <row r="22126" spans="1:1" x14ac:dyDescent="0.3">
      <c r="A22126" s="12"/>
    </row>
    <row r="22127" spans="1:1" x14ac:dyDescent="0.3">
      <c r="A22127" s="12"/>
    </row>
    <row r="22128" spans="1:1" x14ac:dyDescent="0.3">
      <c r="A22128" s="12"/>
    </row>
    <row r="22129" spans="1:1" x14ac:dyDescent="0.3">
      <c r="A22129" s="12"/>
    </row>
    <row r="22130" spans="1:1" x14ac:dyDescent="0.3">
      <c r="A22130" s="12"/>
    </row>
    <row r="22131" spans="1:1" x14ac:dyDescent="0.3">
      <c r="A22131" s="12"/>
    </row>
    <row r="22132" spans="1:1" x14ac:dyDescent="0.3">
      <c r="A22132" s="12"/>
    </row>
    <row r="22133" spans="1:1" x14ac:dyDescent="0.3">
      <c r="A22133" s="12"/>
    </row>
    <row r="22134" spans="1:1" x14ac:dyDescent="0.3">
      <c r="A22134" s="12"/>
    </row>
    <row r="22135" spans="1:1" x14ac:dyDescent="0.3">
      <c r="A22135" s="12"/>
    </row>
    <row r="22136" spans="1:1" x14ac:dyDescent="0.3">
      <c r="A22136" s="12"/>
    </row>
    <row r="22137" spans="1:1" x14ac:dyDescent="0.3">
      <c r="A22137" s="12"/>
    </row>
    <row r="22138" spans="1:1" x14ac:dyDescent="0.3">
      <c r="A22138" s="12"/>
    </row>
    <row r="22139" spans="1:1" x14ac:dyDescent="0.3">
      <c r="A22139" s="12"/>
    </row>
    <row r="22140" spans="1:1" x14ac:dyDescent="0.3">
      <c r="A22140" s="12"/>
    </row>
    <row r="22141" spans="1:1" x14ac:dyDescent="0.3">
      <c r="A22141" s="12"/>
    </row>
    <row r="22142" spans="1:1" x14ac:dyDescent="0.3">
      <c r="A22142" s="12"/>
    </row>
    <row r="22143" spans="1:1" x14ac:dyDescent="0.3">
      <c r="A22143" s="12"/>
    </row>
    <row r="22144" spans="1:1" x14ac:dyDescent="0.3">
      <c r="A22144" s="12"/>
    </row>
    <row r="22145" spans="1:1" x14ac:dyDescent="0.3">
      <c r="A22145" s="12"/>
    </row>
    <row r="22146" spans="1:1" x14ac:dyDescent="0.3">
      <c r="A22146" s="12"/>
    </row>
    <row r="22147" spans="1:1" x14ac:dyDescent="0.3">
      <c r="A22147" s="12"/>
    </row>
    <row r="22148" spans="1:1" x14ac:dyDescent="0.3">
      <c r="A22148" s="12"/>
    </row>
    <row r="22149" spans="1:1" x14ac:dyDescent="0.3">
      <c r="A22149" s="12"/>
    </row>
    <row r="22150" spans="1:1" x14ac:dyDescent="0.3">
      <c r="A22150" s="12"/>
    </row>
    <row r="22151" spans="1:1" x14ac:dyDescent="0.3">
      <c r="A22151" s="12"/>
    </row>
    <row r="22152" spans="1:1" x14ac:dyDescent="0.3">
      <c r="A22152" s="12"/>
    </row>
    <row r="22153" spans="1:1" x14ac:dyDescent="0.3">
      <c r="A22153" s="12"/>
    </row>
    <row r="22154" spans="1:1" x14ac:dyDescent="0.3">
      <c r="A22154" s="12"/>
    </row>
    <row r="22155" spans="1:1" x14ac:dyDescent="0.3">
      <c r="A22155" s="12"/>
    </row>
    <row r="22156" spans="1:1" x14ac:dyDescent="0.3">
      <c r="A22156" s="12"/>
    </row>
    <row r="22157" spans="1:1" x14ac:dyDescent="0.3">
      <c r="A22157" s="12"/>
    </row>
    <row r="22158" spans="1:1" x14ac:dyDescent="0.3">
      <c r="A22158" s="12"/>
    </row>
    <row r="22159" spans="1:1" x14ac:dyDescent="0.3">
      <c r="A22159" s="12"/>
    </row>
    <row r="22160" spans="1:1" x14ac:dyDescent="0.3">
      <c r="A22160" s="12"/>
    </row>
    <row r="22161" spans="1:1" x14ac:dyDescent="0.3">
      <c r="A22161" s="12"/>
    </row>
    <row r="22162" spans="1:1" x14ac:dyDescent="0.3">
      <c r="A22162" s="12"/>
    </row>
    <row r="22163" spans="1:1" x14ac:dyDescent="0.3">
      <c r="A22163" s="12"/>
    </row>
    <row r="22164" spans="1:1" x14ac:dyDescent="0.3">
      <c r="A22164" s="12"/>
    </row>
    <row r="22165" spans="1:1" x14ac:dyDescent="0.3">
      <c r="A22165" s="12"/>
    </row>
    <row r="22166" spans="1:1" x14ac:dyDescent="0.3">
      <c r="A22166" s="12"/>
    </row>
    <row r="22167" spans="1:1" x14ac:dyDescent="0.3">
      <c r="A22167" s="12"/>
    </row>
    <row r="22168" spans="1:1" x14ac:dyDescent="0.3">
      <c r="A22168" s="12"/>
    </row>
    <row r="22169" spans="1:1" x14ac:dyDescent="0.3">
      <c r="A22169" s="12"/>
    </row>
    <row r="22170" spans="1:1" x14ac:dyDescent="0.3">
      <c r="A22170" s="12"/>
    </row>
    <row r="22171" spans="1:1" x14ac:dyDescent="0.3">
      <c r="A22171" s="12"/>
    </row>
    <row r="22172" spans="1:1" x14ac:dyDescent="0.3">
      <c r="A22172" s="12"/>
    </row>
    <row r="22173" spans="1:1" x14ac:dyDescent="0.3">
      <c r="A22173" s="12"/>
    </row>
    <row r="22174" spans="1:1" x14ac:dyDescent="0.3">
      <c r="A22174" s="12"/>
    </row>
    <row r="22175" spans="1:1" x14ac:dyDescent="0.3">
      <c r="A22175" s="12"/>
    </row>
    <row r="22176" spans="1:1" x14ac:dyDescent="0.3">
      <c r="A22176" s="12"/>
    </row>
    <row r="22177" spans="1:1" x14ac:dyDescent="0.3">
      <c r="A22177" s="12"/>
    </row>
    <row r="22178" spans="1:1" x14ac:dyDescent="0.3">
      <c r="A22178" s="12"/>
    </row>
    <row r="22179" spans="1:1" x14ac:dyDescent="0.3">
      <c r="A22179" s="12"/>
    </row>
    <row r="22180" spans="1:1" x14ac:dyDescent="0.3">
      <c r="A22180" s="12"/>
    </row>
    <row r="22181" spans="1:1" x14ac:dyDescent="0.3">
      <c r="A22181" s="12"/>
    </row>
    <row r="22182" spans="1:1" x14ac:dyDescent="0.3">
      <c r="A22182" s="12"/>
    </row>
    <row r="22183" spans="1:1" x14ac:dyDescent="0.3">
      <c r="A22183" s="12"/>
    </row>
    <row r="22184" spans="1:1" x14ac:dyDescent="0.3">
      <c r="A22184" s="12"/>
    </row>
    <row r="22185" spans="1:1" x14ac:dyDescent="0.3">
      <c r="A22185" s="12"/>
    </row>
    <row r="22186" spans="1:1" x14ac:dyDescent="0.3">
      <c r="A22186" s="12"/>
    </row>
    <row r="22187" spans="1:1" x14ac:dyDescent="0.3">
      <c r="A22187" s="12"/>
    </row>
    <row r="22188" spans="1:1" x14ac:dyDescent="0.3">
      <c r="A22188" s="12"/>
    </row>
    <row r="22189" spans="1:1" x14ac:dyDescent="0.3">
      <c r="A22189" s="12"/>
    </row>
    <row r="22190" spans="1:1" x14ac:dyDescent="0.3">
      <c r="A22190" s="12"/>
    </row>
    <row r="22191" spans="1:1" x14ac:dyDescent="0.3">
      <c r="A22191" s="12"/>
    </row>
    <row r="22192" spans="1:1" x14ac:dyDescent="0.3">
      <c r="A22192" s="12"/>
    </row>
    <row r="22193" spans="1:1" x14ac:dyDescent="0.3">
      <c r="A22193" s="12"/>
    </row>
    <row r="22194" spans="1:1" x14ac:dyDescent="0.3">
      <c r="A22194" s="12"/>
    </row>
    <row r="22195" spans="1:1" x14ac:dyDescent="0.3">
      <c r="A22195" s="12"/>
    </row>
    <row r="22196" spans="1:1" x14ac:dyDescent="0.3">
      <c r="A22196" s="12"/>
    </row>
    <row r="22197" spans="1:1" x14ac:dyDescent="0.3">
      <c r="A22197" s="12"/>
    </row>
    <row r="22198" spans="1:1" x14ac:dyDescent="0.3">
      <c r="A22198" s="12"/>
    </row>
    <row r="22199" spans="1:1" x14ac:dyDescent="0.3">
      <c r="A22199" s="12"/>
    </row>
    <row r="22200" spans="1:1" x14ac:dyDescent="0.3">
      <c r="A22200" s="12"/>
    </row>
    <row r="22201" spans="1:1" x14ac:dyDescent="0.3">
      <c r="A22201" s="12"/>
    </row>
    <row r="22202" spans="1:1" x14ac:dyDescent="0.3">
      <c r="A22202" s="12"/>
    </row>
    <row r="22203" spans="1:1" x14ac:dyDescent="0.3">
      <c r="A22203" s="12"/>
    </row>
    <row r="22204" spans="1:1" x14ac:dyDescent="0.3">
      <c r="A22204" s="12"/>
    </row>
    <row r="22205" spans="1:1" x14ac:dyDescent="0.3">
      <c r="A22205" s="12"/>
    </row>
    <row r="22206" spans="1:1" x14ac:dyDescent="0.3">
      <c r="A22206" s="12"/>
    </row>
    <row r="22207" spans="1:1" x14ac:dyDescent="0.3">
      <c r="A22207" s="12"/>
    </row>
    <row r="22208" spans="1:1" x14ac:dyDescent="0.3">
      <c r="A22208" s="12"/>
    </row>
    <row r="22209" spans="1:1" x14ac:dyDescent="0.3">
      <c r="A22209" s="12"/>
    </row>
    <row r="22210" spans="1:1" x14ac:dyDescent="0.3">
      <c r="A22210" s="12"/>
    </row>
    <row r="22211" spans="1:1" x14ac:dyDescent="0.3">
      <c r="A22211" s="12"/>
    </row>
    <row r="22212" spans="1:1" x14ac:dyDescent="0.3">
      <c r="A22212" s="12"/>
    </row>
    <row r="22213" spans="1:1" x14ac:dyDescent="0.3">
      <c r="A22213" s="12"/>
    </row>
    <row r="22214" spans="1:1" x14ac:dyDescent="0.3">
      <c r="A22214" s="12"/>
    </row>
    <row r="22215" spans="1:1" x14ac:dyDescent="0.3">
      <c r="A22215" s="12"/>
    </row>
    <row r="22216" spans="1:1" x14ac:dyDescent="0.3">
      <c r="A22216" s="12"/>
    </row>
    <row r="22217" spans="1:1" x14ac:dyDescent="0.3">
      <c r="A22217" s="12"/>
    </row>
    <row r="22218" spans="1:1" x14ac:dyDescent="0.3">
      <c r="A22218" s="12"/>
    </row>
    <row r="22219" spans="1:1" x14ac:dyDescent="0.3">
      <c r="A22219" s="12"/>
    </row>
    <row r="22220" spans="1:1" x14ac:dyDescent="0.3">
      <c r="A22220" s="12"/>
    </row>
    <row r="22221" spans="1:1" x14ac:dyDescent="0.3">
      <c r="A22221" s="12"/>
    </row>
    <row r="22222" spans="1:1" x14ac:dyDescent="0.3">
      <c r="A22222" s="12"/>
    </row>
    <row r="22223" spans="1:1" x14ac:dyDescent="0.3">
      <c r="A22223" s="12"/>
    </row>
    <row r="22224" spans="1:1" x14ac:dyDescent="0.3">
      <c r="A22224" s="12"/>
    </row>
    <row r="22225" spans="1:1" x14ac:dyDescent="0.3">
      <c r="A22225" s="12"/>
    </row>
    <row r="22226" spans="1:1" x14ac:dyDescent="0.3">
      <c r="A22226" s="12"/>
    </row>
    <row r="22227" spans="1:1" x14ac:dyDescent="0.3">
      <c r="A22227" s="12"/>
    </row>
    <row r="22228" spans="1:1" x14ac:dyDescent="0.3">
      <c r="A22228" s="12"/>
    </row>
    <row r="22229" spans="1:1" x14ac:dyDescent="0.3">
      <c r="A22229" s="12"/>
    </row>
    <row r="22230" spans="1:1" x14ac:dyDescent="0.3">
      <c r="A22230" s="12"/>
    </row>
    <row r="22231" spans="1:1" x14ac:dyDescent="0.3">
      <c r="A22231" s="12"/>
    </row>
    <row r="22232" spans="1:1" x14ac:dyDescent="0.3">
      <c r="A22232" s="12"/>
    </row>
    <row r="22233" spans="1:1" x14ac:dyDescent="0.3">
      <c r="A22233" s="12"/>
    </row>
    <row r="22234" spans="1:1" x14ac:dyDescent="0.3">
      <c r="A22234" s="12"/>
    </row>
    <row r="22235" spans="1:1" x14ac:dyDescent="0.3">
      <c r="A22235" s="12"/>
    </row>
    <row r="22236" spans="1:1" x14ac:dyDescent="0.3">
      <c r="A22236" s="12"/>
    </row>
    <row r="22237" spans="1:1" x14ac:dyDescent="0.3">
      <c r="A22237" s="12"/>
    </row>
    <row r="22238" spans="1:1" x14ac:dyDescent="0.3">
      <c r="A22238" s="12"/>
    </row>
    <row r="22239" spans="1:1" x14ac:dyDescent="0.3">
      <c r="A22239" s="12"/>
    </row>
    <row r="22240" spans="1:1" x14ac:dyDescent="0.3">
      <c r="A22240" s="12"/>
    </row>
    <row r="22241" spans="1:1" x14ac:dyDescent="0.3">
      <c r="A22241" s="12"/>
    </row>
    <row r="22242" spans="1:1" x14ac:dyDescent="0.3">
      <c r="A22242" s="12"/>
    </row>
    <row r="22243" spans="1:1" x14ac:dyDescent="0.3">
      <c r="A22243" s="12"/>
    </row>
    <row r="22244" spans="1:1" x14ac:dyDescent="0.3">
      <c r="A22244" s="12"/>
    </row>
    <row r="22245" spans="1:1" x14ac:dyDescent="0.3">
      <c r="A22245" s="12"/>
    </row>
    <row r="22246" spans="1:1" x14ac:dyDescent="0.3">
      <c r="A22246" s="12"/>
    </row>
    <row r="22247" spans="1:1" x14ac:dyDescent="0.3">
      <c r="A22247" s="12"/>
    </row>
    <row r="22248" spans="1:1" x14ac:dyDescent="0.3">
      <c r="A22248" s="12"/>
    </row>
    <row r="22249" spans="1:1" x14ac:dyDescent="0.3">
      <c r="A22249" s="12"/>
    </row>
    <row r="22250" spans="1:1" x14ac:dyDescent="0.3">
      <c r="A22250" s="12"/>
    </row>
    <row r="22251" spans="1:1" x14ac:dyDescent="0.3">
      <c r="A22251" s="12"/>
    </row>
    <row r="22252" spans="1:1" x14ac:dyDescent="0.3">
      <c r="A22252" s="12"/>
    </row>
    <row r="22253" spans="1:1" x14ac:dyDescent="0.3">
      <c r="A22253" s="12"/>
    </row>
    <row r="22254" spans="1:1" x14ac:dyDescent="0.3">
      <c r="A22254" s="12"/>
    </row>
    <row r="22255" spans="1:1" x14ac:dyDescent="0.3">
      <c r="A22255" s="12"/>
    </row>
    <row r="22256" spans="1:1" x14ac:dyDescent="0.3">
      <c r="A22256" s="12"/>
    </row>
    <row r="22257" spans="1:1" x14ac:dyDescent="0.3">
      <c r="A22257" s="12"/>
    </row>
    <row r="22258" spans="1:1" x14ac:dyDescent="0.3">
      <c r="A22258" s="12"/>
    </row>
    <row r="22259" spans="1:1" x14ac:dyDescent="0.3">
      <c r="A22259" s="12"/>
    </row>
    <row r="22260" spans="1:1" x14ac:dyDescent="0.3">
      <c r="A22260" s="12"/>
    </row>
    <row r="22261" spans="1:1" x14ac:dyDescent="0.3">
      <c r="A22261" s="12"/>
    </row>
    <row r="22262" spans="1:1" x14ac:dyDescent="0.3">
      <c r="A22262" s="12"/>
    </row>
    <row r="22263" spans="1:1" x14ac:dyDescent="0.3">
      <c r="A22263" s="12"/>
    </row>
    <row r="22264" spans="1:1" x14ac:dyDescent="0.3">
      <c r="A22264" s="12"/>
    </row>
    <row r="22265" spans="1:1" x14ac:dyDescent="0.3">
      <c r="A22265" s="12"/>
    </row>
    <row r="22266" spans="1:1" x14ac:dyDescent="0.3">
      <c r="A22266" s="12"/>
    </row>
    <row r="22267" spans="1:1" x14ac:dyDescent="0.3">
      <c r="A22267" s="12"/>
    </row>
    <row r="22268" spans="1:1" x14ac:dyDescent="0.3">
      <c r="A22268" s="12"/>
    </row>
    <row r="22269" spans="1:1" x14ac:dyDescent="0.3">
      <c r="A22269" s="12"/>
    </row>
    <row r="22270" spans="1:1" x14ac:dyDescent="0.3">
      <c r="A22270" s="12"/>
    </row>
    <row r="22271" spans="1:1" x14ac:dyDescent="0.3">
      <c r="A22271" s="12"/>
    </row>
    <row r="22272" spans="1:1" x14ac:dyDescent="0.3">
      <c r="A22272" s="12"/>
    </row>
    <row r="22273" spans="1:1" x14ac:dyDescent="0.3">
      <c r="A22273" s="12"/>
    </row>
    <row r="22274" spans="1:1" x14ac:dyDescent="0.3">
      <c r="A22274" s="12"/>
    </row>
    <row r="22275" spans="1:1" x14ac:dyDescent="0.3">
      <c r="A22275" s="12"/>
    </row>
    <row r="22276" spans="1:1" x14ac:dyDescent="0.3">
      <c r="A22276" s="12"/>
    </row>
    <row r="22277" spans="1:1" x14ac:dyDescent="0.3">
      <c r="A22277" s="12"/>
    </row>
    <row r="22278" spans="1:1" x14ac:dyDescent="0.3">
      <c r="A22278" s="12"/>
    </row>
    <row r="22279" spans="1:1" x14ac:dyDescent="0.3">
      <c r="A22279" s="12"/>
    </row>
    <row r="22280" spans="1:1" x14ac:dyDescent="0.3">
      <c r="A22280" s="12"/>
    </row>
    <row r="22281" spans="1:1" x14ac:dyDescent="0.3">
      <c r="A22281" s="12"/>
    </row>
    <row r="22282" spans="1:1" x14ac:dyDescent="0.3">
      <c r="A22282" s="12"/>
    </row>
    <row r="22283" spans="1:1" x14ac:dyDescent="0.3">
      <c r="A22283" s="12"/>
    </row>
    <row r="22284" spans="1:1" x14ac:dyDescent="0.3">
      <c r="A22284" s="12"/>
    </row>
    <row r="22285" spans="1:1" x14ac:dyDescent="0.3">
      <c r="A22285" s="12"/>
    </row>
    <row r="22286" spans="1:1" x14ac:dyDescent="0.3">
      <c r="A22286" s="12"/>
    </row>
    <row r="22287" spans="1:1" x14ac:dyDescent="0.3">
      <c r="A22287" s="12"/>
    </row>
    <row r="22288" spans="1:1" x14ac:dyDescent="0.3">
      <c r="A22288" s="12"/>
    </row>
    <row r="22289" spans="1:1" x14ac:dyDescent="0.3">
      <c r="A22289" s="12"/>
    </row>
    <row r="22290" spans="1:1" x14ac:dyDescent="0.3">
      <c r="A22290" s="12"/>
    </row>
    <row r="22291" spans="1:1" x14ac:dyDescent="0.3">
      <c r="A22291" s="12"/>
    </row>
    <row r="22292" spans="1:1" x14ac:dyDescent="0.3">
      <c r="A22292" s="12"/>
    </row>
    <row r="22293" spans="1:1" x14ac:dyDescent="0.3">
      <c r="A22293" s="12"/>
    </row>
    <row r="22294" spans="1:1" x14ac:dyDescent="0.3">
      <c r="A22294" s="12"/>
    </row>
    <row r="22295" spans="1:1" x14ac:dyDescent="0.3">
      <c r="A22295" s="12"/>
    </row>
    <row r="22296" spans="1:1" x14ac:dyDescent="0.3">
      <c r="A22296" s="12"/>
    </row>
    <row r="22297" spans="1:1" x14ac:dyDescent="0.3">
      <c r="A22297" s="12"/>
    </row>
    <row r="22298" spans="1:1" x14ac:dyDescent="0.3">
      <c r="A22298" s="12"/>
    </row>
    <row r="22299" spans="1:1" x14ac:dyDescent="0.3">
      <c r="A22299" s="12"/>
    </row>
    <row r="22300" spans="1:1" x14ac:dyDescent="0.3">
      <c r="A22300" s="12"/>
    </row>
    <row r="22301" spans="1:1" x14ac:dyDescent="0.3">
      <c r="A22301" s="12"/>
    </row>
    <row r="22302" spans="1:1" x14ac:dyDescent="0.3">
      <c r="A22302" s="12"/>
    </row>
    <row r="22303" spans="1:1" x14ac:dyDescent="0.3">
      <c r="A22303" s="12"/>
    </row>
    <row r="22304" spans="1:1" x14ac:dyDescent="0.3">
      <c r="A22304" s="12"/>
    </row>
    <row r="22305" spans="1:1" x14ac:dyDescent="0.3">
      <c r="A22305" s="12"/>
    </row>
    <row r="22306" spans="1:1" x14ac:dyDescent="0.3">
      <c r="A22306" s="12"/>
    </row>
    <row r="22307" spans="1:1" x14ac:dyDescent="0.3">
      <c r="A22307" s="12"/>
    </row>
    <row r="22308" spans="1:1" x14ac:dyDescent="0.3">
      <c r="A22308" s="12"/>
    </row>
    <row r="22309" spans="1:1" x14ac:dyDescent="0.3">
      <c r="A22309" s="12"/>
    </row>
    <row r="22310" spans="1:1" x14ac:dyDescent="0.3">
      <c r="A22310" s="12"/>
    </row>
    <row r="22311" spans="1:1" x14ac:dyDescent="0.3">
      <c r="A22311" s="12"/>
    </row>
    <row r="22312" spans="1:1" x14ac:dyDescent="0.3">
      <c r="A22312" s="12"/>
    </row>
    <row r="22313" spans="1:1" x14ac:dyDescent="0.3">
      <c r="A22313" s="12"/>
    </row>
    <row r="22314" spans="1:1" x14ac:dyDescent="0.3">
      <c r="A22314" s="12"/>
    </row>
    <row r="22315" spans="1:1" x14ac:dyDescent="0.3">
      <c r="A22315" s="12"/>
    </row>
    <row r="22316" spans="1:1" x14ac:dyDescent="0.3">
      <c r="A22316" s="12"/>
    </row>
    <row r="22317" spans="1:1" x14ac:dyDescent="0.3">
      <c r="A22317" s="12"/>
    </row>
    <row r="22318" spans="1:1" x14ac:dyDescent="0.3">
      <c r="A22318" s="12"/>
    </row>
    <row r="22319" spans="1:1" x14ac:dyDescent="0.3">
      <c r="A22319" s="12"/>
    </row>
    <row r="22320" spans="1:1" x14ac:dyDescent="0.3">
      <c r="A22320" s="12"/>
    </row>
    <row r="22321" spans="1:1" x14ac:dyDescent="0.3">
      <c r="A22321" s="12"/>
    </row>
    <row r="22322" spans="1:1" x14ac:dyDescent="0.3">
      <c r="A22322" s="12"/>
    </row>
    <row r="22323" spans="1:1" x14ac:dyDescent="0.3">
      <c r="A22323" s="12"/>
    </row>
    <row r="22324" spans="1:1" x14ac:dyDescent="0.3">
      <c r="A22324" s="12"/>
    </row>
    <row r="22325" spans="1:1" x14ac:dyDescent="0.3">
      <c r="A22325" s="12"/>
    </row>
    <row r="22326" spans="1:1" x14ac:dyDescent="0.3">
      <c r="A22326" s="12"/>
    </row>
    <row r="22327" spans="1:1" x14ac:dyDescent="0.3">
      <c r="A22327" s="12"/>
    </row>
    <row r="22328" spans="1:1" x14ac:dyDescent="0.3">
      <c r="A22328" s="12"/>
    </row>
    <row r="22329" spans="1:1" x14ac:dyDescent="0.3">
      <c r="A22329" s="12"/>
    </row>
    <row r="22330" spans="1:1" x14ac:dyDescent="0.3">
      <c r="A22330" s="12"/>
    </row>
    <row r="22331" spans="1:1" x14ac:dyDescent="0.3">
      <c r="A22331" s="12"/>
    </row>
    <row r="22332" spans="1:1" x14ac:dyDescent="0.3">
      <c r="A22332" s="12"/>
    </row>
    <row r="22333" spans="1:1" x14ac:dyDescent="0.3">
      <c r="A22333" s="12"/>
    </row>
    <row r="22334" spans="1:1" x14ac:dyDescent="0.3">
      <c r="A22334" s="12"/>
    </row>
    <row r="22335" spans="1:1" x14ac:dyDescent="0.3">
      <c r="A22335" s="12"/>
    </row>
    <row r="22336" spans="1:1" x14ac:dyDescent="0.3">
      <c r="A22336" s="12"/>
    </row>
    <row r="22337" spans="1:1" x14ac:dyDescent="0.3">
      <c r="A22337" s="12"/>
    </row>
    <row r="22338" spans="1:1" x14ac:dyDescent="0.3">
      <c r="A22338" s="12"/>
    </row>
    <row r="22339" spans="1:1" x14ac:dyDescent="0.3">
      <c r="A22339" s="12"/>
    </row>
    <row r="22340" spans="1:1" x14ac:dyDescent="0.3">
      <c r="A22340" s="12"/>
    </row>
    <row r="22341" spans="1:1" x14ac:dyDescent="0.3">
      <c r="A22341" s="12"/>
    </row>
    <row r="22342" spans="1:1" x14ac:dyDescent="0.3">
      <c r="A22342" s="12"/>
    </row>
    <row r="22343" spans="1:1" x14ac:dyDescent="0.3">
      <c r="A22343" s="12"/>
    </row>
    <row r="22344" spans="1:1" x14ac:dyDescent="0.3">
      <c r="A22344" s="12"/>
    </row>
    <row r="22345" spans="1:1" x14ac:dyDescent="0.3">
      <c r="A22345" s="12"/>
    </row>
    <row r="22346" spans="1:1" x14ac:dyDescent="0.3">
      <c r="A22346" s="12"/>
    </row>
    <row r="22347" spans="1:1" x14ac:dyDescent="0.3">
      <c r="A22347" s="12"/>
    </row>
    <row r="22348" spans="1:1" x14ac:dyDescent="0.3">
      <c r="A22348" s="12"/>
    </row>
    <row r="22349" spans="1:1" x14ac:dyDescent="0.3">
      <c r="A22349" s="12"/>
    </row>
    <row r="22350" spans="1:1" x14ac:dyDescent="0.3">
      <c r="A22350" s="12"/>
    </row>
    <row r="22351" spans="1:1" x14ac:dyDescent="0.3">
      <c r="A22351" s="12"/>
    </row>
    <row r="22352" spans="1:1" x14ac:dyDescent="0.3">
      <c r="A22352" s="12"/>
    </row>
    <row r="22353" spans="1:1" x14ac:dyDescent="0.3">
      <c r="A22353" s="12"/>
    </row>
    <row r="22354" spans="1:1" x14ac:dyDescent="0.3">
      <c r="A22354" s="12"/>
    </row>
    <row r="22355" spans="1:1" x14ac:dyDescent="0.3">
      <c r="A22355" s="12"/>
    </row>
    <row r="22356" spans="1:1" x14ac:dyDescent="0.3">
      <c r="A22356" s="12"/>
    </row>
    <row r="22357" spans="1:1" x14ac:dyDescent="0.3">
      <c r="A22357" s="12"/>
    </row>
    <row r="22358" spans="1:1" x14ac:dyDescent="0.3">
      <c r="A22358" s="12"/>
    </row>
    <row r="22359" spans="1:1" x14ac:dyDescent="0.3">
      <c r="A22359" s="12"/>
    </row>
    <row r="22360" spans="1:1" x14ac:dyDescent="0.3">
      <c r="A22360" s="12"/>
    </row>
    <row r="22361" spans="1:1" x14ac:dyDescent="0.3">
      <c r="A22361" s="12"/>
    </row>
    <row r="22362" spans="1:1" x14ac:dyDescent="0.3">
      <c r="A22362" s="12"/>
    </row>
    <row r="22363" spans="1:1" x14ac:dyDescent="0.3">
      <c r="A22363" s="12"/>
    </row>
    <row r="22364" spans="1:1" x14ac:dyDescent="0.3">
      <c r="A22364" s="12"/>
    </row>
    <row r="22365" spans="1:1" x14ac:dyDescent="0.3">
      <c r="A22365" s="12"/>
    </row>
    <row r="22366" spans="1:1" x14ac:dyDescent="0.3">
      <c r="A22366" s="12"/>
    </row>
    <row r="22367" spans="1:1" x14ac:dyDescent="0.3">
      <c r="A22367" s="12"/>
    </row>
    <row r="22368" spans="1:1" x14ac:dyDescent="0.3">
      <c r="A22368" s="12"/>
    </row>
    <row r="22369" spans="1:1" x14ac:dyDescent="0.3">
      <c r="A22369" s="12"/>
    </row>
    <row r="22370" spans="1:1" x14ac:dyDescent="0.3">
      <c r="A22370" s="12"/>
    </row>
    <row r="22371" spans="1:1" x14ac:dyDescent="0.3">
      <c r="A22371" s="12"/>
    </row>
    <row r="22372" spans="1:1" x14ac:dyDescent="0.3">
      <c r="A22372" s="12"/>
    </row>
    <row r="22373" spans="1:1" x14ac:dyDescent="0.3">
      <c r="A22373" s="12"/>
    </row>
    <row r="22374" spans="1:1" x14ac:dyDescent="0.3">
      <c r="A22374" s="12"/>
    </row>
    <row r="22375" spans="1:1" x14ac:dyDescent="0.3">
      <c r="A22375" s="12"/>
    </row>
    <row r="22376" spans="1:1" x14ac:dyDescent="0.3">
      <c r="A22376" s="12"/>
    </row>
    <row r="22377" spans="1:1" x14ac:dyDescent="0.3">
      <c r="A22377" s="12"/>
    </row>
    <row r="22378" spans="1:1" x14ac:dyDescent="0.3">
      <c r="A22378" s="12"/>
    </row>
    <row r="22379" spans="1:1" x14ac:dyDescent="0.3">
      <c r="A22379" s="12"/>
    </row>
    <row r="22380" spans="1:1" x14ac:dyDescent="0.3">
      <c r="A22380" s="12"/>
    </row>
    <row r="22381" spans="1:1" x14ac:dyDescent="0.3">
      <c r="A22381" s="12"/>
    </row>
    <row r="22382" spans="1:1" x14ac:dyDescent="0.3">
      <c r="A22382" s="12"/>
    </row>
    <row r="22383" spans="1:1" x14ac:dyDescent="0.3">
      <c r="A22383" s="12"/>
    </row>
    <row r="22384" spans="1:1" x14ac:dyDescent="0.3">
      <c r="A22384" s="12"/>
    </row>
    <row r="22385" spans="1:1" x14ac:dyDescent="0.3">
      <c r="A22385" s="12"/>
    </row>
    <row r="22386" spans="1:1" x14ac:dyDescent="0.3">
      <c r="A22386" s="12"/>
    </row>
    <row r="22387" spans="1:1" x14ac:dyDescent="0.3">
      <c r="A22387" s="12"/>
    </row>
    <row r="22388" spans="1:1" x14ac:dyDescent="0.3">
      <c r="A22388" s="12"/>
    </row>
    <row r="22389" spans="1:1" x14ac:dyDescent="0.3">
      <c r="A22389" s="12"/>
    </row>
    <row r="22390" spans="1:1" x14ac:dyDescent="0.3">
      <c r="A22390" s="12"/>
    </row>
    <row r="22391" spans="1:1" x14ac:dyDescent="0.3">
      <c r="A22391" s="12"/>
    </row>
    <row r="22392" spans="1:1" x14ac:dyDescent="0.3">
      <c r="A22392" s="12"/>
    </row>
    <row r="22393" spans="1:1" x14ac:dyDescent="0.3">
      <c r="A22393" s="12"/>
    </row>
    <row r="22394" spans="1:1" x14ac:dyDescent="0.3">
      <c r="A22394" s="12"/>
    </row>
    <row r="22395" spans="1:1" x14ac:dyDescent="0.3">
      <c r="A22395" s="12"/>
    </row>
    <row r="22396" spans="1:1" x14ac:dyDescent="0.3">
      <c r="A22396" s="12"/>
    </row>
    <row r="22397" spans="1:1" x14ac:dyDescent="0.3">
      <c r="A22397" s="12"/>
    </row>
    <row r="22398" spans="1:1" x14ac:dyDescent="0.3">
      <c r="A22398" s="12"/>
    </row>
    <row r="22399" spans="1:1" x14ac:dyDescent="0.3">
      <c r="A22399" s="12"/>
    </row>
    <row r="22400" spans="1:1" x14ac:dyDescent="0.3">
      <c r="A22400" s="12"/>
    </row>
    <row r="22401" spans="1:1" x14ac:dyDescent="0.3">
      <c r="A22401" s="12"/>
    </row>
    <row r="22402" spans="1:1" x14ac:dyDescent="0.3">
      <c r="A22402" s="12"/>
    </row>
    <row r="22403" spans="1:1" x14ac:dyDescent="0.3">
      <c r="A22403" s="12"/>
    </row>
    <row r="22404" spans="1:1" x14ac:dyDescent="0.3">
      <c r="A22404" s="12"/>
    </row>
    <row r="22405" spans="1:1" x14ac:dyDescent="0.3">
      <c r="A22405" s="12"/>
    </row>
    <row r="22406" spans="1:1" x14ac:dyDescent="0.3">
      <c r="A22406" s="12"/>
    </row>
    <row r="22407" spans="1:1" x14ac:dyDescent="0.3">
      <c r="A22407" s="12"/>
    </row>
    <row r="22408" spans="1:1" x14ac:dyDescent="0.3">
      <c r="A22408" s="12"/>
    </row>
    <row r="22409" spans="1:1" x14ac:dyDescent="0.3">
      <c r="A22409" s="12"/>
    </row>
    <row r="22410" spans="1:1" x14ac:dyDescent="0.3">
      <c r="A22410" s="12"/>
    </row>
    <row r="22411" spans="1:1" x14ac:dyDescent="0.3">
      <c r="A22411" s="12"/>
    </row>
    <row r="22412" spans="1:1" x14ac:dyDescent="0.3">
      <c r="A22412" s="12"/>
    </row>
    <row r="22413" spans="1:1" x14ac:dyDescent="0.3">
      <c r="A22413" s="12"/>
    </row>
    <row r="22414" spans="1:1" x14ac:dyDescent="0.3">
      <c r="A22414" s="12"/>
    </row>
    <row r="22415" spans="1:1" x14ac:dyDescent="0.3">
      <c r="A22415" s="12"/>
    </row>
    <row r="22416" spans="1:1" x14ac:dyDescent="0.3">
      <c r="A22416" s="12"/>
    </row>
    <row r="22417" spans="1:1" x14ac:dyDescent="0.3">
      <c r="A22417" s="12"/>
    </row>
    <row r="22418" spans="1:1" x14ac:dyDescent="0.3">
      <c r="A22418" s="12"/>
    </row>
    <row r="22419" spans="1:1" x14ac:dyDescent="0.3">
      <c r="A22419" s="12"/>
    </row>
    <row r="22420" spans="1:1" x14ac:dyDescent="0.3">
      <c r="A22420" s="12"/>
    </row>
    <row r="22421" spans="1:1" x14ac:dyDescent="0.3">
      <c r="A22421" s="12"/>
    </row>
    <row r="22422" spans="1:1" x14ac:dyDescent="0.3">
      <c r="A22422" s="12"/>
    </row>
    <row r="22423" spans="1:1" x14ac:dyDescent="0.3">
      <c r="A22423" s="12"/>
    </row>
    <row r="22424" spans="1:1" x14ac:dyDescent="0.3">
      <c r="A22424" s="12"/>
    </row>
    <row r="22425" spans="1:1" x14ac:dyDescent="0.3">
      <c r="A22425" s="12"/>
    </row>
    <row r="22426" spans="1:1" x14ac:dyDescent="0.3">
      <c r="A22426" s="12"/>
    </row>
    <row r="22427" spans="1:1" x14ac:dyDescent="0.3">
      <c r="A22427" s="12"/>
    </row>
    <row r="22428" spans="1:1" x14ac:dyDescent="0.3">
      <c r="A22428" s="12"/>
    </row>
    <row r="22429" spans="1:1" x14ac:dyDescent="0.3">
      <c r="A22429" s="12"/>
    </row>
    <row r="22430" spans="1:1" x14ac:dyDescent="0.3">
      <c r="A22430" s="12"/>
    </row>
    <row r="22431" spans="1:1" x14ac:dyDescent="0.3">
      <c r="A22431" s="12"/>
    </row>
    <row r="22432" spans="1:1" x14ac:dyDescent="0.3">
      <c r="A22432" s="12"/>
    </row>
    <row r="22433" spans="1:1" x14ac:dyDescent="0.3">
      <c r="A22433" s="12"/>
    </row>
    <row r="22434" spans="1:1" x14ac:dyDescent="0.3">
      <c r="A22434" s="12"/>
    </row>
    <row r="22435" spans="1:1" x14ac:dyDescent="0.3">
      <c r="A22435" s="12"/>
    </row>
    <row r="22436" spans="1:1" x14ac:dyDescent="0.3">
      <c r="A22436" s="12"/>
    </row>
    <row r="22437" spans="1:1" x14ac:dyDescent="0.3">
      <c r="A22437" s="12"/>
    </row>
    <row r="22438" spans="1:1" x14ac:dyDescent="0.3">
      <c r="A22438" s="12"/>
    </row>
    <row r="22439" spans="1:1" x14ac:dyDescent="0.3">
      <c r="A22439" s="12"/>
    </row>
    <row r="22440" spans="1:1" x14ac:dyDescent="0.3">
      <c r="A22440" s="12"/>
    </row>
    <row r="22441" spans="1:1" x14ac:dyDescent="0.3">
      <c r="A22441" s="12"/>
    </row>
    <row r="22442" spans="1:1" x14ac:dyDescent="0.3">
      <c r="A22442" s="12"/>
    </row>
    <row r="22443" spans="1:1" x14ac:dyDescent="0.3">
      <c r="A22443" s="12"/>
    </row>
    <row r="22444" spans="1:1" x14ac:dyDescent="0.3">
      <c r="A22444" s="12"/>
    </row>
    <row r="22445" spans="1:1" x14ac:dyDescent="0.3">
      <c r="A22445" s="12"/>
    </row>
    <row r="22446" spans="1:1" x14ac:dyDescent="0.3">
      <c r="A22446" s="12"/>
    </row>
    <row r="22447" spans="1:1" x14ac:dyDescent="0.3">
      <c r="A22447" s="12"/>
    </row>
    <row r="22448" spans="1:1" x14ac:dyDescent="0.3">
      <c r="A22448" s="12"/>
    </row>
    <row r="22449" spans="1:1" x14ac:dyDescent="0.3">
      <c r="A22449" s="12"/>
    </row>
    <row r="22450" spans="1:1" x14ac:dyDescent="0.3">
      <c r="A22450" s="12"/>
    </row>
    <row r="22451" spans="1:1" x14ac:dyDescent="0.3">
      <c r="A22451" s="12"/>
    </row>
    <row r="22452" spans="1:1" x14ac:dyDescent="0.3">
      <c r="A22452" s="12"/>
    </row>
    <row r="22453" spans="1:1" x14ac:dyDescent="0.3">
      <c r="A22453" s="12"/>
    </row>
    <row r="22454" spans="1:1" x14ac:dyDescent="0.3">
      <c r="A22454" s="12"/>
    </row>
    <row r="22455" spans="1:1" x14ac:dyDescent="0.3">
      <c r="A22455" s="12"/>
    </row>
    <row r="22456" spans="1:1" x14ac:dyDescent="0.3">
      <c r="A22456" s="12"/>
    </row>
    <row r="22457" spans="1:1" x14ac:dyDescent="0.3">
      <c r="A22457" s="12"/>
    </row>
    <row r="22458" spans="1:1" x14ac:dyDescent="0.3">
      <c r="A22458" s="12"/>
    </row>
    <row r="22459" spans="1:1" x14ac:dyDescent="0.3">
      <c r="A22459" s="12"/>
    </row>
    <row r="22460" spans="1:1" x14ac:dyDescent="0.3">
      <c r="A22460" s="12"/>
    </row>
    <row r="22461" spans="1:1" x14ac:dyDescent="0.3">
      <c r="A22461" s="12"/>
    </row>
    <row r="22462" spans="1:1" x14ac:dyDescent="0.3">
      <c r="A22462" s="12"/>
    </row>
    <row r="22463" spans="1:1" x14ac:dyDescent="0.3">
      <c r="A22463" s="12"/>
    </row>
    <row r="22464" spans="1:1" x14ac:dyDescent="0.3">
      <c r="A22464" s="12"/>
    </row>
    <row r="22465" spans="1:1" x14ac:dyDescent="0.3">
      <c r="A22465" s="12"/>
    </row>
    <row r="22466" spans="1:1" x14ac:dyDescent="0.3">
      <c r="A22466" s="12"/>
    </row>
    <row r="22467" spans="1:1" x14ac:dyDescent="0.3">
      <c r="A22467" s="12"/>
    </row>
    <row r="22468" spans="1:1" x14ac:dyDescent="0.3">
      <c r="A22468" s="12"/>
    </row>
    <row r="22469" spans="1:1" x14ac:dyDescent="0.3">
      <c r="A22469" s="12"/>
    </row>
    <row r="22470" spans="1:1" x14ac:dyDescent="0.3">
      <c r="A22470" s="12"/>
    </row>
    <row r="22471" spans="1:1" x14ac:dyDescent="0.3">
      <c r="A22471" s="12"/>
    </row>
    <row r="22472" spans="1:1" x14ac:dyDescent="0.3">
      <c r="A22472" s="12"/>
    </row>
    <row r="22473" spans="1:1" x14ac:dyDescent="0.3">
      <c r="A22473" s="12"/>
    </row>
    <row r="22474" spans="1:1" x14ac:dyDescent="0.3">
      <c r="A22474" s="12"/>
    </row>
    <row r="22475" spans="1:1" x14ac:dyDescent="0.3">
      <c r="A22475" s="12"/>
    </row>
    <row r="22476" spans="1:1" x14ac:dyDescent="0.3">
      <c r="A22476" s="12"/>
    </row>
    <row r="22477" spans="1:1" x14ac:dyDescent="0.3">
      <c r="A22477" s="12"/>
    </row>
    <row r="22478" spans="1:1" x14ac:dyDescent="0.3">
      <c r="A22478" s="12"/>
    </row>
    <row r="22479" spans="1:1" x14ac:dyDescent="0.3">
      <c r="A22479" s="12"/>
    </row>
    <row r="22480" spans="1:1" x14ac:dyDescent="0.3">
      <c r="A22480" s="12"/>
    </row>
    <row r="22481" spans="1:1" x14ac:dyDescent="0.3">
      <c r="A22481" s="12"/>
    </row>
    <row r="22482" spans="1:1" x14ac:dyDescent="0.3">
      <c r="A22482" s="12"/>
    </row>
    <row r="22483" spans="1:1" x14ac:dyDescent="0.3">
      <c r="A22483" s="12"/>
    </row>
    <row r="22484" spans="1:1" x14ac:dyDescent="0.3">
      <c r="A22484" s="12"/>
    </row>
    <row r="22485" spans="1:1" x14ac:dyDescent="0.3">
      <c r="A22485" s="12"/>
    </row>
    <row r="22486" spans="1:1" x14ac:dyDescent="0.3">
      <c r="A22486" s="12"/>
    </row>
    <row r="22487" spans="1:1" x14ac:dyDescent="0.3">
      <c r="A22487" s="12"/>
    </row>
    <row r="22488" spans="1:1" x14ac:dyDescent="0.3">
      <c r="A22488" s="12"/>
    </row>
    <row r="22489" spans="1:1" x14ac:dyDescent="0.3">
      <c r="A22489" s="12"/>
    </row>
    <row r="22490" spans="1:1" x14ac:dyDescent="0.3">
      <c r="A22490" s="12"/>
    </row>
    <row r="22491" spans="1:1" x14ac:dyDescent="0.3">
      <c r="A22491" s="12"/>
    </row>
    <row r="22492" spans="1:1" x14ac:dyDescent="0.3">
      <c r="A22492" s="12"/>
    </row>
    <row r="22493" spans="1:1" x14ac:dyDescent="0.3">
      <c r="A22493" s="12"/>
    </row>
    <row r="22494" spans="1:1" x14ac:dyDescent="0.3">
      <c r="A22494" s="12"/>
    </row>
    <row r="22495" spans="1:1" x14ac:dyDescent="0.3">
      <c r="A22495" s="12"/>
    </row>
    <row r="22496" spans="1:1" x14ac:dyDescent="0.3">
      <c r="A22496" s="12"/>
    </row>
    <row r="22497" spans="1:1" x14ac:dyDescent="0.3">
      <c r="A22497" s="12"/>
    </row>
    <row r="22498" spans="1:1" x14ac:dyDescent="0.3">
      <c r="A22498" s="12"/>
    </row>
    <row r="22499" spans="1:1" x14ac:dyDescent="0.3">
      <c r="A22499" s="12"/>
    </row>
    <row r="22500" spans="1:1" x14ac:dyDescent="0.3">
      <c r="A22500" s="12"/>
    </row>
    <row r="22501" spans="1:1" x14ac:dyDescent="0.3">
      <c r="A22501" s="12"/>
    </row>
    <row r="22502" spans="1:1" x14ac:dyDescent="0.3">
      <c r="A22502" s="12"/>
    </row>
    <row r="22503" spans="1:1" x14ac:dyDescent="0.3">
      <c r="A22503" s="12"/>
    </row>
    <row r="22504" spans="1:1" x14ac:dyDescent="0.3">
      <c r="A22504" s="12"/>
    </row>
    <row r="22505" spans="1:1" x14ac:dyDescent="0.3">
      <c r="A22505" s="12"/>
    </row>
    <row r="22506" spans="1:1" x14ac:dyDescent="0.3">
      <c r="A22506" s="12"/>
    </row>
    <row r="22507" spans="1:1" x14ac:dyDescent="0.3">
      <c r="A22507" s="12"/>
    </row>
    <row r="22508" spans="1:1" x14ac:dyDescent="0.3">
      <c r="A22508" s="12"/>
    </row>
    <row r="22509" spans="1:1" x14ac:dyDescent="0.3">
      <c r="A22509" s="12"/>
    </row>
    <row r="22510" spans="1:1" x14ac:dyDescent="0.3">
      <c r="A22510" s="12"/>
    </row>
    <row r="22511" spans="1:1" x14ac:dyDescent="0.3">
      <c r="A22511" s="12"/>
    </row>
    <row r="22512" spans="1:1" x14ac:dyDescent="0.3">
      <c r="A22512" s="12"/>
    </row>
    <row r="22513" spans="1:1" x14ac:dyDescent="0.3">
      <c r="A22513" s="12"/>
    </row>
    <row r="22514" spans="1:1" x14ac:dyDescent="0.3">
      <c r="A22514" s="12"/>
    </row>
    <row r="22515" spans="1:1" x14ac:dyDescent="0.3">
      <c r="A22515" s="12"/>
    </row>
    <row r="22516" spans="1:1" x14ac:dyDescent="0.3">
      <c r="A22516" s="12"/>
    </row>
    <row r="22517" spans="1:1" x14ac:dyDescent="0.3">
      <c r="A22517" s="12"/>
    </row>
    <row r="22518" spans="1:1" x14ac:dyDescent="0.3">
      <c r="A22518" s="12"/>
    </row>
    <row r="22519" spans="1:1" x14ac:dyDescent="0.3">
      <c r="A22519" s="12"/>
    </row>
    <row r="22520" spans="1:1" x14ac:dyDescent="0.3">
      <c r="A22520" s="12"/>
    </row>
    <row r="22521" spans="1:1" x14ac:dyDescent="0.3">
      <c r="A22521" s="12"/>
    </row>
    <row r="22522" spans="1:1" x14ac:dyDescent="0.3">
      <c r="A22522" s="12"/>
    </row>
    <row r="22523" spans="1:1" x14ac:dyDescent="0.3">
      <c r="A22523" s="12"/>
    </row>
    <row r="22524" spans="1:1" x14ac:dyDescent="0.3">
      <c r="A22524" s="12"/>
    </row>
    <row r="22525" spans="1:1" x14ac:dyDescent="0.3">
      <c r="A22525" s="12"/>
    </row>
    <row r="22526" spans="1:1" x14ac:dyDescent="0.3">
      <c r="A22526" s="12"/>
    </row>
    <row r="22527" spans="1:1" x14ac:dyDescent="0.3">
      <c r="A22527" s="12"/>
    </row>
    <row r="22528" spans="1:1" x14ac:dyDescent="0.3">
      <c r="A22528" s="12"/>
    </row>
    <row r="22529" spans="1:1" x14ac:dyDescent="0.3">
      <c r="A22529" s="12"/>
    </row>
    <row r="22530" spans="1:1" x14ac:dyDescent="0.3">
      <c r="A22530" s="12"/>
    </row>
    <row r="22531" spans="1:1" x14ac:dyDescent="0.3">
      <c r="A22531" s="12"/>
    </row>
    <row r="22532" spans="1:1" x14ac:dyDescent="0.3">
      <c r="A22532" s="12"/>
    </row>
    <row r="22533" spans="1:1" x14ac:dyDescent="0.3">
      <c r="A22533" s="12"/>
    </row>
    <row r="22534" spans="1:1" x14ac:dyDescent="0.3">
      <c r="A22534" s="12"/>
    </row>
    <row r="22535" spans="1:1" x14ac:dyDescent="0.3">
      <c r="A22535" s="12"/>
    </row>
    <row r="22536" spans="1:1" x14ac:dyDescent="0.3">
      <c r="A22536" s="12"/>
    </row>
    <row r="22537" spans="1:1" x14ac:dyDescent="0.3">
      <c r="A22537" s="12"/>
    </row>
    <row r="22538" spans="1:1" x14ac:dyDescent="0.3">
      <c r="A22538" s="12"/>
    </row>
    <row r="22539" spans="1:1" x14ac:dyDescent="0.3">
      <c r="A22539" s="12"/>
    </row>
    <row r="22540" spans="1:1" x14ac:dyDescent="0.3">
      <c r="A22540" s="12"/>
    </row>
    <row r="22541" spans="1:1" x14ac:dyDescent="0.3">
      <c r="A22541" s="12"/>
    </row>
    <row r="22542" spans="1:1" x14ac:dyDescent="0.3">
      <c r="A22542" s="12"/>
    </row>
    <row r="22543" spans="1:1" x14ac:dyDescent="0.3">
      <c r="A22543" s="12"/>
    </row>
    <row r="22544" spans="1:1" x14ac:dyDescent="0.3">
      <c r="A22544" s="12"/>
    </row>
    <row r="22545" spans="1:1" x14ac:dyDescent="0.3">
      <c r="A22545" s="12"/>
    </row>
    <row r="22546" spans="1:1" x14ac:dyDescent="0.3">
      <c r="A22546" s="12"/>
    </row>
    <row r="22547" spans="1:1" x14ac:dyDescent="0.3">
      <c r="A22547" s="12"/>
    </row>
    <row r="22548" spans="1:1" x14ac:dyDescent="0.3">
      <c r="A22548" s="12"/>
    </row>
    <row r="22549" spans="1:1" x14ac:dyDescent="0.3">
      <c r="A22549" s="12"/>
    </row>
    <row r="22550" spans="1:1" x14ac:dyDescent="0.3">
      <c r="A22550" s="12"/>
    </row>
    <row r="22551" spans="1:1" x14ac:dyDescent="0.3">
      <c r="A22551" s="12"/>
    </row>
    <row r="22552" spans="1:1" x14ac:dyDescent="0.3">
      <c r="A22552" s="12"/>
    </row>
    <row r="22553" spans="1:1" x14ac:dyDescent="0.3">
      <c r="A22553" s="12"/>
    </row>
    <row r="22554" spans="1:1" x14ac:dyDescent="0.3">
      <c r="A22554" s="12"/>
    </row>
    <row r="22555" spans="1:1" x14ac:dyDescent="0.3">
      <c r="A22555" s="12"/>
    </row>
    <row r="22556" spans="1:1" x14ac:dyDescent="0.3">
      <c r="A22556" s="12"/>
    </row>
    <row r="22557" spans="1:1" x14ac:dyDescent="0.3">
      <c r="A22557" s="12"/>
    </row>
    <row r="22558" spans="1:1" x14ac:dyDescent="0.3">
      <c r="A22558" s="12"/>
    </row>
    <row r="22559" spans="1:1" x14ac:dyDescent="0.3">
      <c r="A22559" s="12"/>
    </row>
    <row r="22560" spans="1:1" x14ac:dyDescent="0.3">
      <c r="A22560" s="12"/>
    </row>
    <row r="22561" spans="1:1" x14ac:dyDescent="0.3">
      <c r="A22561" s="12"/>
    </row>
    <row r="22562" spans="1:1" x14ac:dyDescent="0.3">
      <c r="A22562" s="12"/>
    </row>
    <row r="22563" spans="1:1" x14ac:dyDescent="0.3">
      <c r="A22563" s="12"/>
    </row>
    <row r="22564" spans="1:1" x14ac:dyDescent="0.3">
      <c r="A22564" s="12"/>
    </row>
    <row r="22565" spans="1:1" x14ac:dyDescent="0.3">
      <c r="A22565" s="12"/>
    </row>
    <row r="22566" spans="1:1" x14ac:dyDescent="0.3">
      <c r="A22566" s="12"/>
    </row>
    <row r="22567" spans="1:1" x14ac:dyDescent="0.3">
      <c r="A22567" s="12"/>
    </row>
    <row r="22568" spans="1:1" x14ac:dyDescent="0.3">
      <c r="A22568" s="12"/>
    </row>
    <row r="22569" spans="1:1" x14ac:dyDescent="0.3">
      <c r="A22569" s="12"/>
    </row>
    <row r="22570" spans="1:1" x14ac:dyDescent="0.3">
      <c r="A22570" s="12"/>
    </row>
    <row r="22571" spans="1:1" x14ac:dyDescent="0.3">
      <c r="A22571" s="12"/>
    </row>
    <row r="22572" spans="1:1" x14ac:dyDescent="0.3">
      <c r="A22572" s="12"/>
    </row>
    <row r="22573" spans="1:1" x14ac:dyDescent="0.3">
      <c r="A22573" s="12"/>
    </row>
    <row r="22574" spans="1:1" x14ac:dyDescent="0.3">
      <c r="A22574" s="12"/>
    </row>
    <row r="22575" spans="1:1" x14ac:dyDescent="0.3">
      <c r="A22575" s="12"/>
    </row>
    <row r="22576" spans="1:1" x14ac:dyDescent="0.3">
      <c r="A22576" s="12"/>
    </row>
    <row r="22577" spans="1:1" x14ac:dyDescent="0.3">
      <c r="A22577" s="12"/>
    </row>
    <row r="22578" spans="1:1" x14ac:dyDescent="0.3">
      <c r="A22578" s="12"/>
    </row>
    <row r="22579" spans="1:1" x14ac:dyDescent="0.3">
      <c r="A22579" s="12"/>
    </row>
    <row r="22580" spans="1:1" x14ac:dyDescent="0.3">
      <c r="A22580" s="12"/>
    </row>
    <row r="22581" spans="1:1" x14ac:dyDescent="0.3">
      <c r="A22581" s="12"/>
    </row>
    <row r="22582" spans="1:1" x14ac:dyDescent="0.3">
      <c r="A22582" s="12"/>
    </row>
    <row r="22583" spans="1:1" x14ac:dyDescent="0.3">
      <c r="A22583" s="12"/>
    </row>
    <row r="22584" spans="1:1" x14ac:dyDescent="0.3">
      <c r="A22584" s="12"/>
    </row>
    <row r="22585" spans="1:1" x14ac:dyDescent="0.3">
      <c r="A22585" s="12"/>
    </row>
    <row r="22586" spans="1:1" x14ac:dyDescent="0.3">
      <c r="A22586" s="12"/>
    </row>
    <row r="22587" spans="1:1" x14ac:dyDescent="0.3">
      <c r="A22587" s="12"/>
    </row>
    <row r="22588" spans="1:1" x14ac:dyDescent="0.3">
      <c r="A22588" s="12"/>
    </row>
    <row r="22589" spans="1:1" x14ac:dyDescent="0.3">
      <c r="A22589" s="12"/>
    </row>
    <row r="22590" spans="1:1" x14ac:dyDescent="0.3">
      <c r="A22590" s="12"/>
    </row>
    <row r="22591" spans="1:1" x14ac:dyDescent="0.3">
      <c r="A22591" s="12"/>
    </row>
    <row r="22592" spans="1:1" x14ac:dyDescent="0.3">
      <c r="A22592" s="12"/>
    </row>
    <row r="22593" spans="1:1" x14ac:dyDescent="0.3">
      <c r="A22593" s="12"/>
    </row>
    <row r="22594" spans="1:1" x14ac:dyDescent="0.3">
      <c r="A22594" s="12"/>
    </row>
    <row r="22595" spans="1:1" x14ac:dyDescent="0.3">
      <c r="A22595" s="12"/>
    </row>
    <row r="22596" spans="1:1" x14ac:dyDescent="0.3">
      <c r="A22596" s="12"/>
    </row>
    <row r="22597" spans="1:1" x14ac:dyDescent="0.3">
      <c r="A22597" s="12"/>
    </row>
    <row r="22598" spans="1:1" x14ac:dyDescent="0.3">
      <c r="A22598" s="12"/>
    </row>
    <row r="22599" spans="1:1" x14ac:dyDescent="0.3">
      <c r="A22599" s="12"/>
    </row>
    <row r="22600" spans="1:1" x14ac:dyDescent="0.3">
      <c r="A22600" s="12"/>
    </row>
    <row r="22601" spans="1:1" x14ac:dyDescent="0.3">
      <c r="A22601" s="12"/>
    </row>
    <row r="22602" spans="1:1" x14ac:dyDescent="0.3">
      <c r="A22602" s="12"/>
    </row>
    <row r="22603" spans="1:1" x14ac:dyDescent="0.3">
      <c r="A22603" s="12"/>
    </row>
    <row r="22604" spans="1:1" x14ac:dyDescent="0.3">
      <c r="A22604" s="12"/>
    </row>
    <row r="22605" spans="1:1" x14ac:dyDescent="0.3">
      <c r="A22605" s="12"/>
    </row>
    <row r="22606" spans="1:1" x14ac:dyDescent="0.3">
      <c r="A22606" s="12"/>
    </row>
    <row r="22607" spans="1:1" x14ac:dyDescent="0.3">
      <c r="A22607" s="12"/>
    </row>
    <row r="22608" spans="1:1" x14ac:dyDescent="0.3">
      <c r="A22608" s="12"/>
    </row>
    <row r="22609" spans="1:1" x14ac:dyDescent="0.3">
      <c r="A22609" s="12"/>
    </row>
    <row r="22610" spans="1:1" x14ac:dyDescent="0.3">
      <c r="A22610" s="12"/>
    </row>
    <row r="22611" spans="1:1" x14ac:dyDescent="0.3">
      <c r="A22611" s="12"/>
    </row>
    <row r="22612" spans="1:1" x14ac:dyDescent="0.3">
      <c r="A22612" s="12"/>
    </row>
    <row r="22613" spans="1:1" x14ac:dyDescent="0.3">
      <c r="A22613" s="12"/>
    </row>
    <row r="22614" spans="1:1" x14ac:dyDescent="0.3">
      <c r="A22614" s="12"/>
    </row>
    <row r="22615" spans="1:1" x14ac:dyDescent="0.3">
      <c r="A22615" s="12"/>
    </row>
    <row r="22616" spans="1:1" x14ac:dyDescent="0.3">
      <c r="A22616" s="12"/>
    </row>
    <row r="22617" spans="1:1" x14ac:dyDescent="0.3">
      <c r="A22617" s="12"/>
    </row>
    <row r="22618" spans="1:1" x14ac:dyDescent="0.3">
      <c r="A22618" s="12"/>
    </row>
    <row r="22619" spans="1:1" x14ac:dyDescent="0.3">
      <c r="A22619" s="12"/>
    </row>
    <row r="22620" spans="1:1" x14ac:dyDescent="0.3">
      <c r="A22620" s="12"/>
    </row>
    <row r="22621" spans="1:1" x14ac:dyDescent="0.3">
      <c r="A22621" s="12"/>
    </row>
    <row r="22622" spans="1:1" x14ac:dyDescent="0.3">
      <c r="A22622" s="12"/>
    </row>
    <row r="22623" spans="1:1" x14ac:dyDescent="0.3">
      <c r="A22623" s="12"/>
    </row>
    <row r="22624" spans="1:1" x14ac:dyDescent="0.3">
      <c r="A22624" s="12"/>
    </row>
    <row r="22625" spans="1:1" x14ac:dyDescent="0.3">
      <c r="A22625" s="12"/>
    </row>
    <row r="22626" spans="1:1" x14ac:dyDescent="0.3">
      <c r="A22626" s="12"/>
    </row>
    <row r="22627" spans="1:1" x14ac:dyDescent="0.3">
      <c r="A22627" s="12"/>
    </row>
    <row r="22628" spans="1:1" x14ac:dyDescent="0.3">
      <c r="A22628" s="12"/>
    </row>
    <row r="22629" spans="1:1" x14ac:dyDescent="0.3">
      <c r="A22629" s="12"/>
    </row>
    <row r="22630" spans="1:1" x14ac:dyDescent="0.3">
      <c r="A22630" s="12"/>
    </row>
    <row r="22631" spans="1:1" x14ac:dyDescent="0.3">
      <c r="A22631" s="12"/>
    </row>
    <row r="22632" spans="1:1" x14ac:dyDescent="0.3">
      <c r="A22632" s="12"/>
    </row>
    <row r="22633" spans="1:1" x14ac:dyDescent="0.3">
      <c r="A22633" s="12"/>
    </row>
    <row r="22634" spans="1:1" x14ac:dyDescent="0.3">
      <c r="A22634" s="12"/>
    </row>
    <row r="22635" spans="1:1" x14ac:dyDescent="0.3">
      <c r="A22635" s="12"/>
    </row>
    <row r="22636" spans="1:1" x14ac:dyDescent="0.3">
      <c r="A22636" s="12"/>
    </row>
    <row r="22637" spans="1:1" x14ac:dyDescent="0.3">
      <c r="A22637" s="12"/>
    </row>
    <row r="22638" spans="1:1" x14ac:dyDescent="0.3">
      <c r="A22638" s="12"/>
    </row>
    <row r="22639" spans="1:1" x14ac:dyDescent="0.3">
      <c r="A22639" s="12"/>
    </row>
    <row r="22640" spans="1:1" x14ac:dyDescent="0.3">
      <c r="A22640" s="12"/>
    </row>
    <row r="22641" spans="1:1" x14ac:dyDescent="0.3">
      <c r="A22641" s="12"/>
    </row>
    <row r="22642" spans="1:1" x14ac:dyDescent="0.3">
      <c r="A22642" s="12"/>
    </row>
    <row r="22643" spans="1:1" x14ac:dyDescent="0.3">
      <c r="A22643" s="12"/>
    </row>
    <row r="22644" spans="1:1" x14ac:dyDescent="0.3">
      <c r="A22644" s="12"/>
    </row>
    <row r="22645" spans="1:1" x14ac:dyDescent="0.3">
      <c r="A22645" s="12"/>
    </row>
    <row r="22646" spans="1:1" x14ac:dyDescent="0.3">
      <c r="A22646" s="12"/>
    </row>
    <row r="22647" spans="1:1" x14ac:dyDescent="0.3">
      <c r="A22647" s="12"/>
    </row>
    <row r="22648" spans="1:1" x14ac:dyDescent="0.3">
      <c r="A22648" s="12"/>
    </row>
    <row r="22649" spans="1:1" x14ac:dyDescent="0.3">
      <c r="A22649" s="12"/>
    </row>
    <row r="22650" spans="1:1" x14ac:dyDescent="0.3">
      <c r="A22650" s="12"/>
    </row>
    <row r="22651" spans="1:1" x14ac:dyDescent="0.3">
      <c r="A22651" s="12"/>
    </row>
    <row r="22652" spans="1:1" x14ac:dyDescent="0.3">
      <c r="A22652" s="12"/>
    </row>
    <row r="22653" spans="1:1" x14ac:dyDescent="0.3">
      <c r="A22653" s="12"/>
    </row>
    <row r="22654" spans="1:1" x14ac:dyDescent="0.3">
      <c r="A22654" s="12"/>
    </row>
    <row r="22655" spans="1:1" x14ac:dyDescent="0.3">
      <c r="A22655" s="12"/>
    </row>
    <row r="22656" spans="1:1" x14ac:dyDescent="0.3">
      <c r="A22656" s="12"/>
    </row>
    <row r="22657" spans="1:1" x14ac:dyDescent="0.3">
      <c r="A22657" s="12"/>
    </row>
    <row r="22658" spans="1:1" x14ac:dyDescent="0.3">
      <c r="A22658" s="12"/>
    </row>
    <row r="22659" spans="1:1" x14ac:dyDescent="0.3">
      <c r="A22659" s="12"/>
    </row>
    <row r="22660" spans="1:1" x14ac:dyDescent="0.3">
      <c r="A22660" s="12"/>
    </row>
    <row r="22661" spans="1:1" x14ac:dyDescent="0.3">
      <c r="A22661" s="12"/>
    </row>
    <row r="22662" spans="1:1" x14ac:dyDescent="0.3">
      <c r="A22662" s="12"/>
    </row>
    <row r="22663" spans="1:1" x14ac:dyDescent="0.3">
      <c r="A22663" s="12"/>
    </row>
    <row r="22664" spans="1:1" x14ac:dyDescent="0.3">
      <c r="A22664" s="12"/>
    </row>
    <row r="22665" spans="1:1" x14ac:dyDescent="0.3">
      <c r="A22665" s="12"/>
    </row>
    <row r="22666" spans="1:1" x14ac:dyDescent="0.3">
      <c r="A22666" s="12"/>
    </row>
    <row r="22667" spans="1:1" x14ac:dyDescent="0.3">
      <c r="A22667" s="12"/>
    </row>
    <row r="22668" spans="1:1" x14ac:dyDescent="0.3">
      <c r="A22668" s="12"/>
    </row>
    <row r="22669" spans="1:1" x14ac:dyDescent="0.3">
      <c r="A22669" s="12"/>
    </row>
    <row r="22670" spans="1:1" x14ac:dyDescent="0.3">
      <c r="A22670" s="12"/>
    </row>
    <row r="22671" spans="1:1" x14ac:dyDescent="0.3">
      <c r="A22671" s="12"/>
    </row>
    <row r="22672" spans="1:1" x14ac:dyDescent="0.3">
      <c r="A22672" s="12"/>
    </row>
    <row r="22673" spans="1:1" x14ac:dyDescent="0.3">
      <c r="A22673" s="12"/>
    </row>
    <row r="22674" spans="1:1" x14ac:dyDescent="0.3">
      <c r="A22674" s="12"/>
    </row>
    <row r="22675" spans="1:1" x14ac:dyDescent="0.3">
      <c r="A22675" s="12"/>
    </row>
    <row r="22676" spans="1:1" x14ac:dyDescent="0.3">
      <c r="A22676" s="12"/>
    </row>
    <row r="22677" spans="1:1" x14ac:dyDescent="0.3">
      <c r="A22677" s="12"/>
    </row>
    <row r="22678" spans="1:1" x14ac:dyDescent="0.3">
      <c r="A22678" s="12"/>
    </row>
    <row r="22679" spans="1:1" x14ac:dyDescent="0.3">
      <c r="A22679" s="12"/>
    </row>
    <row r="22680" spans="1:1" x14ac:dyDescent="0.3">
      <c r="A22680" s="12"/>
    </row>
    <row r="22681" spans="1:1" x14ac:dyDescent="0.3">
      <c r="A22681" s="12"/>
    </row>
    <row r="22682" spans="1:1" x14ac:dyDescent="0.3">
      <c r="A22682" s="12"/>
    </row>
    <row r="22683" spans="1:1" x14ac:dyDescent="0.3">
      <c r="A22683" s="12"/>
    </row>
    <row r="22684" spans="1:1" x14ac:dyDescent="0.3">
      <c r="A22684" s="12"/>
    </row>
    <row r="22685" spans="1:1" x14ac:dyDescent="0.3">
      <c r="A22685" s="12"/>
    </row>
    <row r="22686" spans="1:1" x14ac:dyDescent="0.3">
      <c r="A22686" s="12"/>
    </row>
    <row r="22687" spans="1:1" x14ac:dyDescent="0.3">
      <c r="A22687" s="12"/>
    </row>
    <row r="22688" spans="1:1" x14ac:dyDescent="0.3">
      <c r="A22688" s="12"/>
    </row>
    <row r="22689" spans="1:1" x14ac:dyDescent="0.3">
      <c r="A22689" s="12"/>
    </row>
    <row r="22690" spans="1:1" x14ac:dyDescent="0.3">
      <c r="A22690" s="12"/>
    </row>
    <row r="22691" spans="1:1" x14ac:dyDescent="0.3">
      <c r="A22691" s="12"/>
    </row>
    <row r="22692" spans="1:1" x14ac:dyDescent="0.3">
      <c r="A22692" s="12"/>
    </row>
    <row r="22693" spans="1:1" x14ac:dyDescent="0.3">
      <c r="A22693" s="12"/>
    </row>
    <row r="22694" spans="1:1" x14ac:dyDescent="0.3">
      <c r="A22694" s="12"/>
    </row>
    <row r="22695" spans="1:1" x14ac:dyDescent="0.3">
      <c r="A22695" s="12"/>
    </row>
    <row r="22696" spans="1:1" x14ac:dyDescent="0.3">
      <c r="A22696" s="12"/>
    </row>
    <row r="22697" spans="1:1" x14ac:dyDescent="0.3">
      <c r="A22697" s="12"/>
    </row>
    <row r="22698" spans="1:1" x14ac:dyDescent="0.3">
      <c r="A22698" s="12"/>
    </row>
    <row r="22699" spans="1:1" x14ac:dyDescent="0.3">
      <c r="A22699" s="12"/>
    </row>
    <row r="22700" spans="1:1" x14ac:dyDescent="0.3">
      <c r="A22700" s="12"/>
    </row>
    <row r="22701" spans="1:1" x14ac:dyDescent="0.3">
      <c r="A22701" s="12"/>
    </row>
    <row r="22702" spans="1:1" x14ac:dyDescent="0.3">
      <c r="A22702" s="12"/>
    </row>
    <row r="22703" spans="1:1" x14ac:dyDescent="0.3">
      <c r="A22703" s="12"/>
    </row>
    <row r="22704" spans="1:1" x14ac:dyDescent="0.3">
      <c r="A22704" s="12"/>
    </row>
    <row r="22705" spans="1:1" x14ac:dyDescent="0.3">
      <c r="A22705" s="12"/>
    </row>
    <row r="22706" spans="1:1" x14ac:dyDescent="0.3">
      <c r="A22706" s="12"/>
    </row>
    <row r="22707" spans="1:1" x14ac:dyDescent="0.3">
      <c r="A22707" s="12"/>
    </row>
    <row r="22708" spans="1:1" x14ac:dyDescent="0.3">
      <c r="A22708" s="12"/>
    </row>
    <row r="22709" spans="1:1" x14ac:dyDescent="0.3">
      <c r="A22709" s="12"/>
    </row>
    <row r="22710" spans="1:1" x14ac:dyDescent="0.3">
      <c r="A22710" s="12"/>
    </row>
    <row r="22711" spans="1:1" x14ac:dyDescent="0.3">
      <c r="A22711" s="12"/>
    </row>
    <row r="22712" spans="1:1" x14ac:dyDescent="0.3">
      <c r="A22712" s="12"/>
    </row>
    <row r="22713" spans="1:1" x14ac:dyDescent="0.3">
      <c r="A22713" s="12"/>
    </row>
    <row r="22714" spans="1:1" x14ac:dyDescent="0.3">
      <c r="A22714" s="12"/>
    </row>
    <row r="22715" spans="1:1" x14ac:dyDescent="0.3">
      <c r="A22715" s="12"/>
    </row>
    <row r="22716" spans="1:1" x14ac:dyDescent="0.3">
      <c r="A22716" s="12"/>
    </row>
    <row r="22717" spans="1:1" x14ac:dyDescent="0.3">
      <c r="A22717" s="12"/>
    </row>
    <row r="22718" spans="1:1" x14ac:dyDescent="0.3">
      <c r="A22718" s="12"/>
    </row>
    <row r="22719" spans="1:1" x14ac:dyDescent="0.3">
      <c r="A22719" s="12"/>
    </row>
    <row r="22720" spans="1:1" x14ac:dyDescent="0.3">
      <c r="A22720" s="12"/>
    </row>
    <row r="22721" spans="1:1" x14ac:dyDescent="0.3">
      <c r="A22721" s="12"/>
    </row>
    <row r="22722" spans="1:1" x14ac:dyDescent="0.3">
      <c r="A22722" s="12"/>
    </row>
    <row r="22723" spans="1:1" x14ac:dyDescent="0.3">
      <c r="A22723" s="12"/>
    </row>
    <row r="22724" spans="1:1" x14ac:dyDescent="0.3">
      <c r="A22724" s="12"/>
    </row>
    <row r="22725" spans="1:1" x14ac:dyDescent="0.3">
      <c r="A22725" s="12"/>
    </row>
    <row r="22726" spans="1:1" x14ac:dyDescent="0.3">
      <c r="A22726" s="12"/>
    </row>
    <row r="22727" spans="1:1" x14ac:dyDescent="0.3">
      <c r="A22727" s="12"/>
    </row>
    <row r="22728" spans="1:1" x14ac:dyDescent="0.3">
      <c r="A22728" s="12"/>
    </row>
    <row r="22729" spans="1:1" x14ac:dyDescent="0.3">
      <c r="A22729" s="12"/>
    </row>
    <row r="22730" spans="1:1" x14ac:dyDescent="0.3">
      <c r="A22730" s="12"/>
    </row>
    <row r="22731" spans="1:1" x14ac:dyDescent="0.3">
      <c r="A22731" s="12"/>
    </row>
    <row r="22732" spans="1:1" x14ac:dyDescent="0.3">
      <c r="A22732" s="12"/>
    </row>
    <row r="22733" spans="1:1" x14ac:dyDescent="0.3">
      <c r="A22733" s="12"/>
    </row>
    <row r="22734" spans="1:1" x14ac:dyDescent="0.3">
      <c r="A22734" s="12"/>
    </row>
    <row r="22735" spans="1:1" x14ac:dyDescent="0.3">
      <c r="A22735" s="12"/>
    </row>
    <row r="22736" spans="1:1" x14ac:dyDescent="0.3">
      <c r="A22736" s="12"/>
    </row>
    <row r="22737" spans="1:1" x14ac:dyDescent="0.3">
      <c r="A22737" s="12"/>
    </row>
    <row r="22738" spans="1:1" x14ac:dyDescent="0.3">
      <c r="A22738" s="12"/>
    </row>
    <row r="22739" spans="1:1" x14ac:dyDescent="0.3">
      <c r="A22739" s="12"/>
    </row>
    <row r="22740" spans="1:1" x14ac:dyDescent="0.3">
      <c r="A22740" s="12"/>
    </row>
    <row r="22741" spans="1:1" x14ac:dyDescent="0.3">
      <c r="A22741" s="12"/>
    </row>
    <row r="22742" spans="1:1" x14ac:dyDescent="0.3">
      <c r="A22742" s="12"/>
    </row>
    <row r="22743" spans="1:1" x14ac:dyDescent="0.3">
      <c r="A22743" s="12"/>
    </row>
    <row r="22744" spans="1:1" x14ac:dyDescent="0.3">
      <c r="A22744" s="12"/>
    </row>
    <row r="22745" spans="1:1" x14ac:dyDescent="0.3">
      <c r="A22745" s="12"/>
    </row>
    <row r="22746" spans="1:1" x14ac:dyDescent="0.3">
      <c r="A22746" s="12"/>
    </row>
    <row r="22747" spans="1:1" x14ac:dyDescent="0.3">
      <c r="A22747" s="12"/>
    </row>
    <row r="22748" spans="1:1" x14ac:dyDescent="0.3">
      <c r="A22748" s="12"/>
    </row>
    <row r="22749" spans="1:1" x14ac:dyDescent="0.3">
      <c r="A22749" s="12"/>
    </row>
    <row r="22750" spans="1:1" x14ac:dyDescent="0.3">
      <c r="A22750" s="12"/>
    </row>
    <row r="22751" spans="1:1" x14ac:dyDescent="0.3">
      <c r="A22751" s="12"/>
    </row>
    <row r="22752" spans="1:1" x14ac:dyDescent="0.3">
      <c r="A22752" s="12"/>
    </row>
    <row r="22753" spans="1:1" x14ac:dyDescent="0.3">
      <c r="A22753" s="12"/>
    </row>
    <row r="22754" spans="1:1" x14ac:dyDescent="0.3">
      <c r="A22754" s="12"/>
    </row>
    <row r="22755" spans="1:1" x14ac:dyDescent="0.3">
      <c r="A22755" s="12"/>
    </row>
    <row r="22756" spans="1:1" x14ac:dyDescent="0.3">
      <c r="A22756" s="12"/>
    </row>
    <row r="22757" spans="1:1" x14ac:dyDescent="0.3">
      <c r="A22757" s="12"/>
    </row>
    <row r="22758" spans="1:1" x14ac:dyDescent="0.3">
      <c r="A22758" s="12"/>
    </row>
    <row r="22759" spans="1:1" x14ac:dyDescent="0.3">
      <c r="A22759" s="12"/>
    </row>
    <row r="22760" spans="1:1" x14ac:dyDescent="0.3">
      <c r="A22760" s="12"/>
    </row>
    <row r="22761" spans="1:1" x14ac:dyDescent="0.3">
      <c r="A22761" s="12"/>
    </row>
    <row r="22762" spans="1:1" x14ac:dyDescent="0.3">
      <c r="A22762" s="12"/>
    </row>
    <row r="22763" spans="1:1" x14ac:dyDescent="0.3">
      <c r="A22763" s="12"/>
    </row>
    <row r="22764" spans="1:1" x14ac:dyDescent="0.3">
      <c r="A22764" s="12"/>
    </row>
    <row r="22765" spans="1:1" x14ac:dyDescent="0.3">
      <c r="A22765" s="12"/>
    </row>
    <row r="22766" spans="1:1" x14ac:dyDescent="0.3">
      <c r="A22766" s="12"/>
    </row>
    <row r="22767" spans="1:1" x14ac:dyDescent="0.3">
      <c r="A22767" s="12"/>
    </row>
    <row r="22768" spans="1:1" x14ac:dyDescent="0.3">
      <c r="A22768" s="12"/>
    </row>
    <row r="22769" spans="1:1" x14ac:dyDescent="0.3">
      <c r="A22769" s="12"/>
    </row>
    <row r="22770" spans="1:1" x14ac:dyDescent="0.3">
      <c r="A22770" s="12"/>
    </row>
    <row r="22771" spans="1:1" x14ac:dyDescent="0.3">
      <c r="A22771" s="12"/>
    </row>
    <row r="22772" spans="1:1" x14ac:dyDescent="0.3">
      <c r="A22772" s="12"/>
    </row>
    <row r="22773" spans="1:1" x14ac:dyDescent="0.3">
      <c r="A22773" s="12"/>
    </row>
    <row r="22774" spans="1:1" x14ac:dyDescent="0.3">
      <c r="A22774" s="12"/>
    </row>
    <row r="22775" spans="1:1" x14ac:dyDescent="0.3">
      <c r="A22775" s="12"/>
    </row>
    <row r="22776" spans="1:1" x14ac:dyDescent="0.3">
      <c r="A22776" s="12"/>
    </row>
    <row r="22777" spans="1:1" x14ac:dyDescent="0.3">
      <c r="A22777" s="12"/>
    </row>
    <row r="22778" spans="1:1" x14ac:dyDescent="0.3">
      <c r="A22778" s="12"/>
    </row>
    <row r="22779" spans="1:1" x14ac:dyDescent="0.3">
      <c r="A22779" s="12"/>
    </row>
    <row r="22780" spans="1:1" x14ac:dyDescent="0.3">
      <c r="A22780" s="12"/>
    </row>
    <row r="22781" spans="1:1" x14ac:dyDescent="0.3">
      <c r="A22781" s="12"/>
    </row>
    <row r="22782" spans="1:1" x14ac:dyDescent="0.3">
      <c r="A22782" s="12"/>
    </row>
    <row r="22783" spans="1:1" x14ac:dyDescent="0.3">
      <c r="A22783" s="12"/>
    </row>
    <row r="22784" spans="1:1" x14ac:dyDescent="0.3">
      <c r="A22784" s="12"/>
    </row>
    <row r="22785" spans="1:1" x14ac:dyDescent="0.3">
      <c r="A22785" s="12"/>
    </row>
    <row r="22786" spans="1:1" x14ac:dyDescent="0.3">
      <c r="A22786" s="12"/>
    </row>
    <row r="22787" spans="1:1" x14ac:dyDescent="0.3">
      <c r="A22787" s="12"/>
    </row>
    <row r="22788" spans="1:1" x14ac:dyDescent="0.3">
      <c r="A22788" s="12"/>
    </row>
    <row r="22789" spans="1:1" x14ac:dyDescent="0.3">
      <c r="A22789" s="12"/>
    </row>
    <row r="22790" spans="1:1" x14ac:dyDescent="0.3">
      <c r="A22790" s="12"/>
    </row>
    <row r="22791" spans="1:1" x14ac:dyDescent="0.3">
      <c r="A22791" s="12"/>
    </row>
    <row r="22792" spans="1:1" x14ac:dyDescent="0.3">
      <c r="A22792" s="12"/>
    </row>
    <row r="22793" spans="1:1" x14ac:dyDescent="0.3">
      <c r="A22793" s="12"/>
    </row>
    <row r="22794" spans="1:1" x14ac:dyDescent="0.3">
      <c r="A22794" s="12"/>
    </row>
    <row r="22795" spans="1:1" x14ac:dyDescent="0.3">
      <c r="A22795" s="12"/>
    </row>
    <row r="22796" spans="1:1" x14ac:dyDescent="0.3">
      <c r="A22796" s="12"/>
    </row>
    <row r="22797" spans="1:1" x14ac:dyDescent="0.3">
      <c r="A22797" s="12"/>
    </row>
    <row r="22798" spans="1:1" x14ac:dyDescent="0.3">
      <c r="A22798" s="12"/>
    </row>
    <row r="22799" spans="1:1" x14ac:dyDescent="0.3">
      <c r="A22799" s="12"/>
    </row>
    <row r="22800" spans="1:1" x14ac:dyDescent="0.3">
      <c r="A22800" s="12"/>
    </row>
    <row r="22801" spans="1:1" x14ac:dyDescent="0.3">
      <c r="A22801" s="12"/>
    </row>
    <row r="22802" spans="1:1" x14ac:dyDescent="0.3">
      <c r="A22802" s="12"/>
    </row>
    <row r="22803" spans="1:1" x14ac:dyDescent="0.3">
      <c r="A22803" s="12"/>
    </row>
    <row r="22804" spans="1:1" x14ac:dyDescent="0.3">
      <c r="A22804" s="12"/>
    </row>
    <row r="22805" spans="1:1" x14ac:dyDescent="0.3">
      <c r="A22805" s="12"/>
    </row>
    <row r="22806" spans="1:1" x14ac:dyDescent="0.3">
      <c r="A22806" s="12"/>
    </row>
    <row r="22807" spans="1:1" x14ac:dyDescent="0.3">
      <c r="A22807" s="12"/>
    </row>
    <row r="22808" spans="1:1" x14ac:dyDescent="0.3">
      <c r="A22808" s="12"/>
    </row>
    <row r="22809" spans="1:1" x14ac:dyDescent="0.3">
      <c r="A22809" s="12"/>
    </row>
    <row r="22810" spans="1:1" x14ac:dyDescent="0.3">
      <c r="A22810" s="12"/>
    </row>
    <row r="22811" spans="1:1" x14ac:dyDescent="0.3">
      <c r="A22811" s="12"/>
    </row>
    <row r="22812" spans="1:1" x14ac:dyDescent="0.3">
      <c r="A22812" s="12"/>
    </row>
    <row r="22813" spans="1:1" x14ac:dyDescent="0.3">
      <c r="A22813" s="12"/>
    </row>
    <row r="22814" spans="1:1" x14ac:dyDescent="0.3">
      <c r="A22814" s="12"/>
    </row>
    <row r="22815" spans="1:1" x14ac:dyDescent="0.3">
      <c r="A22815" s="12"/>
    </row>
    <row r="22816" spans="1:1" x14ac:dyDescent="0.3">
      <c r="A22816" s="12"/>
    </row>
    <row r="22817" spans="1:1" x14ac:dyDescent="0.3">
      <c r="A22817" s="12"/>
    </row>
    <row r="22818" spans="1:1" x14ac:dyDescent="0.3">
      <c r="A22818" s="12"/>
    </row>
    <row r="22819" spans="1:1" x14ac:dyDescent="0.3">
      <c r="A22819" s="12"/>
    </row>
    <row r="22820" spans="1:1" x14ac:dyDescent="0.3">
      <c r="A22820" s="12"/>
    </row>
    <row r="22821" spans="1:1" x14ac:dyDescent="0.3">
      <c r="A22821" s="12"/>
    </row>
    <row r="22822" spans="1:1" x14ac:dyDescent="0.3">
      <c r="A22822" s="12"/>
    </row>
    <row r="22823" spans="1:1" x14ac:dyDescent="0.3">
      <c r="A22823" s="12"/>
    </row>
    <row r="22824" spans="1:1" x14ac:dyDescent="0.3">
      <c r="A22824" s="12"/>
    </row>
    <row r="22825" spans="1:1" x14ac:dyDescent="0.3">
      <c r="A22825" s="12"/>
    </row>
    <row r="22826" spans="1:1" x14ac:dyDescent="0.3">
      <c r="A22826" s="12"/>
    </row>
    <row r="22827" spans="1:1" x14ac:dyDescent="0.3">
      <c r="A22827" s="12"/>
    </row>
    <row r="22828" spans="1:1" x14ac:dyDescent="0.3">
      <c r="A22828" s="12"/>
    </row>
    <row r="22829" spans="1:1" x14ac:dyDescent="0.3">
      <c r="A22829" s="12"/>
    </row>
    <row r="22830" spans="1:1" x14ac:dyDescent="0.3">
      <c r="A22830" s="12"/>
    </row>
    <row r="22831" spans="1:1" x14ac:dyDescent="0.3">
      <c r="A22831" s="12"/>
    </row>
    <row r="22832" spans="1:1" x14ac:dyDescent="0.3">
      <c r="A22832" s="12"/>
    </row>
    <row r="22833" spans="1:1" x14ac:dyDescent="0.3">
      <c r="A22833" s="12"/>
    </row>
    <row r="22834" spans="1:1" x14ac:dyDescent="0.3">
      <c r="A22834" s="12"/>
    </row>
    <row r="22835" spans="1:1" x14ac:dyDescent="0.3">
      <c r="A22835" s="12"/>
    </row>
    <row r="22836" spans="1:1" x14ac:dyDescent="0.3">
      <c r="A22836" s="12"/>
    </row>
    <row r="22837" spans="1:1" x14ac:dyDescent="0.3">
      <c r="A22837" s="12"/>
    </row>
    <row r="22838" spans="1:1" x14ac:dyDescent="0.3">
      <c r="A22838" s="12"/>
    </row>
    <row r="22839" spans="1:1" x14ac:dyDescent="0.3">
      <c r="A22839" s="12"/>
    </row>
    <row r="22840" spans="1:1" x14ac:dyDescent="0.3">
      <c r="A22840" s="12"/>
    </row>
    <row r="22841" spans="1:1" x14ac:dyDescent="0.3">
      <c r="A22841" s="12"/>
    </row>
    <row r="22842" spans="1:1" x14ac:dyDescent="0.3">
      <c r="A22842" s="12"/>
    </row>
    <row r="22843" spans="1:1" x14ac:dyDescent="0.3">
      <c r="A22843" s="12"/>
    </row>
    <row r="22844" spans="1:1" x14ac:dyDescent="0.3">
      <c r="A22844" s="12"/>
    </row>
    <row r="22845" spans="1:1" x14ac:dyDescent="0.3">
      <c r="A22845" s="12"/>
    </row>
    <row r="22846" spans="1:1" x14ac:dyDescent="0.3">
      <c r="A22846" s="12"/>
    </row>
    <row r="22847" spans="1:1" x14ac:dyDescent="0.3">
      <c r="A22847" s="12"/>
    </row>
    <row r="22848" spans="1:1" x14ac:dyDescent="0.3">
      <c r="A22848" s="12"/>
    </row>
    <row r="22849" spans="1:1" x14ac:dyDescent="0.3">
      <c r="A22849" s="12"/>
    </row>
    <row r="22850" spans="1:1" x14ac:dyDescent="0.3">
      <c r="A22850" s="12"/>
    </row>
    <row r="22851" spans="1:1" x14ac:dyDescent="0.3">
      <c r="A22851" s="12"/>
    </row>
    <row r="22852" spans="1:1" x14ac:dyDescent="0.3">
      <c r="A22852" s="12"/>
    </row>
    <row r="22853" spans="1:1" x14ac:dyDescent="0.3">
      <c r="A22853" s="12"/>
    </row>
    <row r="22854" spans="1:1" x14ac:dyDescent="0.3">
      <c r="A22854" s="12"/>
    </row>
    <row r="22855" spans="1:1" x14ac:dyDescent="0.3">
      <c r="A22855" s="12"/>
    </row>
    <row r="22856" spans="1:1" x14ac:dyDescent="0.3">
      <c r="A22856" s="12"/>
    </row>
    <row r="22857" spans="1:1" x14ac:dyDescent="0.3">
      <c r="A22857" s="12"/>
    </row>
    <row r="22858" spans="1:1" x14ac:dyDescent="0.3">
      <c r="A22858" s="12"/>
    </row>
    <row r="22859" spans="1:1" x14ac:dyDescent="0.3">
      <c r="A22859" s="12"/>
    </row>
    <row r="22860" spans="1:1" x14ac:dyDescent="0.3">
      <c r="A22860" s="12"/>
    </row>
    <row r="22861" spans="1:1" x14ac:dyDescent="0.3">
      <c r="A22861" s="12"/>
    </row>
    <row r="22862" spans="1:1" x14ac:dyDescent="0.3">
      <c r="A22862" s="12"/>
    </row>
    <row r="22863" spans="1:1" x14ac:dyDescent="0.3">
      <c r="A22863" s="12"/>
    </row>
    <row r="22864" spans="1:1" x14ac:dyDescent="0.3">
      <c r="A22864" s="12"/>
    </row>
    <row r="22865" spans="1:1" x14ac:dyDescent="0.3">
      <c r="A22865" s="12"/>
    </row>
    <row r="22866" spans="1:1" x14ac:dyDescent="0.3">
      <c r="A22866" s="12"/>
    </row>
    <row r="22867" spans="1:1" x14ac:dyDescent="0.3">
      <c r="A22867" s="12"/>
    </row>
    <row r="22868" spans="1:1" x14ac:dyDescent="0.3">
      <c r="A22868" s="12"/>
    </row>
    <row r="22869" spans="1:1" x14ac:dyDescent="0.3">
      <c r="A22869" s="12"/>
    </row>
    <row r="22870" spans="1:1" x14ac:dyDescent="0.3">
      <c r="A22870" s="12"/>
    </row>
    <row r="22871" spans="1:1" x14ac:dyDescent="0.3">
      <c r="A22871" s="12"/>
    </row>
    <row r="22872" spans="1:1" x14ac:dyDescent="0.3">
      <c r="A22872" s="12"/>
    </row>
    <row r="22873" spans="1:1" x14ac:dyDescent="0.3">
      <c r="A22873" s="12"/>
    </row>
    <row r="22874" spans="1:1" x14ac:dyDescent="0.3">
      <c r="A22874" s="12"/>
    </row>
    <row r="22875" spans="1:1" x14ac:dyDescent="0.3">
      <c r="A22875" s="12"/>
    </row>
    <row r="22876" spans="1:1" x14ac:dyDescent="0.3">
      <c r="A22876" s="12"/>
    </row>
    <row r="22877" spans="1:1" x14ac:dyDescent="0.3">
      <c r="A22877" s="12"/>
    </row>
    <row r="22878" spans="1:1" x14ac:dyDescent="0.3">
      <c r="A22878" s="12"/>
    </row>
    <row r="22879" spans="1:1" x14ac:dyDescent="0.3">
      <c r="A22879" s="12"/>
    </row>
    <row r="22880" spans="1:1" x14ac:dyDescent="0.3">
      <c r="A22880" s="12"/>
    </row>
    <row r="22881" spans="1:1" x14ac:dyDescent="0.3">
      <c r="A22881" s="12"/>
    </row>
    <row r="22882" spans="1:1" x14ac:dyDescent="0.3">
      <c r="A22882" s="12"/>
    </row>
    <row r="22883" spans="1:1" x14ac:dyDescent="0.3">
      <c r="A22883" s="12"/>
    </row>
    <row r="22884" spans="1:1" x14ac:dyDescent="0.3">
      <c r="A22884" s="12"/>
    </row>
    <row r="22885" spans="1:1" x14ac:dyDescent="0.3">
      <c r="A22885" s="12"/>
    </row>
    <row r="22886" spans="1:1" x14ac:dyDescent="0.3">
      <c r="A22886" s="12"/>
    </row>
    <row r="22887" spans="1:1" x14ac:dyDescent="0.3">
      <c r="A22887" s="12"/>
    </row>
    <row r="22888" spans="1:1" x14ac:dyDescent="0.3">
      <c r="A22888" s="12"/>
    </row>
    <row r="22889" spans="1:1" x14ac:dyDescent="0.3">
      <c r="A22889" s="12"/>
    </row>
    <row r="22890" spans="1:1" x14ac:dyDescent="0.3">
      <c r="A22890" s="12"/>
    </row>
    <row r="22891" spans="1:1" x14ac:dyDescent="0.3">
      <c r="A22891" s="12"/>
    </row>
    <row r="22892" spans="1:1" x14ac:dyDescent="0.3">
      <c r="A22892" s="12"/>
    </row>
    <row r="22893" spans="1:1" x14ac:dyDescent="0.3">
      <c r="A22893" s="12"/>
    </row>
    <row r="22894" spans="1:1" x14ac:dyDescent="0.3">
      <c r="A22894" s="12"/>
    </row>
    <row r="22895" spans="1:1" x14ac:dyDescent="0.3">
      <c r="A22895" s="12"/>
    </row>
    <row r="22896" spans="1:1" x14ac:dyDescent="0.3">
      <c r="A22896" s="12"/>
    </row>
    <row r="22897" spans="1:1" x14ac:dyDescent="0.3">
      <c r="A22897" s="12"/>
    </row>
    <row r="22898" spans="1:1" x14ac:dyDescent="0.3">
      <c r="A22898" s="12"/>
    </row>
    <row r="22899" spans="1:1" x14ac:dyDescent="0.3">
      <c r="A22899" s="12"/>
    </row>
    <row r="22900" spans="1:1" x14ac:dyDescent="0.3">
      <c r="A22900" s="12"/>
    </row>
    <row r="22901" spans="1:1" x14ac:dyDescent="0.3">
      <c r="A22901" s="12"/>
    </row>
    <row r="22902" spans="1:1" x14ac:dyDescent="0.3">
      <c r="A22902" s="12"/>
    </row>
    <row r="22903" spans="1:1" x14ac:dyDescent="0.3">
      <c r="A22903" s="12"/>
    </row>
    <row r="22904" spans="1:1" x14ac:dyDescent="0.3">
      <c r="A22904" s="12"/>
    </row>
    <row r="22905" spans="1:1" x14ac:dyDescent="0.3">
      <c r="A22905" s="12"/>
    </row>
    <row r="22906" spans="1:1" x14ac:dyDescent="0.3">
      <c r="A22906" s="12"/>
    </row>
    <row r="22907" spans="1:1" x14ac:dyDescent="0.3">
      <c r="A22907" s="12"/>
    </row>
    <row r="22908" spans="1:1" x14ac:dyDescent="0.3">
      <c r="A22908" s="12"/>
    </row>
    <row r="22909" spans="1:1" x14ac:dyDescent="0.3">
      <c r="A22909" s="12"/>
    </row>
    <row r="22910" spans="1:1" x14ac:dyDescent="0.3">
      <c r="A22910" s="12"/>
    </row>
    <row r="22911" spans="1:1" x14ac:dyDescent="0.3">
      <c r="A22911" s="12"/>
    </row>
    <row r="22912" spans="1:1" x14ac:dyDescent="0.3">
      <c r="A22912" s="12"/>
    </row>
    <row r="22913" spans="1:1" x14ac:dyDescent="0.3">
      <c r="A22913" s="12"/>
    </row>
    <row r="22914" spans="1:1" x14ac:dyDescent="0.3">
      <c r="A22914" s="12"/>
    </row>
    <row r="22915" spans="1:1" x14ac:dyDescent="0.3">
      <c r="A22915" s="12"/>
    </row>
    <row r="22916" spans="1:1" x14ac:dyDescent="0.3">
      <c r="A22916" s="12"/>
    </row>
    <row r="22917" spans="1:1" x14ac:dyDescent="0.3">
      <c r="A22917" s="12"/>
    </row>
    <row r="22918" spans="1:1" x14ac:dyDescent="0.3">
      <c r="A22918" s="12"/>
    </row>
    <row r="22919" spans="1:1" x14ac:dyDescent="0.3">
      <c r="A22919" s="12"/>
    </row>
    <row r="22920" spans="1:1" x14ac:dyDescent="0.3">
      <c r="A22920" s="12"/>
    </row>
    <row r="22921" spans="1:1" x14ac:dyDescent="0.3">
      <c r="A22921" s="12"/>
    </row>
    <row r="22922" spans="1:1" x14ac:dyDescent="0.3">
      <c r="A22922" s="12"/>
    </row>
    <row r="22923" spans="1:1" x14ac:dyDescent="0.3">
      <c r="A22923" s="12"/>
    </row>
    <row r="22924" spans="1:1" x14ac:dyDescent="0.3">
      <c r="A22924" s="12"/>
    </row>
    <row r="22925" spans="1:1" x14ac:dyDescent="0.3">
      <c r="A22925" s="12"/>
    </row>
    <row r="22926" spans="1:1" x14ac:dyDescent="0.3">
      <c r="A22926" s="12"/>
    </row>
    <row r="22927" spans="1:1" x14ac:dyDescent="0.3">
      <c r="A22927" s="12"/>
    </row>
    <row r="22928" spans="1:1" x14ac:dyDescent="0.3">
      <c r="A22928" s="12"/>
    </row>
    <row r="22929" spans="1:1" x14ac:dyDescent="0.3">
      <c r="A22929" s="12"/>
    </row>
    <row r="22930" spans="1:1" x14ac:dyDescent="0.3">
      <c r="A22930" s="12"/>
    </row>
    <row r="22931" spans="1:1" x14ac:dyDescent="0.3">
      <c r="A22931" s="12"/>
    </row>
    <row r="22932" spans="1:1" x14ac:dyDescent="0.3">
      <c r="A22932" s="12"/>
    </row>
    <row r="22933" spans="1:1" x14ac:dyDescent="0.3">
      <c r="A22933" s="12"/>
    </row>
    <row r="22934" spans="1:1" x14ac:dyDescent="0.3">
      <c r="A22934" s="12"/>
    </row>
    <row r="22935" spans="1:1" x14ac:dyDescent="0.3">
      <c r="A22935" s="12"/>
    </row>
    <row r="22936" spans="1:1" x14ac:dyDescent="0.3">
      <c r="A22936" s="12"/>
    </row>
    <row r="22937" spans="1:1" x14ac:dyDescent="0.3">
      <c r="A22937" s="12"/>
    </row>
    <row r="22938" spans="1:1" x14ac:dyDescent="0.3">
      <c r="A22938" s="12"/>
    </row>
    <row r="22939" spans="1:1" x14ac:dyDescent="0.3">
      <c r="A22939" s="12"/>
    </row>
    <row r="22940" spans="1:1" x14ac:dyDescent="0.3">
      <c r="A22940" s="12"/>
    </row>
    <row r="22941" spans="1:1" x14ac:dyDescent="0.3">
      <c r="A22941" s="12"/>
    </row>
    <row r="22942" spans="1:1" x14ac:dyDescent="0.3">
      <c r="A22942" s="12"/>
    </row>
    <row r="22943" spans="1:1" x14ac:dyDescent="0.3">
      <c r="A22943" s="12"/>
    </row>
    <row r="22944" spans="1:1" x14ac:dyDescent="0.3">
      <c r="A22944" s="12"/>
    </row>
    <row r="22945" spans="1:1" x14ac:dyDescent="0.3">
      <c r="A22945" s="12"/>
    </row>
    <row r="22946" spans="1:1" x14ac:dyDescent="0.3">
      <c r="A22946" s="12"/>
    </row>
    <row r="22947" spans="1:1" x14ac:dyDescent="0.3">
      <c r="A22947" s="12"/>
    </row>
    <row r="22948" spans="1:1" x14ac:dyDescent="0.3">
      <c r="A22948" s="12"/>
    </row>
    <row r="22949" spans="1:1" x14ac:dyDescent="0.3">
      <c r="A22949" s="12"/>
    </row>
    <row r="22950" spans="1:1" x14ac:dyDescent="0.3">
      <c r="A22950" s="12"/>
    </row>
    <row r="22951" spans="1:1" x14ac:dyDescent="0.3">
      <c r="A22951" s="12"/>
    </row>
    <row r="22952" spans="1:1" x14ac:dyDescent="0.3">
      <c r="A22952" s="12"/>
    </row>
    <row r="22953" spans="1:1" x14ac:dyDescent="0.3">
      <c r="A22953" s="12"/>
    </row>
    <row r="22954" spans="1:1" x14ac:dyDescent="0.3">
      <c r="A22954" s="12"/>
    </row>
    <row r="22955" spans="1:1" x14ac:dyDescent="0.3">
      <c r="A22955" s="12"/>
    </row>
    <row r="22956" spans="1:1" x14ac:dyDescent="0.3">
      <c r="A22956" s="12"/>
    </row>
    <row r="22957" spans="1:1" x14ac:dyDescent="0.3">
      <c r="A22957" s="12"/>
    </row>
    <row r="22958" spans="1:1" x14ac:dyDescent="0.3">
      <c r="A22958" s="12"/>
    </row>
    <row r="22959" spans="1:1" x14ac:dyDescent="0.3">
      <c r="A22959" s="12"/>
    </row>
    <row r="22960" spans="1:1" x14ac:dyDescent="0.3">
      <c r="A22960" s="12"/>
    </row>
    <row r="22961" spans="1:1" x14ac:dyDescent="0.3">
      <c r="A22961" s="12"/>
    </row>
    <row r="22962" spans="1:1" x14ac:dyDescent="0.3">
      <c r="A22962" s="12"/>
    </row>
    <row r="22963" spans="1:1" x14ac:dyDescent="0.3">
      <c r="A22963" s="12"/>
    </row>
    <row r="22964" spans="1:1" x14ac:dyDescent="0.3">
      <c r="A22964" s="12"/>
    </row>
    <row r="22965" spans="1:1" x14ac:dyDescent="0.3">
      <c r="A22965" s="12"/>
    </row>
    <row r="22966" spans="1:1" x14ac:dyDescent="0.3">
      <c r="A22966" s="12"/>
    </row>
    <row r="22967" spans="1:1" x14ac:dyDescent="0.3">
      <c r="A22967" s="12"/>
    </row>
    <row r="22968" spans="1:1" x14ac:dyDescent="0.3">
      <c r="A22968" s="12"/>
    </row>
    <row r="22969" spans="1:1" x14ac:dyDescent="0.3">
      <c r="A22969" s="12"/>
    </row>
    <row r="22970" spans="1:1" x14ac:dyDescent="0.3">
      <c r="A22970" s="12"/>
    </row>
    <row r="22971" spans="1:1" x14ac:dyDescent="0.3">
      <c r="A22971" s="12"/>
    </row>
    <row r="22972" spans="1:1" x14ac:dyDescent="0.3">
      <c r="A22972" s="12"/>
    </row>
    <row r="22973" spans="1:1" x14ac:dyDescent="0.3">
      <c r="A22973" s="12"/>
    </row>
    <row r="22974" spans="1:1" x14ac:dyDescent="0.3">
      <c r="A22974" s="12"/>
    </row>
    <row r="22975" spans="1:1" x14ac:dyDescent="0.3">
      <c r="A22975" s="12"/>
    </row>
    <row r="22976" spans="1:1" x14ac:dyDescent="0.3">
      <c r="A22976" s="12"/>
    </row>
    <row r="22977" spans="1:1" x14ac:dyDescent="0.3">
      <c r="A22977" s="12"/>
    </row>
    <row r="22978" spans="1:1" x14ac:dyDescent="0.3">
      <c r="A22978" s="12"/>
    </row>
    <row r="22979" spans="1:1" x14ac:dyDescent="0.3">
      <c r="A22979" s="12"/>
    </row>
    <row r="22980" spans="1:1" x14ac:dyDescent="0.3">
      <c r="A22980" s="12"/>
    </row>
    <row r="22981" spans="1:1" x14ac:dyDescent="0.3">
      <c r="A22981" s="12"/>
    </row>
    <row r="22982" spans="1:1" x14ac:dyDescent="0.3">
      <c r="A22982" s="12"/>
    </row>
    <row r="22983" spans="1:1" x14ac:dyDescent="0.3">
      <c r="A22983" s="12"/>
    </row>
    <row r="22984" spans="1:1" x14ac:dyDescent="0.3">
      <c r="A22984" s="12"/>
    </row>
    <row r="22985" spans="1:1" x14ac:dyDescent="0.3">
      <c r="A22985" s="12"/>
    </row>
    <row r="22986" spans="1:1" x14ac:dyDescent="0.3">
      <c r="A22986" s="12"/>
    </row>
    <row r="22987" spans="1:1" x14ac:dyDescent="0.3">
      <c r="A22987" s="12"/>
    </row>
    <row r="22988" spans="1:1" x14ac:dyDescent="0.3">
      <c r="A22988" s="12"/>
    </row>
    <row r="22989" spans="1:1" x14ac:dyDescent="0.3">
      <c r="A22989" s="12"/>
    </row>
    <row r="22990" spans="1:1" x14ac:dyDescent="0.3">
      <c r="A22990" s="12"/>
    </row>
    <row r="22991" spans="1:1" x14ac:dyDescent="0.3">
      <c r="A22991" s="12"/>
    </row>
    <row r="22992" spans="1:1" x14ac:dyDescent="0.3">
      <c r="A22992" s="12"/>
    </row>
    <row r="22993" spans="1:1" x14ac:dyDescent="0.3">
      <c r="A22993" s="12"/>
    </row>
    <row r="22994" spans="1:1" x14ac:dyDescent="0.3">
      <c r="A22994" s="12"/>
    </row>
    <row r="22995" spans="1:1" x14ac:dyDescent="0.3">
      <c r="A22995" s="12"/>
    </row>
    <row r="22996" spans="1:1" x14ac:dyDescent="0.3">
      <c r="A22996" s="12"/>
    </row>
    <row r="22997" spans="1:1" x14ac:dyDescent="0.3">
      <c r="A22997" s="12"/>
    </row>
    <row r="22998" spans="1:1" x14ac:dyDescent="0.3">
      <c r="A22998" s="12"/>
    </row>
    <row r="22999" spans="1:1" x14ac:dyDescent="0.3">
      <c r="A22999" s="12"/>
    </row>
    <row r="23000" spans="1:1" x14ac:dyDescent="0.3">
      <c r="A23000" s="12"/>
    </row>
    <row r="23001" spans="1:1" x14ac:dyDescent="0.3">
      <c r="A23001" s="12"/>
    </row>
    <row r="23002" spans="1:1" x14ac:dyDescent="0.3">
      <c r="A23002" s="12"/>
    </row>
    <row r="23003" spans="1:1" x14ac:dyDescent="0.3">
      <c r="A23003" s="12"/>
    </row>
    <row r="23004" spans="1:1" x14ac:dyDescent="0.3">
      <c r="A23004" s="12"/>
    </row>
    <row r="23005" spans="1:1" x14ac:dyDescent="0.3">
      <c r="A23005" s="12"/>
    </row>
    <row r="23006" spans="1:1" x14ac:dyDescent="0.3">
      <c r="A23006" s="12"/>
    </row>
    <row r="23007" spans="1:1" x14ac:dyDescent="0.3">
      <c r="A23007" s="12"/>
    </row>
    <row r="23008" spans="1:1" x14ac:dyDescent="0.3">
      <c r="A23008" s="12"/>
    </row>
    <row r="23009" spans="1:1" x14ac:dyDescent="0.3">
      <c r="A23009" s="12"/>
    </row>
    <row r="23010" spans="1:1" x14ac:dyDescent="0.3">
      <c r="A23010" s="12"/>
    </row>
    <row r="23011" spans="1:1" x14ac:dyDescent="0.3">
      <c r="A23011" s="12"/>
    </row>
    <row r="23012" spans="1:1" x14ac:dyDescent="0.3">
      <c r="A23012" s="12"/>
    </row>
    <row r="23013" spans="1:1" x14ac:dyDescent="0.3">
      <c r="A23013" s="12"/>
    </row>
    <row r="23014" spans="1:1" x14ac:dyDescent="0.3">
      <c r="A23014" s="12"/>
    </row>
    <row r="23015" spans="1:1" x14ac:dyDescent="0.3">
      <c r="A23015" s="12"/>
    </row>
    <row r="23016" spans="1:1" x14ac:dyDescent="0.3">
      <c r="A23016" s="12"/>
    </row>
    <row r="23017" spans="1:1" x14ac:dyDescent="0.3">
      <c r="A23017" s="12"/>
    </row>
    <row r="23018" spans="1:1" x14ac:dyDescent="0.3">
      <c r="A23018" s="12"/>
    </row>
    <row r="23019" spans="1:1" x14ac:dyDescent="0.3">
      <c r="A23019" s="12"/>
    </row>
    <row r="23020" spans="1:1" x14ac:dyDescent="0.3">
      <c r="A23020" s="12"/>
    </row>
    <row r="23021" spans="1:1" x14ac:dyDescent="0.3">
      <c r="A23021" s="12"/>
    </row>
    <row r="23022" spans="1:1" x14ac:dyDescent="0.3">
      <c r="A23022" s="12"/>
    </row>
    <row r="23023" spans="1:1" x14ac:dyDescent="0.3">
      <c r="A23023" s="12"/>
    </row>
    <row r="23024" spans="1:1" x14ac:dyDescent="0.3">
      <c r="A23024" s="12"/>
    </row>
    <row r="23025" spans="1:1" x14ac:dyDescent="0.3">
      <c r="A23025" s="12"/>
    </row>
    <row r="23026" spans="1:1" x14ac:dyDescent="0.3">
      <c r="A23026" s="12"/>
    </row>
    <row r="23027" spans="1:1" x14ac:dyDescent="0.3">
      <c r="A23027" s="12"/>
    </row>
    <row r="23028" spans="1:1" x14ac:dyDescent="0.3">
      <c r="A23028" s="12"/>
    </row>
    <row r="23029" spans="1:1" x14ac:dyDescent="0.3">
      <c r="A23029" s="12"/>
    </row>
    <row r="23030" spans="1:1" x14ac:dyDescent="0.3">
      <c r="A23030" s="12"/>
    </row>
    <row r="23031" spans="1:1" x14ac:dyDescent="0.3">
      <c r="A23031" s="12"/>
    </row>
    <row r="23032" spans="1:1" x14ac:dyDescent="0.3">
      <c r="A23032" s="12"/>
    </row>
    <row r="23033" spans="1:1" x14ac:dyDescent="0.3">
      <c r="A23033" s="12"/>
    </row>
    <row r="23034" spans="1:1" x14ac:dyDescent="0.3">
      <c r="A23034" s="12"/>
    </row>
    <row r="23035" spans="1:1" x14ac:dyDescent="0.3">
      <c r="A23035" s="12"/>
    </row>
    <row r="23036" spans="1:1" x14ac:dyDescent="0.3">
      <c r="A23036" s="12"/>
    </row>
    <row r="23037" spans="1:1" x14ac:dyDescent="0.3">
      <c r="A23037" s="12"/>
    </row>
    <row r="23038" spans="1:1" x14ac:dyDescent="0.3">
      <c r="A23038" s="12"/>
    </row>
    <row r="23039" spans="1:1" x14ac:dyDescent="0.3">
      <c r="A23039" s="12"/>
    </row>
    <row r="23040" spans="1:1" x14ac:dyDescent="0.3">
      <c r="A23040" s="12"/>
    </row>
    <row r="23041" spans="1:1" x14ac:dyDescent="0.3">
      <c r="A23041" s="12"/>
    </row>
    <row r="23042" spans="1:1" x14ac:dyDescent="0.3">
      <c r="A23042" s="12"/>
    </row>
    <row r="23043" spans="1:1" x14ac:dyDescent="0.3">
      <c r="A23043" s="12"/>
    </row>
    <row r="23044" spans="1:1" x14ac:dyDescent="0.3">
      <c r="A23044" s="12"/>
    </row>
    <row r="23045" spans="1:1" x14ac:dyDescent="0.3">
      <c r="A23045" s="12"/>
    </row>
    <row r="23046" spans="1:1" x14ac:dyDescent="0.3">
      <c r="A23046" s="12"/>
    </row>
    <row r="23047" spans="1:1" x14ac:dyDescent="0.3">
      <c r="A23047" s="12"/>
    </row>
    <row r="23048" spans="1:1" x14ac:dyDescent="0.3">
      <c r="A23048" s="12"/>
    </row>
    <row r="23049" spans="1:1" x14ac:dyDescent="0.3">
      <c r="A23049" s="12"/>
    </row>
    <row r="23050" spans="1:1" x14ac:dyDescent="0.3">
      <c r="A23050" s="12"/>
    </row>
    <row r="23051" spans="1:1" x14ac:dyDescent="0.3">
      <c r="A23051" s="12"/>
    </row>
    <row r="23052" spans="1:1" x14ac:dyDescent="0.3">
      <c r="A23052" s="12"/>
    </row>
    <row r="23053" spans="1:1" x14ac:dyDescent="0.3">
      <c r="A23053" s="12"/>
    </row>
    <row r="23054" spans="1:1" x14ac:dyDescent="0.3">
      <c r="A23054" s="12"/>
    </row>
    <row r="23055" spans="1:1" x14ac:dyDescent="0.3">
      <c r="A23055" s="12"/>
    </row>
    <row r="23056" spans="1:1" x14ac:dyDescent="0.3">
      <c r="A23056" s="12"/>
    </row>
    <row r="23057" spans="1:1" x14ac:dyDescent="0.3">
      <c r="A23057" s="12"/>
    </row>
    <row r="23058" spans="1:1" x14ac:dyDescent="0.3">
      <c r="A23058" s="12"/>
    </row>
    <row r="23059" spans="1:1" x14ac:dyDescent="0.3">
      <c r="A23059" s="12"/>
    </row>
    <row r="23060" spans="1:1" x14ac:dyDescent="0.3">
      <c r="A23060" s="12"/>
    </row>
    <row r="23061" spans="1:1" x14ac:dyDescent="0.3">
      <c r="A23061" s="12"/>
    </row>
    <row r="23062" spans="1:1" x14ac:dyDescent="0.3">
      <c r="A23062" s="12"/>
    </row>
    <row r="23063" spans="1:1" x14ac:dyDescent="0.3">
      <c r="A23063" s="12"/>
    </row>
    <row r="23064" spans="1:1" x14ac:dyDescent="0.3">
      <c r="A23064" s="12"/>
    </row>
    <row r="23065" spans="1:1" x14ac:dyDescent="0.3">
      <c r="A23065" s="12"/>
    </row>
    <row r="23066" spans="1:1" x14ac:dyDescent="0.3">
      <c r="A23066" s="12"/>
    </row>
    <row r="23067" spans="1:1" x14ac:dyDescent="0.3">
      <c r="A23067" s="12"/>
    </row>
    <row r="23068" spans="1:1" x14ac:dyDescent="0.3">
      <c r="A23068" s="12"/>
    </row>
    <row r="23069" spans="1:1" x14ac:dyDescent="0.3">
      <c r="A23069" s="12"/>
    </row>
    <row r="23070" spans="1:1" x14ac:dyDescent="0.3">
      <c r="A23070" s="12"/>
    </row>
    <row r="23071" spans="1:1" x14ac:dyDescent="0.3">
      <c r="A23071" s="12"/>
    </row>
    <row r="23072" spans="1:1" x14ac:dyDescent="0.3">
      <c r="A23072" s="12"/>
    </row>
    <row r="23073" spans="1:1" x14ac:dyDescent="0.3">
      <c r="A23073" s="12"/>
    </row>
    <row r="23074" spans="1:1" x14ac:dyDescent="0.3">
      <c r="A23074" s="12"/>
    </row>
    <row r="23075" spans="1:1" x14ac:dyDescent="0.3">
      <c r="A23075" s="12"/>
    </row>
    <row r="23076" spans="1:1" x14ac:dyDescent="0.3">
      <c r="A23076" s="12"/>
    </row>
    <row r="23077" spans="1:1" x14ac:dyDescent="0.3">
      <c r="A23077" s="12"/>
    </row>
    <row r="23078" spans="1:1" x14ac:dyDescent="0.3">
      <c r="A23078" s="12"/>
    </row>
    <row r="23079" spans="1:1" x14ac:dyDescent="0.3">
      <c r="A23079" s="12"/>
    </row>
    <row r="23080" spans="1:1" x14ac:dyDescent="0.3">
      <c r="A23080" s="12"/>
    </row>
    <row r="23081" spans="1:1" x14ac:dyDescent="0.3">
      <c r="A23081" s="12"/>
    </row>
    <row r="23082" spans="1:1" x14ac:dyDescent="0.3">
      <c r="A23082" s="12"/>
    </row>
    <row r="23083" spans="1:1" x14ac:dyDescent="0.3">
      <c r="A23083" s="12"/>
    </row>
    <row r="23084" spans="1:1" x14ac:dyDescent="0.3">
      <c r="A23084" s="12"/>
    </row>
    <row r="23085" spans="1:1" x14ac:dyDescent="0.3">
      <c r="A23085" s="12"/>
    </row>
    <row r="23086" spans="1:1" x14ac:dyDescent="0.3">
      <c r="A23086" s="12"/>
    </row>
    <row r="23087" spans="1:1" x14ac:dyDescent="0.3">
      <c r="A23087" s="12"/>
    </row>
    <row r="23088" spans="1:1" x14ac:dyDescent="0.3">
      <c r="A23088" s="12"/>
    </row>
    <row r="23089" spans="1:1" x14ac:dyDescent="0.3">
      <c r="A23089" s="12"/>
    </row>
    <row r="23090" spans="1:1" x14ac:dyDescent="0.3">
      <c r="A23090" s="12"/>
    </row>
    <row r="23091" spans="1:1" x14ac:dyDescent="0.3">
      <c r="A23091" s="12"/>
    </row>
    <row r="23092" spans="1:1" x14ac:dyDescent="0.3">
      <c r="A23092" s="12"/>
    </row>
    <row r="23093" spans="1:1" x14ac:dyDescent="0.3">
      <c r="A23093" s="12"/>
    </row>
    <row r="23094" spans="1:1" x14ac:dyDescent="0.3">
      <c r="A23094" s="12"/>
    </row>
    <row r="23095" spans="1:1" x14ac:dyDescent="0.3">
      <c r="A23095" s="12"/>
    </row>
    <row r="23096" spans="1:1" x14ac:dyDescent="0.3">
      <c r="A23096" s="12"/>
    </row>
    <row r="23097" spans="1:1" x14ac:dyDescent="0.3">
      <c r="A23097" s="12"/>
    </row>
    <row r="23098" spans="1:1" x14ac:dyDescent="0.3">
      <c r="A23098" s="12"/>
    </row>
    <row r="23099" spans="1:1" x14ac:dyDescent="0.3">
      <c r="A23099" s="12"/>
    </row>
    <row r="23100" spans="1:1" x14ac:dyDescent="0.3">
      <c r="A23100" s="12"/>
    </row>
    <row r="23101" spans="1:1" x14ac:dyDescent="0.3">
      <c r="A23101" s="12"/>
    </row>
    <row r="23102" spans="1:1" x14ac:dyDescent="0.3">
      <c r="A23102" s="12"/>
    </row>
    <row r="23103" spans="1:1" x14ac:dyDescent="0.3">
      <c r="A23103" s="12"/>
    </row>
    <row r="23104" spans="1:1" x14ac:dyDescent="0.3">
      <c r="A23104" s="12"/>
    </row>
    <row r="23105" spans="1:1" x14ac:dyDescent="0.3">
      <c r="A23105" s="12"/>
    </row>
    <row r="23106" spans="1:1" x14ac:dyDescent="0.3">
      <c r="A23106" s="12"/>
    </row>
    <row r="23107" spans="1:1" x14ac:dyDescent="0.3">
      <c r="A23107" s="12"/>
    </row>
    <row r="23108" spans="1:1" x14ac:dyDescent="0.3">
      <c r="A23108" s="12"/>
    </row>
    <row r="23109" spans="1:1" x14ac:dyDescent="0.3">
      <c r="A23109" s="12"/>
    </row>
    <row r="23110" spans="1:1" x14ac:dyDescent="0.3">
      <c r="A23110" s="12"/>
    </row>
    <row r="23111" spans="1:1" x14ac:dyDescent="0.3">
      <c r="A23111" s="12"/>
    </row>
    <row r="23112" spans="1:1" x14ac:dyDescent="0.3">
      <c r="A23112" s="12"/>
    </row>
    <row r="23113" spans="1:1" x14ac:dyDescent="0.3">
      <c r="A23113" s="12"/>
    </row>
    <row r="23114" spans="1:1" x14ac:dyDescent="0.3">
      <c r="A23114" s="12"/>
    </row>
    <row r="23115" spans="1:1" x14ac:dyDescent="0.3">
      <c r="A23115" s="12"/>
    </row>
    <row r="23116" spans="1:1" x14ac:dyDescent="0.3">
      <c r="A23116" s="12"/>
    </row>
    <row r="23117" spans="1:1" x14ac:dyDescent="0.3">
      <c r="A23117" s="12"/>
    </row>
    <row r="23118" spans="1:1" x14ac:dyDescent="0.3">
      <c r="A23118" s="12"/>
    </row>
    <row r="23119" spans="1:1" x14ac:dyDescent="0.3">
      <c r="A23119" s="12"/>
    </row>
    <row r="23120" spans="1:1" x14ac:dyDescent="0.3">
      <c r="A23120" s="12"/>
    </row>
    <row r="23121" spans="1:1" x14ac:dyDescent="0.3">
      <c r="A23121" s="12"/>
    </row>
    <row r="23122" spans="1:1" x14ac:dyDescent="0.3">
      <c r="A23122" s="12"/>
    </row>
    <row r="23123" spans="1:1" x14ac:dyDescent="0.3">
      <c r="A23123" s="12"/>
    </row>
    <row r="23124" spans="1:1" x14ac:dyDescent="0.3">
      <c r="A23124" s="12"/>
    </row>
    <row r="23125" spans="1:1" x14ac:dyDescent="0.3">
      <c r="A23125" s="12"/>
    </row>
    <row r="23126" spans="1:1" x14ac:dyDescent="0.3">
      <c r="A23126" s="12"/>
    </row>
    <row r="23127" spans="1:1" x14ac:dyDescent="0.3">
      <c r="A23127" s="12"/>
    </row>
    <row r="23128" spans="1:1" x14ac:dyDescent="0.3">
      <c r="A23128" s="12"/>
    </row>
    <row r="23129" spans="1:1" x14ac:dyDescent="0.3">
      <c r="A23129" s="12"/>
    </row>
    <row r="23130" spans="1:1" x14ac:dyDescent="0.3">
      <c r="A23130" s="12"/>
    </row>
    <row r="23131" spans="1:1" x14ac:dyDescent="0.3">
      <c r="A23131" s="12"/>
    </row>
    <row r="23132" spans="1:1" x14ac:dyDescent="0.3">
      <c r="A23132" s="12"/>
    </row>
    <row r="23133" spans="1:1" x14ac:dyDescent="0.3">
      <c r="A23133" s="12"/>
    </row>
    <row r="23134" spans="1:1" x14ac:dyDescent="0.3">
      <c r="A23134" s="12"/>
    </row>
    <row r="23135" spans="1:1" x14ac:dyDescent="0.3">
      <c r="A23135" s="12"/>
    </row>
    <row r="23136" spans="1:1" x14ac:dyDescent="0.3">
      <c r="A23136" s="12"/>
    </row>
    <row r="23137" spans="1:1" x14ac:dyDescent="0.3">
      <c r="A23137" s="12"/>
    </row>
    <row r="23138" spans="1:1" x14ac:dyDescent="0.3">
      <c r="A23138" s="12"/>
    </row>
    <row r="23139" spans="1:1" x14ac:dyDescent="0.3">
      <c r="A23139" s="12"/>
    </row>
    <row r="23140" spans="1:1" x14ac:dyDescent="0.3">
      <c r="A23140" s="12"/>
    </row>
    <row r="23141" spans="1:1" x14ac:dyDescent="0.3">
      <c r="A23141" s="12"/>
    </row>
    <row r="23142" spans="1:1" x14ac:dyDescent="0.3">
      <c r="A23142" s="12"/>
    </row>
    <row r="23143" spans="1:1" x14ac:dyDescent="0.3">
      <c r="A23143" s="12"/>
    </row>
    <row r="23144" spans="1:1" x14ac:dyDescent="0.3">
      <c r="A23144" s="12"/>
    </row>
    <row r="23145" spans="1:1" x14ac:dyDescent="0.3">
      <c r="A23145" s="12"/>
    </row>
    <row r="23146" spans="1:1" x14ac:dyDescent="0.3">
      <c r="A23146" s="12"/>
    </row>
    <row r="23147" spans="1:1" x14ac:dyDescent="0.3">
      <c r="A23147" s="12"/>
    </row>
    <row r="23148" spans="1:1" x14ac:dyDescent="0.3">
      <c r="A23148" s="12"/>
    </row>
    <row r="23149" spans="1:1" x14ac:dyDescent="0.3">
      <c r="A23149" s="12"/>
    </row>
    <row r="23150" spans="1:1" x14ac:dyDescent="0.3">
      <c r="A23150" s="12"/>
    </row>
    <row r="23151" spans="1:1" x14ac:dyDescent="0.3">
      <c r="A23151" s="12"/>
    </row>
    <row r="23152" spans="1:1" x14ac:dyDescent="0.3">
      <c r="A23152" s="12"/>
    </row>
    <row r="23153" spans="1:1" x14ac:dyDescent="0.3">
      <c r="A23153" s="12"/>
    </row>
    <row r="23154" spans="1:1" x14ac:dyDescent="0.3">
      <c r="A23154" s="12"/>
    </row>
    <row r="23155" spans="1:1" x14ac:dyDescent="0.3">
      <c r="A23155" s="12"/>
    </row>
    <row r="23156" spans="1:1" x14ac:dyDescent="0.3">
      <c r="A23156" s="12"/>
    </row>
    <row r="23157" spans="1:1" x14ac:dyDescent="0.3">
      <c r="A23157" s="12"/>
    </row>
    <row r="23158" spans="1:1" x14ac:dyDescent="0.3">
      <c r="A23158" s="12"/>
    </row>
    <row r="23159" spans="1:1" x14ac:dyDescent="0.3">
      <c r="A23159" s="12"/>
    </row>
    <row r="23160" spans="1:1" x14ac:dyDescent="0.3">
      <c r="A23160" s="12"/>
    </row>
    <row r="23161" spans="1:1" x14ac:dyDescent="0.3">
      <c r="A23161" s="12"/>
    </row>
    <row r="23162" spans="1:1" x14ac:dyDescent="0.3">
      <c r="A23162" s="12"/>
    </row>
    <row r="23163" spans="1:1" x14ac:dyDescent="0.3">
      <c r="A23163" s="12"/>
    </row>
    <row r="23164" spans="1:1" x14ac:dyDescent="0.3">
      <c r="A23164" s="12"/>
    </row>
    <row r="23165" spans="1:1" x14ac:dyDescent="0.3">
      <c r="A23165" s="12"/>
    </row>
    <row r="23166" spans="1:1" x14ac:dyDescent="0.3">
      <c r="A23166" s="12"/>
    </row>
    <row r="23167" spans="1:1" x14ac:dyDescent="0.3">
      <c r="A23167" s="12"/>
    </row>
    <row r="23168" spans="1:1" x14ac:dyDescent="0.3">
      <c r="A23168" s="12"/>
    </row>
    <row r="23169" spans="1:1" x14ac:dyDescent="0.3">
      <c r="A23169" s="12"/>
    </row>
    <row r="23170" spans="1:1" x14ac:dyDescent="0.3">
      <c r="A23170" s="12"/>
    </row>
    <row r="23171" spans="1:1" x14ac:dyDescent="0.3">
      <c r="A23171" s="12"/>
    </row>
    <row r="23172" spans="1:1" x14ac:dyDescent="0.3">
      <c r="A23172" s="12"/>
    </row>
    <row r="23173" spans="1:1" x14ac:dyDescent="0.3">
      <c r="A23173" s="12"/>
    </row>
    <row r="23174" spans="1:1" x14ac:dyDescent="0.3">
      <c r="A23174" s="12"/>
    </row>
    <row r="23175" spans="1:1" x14ac:dyDescent="0.3">
      <c r="A23175" s="12"/>
    </row>
    <row r="23176" spans="1:1" x14ac:dyDescent="0.3">
      <c r="A23176" s="12"/>
    </row>
    <row r="23177" spans="1:1" x14ac:dyDescent="0.3">
      <c r="A23177" s="12"/>
    </row>
    <row r="23178" spans="1:1" x14ac:dyDescent="0.3">
      <c r="A23178" s="12"/>
    </row>
    <row r="23179" spans="1:1" x14ac:dyDescent="0.3">
      <c r="A23179" s="12"/>
    </row>
    <row r="23180" spans="1:1" x14ac:dyDescent="0.3">
      <c r="A23180" s="12"/>
    </row>
    <row r="23181" spans="1:1" x14ac:dyDescent="0.3">
      <c r="A23181" s="12"/>
    </row>
    <row r="23182" spans="1:1" x14ac:dyDescent="0.3">
      <c r="A23182" s="12"/>
    </row>
    <row r="23183" spans="1:1" x14ac:dyDescent="0.3">
      <c r="A23183" s="12"/>
    </row>
    <row r="23184" spans="1:1" x14ac:dyDescent="0.3">
      <c r="A23184" s="12"/>
    </row>
    <row r="23185" spans="1:1" x14ac:dyDescent="0.3">
      <c r="A23185" s="12"/>
    </row>
    <row r="23186" spans="1:1" x14ac:dyDescent="0.3">
      <c r="A23186" s="12"/>
    </row>
    <row r="23187" spans="1:1" x14ac:dyDescent="0.3">
      <c r="A23187" s="12"/>
    </row>
    <row r="23188" spans="1:1" x14ac:dyDescent="0.3">
      <c r="A23188" s="12"/>
    </row>
    <row r="23189" spans="1:1" x14ac:dyDescent="0.3">
      <c r="A23189" s="12"/>
    </row>
    <row r="23190" spans="1:1" x14ac:dyDescent="0.3">
      <c r="A23190" s="12"/>
    </row>
    <row r="23191" spans="1:1" x14ac:dyDescent="0.3">
      <c r="A23191" s="12"/>
    </row>
    <row r="23192" spans="1:1" x14ac:dyDescent="0.3">
      <c r="A23192" s="12"/>
    </row>
    <row r="23193" spans="1:1" x14ac:dyDescent="0.3">
      <c r="A23193" s="12"/>
    </row>
    <row r="23194" spans="1:1" x14ac:dyDescent="0.3">
      <c r="A23194" s="12"/>
    </row>
    <row r="23195" spans="1:1" x14ac:dyDescent="0.3">
      <c r="A23195" s="12"/>
    </row>
    <row r="23196" spans="1:1" x14ac:dyDescent="0.3">
      <c r="A23196" s="12"/>
    </row>
    <row r="23197" spans="1:1" x14ac:dyDescent="0.3">
      <c r="A23197" s="12"/>
    </row>
    <row r="23198" spans="1:1" x14ac:dyDescent="0.3">
      <c r="A23198" s="12"/>
    </row>
    <row r="23199" spans="1:1" x14ac:dyDescent="0.3">
      <c r="A23199" s="12"/>
    </row>
    <row r="23200" spans="1:1" x14ac:dyDescent="0.3">
      <c r="A23200" s="12"/>
    </row>
    <row r="23201" spans="1:1" x14ac:dyDescent="0.3">
      <c r="A23201" s="12"/>
    </row>
    <row r="23202" spans="1:1" x14ac:dyDescent="0.3">
      <c r="A23202" s="12"/>
    </row>
    <row r="23203" spans="1:1" x14ac:dyDescent="0.3">
      <c r="A23203" s="12"/>
    </row>
    <row r="23204" spans="1:1" x14ac:dyDescent="0.3">
      <c r="A23204" s="12"/>
    </row>
    <row r="23205" spans="1:1" x14ac:dyDescent="0.3">
      <c r="A23205" s="12"/>
    </row>
    <row r="23206" spans="1:1" x14ac:dyDescent="0.3">
      <c r="A23206" s="12"/>
    </row>
    <row r="23207" spans="1:1" x14ac:dyDescent="0.3">
      <c r="A23207" s="12"/>
    </row>
    <row r="23208" spans="1:1" x14ac:dyDescent="0.3">
      <c r="A23208" s="12"/>
    </row>
    <row r="23209" spans="1:1" x14ac:dyDescent="0.3">
      <c r="A23209" s="12"/>
    </row>
    <row r="23210" spans="1:1" x14ac:dyDescent="0.3">
      <c r="A23210" s="12"/>
    </row>
    <row r="23211" spans="1:1" x14ac:dyDescent="0.3">
      <c r="A23211" s="12"/>
    </row>
    <row r="23212" spans="1:1" x14ac:dyDescent="0.3">
      <c r="A23212" s="12"/>
    </row>
    <row r="23213" spans="1:1" x14ac:dyDescent="0.3">
      <c r="A23213" s="12"/>
    </row>
    <row r="23214" spans="1:1" x14ac:dyDescent="0.3">
      <c r="A23214" s="12"/>
    </row>
    <row r="23215" spans="1:1" x14ac:dyDescent="0.3">
      <c r="A23215" s="12"/>
    </row>
    <row r="23216" spans="1:1" x14ac:dyDescent="0.3">
      <c r="A23216" s="12"/>
    </row>
    <row r="23217" spans="1:1" x14ac:dyDescent="0.3">
      <c r="A23217" s="12"/>
    </row>
    <row r="23218" spans="1:1" x14ac:dyDescent="0.3">
      <c r="A23218" s="12"/>
    </row>
    <row r="23219" spans="1:1" x14ac:dyDescent="0.3">
      <c r="A23219" s="12"/>
    </row>
    <row r="23220" spans="1:1" x14ac:dyDescent="0.3">
      <c r="A23220" s="12"/>
    </row>
    <row r="23221" spans="1:1" x14ac:dyDescent="0.3">
      <c r="A23221" s="12"/>
    </row>
    <row r="23222" spans="1:1" x14ac:dyDescent="0.3">
      <c r="A23222" s="12"/>
    </row>
    <row r="23223" spans="1:1" x14ac:dyDescent="0.3">
      <c r="A23223" s="12"/>
    </row>
    <row r="23224" spans="1:1" x14ac:dyDescent="0.3">
      <c r="A23224" s="12"/>
    </row>
    <row r="23225" spans="1:1" x14ac:dyDescent="0.3">
      <c r="A23225" s="12"/>
    </row>
    <row r="23226" spans="1:1" x14ac:dyDescent="0.3">
      <c r="A23226" s="12"/>
    </row>
    <row r="23227" spans="1:1" x14ac:dyDescent="0.3">
      <c r="A23227" s="12"/>
    </row>
    <row r="23228" spans="1:1" x14ac:dyDescent="0.3">
      <c r="A23228" s="12"/>
    </row>
    <row r="23229" spans="1:1" x14ac:dyDescent="0.3">
      <c r="A23229" s="12"/>
    </row>
    <row r="23230" spans="1:1" x14ac:dyDescent="0.3">
      <c r="A23230" s="12"/>
    </row>
    <row r="23231" spans="1:1" x14ac:dyDescent="0.3">
      <c r="A23231" s="12"/>
    </row>
    <row r="23232" spans="1:1" x14ac:dyDescent="0.3">
      <c r="A23232" s="12"/>
    </row>
    <row r="23233" spans="1:1" x14ac:dyDescent="0.3">
      <c r="A23233" s="12"/>
    </row>
    <row r="23234" spans="1:1" x14ac:dyDescent="0.3">
      <c r="A23234" s="12"/>
    </row>
    <row r="23235" spans="1:1" x14ac:dyDescent="0.3">
      <c r="A23235" s="12"/>
    </row>
    <row r="23236" spans="1:1" x14ac:dyDescent="0.3">
      <c r="A23236" s="12"/>
    </row>
    <row r="23237" spans="1:1" x14ac:dyDescent="0.3">
      <c r="A23237" s="12"/>
    </row>
    <row r="23238" spans="1:1" x14ac:dyDescent="0.3">
      <c r="A23238" s="12"/>
    </row>
    <row r="23239" spans="1:1" x14ac:dyDescent="0.3">
      <c r="A23239" s="12"/>
    </row>
    <row r="23240" spans="1:1" x14ac:dyDescent="0.3">
      <c r="A23240" s="12"/>
    </row>
    <row r="23241" spans="1:1" x14ac:dyDescent="0.3">
      <c r="A23241" s="12"/>
    </row>
    <row r="23242" spans="1:1" x14ac:dyDescent="0.3">
      <c r="A23242" s="12"/>
    </row>
    <row r="23243" spans="1:1" x14ac:dyDescent="0.3">
      <c r="A23243" s="12"/>
    </row>
    <row r="23244" spans="1:1" x14ac:dyDescent="0.3">
      <c r="A23244" s="12"/>
    </row>
    <row r="23245" spans="1:1" x14ac:dyDescent="0.3">
      <c r="A23245" s="12"/>
    </row>
    <row r="23246" spans="1:1" x14ac:dyDescent="0.3">
      <c r="A23246" s="12"/>
    </row>
    <row r="23247" spans="1:1" x14ac:dyDescent="0.3">
      <c r="A23247" s="12"/>
    </row>
    <row r="23248" spans="1:1" x14ac:dyDescent="0.3">
      <c r="A23248" s="12"/>
    </row>
    <row r="23249" spans="1:1" x14ac:dyDescent="0.3">
      <c r="A23249" s="12"/>
    </row>
    <row r="23250" spans="1:1" x14ac:dyDescent="0.3">
      <c r="A23250" s="12"/>
    </row>
    <row r="23251" spans="1:1" x14ac:dyDescent="0.3">
      <c r="A23251" s="12"/>
    </row>
    <row r="23252" spans="1:1" x14ac:dyDescent="0.3">
      <c r="A23252" s="12"/>
    </row>
    <row r="23253" spans="1:1" x14ac:dyDescent="0.3">
      <c r="A23253" s="12"/>
    </row>
    <row r="23254" spans="1:1" x14ac:dyDescent="0.3">
      <c r="A23254" s="12"/>
    </row>
    <row r="23255" spans="1:1" x14ac:dyDescent="0.3">
      <c r="A23255" s="12"/>
    </row>
    <row r="23256" spans="1:1" x14ac:dyDescent="0.3">
      <c r="A23256" s="12"/>
    </row>
    <row r="23257" spans="1:1" x14ac:dyDescent="0.3">
      <c r="A23257" s="12"/>
    </row>
    <row r="23258" spans="1:1" x14ac:dyDescent="0.3">
      <c r="A23258" s="12"/>
    </row>
    <row r="23259" spans="1:1" x14ac:dyDescent="0.3">
      <c r="A23259" s="12"/>
    </row>
    <row r="23260" spans="1:1" x14ac:dyDescent="0.3">
      <c r="A23260" s="12"/>
    </row>
    <row r="23261" spans="1:1" x14ac:dyDescent="0.3">
      <c r="A23261" s="12"/>
    </row>
    <row r="23262" spans="1:1" x14ac:dyDescent="0.3">
      <c r="A23262" s="12"/>
    </row>
    <row r="23263" spans="1:1" x14ac:dyDescent="0.3">
      <c r="A23263" s="12"/>
    </row>
    <row r="23264" spans="1:1" x14ac:dyDescent="0.3">
      <c r="A23264" s="12"/>
    </row>
    <row r="23265" spans="1:1" x14ac:dyDescent="0.3">
      <c r="A23265" s="12"/>
    </row>
    <row r="23266" spans="1:1" x14ac:dyDescent="0.3">
      <c r="A23266" s="12"/>
    </row>
    <row r="23267" spans="1:1" x14ac:dyDescent="0.3">
      <c r="A23267" s="12"/>
    </row>
    <row r="23268" spans="1:1" x14ac:dyDescent="0.3">
      <c r="A23268" s="12"/>
    </row>
    <row r="23269" spans="1:1" x14ac:dyDescent="0.3">
      <c r="A23269" s="12"/>
    </row>
    <row r="23270" spans="1:1" x14ac:dyDescent="0.3">
      <c r="A23270" s="12"/>
    </row>
    <row r="23271" spans="1:1" x14ac:dyDescent="0.3">
      <c r="A23271" s="12"/>
    </row>
    <row r="23272" spans="1:1" x14ac:dyDescent="0.3">
      <c r="A23272" s="12"/>
    </row>
    <row r="23273" spans="1:1" x14ac:dyDescent="0.3">
      <c r="A23273" s="12"/>
    </row>
    <row r="23274" spans="1:1" x14ac:dyDescent="0.3">
      <c r="A23274" s="12"/>
    </row>
    <row r="23275" spans="1:1" x14ac:dyDescent="0.3">
      <c r="A23275" s="12"/>
    </row>
    <row r="23276" spans="1:1" x14ac:dyDescent="0.3">
      <c r="A23276" s="12"/>
    </row>
    <row r="23277" spans="1:1" x14ac:dyDescent="0.3">
      <c r="A23277" s="12"/>
    </row>
    <row r="23278" spans="1:1" x14ac:dyDescent="0.3">
      <c r="A23278" s="12"/>
    </row>
    <row r="23279" spans="1:1" x14ac:dyDescent="0.3">
      <c r="A23279" s="12"/>
    </row>
    <row r="23280" spans="1:1" x14ac:dyDescent="0.3">
      <c r="A23280" s="12"/>
    </row>
    <row r="23281" spans="1:1" x14ac:dyDescent="0.3">
      <c r="A23281" s="12"/>
    </row>
    <row r="23282" spans="1:1" x14ac:dyDescent="0.3">
      <c r="A23282" s="12"/>
    </row>
    <row r="23283" spans="1:1" x14ac:dyDescent="0.3">
      <c r="A23283" s="12"/>
    </row>
    <row r="23284" spans="1:1" x14ac:dyDescent="0.3">
      <c r="A23284" s="12"/>
    </row>
    <row r="23285" spans="1:1" x14ac:dyDescent="0.3">
      <c r="A23285" s="12"/>
    </row>
    <row r="23286" spans="1:1" x14ac:dyDescent="0.3">
      <c r="A23286" s="12"/>
    </row>
    <row r="23287" spans="1:1" x14ac:dyDescent="0.3">
      <c r="A23287" s="12"/>
    </row>
    <row r="23288" spans="1:1" x14ac:dyDescent="0.3">
      <c r="A23288" s="12"/>
    </row>
    <row r="23289" spans="1:1" x14ac:dyDescent="0.3">
      <c r="A23289" s="12"/>
    </row>
    <row r="23290" spans="1:1" x14ac:dyDescent="0.3">
      <c r="A23290" s="12"/>
    </row>
    <row r="23291" spans="1:1" x14ac:dyDescent="0.3">
      <c r="A23291" s="12"/>
    </row>
    <row r="23292" spans="1:1" x14ac:dyDescent="0.3">
      <c r="A23292" s="12"/>
    </row>
    <row r="23293" spans="1:1" x14ac:dyDescent="0.3">
      <c r="A23293" s="12"/>
    </row>
    <row r="23294" spans="1:1" x14ac:dyDescent="0.3">
      <c r="A23294" s="12"/>
    </row>
    <row r="23295" spans="1:1" x14ac:dyDescent="0.3">
      <c r="A23295" s="12"/>
    </row>
    <row r="23296" spans="1:1" x14ac:dyDescent="0.3">
      <c r="A23296" s="12"/>
    </row>
    <row r="23297" spans="1:1" x14ac:dyDescent="0.3">
      <c r="A23297" s="12"/>
    </row>
    <row r="23298" spans="1:1" x14ac:dyDescent="0.3">
      <c r="A23298" s="12"/>
    </row>
    <row r="23299" spans="1:1" x14ac:dyDescent="0.3">
      <c r="A23299" s="12"/>
    </row>
    <row r="23300" spans="1:1" x14ac:dyDescent="0.3">
      <c r="A23300" s="12"/>
    </row>
    <row r="23301" spans="1:1" x14ac:dyDescent="0.3">
      <c r="A23301" s="12"/>
    </row>
    <row r="23302" spans="1:1" x14ac:dyDescent="0.3">
      <c r="A23302" s="12"/>
    </row>
    <row r="23303" spans="1:1" x14ac:dyDescent="0.3">
      <c r="A23303" s="12"/>
    </row>
    <row r="23304" spans="1:1" x14ac:dyDescent="0.3">
      <c r="A23304" s="12"/>
    </row>
    <row r="23305" spans="1:1" x14ac:dyDescent="0.3">
      <c r="A23305" s="12"/>
    </row>
    <row r="23306" spans="1:1" x14ac:dyDescent="0.3">
      <c r="A23306" s="12"/>
    </row>
    <row r="23307" spans="1:1" x14ac:dyDescent="0.3">
      <c r="A23307" s="12"/>
    </row>
    <row r="23308" spans="1:1" x14ac:dyDescent="0.3">
      <c r="A23308" s="12"/>
    </row>
    <row r="23309" spans="1:1" x14ac:dyDescent="0.3">
      <c r="A23309" s="12"/>
    </row>
    <row r="23310" spans="1:1" x14ac:dyDescent="0.3">
      <c r="A23310" s="12"/>
    </row>
    <row r="23311" spans="1:1" x14ac:dyDescent="0.3">
      <c r="A23311" s="12"/>
    </row>
    <row r="23312" spans="1:1" x14ac:dyDescent="0.3">
      <c r="A23312" s="12"/>
    </row>
    <row r="23313" spans="1:1" x14ac:dyDescent="0.3">
      <c r="A23313" s="12"/>
    </row>
    <row r="23314" spans="1:1" x14ac:dyDescent="0.3">
      <c r="A23314" s="12"/>
    </row>
    <row r="23315" spans="1:1" x14ac:dyDescent="0.3">
      <c r="A23315" s="12"/>
    </row>
    <row r="23316" spans="1:1" x14ac:dyDescent="0.3">
      <c r="A23316" s="12"/>
    </row>
    <row r="23317" spans="1:1" x14ac:dyDescent="0.3">
      <c r="A23317" s="12"/>
    </row>
    <row r="23318" spans="1:1" x14ac:dyDescent="0.3">
      <c r="A23318" s="12"/>
    </row>
    <row r="23319" spans="1:1" x14ac:dyDescent="0.3">
      <c r="A23319" s="12"/>
    </row>
    <row r="23320" spans="1:1" x14ac:dyDescent="0.3">
      <c r="A23320" s="12"/>
    </row>
    <row r="23321" spans="1:1" x14ac:dyDescent="0.3">
      <c r="A23321" s="12"/>
    </row>
    <row r="23322" spans="1:1" x14ac:dyDescent="0.3">
      <c r="A23322" s="12"/>
    </row>
    <row r="23323" spans="1:1" x14ac:dyDescent="0.3">
      <c r="A23323" s="12"/>
    </row>
    <row r="23324" spans="1:1" x14ac:dyDescent="0.3">
      <c r="A23324" s="12"/>
    </row>
    <row r="23325" spans="1:1" x14ac:dyDescent="0.3">
      <c r="A23325" s="12"/>
    </row>
    <row r="23326" spans="1:1" x14ac:dyDescent="0.3">
      <c r="A23326" s="12"/>
    </row>
    <row r="23327" spans="1:1" x14ac:dyDescent="0.3">
      <c r="A23327" s="12"/>
    </row>
    <row r="23328" spans="1:1" x14ac:dyDescent="0.3">
      <c r="A23328" s="12"/>
    </row>
    <row r="23329" spans="1:1" x14ac:dyDescent="0.3">
      <c r="A23329" s="12"/>
    </row>
    <row r="23330" spans="1:1" x14ac:dyDescent="0.3">
      <c r="A23330" s="12"/>
    </row>
    <row r="23331" spans="1:1" x14ac:dyDescent="0.3">
      <c r="A23331" s="12"/>
    </row>
    <row r="23332" spans="1:1" x14ac:dyDescent="0.3">
      <c r="A23332" s="12"/>
    </row>
    <row r="23333" spans="1:1" x14ac:dyDescent="0.3">
      <c r="A23333" s="12"/>
    </row>
    <row r="23334" spans="1:1" x14ac:dyDescent="0.3">
      <c r="A23334" s="12"/>
    </row>
    <row r="23335" spans="1:1" x14ac:dyDescent="0.3">
      <c r="A23335" s="12"/>
    </row>
    <row r="23336" spans="1:1" x14ac:dyDescent="0.3">
      <c r="A23336" s="12"/>
    </row>
    <row r="23337" spans="1:1" x14ac:dyDescent="0.3">
      <c r="A23337" s="12"/>
    </row>
    <row r="23338" spans="1:1" x14ac:dyDescent="0.3">
      <c r="A23338" s="12"/>
    </row>
    <row r="23339" spans="1:1" x14ac:dyDescent="0.3">
      <c r="A23339" s="12"/>
    </row>
    <row r="23340" spans="1:1" x14ac:dyDescent="0.3">
      <c r="A23340" s="12"/>
    </row>
    <row r="23341" spans="1:1" x14ac:dyDescent="0.3">
      <c r="A23341" s="12"/>
    </row>
    <row r="23342" spans="1:1" x14ac:dyDescent="0.3">
      <c r="A23342" s="12"/>
    </row>
    <row r="23343" spans="1:1" x14ac:dyDescent="0.3">
      <c r="A23343" s="12"/>
    </row>
    <row r="23344" spans="1:1" x14ac:dyDescent="0.3">
      <c r="A23344" s="12"/>
    </row>
    <row r="23345" spans="1:1" x14ac:dyDescent="0.3">
      <c r="A23345" s="12"/>
    </row>
    <row r="23346" spans="1:1" x14ac:dyDescent="0.3">
      <c r="A23346" s="12"/>
    </row>
    <row r="23347" spans="1:1" x14ac:dyDescent="0.3">
      <c r="A23347" s="12"/>
    </row>
    <row r="23348" spans="1:1" x14ac:dyDescent="0.3">
      <c r="A23348" s="12"/>
    </row>
    <row r="23349" spans="1:1" x14ac:dyDescent="0.3">
      <c r="A23349" s="12"/>
    </row>
    <row r="23350" spans="1:1" x14ac:dyDescent="0.3">
      <c r="A23350" s="12"/>
    </row>
    <row r="23351" spans="1:1" x14ac:dyDescent="0.3">
      <c r="A23351" s="12"/>
    </row>
    <row r="23352" spans="1:1" x14ac:dyDescent="0.3">
      <c r="A23352" s="12"/>
    </row>
    <row r="23353" spans="1:1" x14ac:dyDescent="0.3">
      <c r="A23353" s="12"/>
    </row>
    <row r="23354" spans="1:1" x14ac:dyDescent="0.3">
      <c r="A23354" s="12"/>
    </row>
    <row r="23355" spans="1:1" x14ac:dyDescent="0.3">
      <c r="A23355" s="12"/>
    </row>
    <row r="23356" spans="1:1" x14ac:dyDescent="0.3">
      <c r="A23356" s="12"/>
    </row>
    <row r="23357" spans="1:1" x14ac:dyDescent="0.3">
      <c r="A23357" s="12"/>
    </row>
    <row r="23358" spans="1:1" x14ac:dyDescent="0.3">
      <c r="A23358" s="12"/>
    </row>
    <row r="23359" spans="1:1" x14ac:dyDescent="0.3">
      <c r="A23359" s="12"/>
    </row>
    <row r="23360" spans="1:1" x14ac:dyDescent="0.3">
      <c r="A23360" s="12"/>
    </row>
    <row r="23361" spans="1:1" x14ac:dyDescent="0.3">
      <c r="A23361" s="12"/>
    </row>
    <row r="23362" spans="1:1" x14ac:dyDescent="0.3">
      <c r="A23362" s="12"/>
    </row>
    <row r="23363" spans="1:1" x14ac:dyDescent="0.3">
      <c r="A23363" s="12"/>
    </row>
    <row r="23364" spans="1:1" x14ac:dyDescent="0.3">
      <c r="A23364" s="12"/>
    </row>
    <row r="23365" spans="1:1" x14ac:dyDescent="0.3">
      <c r="A23365" s="12"/>
    </row>
    <row r="23366" spans="1:1" x14ac:dyDescent="0.3">
      <c r="A23366" s="12"/>
    </row>
    <row r="23367" spans="1:1" x14ac:dyDescent="0.3">
      <c r="A23367" s="12"/>
    </row>
    <row r="23368" spans="1:1" x14ac:dyDescent="0.3">
      <c r="A23368" s="12"/>
    </row>
    <row r="23369" spans="1:1" x14ac:dyDescent="0.3">
      <c r="A23369" s="12"/>
    </row>
    <row r="23370" spans="1:1" x14ac:dyDescent="0.3">
      <c r="A23370" s="12"/>
    </row>
    <row r="23371" spans="1:1" x14ac:dyDescent="0.3">
      <c r="A23371" s="12"/>
    </row>
    <row r="23372" spans="1:1" x14ac:dyDescent="0.3">
      <c r="A23372" s="12"/>
    </row>
    <row r="23373" spans="1:1" x14ac:dyDescent="0.3">
      <c r="A23373" s="12"/>
    </row>
    <row r="23374" spans="1:1" x14ac:dyDescent="0.3">
      <c r="A23374" s="12"/>
    </row>
    <row r="23375" spans="1:1" x14ac:dyDescent="0.3">
      <c r="A23375" s="12"/>
    </row>
    <row r="23376" spans="1:1" x14ac:dyDescent="0.3">
      <c r="A23376" s="12"/>
    </row>
    <row r="23377" spans="1:1" x14ac:dyDescent="0.3">
      <c r="A23377" s="12"/>
    </row>
    <row r="23378" spans="1:1" x14ac:dyDescent="0.3">
      <c r="A23378" s="12"/>
    </row>
    <row r="23379" spans="1:1" x14ac:dyDescent="0.3">
      <c r="A23379" s="12"/>
    </row>
    <row r="23380" spans="1:1" x14ac:dyDescent="0.3">
      <c r="A23380" s="12"/>
    </row>
    <row r="23381" spans="1:1" x14ac:dyDescent="0.3">
      <c r="A23381" s="12"/>
    </row>
    <row r="23382" spans="1:1" x14ac:dyDescent="0.3">
      <c r="A23382" s="12"/>
    </row>
    <row r="23383" spans="1:1" x14ac:dyDescent="0.3">
      <c r="A23383" s="12"/>
    </row>
    <row r="23384" spans="1:1" x14ac:dyDescent="0.3">
      <c r="A23384" s="12"/>
    </row>
    <row r="23385" spans="1:1" x14ac:dyDescent="0.3">
      <c r="A23385" s="12"/>
    </row>
    <row r="23386" spans="1:1" x14ac:dyDescent="0.3">
      <c r="A23386" s="12"/>
    </row>
    <row r="23387" spans="1:1" x14ac:dyDescent="0.3">
      <c r="A23387" s="12"/>
    </row>
    <row r="23388" spans="1:1" x14ac:dyDescent="0.3">
      <c r="A23388" s="12"/>
    </row>
    <row r="23389" spans="1:1" x14ac:dyDescent="0.3">
      <c r="A23389" s="12"/>
    </row>
    <row r="23390" spans="1:1" x14ac:dyDescent="0.3">
      <c r="A23390" s="12"/>
    </row>
    <row r="23391" spans="1:1" x14ac:dyDescent="0.3">
      <c r="A23391" s="12"/>
    </row>
    <row r="23392" spans="1:1" x14ac:dyDescent="0.3">
      <c r="A23392" s="12"/>
    </row>
    <row r="23393" spans="1:1" x14ac:dyDescent="0.3">
      <c r="A23393" s="12"/>
    </row>
    <row r="23394" spans="1:1" x14ac:dyDescent="0.3">
      <c r="A23394" s="12"/>
    </row>
    <row r="23395" spans="1:1" x14ac:dyDescent="0.3">
      <c r="A23395" s="12"/>
    </row>
    <row r="23396" spans="1:1" x14ac:dyDescent="0.3">
      <c r="A23396" s="12"/>
    </row>
    <row r="23397" spans="1:1" x14ac:dyDescent="0.3">
      <c r="A23397" s="12"/>
    </row>
    <row r="23398" spans="1:1" x14ac:dyDescent="0.3">
      <c r="A23398" s="12"/>
    </row>
    <row r="23399" spans="1:1" x14ac:dyDescent="0.3">
      <c r="A23399" s="12"/>
    </row>
    <row r="23400" spans="1:1" x14ac:dyDescent="0.3">
      <c r="A23400" s="12"/>
    </row>
    <row r="23401" spans="1:1" x14ac:dyDescent="0.3">
      <c r="A23401" s="12"/>
    </row>
    <row r="23402" spans="1:1" x14ac:dyDescent="0.3">
      <c r="A23402" s="12"/>
    </row>
    <row r="23403" spans="1:1" x14ac:dyDescent="0.3">
      <c r="A23403" s="12"/>
    </row>
    <row r="23404" spans="1:1" x14ac:dyDescent="0.3">
      <c r="A23404" s="12"/>
    </row>
    <row r="23405" spans="1:1" x14ac:dyDescent="0.3">
      <c r="A23405" s="12"/>
    </row>
    <row r="23406" spans="1:1" x14ac:dyDescent="0.3">
      <c r="A23406" s="12"/>
    </row>
    <row r="23407" spans="1:1" x14ac:dyDescent="0.3">
      <c r="A23407" s="12"/>
    </row>
    <row r="23408" spans="1:1" x14ac:dyDescent="0.3">
      <c r="A23408" s="12"/>
    </row>
    <row r="23409" spans="1:1" x14ac:dyDescent="0.3">
      <c r="A23409" s="12"/>
    </row>
    <row r="23410" spans="1:1" x14ac:dyDescent="0.3">
      <c r="A23410" s="12"/>
    </row>
    <row r="23411" spans="1:1" x14ac:dyDescent="0.3">
      <c r="A23411" s="12"/>
    </row>
    <row r="23412" spans="1:1" x14ac:dyDescent="0.3">
      <c r="A23412" s="12"/>
    </row>
    <row r="23413" spans="1:1" x14ac:dyDescent="0.3">
      <c r="A23413" s="12"/>
    </row>
    <row r="23414" spans="1:1" x14ac:dyDescent="0.3">
      <c r="A23414" s="12"/>
    </row>
    <row r="23415" spans="1:1" x14ac:dyDescent="0.3">
      <c r="A23415" s="12"/>
    </row>
    <row r="23416" spans="1:1" x14ac:dyDescent="0.3">
      <c r="A23416" s="12"/>
    </row>
    <row r="23417" spans="1:1" x14ac:dyDescent="0.3">
      <c r="A23417" s="12"/>
    </row>
    <row r="23418" spans="1:1" x14ac:dyDescent="0.3">
      <c r="A23418" s="12"/>
    </row>
    <row r="23419" spans="1:1" x14ac:dyDescent="0.3">
      <c r="A23419" s="12"/>
    </row>
    <row r="23420" spans="1:1" x14ac:dyDescent="0.3">
      <c r="A23420" s="12"/>
    </row>
    <row r="23421" spans="1:1" x14ac:dyDescent="0.3">
      <c r="A23421" s="12"/>
    </row>
    <row r="23422" spans="1:1" x14ac:dyDescent="0.3">
      <c r="A23422" s="12"/>
    </row>
    <row r="23423" spans="1:1" x14ac:dyDescent="0.3">
      <c r="A23423" s="12"/>
    </row>
    <row r="23424" spans="1:1" x14ac:dyDescent="0.3">
      <c r="A23424" s="12"/>
    </row>
    <row r="23425" spans="1:1" x14ac:dyDescent="0.3">
      <c r="A23425" s="12"/>
    </row>
    <row r="23426" spans="1:1" x14ac:dyDescent="0.3">
      <c r="A23426" s="12"/>
    </row>
    <row r="23427" spans="1:1" x14ac:dyDescent="0.3">
      <c r="A23427" s="12"/>
    </row>
    <row r="23428" spans="1:1" x14ac:dyDescent="0.3">
      <c r="A23428" s="12"/>
    </row>
    <row r="23429" spans="1:1" x14ac:dyDescent="0.3">
      <c r="A23429" s="12"/>
    </row>
    <row r="23430" spans="1:1" x14ac:dyDescent="0.3">
      <c r="A23430" s="12"/>
    </row>
    <row r="23431" spans="1:1" x14ac:dyDescent="0.3">
      <c r="A23431" s="12"/>
    </row>
    <row r="23432" spans="1:1" x14ac:dyDescent="0.3">
      <c r="A23432" s="12"/>
    </row>
    <row r="23433" spans="1:1" x14ac:dyDescent="0.3">
      <c r="A23433" s="12"/>
    </row>
    <row r="23434" spans="1:1" x14ac:dyDescent="0.3">
      <c r="A23434" s="12"/>
    </row>
    <row r="23435" spans="1:1" x14ac:dyDescent="0.3">
      <c r="A23435" s="12"/>
    </row>
    <row r="23436" spans="1:1" x14ac:dyDescent="0.3">
      <c r="A23436" s="12"/>
    </row>
    <row r="23437" spans="1:1" x14ac:dyDescent="0.3">
      <c r="A23437" s="12"/>
    </row>
    <row r="23438" spans="1:1" x14ac:dyDescent="0.3">
      <c r="A23438" s="12"/>
    </row>
    <row r="23439" spans="1:1" x14ac:dyDescent="0.3">
      <c r="A23439" s="12"/>
    </row>
    <row r="23440" spans="1:1" x14ac:dyDescent="0.3">
      <c r="A23440" s="12"/>
    </row>
    <row r="23441" spans="1:1" x14ac:dyDescent="0.3">
      <c r="A23441" s="12"/>
    </row>
    <row r="23442" spans="1:1" x14ac:dyDescent="0.3">
      <c r="A23442" s="12"/>
    </row>
    <row r="23443" spans="1:1" x14ac:dyDescent="0.3">
      <c r="A23443" s="12"/>
    </row>
    <row r="23444" spans="1:1" x14ac:dyDescent="0.3">
      <c r="A23444" s="12"/>
    </row>
    <row r="23445" spans="1:1" x14ac:dyDescent="0.3">
      <c r="A23445" s="12"/>
    </row>
    <row r="23446" spans="1:1" x14ac:dyDescent="0.3">
      <c r="A23446" s="12"/>
    </row>
    <row r="23447" spans="1:1" x14ac:dyDescent="0.3">
      <c r="A23447" s="12"/>
    </row>
    <row r="23448" spans="1:1" x14ac:dyDescent="0.3">
      <c r="A23448" s="12"/>
    </row>
    <row r="23449" spans="1:1" x14ac:dyDescent="0.3">
      <c r="A23449" s="12"/>
    </row>
    <row r="23450" spans="1:1" x14ac:dyDescent="0.3">
      <c r="A23450" s="12"/>
    </row>
    <row r="23451" spans="1:1" x14ac:dyDescent="0.3">
      <c r="A23451" s="12"/>
    </row>
    <row r="23452" spans="1:1" x14ac:dyDescent="0.3">
      <c r="A23452" s="12"/>
    </row>
    <row r="23453" spans="1:1" x14ac:dyDescent="0.3">
      <c r="A23453" s="12"/>
    </row>
    <row r="23454" spans="1:1" x14ac:dyDescent="0.3">
      <c r="A23454" s="12"/>
    </row>
    <row r="23455" spans="1:1" x14ac:dyDescent="0.3">
      <c r="A23455" s="12"/>
    </row>
    <row r="23456" spans="1:1" x14ac:dyDescent="0.3">
      <c r="A23456" s="12"/>
    </row>
    <row r="23457" spans="1:1" x14ac:dyDescent="0.3">
      <c r="A23457" s="12"/>
    </row>
    <row r="23458" spans="1:1" x14ac:dyDescent="0.3">
      <c r="A23458" s="12"/>
    </row>
    <row r="23459" spans="1:1" x14ac:dyDescent="0.3">
      <c r="A23459" s="12"/>
    </row>
    <row r="23460" spans="1:1" x14ac:dyDescent="0.3">
      <c r="A23460" s="12"/>
    </row>
    <row r="23461" spans="1:1" x14ac:dyDescent="0.3">
      <c r="A23461" s="12"/>
    </row>
    <row r="23462" spans="1:1" x14ac:dyDescent="0.3">
      <c r="A23462" s="12"/>
    </row>
    <row r="23463" spans="1:1" x14ac:dyDescent="0.3">
      <c r="A23463" s="12"/>
    </row>
    <row r="23464" spans="1:1" x14ac:dyDescent="0.3">
      <c r="A23464" s="12"/>
    </row>
    <row r="23465" spans="1:1" x14ac:dyDescent="0.3">
      <c r="A23465" s="12"/>
    </row>
    <row r="23466" spans="1:1" x14ac:dyDescent="0.3">
      <c r="A23466" s="12"/>
    </row>
    <row r="23467" spans="1:1" x14ac:dyDescent="0.3">
      <c r="A23467" s="12"/>
    </row>
    <row r="23468" spans="1:1" x14ac:dyDescent="0.3">
      <c r="A23468" s="12"/>
    </row>
    <row r="23469" spans="1:1" x14ac:dyDescent="0.3">
      <c r="A23469" s="12"/>
    </row>
    <row r="23470" spans="1:1" x14ac:dyDescent="0.3">
      <c r="A23470" s="12"/>
    </row>
    <row r="23471" spans="1:1" x14ac:dyDescent="0.3">
      <c r="A23471" s="12"/>
    </row>
    <row r="23472" spans="1:1" x14ac:dyDescent="0.3">
      <c r="A23472" s="12"/>
    </row>
    <row r="23473" spans="1:1" x14ac:dyDescent="0.3">
      <c r="A23473" s="12"/>
    </row>
    <row r="23474" spans="1:1" x14ac:dyDescent="0.3">
      <c r="A23474" s="12"/>
    </row>
    <row r="23475" spans="1:1" x14ac:dyDescent="0.3">
      <c r="A23475" s="12"/>
    </row>
    <row r="23476" spans="1:1" x14ac:dyDescent="0.3">
      <c r="A23476" s="12"/>
    </row>
    <row r="23477" spans="1:1" x14ac:dyDescent="0.3">
      <c r="A23477" s="12"/>
    </row>
    <row r="23478" spans="1:1" x14ac:dyDescent="0.3">
      <c r="A23478" s="12"/>
    </row>
    <row r="23479" spans="1:1" x14ac:dyDescent="0.3">
      <c r="A23479" s="12"/>
    </row>
    <row r="23480" spans="1:1" x14ac:dyDescent="0.3">
      <c r="A23480" s="12"/>
    </row>
    <row r="23481" spans="1:1" x14ac:dyDescent="0.3">
      <c r="A23481" s="12"/>
    </row>
    <row r="23482" spans="1:1" x14ac:dyDescent="0.3">
      <c r="A23482" s="12"/>
    </row>
    <row r="23483" spans="1:1" x14ac:dyDescent="0.3">
      <c r="A23483" s="12"/>
    </row>
    <row r="23484" spans="1:1" x14ac:dyDescent="0.3">
      <c r="A23484" s="12"/>
    </row>
    <row r="23485" spans="1:1" x14ac:dyDescent="0.3">
      <c r="A23485" s="12"/>
    </row>
    <row r="23486" spans="1:1" x14ac:dyDescent="0.3">
      <c r="A23486" s="12"/>
    </row>
    <row r="23487" spans="1:1" x14ac:dyDescent="0.3">
      <c r="A23487" s="12"/>
    </row>
    <row r="23488" spans="1:1" x14ac:dyDescent="0.3">
      <c r="A23488" s="12"/>
    </row>
    <row r="23489" spans="1:1" x14ac:dyDescent="0.3">
      <c r="A23489" s="12"/>
    </row>
    <row r="23490" spans="1:1" x14ac:dyDescent="0.3">
      <c r="A23490" s="12"/>
    </row>
    <row r="23491" spans="1:1" x14ac:dyDescent="0.3">
      <c r="A23491" s="12"/>
    </row>
    <row r="23492" spans="1:1" x14ac:dyDescent="0.3">
      <c r="A23492" s="12"/>
    </row>
    <row r="23493" spans="1:1" x14ac:dyDescent="0.3">
      <c r="A23493" s="12"/>
    </row>
    <row r="23494" spans="1:1" x14ac:dyDescent="0.3">
      <c r="A23494" s="12"/>
    </row>
    <row r="23495" spans="1:1" x14ac:dyDescent="0.3">
      <c r="A23495" s="12"/>
    </row>
    <row r="23496" spans="1:1" x14ac:dyDescent="0.3">
      <c r="A23496" s="12"/>
    </row>
    <row r="23497" spans="1:1" x14ac:dyDescent="0.3">
      <c r="A23497" s="12"/>
    </row>
    <row r="23498" spans="1:1" x14ac:dyDescent="0.3">
      <c r="A23498" s="12"/>
    </row>
    <row r="23499" spans="1:1" x14ac:dyDescent="0.3">
      <c r="A23499" s="12"/>
    </row>
    <row r="23500" spans="1:1" x14ac:dyDescent="0.3">
      <c r="A23500" s="12"/>
    </row>
    <row r="23501" spans="1:1" x14ac:dyDescent="0.3">
      <c r="A23501" s="12"/>
    </row>
    <row r="23502" spans="1:1" x14ac:dyDescent="0.3">
      <c r="A23502" s="12"/>
    </row>
    <row r="23503" spans="1:1" x14ac:dyDescent="0.3">
      <c r="A23503" s="12"/>
    </row>
    <row r="23504" spans="1:1" x14ac:dyDescent="0.3">
      <c r="A23504" s="12"/>
    </row>
    <row r="23505" spans="1:1" x14ac:dyDescent="0.3">
      <c r="A23505" s="12"/>
    </row>
    <row r="23506" spans="1:1" x14ac:dyDescent="0.3">
      <c r="A23506" s="12"/>
    </row>
    <row r="23507" spans="1:1" x14ac:dyDescent="0.3">
      <c r="A23507" s="12"/>
    </row>
    <row r="23508" spans="1:1" x14ac:dyDescent="0.3">
      <c r="A23508" s="12"/>
    </row>
    <row r="23509" spans="1:1" x14ac:dyDescent="0.3">
      <c r="A23509" s="12"/>
    </row>
    <row r="23510" spans="1:1" x14ac:dyDescent="0.3">
      <c r="A23510" s="12"/>
    </row>
    <row r="23511" spans="1:1" x14ac:dyDescent="0.3">
      <c r="A23511" s="12"/>
    </row>
    <row r="23512" spans="1:1" x14ac:dyDescent="0.3">
      <c r="A23512" s="12"/>
    </row>
    <row r="23513" spans="1:1" x14ac:dyDescent="0.3">
      <c r="A23513" s="12"/>
    </row>
    <row r="23514" spans="1:1" x14ac:dyDescent="0.3">
      <c r="A23514" s="12"/>
    </row>
    <row r="23515" spans="1:1" x14ac:dyDescent="0.3">
      <c r="A23515" s="12"/>
    </row>
    <row r="23516" spans="1:1" x14ac:dyDescent="0.3">
      <c r="A23516" s="12"/>
    </row>
    <row r="23517" spans="1:1" x14ac:dyDescent="0.3">
      <c r="A23517" s="12"/>
    </row>
    <row r="23518" spans="1:1" x14ac:dyDescent="0.3">
      <c r="A23518" s="12"/>
    </row>
    <row r="23519" spans="1:1" x14ac:dyDescent="0.3">
      <c r="A23519" s="12"/>
    </row>
    <row r="23520" spans="1:1" x14ac:dyDescent="0.3">
      <c r="A23520" s="12"/>
    </row>
    <row r="23521" spans="1:1" x14ac:dyDescent="0.3">
      <c r="A23521" s="12"/>
    </row>
    <row r="23522" spans="1:1" x14ac:dyDescent="0.3">
      <c r="A23522" s="12"/>
    </row>
    <row r="23523" spans="1:1" x14ac:dyDescent="0.3">
      <c r="A23523" s="12"/>
    </row>
    <row r="23524" spans="1:1" x14ac:dyDescent="0.3">
      <c r="A23524" s="12"/>
    </row>
    <row r="23525" spans="1:1" x14ac:dyDescent="0.3">
      <c r="A23525" s="12"/>
    </row>
    <row r="23526" spans="1:1" x14ac:dyDescent="0.3">
      <c r="A23526" s="12"/>
    </row>
    <row r="23527" spans="1:1" x14ac:dyDescent="0.3">
      <c r="A23527" s="12"/>
    </row>
    <row r="23528" spans="1:1" x14ac:dyDescent="0.3">
      <c r="A23528" s="12"/>
    </row>
    <row r="23529" spans="1:1" x14ac:dyDescent="0.3">
      <c r="A23529" s="12"/>
    </row>
    <row r="23530" spans="1:1" x14ac:dyDescent="0.3">
      <c r="A23530" s="12"/>
    </row>
    <row r="23531" spans="1:1" x14ac:dyDescent="0.3">
      <c r="A23531" s="12"/>
    </row>
    <row r="23532" spans="1:1" x14ac:dyDescent="0.3">
      <c r="A23532" s="12"/>
    </row>
    <row r="23533" spans="1:1" x14ac:dyDescent="0.3">
      <c r="A23533" s="12"/>
    </row>
    <row r="23534" spans="1:1" x14ac:dyDescent="0.3">
      <c r="A23534" s="12"/>
    </row>
    <row r="23535" spans="1:1" x14ac:dyDescent="0.3">
      <c r="A23535" s="12"/>
    </row>
    <row r="23536" spans="1:1" x14ac:dyDescent="0.3">
      <c r="A23536" s="12"/>
    </row>
    <row r="23537" spans="1:1" x14ac:dyDescent="0.3">
      <c r="A23537" s="12"/>
    </row>
    <row r="23538" spans="1:1" x14ac:dyDescent="0.3">
      <c r="A23538" s="12"/>
    </row>
    <row r="23539" spans="1:1" x14ac:dyDescent="0.3">
      <c r="A23539" s="12"/>
    </row>
    <row r="23540" spans="1:1" x14ac:dyDescent="0.3">
      <c r="A23540" s="12"/>
    </row>
    <row r="23541" spans="1:1" x14ac:dyDescent="0.3">
      <c r="A23541" s="12"/>
    </row>
    <row r="23542" spans="1:1" x14ac:dyDescent="0.3">
      <c r="A23542" s="12"/>
    </row>
    <row r="23543" spans="1:1" x14ac:dyDescent="0.3">
      <c r="A23543" s="12"/>
    </row>
    <row r="23544" spans="1:1" x14ac:dyDescent="0.3">
      <c r="A23544" s="12"/>
    </row>
    <row r="23545" spans="1:1" x14ac:dyDescent="0.3">
      <c r="A23545" s="12"/>
    </row>
    <row r="23546" spans="1:1" x14ac:dyDescent="0.3">
      <c r="A23546" s="12"/>
    </row>
    <row r="23547" spans="1:1" x14ac:dyDescent="0.3">
      <c r="A23547" s="12"/>
    </row>
    <row r="23548" spans="1:1" x14ac:dyDescent="0.3">
      <c r="A23548" s="12"/>
    </row>
    <row r="23549" spans="1:1" x14ac:dyDescent="0.3">
      <c r="A23549" s="12"/>
    </row>
    <row r="23550" spans="1:1" x14ac:dyDescent="0.3">
      <c r="A23550" s="12"/>
    </row>
    <row r="23551" spans="1:1" x14ac:dyDescent="0.3">
      <c r="A23551" s="12"/>
    </row>
    <row r="23552" spans="1:1" x14ac:dyDescent="0.3">
      <c r="A23552" s="12"/>
    </row>
    <row r="23553" spans="1:1" x14ac:dyDescent="0.3">
      <c r="A23553" s="12"/>
    </row>
    <row r="23554" spans="1:1" x14ac:dyDescent="0.3">
      <c r="A23554" s="12"/>
    </row>
    <row r="23555" spans="1:1" x14ac:dyDescent="0.3">
      <c r="A23555" s="12"/>
    </row>
    <row r="23556" spans="1:1" x14ac:dyDescent="0.3">
      <c r="A23556" s="12"/>
    </row>
    <row r="23557" spans="1:1" x14ac:dyDescent="0.3">
      <c r="A23557" s="12"/>
    </row>
    <row r="23558" spans="1:1" x14ac:dyDescent="0.3">
      <c r="A23558" s="12"/>
    </row>
    <row r="23559" spans="1:1" x14ac:dyDescent="0.3">
      <c r="A23559" s="12"/>
    </row>
    <row r="23560" spans="1:1" x14ac:dyDescent="0.3">
      <c r="A23560" s="12"/>
    </row>
    <row r="23561" spans="1:1" x14ac:dyDescent="0.3">
      <c r="A23561" s="12"/>
    </row>
    <row r="23562" spans="1:1" x14ac:dyDescent="0.3">
      <c r="A23562" s="12"/>
    </row>
    <row r="23563" spans="1:1" x14ac:dyDescent="0.3">
      <c r="A23563" s="12"/>
    </row>
    <row r="23564" spans="1:1" x14ac:dyDescent="0.3">
      <c r="A23564" s="12"/>
    </row>
    <row r="23565" spans="1:1" x14ac:dyDescent="0.3">
      <c r="A23565" s="12"/>
    </row>
    <row r="23566" spans="1:1" x14ac:dyDescent="0.3">
      <c r="A23566" s="12"/>
    </row>
    <row r="23567" spans="1:1" x14ac:dyDescent="0.3">
      <c r="A23567" s="12"/>
    </row>
    <row r="23568" spans="1:1" x14ac:dyDescent="0.3">
      <c r="A23568" s="12"/>
    </row>
    <row r="23569" spans="1:1" x14ac:dyDescent="0.3">
      <c r="A23569" s="12"/>
    </row>
    <row r="23570" spans="1:1" x14ac:dyDescent="0.3">
      <c r="A23570" s="12"/>
    </row>
    <row r="23571" spans="1:1" x14ac:dyDescent="0.3">
      <c r="A23571" s="12"/>
    </row>
    <row r="23572" spans="1:1" x14ac:dyDescent="0.3">
      <c r="A23572" s="12"/>
    </row>
    <row r="23573" spans="1:1" x14ac:dyDescent="0.3">
      <c r="A23573" s="12"/>
    </row>
    <row r="23574" spans="1:1" x14ac:dyDescent="0.3">
      <c r="A23574" s="12"/>
    </row>
    <row r="23575" spans="1:1" x14ac:dyDescent="0.3">
      <c r="A23575" s="12"/>
    </row>
    <row r="23576" spans="1:1" x14ac:dyDescent="0.3">
      <c r="A23576" s="12"/>
    </row>
    <row r="23577" spans="1:1" x14ac:dyDescent="0.3">
      <c r="A23577" s="12"/>
    </row>
    <row r="23578" spans="1:1" x14ac:dyDescent="0.3">
      <c r="A23578" s="12"/>
    </row>
    <row r="23579" spans="1:1" x14ac:dyDescent="0.3">
      <c r="A23579" s="12"/>
    </row>
    <row r="23580" spans="1:1" x14ac:dyDescent="0.3">
      <c r="A23580" s="12"/>
    </row>
    <row r="23581" spans="1:1" x14ac:dyDescent="0.3">
      <c r="A23581" s="12"/>
    </row>
    <row r="23582" spans="1:1" x14ac:dyDescent="0.3">
      <c r="A23582" s="12"/>
    </row>
    <row r="23583" spans="1:1" x14ac:dyDescent="0.3">
      <c r="A23583" s="12"/>
    </row>
    <row r="23584" spans="1:1" x14ac:dyDescent="0.3">
      <c r="A23584" s="12"/>
    </row>
    <row r="23585" spans="1:1" x14ac:dyDescent="0.3">
      <c r="A23585" s="12"/>
    </row>
    <row r="23586" spans="1:1" x14ac:dyDescent="0.3">
      <c r="A23586" s="12"/>
    </row>
    <row r="23587" spans="1:1" x14ac:dyDescent="0.3">
      <c r="A23587" s="12"/>
    </row>
    <row r="23588" spans="1:1" x14ac:dyDescent="0.3">
      <c r="A23588" s="12"/>
    </row>
    <row r="23589" spans="1:1" x14ac:dyDescent="0.3">
      <c r="A23589" s="12"/>
    </row>
    <row r="23590" spans="1:1" x14ac:dyDescent="0.3">
      <c r="A23590" s="12"/>
    </row>
    <row r="23591" spans="1:1" x14ac:dyDescent="0.3">
      <c r="A23591" s="12"/>
    </row>
    <row r="23592" spans="1:1" x14ac:dyDescent="0.3">
      <c r="A23592" s="12"/>
    </row>
    <row r="23593" spans="1:1" x14ac:dyDescent="0.3">
      <c r="A23593" s="12"/>
    </row>
    <row r="23594" spans="1:1" x14ac:dyDescent="0.3">
      <c r="A23594" s="12"/>
    </row>
    <row r="23595" spans="1:1" x14ac:dyDescent="0.3">
      <c r="A23595" s="12"/>
    </row>
    <row r="23596" spans="1:1" x14ac:dyDescent="0.3">
      <c r="A23596" s="12"/>
    </row>
    <row r="23597" spans="1:1" x14ac:dyDescent="0.3">
      <c r="A23597" s="12"/>
    </row>
    <row r="23598" spans="1:1" x14ac:dyDescent="0.3">
      <c r="A23598" s="12"/>
    </row>
    <row r="23599" spans="1:1" x14ac:dyDescent="0.3">
      <c r="A23599" s="12"/>
    </row>
    <row r="23600" spans="1:1" x14ac:dyDescent="0.3">
      <c r="A23600" s="12"/>
    </row>
    <row r="23601" spans="1:1" x14ac:dyDescent="0.3">
      <c r="A23601" s="12"/>
    </row>
    <row r="23602" spans="1:1" x14ac:dyDescent="0.3">
      <c r="A23602" s="12"/>
    </row>
    <row r="23603" spans="1:1" x14ac:dyDescent="0.3">
      <c r="A23603" s="12"/>
    </row>
    <row r="23604" spans="1:1" x14ac:dyDescent="0.3">
      <c r="A23604" s="12"/>
    </row>
    <row r="23605" spans="1:1" x14ac:dyDescent="0.3">
      <c r="A23605" s="12"/>
    </row>
    <row r="23606" spans="1:1" x14ac:dyDescent="0.3">
      <c r="A23606" s="12"/>
    </row>
    <row r="23607" spans="1:1" x14ac:dyDescent="0.3">
      <c r="A23607" s="12"/>
    </row>
    <row r="23608" spans="1:1" x14ac:dyDescent="0.3">
      <c r="A23608" s="12"/>
    </row>
    <row r="23609" spans="1:1" x14ac:dyDescent="0.3">
      <c r="A23609" s="12"/>
    </row>
    <row r="23610" spans="1:1" x14ac:dyDescent="0.3">
      <c r="A23610" s="12"/>
    </row>
    <row r="23611" spans="1:1" x14ac:dyDescent="0.3">
      <c r="A23611" s="12"/>
    </row>
    <row r="23612" spans="1:1" x14ac:dyDescent="0.3">
      <c r="A23612" s="12"/>
    </row>
    <row r="23613" spans="1:1" x14ac:dyDescent="0.3">
      <c r="A23613" s="12"/>
    </row>
    <row r="23614" spans="1:1" x14ac:dyDescent="0.3">
      <c r="A23614" s="12"/>
    </row>
    <row r="23615" spans="1:1" x14ac:dyDescent="0.3">
      <c r="A23615" s="12"/>
    </row>
    <row r="23616" spans="1:1" x14ac:dyDescent="0.3">
      <c r="A23616" s="12"/>
    </row>
    <row r="23617" spans="1:1" x14ac:dyDescent="0.3">
      <c r="A23617" s="12"/>
    </row>
    <row r="23618" spans="1:1" x14ac:dyDescent="0.3">
      <c r="A23618" s="12"/>
    </row>
    <row r="23619" spans="1:1" x14ac:dyDescent="0.3">
      <c r="A23619" s="12"/>
    </row>
    <row r="23620" spans="1:1" x14ac:dyDescent="0.3">
      <c r="A23620" s="12"/>
    </row>
    <row r="23621" spans="1:1" x14ac:dyDescent="0.3">
      <c r="A23621" s="12"/>
    </row>
    <row r="23622" spans="1:1" x14ac:dyDescent="0.3">
      <c r="A23622" s="12"/>
    </row>
    <row r="23623" spans="1:1" x14ac:dyDescent="0.3">
      <c r="A23623" s="12"/>
    </row>
    <row r="23624" spans="1:1" x14ac:dyDescent="0.3">
      <c r="A23624" s="12"/>
    </row>
    <row r="23625" spans="1:1" x14ac:dyDescent="0.3">
      <c r="A23625" s="12"/>
    </row>
    <row r="23626" spans="1:1" x14ac:dyDescent="0.3">
      <c r="A23626" s="12"/>
    </row>
    <row r="23627" spans="1:1" x14ac:dyDescent="0.3">
      <c r="A23627" s="12"/>
    </row>
    <row r="23628" spans="1:1" x14ac:dyDescent="0.3">
      <c r="A23628" s="12"/>
    </row>
    <row r="23629" spans="1:1" x14ac:dyDescent="0.3">
      <c r="A23629" s="12"/>
    </row>
    <row r="23630" spans="1:1" x14ac:dyDescent="0.3">
      <c r="A23630" s="12"/>
    </row>
    <row r="23631" spans="1:1" x14ac:dyDescent="0.3">
      <c r="A23631" s="12"/>
    </row>
    <row r="23632" spans="1:1" x14ac:dyDescent="0.3">
      <c r="A23632" s="12"/>
    </row>
    <row r="23633" spans="1:1" x14ac:dyDescent="0.3">
      <c r="A23633" s="12"/>
    </row>
    <row r="23634" spans="1:1" x14ac:dyDescent="0.3">
      <c r="A23634" s="12"/>
    </row>
    <row r="23635" spans="1:1" x14ac:dyDescent="0.3">
      <c r="A23635" s="12"/>
    </row>
    <row r="23636" spans="1:1" x14ac:dyDescent="0.3">
      <c r="A23636" s="12"/>
    </row>
    <row r="23637" spans="1:1" x14ac:dyDescent="0.3">
      <c r="A23637" s="12"/>
    </row>
    <row r="23638" spans="1:1" x14ac:dyDescent="0.3">
      <c r="A23638" s="12"/>
    </row>
    <row r="23639" spans="1:1" x14ac:dyDescent="0.3">
      <c r="A23639" s="12"/>
    </row>
    <row r="23640" spans="1:1" x14ac:dyDescent="0.3">
      <c r="A23640" s="12"/>
    </row>
    <row r="23641" spans="1:1" x14ac:dyDescent="0.3">
      <c r="A23641" s="12"/>
    </row>
    <row r="23642" spans="1:1" x14ac:dyDescent="0.3">
      <c r="A23642" s="12"/>
    </row>
    <row r="23643" spans="1:1" x14ac:dyDescent="0.3">
      <c r="A23643" s="12"/>
    </row>
    <row r="23644" spans="1:1" x14ac:dyDescent="0.3">
      <c r="A23644" s="12"/>
    </row>
    <row r="23645" spans="1:1" x14ac:dyDescent="0.3">
      <c r="A23645" s="12"/>
    </row>
    <row r="23646" spans="1:1" x14ac:dyDescent="0.3">
      <c r="A23646" s="12"/>
    </row>
    <row r="23647" spans="1:1" x14ac:dyDescent="0.3">
      <c r="A23647" s="12"/>
    </row>
    <row r="23648" spans="1:1" x14ac:dyDescent="0.3">
      <c r="A23648" s="12"/>
    </row>
    <row r="23649" spans="1:1" x14ac:dyDescent="0.3">
      <c r="A23649" s="12"/>
    </row>
    <row r="23650" spans="1:1" x14ac:dyDescent="0.3">
      <c r="A23650" s="12"/>
    </row>
    <row r="23651" spans="1:1" x14ac:dyDescent="0.3">
      <c r="A23651" s="12"/>
    </row>
    <row r="23652" spans="1:1" x14ac:dyDescent="0.3">
      <c r="A23652" s="12"/>
    </row>
    <row r="23653" spans="1:1" x14ac:dyDescent="0.3">
      <c r="A23653" s="12"/>
    </row>
    <row r="23654" spans="1:1" x14ac:dyDescent="0.3">
      <c r="A23654" s="12"/>
    </row>
    <row r="23655" spans="1:1" x14ac:dyDescent="0.3">
      <c r="A23655" s="12"/>
    </row>
    <row r="23656" spans="1:1" x14ac:dyDescent="0.3">
      <c r="A23656" s="12"/>
    </row>
    <row r="23657" spans="1:1" x14ac:dyDescent="0.3">
      <c r="A23657" s="12"/>
    </row>
    <row r="23658" spans="1:1" x14ac:dyDescent="0.3">
      <c r="A23658" s="12"/>
    </row>
    <row r="23659" spans="1:1" x14ac:dyDescent="0.3">
      <c r="A23659" s="12"/>
    </row>
    <row r="23660" spans="1:1" x14ac:dyDescent="0.3">
      <c r="A23660" s="12"/>
    </row>
    <row r="23661" spans="1:1" x14ac:dyDescent="0.3">
      <c r="A23661" s="12"/>
    </row>
    <row r="23662" spans="1:1" x14ac:dyDescent="0.3">
      <c r="A23662" s="12"/>
    </row>
    <row r="23663" spans="1:1" x14ac:dyDescent="0.3">
      <c r="A23663" s="12"/>
    </row>
    <row r="23664" spans="1:1" x14ac:dyDescent="0.3">
      <c r="A23664" s="12"/>
    </row>
    <row r="23665" spans="1:1" x14ac:dyDescent="0.3">
      <c r="A23665" s="12"/>
    </row>
    <row r="23666" spans="1:1" x14ac:dyDescent="0.3">
      <c r="A23666" s="12"/>
    </row>
    <row r="23667" spans="1:1" x14ac:dyDescent="0.3">
      <c r="A23667" s="12"/>
    </row>
    <row r="23668" spans="1:1" x14ac:dyDescent="0.3">
      <c r="A23668" s="12"/>
    </row>
    <row r="23669" spans="1:1" x14ac:dyDescent="0.3">
      <c r="A23669" s="12"/>
    </row>
    <row r="23670" spans="1:1" x14ac:dyDescent="0.3">
      <c r="A23670" s="12"/>
    </row>
    <row r="23671" spans="1:1" x14ac:dyDescent="0.3">
      <c r="A23671" s="12"/>
    </row>
    <row r="23672" spans="1:1" x14ac:dyDescent="0.3">
      <c r="A23672" s="12"/>
    </row>
    <row r="23673" spans="1:1" x14ac:dyDescent="0.3">
      <c r="A23673" s="12"/>
    </row>
    <row r="23674" spans="1:1" x14ac:dyDescent="0.3">
      <c r="A23674" s="12"/>
    </row>
    <row r="23675" spans="1:1" x14ac:dyDescent="0.3">
      <c r="A23675" s="12"/>
    </row>
    <row r="23676" spans="1:1" x14ac:dyDescent="0.3">
      <c r="A23676" s="12"/>
    </row>
    <row r="23677" spans="1:1" x14ac:dyDescent="0.3">
      <c r="A23677" s="12"/>
    </row>
    <row r="23678" spans="1:1" x14ac:dyDescent="0.3">
      <c r="A23678" s="12"/>
    </row>
    <row r="23679" spans="1:1" x14ac:dyDescent="0.3">
      <c r="A23679" s="12"/>
    </row>
    <row r="23680" spans="1:1" x14ac:dyDescent="0.3">
      <c r="A23680" s="12"/>
    </row>
    <row r="23681" spans="1:1" x14ac:dyDescent="0.3">
      <c r="A23681" s="12"/>
    </row>
    <row r="23682" spans="1:1" x14ac:dyDescent="0.3">
      <c r="A23682" s="12"/>
    </row>
    <row r="23683" spans="1:1" x14ac:dyDescent="0.3">
      <c r="A23683" s="12"/>
    </row>
    <row r="23684" spans="1:1" x14ac:dyDescent="0.3">
      <c r="A23684" s="12"/>
    </row>
    <row r="23685" spans="1:1" x14ac:dyDescent="0.3">
      <c r="A23685" s="12"/>
    </row>
    <row r="23686" spans="1:1" x14ac:dyDescent="0.3">
      <c r="A23686" s="12"/>
    </row>
    <row r="23687" spans="1:1" x14ac:dyDescent="0.3">
      <c r="A23687" s="12"/>
    </row>
    <row r="23688" spans="1:1" x14ac:dyDescent="0.3">
      <c r="A23688" s="12"/>
    </row>
    <row r="23689" spans="1:1" x14ac:dyDescent="0.3">
      <c r="A23689" s="12"/>
    </row>
    <row r="23690" spans="1:1" x14ac:dyDescent="0.3">
      <c r="A23690" s="12"/>
    </row>
    <row r="23691" spans="1:1" x14ac:dyDescent="0.3">
      <c r="A23691" s="12"/>
    </row>
    <row r="23692" spans="1:1" x14ac:dyDescent="0.3">
      <c r="A23692" s="12"/>
    </row>
    <row r="23693" spans="1:1" x14ac:dyDescent="0.3">
      <c r="A23693" s="12"/>
    </row>
    <row r="23694" spans="1:1" x14ac:dyDescent="0.3">
      <c r="A23694" s="12"/>
    </row>
    <row r="23695" spans="1:1" x14ac:dyDescent="0.3">
      <c r="A23695" s="12"/>
    </row>
    <row r="23696" spans="1:1" x14ac:dyDescent="0.3">
      <c r="A23696" s="12"/>
    </row>
    <row r="23697" spans="1:1" x14ac:dyDescent="0.3">
      <c r="A23697" s="12"/>
    </row>
    <row r="23698" spans="1:1" x14ac:dyDescent="0.3">
      <c r="A23698" s="12"/>
    </row>
    <row r="23699" spans="1:1" x14ac:dyDescent="0.3">
      <c r="A23699" s="12"/>
    </row>
    <row r="23700" spans="1:1" x14ac:dyDescent="0.3">
      <c r="A23700" s="12"/>
    </row>
    <row r="23701" spans="1:1" x14ac:dyDescent="0.3">
      <c r="A23701" s="12"/>
    </row>
    <row r="23702" spans="1:1" x14ac:dyDescent="0.3">
      <c r="A23702" s="12"/>
    </row>
    <row r="23703" spans="1:1" x14ac:dyDescent="0.3">
      <c r="A23703" s="12"/>
    </row>
    <row r="23704" spans="1:1" x14ac:dyDescent="0.3">
      <c r="A23704" s="12"/>
    </row>
    <row r="23705" spans="1:1" x14ac:dyDescent="0.3">
      <c r="A23705" s="12"/>
    </row>
    <row r="23706" spans="1:1" x14ac:dyDescent="0.3">
      <c r="A23706" s="12"/>
    </row>
    <row r="23707" spans="1:1" x14ac:dyDescent="0.3">
      <c r="A23707" s="12"/>
    </row>
    <row r="23708" spans="1:1" x14ac:dyDescent="0.3">
      <c r="A23708" s="12"/>
    </row>
    <row r="23709" spans="1:1" x14ac:dyDescent="0.3">
      <c r="A23709" s="12"/>
    </row>
    <row r="23710" spans="1:1" x14ac:dyDescent="0.3">
      <c r="A23710" s="12"/>
    </row>
    <row r="23711" spans="1:1" x14ac:dyDescent="0.3">
      <c r="A23711" s="12"/>
    </row>
    <row r="23712" spans="1:1" x14ac:dyDescent="0.3">
      <c r="A23712" s="12"/>
    </row>
    <row r="23713" spans="1:1" x14ac:dyDescent="0.3">
      <c r="A23713" s="12"/>
    </row>
    <row r="23714" spans="1:1" x14ac:dyDescent="0.3">
      <c r="A23714" s="12"/>
    </row>
    <row r="23715" spans="1:1" x14ac:dyDescent="0.3">
      <c r="A23715" s="12"/>
    </row>
    <row r="23716" spans="1:1" x14ac:dyDescent="0.3">
      <c r="A23716" s="12"/>
    </row>
    <row r="23717" spans="1:1" x14ac:dyDescent="0.3">
      <c r="A23717" s="12"/>
    </row>
    <row r="23718" spans="1:1" x14ac:dyDescent="0.3">
      <c r="A23718" s="12"/>
    </row>
    <row r="23719" spans="1:1" x14ac:dyDescent="0.3">
      <c r="A23719" s="12"/>
    </row>
    <row r="23720" spans="1:1" x14ac:dyDescent="0.3">
      <c r="A23720" s="12"/>
    </row>
    <row r="23721" spans="1:1" x14ac:dyDescent="0.3">
      <c r="A23721" s="12"/>
    </row>
    <row r="23722" spans="1:1" x14ac:dyDescent="0.3">
      <c r="A23722" s="12"/>
    </row>
    <row r="23723" spans="1:1" x14ac:dyDescent="0.3">
      <c r="A23723" s="12"/>
    </row>
    <row r="23724" spans="1:1" x14ac:dyDescent="0.3">
      <c r="A23724" s="12"/>
    </row>
    <row r="23725" spans="1:1" x14ac:dyDescent="0.3">
      <c r="A23725" s="12"/>
    </row>
    <row r="23726" spans="1:1" x14ac:dyDescent="0.3">
      <c r="A23726" s="12"/>
    </row>
    <row r="23727" spans="1:1" x14ac:dyDescent="0.3">
      <c r="A23727" s="12"/>
    </row>
    <row r="23728" spans="1:1" x14ac:dyDescent="0.3">
      <c r="A23728" s="12"/>
    </row>
    <row r="23729" spans="1:1" x14ac:dyDescent="0.3">
      <c r="A23729" s="12"/>
    </row>
    <row r="23730" spans="1:1" x14ac:dyDescent="0.3">
      <c r="A23730" s="12"/>
    </row>
    <row r="23731" spans="1:1" x14ac:dyDescent="0.3">
      <c r="A23731" s="12"/>
    </row>
    <row r="23732" spans="1:1" x14ac:dyDescent="0.3">
      <c r="A23732" s="12"/>
    </row>
    <row r="23733" spans="1:1" x14ac:dyDescent="0.3">
      <c r="A23733" s="12"/>
    </row>
    <row r="23734" spans="1:1" x14ac:dyDescent="0.3">
      <c r="A23734" s="12"/>
    </row>
    <row r="23735" spans="1:1" x14ac:dyDescent="0.3">
      <c r="A23735" s="12"/>
    </row>
    <row r="23736" spans="1:1" x14ac:dyDescent="0.3">
      <c r="A23736" s="12"/>
    </row>
    <row r="23737" spans="1:1" x14ac:dyDescent="0.3">
      <c r="A23737" s="12"/>
    </row>
    <row r="23738" spans="1:1" x14ac:dyDescent="0.3">
      <c r="A23738" s="12"/>
    </row>
    <row r="23739" spans="1:1" x14ac:dyDescent="0.3">
      <c r="A23739" s="12"/>
    </row>
    <row r="23740" spans="1:1" x14ac:dyDescent="0.3">
      <c r="A23740" s="12"/>
    </row>
    <row r="23741" spans="1:1" x14ac:dyDescent="0.3">
      <c r="A23741" s="12"/>
    </row>
    <row r="23742" spans="1:1" x14ac:dyDescent="0.3">
      <c r="A23742" s="12"/>
    </row>
    <row r="23743" spans="1:1" x14ac:dyDescent="0.3">
      <c r="A23743" s="12"/>
    </row>
    <row r="23744" spans="1:1" x14ac:dyDescent="0.3">
      <c r="A23744" s="12"/>
    </row>
    <row r="23745" spans="1:1" x14ac:dyDescent="0.3">
      <c r="A23745" s="12"/>
    </row>
    <row r="23746" spans="1:1" x14ac:dyDescent="0.3">
      <c r="A23746" s="12"/>
    </row>
    <row r="23747" spans="1:1" x14ac:dyDescent="0.3">
      <c r="A23747" s="12"/>
    </row>
    <row r="23748" spans="1:1" x14ac:dyDescent="0.3">
      <c r="A23748" s="12"/>
    </row>
    <row r="23749" spans="1:1" x14ac:dyDescent="0.3">
      <c r="A23749" s="12"/>
    </row>
    <row r="23750" spans="1:1" x14ac:dyDescent="0.3">
      <c r="A23750" s="12"/>
    </row>
    <row r="23751" spans="1:1" x14ac:dyDescent="0.3">
      <c r="A23751" s="12"/>
    </row>
    <row r="23752" spans="1:1" x14ac:dyDescent="0.3">
      <c r="A23752" s="12"/>
    </row>
    <row r="23753" spans="1:1" x14ac:dyDescent="0.3">
      <c r="A23753" s="12"/>
    </row>
    <row r="23754" spans="1:1" x14ac:dyDescent="0.3">
      <c r="A23754" s="12"/>
    </row>
    <row r="23755" spans="1:1" x14ac:dyDescent="0.3">
      <c r="A23755" s="12"/>
    </row>
    <row r="23756" spans="1:1" x14ac:dyDescent="0.3">
      <c r="A23756" s="12"/>
    </row>
    <row r="23757" spans="1:1" x14ac:dyDescent="0.3">
      <c r="A23757" s="12"/>
    </row>
    <row r="23758" spans="1:1" x14ac:dyDescent="0.3">
      <c r="A23758" s="12"/>
    </row>
    <row r="23759" spans="1:1" x14ac:dyDescent="0.3">
      <c r="A23759" s="12"/>
    </row>
    <row r="23760" spans="1:1" x14ac:dyDescent="0.3">
      <c r="A23760" s="12"/>
    </row>
    <row r="23761" spans="1:1" x14ac:dyDescent="0.3">
      <c r="A23761" s="12"/>
    </row>
    <row r="23762" spans="1:1" x14ac:dyDescent="0.3">
      <c r="A23762" s="12"/>
    </row>
    <row r="23763" spans="1:1" x14ac:dyDescent="0.3">
      <c r="A23763" s="12"/>
    </row>
    <row r="23764" spans="1:1" x14ac:dyDescent="0.3">
      <c r="A23764" s="12"/>
    </row>
    <row r="23765" spans="1:1" x14ac:dyDescent="0.3">
      <c r="A23765" s="12"/>
    </row>
    <row r="23766" spans="1:1" x14ac:dyDescent="0.3">
      <c r="A23766" s="12"/>
    </row>
    <row r="23767" spans="1:1" x14ac:dyDescent="0.3">
      <c r="A23767" s="12"/>
    </row>
    <row r="23768" spans="1:1" x14ac:dyDescent="0.3">
      <c r="A23768" s="12"/>
    </row>
    <row r="23769" spans="1:1" x14ac:dyDescent="0.3">
      <c r="A23769" s="12"/>
    </row>
    <row r="23770" spans="1:1" x14ac:dyDescent="0.3">
      <c r="A23770" s="12"/>
    </row>
    <row r="23771" spans="1:1" x14ac:dyDescent="0.3">
      <c r="A23771" s="12"/>
    </row>
    <row r="23772" spans="1:1" x14ac:dyDescent="0.3">
      <c r="A23772" s="12"/>
    </row>
    <row r="23773" spans="1:1" x14ac:dyDescent="0.3">
      <c r="A23773" s="12"/>
    </row>
    <row r="23774" spans="1:1" x14ac:dyDescent="0.3">
      <c r="A23774" s="12"/>
    </row>
    <row r="23775" spans="1:1" x14ac:dyDescent="0.3">
      <c r="A23775" s="12"/>
    </row>
    <row r="23776" spans="1:1" x14ac:dyDescent="0.3">
      <c r="A23776" s="12"/>
    </row>
    <row r="23777" spans="1:1" x14ac:dyDescent="0.3">
      <c r="A23777" s="12"/>
    </row>
    <row r="23778" spans="1:1" x14ac:dyDescent="0.3">
      <c r="A23778" s="12"/>
    </row>
    <row r="23779" spans="1:1" x14ac:dyDescent="0.3">
      <c r="A23779" s="12"/>
    </row>
    <row r="23780" spans="1:1" x14ac:dyDescent="0.3">
      <c r="A23780" s="12"/>
    </row>
    <row r="23781" spans="1:1" x14ac:dyDescent="0.3">
      <c r="A23781" s="12"/>
    </row>
    <row r="23782" spans="1:1" x14ac:dyDescent="0.3">
      <c r="A23782" s="12"/>
    </row>
    <row r="23783" spans="1:1" x14ac:dyDescent="0.3">
      <c r="A23783" s="12"/>
    </row>
    <row r="23784" spans="1:1" x14ac:dyDescent="0.3">
      <c r="A23784" s="12"/>
    </row>
    <row r="23785" spans="1:1" x14ac:dyDescent="0.3">
      <c r="A23785" s="12"/>
    </row>
    <row r="23786" spans="1:1" x14ac:dyDescent="0.3">
      <c r="A23786" s="12"/>
    </row>
    <row r="23787" spans="1:1" x14ac:dyDescent="0.3">
      <c r="A23787" s="12"/>
    </row>
    <row r="23788" spans="1:1" x14ac:dyDescent="0.3">
      <c r="A23788" s="12"/>
    </row>
    <row r="23789" spans="1:1" x14ac:dyDescent="0.3">
      <c r="A23789" s="12"/>
    </row>
    <row r="23790" spans="1:1" x14ac:dyDescent="0.3">
      <c r="A23790" s="12"/>
    </row>
    <row r="23791" spans="1:1" x14ac:dyDescent="0.3">
      <c r="A23791" s="12"/>
    </row>
    <row r="23792" spans="1:1" x14ac:dyDescent="0.3">
      <c r="A23792" s="12"/>
    </row>
    <row r="23793" spans="1:1" x14ac:dyDescent="0.3">
      <c r="A23793" s="12"/>
    </row>
    <row r="23794" spans="1:1" x14ac:dyDescent="0.3">
      <c r="A23794" s="12"/>
    </row>
    <row r="23795" spans="1:1" x14ac:dyDescent="0.3">
      <c r="A23795" s="12"/>
    </row>
    <row r="23796" spans="1:1" x14ac:dyDescent="0.3">
      <c r="A23796" s="12"/>
    </row>
    <row r="23797" spans="1:1" x14ac:dyDescent="0.3">
      <c r="A23797" s="12"/>
    </row>
    <row r="23798" spans="1:1" x14ac:dyDescent="0.3">
      <c r="A23798" s="12"/>
    </row>
    <row r="23799" spans="1:1" x14ac:dyDescent="0.3">
      <c r="A23799" s="12"/>
    </row>
    <row r="23800" spans="1:1" x14ac:dyDescent="0.3">
      <c r="A23800" s="12"/>
    </row>
    <row r="23801" spans="1:1" x14ac:dyDescent="0.3">
      <c r="A23801" s="12"/>
    </row>
    <row r="23802" spans="1:1" x14ac:dyDescent="0.3">
      <c r="A23802" s="12"/>
    </row>
    <row r="23803" spans="1:1" x14ac:dyDescent="0.3">
      <c r="A23803" s="12"/>
    </row>
    <row r="23804" spans="1:1" x14ac:dyDescent="0.3">
      <c r="A23804" s="12"/>
    </row>
    <row r="23805" spans="1:1" x14ac:dyDescent="0.3">
      <c r="A23805" s="12"/>
    </row>
    <row r="23806" spans="1:1" x14ac:dyDescent="0.3">
      <c r="A23806" s="12"/>
    </row>
    <row r="23807" spans="1:1" x14ac:dyDescent="0.3">
      <c r="A23807" s="12"/>
    </row>
    <row r="23808" spans="1:1" x14ac:dyDescent="0.3">
      <c r="A23808" s="12"/>
    </row>
    <row r="23809" spans="1:1" x14ac:dyDescent="0.3">
      <c r="A23809" s="12"/>
    </row>
    <row r="23810" spans="1:1" x14ac:dyDescent="0.3">
      <c r="A23810" s="12"/>
    </row>
    <row r="23811" spans="1:1" x14ac:dyDescent="0.3">
      <c r="A23811" s="12"/>
    </row>
    <row r="23812" spans="1:1" x14ac:dyDescent="0.3">
      <c r="A23812" s="12"/>
    </row>
    <row r="23813" spans="1:1" x14ac:dyDescent="0.3">
      <c r="A23813" s="12"/>
    </row>
    <row r="23814" spans="1:1" x14ac:dyDescent="0.3">
      <c r="A23814" s="12"/>
    </row>
    <row r="23815" spans="1:1" x14ac:dyDescent="0.3">
      <c r="A23815" s="12"/>
    </row>
    <row r="23816" spans="1:1" x14ac:dyDescent="0.3">
      <c r="A23816" s="12"/>
    </row>
    <row r="23817" spans="1:1" x14ac:dyDescent="0.3">
      <c r="A23817" s="12"/>
    </row>
    <row r="23818" spans="1:1" x14ac:dyDescent="0.3">
      <c r="A23818" s="12"/>
    </row>
    <row r="23819" spans="1:1" x14ac:dyDescent="0.3">
      <c r="A23819" s="12"/>
    </row>
    <row r="23820" spans="1:1" x14ac:dyDescent="0.3">
      <c r="A23820" s="12"/>
    </row>
    <row r="23821" spans="1:1" x14ac:dyDescent="0.3">
      <c r="A23821" s="12"/>
    </row>
    <row r="23822" spans="1:1" x14ac:dyDescent="0.3">
      <c r="A23822" s="12"/>
    </row>
    <row r="23823" spans="1:1" x14ac:dyDescent="0.3">
      <c r="A23823" s="12"/>
    </row>
    <row r="23824" spans="1:1" x14ac:dyDescent="0.3">
      <c r="A23824" s="12"/>
    </row>
    <row r="23825" spans="1:1" x14ac:dyDescent="0.3">
      <c r="A23825" s="12"/>
    </row>
    <row r="23826" spans="1:1" x14ac:dyDescent="0.3">
      <c r="A23826" s="12"/>
    </row>
    <row r="23827" spans="1:1" x14ac:dyDescent="0.3">
      <c r="A23827" s="12"/>
    </row>
    <row r="23828" spans="1:1" x14ac:dyDescent="0.3">
      <c r="A23828" s="12"/>
    </row>
    <row r="23829" spans="1:1" x14ac:dyDescent="0.3">
      <c r="A23829" s="12"/>
    </row>
    <row r="23830" spans="1:1" x14ac:dyDescent="0.3">
      <c r="A23830" s="12"/>
    </row>
    <row r="23831" spans="1:1" x14ac:dyDescent="0.3">
      <c r="A23831" s="12"/>
    </row>
    <row r="23832" spans="1:1" x14ac:dyDescent="0.3">
      <c r="A23832" s="12"/>
    </row>
    <row r="23833" spans="1:1" x14ac:dyDescent="0.3">
      <c r="A23833" s="12"/>
    </row>
    <row r="23834" spans="1:1" x14ac:dyDescent="0.3">
      <c r="A23834" s="12"/>
    </row>
    <row r="23835" spans="1:1" x14ac:dyDescent="0.3">
      <c r="A23835" s="12"/>
    </row>
    <row r="23836" spans="1:1" x14ac:dyDescent="0.3">
      <c r="A23836" s="12"/>
    </row>
    <row r="23837" spans="1:1" x14ac:dyDescent="0.3">
      <c r="A23837" s="12"/>
    </row>
    <row r="23838" spans="1:1" x14ac:dyDescent="0.3">
      <c r="A23838" s="12"/>
    </row>
    <row r="23839" spans="1:1" x14ac:dyDescent="0.3">
      <c r="A23839" s="12"/>
    </row>
    <row r="23840" spans="1:1" x14ac:dyDescent="0.3">
      <c r="A23840" s="12"/>
    </row>
    <row r="23841" spans="1:1" x14ac:dyDescent="0.3">
      <c r="A23841" s="12"/>
    </row>
    <row r="23842" spans="1:1" x14ac:dyDescent="0.3">
      <c r="A23842" s="12"/>
    </row>
    <row r="23843" spans="1:1" x14ac:dyDescent="0.3">
      <c r="A23843" s="12"/>
    </row>
    <row r="23844" spans="1:1" x14ac:dyDescent="0.3">
      <c r="A23844" s="12"/>
    </row>
    <row r="23845" spans="1:1" x14ac:dyDescent="0.3">
      <c r="A23845" s="12"/>
    </row>
    <row r="23846" spans="1:1" x14ac:dyDescent="0.3">
      <c r="A23846" s="12"/>
    </row>
    <row r="23847" spans="1:1" x14ac:dyDescent="0.3">
      <c r="A23847" s="12"/>
    </row>
    <row r="23848" spans="1:1" x14ac:dyDescent="0.3">
      <c r="A23848" s="12"/>
    </row>
    <row r="23849" spans="1:1" x14ac:dyDescent="0.3">
      <c r="A23849" s="12"/>
    </row>
    <row r="23850" spans="1:1" x14ac:dyDescent="0.3">
      <c r="A23850" s="12"/>
    </row>
    <row r="23851" spans="1:1" x14ac:dyDescent="0.3">
      <c r="A23851" s="12"/>
    </row>
    <row r="23852" spans="1:1" x14ac:dyDescent="0.3">
      <c r="A23852" s="12"/>
    </row>
    <row r="23853" spans="1:1" x14ac:dyDescent="0.3">
      <c r="A23853" s="12"/>
    </row>
    <row r="23854" spans="1:1" x14ac:dyDescent="0.3">
      <c r="A23854" s="12"/>
    </row>
    <row r="23855" spans="1:1" x14ac:dyDescent="0.3">
      <c r="A23855" s="12"/>
    </row>
    <row r="23856" spans="1:1" x14ac:dyDescent="0.3">
      <c r="A23856" s="12"/>
    </row>
    <row r="23857" spans="1:1" x14ac:dyDescent="0.3">
      <c r="A23857" s="12"/>
    </row>
    <row r="23858" spans="1:1" x14ac:dyDescent="0.3">
      <c r="A23858" s="12"/>
    </row>
    <row r="23859" spans="1:1" x14ac:dyDescent="0.3">
      <c r="A23859" s="12"/>
    </row>
    <row r="23860" spans="1:1" x14ac:dyDescent="0.3">
      <c r="A23860" s="12"/>
    </row>
    <row r="23861" spans="1:1" x14ac:dyDescent="0.3">
      <c r="A23861" s="12"/>
    </row>
    <row r="23862" spans="1:1" x14ac:dyDescent="0.3">
      <c r="A23862" s="12"/>
    </row>
    <row r="23863" spans="1:1" x14ac:dyDescent="0.3">
      <c r="A23863" s="12"/>
    </row>
    <row r="23864" spans="1:1" x14ac:dyDescent="0.3">
      <c r="A23864" s="12"/>
    </row>
    <row r="23865" spans="1:1" x14ac:dyDescent="0.3">
      <c r="A23865" s="12"/>
    </row>
    <row r="23866" spans="1:1" x14ac:dyDescent="0.3">
      <c r="A23866" s="12"/>
    </row>
    <row r="23867" spans="1:1" x14ac:dyDescent="0.3">
      <c r="A23867" s="12"/>
    </row>
    <row r="23868" spans="1:1" x14ac:dyDescent="0.3">
      <c r="A23868" s="12"/>
    </row>
    <row r="23869" spans="1:1" x14ac:dyDescent="0.3">
      <c r="A23869" s="12"/>
    </row>
    <row r="23870" spans="1:1" x14ac:dyDescent="0.3">
      <c r="A23870" s="12"/>
    </row>
    <row r="23871" spans="1:1" x14ac:dyDescent="0.3">
      <c r="A23871" s="12"/>
    </row>
    <row r="23872" spans="1:1" x14ac:dyDescent="0.3">
      <c r="A23872" s="12"/>
    </row>
    <row r="23873" spans="1:1" x14ac:dyDescent="0.3">
      <c r="A23873" s="12"/>
    </row>
    <row r="23874" spans="1:1" x14ac:dyDescent="0.3">
      <c r="A23874" s="12"/>
    </row>
    <row r="23875" spans="1:1" x14ac:dyDescent="0.3">
      <c r="A23875" s="12"/>
    </row>
    <row r="23876" spans="1:1" x14ac:dyDescent="0.3">
      <c r="A23876" s="12"/>
    </row>
    <row r="23877" spans="1:1" x14ac:dyDescent="0.3">
      <c r="A23877" s="12"/>
    </row>
    <row r="23878" spans="1:1" x14ac:dyDescent="0.3">
      <c r="A23878" s="12"/>
    </row>
    <row r="23879" spans="1:1" x14ac:dyDescent="0.3">
      <c r="A23879" s="12"/>
    </row>
    <row r="23880" spans="1:1" x14ac:dyDescent="0.3">
      <c r="A23880" s="12"/>
    </row>
    <row r="23881" spans="1:1" x14ac:dyDescent="0.3">
      <c r="A23881" s="12"/>
    </row>
    <row r="23882" spans="1:1" x14ac:dyDescent="0.3">
      <c r="A23882" s="12"/>
    </row>
    <row r="23883" spans="1:1" x14ac:dyDescent="0.3">
      <c r="A23883" s="12"/>
    </row>
    <row r="23884" spans="1:1" x14ac:dyDescent="0.3">
      <c r="A23884" s="12"/>
    </row>
    <row r="23885" spans="1:1" x14ac:dyDescent="0.3">
      <c r="A23885" s="12"/>
    </row>
    <row r="23886" spans="1:1" x14ac:dyDescent="0.3">
      <c r="A23886" s="12"/>
    </row>
    <row r="23887" spans="1:1" x14ac:dyDescent="0.3">
      <c r="A23887" s="12"/>
    </row>
    <row r="23888" spans="1:1" x14ac:dyDescent="0.3">
      <c r="A23888" s="12"/>
    </row>
    <row r="23889" spans="1:1" x14ac:dyDescent="0.3">
      <c r="A23889" s="12"/>
    </row>
    <row r="23890" spans="1:1" x14ac:dyDescent="0.3">
      <c r="A23890" s="12"/>
    </row>
    <row r="23891" spans="1:1" x14ac:dyDescent="0.3">
      <c r="A23891" s="12"/>
    </row>
    <row r="23892" spans="1:1" x14ac:dyDescent="0.3">
      <c r="A23892" s="12"/>
    </row>
    <row r="23893" spans="1:1" x14ac:dyDescent="0.3">
      <c r="A23893" s="12"/>
    </row>
    <row r="23894" spans="1:1" x14ac:dyDescent="0.3">
      <c r="A23894" s="12"/>
    </row>
    <row r="23895" spans="1:1" x14ac:dyDescent="0.3">
      <c r="A23895" s="12"/>
    </row>
    <row r="23896" spans="1:1" x14ac:dyDescent="0.3">
      <c r="A23896" s="12"/>
    </row>
    <row r="23897" spans="1:1" x14ac:dyDescent="0.3">
      <c r="A23897" s="12"/>
    </row>
    <row r="23898" spans="1:1" x14ac:dyDescent="0.3">
      <c r="A23898" s="12"/>
    </row>
    <row r="23899" spans="1:1" x14ac:dyDescent="0.3">
      <c r="A23899" s="12"/>
    </row>
    <row r="23900" spans="1:1" x14ac:dyDescent="0.3">
      <c r="A23900" s="12"/>
    </row>
    <row r="23901" spans="1:1" x14ac:dyDescent="0.3">
      <c r="A23901" s="12"/>
    </row>
    <row r="23902" spans="1:1" x14ac:dyDescent="0.3">
      <c r="A23902" s="12"/>
    </row>
    <row r="23903" spans="1:1" x14ac:dyDescent="0.3">
      <c r="A23903" s="12"/>
    </row>
    <row r="23904" spans="1:1" x14ac:dyDescent="0.3">
      <c r="A23904" s="12"/>
    </row>
    <row r="23905" spans="1:1" x14ac:dyDescent="0.3">
      <c r="A23905" s="12"/>
    </row>
    <row r="23906" spans="1:1" x14ac:dyDescent="0.3">
      <c r="A23906" s="12"/>
    </row>
    <row r="23907" spans="1:1" x14ac:dyDescent="0.3">
      <c r="A23907" s="12"/>
    </row>
    <row r="23908" spans="1:1" x14ac:dyDescent="0.3">
      <c r="A23908" s="12"/>
    </row>
    <row r="23909" spans="1:1" x14ac:dyDescent="0.3">
      <c r="A23909" s="12"/>
    </row>
    <row r="23910" spans="1:1" x14ac:dyDescent="0.3">
      <c r="A23910" s="12"/>
    </row>
    <row r="23911" spans="1:1" x14ac:dyDescent="0.3">
      <c r="A23911" s="12"/>
    </row>
    <row r="23912" spans="1:1" x14ac:dyDescent="0.3">
      <c r="A23912" s="12"/>
    </row>
    <row r="23913" spans="1:1" x14ac:dyDescent="0.3">
      <c r="A23913" s="12"/>
    </row>
    <row r="23914" spans="1:1" x14ac:dyDescent="0.3">
      <c r="A23914" s="12"/>
    </row>
    <row r="23915" spans="1:1" x14ac:dyDescent="0.3">
      <c r="A23915" s="12"/>
    </row>
    <row r="23916" spans="1:1" x14ac:dyDescent="0.3">
      <c r="A23916" s="12"/>
    </row>
    <row r="23917" spans="1:1" x14ac:dyDescent="0.3">
      <c r="A23917" s="12"/>
    </row>
    <row r="23918" spans="1:1" x14ac:dyDescent="0.3">
      <c r="A23918" s="12"/>
    </row>
    <row r="23919" spans="1:1" x14ac:dyDescent="0.3">
      <c r="A23919" s="12"/>
    </row>
    <row r="23920" spans="1:1" x14ac:dyDescent="0.3">
      <c r="A23920" s="12"/>
    </row>
    <row r="23921" spans="1:1" x14ac:dyDescent="0.3">
      <c r="A23921" s="12"/>
    </row>
    <row r="23922" spans="1:1" x14ac:dyDescent="0.3">
      <c r="A23922" s="12"/>
    </row>
    <row r="23923" spans="1:1" x14ac:dyDescent="0.3">
      <c r="A23923" s="12"/>
    </row>
    <row r="23924" spans="1:1" x14ac:dyDescent="0.3">
      <c r="A23924" s="12"/>
    </row>
    <row r="23925" spans="1:1" x14ac:dyDescent="0.3">
      <c r="A23925" s="12"/>
    </row>
    <row r="23926" spans="1:1" x14ac:dyDescent="0.3">
      <c r="A23926" s="12"/>
    </row>
    <row r="23927" spans="1:1" x14ac:dyDescent="0.3">
      <c r="A23927" s="12"/>
    </row>
    <row r="23928" spans="1:1" x14ac:dyDescent="0.3">
      <c r="A23928" s="12"/>
    </row>
    <row r="23929" spans="1:1" x14ac:dyDescent="0.3">
      <c r="A23929" s="12"/>
    </row>
    <row r="23930" spans="1:1" x14ac:dyDescent="0.3">
      <c r="A23930" s="12"/>
    </row>
    <row r="23931" spans="1:1" x14ac:dyDescent="0.3">
      <c r="A23931" s="12"/>
    </row>
    <row r="23932" spans="1:1" x14ac:dyDescent="0.3">
      <c r="A23932" s="12"/>
    </row>
    <row r="23933" spans="1:1" x14ac:dyDescent="0.3">
      <c r="A23933" s="12"/>
    </row>
    <row r="23934" spans="1:1" x14ac:dyDescent="0.3">
      <c r="A23934" s="12"/>
    </row>
    <row r="23935" spans="1:1" x14ac:dyDescent="0.3">
      <c r="A23935" s="12"/>
    </row>
    <row r="23936" spans="1:1" x14ac:dyDescent="0.3">
      <c r="A23936" s="12"/>
    </row>
    <row r="23937" spans="1:1" x14ac:dyDescent="0.3">
      <c r="A23937" s="12"/>
    </row>
    <row r="23938" spans="1:1" x14ac:dyDescent="0.3">
      <c r="A23938" s="12"/>
    </row>
    <row r="23939" spans="1:1" x14ac:dyDescent="0.3">
      <c r="A23939" s="12"/>
    </row>
    <row r="23940" spans="1:1" x14ac:dyDescent="0.3">
      <c r="A23940" s="12"/>
    </row>
    <row r="23941" spans="1:1" x14ac:dyDescent="0.3">
      <c r="A23941" s="12"/>
    </row>
    <row r="23942" spans="1:1" x14ac:dyDescent="0.3">
      <c r="A23942" s="12"/>
    </row>
    <row r="23943" spans="1:1" x14ac:dyDescent="0.3">
      <c r="A23943" s="12"/>
    </row>
    <row r="23944" spans="1:1" x14ac:dyDescent="0.3">
      <c r="A23944" s="12"/>
    </row>
    <row r="23945" spans="1:1" x14ac:dyDescent="0.3">
      <c r="A23945" s="12"/>
    </row>
    <row r="23946" spans="1:1" x14ac:dyDescent="0.3">
      <c r="A23946" s="12"/>
    </row>
    <row r="23947" spans="1:1" x14ac:dyDescent="0.3">
      <c r="A23947" s="12"/>
    </row>
    <row r="23948" spans="1:1" x14ac:dyDescent="0.3">
      <c r="A23948" s="12"/>
    </row>
    <row r="23949" spans="1:1" x14ac:dyDescent="0.3">
      <c r="A23949" s="12"/>
    </row>
    <row r="23950" spans="1:1" x14ac:dyDescent="0.3">
      <c r="A23950" s="12"/>
    </row>
    <row r="23951" spans="1:1" x14ac:dyDescent="0.3">
      <c r="A23951" s="12"/>
    </row>
    <row r="23952" spans="1:1" x14ac:dyDescent="0.3">
      <c r="A23952" s="12"/>
    </row>
    <row r="23953" spans="1:1" x14ac:dyDescent="0.3">
      <c r="A23953" s="12"/>
    </row>
    <row r="23954" spans="1:1" x14ac:dyDescent="0.3">
      <c r="A23954" s="12"/>
    </row>
    <row r="23955" spans="1:1" x14ac:dyDescent="0.3">
      <c r="A23955" s="12"/>
    </row>
    <row r="23956" spans="1:1" x14ac:dyDescent="0.3">
      <c r="A23956" s="12"/>
    </row>
    <row r="23957" spans="1:1" x14ac:dyDescent="0.3">
      <c r="A23957" s="12"/>
    </row>
    <row r="23958" spans="1:1" x14ac:dyDescent="0.3">
      <c r="A23958" s="12"/>
    </row>
    <row r="23959" spans="1:1" x14ac:dyDescent="0.3">
      <c r="A23959" s="12"/>
    </row>
    <row r="23960" spans="1:1" x14ac:dyDescent="0.3">
      <c r="A23960" s="12"/>
    </row>
    <row r="23961" spans="1:1" x14ac:dyDescent="0.3">
      <c r="A23961" s="12"/>
    </row>
    <row r="23962" spans="1:1" x14ac:dyDescent="0.3">
      <c r="A23962" s="12"/>
    </row>
    <row r="23963" spans="1:1" x14ac:dyDescent="0.3">
      <c r="A23963" s="12"/>
    </row>
    <row r="23964" spans="1:1" x14ac:dyDescent="0.3">
      <c r="A23964" s="12"/>
    </row>
    <row r="23965" spans="1:1" x14ac:dyDescent="0.3">
      <c r="A23965" s="12"/>
    </row>
    <row r="23966" spans="1:1" x14ac:dyDescent="0.3">
      <c r="A23966" s="12"/>
    </row>
    <row r="23967" spans="1:1" x14ac:dyDescent="0.3">
      <c r="A23967" s="12"/>
    </row>
    <row r="23968" spans="1:1" x14ac:dyDescent="0.3">
      <c r="A23968" s="12"/>
    </row>
    <row r="23969" spans="1:1" x14ac:dyDescent="0.3">
      <c r="A23969" s="12"/>
    </row>
    <row r="23970" spans="1:1" x14ac:dyDescent="0.3">
      <c r="A23970" s="12"/>
    </row>
    <row r="23971" spans="1:1" x14ac:dyDescent="0.3">
      <c r="A23971" s="12"/>
    </row>
    <row r="23972" spans="1:1" x14ac:dyDescent="0.3">
      <c r="A23972" s="12"/>
    </row>
    <row r="23973" spans="1:1" x14ac:dyDescent="0.3">
      <c r="A23973" s="12"/>
    </row>
    <row r="23974" spans="1:1" x14ac:dyDescent="0.3">
      <c r="A23974" s="12"/>
    </row>
    <row r="23975" spans="1:1" x14ac:dyDescent="0.3">
      <c r="A23975" s="12"/>
    </row>
    <row r="23976" spans="1:1" x14ac:dyDescent="0.3">
      <c r="A23976" s="12"/>
    </row>
    <row r="23977" spans="1:1" x14ac:dyDescent="0.3">
      <c r="A23977" s="12"/>
    </row>
    <row r="23978" spans="1:1" x14ac:dyDescent="0.3">
      <c r="A23978" s="12"/>
    </row>
    <row r="23979" spans="1:1" x14ac:dyDescent="0.3">
      <c r="A23979" s="12"/>
    </row>
    <row r="23980" spans="1:1" x14ac:dyDescent="0.3">
      <c r="A23980" s="12"/>
    </row>
    <row r="23981" spans="1:1" x14ac:dyDescent="0.3">
      <c r="A23981" s="12"/>
    </row>
    <row r="23982" spans="1:1" x14ac:dyDescent="0.3">
      <c r="A23982" s="12"/>
    </row>
    <row r="23983" spans="1:1" x14ac:dyDescent="0.3">
      <c r="A23983" s="12"/>
    </row>
    <row r="23984" spans="1:1" x14ac:dyDescent="0.3">
      <c r="A23984" s="12"/>
    </row>
    <row r="23985" spans="1:1" x14ac:dyDescent="0.3">
      <c r="A23985" s="12"/>
    </row>
    <row r="23986" spans="1:1" x14ac:dyDescent="0.3">
      <c r="A23986" s="12"/>
    </row>
    <row r="23987" spans="1:1" x14ac:dyDescent="0.3">
      <c r="A23987" s="12"/>
    </row>
    <row r="23988" spans="1:1" x14ac:dyDescent="0.3">
      <c r="A23988" s="12"/>
    </row>
    <row r="23989" spans="1:1" x14ac:dyDescent="0.3">
      <c r="A23989" s="12"/>
    </row>
    <row r="23990" spans="1:1" x14ac:dyDescent="0.3">
      <c r="A23990" s="12"/>
    </row>
    <row r="23991" spans="1:1" x14ac:dyDescent="0.3">
      <c r="A23991" s="12"/>
    </row>
    <row r="23992" spans="1:1" x14ac:dyDescent="0.3">
      <c r="A23992" s="12"/>
    </row>
    <row r="23993" spans="1:1" x14ac:dyDescent="0.3">
      <c r="A23993" s="12"/>
    </row>
    <row r="23994" spans="1:1" x14ac:dyDescent="0.3">
      <c r="A23994" s="12"/>
    </row>
    <row r="23995" spans="1:1" x14ac:dyDescent="0.3">
      <c r="A23995" s="12"/>
    </row>
    <row r="23996" spans="1:1" x14ac:dyDescent="0.3">
      <c r="A23996" s="12"/>
    </row>
    <row r="23997" spans="1:1" x14ac:dyDescent="0.3">
      <c r="A23997" s="12"/>
    </row>
    <row r="23998" spans="1:1" x14ac:dyDescent="0.3">
      <c r="A23998" s="12"/>
    </row>
    <row r="23999" spans="1:1" x14ac:dyDescent="0.3">
      <c r="A23999" s="12"/>
    </row>
    <row r="24000" spans="1:1" x14ac:dyDescent="0.3">
      <c r="A24000" s="12"/>
    </row>
    <row r="24001" spans="1:1" x14ac:dyDescent="0.3">
      <c r="A24001" s="12"/>
    </row>
    <row r="24002" spans="1:1" x14ac:dyDescent="0.3">
      <c r="A24002" s="12"/>
    </row>
    <row r="24003" spans="1:1" x14ac:dyDescent="0.3">
      <c r="A24003" s="12"/>
    </row>
    <row r="24004" spans="1:1" x14ac:dyDescent="0.3">
      <c r="A24004" s="12"/>
    </row>
    <row r="24005" spans="1:1" x14ac:dyDescent="0.3">
      <c r="A24005" s="12"/>
    </row>
    <row r="24006" spans="1:1" x14ac:dyDescent="0.3">
      <c r="A24006" s="12"/>
    </row>
    <row r="24007" spans="1:1" x14ac:dyDescent="0.3">
      <c r="A24007" s="12"/>
    </row>
    <row r="24008" spans="1:1" x14ac:dyDescent="0.3">
      <c r="A24008" s="12"/>
    </row>
    <row r="24009" spans="1:1" x14ac:dyDescent="0.3">
      <c r="A24009" s="12"/>
    </row>
    <row r="24010" spans="1:1" x14ac:dyDescent="0.3">
      <c r="A24010" s="12"/>
    </row>
    <row r="24011" spans="1:1" x14ac:dyDescent="0.3">
      <c r="A24011" s="12"/>
    </row>
    <row r="24012" spans="1:1" x14ac:dyDescent="0.3">
      <c r="A24012" s="12"/>
    </row>
    <row r="24013" spans="1:1" x14ac:dyDescent="0.3">
      <c r="A24013" s="12"/>
    </row>
    <row r="24014" spans="1:1" x14ac:dyDescent="0.3">
      <c r="A24014" s="12"/>
    </row>
    <row r="24015" spans="1:1" x14ac:dyDescent="0.3">
      <c r="A24015" s="12"/>
    </row>
    <row r="24016" spans="1:1" x14ac:dyDescent="0.3">
      <c r="A24016" s="12"/>
    </row>
    <row r="24017" spans="1:1" x14ac:dyDescent="0.3">
      <c r="A24017" s="12"/>
    </row>
    <row r="24018" spans="1:1" x14ac:dyDescent="0.3">
      <c r="A24018" s="12"/>
    </row>
    <row r="24019" spans="1:1" x14ac:dyDescent="0.3">
      <c r="A24019" s="12"/>
    </row>
    <row r="24020" spans="1:1" x14ac:dyDescent="0.3">
      <c r="A24020" s="12"/>
    </row>
    <row r="24021" spans="1:1" x14ac:dyDescent="0.3">
      <c r="A24021" s="12"/>
    </row>
    <row r="24022" spans="1:1" x14ac:dyDescent="0.3">
      <c r="A24022" s="12"/>
    </row>
    <row r="24023" spans="1:1" x14ac:dyDescent="0.3">
      <c r="A24023" s="12"/>
    </row>
    <row r="24024" spans="1:1" x14ac:dyDescent="0.3">
      <c r="A24024" s="12"/>
    </row>
    <row r="24025" spans="1:1" x14ac:dyDescent="0.3">
      <c r="A24025" s="12"/>
    </row>
    <row r="24026" spans="1:1" x14ac:dyDescent="0.3">
      <c r="A24026" s="12"/>
    </row>
    <row r="24027" spans="1:1" x14ac:dyDescent="0.3">
      <c r="A24027" s="12"/>
    </row>
    <row r="24028" spans="1:1" x14ac:dyDescent="0.3">
      <c r="A24028" s="12"/>
    </row>
    <row r="24029" spans="1:1" x14ac:dyDescent="0.3">
      <c r="A24029" s="12"/>
    </row>
    <row r="24030" spans="1:1" x14ac:dyDescent="0.3">
      <c r="A24030" s="12"/>
    </row>
    <row r="24031" spans="1:1" x14ac:dyDescent="0.3">
      <c r="A24031" s="12"/>
    </row>
    <row r="24032" spans="1:1" x14ac:dyDescent="0.3">
      <c r="A24032" s="12"/>
    </row>
    <row r="24033" spans="1:1" x14ac:dyDescent="0.3">
      <c r="A24033" s="12"/>
    </row>
    <row r="24034" spans="1:1" x14ac:dyDescent="0.3">
      <c r="A24034" s="12"/>
    </row>
    <row r="24035" spans="1:1" x14ac:dyDescent="0.3">
      <c r="A24035" s="12"/>
    </row>
    <row r="24036" spans="1:1" x14ac:dyDescent="0.3">
      <c r="A24036" s="12"/>
    </row>
    <row r="24037" spans="1:1" x14ac:dyDescent="0.3">
      <c r="A24037" s="12"/>
    </row>
    <row r="24038" spans="1:1" x14ac:dyDescent="0.3">
      <c r="A24038" s="12"/>
    </row>
    <row r="24039" spans="1:1" x14ac:dyDescent="0.3">
      <c r="A24039" s="12"/>
    </row>
    <row r="24040" spans="1:1" x14ac:dyDescent="0.3">
      <c r="A24040" s="12"/>
    </row>
    <row r="24041" spans="1:1" x14ac:dyDescent="0.3">
      <c r="A24041" s="12"/>
    </row>
    <row r="24042" spans="1:1" x14ac:dyDescent="0.3">
      <c r="A24042" s="12"/>
    </row>
    <row r="24043" spans="1:1" x14ac:dyDescent="0.3">
      <c r="A24043" s="12"/>
    </row>
    <row r="24044" spans="1:1" x14ac:dyDescent="0.3">
      <c r="A24044" s="12"/>
    </row>
    <row r="24045" spans="1:1" x14ac:dyDescent="0.3">
      <c r="A24045" s="12"/>
    </row>
    <row r="24046" spans="1:1" x14ac:dyDescent="0.3">
      <c r="A24046" s="12"/>
    </row>
    <row r="24047" spans="1:1" x14ac:dyDescent="0.3">
      <c r="A24047" s="12"/>
    </row>
    <row r="24048" spans="1:1" x14ac:dyDescent="0.3">
      <c r="A24048" s="12"/>
    </row>
    <row r="24049" spans="1:1" x14ac:dyDescent="0.3">
      <c r="A24049" s="12"/>
    </row>
    <row r="24050" spans="1:1" x14ac:dyDescent="0.3">
      <c r="A24050" s="12"/>
    </row>
    <row r="24051" spans="1:1" x14ac:dyDescent="0.3">
      <c r="A24051" s="12"/>
    </row>
    <row r="24052" spans="1:1" x14ac:dyDescent="0.3">
      <c r="A24052" s="12"/>
    </row>
    <row r="24053" spans="1:1" x14ac:dyDescent="0.3">
      <c r="A24053" s="12"/>
    </row>
    <row r="24054" spans="1:1" x14ac:dyDescent="0.3">
      <c r="A24054" s="12"/>
    </row>
    <row r="24055" spans="1:1" x14ac:dyDescent="0.3">
      <c r="A24055" s="12"/>
    </row>
    <row r="24056" spans="1:1" x14ac:dyDescent="0.3">
      <c r="A24056" s="12"/>
    </row>
    <row r="24057" spans="1:1" x14ac:dyDescent="0.3">
      <c r="A24057" s="12"/>
    </row>
    <row r="24058" spans="1:1" x14ac:dyDescent="0.3">
      <c r="A24058" s="12"/>
    </row>
    <row r="24059" spans="1:1" x14ac:dyDescent="0.3">
      <c r="A24059" s="12"/>
    </row>
    <row r="24060" spans="1:1" x14ac:dyDescent="0.3">
      <c r="A24060" s="12"/>
    </row>
    <row r="24061" spans="1:1" x14ac:dyDescent="0.3">
      <c r="A24061" s="12"/>
    </row>
    <row r="24062" spans="1:1" x14ac:dyDescent="0.3">
      <c r="A24062" s="12"/>
    </row>
    <row r="24063" spans="1:1" x14ac:dyDescent="0.3">
      <c r="A24063" s="12"/>
    </row>
    <row r="24064" spans="1:1" x14ac:dyDescent="0.3">
      <c r="A24064" s="12"/>
    </row>
    <row r="24065" spans="1:1" x14ac:dyDescent="0.3">
      <c r="A24065" s="12"/>
    </row>
    <row r="24066" spans="1:1" x14ac:dyDescent="0.3">
      <c r="A24066" s="12"/>
    </row>
    <row r="24067" spans="1:1" x14ac:dyDescent="0.3">
      <c r="A24067" s="12"/>
    </row>
    <row r="24068" spans="1:1" x14ac:dyDescent="0.3">
      <c r="A24068" s="12"/>
    </row>
    <row r="24069" spans="1:1" x14ac:dyDescent="0.3">
      <c r="A24069" s="12"/>
    </row>
    <row r="24070" spans="1:1" x14ac:dyDescent="0.3">
      <c r="A24070" s="12"/>
    </row>
    <row r="24071" spans="1:1" x14ac:dyDescent="0.3">
      <c r="A24071" s="12"/>
    </row>
    <row r="24072" spans="1:1" x14ac:dyDescent="0.3">
      <c r="A24072" s="12"/>
    </row>
    <row r="24073" spans="1:1" x14ac:dyDescent="0.3">
      <c r="A24073" s="12"/>
    </row>
    <row r="24074" spans="1:1" x14ac:dyDescent="0.3">
      <c r="A24074" s="12"/>
    </row>
    <row r="24075" spans="1:1" x14ac:dyDescent="0.3">
      <c r="A24075" s="12"/>
    </row>
    <row r="24076" spans="1:1" x14ac:dyDescent="0.3">
      <c r="A24076" s="12"/>
    </row>
    <row r="24077" spans="1:1" x14ac:dyDescent="0.3">
      <c r="A24077" s="12"/>
    </row>
    <row r="24078" spans="1:1" x14ac:dyDescent="0.3">
      <c r="A24078" s="12"/>
    </row>
    <row r="24079" spans="1:1" x14ac:dyDescent="0.3">
      <c r="A24079" s="12"/>
    </row>
    <row r="24080" spans="1:1" x14ac:dyDescent="0.3">
      <c r="A24080" s="12"/>
    </row>
    <row r="24081" spans="1:1" x14ac:dyDescent="0.3">
      <c r="A24081" s="12"/>
    </row>
    <row r="24082" spans="1:1" x14ac:dyDescent="0.3">
      <c r="A24082" s="12"/>
    </row>
    <row r="24083" spans="1:1" x14ac:dyDescent="0.3">
      <c r="A24083" s="12"/>
    </row>
    <row r="24084" spans="1:1" x14ac:dyDescent="0.3">
      <c r="A24084" s="12"/>
    </row>
    <row r="24085" spans="1:1" x14ac:dyDescent="0.3">
      <c r="A24085" s="12"/>
    </row>
    <row r="24086" spans="1:1" x14ac:dyDescent="0.3">
      <c r="A24086" s="12"/>
    </row>
    <row r="24087" spans="1:1" x14ac:dyDescent="0.3">
      <c r="A24087" s="12"/>
    </row>
    <row r="24088" spans="1:1" x14ac:dyDescent="0.3">
      <c r="A24088" s="12"/>
    </row>
    <row r="24089" spans="1:1" x14ac:dyDescent="0.3">
      <c r="A24089" s="12"/>
    </row>
    <row r="24090" spans="1:1" x14ac:dyDescent="0.3">
      <c r="A24090" s="12"/>
    </row>
    <row r="24091" spans="1:1" x14ac:dyDescent="0.3">
      <c r="A24091" s="12"/>
    </row>
    <row r="24092" spans="1:1" x14ac:dyDescent="0.3">
      <c r="A24092" s="12"/>
    </row>
    <row r="24093" spans="1:1" x14ac:dyDescent="0.3">
      <c r="A24093" s="12"/>
    </row>
    <row r="24094" spans="1:1" x14ac:dyDescent="0.3">
      <c r="A24094" s="12"/>
    </row>
    <row r="24095" spans="1:1" x14ac:dyDescent="0.3">
      <c r="A24095" s="12"/>
    </row>
    <row r="24096" spans="1:1" x14ac:dyDescent="0.3">
      <c r="A24096" s="12"/>
    </row>
    <row r="24097" spans="1:1" x14ac:dyDescent="0.3">
      <c r="A24097" s="12"/>
    </row>
    <row r="24098" spans="1:1" x14ac:dyDescent="0.3">
      <c r="A24098" s="12"/>
    </row>
    <row r="24099" spans="1:1" x14ac:dyDescent="0.3">
      <c r="A24099" s="12"/>
    </row>
    <row r="24100" spans="1:1" x14ac:dyDescent="0.3">
      <c r="A24100" s="12"/>
    </row>
    <row r="24101" spans="1:1" x14ac:dyDescent="0.3">
      <c r="A24101" s="12"/>
    </row>
    <row r="24102" spans="1:1" x14ac:dyDescent="0.3">
      <c r="A24102" s="12"/>
    </row>
    <row r="24103" spans="1:1" x14ac:dyDescent="0.3">
      <c r="A24103" s="12"/>
    </row>
    <row r="24104" spans="1:1" x14ac:dyDescent="0.3">
      <c r="A24104" s="12"/>
    </row>
    <row r="24105" spans="1:1" x14ac:dyDescent="0.3">
      <c r="A24105" s="12"/>
    </row>
    <row r="24106" spans="1:1" x14ac:dyDescent="0.3">
      <c r="A24106" s="12"/>
    </row>
    <row r="24107" spans="1:1" x14ac:dyDescent="0.3">
      <c r="A24107" s="12"/>
    </row>
    <row r="24108" spans="1:1" x14ac:dyDescent="0.3">
      <c r="A24108" s="12"/>
    </row>
    <row r="24109" spans="1:1" x14ac:dyDescent="0.3">
      <c r="A24109" s="12"/>
    </row>
    <row r="24110" spans="1:1" x14ac:dyDescent="0.3">
      <c r="A24110" s="12"/>
    </row>
    <row r="24111" spans="1:1" x14ac:dyDescent="0.3">
      <c r="A24111" s="12"/>
    </row>
    <row r="24112" spans="1:1" x14ac:dyDescent="0.3">
      <c r="A24112" s="12"/>
    </row>
    <row r="24113" spans="1:1" x14ac:dyDescent="0.3">
      <c r="A24113" s="12"/>
    </row>
    <row r="24114" spans="1:1" x14ac:dyDescent="0.3">
      <c r="A24114" s="12"/>
    </row>
    <row r="24115" spans="1:1" x14ac:dyDescent="0.3">
      <c r="A24115" s="12"/>
    </row>
    <row r="24116" spans="1:1" x14ac:dyDescent="0.3">
      <c r="A24116" s="12"/>
    </row>
    <row r="24117" spans="1:1" x14ac:dyDescent="0.3">
      <c r="A24117" s="12"/>
    </row>
    <row r="24118" spans="1:1" x14ac:dyDescent="0.3">
      <c r="A24118" s="12"/>
    </row>
    <row r="24119" spans="1:1" x14ac:dyDescent="0.3">
      <c r="A24119" s="12"/>
    </row>
    <row r="24120" spans="1:1" x14ac:dyDescent="0.3">
      <c r="A24120" s="12"/>
    </row>
    <row r="24121" spans="1:1" x14ac:dyDescent="0.3">
      <c r="A24121" s="12"/>
    </row>
    <row r="24122" spans="1:1" x14ac:dyDescent="0.3">
      <c r="A24122" s="12"/>
    </row>
    <row r="24123" spans="1:1" x14ac:dyDescent="0.3">
      <c r="A24123" s="12"/>
    </row>
    <row r="24124" spans="1:1" x14ac:dyDescent="0.3">
      <c r="A24124" s="12"/>
    </row>
    <row r="24125" spans="1:1" x14ac:dyDescent="0.3">
      <c r="A24125" s="12"/>
    </row>
    <row r="24126" spans="1:1" x14ac:dyDescent="0.3">
      <c r="A24126" s="12"/>
    </row>
    <row r="24127" spans="1:1" x14ac:dyDescent="0.3">
      <c r="A24127" s="12"/>
    </row>
    <row r="24128" spans="1:1" x14ac:dyDescent="0.3">
      <c r="A24128" s="12"/>
    </row>
    <row r="24129" spans="1:1" x14ac:dyDescent="0.3">
      <c r="A24129" s="12"/>
    </row>
    <row r="24130" spans="1:1" x14ac:dyDescent="0.3">
      <c r="A24130" s="12"/>
    </row>
    <row r="24131" spans="1:1" x14ac:dyDescent="0.3">
      <c r="A24131" s="12"/>
    </row>
    <row r="24132" spans="1:1" x14ac:dyDescent="0.3">
      <c r="A24132" s="12"/>
    </row>
    <row r="24133" spans="1:1" x14ac:dyDescent="0.3">
      <c r="A24133" s="12"/>
    </row>
    <row r="24134" spans="1:1" x14ac:dyDescent="0.3">
      <c r="A24134" s="12"/>
    </row>
    <row r="24135" spans="1:1" x14ac:dyDescent="0.3">
      <c r="A24135" s="12"/>
    </row>
    <row r="24136" spans="1:1" x14ac:dyDescent="0.3">
      <c r="A24136" s="12"/>
    </row>
    <row r="24137" spans="1:1" x14ac:dyDescent="0.3">
      <c r="A24137" s="12"/>
    </row>
    <row r="24138" spans="1:1" x14ac:dyDescent="0.3">
      <c r="A24138" s="12"/>
    </row>
    <row r="24139" spans="1:1" x14ac:dyDescent="0.3">
      <c r="A24139" s="12"/>
    </row>
    <row r="24140" spans="1:1" x14ac:dyDescent="0.3">
      <c r="A24140" s="12"/>
    </row>
    <row r="24141" spans="1:1" x14ac:dyDescent="0.3">
      <c r="A24141" s="12"/>
    </row>
    <row r="24142" spans="1:1" x14ac:dyDescent="0.3">
      <c r="A24142" s="12"/>
    </row>
    <row r="24143" spans="1:1" x14ac:dyDescent="0.3">
      <c r="A24143" s="12"/>
    </row>
    <row r="24144" spans="1:1" x14ac:dyDescent="0.3">
      <c r="A24144" s="12"/>
    </row>
    <row r="24145" spans="1:1" x14ac:dyDescent="0.3">
      <c r="A24145" s="12"/>
    </row>
    <row r="24146" spans="1:1" x14ac:dyDescent="0.3">
      <c r="A24146" s="12"/>
    </row>
    <row r="24147" spans="1:1" x14ac:dyDescent="0.3">
      <c r="A24147" s="12"/>
    </row>
    <row r="24148" spans="1:1" x14ac:dyDescent="0.3">
      <c r="A24148" s="12"/>
    </row>
    <row r="24149" spans="1:1" x14ac:dyDescent="0.3">
      <c r="A24149" s="12"/>
    </row>
    <row r="24150" spans="1:1" x14ac:dyDescent="0.3">
      <c r="A24150" s="12"/>
    </row>
    <row r="24151" spans="1:1" x14ac:dyDescent="0.3">
      <c r="A24151" s="12"/>
    </row>
    <row r="24152" spans="1:1" x14ac:dyDescent="0.3">
      <c r="A24152" s="12"/>
    </row>
    <row r="24153" spans="1:1" x14ac:dyDescent="0.3">
      <c r="A24153" s="12"/>
    </row>
    <row r="24154" spans="1:1" x14ac:dyDescent="0.3">
      <c r="A24154" s="12"/>
    </row>
    <row r="24155" spans="1:1" x14ac:dyDescent="0.3">
      <c r="A24155" s="12"/>
    </row>
    <row r="24156" spans="1:1" x14ac:dyDescent="0.3">
      <c r="A24156" s="12"/>
    </row>
    <row r="24157" spans="1:1" x14ac:dyDescent="0.3">
      <c r="A24157" s="12"/>
    </row>
    <row r="24158" spans="1:1" x14ac:dyDescent="0.3">
      <c r="A24158" s="12"/>
    </row>
    <row r="24159" spans="1:1" x14ac:dyDescent="0.3">
      <c r="A24159" s="12"/>
    </row>
    <row r="24160" spans="1:1" x14ac:dyDescent="0.3">
      <c r="A24160" s="12"/>
    </row>
    <row r="24161" spans="1:1" x14ac:dyDescent="0.3">
      <c r="A24161" s="12"/>
    </row>
    <row r="24162" spans="1:1" x14ac:dyDescent="0.3">
      <c r="A24162" s="12"/>
    </row>
    <row r="24163" spans="1:1" x14ac:dyDescent="0.3">
      <c r="A24163" s="12"/>
    </row>
    <row r="24164" spans="1:1" x14ac:dyDescent="0.3">
      <c r="A24164" s="12"/>
    </row>
    <row r="24165" spans="1:1" x14ac:dyDescent="0.3">
      <c r="A24165" s="12"/>
    </row>
    <row r="24166" spans="1:1" x14ac:dyDescent="0.3">
      <c r="A24166" s="12"/>
    </row>
    <row r="24167" spans="1:1" x14ac:dyDescent="0.3">
      <c r="A24167" s="12"/>
    </row>
    <row r="24168" spans="1:1" x14ac:dyDescent="0.3">
      <c r="A24168" s="12"/>
    </row>
    <row r="24169" spans="1:1" x14ac:dyDescent="0.3">
      <c r="A24169" s="12"/>
    </row>
    <row r="24170" spans="1:1" x14ac:dyDescent="0.3">
      <c r="A24170" s="12"/>
    </row>
    <row r="24171" spans="1:1" x14ac:dyDescent="0.3">
      <c r="A24171" s="12"/>
    </row>
    <row r="24172" spans="1:1" x14ac:dyDescent="0.3">
      <c r="A24172" s="12"/>
    </row>
    <row r="24173" spans="1:1" x14ac:dyDescent="0.3">
      <c r="A24173" s="12"/>
    </row>
    <row r="24174" spans="1:1" x14ac:dyDescent="0.3">
      <c r="A24174" s="12"/>
    </row>
    <row r="24175" spans="1:1" x14ac:dyDescent="0.3">
      <c r="A24175" s="12"/>
    </row>
    <row r="24176" spans="1:1" x14ac:dyDescent="0.3">
      <c r="A24176" s="12"/>
    </row>
    <row r="24177" spans="1:1" x14ac:dyDescent="0.3">
      <c r="A24177" s="12"/>
    </row>
    <row r="24178" spans="1:1" x14ac:dyDescent="0.3">
      <c r="A24178" s="12"/>
    </row>
    <row r="24179" spans="1:1" x14ac:dyDescent="0.3">
      <c r="A24179" s="12"/>
    </row>
    <row r="24180" spans="1:1" x14ac:dyDescent="0.3">
      <c r="A24180" s="12"/>
    </row>
    <row r="24181" spans="1:1" x14ac:dyDescent="0.3">
      <c r="A24181" s="12"/>
    </row>
    <row r="24182" spans="1:1" x14ac:dyDescent="0.3">
      <c r="A24182" s="12"/>
    </row>
    <row r="24183" spans="1:1" x14ac:dyDescent="0.3">
      <c r="A24183" s="12"/>
    </row>
    <row r="24184" spans="1:1" x14ac:dyDescent="0.3">
      <c r="A24184" s="12"/>
    </row>
    <row r="24185" spans="1:1" x14ac:dyDescent="0.3">
      <c r="A24185" s="12"/>
    </row>
    <row r="24186" spans="1:1" x14ac:dyDescent="0.3">
      <c r="A24186" s="12"/>
    </row>
    <row r="24187" spans="1:1" x14ac:dyDescent="0.3">
      <c r="A24187" s="12"/>
    </row>
    <row r="24188" spans="1:1" x14ac:dyDescent="0.3">
      <c r="A24188" s="12"/>
    </row>
    <row r="24189" spans="1:1" x14ac:dyDescent="0.3">
      <c r="A24189" s="12"/>
    </row>
    <row r="24190" spans="1:1" x14ac:dyDescent="0.3">
      <c r="A24190" s="12"/>
    </row>
    <row r="24191" spans="1:1" x14ac:dyDescent="0.3">
      <c r="A24191" s="12"/>
    </row>
    <row r="24192" spans="1:1" x14ac:dyDescent="0.3">
      <c r="A24192" s="12"/>
    </row>
    <row r="24193" spans="1:1" x14ac:dyDescent="0.3">
      <c r="A24193" s="12"/>
    </row>
    <row r="24194" spans="1:1" x14ac:dyDescent="0.3">
      <c r="A24194" s="12"/>
    </row>
    <row r="24195" spans="1:1" x14ac:dyDescent="0.3">
      <c r="A24195" s="12"/>
    </row>
    <row r="24196" spans="1:1" x14ac:dyDescent="0.3">
      <c r="A24196" s="12"/>
    </row>
    <row r="24197" spans="1:1" x14ac:dyDescent="0.3">
      <c r="A24197" s="12"/>
    </row>
    <row r="24198" spans="1:1" x14ac:dyDescent="0.3">
      <c r="A24198" s="12"/>
    </row>
    <row r="24199" spans="1:1" x14ac:dyDescent="0.3">
      <c r="A24199" s="12"/>
    </row>
    <row r="24200" spans="1:1" x14ac:dyDescent="0.3">
      <c r="A24200" s="12"/>
    </row>
    <row r="24201" spans="1:1" x14ac:dyDescent="0.3">
      <c r="A24201" s="12"/>
    </row>
    <row r="24202" spans="1:1" x14ac:dyDescent="0.3">
      <c r="A24202" s="12"/>
    </row>
    <row r="24203" spans="1:1" x14ac:dyDescent="0.3">
      <c r="A24203" s="12"/>
    </row>
    <row r="24204" spans="1:1" x14ac:dyDescent="0.3">
      <c r="A24204" s="12"/>
    </row>
    <row r="24205" spans="1:1" x14ac:dyDescent="0.3">
      <c r="A24205" s="12"/>
    </row>
    <row r="24206" spans="1:1" x14ac:dyDescent="0.3">
      <c r="A24206" s="12"/>
    </row>
    <row r="24207" spans="1:1" x14ac:dyDescent="0.3">
      <c r="A24207" s="12"/>
    </row>
    <row r="24208" spans="1:1" x14ac:dyDescent="0.3">
      <c r="A24208" s="12"/>
    </row>
    <row r="24209" spans="1:1" x14ac:dyDescent="0.3">
      <c r="A24209" s="12"/>
    </row>
    <row r="24210" spans="1:1" x14ac:dyDescent="0.3">
      <c r="A24210" s="12"/>
    </row>
    <row r="24211" spans="1:1" x14ac:dyDescent="0.3">
      <c r="A24211" s="12"/>
    </row>
    <row r="24212" spans="1:1" x14ac:dyDescent="0.3">
      <c r="A24212" s="12"/>
    </row>
    <row r="24213" spans="1:1" x14ac:dyDescent="0.3">
      <c r="A24213" s="12"/>
    </row>
    <row r="24214" spans="1:1" x14ac:dyDescent="0.3">
      <c r="A24214" s="12"/>
    </row>
    <row r="24215" spans="1:1" x14ac:dyDescent="0.3">
      <c r="A24215" s="12"/>
    </row>
    <row r="24216" spans="1:1" x14ac:dyDescent="0.3">
      <c r="A24216" s="12"/>
    </row>
    <row r="24217" spans="1:1" x14ac:dyDescent="0.3">
      <c r="A24217" s="12"/>
    </row>
    <row r="24218" spans="1:1" x14ac:dyDescent="0.3">
      <c r="A24218" s="12"/>
    </row>
    <row r="24219" spans="1:1" x14ac:dyDescent="0.3">
      <c r="A24219" s="12"/>
    </row>
    <row r="24220" spans="1:1" x14ac:dyDescent="0.3">
      <c r="A24220" s="12"/>
    </row>
    <row r="24221" spans="1:1" x14ac:dyDescent="0.3">
      <c r="A24221" s="12"/>
    </row>
    <row r="24222" spans="1:1" x14ac:dyDescent="0.3">
      <c r="A24222" s="12"/>
    </row>
    <row r="24223" spans="1:1" x14ac:dyDescent="0.3">
      <c r="A24223" s="12"/>
    </row>
    <row r="24224" spans="1:1" x14ac:dyDescent="0.3">
      <c r="A24224" s="12"/>
    </row>
    <row r="24225" spans="1:1" x14ac:dyDescent="0.3">
      <c r="A24225" s="12"/>
    </row>
    <row r="24226" spans="1:1" x14ac:dyDescent="0.3">
      <c r="A24226" s="12"/>
    </row>
    <row r="24227" spans="1:1" x14ac:dyDescent="0.3">
      <c r="A24227" s="12"/>
    </row>
    <row r="24228" spans="1:1" x14ac:dyDescent="0.3">
      <c r="A24228" s="12"/>
    </row>
    <row r="24229" spans="1:1" x14ac:dyDescent="0.3">
      <c r="A24229" s="12"/>
    </row>
    <row r="24230" spans="1:1" x14ac:dyDescent="0.3">
      <c r="A24230" s="12"/>
    </row>
    <row r="24231" spans="1:1" x14ac:dyDescent="0.3">
      <c r="A24231" s="12"/>
    </row>
    <row r="24232" spans="1:1" x14ac:dyDescent="0.3">
      <c r="A24232" s="12"/>
    </row>
    <row r="24233" spans="1:1" x14ac:dyDescent="0.3">
      <c r="A24233" s="12"/>
    </row>
    <row r="24234" spans="1:1" x14ac:dyDescent="0.3">
      <c r="A24234" s="12"/>
    </row>
    <row r="24235" spans="1:1" x14ac:dyDescent="0.3">
      <c r="A24235" s="12"/>
    </row>
    <row r="24236" spans="1:1" x14ac:dyDescent="0.3">
      <c r="A24236" s="12"/>
    </row>
    <row r="24237" spans="1:1" x14ac:dyDescent="0.3">
      <c r="A24237" s="12"/>
    </row>
    <row r="24238" spans="1:1" x14ac:dyDescent="0.3">
      <c r="A24238" s="12"/>
    </row>
    <row r="24239" spans="1:1" x14ac:dyDescent="0.3">
      <c r="A24239" s="12"/>
    </row>
    <row r="24240" spans="1:1" x14ac:dyDescent="0.3">
      <c r="A24240" s="12"/>
    </row>
    <row r="24241" spans="1:1" x14ac:dyDescent="0.3">
      <c r="A24241" s="12"/>
    </row>
    <row r="24242" spans="1:1" x14ac:dyDescent="0.3">
      <c r="A24242" s="12"/>
    </row>
    <row r="24243" spans="1:1" x14ac:dyDescent="0.3">
      <c r="A24243" s="12"/>
    </row>
    <row r="24244" spans="1:1" x14ac:dyDescent="0.3">
      <c r="A24244" s="12"/>
    </row>
    <row r="24245" spans="1:1" x14ac:dyDescent="0.3">
      <c r="A24245" s="12"/>
    </row>
    <row r="24246" spans="1:1" x14ac:dyDescent="0.3">
      <c r="A24246" s="12"/>
    </row>
    <row r="24247" spans="1:1" x14ac:dyDescent="0.3">
      <c r="A24247" s="12"/>
    </row>
    <row r="24248" spans="1:1" x14ac:dyDescent="0.3">
      <c r="A24248" s="12"/>
    </row>
    <row r="24249" spans="1:1" x14ac:dyDescent="0.3">
      <c r="A24249" s="12"/>
    </row>
    <row r="24250" spans="1:1" x14ac:dyDescent="0.3">
      <c r="A24250" s="12"/>
    </row>
    <row r="24251" spans="1:1" x14ac:dyDescent="0.3">
      <c r="A24251" s="12"/>
    </row>
    <row r="24252" spans="1:1" x14ac:dyDescent="0.3">
      <c r="A24252" s="12"/>
    </row>
    <row r="24253" spans="1:1" x14ac:dyDescent="0.3">
      <c r="A24253" s="12"/>
    </row>
    <row r="24254" spans="1:1" x14ac:dyDescent="0.3">
      <c r="A24254" s="12"/>
    </row>
    <row r="24255" spans="1:1" x14ac:dyDescent="0.3">
      <c r="A24255" s="12"/>
    </row>
    <row r="24256" spans="1:1" x14ac:dyDescent="0.3">
      <c r="A24256" s="12"/>
    </row>
    <row r="24257" spans="1:1" x14ac:dyDescent="0.3">
      <c r="A24257" s="12"/>
    </row>
    <row r="24258" spans="1:1" x14ac:dyDescent="0.3">
      <c r="A24258" s="12"/>
    </row>
    <row r="24259" spans="1:1" x14ac:dyDescent="0.3">
      <c r="A24259" s="12"/>
    </row>
    <row r="24260" spans="1:1" x14ac:dyDescent="0.3">
      <c r="A24260" s="12"/>
    </row>
    <row r="24261" spans="1:1" x14ac:dyDescent="0.3">
      <c r="A24261" s="12"/>
    </row>
    <row r="24262" spans="1:1" x14ac:dyDescent="0.3">
      <c r="A24262" s="12"/>
    </row>
    <row r="24263" spans="1:1" x14ac:dyDescent="0.3">
      <c r="A24263" s="12"/>
    </row>
    <row r="24264" spans="1:1" x14ac:dyDescent="0.3">
      <c r="A24264" s="12"/>
    </row>
    <row r="24265" spans="1:1" x14ac:dyDescent="0.3">
      <c r="A24265" s="12"/>
    </row>
    <row r="24266" spans="1:1" x14ac:dyDescent="0.3">
      <c r="A24266" s="12"/>
    </row>
    <row r="24267" spans="1:1" x14ac:dyDescent="0.3">
      <c r="A24267" s="12"/>
    </row>
    <row r="24268" spans="1:1" x14ac:dyDescent="0.3">
      <c r="A24268" s="12"/>
    </row>
    <row r="24269" spans="1:1" x14ac:dyDescent="0.3">
      <c r="A24269" s="12"/>
    </row>
    <row r="24270" spans="1:1" x14ac:dyDescent="0.3">
      <c r="A24270" s="12"/>
    </row>
    <row r="24271" spans="1:1" x14ac:dyDescent="0.3">
      <c r="A24271" s="12"/>
    </row>
    <row r="24272" spans="1:1" x14ac:dyDescent="0.3">
      <c r="A24272" s="12"/>
    </row>
    <row r="24273" spans="1:1" x14ac:dyDescent="0.3">
      <c r="A24273" s="12"/>
    </row>
    <row r="24274" spans="1:1" x14ac:dyDescent="0.3">
      <c r="A24274" s="12"/>
    </row>
    <row r="24275" spans="1:1" x14ac:dyDescent="0.3">
      <c r="A24275" s="12"/>
    </row>
    <row r="24276" spans="1:1" x14ac:dyDescent="0.3">
      <c r="A24276" s="12"/>
    </row>
    <row r="24277" spans="1:1" x14ac:dyDescent="0.3">
      <c r="A24277" s="12"/>
    </row>
    <row r="24278" spans="1:1" x14ac:dyDescent="0.3">
      <c r="A24278" s="12"/>
    </row>
    <row r="24279" spans="1:1" x14ac:dyDescent="0.3">
      <c r="A24279" s="12"/>
    </row>
    <row r="24280" spans="1:1" x14ac:dyDescent="0.3">
      <c r="A24280" s="12"/>
    </row>
    <row r="24281" spans="1:1" x14ac:dyDescent="0.3">
      <c r="A24281" s="12"/>
    </row>
    <row r="24282" spans="1:1" x14ac:dyDescent="0.3">
      <c r="A24282" s="12"/>
    </row>
    <row r="24283" spans="1:1" x14ac:dyDescent="0.3">
      <c r="A24283" s="12"/>
    </row>
    <row r="24284" spans="1:1" x14ac:dyDescent="0.3">
      <c r="A24284" s="12"/>
    </row>
    <row r="24285" spans="1:1" x14ac:dyDescent="0.3">
      <c r="A24285" s="12"/>
    </row>
    <row r="24286" spans="1:1" x14ac:dyDescent="0.3">
      <c r="A24286" s="12"/>
    </row>
    <row r="24287" spans="1:1" x14ac:dyDescent="0.3">
      <c r="A24287" s="12"/>
    </row>
    <row r="24288" spans="1:1" x14ac:dyDescent="0.3">
      <c r="A24288" s="12"/>
    </row>
    <row r="24289" spans="1:1" x14ac:dyDescent="0.3">
      <c r="A24289" s="12"/>
    </row>
    <row r="24290" spans="1:1" x14ac:dyDescent="0.3">
      <c r="A24290" s="12"/>
    </row>
    <row r="24291" spans="1:1" x14ac:dyDescent="0.3">
      <c r="A24291" s="12"/>
    </row>
    <row r="24292" spans="1:1" x14ac:dyDescent="0.3">
      <c r="A24292" s="12"/>
    </row>
    <row r="24293" spans="1:1" x14ac:dyDescent="0.3">
      <c r="A24293" s="12"/>
    </row>
    <row r="24294" spans="1:1" x14ac:dyDescent="0.3">
      <c r="A24294" s="12"/>
    </row>
    <row r="24295" spans="1:1" x14ac:dyDescent="0.3">
      <c r="A24295" s="12"/>
    </row>
    <row r="24296" spans="1:1" x14ac:dyDescent="0.3">
      <c r="A24296" s="12"/>
    </row>
    <row r="24297" spans="1:1" x14ac:dyDescent="0.3">
      <c r="A24297" s="12"/>
    </row>
    <row r="24298" spans="1:1" x14ac:dyDescent="0.3">
      <c r="A24298" s="12"/>
    </row>
    <row r="24299" spans="1:1" x14ac:dyDescent="0.3">
      <c r="A24299" s="12"/>
    </row>
    <row r="24300" spans="1:1" x14ac:dyDescent="0.3">
      <c r="A24300" s="12"/>
    </row>
    <row r="24301" spans="1:1" x14ac:dyDescent="0.3">
      <c r="A24301" s="12"/>
    </row>
    <row r="24302" spans="1:1" x14ac:dyDescent="0.3">
      <c r="A24302" s="12"/>
    </row>
    <row r="24303" spans="1:1" x14ac:dyDescent="0.3">
      <c r="A24303" s="12"/>
    </row>
    <row r="24304" spans="1:1" x14ac:dyDescent="0.3">
      <c r="A24304" s="12"/>
    </row>
    <row r="24305" spans="1:1" x14ac:dyDescent="0.3">
      <c r="A24305" s="12"/>
    </row>
    <row r="24306" spans="1:1" x14ac:dyDescent="0.3">
      <c r="A24306" s="12"/>
    </row>
    <row r="24307" spans="1:1" x14ac:dyDescent="0.3">
      <c r="A24307" s="12"/>
    </row>
    <row r="24308" spans="1:1" x14ac:dyDescent="0.3">
      <c r="A24308" s="12"/>
    </row>
    <row r="24309" spans="1:1" x14ac:dyDescent="0.3">
      <c r="A24309" s="12"/>
    </row>
    <row r="24310" spans="1:1" x14ac:dyDescent="0.3">
      <c r="A24310" s="12"/>
    </row>
    <row r="24311" spans="1:1" x14ac:dyDescent="0.3">
      <c r="A24311" s="12"/>
    </row>
    <row r="24312" spans="1:1" x14ac:dyDescent="0.3">
      <c r="A24312" s="12"/>
    </row>
    <row r="24313" spans="1:1" x14ac:dyDescent="0.3">
      <c r="A24313" s="12"/>
    </row>
    <row r="24314" spans="1:1" x14ac:dyDescent="0.3">
      <c r="A24314" s="12"/>
    </row>
    <row r="24315" spans="1:1" x14ac:dyDescent="0.3">
      <c r="A24315" s="12"/>
    </row>
    <row r="24316" spans="1:1" x14ac:dyDescent="0.3">
      <c r="A24316" s="12"/>
    </row>
    <row r="24317" spans="1:1" x14ac:dyDescent="0.3">
      <c r="A24317" s="12"/>
    </row>
    <row r="24318" spans="1:1" x14ac:dyDescent="0.3">
      <c r="A24318" s="12"/>
    </row>
    <row r="24319" spans="1:1" x14ac:dyDescent="0.3">
      <c r="A24319" s="12"/>
    </row>
    <row r="24320" spans="1:1" x14ac:dyDescent="0.3">
      <c r="A24320" s="12"/>
    </row>
    <row r="24321" spans="1:1" x14ac:dyDescent="0.3">
      <c r="A24321" s="12"/>
    </row>
    <row r="24322" spans="1:1" x14ac:dyDescent="0.3">
      <c r="A24322" s="12"/>
    </row>
    <row r="24323" spans="1:1" x14ac:dyDescent="0.3">
      <c r="A24323" s="12"/>
    </row>
    <row r="24324" spans="1:1" x14ac:dyDescent="0.3">
      <c r="A24324" s="12"/>
    </row>
    <row r="24325" spans="1:1" x14ac:dyDescent="0.3">
      <c r="A24325" s="12"/>
    </row>
    <row r="24326" spans="1:1" x14ac:dyDescent="0.3">
      <c r="A24326" s="12"/>
    </row>
    <row r="24327" spans="1:1" x14ac:dyDescent="0.3">
      <c r="A24327" s="12"/>
    </row>
    <row r="24328" spans="1:1" x14ac:dyDescent="0.3">
      <c r="A24328" s="12"/>
    </row>
    <row r="24329" spans="1:1" x14ac:dyDescent="0.3">
      <c r="A24329" s="12"/>
    </row>
    <row r="24330" spans="1:1" x14ac:dyDescent="0.3">
      <c r="A24330" s="12"/>
    </row>
    <row r="24331" spans="1:1" x14ac:dyDescent="0.3">
      <c r="A24331" s="12"/>
    </row>
    <row r="24332" spans="1:1" x14ac:dyDescent="0.3">
      <c r="A24332" s="12"/>
    </row>
    <row r="24333" spans="1:1" x14ac:dyDescent="0.3">
      <c r="A24333" s="12"/>
    </row>
    <row r="24334" spans="1:1" x14ac:dyDescent="0.3">
      <c r="A24334" s="12"/>
    </row>
    <row r="24335" spans="1:1" x14ac:dyDescent="0.3">
      <c r="A24335" s="12"/>
    </row>
    <row r="24336" spans="1:1" x14ac:dyDescent="0.3">
      <c r="A24336" s="12"/>
    </row>
    <row r="24337" spans="1:1" x14ac:dyDescent="0.3">
      <c r="A24337" s="12"/>
    </row>
    <row r="24338" spans="1:1" x14ac:dyDescent="0.3">
      <c r="A24338" s="12"/>
    </row>
    <row r="24339" spans="1:1" x14ac:dyDescent="0.3">
      <c r="A24339" s="12"/>
    </row>
    <row r="24340" spans="1:1" x14ac:dyDescent="0.3">
      <c r="A24340" s="12"/>
    </row>
    <row r="24341" spans="1:1" x14ac:dyDescent="0.3">
      <c r="A24341" s="12"/>
    </row>
    <row r="24342" spans="1:1" x14ac:dyDescent="0.3">
      <c r="A24342" s="12"/>
    </row>
    <row r="24343" spans="1:1" x14ac:dyDescent="0.3">
      <c r="A24343" s="12"/>
    </row>
    <row r="24344" spans="1:1" x14ac:dyDescent="0.3">
      <c r="A24344" s="12"/>
    </row>
    <row r="24345" spans="1:1" x14ac:dyDescent="0.3">
      <c r="A24345" s="12"/>
    </row>
    <row r="24346" spans="1:1" x14ac:dyDescent="0.3">
      <c r="A24346" s="12"/>
    </row>
    <row r="24347" spans="1:1" x14ac:dyDescent="0.3">
      <c r="A24347" s="12"/>
    </row>
    <row r="24348" spans="1:1" x14ac:dyDescent="0.3">
      <c r="A24348" s="12"/>
    </row>
    <row r="24349" spans="1:1" x14ac:dyDescent="0.3">
      <c r="A24349" s="12"/>
    </row>
    <row r="24350" spans="1:1" x14ac:dyDescent="0.3">
      <c r="A24350" s="12"/>
    </row>
    <row r="24351" spans="1:1" x14ac:dyDescent="0.3">
      <c r="A24351" s="12"/>
    </row>
    <row r="24352" spans="1:1" x14ac:dyDescent="0.3">
      <c r="A24352" s="12"/>
    </row>
    <row r="24353" spans="1:1" x14ac:dyDescent="0.3">
      <c r="A24353" s="12"/>
    </row>
    <row r="24354" spans="1:1" x14ac:dyDescent="0.3">
      <c r="A24354" s="12"/>
    </row>
    <row r="24355" spans="1:1" x14ac:dyDescent="0.3">
      <c r="A24355" s="12"/>
    </row>
    <row r="24356" spans="1:1" x14ac:dyDescent="0.3">
      <c r="A24356" s="12"/>
    </row>
    <row r="24357" spans="1:1" x14ac:dyDescent="0.3">
      <c r="A24357" s="12"/>
    </row>
    <row r="24358" spans="1:1" x14ac:dyDescent="0.3">
      <c r="A24358" s="12"/>
    </row>
    <row r="24359" spans="1:1" x14ac:dyDescent="0.3">
      <c r="A24359" s="12"/>
    </row>
    <row r="24360" spans="1:1" x14ac:dyDescent="0.3">
      <c r="A24360" s="12"/>
    </row>
    <row r="24361" spans="1:1" x14ac:dyDescent="0.3">
      <c r="A24361" s="12"/>
    </row>
    <row r="24362" spans="1:1" x14ac:dyDescent="0.3">
      <c r="A24362" s="12"/>
    </row>
    <row r="24363" spans="1:1" x14ac:dyDescent="0.3">
      <c r="A24363" s="12"/>
    </row>
    <row r="24364" spans="1:1" x14ac:dyDescent="0.3">
      <c r="A24364" s="12"/>
    </row>
    <row r="24365" spans="1:1" x14ac:dyDescent="0.3">
      <c r="A24365" s="12"/>
    </row>
    <row r="24366" spans="1:1" x14ac:dyDescent="0.3">
      <c r="A24366" s="12"/>
    </row>
    <row r="24367" spans="1:1" x14ac:dyDescent="0.3">
      <c r="A24367" s="12"/>
    </row>
    <row r="24368" spans="1:1" x14ac:dyDescent="0.3">
      <c r="A24368" s="12"/>
    </row>
    <row r="24369" spans="1:1" x14ac:dyDescent="0.3">
      <c r="A24369" s="12"/>
    </row>
    <row r="24370" spans="1:1" x14ac:dyDescent="0.3">
      <c r="A24370" s="12"/>
    </row>
    <row r="24371" spans="1:1" x14ac:dyDescent="0.3">
      <c r="A24371" s="12"/>
    </row>
    <row r="24372" spans="1:1" x14ac:dyDescent="0.3">
      <c r="A24372" s="12"/>
    </row>
    <row r="24373" spans="1:1" x14ac:dyDescent="0.3">
      <c r="A24373" s="12"/>
    </row>
    <row r="24374" spans="1:1" x14ac:dyDescent="0.3">
      <c r="A24374" s="12"/>
    </row>
    <row r="24375" spans="1:1" x14ac:dyDescent="0.3">
      <c r="A24375" s="12"/>
    </row>
    <row r="24376" spans="1:1" x14ac:dyDescent="0.3">
      <c r="A24376" s="12"/>
    </row>
    <row r="24377" spans="1:1" x14ac:dyDescent="0.3">
      <c r="A24377" s="12"/>
    </row>
    <row r="24378" spans="1:1" x14ac:dyDescent="0.3">
      <c r="A24378" s="12"/>
    </row>
    <row r="24379" spans="1:1" x14ac:dyDescent="0.3">
      <c r="A24379" s="12"/>
    </row>
    <row r="24380" spans="1:1" x14ac:dyDescent="0.3">
      <c r="A24380" s="12"/>
    </row>
    <row r="24381" spans="1:1" x14ac:dyDescent="0.3">
      <c r="A24381" s="12"/>
    </row>
    <row r="24382" spans="1:1" x14ac:dyDescent="0.3">
      <c r="A24382" s="12"/>
    </row>
    <row r="24383" spans="1:1" x14ac:dyDescent="0.3">
      <c r="A24383" s="12"/>
    </row>
    <row r="24384" spans="1:1" x14ac:dyDescent="0.3">
      <c r="A24384" s="12"/>
    </row>
    <row r="24385" spans="1:1" x14ac:dyDescent="0.3">
      <c r="A24385" s="12"/>
    </row>
    <row r="24386" spans="1:1" x14ac:dyDescent="0.3">
      <c r="A24386" s="12"/>
    </row>
    <row r="24387" spans="1:1" x14ac:dyDescent="0.3">
      <c r="A24387" s="12"/>
    </row>
    <row r="24388" spans="1:1" x14ac:dyDescent="0.3">
      <c r="A24388" s="12"/>
    </row>
    <row r="24389" spans="1:1" x14ac:dyDescent="0.3">
      <c r="A24389" s="12"/>
    </row>
    <row r="24390" spans="1:1" x14ac:dyDescent="0.3">
      <c r="A24390" s="12"/>
    </row>
    <row r="24391" spans="1:1" x14ac:dyDescent="0.3">
      <c r="A24391" s="12"/>
    </row>
    <row r="24392" spans="1:1" x14ac:dyDescent="0.3">
      <c r="A24392" s="12"/>
    </row>
    <row r="24393" spans="1:1" x14ac:dyDescent="0.3">
      <c r="A24393" s="12"/>
    </row>
    <row r="24394" spans="1:1" x14ac:dyDescent="0.3">
      <c r="A24394" s="12"/>
    </row>
    <row r="24395" spans="1:1" x14ac:dyDescent="0.3">
      <c r="A24395" s="12"/>
    </row>
    <row r="24396" spans="1:1" x14ac:dyDescent="0.3">
      <c r="A24396" s="12"/>
    </row>
    <row r="24397" spans="1:1" x14ac:dyDescent="0.3">
      <c r="A24397" s="12"/>
    </row>
    <row r="24398" spans="1:1" x14ac:dyDescent="0.3">
      <c r="A24398" s="12"/>
    </row>
    <row r="24399" spans="1:1" x14ac:dyDescent="0.3">
      <c r="A24399" s="12"/>
    </row>
    <row r="24400" spans="1:1" x14ac:dyDescent="0.3">
      <c r="A24400" s="12"/>
    </row>
    <row r="24401" spans="1:1" x14ac:dyDescent="0.3">
      <c r="A24401" s="12"/>
    </row>
    <row r="24402" spans="1:1" x14ac:dyDescent="0.3">
      <c r="A24402" s="12"/>
    </row>
    <row r="24403" spans="1:1" x14ac:dyDescent="0.3">
      <c r="A24403" s="12"/>
    </row>
    <row r="24404" spans="1:1" x14ac:dyDescent="0.3">
      <c r="A24404" s="12"/>
    </row>
    <row r="24405" spans="1:1" x14ac:dyDescent="0.3">
      <c r="A24405" s="12"/>
    </row>
    <row r="24406" spans="1:1" x14ac:dyDescent="0.3">
      <c r="A24406" s="12"/>
    </row>
    <row r="24407" spans="1:1" x14ac:dyDescent="0.3">
      <c r="A24407" s="12"/>
    </row>
    <row r="24408" spans="1:1" x14ac:dyDescent="0.3">
      <c r="A24408" s="12"/>
    </row>
    <row r="24409" spans="1:1" x14ac:dyDescent="0.3">
      <c r="A24409" s="12"/>
    </row>
    <row r="24410" spans="1:1" x14ac:dyDescent="0.3">
      <c r="A24410" s="12"/>
    </row>
    <row r="24411" spans="1:1" x14ac:dyDescent="0.3">
      <c r="A24411" s="12"/>
    </row>
    <row r="24412" spans="1:1" x14ac:dyDescent="0.3">
      <c r="A24412" s="12"/>
    </row>
    <row r="24413" spans="1:1" x14ac:dyDescent="0.3">
      <c r="A24413" s="12"/>
    </row>
    <row r="24414" spans="1:1" x14ac:dyDescent="0.3">
      <c r="A24414" s="12"/>
    </row>
    <row r="24415" spans="1:1" x14ac:dyDescent="0.3">
      <c r="A24415" s="12"/>
    </row>
    <row r="24416" spans="1:1" x14ac:dyDescent="0.3">
      <c r="A24416" s="12"/>
    </row>
    <row r="24417" spans="1:1" x14ac:dyDescent="0.3">
      <c r="A24417" s="12"/>
    </row>
    <row r="24418" spans="1:1" x14ac:dyDescent="0.3">
      <c r="A24418" s="12"/>
    </row>
    <row r="24419" spans="1:1" x14ac:dyDescent="0.3">
      <c r="A24419" s="12"/>
    </row>
    <row r="24420" spans="1:1" x14ac:dyDescent="0.3">
      <c r="A24420" s="12"/>
    </row>
    <row r="24421" spans="1:1" x14ac:dyDescent="0.3">
      <c r="A24421" s="12"/>
    </row>
    <row r="24422" spans="1:1" x14ac:dyDescent="0.3">
      <c r="A24422" s="12"/>
    </row>
    <row r="24423" spans="1:1" x14ac:dyDescent="0.3">
      <c r="A24423" s="12"/>
    </row>
    <row r="24424" spans="1:1" x14ac:dyDescent="0.3">
      <c r="A24424" s="12"/>
    </row>
    <row r="24425" spans="1:1" x14ac:dyDescent="0.3">
      <c r="A24425" s="12"/>
    </row>
    <row r="24426" spans="1:1" x14ac:dyDescent="0.3">
      <c r="A24426" s="12"/>
    </row>
    <row r="24427" spans="1:1" x14ac:dyDescent="0.3">
      <c r="A24427" s="12"/>
    </row>
    <row r="24428" spans="1:1" x14ac:dyDescent="0.3">
      <c r="A24428" s="12"/>
    </row>
    <row r="24429" spans="1:1" x14ac:dyDescent="0.3">
      <c r="A24429" s="12"/>
    </row>
    <row r="24430" spans="1:1" x14ac:dyDescent="0.3">
      <c r="A24430" s="12"/>
    </row>
    <row r="24431" spans="1:1" x14ac:dyDescent="0.3">
      <c r="A24431" s="12"/>
    </row>
    <row r="24432" spans="1:1" x14ac:dyDescent="0.3">
      <c r="A24432" s="12"/>
    </row>
    <row r="24433" spans="1:1" x14ac:dyDescent="0.3">
      <c r="A24433" s="12"/>
    </row>
    <row r="24434" spans="1:1" x14ac:dyDescent="0.3">
      <c r="A24434" s="12"/>
    </row>
    <row r="24435" spans="1:1" x14ac:dyDescent="0.3">
      <c r="A24435" s="12"/>
    </row>
    <row r="24436" spans="1:1" x14ac:dyDescent="0.3">
      <c r="A24436" s="12"/>
    </row>
    <row r="24437" spans="1:1" x14ac:dyDescent="0.3">
      <c r="A24437" s="12"/>
    </row>
    <row r="24438" spans="1:1" x14ac:dyDescent="0.3">
      <c r="A24438" s="12"/>
    </row>
    <row r="24439" spans="1:1" x14ac:dyDescent="0.3">
      <c r="A24439" s="12"/>
    </row>
    <row r="24440" spans="1:1" x14ac:dyDescent="0.3">
      <c r="A24440" s="12"/>
    </row>
    <row r="24441" spans="1:1" x14ac:dyDescent="0.3">
      <c r="A24441" s="12"/>
    </row>
    <row r="24442" spans="1:1" x14ac:dyDescent="0.3">
      <c r="A24442" s="12"/>
    </row>
    <row r="24443" spans="1:1" x14ac:dyDescent="0.3">
      <c r="A24443" s="12"/>
    </row>
    <row r="24444" spans="1:1" x14ac:dyDescent="0.3">
      <c r="A24444" s="12"/>
    </row>
    <row r="24445" spans="1:1" x14ac:dyDescent="0.3">
      <c r="A24445" s="12"/>
    </row>
    <row r="24446" spans="1:1" x14ac:dyDescent="0.3">
      <c r="A24446" s="12"/>
    </row>
    <row r="24447" spans="1:1" x14ac:dyDescent="0.3">
      <c r="A24447" s="12"/>
    </row>
    <row r="24448" spans="1:1" x14ac:dyDescent="0.3">
      <c r="A24448" s="12"/>
    </row>
    <row r="24449" spans="1:1" x14ac:dyDescent="0.3">
      <c r="A24449" s="12"/>
    </row>
    <row r="24450" spans="1:1" x14ac:dyDescent="0.3">
      <c r="A24450" s="12"/>
    </row>
    <row r="24451" spans="1:1" x14ac:dyDescent="0.3">
      <c r="A24451" s="12"/>
    </row>
    <row r="24452" spans="1:1" x14ac:dyDescent="0.3">
      <c r="A24452" s="12"/>
    </row>
    <row r="24453" spans="1:1" x14ac:dyDescent="0.3">
      <c r="A24453" s="12"/>
    </row>
    <row r="24454" spans="1:1" x14ac:dyDescent="0.3">
      <c r="A24454" s="12"/>
    </row>
    <row r="24455" spans="1:1" x14ac:dyDescent="0.3">
      <c r="A24455" s="12"/>
    </row>
    <row r="24456" spans="1:1" x14ac:dyDescent="0.3">
      <c r="A24456" s="12"/>
    </row>
    <row r="24457" spans="1:1" x14ac:dyDescent="0.3">
      <c r="A24457" s="12"/>
    </row>
    <row r="24458" spans="1:1" x14ac:dyDescent="0.3">
      <c r="A24458" s="12"/>
    </row>
    <row r="24459" spans="1:1" x14ac:dyDescent="0.3">
      <c r="A24459" s="12"/>
    </row>
    <row r="24460" spans="1:1" x14ac:dyDescent="0.3">
      <c r="A24460" s="12"/>
    </row>
    <row r="24461" spans="1:1" x14ac:dyDescent="0.3">
      <c r="A24461" s="12"/>
    </row>
    <row r="24462" spans="1:1" x14ac:dyDescent="0.3">
      <c r="A24462" s="12"/>
    </row>
    <row r="24463" spans="1:1" x14ac:dyDescent="0.3">
      <c r="A24463" s="12"/>
    </row>
    <row r="24464" spans="1:1" x14ac:dyDescent="0.3">
      <c r="A24464" s="12"/>
    </row>
    <row r="24465" spans="1:1" x14ac:dyDescent="0.3">
      <c r="A24465" s="12"/>
    </row>
    <row r="24466" spans="1:1" x14ac:dyDescent="0.3">
      <c r="A24466" s="12"/>
    </row>
    <row r="24467" spans="1:1" x14ac:dyDescent="0.3">
      <c r="A24467" s="12"/>
    </row>
    <row r="24468" spans="1:1" x14ac:dyDescent="0.3">
      <c r="A24468" s="12"/>
    </row>
    <row r="24469" spans="1:1" x14ac:dyDescent="0.3">
      <c r="A24469" s="12"/>
    </row>
    <row r="24470" spans="1:1" x14ac:dyDescent="0.3">
      <c r="A24470" s="12"/>
    </row>
    <row r="24471" spans="1:1" x14ac:dyDescent="0.3">
      <c r="A24471" s="12"/>
    </row>
    <row r="24472" spans="1:1" x14ac:dyDescent="0.3">
      <c r="A24472" s="12"/>
    </row>
    <row r="24473" spans="1:1" x14ac:dyDescent="0.3">
      <c r="A24473" s="12"/>
    </row>
    <row r="24474" spans="1:1" x14ac:dyDescent="0.3">
      <c r="A24474" s="12"/>
    </row>
    <row r="24475" spans="1:1" x14ac:dyDescent="0.3">
      <c r="A24475" s="12"/>
    </row>
    <row r="24476" spans="1:1" x14ac:dyDescent="0.3">
      <c r="A24476" s="12"/>
    </row>
    <row r="24477" spans="1:1" x14ac:dyDescent="0.3">
      <c r="A24477" s="12"/>
    </row>
    <row r="24478" spans="1:1" x14ac:dyDescent="0.3">
      <c r="A24478" s="12"/>
    </row>
    <row r="24479" spans="1:1" x14ac:dyDescent="0.3">
      <c r="A24479" s="12"/>
    </row>
    <row r="24480" spans="1:1" x14ac:dyDescent="0.3">
      <c r="A24480" s="12"/>
    </row>
    <row r="24481" spans="1:1" x14ac:dyDescent="0.3">
      <c r="A24481" s="12"/>
    </row>
    <row r="24482" spans="1:1" x14ac:dyDescent="0.3">
      <c r="A24482" s="12"/>
    </row>
    <row r="24483" spans="1:1" x14ac:dyDescent="0.3">
      <c r="A24483" s="12"/>
    </row>
    <row r="24484" spans="1:1" x14ac:dyDescent="0.3">
      <c r="A24484" s="12"/>
    </row>
    <row r="24485" spans="1:1" x14ac:dyDescent="0.3">
      <c r="A24485" s="12"/>
    </row>
    <row r="24486" spans="1:1" x14ac:dyDescent="0.3">
      <c r="A24486" s="12"/>
    </row>
    <row r="24487" spans="1:1" x14ac:dyDescent="0.3">
      <c r="A24487" s="12"/>
    </row>
    <row r="24488" spans="1:1" x14ac:dyDescent="0.3">
      <c r="A24488" s="12"/>
    </row>
    <row r="24489" spans="1:1" x14ac:dyDescent="0.3">
      <c r="A24489" s="12"/>
    </row>
    <row r="24490" spans="1:1" x14ac:dyDescent="0.3">
      <c r="A24490" s="12"/>
    </row>
    <row r="24491" spans="1:1" x14ac:dyDescent="0.3">
      <c r="A24491" s="12"/>
    </row>
    <row r="24492" spans="1:1" x14ac:dyDescent="0.3">
      <c r="A24492" s="12"/>
    </row>
    <row r="24493" spans="1:1" x14ac:dyDescent="0.3">
      <c r="A24493" s="12"/>
    </row>
    <row r="24494" spans="1:1" x14ac:dyDescent="0.3">
      <c r="A24494" s="12"/>
    </row>
    <row r="24495" spans="1:1" x14ac:dyDescent="0.3">
      <c r="A24495" s="12"/>
    </row>
    <row r="24496" spans="1:1" x14ac:dyDescent="0.3">
      <c r="A24496" s="12"/>
    </row>
    <row r="24497" spans="1:1" x14ac:dyDescent="0.3">
      <c r="A24497" s="12"/>
    </row>
    <row r="24498" spans="1:1" x14ac:dyDescent="0.3">
      <c r="A24498" s="12"/>
    </row>
    <row r="24499" spans="1:1" x14ac:dyDescent="0.3">
      <c r="A24499" s="12"/>
    </row>
    <row r="24500" spans="1:1" x14ac:dyDescent="0.3">
      <c r="A24500" s="12"/>
    </row>
    <row r="24501" spans="1:1" x14ac:dyDescent="0.3">
      <c r="A24501" s="12"/>
    </row>
    <row r="24502" spans="1:1" x14ac:dyDescent="0.3">
      <c r="A24502" s="12"/>
    </row>
    <row r="24503" spans="1:1" x14ac:dyDescent="0.3">
      <c r="A24503" s="12"/>
    </row>
    <row r="24504" spans="1:1" x14ac:dyDescent="0.3">
      <c r="A24504" s="12"/>
    </row>
    <row r="24505" spans="1:1" x14ac:dyDescent="0.3">
      <c r="A24505" s="12"/>
    </row>
    <row r="24506" spans="1:1" x14ac:dyDescent="0.3">
      <c r="A24506" s="12"/>
    </row>
    <row r="24507" spans="1:1" x14ac:dyDescent="0.3">
      <c r="A24507" s="12"/>
    </row>
    <row r="24508" spans="1:1" x14ac:dyDescent="0.3">
      <c r="A24508" s="12"/>
    </row>
    <row r="24509" spans="1:1" x14ac:dyDescent="0.3">
      <c r="A24509" s="12"/>
    </row>
    <row r="24510" spans="1:1" x14ac:dyDescent="0.3">
      <c r="A24510" s="12"/>
    </row>
    <row r="24511" spans="1:1" x14ac:dyDescent="0.3">
      <c r="A24511" s="12"/>
    </row>
    <row r="24512" spans="1:1" x14ac:dyDescent="0.3">
      <c r="A24512" s="12"/>
    </row>
    <row r="24513" spans="1:1" x14ac:dyDescent="0.3">
      <c r="A24513" s="12"/>
    </row>
    <row r="24514" spans="1:1" x14ac:dyDescent="0.3">
      <c r="A24514" s="12"/>
    </row>
    <row r="24515" spans="1:1" x14ac:dyDescent="0.3">
      <c r="A24515" s="12"/>
    </row>
    <row r="24516" spans="1:1" x14ac:dyDescent="0.3">
      <c r="A24516" s="12"/>
    </row>
    <row r="24517" spans="1:1" x14ac:dyDescent="0.3">
      <c r="A24517" s="12"/>
    </row>
    <row r="24518" spans="1:1" x14ac:dyDescent="0.3">
      <c r="A24518" s="12"/>
    </row>
    <row r="24519" spans="1:1" x14ac:dyDescent="0.3">
      <c r="A24519" s="12"/>
    </row>
    <row r="24520" spans="1:1" x14ac:dyDescent="0.3">
      <c r="A24520" s="12"/>
    </row>
    <row r="24521" spans="1:1" x14ac:dyDescent="0.3">
      <c r="A24521" s="12"/>
    </row>
    <row r="24522" spans="1:1" x14ac:dyDescent="0.3">
      <c r="A24522" s="12"/>
    </row>
    <row r="24523" spans="1:1" x14ac:dyDescent="0.3">
      <c r="A24523" s="12"/>
    </row>
    <row r="24524" spans="1:1" x14ac:dyDescent="0.3">
      <c r="A24524" s="12"/>
    </row>
    <row r="24525" spans="1:1" x14ac:dyDescent="0.3">
      <c r="A24525" s="12"/>
    </row>
    <row r="24526" spans="1:1" x14ac:dyDescent="0.3">
      <c r="A24526" s="12"/>
    </row>
    <row r="24527" spans="1:1" x14ac:dyDescent="0.3">
      <c r="A24527" s="12"/>
    </row>
    <row r="24528" spans="1:1" x14ac:dyDescent="0.3">
      <c r="A24528" s="12"/>
    </row>
    <row r="24529" spans="1:1" x14ac:dyDescent="0.3">
      <c r="A24529" s="12"/>
    </row>
    <row r="24530" spans="1:1" x14ac:dyDescent="0.3">
      <c r="A24530" s="12"/>
    </row>
    <row r="24531" spans="1:1" x14ac:dyDescent="0.3">
      <c r="A24531" s="12"/>
    </row>
    <row r="24532" spans="1:1" x14ac:dyDescent="0.3">
      <c r="A24532" s="12"/>
    </row>
    <row r="24533" spans="1:1" x14ac:dyDescent="0.3">
      <c r="A24533" s="12"/>
    </row>
    <row r="24534" spans="1:1" x14ac:dyDescent="0.3">
      <c r="A24534" s="12"/>
    </row>
    <row r="24535" spans="1:1" x14ac:dyDescent="0.3">
      <c r="A24535" s="12"/>
    </row>
    <row r="24536" spans="1:1" x14ac:dyDescent="0.3">
      <c r="A24536" s="12"/>
    </row>
    <row r="24537" spans="1:1" x14ac:dyDescent="0.3">
      <c r="A24537" s="12"/>
    </row>
    <row r="24538" spans="1:1" x14ac:dyDescent="0.3">
      <c r="A24538" s="12"/>
    </row>
    <row r="24539" spans="1:1" x14ac:dyDescent="0.3">
      <c r="A24539" s="12"/>
    </row>
    <row r="24540" spans="1:1" x14ac:dyDescent="0.3">
      <c r="A24540" s="12"/>
    </row>
    <row r="24541" spans="1:1" x14ac:dyDescent="0.3">
      <c r="A24541" s="12"/>
    </row>
    <row r="24542" spans="1:1" x14ac:dyDescent="0.3">
      <c r="A24542" s="12"/>
    </row>
    <row r="24543" spans="1:1" x14ac:dyDescent="0.3">
      <c r="A24543" s="12"/>
    </row>
    <row r="24544" spans="1:1" x14ac:dyDescent="0.3">
      <c r="A24544" s="12"/>
    </row>
    <row r="24545" spans="1:1" x14ac:dyDescent="0.3">
      <c r="A24545" s="12"/>
    </row>
    <row r="24546" spans="1:1" x14ac:dyDescent="0.3">
      <c r="A24546" s="12"/>
    </row>
    <row r="24547" spans="1:1" x14ac:dyDescent="0.3">
      <c r="A24547" s="12"/>
    </row>
    <row r="24548" spans="1:1" x14ac:dyDescent="0.3">
      <c r="A24548" s="12"/>
    </row>
    <row r="24549" spans="1:1" x14ac:dyDescent="0.3">
      <c r="A24549" s="12"/>
    </row>
    <row r="24550" spans="1:1" x14ac:dyDescent="0.3">
      <c r="A24550" s="12"/>
    </row>
    <row r="24551" spans="1:1" x14ac:dyDescent="0.3">
      <c r="A24551" s="12"/>
    </row>
    <row r="24552" spans="1:1" x14ac:dyDescent="0.3">
      <c r="A24552" s="12"/>
    </row>
    <row r="24553" spans="1:1" x14ac:dyDescent="0.3">
      <c r="A24553" s="12"/>
    </row>
    <row r="24554" spans="1:1" x14ac:dyDescent="0.3">
      <c r="A24554" s="12"/>
    </row>
    <row r="24555" spans="1:1" x14ac:dyDescent="0.3">
      <c r="A24555" s="12"/>
    </row>
    <row r="24556" spans="1:1" x14ac:dyDescent="0.3">
      <c r="A24556" s="12"/>
    </row>
    <row r="24557" spans="1:1" x14ac:dyDescent="0.3">
      <c r="A24557" s="12"/>
    </row>
    <row r="24558" spans="1:1" x14ac:dyDescent="0.3">
      <c r="A24558" s="12"/>
    </row>
    <row r="24559" spans="1:1" x14ac:dyDescent="0.3">
      <c r="A24559" s="12"/>
    </row>
    <row r="24560" spans="1:1" x14ac:dyDescent="0.3">
      <c r="A24560" s="12"/>
    </row>
    <row r="24561" spans="1:1" x14ac:dyDescent="0.3">
      <c r="A24561" s="12"/>
    </row>
    <row r="24562" spans="1:1" x14ac:dyDescent="0.3">
      <c r="A24562" s="12"/>
    </row>
    <row r="24563" spans="1:1" x14ac:dyDescent="0.3">
      <c r="A24563" s="12"/>
    </row>
    <row r="24564" spans="1:1" x14ac:dyDescent="0.3">
      <c r="A24564" s="12"/>
    </row>
    <row r="24565" spans="1:1" x14ac:dyDescent="0.3">
      <c r="A24565" s="12"/>
    </row>
    <row r="24566" spans="1:1" x14ac:dyDescent="0.3">
      <c r="A24566" s="12"/>
    </row>
    <row r="24567" spans="1:1" x14ac:dyDescent="0.3">
      <c r="A24567" s="12"/>
    </row>
    <row r="24568" spans="1:1" x14ac:dyDescent="0.3">
      <c r="A24568" s="12"/>
    </row>
    <row r="24569" spans="1:1" x14ac:dyDescent="0.3">
      <c r="A24569" s="12"/>
    </row>
    <row r="24570" spans="1:1" x14ac:dyDescent="0.3">
      <c r="A24570" s="12"/>
    </row>
    <row r="24571" spans="1:1" x14ac:dyDescent="0.3">
      <c r="A24571" s="12"/>
    </row>
    <row r="24572" spans="1:1" x14ac:dyDescent="0.3">
      <c r="A24572" s="12"/>
    </row>
    <row r="24573" spans="1:1" x14ac:dyDescent="0.3">
      <c r="A24573" s="12"/>
    </row>
    <row r="24574" spans="1:1" x14ac:dyDescent="0.3">
      <c r="A24574" s="12"/>
    </row>
    <row r="24575" spans="1:1" x14ac:dyDescent="0.3">
      <c r="A24575" s="12"/>
    </row>
    <row r="24576" spans="1:1" x14ac:dyDescent="0.3">
      <c r="A24576" s="12"/>
    </row>
    <row r="24577" spans="1:1" x14ac:dyDescent="0.3">
      <c r="A24577" s="12"/>
    </row>
    <row r="24578" spans="1:1" x14ac:dyDescent="0.3">
      <c r="A24578" s="12"/>
    </row>
    <row r="24579" spans="1:1" x14ac:dyDescent="0.3">
      <c r="A24579" s="12"/>
    </row>
    <row r="24580" spans="1:1" x14ac:dyDescent="0.3">
      <c r="A24580" s="12"/>
    </row>
    <row r="24581" spans="1:1" x14ac:dyDescent="0.3">
      <c r="A24581" s="12"/>
    </row>
    <row r="24582" spans="1:1" x14ac:dyDescent="0.3">
      <c r="A24582" s="12"/>
    </row>
    <row r="24583" spans="1:1" x14ac:dyDescent="0.3">
      <c r="A24583" s="12"/>
    </row>
    <row r="24584" spans="1:1" x14ac:dyDescent="0.3">
      <c r="A24584" s="12"/>
    </row>
    <row r="24585" spans="1:1" x14ac:dyDescent="0.3">
      <c r="A24585" s="12"/>
    </row>
    <row r="24586" spans="1:1" x14ac:dyDescent="0.3">
      <c r="A24586" s="12"/>
    </row>
    <row r="24587" spans="1:1" x14ac:dyDescent="0.3">
      <c r="A24587" s="12"/>
    </row>
    <row r="24588" spans="1:1" x14ac:dyDescent="0.3">
      <c r="A24588" s="12"/>
    </row>
    <row r="24589" spans="1:1" x14ac:dyDescent="0.3">
      <c r="A24589" s="12"/>
    </row>
    <row r="24590" spans="1:1" x14ac:dyDescent="0.3">
      <c r="A24590" s="12"/>
    </row>
    <row r="24591" spans="1:1" x14ac:dyDescent="0.3">
      <c r="A24591" s="12"/>
    </row>
    <row r="24592" spans="1:1" x14ac:dyDescent="0.3">
      <c r="A24592" s="12"/>
    </row>
    <row r="24593" spans="1:1" x14ac:dyDescent="0.3">
      <c r="A24593" s="12"/>
    </row>
    <row r="24594" spans="1:1" x14ac:dyDescent="0.3">
      <c r="A24594" s="12"/>
    </row>
    <row r="24595" spans="1:1" x14ac:dyDescent="0.3">
      <c r="A24595" s="12"/>
    </row>
    <row r="24596" spans="1:1" x14ac:dyDescent="0.3">
      <c r="A24596" s="12"/>
    </row>
    <row r="24597" spans="1:1" x14ac:dyDescent="0.3">
      <c r="A24597" s="12"/>
    </row>
    <row r="24598" spans="1:1" x14ac:dyDescent="0.3">
      <c r="A24598" s="12"/>
    </row>
    <row r="24599" spans="1:1" x14ac:dyDescent="0.3">
      <c r="A24599" s="12"/>
    </row>
    <row r="24600" spans="1:1" x14ac:dyDescent="0.3">
      <c r="A24600" s="12"/>
    </row>
    <row r="24601" spans="1:1" x14ac:dyDescent="0.3">
      <c r="A24601" s="12"/>
    </row>
    <row r="24602" spans="1:1" x14ac:dyDescent="0.3">
      <c r="A24602" s="12"/>
    </row>
    <row r="24603" spans="1:1" x14ac:dyDescent="0.3">
      <c r="A24603" s="12"/>
    </row>
    <row r="24604" spans="1:1" x14ac:dyDescent="0.3">
      <c r="A24604" s="12"/>
    </row>
    <row r="24605" spans="1:1" x14ac:dyDescent="0.3">
      <c r="A24605" s="12"/>
    </row>
    <row r="24606" spans="1:1" x14ac:dyDescent="0.3">
      <c r="A24606" s="12"/>
    </row>
    <row r="24607" spans="1:1" x14ac:dyDescent="0.3">
      <c r="A24607" s="12"/>
    </row>
    <row r="24608" spans="1:1" x14ac:dyDescent="0.3">
      <c r="A24608" s="12"/>
    </row>
    <row r="24609" spans="1:1" x14ac:dyDescent="0.3">
      <c r="A24609" s="12"/>
    </row>
    <row r="24610" spans="1:1" x14ac:dyDescent="0.3">
      <c r="A24610" s="12"/>
    </row>
    <row r="24611" spans="1:1" x14ac:dyDescent="0.3">
      <c r="A24611" s="12"/>
    </row>
    <row r="24612" spans="1:1" x14ac:dyDescent="0.3">
      <c r="A24612" s="12"/>
    </row>
    <row r="24613" spans="1:1" x14ac:dyDescent="0.3">
      <c r="A24613" s="12"/>
    </row>
    <row r="24614" spans="1:1" x14ac:dyDescent="0.3">
      <c r="A24614" s="12"/>
    </row>
    <row r="24615" spans="1:1" x14ac:dyDescent="0.3">
      <c r="A24615" s="12"/>
    </row>
    <row r="24616" spans="1:1" x14ac:dyDescent="0.3">
      <c r="A24616" s="12"/>
    </row>
    <row r="24617" spans="1:1" x14ac:dyDescent="0.3">
      <c r="A24617" s="12"/>
    </row>
    <row r="24618" spans="1:1" x14ac:dyDescent="0.3">
      <c r="A24618" s="12"/>
    </row>
    <row r="24619" spans="1:1" x14ac:dyDescent="0.3">
      <c r="A24619" s="12"/>
    </row>
    <row r="24620" spans="1:1" x14ac:dyDescent="0.3">
      <c r="A24620" s="12"/>
    </row>
    <row r="24621" spans="1:1" x14ac:dyDescent="0.3">
      <c r="A24621" s="12"/>
    </row>
    <row r="24622" spans="1:1" x14ac:dyDescent="0.3">
      <c r="A24622" s="12"/>
    </row>
    <row r="24623" spans="1:1" x14ac:dyDescent="0.3">
      <c r="A24623" s="12"/>
    </row>
    <row r="24624" spans="1:1" x14ac:dyDescent="0.3">
      <c r="A24624" s="12"/>
    </row>
    <row r="24625" spans="1:1" x14ac:dyDescent="0.3">
      <c r="A24625" s="12"/>
    </row>
    <row r="24626" spans="1:1" x14ac:dyDescent="0.3">
      <c r="A24626" s="12"/>
    </row>
    <row r="24627" spans="1:1" x14ac:dyDescent="0.3">
      <c r="A24627" s="12"/>
    </row>
    <row r="24628" spans="1:1" x14ac:dyDescent="0.3">
      <c r="A24628" s="12"/>
    </row>
    <row r="24629" spans="1:1" x14ac:dyDescent="0.3">
      <c r="A24629" s="12"/>
    </row>
    <row r="24630" spans="1:1" x14ac:dyDescent="0.3">
      <c r="A24630" s="12"/>
    </row>
    <row r="24631" spans="1:1" x14ac:dyDescent="0.3">
      <c r="A24631" s="12"/>
    </row>
    <row r="24632" spans="1:1" x14ac:dyDescent="0.3">
      <c r="A24632" s="12"/>
    </row>
    <row r="24633" spans="1:1" x14ac:dyDescent="0.3">
      <c r="A24633" s="12"/>
    </row>
    <row r="24634" spans="1:1" x14ac:dyDescent="0.3">
      <c r="A24634" s="12"/>
    </row>
    <row r="24635" spans="1:1" x14ac:dyDescent="0.3">
      <c r="A24635" s="12"/>
    </row>
    <row r="24636" spans="1:1" x14ac:dyDescent="0.3">
      <c r="A24636" s="12"/>
    </row>
    <row r="24637" spans="1:1" x14ac:dyDescent="0.3">
      <c r="A24637" s="12"/>
    </row>
    <row r="24638" spans="1:1" x14ac:dyDescent="0.3">
      <c r="A24638" s="12"/>
    </row>
    <row r="24639" spans="1:1" x14ac:dyDescent="0.3">
      <c r="A24639" s="12"/>
    </row>
    <row r="24640" spans="1:1" x14ac:dyDescent="0.3">
      <c r="A24640" s="12"/>
    </row>
    <row r="24641" spans="1:1" x14ac:dyDescent="0.3">
      <c r="A24641" s="12"/>
    </row>
    <row r="24642" spans="1:1" x14ac:dyDescent="0.3">
      <c r="A24642" s="12"/>
    </row>
    <row r="24643" spans="1:1" x14ac:dyDescent="0.3">
      <c r="A24643" s="12"/>
    </row>
    <row r="24644" spans="1:1" x14ac:dyDescent="0.3">
      <c r="A24644" s="12"/>
    </row>
    <row r="24645" spans="1:1" x14ac:dyDescent="0.3">
      <c r="A24645" s="12"/>
    </row>
    <row r="24646" spans="1:1" x14ac:dyDescent="0.3">
      <c r="A24646" s="12"/>
    </row>
    <row r="24647" spans="1:1" x14ac:dyDescent="0.3">
      <c r="A24647" s="12"/>
    </row>
    <row r="24648" spans="1:1" x14ac:dyDescent="0.3">
      <c r="A24648" s="12"/>
    </row>
    <row r="24649" spans="1:1" x14ac:dyDescent="0.3">
      <c r="A24649" s="12"/>
    </row>
    <row r="24650" spans="1:1" x14ac:dyDescent="0.3">
      <c r="A24650" s="12"/>
    </row>
    <row r="24651" spans="1:1" x14ac:dyDescent="0.3">
      <c r="A24651" s="12"/>
    </row>
    <row r="24652" spans="1:1" x14ac:dyDescent="0.3">
      <c r="A24652" s="12"/>
    </row>
    <row r="24653" spans="1:1" x14ac:dyDescent="0.3">
      <c r="A24653" s="12"/>
    </row>
    <row r="24654" spans="1:1" x14ac:dyDescent="0.3">
      <c r="A24654" s="12"/>
    </row>
    <row r="24655" spans="1:1" x14ac:dyDescent="0.3">
      <c r="A24655" s="12"/>
    </row>
    <row r="24656" spans="1:1" x14ac:dyDescent="0.3">
      <c r="A24656" s="12"/>
    </row>
    <row r="24657" spans="1:1" x14ac:dyDescent="0.3">
      <c r="A24657" s="12"/>
    </row>
    <row r="24658" spans="1:1" x14ac:dyDescent="0.3">
      <c r="A24658" s="12"/>
    </row>
    <row r="24659" spans="1:1" x14ac:dyDescent="0.3">
      <c r="A24659" s="12"/>
    </row>
    <row r="24660" spans="1:1" x14ac:dyDescent="0.3">
      <c r="A24660" s="12"/>
    </row>
    <row r="24661" spans="1:1" x14ac:dyDescent="0.3">
      <c r="A24661" s="12"/>
    </row>
    <row r="24662" spans="1:1" x14ac:dyDescent="0.3">
      <c r="A24662" s="12"/>
    </row>
    <row r="24663" spans="1:1" x14ac:dyDescent="0.3">
      <c r="A24663" s="12"/>
    </row>
    <row r="24664" spans="1:1" x14ac:dyDescent="0.3">
      <c r="A24664" s="12"/>
    </row>
    <row r="24665" spans="1:1" x14ac:dyDescent="0.3">
      <c r="A24665" s="12"/>
    </row>
    <row r="24666" spans="1:1" x14ac:dyDescent="0.3">
      <c r="A24666" s="12"/>
    </row>
    <row r="24667" spans="1:1" x14ac:dyDescent="0.3">
      <c r="A24667" s="12"/>
    </row>
    <row r="24668" spans="1:1" x14ac:dyDescent="0.3">
      <c r="A24668" s="12"/>
    </row>
    <row r="24669" spans="1:1" x14ac:dyDescent="0.3">
      <c r="A24669" s="12"/>
    </row>
    <row r="24670" spans="1:1" x14ac:dyDescent="0.3">
      <c r="A24670" s="12"/>
    </row>
    <row r="24671" spans="1:1" x14ac:dyDescent="0.3">
      <c r="A24671" s="12"/>
    </row>
    <row r="24672" spans="1:1" x14ac:dyDescent="0.3">
      <c r="A24672" s="12"/>
    </row>
    <row r="24673" spans="1:1" x14ac:dyDescent="0.3">
      <c r="A24673" s="12"/>
    </row>
    <row r="24674" spans="1:1" x14ac:dyDescent="0.3">
      <c r="A24674" s="12"/>
    </row>
    <row r="24675" spans="1:1" x14ac:dyDescent="0.3">
      <c r="A24675" s="12"/>
    </row>
    <row r="24676" spans="1:1" x14ac:dyDescent="0.3">
      <c r="A24676" s="12"/>
    </row>
    <row r="24677" spans="1:1" x14ac:dyDescent="0.3">
      <c r="A24677" s="12"/>
    </row>
    <row r="24678" spans="1:1" x14ac:dyDescent="0.3">
      <c r="A24678" s="12"/>
    </row>
    <row r="24679" spans="1:1" x14ac:dyDescent="0.3">
      <c r="A24679" s="12"/>
    </row>
    <row r="24680" spans="1:1" x14ac:dyDescent="0.3">
      <c r="A24680" s="12"/>
    </row>
    <row r="24681" spans="1:1" x14ac:dyDescent="0.3">
      <c r="A24681" s="12"/>
    </row>
    <row r="24682" spans="1:1" x14ac:dyDescent="0.3">
      <c r="A24682" s="12"/>
    </row>
    <row r="24683" spans="1:1" x14ac:dyDescent="0.3">
      <c r="A24683" s="12"/>
    </row>
    <row r="24684" spans="1:1" x14ac:dyDescent="0.3">
      <c r="A24684" s="12"/>
    </row>
    <row r="24685" spans="1:1" x14ac:dyDescent="0.3">
      <c r="A24685" s="12"/>
    </row>
    <row r="24686" spans="1:1" x14ac:dyDescent="0.3">
      <c r="A24686" s="12"/>
    </row>
    <row r="24687" spans="1:1" x14ac:dyDescent="0.3">
      <c r="A24687" s="12"/>
    </row>
    <row r="24688" spans="1:1" x14ac:dyDescent="0.3">
      <c r="A24688" s="12"/>
    </row>
    <row r="24689" spans="1:1" x14ac:dyDescent="0.3">
      <c r="A24689" s="12"/>
    </row>
    <row r="24690" spans="1:1" x14ac:dyDescent="0.3">
      <c r="A24690" s="12"/>
    </row>
    <row r="24691" spans="1:1" x14ac:dyDescent="0.3">
      <c r="A24691" s="12"/>
    </row>
    <row r="24692" spans="1:1" x14ac:dyDescent="0.3">
      <c r="A24692" s="12"/>
    </row>
    <row r="24693" spans="1:1" x14ac:dyDescent="0.3">
      <c r="A24693" s="12"/>
    </row>
    <row r="24694" spans="1:1" x14ac:dyDescent="0.3">
      <c r="A24694" s="12"/>
    </row>
    <row r="24695" spans="1:1" x14ac:dyDescent="0.3">
      <c r="A24695" s="12"/>
    </row>
    <row r="24696" spans="1:1" x14ac:dyDescent="0.3">
      <c r="A24696" s="12"/>
    </row>
    <row r="24697" spans="1:1" x14ac:dyDescent="0.3">
      <c r="A24697" s="12"/>
    </row>
    <row r="24698" spans="1:1" x14ac:dyDescent="0.3">
      <c r="A24698" s="12"/>
    </row>
    <row r="24699" spans="1:1" x14ac:dyDescent="0.3">
      <c r="A24699" s="12"/>
    </row>
    <row r="24700" spans="1:1" x14ac:dyDescent="0.3">
      <c r="A24700" s="12"/>
    </row>
    <row r="24701" spans="1:1" x14ac:dyDescent="0.3">
      <c r="A24701" s="12"/>
    </row>
    <row r="24702" spans="1:1" x14ac:dyDescent="0.3">
      <c r="A24702" s="12"/>
    </row>
    <row r="24703" spans="1:1" x14ac:dyDescent="0.3">
      <c r="A24703" s="12"/>
    </row>
    <row r="24704" spans="1:1" x14ac:dyDescent="0.3">
      <c r="A24704" s="12"/>
    </row>
    <row r="24705" spans="1:1" x14ac:dyDescent="0.3">
      <c r="A24705" s="12"/>
    </row>
    <row r="24706" spans="1:1" x14ac:dyDescent="0.3">
      <c r="A24706" s="12"/>
    </row>
    <row r="24707" spans="1:1" x14ac:dyDescent="0.3">
      <c r="A24707" s="12"/>
    </row>
    <row r="24708" spans="1:1" x14ac:dyDescent="0.3">
      <c r="A24708" s="12"/>
    </row>
    <row r="24709" spans="1:1" x14ac:dyDescent="0.3">
      <c r="A24709" s="12"/>
    </row>
    <row r="24710" spans="1:1" x14ac:dyDescent="0.3">
      <c r="A24710" s="12"/>
    </row>
    <row r="24711" spans="1:1" x14ac:dyDescent="0.3">
      <c r="A24711" s="12"/>
    </row>
    <row r="24712" spans="1:1" x14ac:dyDescent="0.3">
      <c r="A24712" s="12"/>
    </row>
    <row r="24713" spans="1:1" x14ac:dyDescent="0.3">
      <c r="A24713" s="12"/>
    </row>
    <row r="24714" spans="1:1" x14ac:dyDescent="0.3">
      <c r="A24714" s="12"/>
    </row>
    <row r="24715" spans="1:1" x14ac:dyDescent="0.3">
      <c r="A24715" s="12"/>
    </row>
    <row r="24716" spans="1:1" x14ac:dyDescent="0.3">
      <c r="A24716" s="12"/>
    </row>
    <row r="24717" spans="1:1" x14ac:dyDescent="0.3">
      <c r="A24717" s="12"/>
    </row>
    <row r="24718" spans="1:1" x14ac:dyDescent="0.3">
      <c r="A24718" s="12"/>
    </row>
    <row r="24719" spans="1:1" x14ac:dyDescent="0.3">
      <c r="A24719" s="12"/>
    </row>
    <row r="24720" spans="1:1" x14ac:dyDescent="0.3">
      <c r="A24720" s="12"/>
    </row>
    <row r="24721" spans="1:1" x14ac:dyDescent="0.3">
      <c r="A24721" s="12"/>
    </row>
    <row r="24722" spans="1:1" x14ac:dyDescent="0.3">
      <c r="A24722" s="12"/>
    </row>
    <row r="24723" spans="1:1" x14ac:dyDescent="0.3">
      <c r="A24723" s="12"/>
    </row>
    <row r="24724" spans="1:1" x14ac:dyDescent="0.3">
      <c r="A24724" s="12"/>
    </row>
    <row r="24725" spans="1:1" x14ac:dyDescent="0.3">
      <c r="A24725" s="12"/>
    </row>
    <row r="24726" spans="1:1" x14ac:dyDescent="0.3">
      <c r="A24726" s="12"/>
    </row>
    <row r="24727" spans="1:1" x14ac:dyDescent="0.3">
      <c r="A24727" s="12"/>
    </row>
    <row r="24728" spans="1:1" x14ac:dyDescent="0.3">
      <c r="A24728" s="12"/>
    </row>
    <row r="24729" spans="1:1" x14ac:dyDescent="0.3">
      <c r="A24729" s="12"/>
    </row>
    <row r="24730" spans="1:1" x14ac:dyDescent="0.3">
      <c r="A24730" s="12"/>
    </row>
    <row r="24731" spans="1:1" x14ac:dyDescent="0.3">
      <c r="A24731" s="12"/>
    </row>
    <row r="24732" spans="1:1" x14ac:dyDescent="0.3">
      <c r="A24732" s="12"/>
    </row>
    <row r="24733" spans="1:1" x14ac:dyDescent="0.3">
      <c r="A24733" s="12"/>
    </row>
    <row r="24734" spans="1:1" x14ac:dyDescent="0.3">
      <c r="A24734" s="12"/>
    </row>
    <row r="24735" spans="1:1" x14ac:dyDescent="0.3">
      <c r="A24735" s="12"/>
    </row>
    <row r="24736" spans="1:1" x14ac:dyDescent="0.3">
      <c r="A24736" s="12"/>
    </row>
    <row r="24737" spans="1:1" x14ac:dyDescent="0.3">
      <c r="A24737" s="12"/>
    </row>
    <row r="24738" spans="1:1" x14ac:dyDescent="0.3">
      <c r="A24738" s="12"/>
    </row>
    <row r="24739" spans="1:1" x14ac:dyDescent="0.3">
      <c r="A24739" s="12"/>
    </row>
    <row r="24740" spans="1:1" x14ac:dyDescent="0.3">
      <c r="A24740" s="12"/>
    </row>
    <row r="24741" spans="1:1" x14ac:dyDescent="0.3">
      <c r="A24741" s="12"/>
    </row>
    <row r="24742" spans="1:1" x14ac:dyDescent="0.3">
      <c r="A24742" s="12"/>
    </row>
    <row r="24743" spans="1:1" x14ac:dyDescent="0.3">
      <c r="A24743" s="12"/>
    </row>
    <row r="24744" spans="1:1" x14ac:dyDescent="0.3">
      <c r="A24744" s="12"/>
    </row>
    <row r="24745" spans="1:1" x14ac:dyDescent="0.3">
      <c r="A24745" s="12"/>
    </row>
    <row r="24746" spans="1:1" x14ac:dyDescent="0.3">
      <c r="A24746" s="12"/>
    </row>
    <row r="24747" spans="1:1" x14ac:dyDescent="0.3">
      <c r="A24747" s="12"/>
    </row>
    <row r="24748" spans="1:1" x14ac:dyDescent="0.3">
      <c r="A24748" s="12"/>
    </row>
    <row r="24749" spans="1:1" x14ac:dyDescent="0.3">
      <c r="A24749" s="12"/>
    </row>
    <row r="24750" spans="1:1" x14ac:dyDescent="0.3">
      <c r="A24750" s="12"/>
    </row>
    <row r="24751" spans="1:1" x14ac:dyDescent="0.3">
      <c r="A24751" s="12"/>
    </row>
    <row r="24752" spans="1:1" x14ac:dyDescent="0.3">
      <c r="A24752" s="12"/>
    </row>
    <row r="24753" spans="1:1" x14ac:dyDescent="0.3">
      <c r="A24753" s="12"/>
    </row>
    <row r="24754" spans="1:1" x14ac:dyDescent="0.3">
      <c r="A24754" s="12"/>
    </row>
    <row r="24755" spans="1:1" x14ac:dyDescent="0.3">
      <c r="A24755" s="12"/>
    </row>
    <row r="24756" spans="1:1" x14ac:dyDescent="0.3">
      <c r="A24756" s="12"/>
    </row>
    <row r="24757" spans="1:1" x14ac:dyDescent="0.3">
      <c r="A24757" s="12"/>
    </row>
    <row r="24758" spans="1:1" x14ac:dyDescent="0.3">
      <c r="A24758" s="12"/>
    </row>
    <row r="24759" spans="1:1" x14ac:dyDescent="0.3">
      <c r="A24759" s="12"/>
    </row>
    <row r="24760" spans="1:1" x14ac:dyDescent="0.3">
      <c r="A24760" s="12"/>
    </row>
    <row r="24761" spans="1:1" x14ac:dyDescent="0.3">
      <c r="A24761" s="12"/>
    </row>
    <row r="24762" spans="1:1" x14ac:dyDescent="0.3">
      <c r="A24762" s="12"/>
    </row>
    <row r="24763" spans="1:1" x14ac:dyDescent="0.3">
      <c r="A24763" s="12"/>
    </row>
    <row r="24764" spans="1:1" x14ac:dyDescent="0.3">
      <c r="A24764" s="12"/>
    </row>
    <row r="24765" spans="1:1" x14ac:dyDescent="0.3">
      <c r="A24765" s="12"/>
    </row>
    <row r="24766" spans="1:1" x14ac:dyDescent="0.3">
      <c r="A24766" s="12"/>
    </row>
    <row r="24767" spans="1:1" x14ac:dyDescent="0.3">
      <c r="A24767" s="12"/>
    </row>
    <row r="24768" spans="1:1" x14ac:dyDescent="0.3">
      <c r="A24768" s="12"/>
    </row>
    <row r="24769" spans="1:1" x14ac:dyDescent="0.3">
      <c r="A24769" s="12"/>
    </row>
    <row r="24770" spans="1:1" x14ac:dyDescent="0.3">
      <c r="A24770" s="12"/>
    </row>
    <row r="24771" spans="1:1" x14ac:dyDescent="0.3">
      <c r="A24771" s="12"/>
    </row>
    <row r="24772" spans="1:1" x14ac:dyDescent="0.3">
      <c r="A24772" s="12"/>
    </row>
    <row r="24773" spans="1:1" x14ac:dyDescent="0.3">
      <c r="A24773" s="12"/>
    </row>
    <row r="24774" spans="1:1" x14ac:dyDescent="0.3">
      <c r="A24774" s="12"/>
    </row>
    <row r="24775" spans="1:1" x14ac:dyDescent="0.3">
      <c r="A24775" s="12"/>
    </row>
    <row r="24776" spans="1:1" x14ac:dyDescent="0.3">
      <c r="A24776" s="12"/>
    </row>
    <row r="24777" spans="1:1" x14ac:dyDescent="0.3">
      <c r="A24777" s="12"/>
    </row>
    <row r="24778" spans="1:1" x14ac:dyDescent="0.3">
      <c r="A24778" s="12"/>
    </row>
    <row r="24779" spans="1:1" x14ac:dyDescent="0.3">
      <c r="A24779" s="12"/>
    </row>
    <row r="24780" spans="1:1" x14ac:dyDescent="0.3">
      <c r="A24780" s="12"/>
    </row>
    <row r="24781" spans="1:1" x14ac:dyDescent="0.3">
      <c r="A24781" s="12"/>
    </row>
    <row r="24782" spans="1:1" x14ac:dyDescent="0.3">
      <c r="A24782" s="12"/>
    </row>
    <row r="24783" spans="1:1" x14ac:dyDescent="0.3">
      <c r="A24783" s="12"/>
    </row>
    <row r="24784" spans="1:1" x14ac:dyDescent="0.3">
      <c r="A24784" s="12"/>
    </row>
    <row r="24785" spans="1:1" x14ac:dyDescent="0.3">
      <c r="A24785" s="12"/>
    </row>
    <row r="24786" spans="1:1" x14ac:dyDescent="0.3">
      <c r="A24786" s="12"/>
    </row>
    <row r="24787" spans="1:1" x14ac:dyDescent="0.3">
      <c r="A24787" s="12"/>
    </row>
    <row r="24788" spans="1:1" x14ac:dyDescent="0.3">
      <c r="A24788" s="12"/>
    </row>
    <row r="24789" spans="1:1" x14ac:dyDescent="0.3">
      <c r="A24789" s="12"/>
    </row>
    <row r="24790" spans="1:1" x14ac:dyDescent="0.3">
      <c r="A24790" s="12"/>
    </row>
    <row r="24791" spans="1:1" x14ac:dyDescent="0.3">
      <c r="A24791" s="12"/>
    </row>
    <row r="24792" spans="1:1" x14ac:dyDescent="0.3">
      <c r="A24792" s="12"/>
    </row>
    <row r="24793" spans="1:1" x14ac:dyDescent="0.3">
      <c r="A24793" s="12"/>
    </row>
    <row r="24794" spans="1:1" x14ac:dyDescent="0.3">
      <c r="A24794" s="12"/>
    </row>
    <row r="24795" spans="1:1" x14ac:dyDescent="0.3">
      <c r="A24795" s="12"/>
    </row>
    <row r="24796" spans="1:1" x14ac:dyDescent="0.3">
      <c r="A24796" s="12"/>
    </row>
    <row r="24797" spans="1:1" x14ac:dyDescent="0.3">
      <c r="A24797" s="12"/>
    </row>
    <row r="24798" spans="1:1" x14ac:dyDescent="0.3">
      <c r="A24798" s="12"/>
    </row>
    <row r="24799" spans="1:1" x14ac:dyDescent="0.3">
      <c r="A24799" s="12"/>
    </row>
    <row r="24800" spans="1:1" x14ac:dyDescent="0.3">
      <c r="A24800" s="12"/>
    </row>
    <row r="24801" spans="1:1" x14ac:dyDescent="0.3">
      <c r="A24801" s="12"/>
    </row>
    <row r="24802" spans="1:1" x14ac:dyDescent="0.3">
      <c r="A24802" s="12"/>
    </row>
    <row r="24803" spans="1:1" x14ac:dyDescent="0.3">
      <c r="A24803" s="12"/>
    </row>
    <row r="24804" spans="1:1" x14ac:dyDescent="0.3">
      <c r="A24804" s="12"/>
    </row>
    <row r="24805" spans="1:1" x14ac:dyDescent="0.3">
      <c r="A24805" s="12"/>
    </row>
    <row r="24806" spans="1:1" x14ac:dyDescent="0.3">
      <c r="A24806" s="12"/>
    </row>
    <row r="24807" spans="1:1" x14ac:dyDescent="0.3">
      <c r="A24807" s="12"/>
    </row>
    <row r="24808" spans="1:1" x14ac:dyDescent="0.3">
      <c r="A24808" s="12"/>
    </row>
    <row r="24809" spans="1:1" x14ac:dyDescent="0.3">
      <c r="A24809" s="12"/>
    </row>
    <row r="24810" spans="1:1" x14ac:dyDescent="0.3">
      <c r="A24810" s="12"/>
    </row>
    <row r="24811" spans="1:1" x14ac:dyDescent="0.3">
      <c r="A24811" s="12"/>
    </row>
    <row r="24812" spans="1:1" x14ac:dyDescent="0.3">
      <c r="A24812" s="12"/>
    </row>
    <row r="24813" spans="1:1" x14ac:dyDescent="0.3">
      <c r="A24813" s="12"/>
    </row>
    <row r="24814" spans="1:1" x14ac:dyDescent="0.3">
      <c r="A24814" s="12"/>
    </row>
    <row r="24815" spans="1:1" x14ac:dyDescent="0.3">
      <c r="A24815" s="12"/>
    </row>
    <row r="24816" spans="1:1" x14ac:dyDescent="0.3">
      <c r="A24816" s="12"/>
    </row>
    <row r="24817" spans="1:1" x14ac:dyDescent="0.3">
      <c r="A24817" s="12"/>
    </row>
    <row r="24818" spans="1:1" x14ac:dyDescent="0.3">
      <c r="A24818" s="12"/>
    </row>
    <row r="24819" spans="1:1" x14ac:dyDescent="0.3">
      <c r="A24819" s="12"/>
    </row>
    <row r="24820" spans="1:1" x14ac:dyDescent="0.3">
      <c r="A24820" s="12"/>
    </row>
    <row r="24821" spans="1:1" x14ac:dyDescent="0.3">
      <c r="A24821" s="12"/>
    </row>
    <row r="24822" spans="1:1" x14ac:dyDescent="0.3">
      <c r="A24822" s="12"/>
    </row>
    <row r="24823" spans="1:1" x14ac:dyDescent="0.3">
      <c r="A24823" s="12"/>
    </row>
    <row r="24824" spans="1:1" x14ac:dyDescent="0.3">
      <c r="A24824" s="12"/>
    </row>
    <row r="24825" spans="1:1" x14ac:dyDescent="0.3">
      <c r="A24825" s="12"/>
    </row>
    <row r="24826" spans="1:1" x14ac:dyDescent="0.3">
      <c r="A24826" s="12"/>
    </row>
    <row r="24827" spans="1:1" x14ac:dyDescent="0.3">
      <c r="A24827" s="12"/>
    </row>
    <row r="24828" spans="1:1" x14ac:dyDescent="0.3">
      <c r="A24828" s="12"/>
    </row>
    <row r="24829" spans="1:1" x14ac:dyDescent="0.3">
      <c r="A24829" s="12"/>
    </row>
    <row r="24830" spans="1:1" x14ac:dyDescent="0.3">
      <c r="A24830" s="12"/>
    </row>
    <row r="24831" spans="1:1" x14ac:dyDescent="0.3">
      <c r="A24831" s="12"/>
    </row>
    <row r="24832" spans="1:1" x14ac:dyDescent="0.3">
      <c r="A24832" s="12"/>
    </row>
    <row r="24833" spans="1:1" x14ac:dyDescent="0.3">
      <c r="A24833" s="12"/>
    </row>
    <row r="24834" spans="1:1" x14ac:dyDescent="0.3">
      <c r="A24834" s="12"/>
    </row>
    <row r="24835" spans="1:1" x14ac:dyDescent="0.3">
      <c r="A24835" s="12"/>
    </row>
    <row r="24836" spans="1:1" x14ac:dyDescent="0.3">
      <c r="A24836" s="12"/>
    </row>
    <row r="24837" spans="1:1" x14ac:dyDescent="0.3">
      <c r="A24837" s="12"/>
    </row>
    <row r="24838" spans="1:1" x14ac:dyDescent="0.3">
      <c r="A24838" s="12"/>
    </row>
    <row r="24839" spans="1:1" x14ac:dyDescent="0.3">
      <c r="A24839" s="12"/>
    </row>
    <row r="24840" spans="1:1" x14ac:dyDescent="0.3">
      <c r="A24840" s="12"/>
    </row>
    <row r="24841" spans="1:1" x14ac:dyDescent="0.3">
      <c r="A24841" s="12"/>
    </row>
    <row r="24842" spans="1:1" x14ac:dyDescent="0.3">
      <c r="A24842" s="12"/>
    </row>
    <row r="24843" spans="1:1" x14ac:dyDescent="0.3">
      <c r="A24843" s="12"/>
    </row>
    <row r="24844" spans="1:1" x14ac:dyDescent="0.3">
      <c r="A24844" s="12"/>
    </row>
    <row r="24845" spans="1:1" x14ac:dyDescent="0.3">
      <c r="A24845" s="12"/>
    </row>
    <row r="24846" spans="1:1" x14ac:dyDescent="0.3">
      <c r="A24846" s="12"/>
    </row>
    <row r="24847" spans="1:1" x14ac:dyDescent="0.3">
      <c r="A24847" s="12"/>
    </row>
    <row r="24848" spans="1:1" x14ac:dyDescent="0.3">
      <c r="A24848" s="12"/>
    </row>
    <row r="24849" spans="1:1" x14ac:dyDescent="0.3">
      <c r="A24849" s="12"/>
    </row>
    <row r="24850" spans="1:1" x14ac:dyDescent="0.3">
      <c r="A24850" s="12"/>
    </row>
    <row r="24851" spans="1:1" x14ac:dyDescent="0.3">
      <c r="A24851" s="12"/>
    </row>
    <row r="24852" spans="1:1" x14ac:dyDescent="0.3">
      <c r="A24852" s="12"/>
    </row>
    <row r="24853" spans="1:1" x14ac:dyDescent="0.3">
      <c r="A24853" s="12"/>
    </row>
    <row r="24854" spans="1:1" x14ac:dyDescent="0.3">
      <c r="A24854" s="12"/>
    </row>
    <row r="24855" spans="1:1" x14ac:dyDescent="0.3">
      <c r="A24855" s="12"/>
    </row>
    <row r="24856" spans="1:1" x14ac:dyDescent="0.3">
      <c r="A24856" s="12"/>
    </row>
    <row r="24857" spans="1:1" x14ac:dyDescent="0.3">
      <c r="A24857" s="12"/>
    </row>
    <row r="24858" spans="1:1" x14ac:dyDescent="0.3">
      <c r="A24858" s="12"/>
    </row>
    <row r="24859" spans="1:1" x14ac:dyDescent="0.3">
      <c r="A24859" s="12"/>
    </row>
    <row r="24860" spans="1:1" x14ac:dyDescent="0.3">
      <c r="A24860" s="12"/>
    </row>
    <row r="24861" spans="1:1" x14ac:dyDescent="0.3">
      <c r="A24861" s="12"/>
    </row>
    <row r="24862" spans="1:1" x14ac:dyDescent="0.3">
      <c r="A24862" s="12"/>
    </row>
    <row r="24863" spans="1:1" x14ac:dyDescent="0.3">
      <c r="A24863" s="12"/>
    </row>
    <row r="24864" spans="1:1" x14ac:dyDescent="0.3">
      <c r="A24864" s="12"/>
    </row>
    <row r="24865" spans="1:1" x14ac:dyDescent="0.3">
      <c r="A24865" s="12"/>
    </row>
    <row r="24866" spans="1:1" x14ac:dyDescent="0.3">
      <c r="A24866" s="12"/>
    </row>
    <row r="24867" spans="1:1" x14ac:dyDescent="0.3">
      <c r="A24867" s="12"/>
    </row>
    <row r="24868" spans="1:1" x14ac:dyDescent="0.3">
      <c r="A24868" s="12"/>
    </row>
    <row r="24869" spans="1:1" x14ac:dyDescent="0.3">
      <c r="A24869" s="12"/>
    </row>
    <row r="24870" spans="1:1" x14ac:dyDescent="0.3">
      <c r="A24870" s="12"/>
    </row>
    <row r="24871" spans="1:1" x14ac:dyDescent="0.3">
      <c r="A24871" s="12"/>
    </row>
    <row r="24872" spans="1:1" x14ac:dyDescent="0.3">
      <c r="A24872" s="12"/>
    </row>
    <row r="24873" spans="1:1" x14ac:dyDescent="0.3">
      <c r="A24873" s="12"/>
    </row>
    <row r="24874" spans="1:1" x14ac:dyDescent="0.3">
      <c r="A24874" s="12"/>
    </row>
    <row r="24875" spans="1:1" x14ac:dyDescent="0.3">
      <c r="A24875" s="12"/>
    </row>
    <row r="24876" spans="1:1" x14ac:dyDescent="0.3">
      <c r="A24876" s="12"/>
    </row>
    <row r="24877" spans="1:1" x14ac:dyDescent="0.3">
      <c r="A24877" s="12"/>
    </row>
    <row r="24878" spans="1:1" x14ac:dyDescent="0.3">
      <c r="A24878" s="12"/>
    </row>
    <row r="24879" spans="1:1" x14ac:dyDescent="0.3">
      <c r="A24879" s="12"/>
    </row>
    <row r="24880" spans="1:1" x14ac:dyDescent="0.3">
      <c r="A24880" s="12"/>
    </row>
    <row r="24881" spans="1:1" x14ac:dyDescent="0.3">
      <c r="A24881" s="12"/>
    </row>
    <row r="24882" spans="1:1" x14ac:dyDescent="0.3">
      <c r="A24882" s="12"/>
    </row>
    <row r="24883" spans="1:1" x14ac:dyDescent="0.3">
      <c r="A24883" s="12"/>
    </row>
    <row r="24884" spans="1:1" x14ac:dyDescent="0.3">
      <c r="A24884" s="12"/>
    </row>
    <row r="24885" spans="1:1" x14ac:dyDescent="0.3">
      <c r="A24885" s="12"/>
    </row>
    <row r="24886" spans="1:1" x14ac:dyDescent="0.3">
      <c r="A24886" s="12"/>
    </row>
    <row r="24887" spans="1:1" x14ac:dyDescent="0.3">
      <c r="A24887" s="12"/>
    </row>
    <row r="24888" spans="1:1" x14ac:dyDescent="0.3">
      <c r="A24888" s="12"/>
    </row>
    <row r="24889" spans="1:1" x14ac:dyDescent="0.3">
      <c r="A24889" s="12"/>
    </row>
    <row r="24890" spans="1:1" x14ac:dyDescent="0.3">
      <c r="A24890" s="12"/>
    </row>
    <row r="24891" spans="1:1" x14ac:dyDescent="0.3">
      <c r="A24891" s="12"/>
    </row>
    <row r="24892" spans="1:1" x14ac:dyDescent="0.3">
      <c r="A24892" s="12"/>
    </row>
    <row r="24893" spans="1:1" x14ac:dyDescent="0.3">
      <c r="A24893" s="12"/>
    </row>
    <row r="24894" spans="1:1" x14ac:dyDescent="0.3">
      <c r="A24894" s="12"/>
    </row>
    <row r="24895" spans="1:1" x14ac:dyDescent="0.3">
      <c r="A24895" s="12"/>
    </row>
    <row r="24896" spans="1:1" x14ac:dyDescent="0.3">
      <c r="A24896" s="12"/>
    </row>
    <row r="24897" spans="1:1" x14ac:dyDescent="0.3">
      <c r="A24897" s="12"/>
    </row>
    <row r="24898" spans="1:1" x14ac:dyDescent="0.3">
      <c r="A24898" s="12"/>
    </row>
    <row r="24899" spans="1:1" x14ac:dyDescent="0.3">
      <c r="A24899" s="12"/>
    </row>
    <row r="24900" spans="1:1" x14ac:dyDescent="0.3">
      <c r="A24900" s="12"/>
    </row>
    <row r="24901" spans="1:1" x14ac:dyDescent="0.3">
      <c r="A24901" s="12"/>
    </row>
    <row r="24902" spans="1:1" x14ac:dyDescent="0.3">
      <c r="A24902" s="12"/>
    </row>
    <row r="24903" spans="1:1" x14ac:dyDescent="0.3">
      <c r="A24903" s="12"/>
    </row>
    <row r="24904" spans="1:1" x14ac:dyDescent="0.3">
      <c r="A24904" s="12"/>
    </row>
    <row r="24905" spans="1:1" x14ac:dyDescent="0.3">
      <c r="A24905" s="12"/>
    </row>
    <row r="24906" spans="1:1" x14ac:dyDescent="0.3">
      <c r="A24906" s="12"/>
    </row>
    <row r="24907" spans="1:1" x14ac:dyDescent="0.3">
      <c r="A24907" s="12"/>
    </row>
    <row r="24908" spans="1:1" x14ac:dyDescent="0.3">
      <c r="A24908" s="12"/>
    </row>
    <row r="24909" spans="1:1" x14ac:dyDescent="0.3">
      <c r="A24909" s="12"/>
    </row>
    <row r="24910" spans="1:1" x14ac:dyDescent="0.3">
      <c r="A24910" s="12"/>
    </row>
    <row r="24911" spans="1:1" x14ac:dyDescent="0.3">
      <c r="A24911" s="12"/>
    </row>
    <row r="24912" spans="1:1" x14ac:dyDescent="0.3">
      <c r="A24912" s="12"/>
    </row>
    <row r="24913" spans="1:1" x14ac:dyDescent="0.3">
      <c r="A24913" s="12"/>
    </row>
    <row r="24914" spans="1:1" x14ac:dyDescent="0.3">
      <c r="A24914" s="12"/>
    </row>
    <row r="24915" spans="1:1" x14ac:dyDescent="0.3">
      <c r="A24915" s="12"/>
    </row>
    <row r="24916" spans="1:1" x14ac:dyDescent="0.3">
      <c r="A24916" s="12"/>
    </row>
    <row r="24917" spans="1:1" x14ac:dyDescent="0.3">
      <c r="A24917" s="12"/>
    </row>
    <row r="24918" spans="1:1" x14ac:dyDescent="0.3">
      <c r="A24918" s="12"/>
    </row>
    <row r="24919" spans="1:1" x14ac:dyDescent="0.3">
      <c r="A24919" s="12"/>
    </row>
    <row r="24920" spans="1:1" x14ac:dyDescent="0.3">
      <c r="A24920" s="12"/>
    </row>
    <row r="24921" spans="1:1" x14ac:dyDescent="0.3">
      <c r="A24921" s="12"/>
    </row>
    <row r="24922" spans="1:1" x14ac:dyDescent="0.3">
      <c r="A24922" s="12"/>
    </row>
    <row r="24923" spans="1:1" x14ac:dyDescent="0.3">
      <c r="A24923" s="12"/>
    </row>
    <row r="24924" spans="1:1" x14ac:dyDescent="0.3">
      <c r="A24924" s="12"/>
    </row>
    <row r="24925" spans="1:1" x14ac:dyDescent="0.3">
      <c r="A24925" s="12"/>
    </row>
    <row r="24926" spans="1:1" x14ac:dyDescent="0.3">
      <c r="A24926" s="12"/>
    </row>
    <row r="24927" spans="1:1" x14ac:dyDescent="0.3">
      <c r="A24927" s="12"/>
    </row>
    <row r="24928" spans="1:1" x14ac:dyDescent="0.3">
      <c r="A24928" s="12"/>
    </row>
    <row r="24929" spans="1:1" x14ac:dyDescent="0.3">
      <c r="A24929" s="12"/>
    </row>
    <row r="24930" spans="1:1" x14ac:dyDescent="0.3">
      <c r="A24930" s="12"/>
    </row>
    <row r="24931" spans="1:1" x14ac:dyDescent="0.3">
      <c r="A24931" s="12"/>
    </row>
    <row r="24932" spans="1:1" x14ac:dyDescent="0.3">
      <c r="A24932" s="12"/>
    </row>
    <row r="24933" spans="1:1" x14ac:dyDescent="0.3">
      <c r="A24933" s="12"/>
    </row>
    <row r="24934" spans="1:1" x14ac:dyDescent="0.3">
      <c r="A24934" s="12"/>
    </row>
    <row r="24935" spans="1:1" x14ac:dyDescent="0.3">
      <c r="A24935" s="12"/>
    </row>
    <row r="24936" spans="1:1" x14ac:dyDescent="0.3">
      <c r="A24936" s="12"/>
    </row>
    <row r="24937" spans="1:1" x14ac:dyDescent="0.3">
      <c r="A24937" s="12"/>
    </row>
    <row r="24938" spans="1:1" x14ac:dyDescent="0.3">
      <c r="A24938" s="12"/>
    </row>
    <row r="24939" spans="1:1" x14ac:dyDescent="0.3">
      <c r="A24939" s="12"/>
    </row>
    <row r="24940" spans="1:1" x14ac:dyDescent="0.3">
      <c r="A24940" s="12"/>
    </row>
    <row r="24941" spans="1:1" x14ac:dyDescent="0.3">
      <c r="A24941" s="12"/>
    </row>
    <row r="24942" spans="1:1" x14ac:dyDescent="0.3">
      <c r="A24942" s="12"/>
    </row>
    <row r="24943" spans="1:1" x14ac:dyDescent="0.3">
      <c r="A24943" s="12"/>
    </row>
    <row r="24944" spans="1:1" x14ac:dyDescent="0.3">
      <c r="A24944" s="12"/>
    </row>
    <row r="24945" spans="1:1" x14ac:dyDescent="0.3">
      <c r="A24945" s="12"/>
    </row>
    <row r="24946" spans="1:1" x14ac:dyDescent="0.3">
      <c r="A24946" s="12"/>
    </row>
    <row r="24947" spans="1:1" x14ac:dyDescent="0.3">
      <c r="A24947" s="12"/>
    </row>
    <row r="24948" spans="1:1" x14ac:dyDescent="0.3">
      <c r="A24948" s="12"/>
    </row>
    <row r="24949" spans="1:1" x14ac:dyDescent="0.3">
      <c r="A24949" s="12"/>
    </row>
    <row r="24950" spans="1:1" x14ac:dyDescent="0.3">
      <c r="A24950" s="12"/>
    </row>
    <row r="24951" spans="1:1" x14ac:dyDescent="0.3">
      <c r="A24951" s="12"/>
    </row>
    <row r="24952" spans="1:1" x14ac:dyDescent="0.3">
      <c r="A24952" s="12"/>
    </row>
    <row r="24953" spans="1:1" x14ac:dyDescent="0.3">
      <c r="A24953" s="12"/>
    </row>
    <row r="24954" spans="1:1" x14ac:dyDescent="0.3">
      <c r="A24954" s="12"/>
    </row>
    <row r="24955" spans="1:1" x14ac:dyDescent="0.3">
      <c r="A24955" s="12"/>
    </row>
    <row r="24956" spans="1:1" x14ac:dyDescent="0.3">
      <c r="A24956" s="12"/>
    </row>
    <row r="24957" spans="1:1" x14ac:dyDescent="0.3">
      <c r="A24957" s="12"/>
    </row>
    <row r="24958" spans="1:1" x14ac:dyDescent="0.3">
      <c r="A24958" s="12"/>
    </row>
    <row r="24959" spans="1:1" x14ac:dyDescent="0.3">
      <c r="A24959" s="12"/>
    </row>
    <row r="24960" spans="1:1" x14ac:dyDescent="0.3">
      <c r="A24960" s="12"/>
    </row>
    <row r="24961" spans="1:1" x14ac:dyDescent="0.3">
      <c r="A24961" s="12"/>
    </row>
    <row r="24962" spans="1:1" x14ac:dyDescent="0.3">
      <c r="A24962" s="12"/>
    </row>
    <row r="24963" spans="1:1" x14ac:dyDescent="0.3">
      <c r="A24963" s="12"/>
    </row>
    <row r="24964" spans="1:1" x14ac:dyDescent="0.3">
      <c r="A24964" s="12"/>
    </row>
    <row r="24965" spans="1:1" x14ac:dyDescent="0.3">
      <c r="A24965" s="12"/>
    </row>
    <row r="24966" spans="1:1" x14ac:dyDescent="0.3">
      <c r="A24966" s="12"/>
    </row>
    <row r="24967" spans="1:1" x14ac:dyDescent="0.3">
      <c r="A24967" s="12"/>
    </row>
    <row r="24968" spans="1:1" x14ac:dyDescent="0.3">
      <c r="A24968" s="12"/>
    </row>
    <row r="24969" spans="1:1" x14ac:dyDescent="0.3">
      <c r="A24969" s="12"/>
    </row>
    <row r="24970" spans="1:1" x14ac:dyDescent="0.3">
      <c r="A24970" s="12"/>
    </row>
    <row r="24971" spans="1:1" x14ac:dyDescent="0.3">
      <c r="A24971" s="12"/>
    </row>
    <row r="24972" spans="1:1" x14ac:dyDescent="0.3">
      <c r="A24972" s="12"/>
    </row>
    <row r="24973" spans="1:1" x14ac:dyDescent="0.3">
      <c r="A24973" s="12"/>
    </row>
    <row r="24974" spans="1:1" x14ac:dyDescent="0.3">
      <c r="A24974" s="12"/>
    </row>
    <row r="24975" spans="1:1" x14ac:dyDescent="0.3">
      <c r="A24975" s="12"/>
    </row>
    <row r="24976" spans="1:1" x14ac:dyDescent="0.3">
      <c r="A24976" s="12"/>
    </row>
    <row r="24977" spans="1:1" x14ac:dyDescent="0.3">
      <c r="A24977" s="12"/>
    </row>
    <row r="24978" spans="1:1" x14ac:dyDescent="0.3">
      <c r="A24978" s="12"/>
    </row>
    <row r="24979" spans="1:1" x14ac:dyDescent="0.3">
      <c r="A24979" s="12"/>
    </row>
    <row r="24980" spans="1:1" x14ac:dyDescent="0.3">
      <c r="A24980" s="12"/>
    </row>
    <row r="24981" spans="1:1" x14ac:dyDescent="0.3">
      <c r="A24981" s="12"/>
    </row>
    <row r="24982" spans="1:1" x14ac:dyDescent="0.3">
      <c r="A24982" s="12"/>
    </row>
    <row r="24983" spans="1:1" x14ac:dyDescent="0.3">
      <c r="A24983" s="12"/>
    </row>
    <row r="24984" spans="1:1" x14ac:dyDescent="0.3">
      <c r="A24984" s="12"/>
    </row>
    <row r="24985" spans="1:1" x14ac:dyDescent="0.3">
      <c r="A24985" s="12"/>
    </row>
    <row r="24986" spans="1:1" x14ac:dyDescent="0.3">
      <c r="A24986" s="12"/>
    </row>
    <row r="24987" spans="1:1" x14ac:dyDescent="0.3">
      <c r="A24987" s="12"/>
    </row>
    <row r="24988" spans="1:1" x14ac:dyDescent="0.3">
      <c r="A24988" s="12"/>
    </row>
    <row r="24989" spans="1:1" x14ac:dyDescent="0.3">
      <c r="A24989" s="12"/>
    </row>
    <row r="24990" spans="1:1" x14ac:dyDescent="0.3">
      <c r="A24990" s="12"/>
    </row>
    <row r="24991" spans="1:1" x14ac:dyDescent="0.3">
      <c r="A24991" s="12"/>
    </row>
    <row r="24992" spans="1:1" x14ac:dyDescent="0.3">
      <c r="A24992" s="12"/>
    </row>
    <row r="24993" spans="1:1" x14ac:dyDescent="0.3">
      <c r="A24993" s="12"/>
    </row>
    <row r="24994" spans="1:1" x14ac:dyDescent="0.3">
      <c r="A24994" s="12"/>
    </row>
    <row r="24995" spans="1:1" x14ac:dyDescent="0.3">
      <c r="A24995" s="12"/>
    </row>
    <row r="24996" spans="1:1" x14ac:dyDescent="0.3">
      <c r="A24996" s="12"/>
    </row>
    <row r="24997" spans="1:1" x14ac:dyDescent="0.3">
      <c r="A24997" s="12"/>
    </row>
    <row r="24998" spans="1:1" x14ac:dyDescent="0.3">
      <c r="A24998" s="12"/>
    </row>
    <row r="24999" spans="1:1" x14ac:dyDescent="0.3">
      <c r="A24999" s="12"/>
    </row>
    <row r="25000" spans="1:1" x14ac:dyDescent="0.3">
      <c r="A25000" s="12"/>
    </row>
    <row r="25001" spans="1:1" x14ac:dyDescent="0.3">
      <c r="A25001" s="12"/>
    </row>
    <row r="25002" spans="1:1" x14ac:dyDescent="0.3">
      <c r="A25002" s="12"/>
    </row>
    <row r="25003" spans="1:1" x14ac:dyDescent="0.3">
      <c r="A25003" s="12"/>
    </row>
    <row r="25004" spans="1:1" x14ac:dyDescent="0.3">
      <c r="A25004" s="12"/>
    </row>
    <row r="25005" spans="1:1" x14ac:dyDescent="0.3">
      <c r="A25005" s="12"/>
    </row>
    <row r="25006" spans="1:1" x14ac:dyDescent="0.3">
      <c r="A25006" s="12"/>
    </row>
    <row r="25007" spans="1:1" x14ac:dyDescent="0.3">
      <c r="A25007" s="12"/>
    </row>
    <row r="25008" spans="1:1" x14ac:dyDescent="0.3">
      <c r="A25008" s="12"/>
    </row>
    <row r="25009" spans="1:1" x14ac:dyDescent="0.3">
      <c r="A25009" s="12"/>
    </row>
    <row r="25010" spans="1:1" x14ac:dyDescent="0.3">
      <c r="A25010" s="12"/>
    </row>
    <row r="25011" spans="1:1" x14ac:dyDescent="0.3">
      <c r="A25011" s="12"/>
    </row>
    <row r="25012" spans="1:1" x14ac:dyDescent="0.3">
      <c r="A25012" s="12"/>
    </row>
    <row r="25013" spans="1:1" x14ac:dyDescent="0.3">
      <c r="A25013" s="12"/>
    </row>
    <row r="25014" spans="1:1" x14ac:dyDescent="0.3">
      <c r="A25014" s="12"/>
    </row>
    <row r="25015" spans="1:1" x14ac:dyDescent="0.3">
      <c r="A25015" s="12"/>
    </row>
    <row r="25016" spans="1:1" x14ac:dyDescent="0.3">
      <c r="A25016" s="12"/>
    </row>
    <row r="25017" spans="1:1" x14ac:dyDescent="0.3">
      <c r="A25017" s="12"/>
    </row>
    <row r="25018" spans="1:1" x14ac:dyDescent="0.3">
      <c r="A25018" s="12"/>
    </row>
    <row r="25019" spans="1:1" x14ac:dyDescent="0.3">
      <c r="A25019" s="12"/>
    </row>
    <row r="25020" spans="1:1" x14ac:dyDescent="0.3">
      <c r="A25020" s="12"/>
    </row>
    <row r="25021" spans="1:1" x14ac:dyDescent="0.3">
      <c r="A25021" s="12"/>
    </row>
    <row r="25022" spans="1:1" x14ac:dyDescent="0.3">
      <c r="A25022" s="12"/>
    </row>
    <row r="25023" spans="1:1" x14ac:dyDescent="0.3">
      <c r="A25023" s="12"/>
    </row>
    <row r="25024" spans="1:1" x14ac:dyDescent="0.3">
      <c r="A25024" s="12"/>
    </row>
    <row r="25025" spans="1:1" x14ac:dyDescent="0.3">
      <c r="A25025" s="12"/>
    </row>
    <row r="25026" spans="1:1" x14ac:dyDescent="0.3">
      <c r="A25026" s="12"/>
    </row>
    <row r="25027" spans="1:1" x14ac:dyDescent="0.3">
      <c r="A25027" s="12"/>
    </row>
    <row r="25028" spans="1:1" x14ac:dyDescent="0.3">
      <c r="A25028" s="12"/>
    </row>
    <row r="25029" spans="1:1" x14ac:dyDescent="0.3">
      <c r="A25029" s="12"/>
    </row>
    <row r="25030" spans="1:1" x14ac:dyDescent="0.3">
      <c r="A25030" s="12"/>
    </row>
    <row r="25031" spans="1:1" x14ac:dyDescent="0.3">
      <c r="A25031" s="12"/>
    </row>
    <row r="25032" spans="1:1" x14ac:dyDescent="0.3">
      <c r="A25032" s="12"/>
    </row>
    <row r="25033" spans="1:1" x14ac:dyDescent="0.3">
      <c r="A25033" s="12"/>
    </row>
    <row r="25034" spans="1:1" x14ac:dyDescent="0.3">
      <c r="A25034" s="12"/>
    </row>
    <row r="25035" spans="1:1" x14ac:dyDescent="0.3">
      <c r="A25035" s="12"/>
    </row>
    <row r="25036" spans="1:1" x14ac:dyDescent="0.3">
      <c r="A25036" s="12"/>
    </row>
    <row r="25037" spans="1:1" x14ac:dyDescent="0.3">
      <c r="A25037" s="12"/>
    </row>
    <row r="25038" spans="1:1" x14ac:dyDescent="0.3">
      <c r="A25038" s="12"/>
    </row>
    <row r="25039" spans="1:1" x14ac:dyDescent="0.3">
      <c r="A25039" s="12"/>
    </row>
    <row r="25040" spans="1:1" x14ac:dyDescent="0.3">
      <c r="A25040" s="12"/>
    </row>
    <row r="25041" spans="1:1" x14ac:dyDescent="0.3">
      <c r="A25041" s="12"/>
    </row>
    <row r="25042" spans="1:1" x14ac:dyDescent="0.3">
      <c r="A25042" s="12"/>
    </row>
    <row r="25043" spans="1:1" x14ac:dyDescent="0.3">
      <c r="A25043" s="12"/>
    </row>
    <row r="25044" spans="1:1" x14ac:dyDescent="0.3">
      <c r="A25044" s="12"/>
    </row>
    <row r="25045" spans="1:1" x14ac:dyDescent="0.3">
      <c r="A25045" s="12"/>
    </row>
    <row r="25046" spans="1:1" x14ac:dyDescent="0.3">
      <c r="A25046" s="12"/>
    </row>
    <row r="25047" spans="1:1" x14ac:dyDescent="0.3">
      <c r="A25047" s="12"/>
    </row>
    <row r="25048" spans="1:1" x14ac:dyDescent="0.3">
      <c r="A25048" s="12"/>
    </row>
    <row r="25049" spans="1:1" x14ac:dyDescent="0.3">
      <c r="A25049" s="12"/>
    </row>
    <row r="25050" spans="1:1" x14ac:dyDescent="0.3">
      <c r="A25050" s="12"/>
    </row>
    <row r="25051" spans="1:1" x14ac:dyDescent="0.3">
      <c r="A25051" s="12"/>
    </row>
    <row r="25052" spans="1:1" x14ac:dyDescent="0.3">
      <c r="A25052" s="12"/>
    </row>
    <row r="25053" spans="1:1" x14ac:dyDescent="0.3">
      <c r="A25053" s="12"/>
    </row>
    <row r="25054" spans="1:1" x14ac:dyDescent="0.3">
      <c r="A25054" s="12"/>
    </row>
    <row r="25055" spans="1:1" x14ac:dyDescent="0.3">
      <c r="A25055" s="12"/>
    </row>
    <row r="25056" spans="1:1" x14ac:dyDescent="0.3">
      <c r="A25056" s="12"/>
    </row>
    <row r="25057" spans="1:1" x14ac:dyDescent="0.3">
      <c r="A25057" s="12"/>
    </row>
    <row r="25058" spans="1:1" x14ac:dyDescent="0.3">
      <c r="A25058" s="12"/>
    </row>
    <row r="25059" spans="1:1" x14ac:dyDescent="0.3">
      <c r="A25059" s="12"/>
    </row>
    <row r="25060" spans="1:1" x14ac:dyDescent="0.3">
      <c r="A25060" s="12"/>
    </row>
    <row r="25061" spans="1:1" x14ac:dyDescent="0.3">
      <c r="A25061" s="12"/>
    </row>
    <row r="25062" spans="1:1" x14ac:dyDescent="0.3">
      <c r="A25062" s="12"/>
    </row>
    <row r="25063" spans="1:1" x14ac:dyDescent="0.3">
      <c r="A25063" s="12"/>
    </row>
    <row r="25064" spans="1:1" x14ac:dyDescent="0.3">
      <c r="A25064" s="12"/>
    </row>
    <row r="25065" spans="1:1" x14ac:dyDescent="0.3">
      <c r="A25065" s="12"/>
    </row>
    <row r="25066" spans="1:1" x14ac:dyDescent="0.3">
      <c r="A25066" s="12"/>
    </row>
    <row r="25067" spans="1:1" x14ac:dyDescent="0.3">
      <c r="A25067" s="12"/>
    </row>
    <row r="25068" spans="1:1" x14ac:dyDescent="0.3">
      <c r="A25068" s="12"/>
    </row>
    <row r="25069" spans="1:1" x14ac:dyDescent="0.3">
      <c r="A25069" s="12"/>
    </row>
    <row r="25070" spans="1:1" x14ac:dyDescent="0.3">
      <c r="A25070" s="12"/>
    </row>
    <row r="25071" spans="1:1" x14ac:dyDescent="0.3">
      <c r="A25071" s="12"/>
    </row>
    <row r="25072" spans="1:1" x14ac:dyDescent="0.3">
      <c r="A25072" s="12"/>
    </row>
    <row r="25073" spans="1:1" x14ac:dyDescent="0.3">
      <c r="A25073" s="12"/>
    </row>
    <row r="25074" spans="1:1" x14ac:dyDescent="0.3">
      <c r="A25074" s="12"/>
    </row>
    <row r="25075" spans="1:1" x14ac:dyDescent="0.3">
      <c r="A25075" s="12"/>
    </row>
    <row r="25076" spans="1:1" x14ac:dyDescent="0.3">
      <c r="A25076" s="12"/>
    </row>
    <row r="25077" spans="1:1" x14ac:dyDescent="0.3">
      <c r="A25077" s="12"/>
    </row>
    <row r="25078" spans="1:1" x14ac:dyDescent="0.3">
      <c r="A25078" s="12"/>
    </row>
    <row r="25079" spans="1:1" x14ac:dyDescent="0.3">
      <c r="A25079" s="12"/>
    </row>
    <row r="25080" spans="1:1" x14ac:dyDescent="0.3">
      <c r="A25080" s="12"/>
    </row>
    <row r="25081" spans="1:1" x14ac:dyDescent="0.3">
      <c r="A25081" s="12"/>
    </row>
    <row r="25082" spans="1:1" x14ac:dyDescent="0.3">
      <c r="A25082" s="12"/>
    </row>
    <row r="25083" spans="1:1" x14ac:dyDescent="0.3">
      <c r="A25083" s="12"/>
    </row>
    <row r="25084" spans="1:1" x14ac:dyDescent="0.3">
      <c r="A25084" s="12"/>
    </row>
    <row r="25085" spans="1:1" x14ac:dyDescent="0.3">
      <c r="A25085" s="12"/>
    </row>
    <row r="25086" spans="1:1" x14ac:dyDescent="0.3">
      <c r="A25086" s="12"/>
    </row>
    <row r="25087" spans="1:1" x14ac:dyDescent="0.3">
      <c r="A25087" s="12"/>
    </row>
    <row r="25088" spans="1:1" x14ac:dyDescent="0.3">
      <c r="A25088" s="12"/>
    </row>
    <row r="25089" spans="1:1" x14ac:dyDescent="0.3">
      <c r="A25089" s="12"/>
    </row>
    <row r="25090" spans="1:1" x14ac:dyDescent="0.3">
      <c r="A25090" s="12"/>
    </row>
    <row r="25091" spans="1:1" x14ac:dyDescent="0.3">
      <c r="A25091" s="12"/>
    </row>
    <row r="25092" spans="1:1" x14ac:dyDescent="0.3">
      <c r="A25092" s="12"/>
    </row>
    <row r="25093" spans="1:1" x14ac:dyDescent="0.3">
      <c r="A25093" s="12"/>
    </row>
    <row r="25094" spans="1:1" x14ac:dyDescent="0.3">
      <c r="A25094" s="12"/>
    </row>
    <row r="25095" spans="1:1" x14ac:dyDescent="0.3">
      <c r="A25095" s="12"/>
    </row>
    <row r="25096" spans="1:1" x14ac:dyDescent="0.3">
      <c r="A25096" s="12"/>
    </row>
    <row r="25097" spans="1:1" x14ac:dyDescent="0.3">
      <c r="A25097" s="12"/>
    </row>
    <row r="25098" spans="1:1" x14ac:dyDescent="0.3">
      <c r="A25098" s="12"/>
    </row>
    <row r="25099" spans="1:1" x14ac:dyDescent="0.3">
      <c r="A25099" s="12"/>
    </row>
    <row r="25100" spans="1:1" x14ac:dyDescent="0.3">
      <c r="A25100" s="12"/>
    </row>
    <row r="25101" spans="1:1" x14ac:dyDescent="0.3">
      <c r="A25101" s="12"/>
    </row>
    <row r="25102" spans="1:1" x14ac:dyDescent="0.3">
      <c r="A25102" s="12"/>
    </row>
    <row r="25103" spans="1:1" x14ac:dyDescent="0.3">
      <c r="A25103" s="12"/>
    </row>
    <row r="25104" spans="1:1" x14ac:dyDescent="0.3">
      <c r="A25104" s="12"/>
    </row>
    <row r="25105" spans="1:1" x14ac:dyDescent="0.3">
      <c r="A25105" s="12"/>
    </row>
    <row r="25106" spans="1:1" x14ac:dyDescent="0.3">
      <c r="A25106" s="12"/>
    </row>
    <row r="25107" spans="1:1" x14ac:dyDescent="0.3">
      <c r="A25107" s="12"/>
    </row>
    <row r="25108" spans="1:1" x14ac:dyDescent="0.3">
      <c r="A25108" s="12"/>
    </row>
    <row r="25109" spans="1:1" x14ac:dyDescent="0.3">
      <c r="A25109" s="12"/>
    </row>
    <row r="25110" spans="1:1" x14ac:dyDescent="0.3">
      <c r="A25110" s="12"/>
    </row>
    <row r="25111" spans="1:1" x14ac:dyDescent="0.3">
      <c r="A25111" s="12"/>
    </row>
    <row r="25112" spans="1:1" x14ac:dyDescent="0.3">
      <c r="A25112" s="12"/>
    </row>
    <row r="25113" spans="1:1" x14ac:dyDescent="0.3">
      <c r="A25113" s="12"/>
    </row>
    <row r="25114" spans="1:1" x14ac:dyDescent="0.3">
      <c r="A25114" s="12"/>
    </row>
    <row r="25115" spans="1:1" x14ac:dyDescent="0.3">
      <c r="A25115" s="12"/>
    </row>
    <row r="25116" spans="1:1" x14ac:dyDescent="0.3">
      <c r="A25116" s="12"/>
    </row>
    <row r="25117" spans="1:1" x14ac:dyDescent="0.3">
      <c r="A25117" s="12"/>
    </row>
    <row r="25118" spans="1:1" x14ac:dyDescent="0.3">
      <c r="A25118" s="12"/>
    </row>
    <row r="25119" spans="1:1" x14ac:dyDescent="0.3">
      <c r="A25119" s="12"/>
    </row>
    <row r="25120" spans="1:1" x14ac:dyDescent="0.3">
      <c r="A25120" s="12"/>
    </row>
    <row r="25121" spans="1:1" x14ac:dyDescent="0.3">
      <c r="A25121" s="12"/>
    </row>
    <row r="25122" spans="1:1" x14ac:dyDescent="0.3">
      <c r="A25122" s="12"/>
    </row>
    <row r="25123" spans="1:1" x14ac:dyDescent="0.3">
      <c r="A25123" s="12"/>
    </row>
    <row r="25124" spans="1:1" x14ac:dyDescent="0.3">
      <c r="A25124" s="12"/>
    </row>
    <row r="25125" spans="1:1" x14ac:dyDescent="0.3">
      <c r="A25125" s="12"/>
    </row>
    <row r="25126" spans="1:1" x14ac:dyDescent="0.3">
      <c r="A25126" s="12"/>
    </row>
    <row r="25127" spans="1:1" x14ac:dyDescent="0.3">
      <c r="A25127" s="12"/>
    </row>
    <row r="25128" spans="1:1" x14ac:dyDescent="0.3">
      <c r="A25128" s="12"/>
    </row>
    <row r="25129" spans="1:1" x14ac:dyDescent="0.3">
      <c r="A25129" s="12"/>
    </row>
    <row r="25130" spans="1:1" x14ac:dyDescent="0.3">
      <c r="A25130" s="12"/>
    </row>
    <row r="25131" spans="1:1" x14ac:dyDescent="0.3">
      <c r="A25131" s="12"/>
    </row>
    <row r="25132" spans="1:1" x14ac:dyDescent="0.3">
      <c r="A25132" s="12"/>
    </row>
    <row r="25133" spans="1:1" x14ac:dyDescent="0.3">
      <c r="A25133" s="12"/>
    </row>
    <row r="25134" spans="1:1" x14ac:dyDescent="0.3">
      <c r="A25134" s="12"/>
    </row>
    <row r="25135" spans="1:1" x14ac:dyDescent="0.3">
      <c r="A25135" s="12"/>
    </row>
    <row r="25136" spans="1:1" x14ac:dyDescent="0.3">
      <c r="A25136" s="12"/>
    </row>
    <row r="25137" spans="1:1" x14ac:dyDescent="0.3">
      <c r="A25137" s="12"/>
    </row>
    <row r="25138" spans="1:1" x14ac:dyDescent="0.3">
      <c r="A25138" s="12"/>
    </row>
    <row r="25139" spans="1:1" x14ac:dyDescent="0.3">
      <c r="A25139" s="12"/>
    </row>
    <row r="25140" spans="1:1" x14ac:dyDescent="0.3">
      <c r="A25140" s="12"/>
    </row>
    <row r="25141" spans="1:1" x14ac:dyDescent="0.3">
      <c r="A25141" s="12"/>
    </row>
    <row r="25142" spans="1:1" x14ac:dyDescent="0.3">
      <c r="A25142" s="12"/>
    </row>
    <row r="25143" spans="1:1" x14ac:dyDescent="0.3">
      <c r="A25143" s="12"/>
    </row>
    <row r="25144" spans="1:1" x14ac:dyDescent="0.3">
      <c r="A25144" s="12"/>
    </row>
    <row r="25145" spans="1:1" x14ac:dyDescent="0.3">
      <c r="A25145" s="12"/>
    </row>
    <row r="25146" spans="1:1" x14ac:dyDescent="0.3">
      <c r="A25146" s="12"/>
    </row>
    <row r="25147" spans="1:1" x14ac:dyDescent="0.3">
      <c r="A25147" s="12"/>
    </row>
    <row r="25148" spans="1:1" x14ac:dyDescent="0.3">
      <c r="A25148" s="12"/>
    </row>
    <row r="25149" spans="1:1" x14ac:dyDescent="0.3">
      <c r="A25149" s="12"/>
    </row>
    <row r="25150" spans="1:1" x14ac:dyDescent="0.3">
      <c r="A25150" s="12"/>
    </row>
    <row r="25151" spans="1:1" x14ac:dyDescent="0.3">
      <c r="A25151" s="12"/>
    </row>
    <row r="25152" spans="1:1" x14ac:dyDescent="0.3">
      <c r="A25152" s="12"/>
    </row>
    <row r="25153" spans="1:1" x14ac:dyDescent="0.3">
      <c r="A25153" s="12"/>
    </row>
    <row r="25154" spans="1:1" x14ac:dyDescent="0.3">
      <c r="A25154" s="12"/>
    </row>
    <row r="25155" spans="1:1" x14ac:dyDescent="0.3">
      <c r="A25155" s="12"/>
    </row>
    <row r="25156" spans="1:1" x14ac:dyDescent="0.3">
      <c r="A25156" s="12"/>
    </row>
    <row r="25157" spans="1:1" x14ac:dyDescent="0.3">
      <c r="A25157" s="12"/>
    </row>
    <row r="25158" spans="1:1" x14ac:dyDescent="0.3">
      <c r="A25158" s="12"/>
    </row>
    <row r="25159" spans="1:1" x14ac:dyDescent="0.3">
      <c r="A25159" s="12"/>
    </row>
    <row r="25160" spans="1:1" x14ac:dyDescent="0.3">
      <c r="A25160" s="12"/>
    </row>
    <row r="25161" spans="1:1" x14ac:dyDescent="0.3">
      <c r="A25161" s="12"/>
    </row>
    <row r="25162" spans="1:1" x14ac:dyDescent="0.3">
      <c r="A25162" s="12"/>
    </row>
    <row r="25163" spans="1:1" x14ac:dyDescent="0.3">
      <c r="A25163" s="12"/>
    </row>
    <row r="25164" spans="1:1" x14ac:dyDescent="0.3">
      <c r="A25164" s="12"/>
    </row>
    <row r="25165" spans="1:1" x14ac:dyDescent="0.3">
      <c r="A25165" s="12"/>
    </row>
    <row r="25166" spans="1:1" x14ac:dyDescent="0.3">
      <c r="A25166" s="12"/>
    </row>
    <row r="25167" spans="1:1" x14ac:dyDescent="0.3">
      <c r="A25167" s="12"/>
    </row>
    <row r="25168" spans="1:1" x14ac:dyDescent="0.3">
      <c r="A25168" s="12"/>
    </row>
    <row r="25169" spans="1:1" x14ac:dyDescent="0.3">
      <c r="A25169" s="12"/>
    </row>
    <row r="25170" spans="1:1" x14ac:dyDescent="0.3">
      <c r="A25170" s="12"/>
    </row>
    <row r="25171" spans="1:1" x14ac:dyDescent="0.3">
      <c r="A25171" s="12"/>
    </row>
    <row r="25172" spans="1:1" x14ac:dyDescent="0.3">
      <c r="A25172" s="12"/>
    </row>
    <row r="25173" spans="1:1" x14ac:dyDescent="0.3">
      <c r="A25173" s="12"/>
    </row>
    <row r="25174" spans="1:1" x14ac:dyDescent="0.3">
      <c r="A25174" s="12"/>
    </row>
    <row r="25175" spans="1:1" x14ac:dyDescent="0.3">
      <c r="A25175" s="12"/>
    </row>
    <row r="25176" spans="1:1" x14ac:dyDescent="0.3">
      <c r="A25176" s="12"/>
    </row>
    <row r="25177" spans="1:1" x14ac:dyDescent="0.3">
      <c r="A25177" s="12"/>
    </row>
    <row r="25178" spans="1:1" x14ac:dyDescent="0.3">
      <c r="A25178" s="12"/>
    </row>
    <row r="25179" spans="1:1" x14ac:dyDescent="0.3">
      <c r="A25179" s="12"/>
    </row>
    <row r="25180" spans="1:1" x14ac:dyDescent="0.3">
      <c r="A25180" s="12"/>
    </row>
    <row r="25181" spans="1:1" x14ac:dyDescent="0.3">
      <c r="A25181" s="12"/>
    </row>
    <row r="25182" spans="1:1" x14ac:dyDescent="0.3">
      <c r="A25182" s="12"/>
    </row>
    <row r="25183" spans="1:1" x14ac:dyDescent="0.3">
      <c r="A25183" s="12"/>
    </row>
    <row r="25184" spans="1:1" x14ac:dyDescent="0.3">
      <c r="A25184" s="12"/>
    </row>
    <row r="25185" spans="1:1" x14ac:dyDescent="0.3">
      <c r="A25185" s="12"/>
    </row>
    <row r="25186" spans="1:1" x14ac:dyDescent="0.3">
      <c r="A25186" s="12"/>
    </row>
    <row r="25187" spans="1:1" x14ac:dyDescent="0.3">
      <c r="A25187" s="12"/>
    </row>
    <row r="25188" spans="1:1" x14ac:dyDescent="0.3">
      <c r="A25188" s="12"/>
    </row>
    <row r="25189" spans="1:1" x14ac:dyDescent="0.3">
      <c r="A25189" s="12"/>
    </row>
    <row r="25190" spans="1:1" x14ac:dyDescent="0.3">
      <c r="A25190" s="12"/>
    </row>
    <row r="25191" spans="1:1" x14ac:dyDescent="0.3">
      <c r="A25191" s="12"/>
    </row>
    <row r="25192" spans="1:1" x14ac:dyDescent="0.3">
      <c r="A25192" s="12"/>
    </row>
    <row r="25193" spans="1:1" x14ac:dyDescent="0.3">
      <c r="A25193" s="12"/>
    </row>
    <row r="25194" spans="1:1" x14ac:dyDescent="0.3">
      <c r="A25194" s="12"/>
    </row>
    <row r="25195" spans="1:1" x14ac:dyDescent="0.3">
      <c r="A25195" s="12"/>
    </row>
    <row r="25196" spans="1:1" x14ac:dyDescent="0.3">
      <c r="A25196" s="12"/>
    </row>
    <row r="25197" spans="1:1" x14ac:dyDescent="0.3">
      <c r="A25197" s="12"/>
    </row>
    <row r="25198" spans="1:1" x14ac:dyDescent="0.3">
      <c r="A25198" s="12"/>
    </row>
    <row r="25199" spans="1:1" x14ac:dyDescent="0.3">
      <c r="A25199" s="12"/>
    </row>
    <row r="25200" spans="1:1" x14ac:dyDescent="0.3">
      <c r="A25200" s="12"/>
    </row>
    <row r="25201" spans="1:1" x14ac:dyDescent="0.3">
      <c r="A25201" s="12"/>
    </row>
    <row r="25202" spans="1:1" x14ac:dyDescent="0.3">
      <c r="A25202" s="12"/>
    </row>
    <row r="25203" spans="1:1" x14ac:dyDescent="0.3">
      <c r="A25203" s="12"/>
    </row>
    <row r="25204" spans="1:1" x14ac:dyDescent="0.3">
      <c r="A25204" s="12"/>
    </row>
    <row r="25205" spans="1:1" x14ac:dyDescent="0.3">
      <c r="A25205" s="12"/>
    </row>
    <row r="25206" spans="1:1" x14ac:dyDescent="0.3">
      <c r="A25206" s="12"/>
    </row>
    <row r="25207" spans="1:1" x14ac:dyDescent="0.3">
      <c r="A25207" s="12"/>
    </row>
    <row r="25208" spans="1:1" x14ac:dyDescent="0.3">
      <c r="A25208" s="12"/>
    </row>
    <row r="25209" spans="1:1" x14ac:dyDescent="0.3">
      <c r="A25209" s="12"/>
    </row>
    <row r="25210" spans="1:1" x14ac:dyDescent="0.3">
      <c r="A25210" s="12"/>
    </row>
    <row r="25211" spans="1:1" x14ac:dyDescent="0.3">
      <c r="A25211" s="12"/>
    </row>
    <row r="25212" spans="1:1" x14ac:dyDescent="0.3">
      <c r="A25212" s="12"/>
    </row>
    <row r="25213" spans="1:1" x14ac:dyDescent="0.3">
      <c r="A25213" s="12"/>
    </row>
    <row r="25214" spans="1:1" x14ac:dyDescent="0.3">
      <c r="A25214" s="12"/>
    </row>
    <row r="25215" spans="1:1" x14ac:dyDescent="0.3">
      <c r="A25215" s="12"/>
    </row>
    <row r="25216" spans="1:1" x14ac:dyDescent="0.3">
      <c r="A25216" s="12"/>
    </row>
    <row r="25217" spans="1:1" x14ac:dyDescent="0.3">
      <c r="A25217" s="12"/>
    </row>
    <row r="25218" spans="1:1" x14ac:dyDescent="0.3">
      <c r="A25218" s="12"/>
    </row>
    <row r="25219" spans="1:1" x14ac:dyDescent="0.3">
      <c r="A25219" s="12"/>
    </row>
    <row r="25220" spans="1:1" x14ac:dyDescent="0.3">
      <c r="A25220" s="12"/>
    </row>
    <row r="25221" spans="1:1" x14ac:dyDescent="0.3">
      <c r="A25221" s="12"/>
    </row>
    <row r="25222" spans="1:1" x14ac:dyDescent="0.3">
      <c r="A25222" s="12"/>
    </row>
    <row r="25223" spans="1:1" x14ac:dyDescent="0.3">
      <c r="A25223" s="12"/>
    </row>
    <row r="25224" spans="1:1" x14ac:dyDescent="0.3">
      <c r="A25224" s="12"/>
    </row>
    <row r="25225" spans="1:1" x14ac:dyDescent="0.3">
      <c r="A25225" s="12"/>
    </row>
    <row r="25226" spans="1:1" x14ac:dyDescent="0.3">
      <c r="A25226" s="12"/>
    </row>
    <row r="25227" spans="1:1" x14ac:dyDescent="0.3">
      <c r="A25227" s="12"/>
    </row>
    <row r="25228" spans="1:1" x14ac:dyDescent="0.3">
      <c r="A25228" s="12"/>
    </row>
    <row r="25229" spans="1:1" x14ac:dyDescent="0.3">
      <c r="A25229" s="12"/>
    </row>
    <row r="25230" spans="1:1" x14ac:dyDescent="0.3">
      <c r="A25230" s="12"/>
    </row>
    <row r="25231" spans="1:1" x14ac:dyDescent="0.3">
      <c r="A25231" s="12"/>
    </row>
    <row r="25232" spans="1:1" x14ac:dyDescent="0.3">
      <c r="A25232" s="12"/>
    </row>
    <row r="25233" spans="1:1" x14ac:dyDescent="0.3">
      <c r="A25233" s="12"/>
    </row>
    <row r="25234" spans="1:1" x14ac:dyDescent="0.3">
      <c r="A25234" s="12"/>
    </row>
    <row r="25235" spans="1:1" x14ac:dyDescent="0.3">
      <c r="A25235" s="12"/>
    </row>
    <row r="25236" spans="1:1" x14ac:dyDescent="0.3">
      <c r="A25236" s="12"/>
    </row>
    <row r="25237" spans="1:1" x14ac:dyDescent="0.3">
      <c r="A25237" s="12"/>
    </row>
    <row r="25238" spans="1:1" x14ac:dyDescent="0.3">
      <c r="A25238" s="12"/>
    </row>
    <row r="25239" spans="1:1" x14ac:dyDescent="0.3">
      <c r="A25239" s="12"/>
    </row>
    <row r="25240" spans="1:1" x14ac:dyDescent="0.3">
      <c r="A25240" s="12"/>
    </row>
    <row r="25241" spans="1:1" x14ac:dyDescent="0.3">
      <c r="A25241" s="12"/>
    </row>
    <row r="25242" spans="1:1" x14ac:dyDescent="0.3">
      <c r="A25242" s="12"/>
    </row>
    <row r="25243" spans="1:1" x14ac:dyDescent="0.3">
      <c r="A25243" s="12"/>
    </row>
    <row r="25244" spans="1:1" x14ac:dyDescent="0.3">
      <c r="A25244" s="12"/>
    </row>
    <row r="25245" spans="1:1" x14ac:dyDescent="0.3">
      <c r="A25245" s="12"/>
    </row>
    <row r="25246" spans="1:1" x14ac:dyDescent="0.3">
      <c r="A25246" s="12"/>
    </row>
    <row r="25247" spans="1:1" x14ac:dyDescent="0.3">
      <c r="A25247" s="12"/>
    </row>
    <row r="25248" spans="1:1" x14ac:dyDescent="0.3">
      <c r="A25248" s="12"/>
    </row>
    <row r="25249" spans="1:1" x14ac:dyDescent="0.3">
      <c r="A25249" s="12"/>
    </row>
    <row r="25250" spans="1:1" x14ac:dyDescent="0.3">
      <c r="A25250" s="12"/>
    </row>
    <row r="25251" spans="1:1" x14ac:dyDescent="0.3">
      <c r="A25251" s="12"/>
    </row>
    <row r="25252" spans="1:1" x14ac:dyDescent="0.3">
      <c r="A25252" s="12"/>
    </row>
    <row r="25253" spans="1:1" x14ac:dyDescent="0.3">
      <c r="A25253" s="12"/>
    </row>
    <row r="25254" spans="1:1" x14ac:dyDescent="0.3">
      <c r="A25254" s="12"/>
    </row>
    <row r="25255" spans="1:1" x14ac:dyDescent="0.3">
      <c r="A25255" s="12"/>
    </row>
    <row r="25256" spans="1:1" x14ac:dyDescent="0.3">
      <c r="A25256" s="12"/>
    </row>
    <row r="25257" spans="1:1" x14ac:dyDescent="0.3">
      <c r="A25257" s="12"/>
    </row>
    <row r="25258" spans="1:1" x14ac:dyDescent="0.3">
      <c r="A25258" s="12"/>
    </row>
    <row r="25259" spans="1:1" x14ac:dyDescent="0.3">
      <c r="A25259" s="12"/>
    </row>
    <row r="25260" spans="1:1" x14ac:dyDescent="0.3">
      <c r="A25260" s="12"/>
    </row>
    <row r="25261" spans="1:1" x14ac:dyDescent="0.3">
      <c r="A25261" s="12"/>
    </row>
    <row r="25262" spans="1:1" x14ac:dyDescent="0.3">
      <c r="A25262" s="12"/>
    </row>
    <row r="25263" spans="1:1" x14ac:dyDescent="0.3">
      <c r="A25263" s="12"/>
    </row>
    <row r="25264" spans="1:1" x14ac:dyDescent="0.3">
      <c r="A25264" s="12"/>
    </row>
    <row r="25265" spans="1:1" x14ac:dyDescent="0.3">
      <c r="A25265" s="12"/>
    </row>
    <row r="25266" spans="1:1" x14ac:dyDescent="0.3">
      <c r="A25266" s="12"/>
    </row>
    <row r="25267" spans="1:1" x14ac:dyDescent="0.3">
      <c r="A25267" s="12"/>
    </row>
    <row r="25268" spans="1:1" x14ac:dyDescent="0.3">
      <c r="A25268" s="12"/>
    </row>
    <row r="25269" spans="1:1" x14ac:dyDescent="0.3">
      <c r="A25269" s="12"/>
    </row>
    <row r="25270" spans="1:1" x14ac:dyDescent="0.3">
      <c r="A25270" s="12"/>
    </row>
    <row r="25271" spans="1:1" x14ac:dyDescent="0.3">
      <c r="A25271" s="12"/>
    </row>
    <row r="25272" spans="1:1" x14ac:dyDescent="0.3">
      <c r="A25272" s="12"/>
    </row>
    <row r="25273" spans="1:1" x14ac:dyDescent="0.3">
      <c r="A25273" s="12"/>
    </row>
    <row r="25274" spans="1:1" x14ac:dyDescent="0.3">
      <c r="A25274" s="12"/>
    </row>
    <row r="25275" spans="1:1" x14ac:dyDescent="0.3">
      <c r="A25275" s="12"/>
    </row>
    <row r="25276" spans="1:1" x14ac:dyDescent="0.3">
      <c r="A25276" s="12"/>
    </row>
    <row r="25277" spans="1:1" x14ac:dyDescent="0.3">
      <c r="A25277" s="12"/>
    </row>
    <row r="25278" spans="1:1" x14ac:dyDescent="0.3">
      <c r="A25278" s="12"/>
    </row>
    <row r="25279" spans="1:1" x14ac:dyDescent="0.3">
      <c r="A25279" s="12"/>
    </row>
    <row r="25280" spans="1:1" x14ac:dyDescent="0.3">
      <c r="A25280" s="12"/>
    </row>
    <row r="25281" spans="1:1" x14ac:dyDescent="0.3">
      <c r="A25281" s="12"/>
    </row>
    <row r="25282" spans="1:1" x14ac:dyDescent="0.3">
      <c r="A25282" s="12"/>
    </row>
    <row r="25283" spans="1:1" x14ac:dyDescent="0.3">
      <c r="A25283" s="12"/>
    </row>
    <row r="25284" spans="1:1" x14ac:dyDescent="0.3">
      <c r="A25284" s="12"/>
    </row>
    <row r="25285" spans="1:1" x14ac:dyDescent="0.3">
      <c r="A25285" s="12"/>
    </row>
    <row r="25286" spans="1:1" x14ac:dyDescent="0.3">
      <c r="A25286" s="12"/>
    </row>
    <row r="25287" spans="1:1" x14ac:dyDescent="0.3">
      <c r="A25287" s="12"/>
    </row>
    <row r="25288" spans="1:1" x14ac:dyDescent="0.3">
      <c r="A25288" s="12"/>
    </row>
    <row r="25289" spans="1:1" x14ac:dyDescent="0.3">
      <c r="A25289" s="12"/>
    </row>
    <row r="25290" spans="1:1" x14ac:dyDescent="0.3">
      <c r="A25290" s="12"/>
    </row>
    <row r="25291" spans="1:1" x14ac:dyDescent="0.3">
      <c r="A25291" s="12"/>
    </row>
    <row r="25292" spans="1:1" x14ac:dyDescent="0.3">
      <c r="A25292" s="12"/>
    </row>
    <row r="25293" spans="1:1" x14ac:dyDescent="0.3">
      <c r="A25293" s="12"/>
    </row>
    <row r="25294" spans="1:1" x14ac:dyDescent="0.3">
      <c r="A25294" s="12"/>
    </row>
    <row r="25295" spans="1:1" x14ac:dyDescent="0.3">
      <c r="A25295" s="12"/>
    </row>
    <row r="25296" spans="1:1" x14ac:dyDescent="0.3">
      <c r="A25296" s="12"/>
    </row>
    <row r="25297" spans="1:1" x14ac:dyDescent="0.3">
      <c r="A25297" s="12"/>
    </row>
    <row r="25298" spans="1:1" x14ac:dyDescent="0.3">
      <c r="A25298" s="12"/>
    </row>
    <row r="25299" spans="1:1" x14ac:dyDescent="0.3">
      <c r="A25299" s="12"/>
    </row>
    <row r="25300" spans="1:1" x14ac:dyDescent="0.3">
      <c r="A25300" s="12"/>
    </row>
    <row r="25301" spans="1:1" x14ac:dyDescent="0.3">
      <c r="A25301" s="12"/>
    </row>
    <row r="25302" spans="1:1" x14ac:dyDescent="0.3">
      <c r="A25302" s="12"/>
    </row>
    <row r="25303" spans="1:1" x14ac:dyDescent="0.3">
      <c r="A25303" s="12"/>
    </row>
    <row r="25304" spans="1:1" x14ac:dyDescent="0.3">
      <c r="A25304" s="12"/>
    </row>
    <row r="25305" spans="1:1" x14ac:dyDescent="0.3">
      <c r="A25305" s="12"/>
    </row>
    <row r="25306" spans="1:1" x14ac:dyDescent="0.3">
      <c r="A25306" s="12"/>
    </row>
    <row r="25307" spans="1:1" x14ac:dyDescent="0.3">
      <c r="A25307" s="12"/>
    </row>
    <row r="25308" spans="1:1" x14ac:dyDescent="0.3">
      <c r="A25308" s="12"/>
    </row>
    <row r="25309" spans="1:1" x14ac:dyDescent="0.3">
      <c r="A25309" s="12"/>
    </row>
    <row r="25310" spans="1:1" x14ac:dyDescent="0.3">
      <c r="A25310" s="12"/>
    </row>
    <row r="25311" spans="1:1" x14ac:dyDescent="0.3">
      <c r="A25311" s="12"/>
    </row>
    <row r="25312" spans="1:1" x14ac:dyDescent="0.3">
      <c r="A25312" s="12"/>
    </row>
    <row r="25313" spans="1:1" x14ac:dyDescent="0.3">
      <c r="A25313" s="12"/>
    </row>
    <row r="25314" spans="1:1" x14ac:dyDescent="0.3">
      <c r="A25314" s="12"/>
    </row>
    <row r="25315" spans="1:1" x14ac:dyDescent="0.3">
      <c r="A25315" s="12"/>
    </row>
    <row r="25316" spans="1:1" x14ac:dyDescent="0.3">
      <c r="A25316" s="12"/>
    </row>
    <row r="25317" spans="1:1" x14ac:dyDescent="0.3">
      <c r="A25317" s="12"/>
    </row>
    <row r="25318" spans="1:1" x14ac:dyDescent="0.3">
      <c r="A25318" s="12"/>
    </row>
    <row r="25319" spans="1:1" x14ac:dyDescent="0.3">
      <c r="A25319" s="12"/>
    </row>
    <row r="25320" spans="1:1" x14ac:dyDescent="0.3">
      <c r="A25320" s="12"/>
    </row>
    <row r="25321" spans="1:1" x14ac:dyDescent="0.3">
      <c r="A25321" s="12"/>
    </row>
    <row r="25322" spans="1:1" x14ac:dyDescent="0.3">
      <c r="A25322" s="12"/>
    </row>
    <row r="25323" spans="1:1" x14ac:dyDescent="0.3">
      <c r="A25323" s="12"/>
    </row>
    <row r="25324" spans="1:1" x14ac:dyDescent="0.3">
      <c r="A25324" s="12"/>
    </row>
    <row r="25325" spans="1:1" x14ac:dyDescent="0.3">
      <c r="A25325" s="12"/>
    </row>
    <row r="25326" spans="1:1" x14ac:dyDescent="0.3">
      <c r="A25326" s="12"/>
    </row>
    <row r="25327" spans="1:1" x14ac:dyDescent="0.3">
      <c r="A25327" s="12"/>
    </row>
    <row r="25328" spans="1:1" x14ac:dyDescent="0.3">
      <c r="A25328" s="12"/>
    </row>
    <row r="25329" spans="1:1" x14ac:dyDescent="0.3">
      <c r="A25329" s="12"/>
    </row>
    <row r="25330" spans="1:1" x14ac:dyDescent="0.3">
      <c r="A25330" s="12"/>
    </row>
    <row r="25331" spans="1:1" x14ac:dyDescent="0.3">
      <c r="A25331" s="12"/>
    </row>
    <row r="25332" spans="1:1" x14ac:dyDescent="0.3">
      <c r="A25332" s="12"/>
    </row>
    <row r="25333" spans="1:1" x14ac:dyDescent="0.3">
      <c r="A25333" s="12"/>
    </row>
    <row r="25334" spans="1:1" x14ac:dyDescent="0.3">
      <c r="A25334" s="12"/>
    </row>
    <row r="25335" spans="1:1" x14ac:dyDescent="0.3">
      <c r="A25335" s="12"/>
    </row>
    <row r="25336" spans="1:1" x14ac:dyDescent="0.3">
      <c r="A25336" s="12"/>
    </row>
    <row r="25337" spans="1:1" x14ac:dyDescent="0.3">
      <c r="A25337" s="12"/>
    </row>
    <row r="25338" spans="1:1" x14ac:dyDescent="0.3">
      <c r="A25338" s="12"/>
    </row>
    <row r="25339" spans="1:1" x14ac:dyDescent="0.3">
      <c r="A25339" s="12"/>
    </row>
    <row r="25340" spans="1:1" x14ac:dyDescent="0.3">
      <c r="A25340" s="12"/>
    </row>
    <row r="25341" spans="1:1" x14ac:dyDescent="0.3">
      <c r="A25341" s="12"/>
    </row>
    <row r="25342" spans="1:1" x14ac:dyDescent="0.3">
      <c r="A25342" s="12"/>
    </row>
    <row r="25343" spans="1:1" x14ac:dyDescent="0.3">
      <c r="A25343" s="12"/>
    </row>
    <row r="25344" spans="1:1" x14ac:dyDescent="0.3">
      <c r="A25344" s="12"/>
    </row>
    <row r="25345" spans="1:1" x14ac:dyDescent="0.3">
      <c r="A25345" s="12"/>
    </row>
    <row r="25346" spans="1:1" x14ac:dyDescent="0.3">
      <c r="A25346" s="12"/>
    </row>
    <row r="25347" spans="1:1" x14ac:dyDescent="0.3">
      <c r="A25347" s="12"/>
    </row>
    <row r="25348" spans="1:1" x14ac:dyDescent="0.3">
      <c r="A25348" s="12"/>
    </row>
    <row r="25349" spans="1:1" x14ac:dyDescent="0.3">
      <c r="A25349" s="12"/>
    </row>
    <row r="25350" spans="1:1" x14ac:dyDescent="0.3">
      <c r="A25350" s="12"/>
    </row>
    <row r="25351" spans="1:1" x14ac:dyDescent="0.3">
      <c r="A25351" s="12"/>
    </row>
    <row r="25352" spans="1:1" x14ac:dyDescent="0.3">
      <c r="A25352" s="12"/>
    </row>
    <row r="25353" spans="1:1" x14ac:dyDescent="0.3">
      <c r="A25353" s="12"/>
    </row>
    <row r="25354" spans="1:1" x14ac:dyDescent="0.3">
      <c r="A25354" s="12"/>
    </row>
    <row r="25355" spans="1:1" x14ac:dyDescent="0.3">
      <c r="A25355" s="12"/>
    </row>
    <row r="25356" spans="1:1" x14ac:dyDescent="0.3">
      <c r="A25356" s="12"/>
    </row>
    <row r="25357" spans="1:1" x14ac:dyDescent="0.3">
      <c r="A25357" s="12"/>
    </row>
    <row r="25358" spans="1:1" x14ac:dyDescent="0.3">
      <c r="A25358" s="12"/>
    </row>
    <row r="25359" spans="1:1" x14ac:dyDescent="0.3">
      <c r="A25359" s="12"/>
    </row>
    <row r="25360" spans="1:1" x14ac:dyDescent="0.3">
      <c r="A25360" s="12"/>
    </row>
    <row r="25361" spans="1:1" x14ac:dyDescent="0.3">
      <c r="A25361" s="12"/>
    </row>
    <row r="25362" spans="1:1" x14ac:dyDescent="0.3">
      <c r="A25362" s="12"/>
    </row>
    <row r="25363" spans="1:1" x14ac:dyDescent="0.3">
      <c r="A25363" s="12"/>
    </row>
    <row r="25364" spans="1:1" x14ac:dyDescent="0.3">
      <c r="A25364" s="12"/>
    </row>
    <row r="25365" spans="1:1" x14ac:dyDescent="0.3">
      <c r="A25365" s="12"/>
    </row>
    <row r="25366" spans="1:1" x14ac:dyDescent="0.3">
      <c r="A25366" s="12"/>
    </row>
    <row r="25367" spans="1:1" x14ac:dyDescent="0.3">
      <c r="A25367" s="12"/>
    </row>
    <row r="25368" spans="1:1" x14ac:dyDescent="0.3">
      <c r="A25368" s="12"/>
    </row>
    <row r="25369" spans="1:1" x14ac:dyDescent="0.3">
      <c r="A25369" s="12"/>
    </row>
    <row r="25370" spans="1:1" x14ac:dyDescent="0.3">
      <c r="A25370" s="12"/>
    </row>
    <row r="25371" spans="1:1" x14ac:dyDescent="0.3">
      <c r="A25371" s="12"/>
    </row>
    <row r="25372" spans="1:1" x14ac:dyDescent="0.3">
      <c r="A25372" s="12"/>
    </row>
    <row r="25373" spans="1:1" x14ac:dyDescent="0.3">
      <c r="A25373" s="12"/>
    </row>
    <row r="25374" spans="1:1" x14ac:dyDescent="0.3">
      <c r="A25374" s="12"/>
    </row>
    <row r="25375" spans="1:1" x14ac:dyDescent="0.3">
      <c r="A25375" s="12"/>
    </row>
    <row r="25376" spans="1:1" x14ac:dyDescent="0.3">
      <c r="A25376" s="12"/>
    </row>
    <row r="25377" spans="1:1" x14ac:dyDescent="0.3">
      <c r="A25377" s="12"/>
    </row>
    <row r="25378" spans="1:1" x14ac:dyDescent="0.3">
      <c r="A25378" s="12"/>
    </row>
    <row r="25379" spans="1:1" x14ac:dyDescent="0.3">
      <c r="A25379" s="12"/>
    </row>
    <row r="25380" spans="1:1" x14ac:dyDescent="0.3">
      <c r="A25380" s="12"/>
    </row>
    <row r="25381" spans="1:1" x14ac:dyDescent="0.3">
      <c r="A25381" s="12"/>
    </row>
    <row r="25382" spans="1:1" x14ac:dyDescent="0.3">
      <c r="A25382" s="12"/>
    </row>
    <row r="25383" spans="1:1" x14ac:dyDescent="0.3">
      <c r="A25383" s="12"/>
    </row>
    <row r="25384" spans="1:1" x14ac:dyDescent="0.3">
      <c r="A25384" s="12"/>
    </row>
    <row r="25385" spans="1:1" x14ac:dyDescent="0.3">
      <c r="A25385" s="12"/>
    </row>
    <row r="25386" spans="1:1" x14ac:dyDescent="0.3">
      <c r="A25386" s="12"/>
    </row>
    <row r="25387" spans="1:1" x14ac:dyDescent="0.3">
      <c r="A25387" s="12"/>
    </row>
    <row r="25388" spans="1:1" x14ac:dyDescent="0.3">
      <c r="A25388" s="12"/>
    </row>
    <row r="25389" spans="1:1" x14ac:dyDescent="0.3">
      <c r="A25389" s="12"/>
    </row>
    <row r="25390" spans="1:1" x14ac:dyDescent="0.3">
      <c r="A25390" s="12"/>
    </row>
    <row r="25391" spans="1:1" x14ac:dyDescent="0.3">
      <c r="A25391" s="12"/>
    </row>
    <row r="25392" spans="1:1" x14ac:dyDescent="0.3">
      <c r="A25392" s="12"/>
    </row>
    <row r="25393" spans="1:1" x14ac:dyDescent="0.3">
      <c r="A25393" s="12"/>
    </row>
    <row r="25394" spans="1:1" x14ac:dyDescent="0.3">
      <c r="A25394" s="12"/>
    </row>
    <row r="25395" spans="1:1" x14ac:dyDescent="0.3">
      <c r="A25395" s="12"/>
    </row>
    <row r="25396" spans="1:1" x14ac:dyDescent="0.3">
      <c r="A25396" s="12"/>
    </row>
    <row r="25397" spans="1:1" x14ac:dyDescent="0.3">
      <c r="A25397" s="12"/>
    </row>
    <row r="25398" spans="1:1" x14ac:dyDescent="0.3">
      <c r="A25398" s="12"/>
    </row>
    <row r="25399" spans="1:1" x14ac:dyDescent="0.3">
      <c r="A25399" s="12"/>
    </row>
    <row r="25400" spans="1:1" x14ac:dyDescent="0.3">
      <c r="A25400" s="12"/>
    </row>
    <row r="25401" spans="1:1" x14ac:dyDescent="0.3">
      <c r="A25401" s="12"/>
    </row>
    <row r="25402" spans="1:1" x14ac:dyDescent="0.3">
      <c r="A25402" s="12"/>
    </row>
    <row r="25403" spans="1:1" x14ac:dyDescent="0.3">
      <c r="A25403" s="12"/>
    </row>
    <row r="25404" spans="1:1" x14ac:dyDescent="0.3">
      <c r="A25404" s="12"/>
    </row>
    <row r="25405" spans="1:1" x14ac:dyDescent="0.3">
      <c r="A25405" s="12"/>
    </row>
    <row r="25406" spans="1:1" x14ac:dyDescent="0.3">
      <c r="A25406" s="12"/>
    </row>
    <row r="25407" spans="1:1" x14ac:dyDescent="0.3">
      <c r="A25407" s="12"/>
    </row>
    <row r="25408" spans="1:1" x14ac:dyDescent="0.3">
      <c r="A25408" s="12"/>
    </row>
    <row r="25409" spans="1:1" x14ac:dyDescent="0.3">
      <c r="A25409" s="12"/>
    </row>
    <row r="25410" spans="1:1" x14ac:dyDescent="0.3">
      <c r="A25410" s="12"/>
    </row>
    <row r="25411" spans="1:1" x14ac:dyDescent="0.3">
      <c r="A25411" s="12"/>
    </row>
    <row r="25412" spans="1:1" x14ac:dyDescent="0.3">
      <c r="A25412" s="12"/>
    </row>
    <row r="25413" spans="1:1" x14ac:dyDescent="0.3">
      <c r="A25413" s="12"/>
    </row>
    <row r="25414" spans="1:1" x14ac:dyDescent="0.3">
      <c r="A25414" s="12"/>
    </row>
    <row r="25415" spans="1:1" x14ac:dyDescent="0.3">
      <c r="A25415" s="12"/>
    </row>
    <row r="25416" spans="1:1" x14ac:dyDescent="0.3">
      <c r="A25416" s="12"/>
    </row>
    <row r="25417" spans="1:1" x14ac:dyDescent="0.3">
      <c r="A25417" s="12"/>
    </row>
    <row r="25418" spans="1:1" x14ac:dyDescent="0.3">
      <c r="A25418" s="12"/>
    </row>
    <row r="25419" spans="1:1" x14ac:dyDescent="0.3">
      <c r="A25419" s="12"/>
    </row>
    <row r="25420" spans="1:1" x14ac:dyDescent="0.3">
      <c r="A25420" s="12"/>
    </row>
    <row r="25421" spans="1:1" x14ac:dyDescent="0.3">
      <c r="A25421" s="12"/>
    </row>
    <row r="25422" spans="1:1" x14ac:dyDescent="0.3">
      <c r="A25422" s="12"/>
    </row>
    <row r="25423" spans="1:1" x14ac:dyDescent="0.3">
      <c r="A25423" s="12"/>
    </row>
    <row r="25424" spans="1:1" x14ac:dyDescent="0.3">
      <c r="A25424" s="12"/>
    </row>
    <row r="25425" spans="1:1" x14ac:dyDescent="0.3">
      <c r="A25425" s="12"/>
    </row>
    <row r="25426" spans="1:1" x14ac:dyDescent="0.3">
      <c r="A25426" s="12"/>
    </row>
    <row r="25427" spans="1:1" x14ac:dyDescent="0.3">
      <c r="A25427" s="12"/>
    </row>
    <row r="25428" spans="1:1" x14ac:dyDescent="0.3">
      <c r="A25428" s="12"/>
    </row>
    <row r="25429" spans="1:1" x14ac:dyDescent="0.3">
      <c r="A25429" s="12"/>
    </row>
    <row r="25430" spans="1:1" x14ac:dyDescent="0.3">
      <c r="A25430" s="12"/>
    </row>
    <row r="25431" spans="1:1" x14ac:dyDescent="0.3">
      <c r="A25431" s="12"/>
    </row>
    <row r="25432" spans="1:1" x14ac:dyDescent="0.3">
      <c r="A25432" s="12"/>
    </row>
    <row r="25433" spans="1:1" x14ac:dyDescent="0.3">
      <c r="A25433" s="12"/>
    </row>
    <row r="25434" spans="1:1" x14ac:dyDescent="0.3">
      <c r="A25434" s="12"/>
    </row>
    <row r="25435" spans="1:1" x14ac:dyDescent="0.3">
      <c r="A25435" s="12"/>
    </row>
    <row r="25436" spans="1:1" x14ac:dyDescent="0.3">
      <c r="A25436" s="12"/>
    </row>
    <row r="25437" spans="1:1" x14ac:dyDescent="0.3">
      <c r="A25437" s="12"/>
    </row>
    <row r="25438" spans="1:1" x14ac:dyDescent="0.3">
      <c r="A25438" s="12"/>
    </row>
    <row r="25439" spans="1:1" x14ac:dyDescent="0.3">
      <c r="A25439" s="12"/>
    </row>
    <row r="25440" spans="1:1" x14ac:dyDescent="0.3">
      <c r="A25440" s="12"/>
    </row>
    <row r="25441" spans="1:1" x14ac:dyDescent="0.3">
      <c r="A25441" s="12"/>
    </row>
    <row r="25442" spans="1:1" x14ac:dyDescent="0.3">
      <c r="A25442" s="12"/>
    </row>
    <row r="25443" spans="1:1" x14ac:dyDescent="0.3">
      <c r="A25443" s="12"/>
    </row>
    <row r="25444" spans="1:1" x14ac:dyDescent="0.3">
      <c r="A25444" s="12"/>
    </row>
    <row r="25445" spans="1:1" x14ac:dyDescent="0.3">
      <c r="A25445" s="12"/>
    </row>
    <row r="25446" spans="1:1" x14ac:dyDescent="0.3">
      <c r="A25446" s="12"/>
    </row>
    <row r="25447" spans="1:1" x14ac:dyDescent="0.3">
      <c r="A25447" s="12"/>
    </row>
    <row r="25448" spans="1:1" x14ac:dyDescent="0.3">
      <c r="A25448" s="12"/>
    </row>
    <row r="25449" spans="1:1" x14ac:dyDescent="0.3">
      <c r="A25449" s="12"/>
    </row>
    <row r="25450" spans="1:1" x14ac:dyDescent="0.3">
      <c r="A25450" s="12"/>
    </row>
    <row r="25451" spans="1:1" x14ac:dyDescent="0.3">
      <c r="A25451" s="12"/>
    </row>
    <row r="25452" spans="1:1" x14ac:dyDescent="0.3">
      <c r="A25452" s="12"/>
    </row>
    <row r="25453" spans="1:1" x14ac:dyDescent="0.3">
      <c r="A25453" s="12"/>
    </row>
    <row r="25454" spans="1:1" x14ac:dyDescent="0.3">
      <c r="A25454" s="12"/>
    </row>
    <row r="25455" spans="1:1" x14ac:dyDescent="0.3">
      <c r="A25455" s="12"/>
    </row>
    <row r="25456" spans="1:1" x14ac:dyDescent="0.3">
      <c r="A25456" s="12"/>
    </row>
    <row r="25457" spans="1:1" x14ac:dyDescent="0.3">
      <c r="A25457" s="12"/>
    </row>
    <row r="25458" spans="1:1" x14ac:dyDescent="0.3">
      <c r="A25458" s="12"/>
    </row>
    <row r="25459" spans="1:1" x14ac:dyDescent="0.3">
      <c r="A25459" s="12"/>
    </row>
    <row r="25460" spans="1:1" x14ac:dyDescent="0.3">
      <c r="A25460" s="12"/>
    </row>
    <row r="25461" spans="1:1" x14ac:dyDescent="0.3">
      <c r="A25461" s="12"/>
    </row>
    <row r="25462" spans="1:1" x14ac:dyDescent="0.3">
      <c r="A25462" s="12"/>
    </row>
    <row r="25463" spans="1:1" x14ac:dyDescent="0.3">
      <c r="A25463" s="12"/>
    </row>
    <row r="25464" spans="1:1" x14ac:dyDescent="0.3">
      <c r="A25464" s="12"/>
    </row>
    <row r="25465" spans="1:1" x14ac:dyDescent="0.3">
      <c r="A25465" s="12"/>
    </row>
    <row r="25466" spans="1:1" x14ac:dyDescent="0.3">
      <c r="A25466" s="12"/>
    </row>
    <row r="25467" spans="1:1" x14ac:dyDescent="0.3">
      <c r="A25467" s="12"/>
    </row>
    <row r="25468" spans="1:1" x14ac:dyDescent="0.3">
      <c r="A25468" s="12"/>
    </row>
    <row r="25469" spans="1:1" x14ac:dyDescent="0.3">
      <c r="A25469" s="12"/>
    </row>
    <row r="25470" spans="1:1" x14ac:dyDescent="0.3">
      <c r="A25470" s="12"/>
    </row>
    <row r="25471" spans="1:1" x14ac:dyDescent="0.3">
      <c r="A25471" s="12"/>
    </row>
    <row r="25472" spans="1:1" x14ac:dyDescent="0.3">
      <c r="A25472" s="12"/>
    </row>
    <row r="25473" spans="1:1" x14ac:dyDescent="0.3">
      <c r="A25473" s="12"/>
    </row>
    <row r="25474" spans="1:1" x14ac:dyDescent="0.3">
      <c r="A25474" s="12"/>
    </row>
    <row r="25475" spans="1:1" x14ac:dyDescent="0.3">
      <c r="A25475" s="12"/>
    </row>
    <row r="25476" spans="1:1" x14ac:dyDescent="0.3">
      <c r="A25476" s="12"/>
    </row>
    <row r="25477" spans="1:1" x14ac:dyDescent="0.3">
      <c r="A25477" s="12"/>
    </row>
    <row r="25478" spans="1:1" x14ac:dyDescent="0.3">
      <c r="A25478" s="12"/>
    </row>
    <row r="25479" spans="1:1" x14ac:dyDescent="0.3">
      <c r="A25479" s="12"/>
    </row>
    <row r="25480" spans="1:1" x14ac:dyDescent="0.3">
      <c r="A25480" s="12"/>
    </row>
    <row r="25481" spans="1:1" x14ac:dyDescent="0.3">
      <c r="A25481" s="12"/>
    </row>
    <row r="25482" spans="1:1" x14ac:dyDescent="0.3">
      <c r="A25482" s="12"/>
    </row>
    <row r="25483" spans="1:1" x14ac:dyDescent="0.3">
      <c r="A25483" s="12"/>
    </row>
    <row r="25484" spans="1:1" x14ac:dyDescent="0.3">
      <c r="A25484" s="12"/>
    </row>
    <row r="25485" spans="1:1" x14ac:dyDescent="0.3">
      <c r="A25485" s="12"/>
    </row>
    <row r="25486" spans="1:1" x14ac:dyDescent="0.3">
      <c r="A25486" s="12"/>
    </row>
    <row r="25487" spans="1:1" x14ac:dyDescent="0.3">
      <c r="A25487" s="12"/>
    </row>
    <row r="25488" spans="1:1" x14ac:dyDescent="0.3">
      <c r="A25488" s="12"/>
    </row>
    <row r="25489" spans="1:1" x14ac:dyDescent="0.3">
      <c r="A25489" s="12"/>
    </row>
    <row r="25490" spans="1:1" x14ac:dyDescent="0.3">
      <c r="A25490" s="12"/>
    </row>
    <row r="25491" spans="1:1" x14ac:dyDescent="0.3">
      <c r="A25491" s="12"/>
    </row>
    <row r="25492" spans="1:1" x14ac:dyDescent="0.3">
      <c r="A25492" s="12"/>
    </row>
    <row r="25493" spans="1:1" x14ac:dyDescent="0.3">
      <c r="A25493" s="12"/>
    </row>
    <row r="25494" spans="1:1" x14ac:dyDescent="0.3">
      <c r="A25494" s="12"/>
    </row>
    <row r="25495" spans="1:1" x14ac:dyDescent="0.3">
      <c r="A25495" s="12"/>
    </row>
    <row r="25496" spans="1:1" x14ac:dyDescent="0.3">
      <c r="A25496" s="12"/>
    </row>
    <row r="25497" spans="1:1" x14ac:dyDescent="0.3">
      <c r="A25497" s="12"/>
    </row>
    <row r="25498" spans="1:1" x14ac:dyDescent="0.3">
      <c r="A25498" s="12"/>
    </row>
    <row r="25499" spans="1:1" x14ac:dyDescent="0.3">
      <c r="A25499" s="12"/>
    </row>
    <row r="25500" spans="1:1" x14ac:dyDescent="0.3">
      <c r="A25500" s="12"/>
    </row>
    <row r="25501" spans="1:1" x14ac:dyDescent="0.3">
      <c r="A25501" s="12"/>
    </row>
    <row r="25502" spans="1:1" x14ac:dyDescent="0.3">
      <c r="A25502" s="12"/>
    </row>
    <row r="25503" spans="1:1" x14ac:dyDescent="0.3">
      <c r="A25503" s="12"/>
    </row>
    <row r="25504" spans="1:1" x14ac:dyDescent="0.3">
      <c r="A25504" s="12"/>
    </row>
    <row r="25505" spans="1:1" x14ac:dyDescent="0.3">
      <c r="A25505" s="12"/>
    </row>
    <row r="25506" spans="1:1" x14ac:dyDescent="0.3">
      <c r="A25506" s="12"/>
    </row>
    <row r="25507" spans="1:1" x14ac:dyDescent="0.3">
      <c r="A25507" s="12"/>
    </row>
    <row r="25508" spans="1:1" x14ac:dyDescent="0.3">
      <c r="A25508" s="12"/>
    </row>
    <row r="25509" spans="1:1" x14ac:dyDescent="0.3">
      <c r="A25509" s="12"/>
    </row>
    <row r="25510" spans="1:1" x14ac:dyDescent="0.3">
      <c r="A25510" s="12"/>
    </row>
    <row r="25511" spans="1:1" x14ac:dyDescent="0.3">
      <c r="A25511" s="12"/>
    </row>
    <row r="25512" spans="1:1" x14ac:dyDescent="0.3">
      <c r="A25512" s="12"/>
    </row>
    <row r="25513" spans="1:1" x14ac:dyDescent="0.3">
      <c r="A25513" s="12"/>
    </row>
    <row r="25514" spans="1:1" x14ac:dyDescent="0.3">
      <c r="A25514" s="12"/>
    </row>
    <row r="25515" spans="1:1" x14ac:dyDescent="0.3">
      <c r="A25515" s="12"/>
    </row>
    <row r="25516" spans="1:1" x14ac:dyDescent="0.3">
      <c r="A25516" s="12"/>
    </row>
    <row r="25517" spans="1:1" x14ac:dyDescent="0.3">
      <c r="A25517" s="12"/>
    </row>
    <row r="25518" spans="1:1" x14ac:dyDescent="0.3">
      <c r="A25518" s="12"/>
    </row>
    <row r="25519" spans="1:1" x14ac:dyDescent="0.3">
      <c r="A25519" s="12"/>
    </row>
    <row r="25520" spans="1:1" x14ac:dyDescent="0.3">
      <c r="A25520" s="12"/>
    </row>
    <row r="25521" spans="1:1" x14ac:dyDescent="0.3">
      <c r="A25521" s="12"/>
    </row>
    <row r="25522" spans="1:1" x14ac:dyDescent="0.3">
      <c r="A25522" s="12"/>
    </row>
    <row r="25523" spans="1:1" x14ac:dyDescent="0.3">
      <c r="A25523" s="12"/>
    </row>
    <row r="25524" spans="1:1" x14ac:dyDescent="0.3">
      <c r="A25524" s="12"/>
    </row>
    <row r="25525" spans="1:1" x14ac:dyDescent="0.3">
      <c r="A25525" s="12"/>
    </row>
    <row r="25526" spans="1:1" x14ac:dyDescent="0.3">
      <c r="A25526" s="12"/>
    </row>
    <row r="25527" spans="1:1" x14ac:dyDescent="0.3">
      <c r="A25527" s="12"/>
    </row>
    <row r="25528" spans="1:1" x14ac:dyDescent="0.3">
      <c r="A25528" s="12"/>
    </row>
    <row r="25529" spans="1:1" x14ac:dyDescent="0.3">
      <c r="A25529" s="12"/>
    </row>
    <row r="25530" spans="1:1" x14ac:dyDescent="0.3">
      <c r="A25530" s="12"/>
    </row>
    <row r="25531" spans="1:1" x14ac:dyDescent="0.3">
      <c r="A25531" s="12"/>
    </row>
    <row r="25532" spans="1:1" x14ac:dyDescent="0.3">
      <c r="A25532" s="12"/>
    </row>
    <row r="25533" spans="1:1" x14ac:dyDescent="0.3">
      <c r="A25533" s="12"/>
    </row>
    <row r="25534" spans="1:1" x14ac:dyDescent="0.3">
      <c r="A25534" s="12"/>
    </row>
    <row r="25535" spans="1:1" x14ac:dyDescent="0.3">
      <c r="A25535" s="12"/>
    </row>
    <row r="25536" spans="1:1" x14ac:dyDescent="0.3">
      <c r="A25536" s="12"/>
    </row>
    <row r="25537" spans="1:1" x14ac:dyDescent="0.3">
      <c r="A25537" s="12"/>
    </row>
    <row r="25538" spans="1:1" x14ac:dyDescent="0.3">
      <c r="A25538" s="12"/>
    </row>
    <row r="25539" spans="1:1" x14ac:dyDescent="0.3">
      <c r="A25539" s="12"/>
    </row>
    <row r="25540" spans="1:1" x14ac:dyDescent="0.3">
      <c r="A25540" s="12"/>
    </row>
    <row r="25541" spans="1:1" x14ac:dyDescent="0.3">
      <c r="A25541" s="12"/>
    </row>
    <row r="25542" spans="1:1" x14ac:dyDescent="0.3">
      <c r="A25542" s="12"/>
    </row>
    <row r="25543" spans="1:1" x14ac:dyDescent="0.3">
      <c r="A25543" s="12"/>
    </row>
    <row r="25544" spans="1:1" x14ac:dyDescent="0.3">
      <c r="A25544" s="12"/>
    </row>
    <row r="25545" spans="1:1" x14ac:dyDescent="0.3">
      <c r="A25545" s="12"/>
    </row>
    <row r="25546" spans="1:1" x14ac:dyDescent="0.3">
      <c r="A25546" s="12"/>
    </row>
    <row r="25547" spans="1:1" x14ac:dyDescent="0.3">
      <c r="A25547" s="12"/>
    </row>
    <row r="25548" spans="1:1" x14ac:dyDescent="0.3">
      <c r="A25548" s="12"/>
    </row>
    <row r="25549" spans="1:1" x14ac:dyDescent="0.3">
      <c r="A25549" s="12"/>
    </row>
    <row r="25550" spans="1:1" x14ac:dyDescent="0.3">
      <c r="A25550" s="12"/>
    </row>
    <row r="25551" spans="1:1" x14ac:dyDescent="0.3">
      <c r="A25551" s="12"/>
    </row>
    <row r="25552" spans="1:1" x14ac:dyDescent="0.3">
      <c r="A25552" s="12"/>
    </row>
    <row r="25553" spans="1:1" x14ac:dyDescent="0.3">
      <c r="A25553" s="12"/>
    </row>
    <row r="25554" spans="1:1" x14ac:dyDescent="0.3">
      <c r="A25554" s="12"/>
    </row>
    <row r="25555" spans="1:1" x14ac:dyDescent="0.3">
      <c r="A25555" s="12"/>
    </row>
    <row r="25556" spans="1:1" x14ac:dyDescent="0.3">
      <c r="A25556" s="12"/>
    </row>
    <row r="25557" spans="1:1" x14ac:dyDescent="0.3">
      <c r="A25557" s="12"/>
    </row>
    <row r="25558" spans="1:1" x14ac:dyDescent="0.3">
      <c r="A25558" s="12"/>
    </row>
    <row r="25559" spans="1:1" x14ac:dyDescent="0.3">
      <c r="A25559" s="12"/>
    </row>
    <row r="25560" spans="1:1" x14ac:dyDescent="0.3">
      <c r="A25560" s="12"/>
    </row>
    <row r="25561" spans="1:1" x14ac:dyDescent="0.3">
      <c r="A25561" s="12"/>
    </row>
    <row r="25562" spans="1:1" x14ac:dyDescent="0.3">
      <c r="A25562" s="12"/>
    </row>
    <row r="25563" spans="1:1" x14ac:dyDescent="0.3">
      <c r="A25563" s="12"/>
    </row>
    <row r="25564" spans="1:1" x14ac:dyDescent="0.3">
      <c r="A25564" s="12"/>
    </row>
    <row r="25565" spans="1:1" x14ac:dyDescent="0.3">
      <c r="A25565" s="12"/>
    </row>
    <row r="25566" spans="1:1" x14ac:dyDescent="0.3">
      <c r="A25566" s="12"/>
    </row>
    <row r="25567" spans="1:1" x14ac:dyDescent="0.3">
      <c r="A25567" s="12"/>
    </row>
    <row r="25568" spans="1:1" x14ac:dyDescent="0.3">
      <c r="A25568" s="12"/>
    </row>
    <row r="25569" spans="1:1" x14ac:dyDescent="0.3">
      <c r="A25569" s="12"/>
    </row>
    <row r="25570" spans="1:1" x14ac:dyDescent="0.3">
      <c r="A25570" s="12"/>
    </row>
    <row r="25571" spans="1:1" x14ac:dyDescent="0.3">
      <c r="A25571" s="12"/>
    </row>
    <row r="25572" spans="1:1" x14ac:dyDescent="0.3">
      <c r="A25572" s="12"/>
    </row>
    <row r="25573" spans="1:1" x14ac:dyDescent="0.3">
      <c r="A25573" s="12"/>
    </row>
    <row r="25574" spans="1:1" x14ac:dyDescent="0.3">
      <c r="A25574" s="12"/>
    </row>
    <row r="25575" spans="1:1" x14ac:dyDescent="0.3">
      <c r="A25575" s="12"/>
    </row>
    <row r="25576" spans="1:1" x14ac:dyDescent="0.3">
      <c r="A25576" s="12"/>
    </row>
    <row r="25577" spans="1:1" x14ac:dyDescent="0.3">
      <c r="A25577" s="12"/>
    </row>
    <row r="25578" spans="1:1" x14ac:dyDescent="0.3">
      <c r="A25578" s="12"/>
    </row>
    <row r="25579" spans="1:1" x14ac:dyDescent="0.3">
      <c r="A25579" s="12"/>
    </row>
    <row r="25580" spans="1:1" x14ac:dyDescent="0.3">
      <c r="A25580" s="12"/>
    </row>
    <row r="25581" spans="1:1" x14ac:dyDescent="0.3">
      <c r="A25581" s="12"/>
    </row>
    <row r="25582" spans="1:1" x14ac:dyDescent="0.3">
      <c r="A25582" s="12"/>
    </row>
    <row r="25583" spans="1:1" x14ac:dyDescent="0.3">
      <c r="A25583" s="12"/>
    </row>
    <row r="25584" spans="1:1" x14ac:dyDescent="0.3">
      <c r="A25584" s="12"/>
    </row>
    <row r="25585" spans="1:1" x14ac:dyDescent="0.3">
      <c r="A25585" s="12"/>
    </row>
    <row r="25586" spans="1:1" x14ac:dyDescent="0.3">
      <c r="A25586" s="12"/>
    </row>
    <row r="25587" spans="1:1" x14ac:dyDescent="0.3">
      <c r="A25587" s="12"/>
    </row>
    <row r="25588" spans="1:1" x14ac:dyDescent="0.3">
      <c r="A25588" s="12"/>
    </row>
    <row r="25589" spans="1:1" x14ac:dyDescent="0.3">
      <c r="A25589" s="12"/>
    </row>
    <row r="25590" spans="1:1" x14ac:dyDescent="0.3">
      <c r="A25590" s="12"/>
    </row>
    <row r="25591" spans="1:1" x14ac:dyDescent="0.3">
      <c r="A25591" s="12"/>
    </row>
    <row r="25592" spans="1:1" x14ac:dyDescent="0.3">
      <c r="A25592" s="12"/>
    </row>
    <row r="25593" spans="1:1" x14ac:dyDescent="0.3">
      <c r="A25593" s="12"/>
    </row>
    <row r="25594" spans="1:1" x14ac:dyDescent="0.3">
      <c r="A25594" s="12"/>
    </row>
    <row r="25595" spans="1:1" x14ac:dyDescent="0.3">
      <c r="A25595" s="12"/>
    </row>
    <row r="25596" spans="1:1" x14ac:dyDescent="0.3">
      <c r="A25596" s="12"/>
    </row>
    <row r="25597" spans="1:1" x14ac:dyDescent="0.3">
      <c r="A25597" s="12"/>
    </row>
    <row r="25598" spans="1:1" x14ac:dyDescent="0.3">
      <c r="A25598" s="12"/>
    </row>
    <row r="25599" spans="1:1" x14ac:dyDescent="0.3">
      <c r="A25599" s="12"/>
    </row>
    <row r="25600" spans="1:1" x14ac:dyDescent="0.3">
      <c r="A25600" s="12"/>
    </row>
    <row r="25601" spans="1:1" x14ac:dyDescent="0.3">
      <c r="A25601" s="12"/>
    </row>
    <row r="25602" spans="1:1" x14ac:dyDescent="0.3">
      <c r="A25602" s="12"/>
    </row>
    <row r="25603" spans="1:1" x14ac:dyDescent="0.3">
      <c r="A25603" s="12"/>
    </row>
    <row r="25604" spans="1:1" x14ac:dyDescent="0.3">
      <c r="A25604" s="12"/>
    </row>
    <row r="25605" spans="1:1" x14ac:dyDescent="0.3">
      <c r="A25605" s="12"/>
    </row>
    <row r="25606" spans="1:1" x14ac:dyDescent="0.3">
      <c r="A25606" s="12"/>
    </row>
    <row r="25607" spans="1:1" x14ac:dyDescent="0.3">
      <c r="A25607" s="12"/>
    </row>
    <row r="25608" spans="1:1" x14ac:dyDescent="0.3">
      <c r="A25608" s="12"/>
    </row>
    <row r="25609" spans="1:1" x14ac:dyDescent="0.3">
      <c r="A25609" s="12"/>
    </row>
    <row r="25610" spans="1:1" x14ac:dyDescent="0.3">
      <c r="A25610" s="12"/>
    </row>
    <row r="25611" spans="1:1" x14ac:dyDescent="0.3">
      <c r="A25611" s="12"/>
    </row>
    <row r="25612" spans="1:1" x14ac:dyDescent="0.3">
      <c r="A25612" s="12"/>
    </row>
    <row r="25613" spans="1:1" x14ac:dyDescent="0.3">
      <c r="A25613" s="12"/>
    </row>
    <row r="25614" spans="1:1" x14ac:dyDescent="0.3">
      <c r="A25614" s="12"/>
    </row>
    <row r="25615" spans="1:1" x14ac:dyDescent="0.3">
      <c r="A25615" s="12"/>
    </row>
    <row r="25616" spans="1:1" x14ac:dyDescent="0.3">
      <c r="A25616" s="12"/>
    </row>
    <row r="25617" spans="1:1" x14ac:dyDescent="0.3">
      <c r="A25617" s="12"/>
    </row>
    <row r="25618" spans="1:1" x14ac:dyDescent="0.3">
      <c r="A25618" s="12"/>
    </row>
    <row r="25619" spans="1:1" x14ac:dyDescent="0.3">
      <c r="A25619" s="12"/>
    </row>
    <row r="25620" spans="1:1" x14ac:dyDescent="0.3">
      <c r="A25620" s="12"/>
    </row>
    <row r="25621" spans="1:1" x14ac:dyDescent="0.3">
      <c r="A25621" s="12"/>
    </row>
    <row r="25622" spans="1:1" x14ac:dyDescent="0.3">
      <c r="A25622" s="12"/>
    </row>
    <row r="25623" spans="1:1" x14ac:dyDescent="0.3">
      <c r="A25623" s="12"/>
    </row>
    <row r="25624" spans="1:1" x14ac:dyDescent="0.3">
      <c r="A25624" s="12"/>
    </row>
    <row r="25625" spans="1:1" x14ac:dyDescent="0.3">
      <c r="A25625" s="12"/>
    </row>
    <row r="25626" spans="1:1" x14ac:dyDescent="0.3">
      <c r="A25626" s="12"/>
    </row>
    <row r="25627" spans="1:1" x14ac:dyDescent="0.3">
      <c r="A25627" s="12"/>
    </row>
    <row r="25628" spans="1:1" x14ac:dyDescent="0.3">
      <c r="A25628" s="12"/>
    </row>
    <row r="25629" spans="1:1" x14ac:dyDescent="0.3">
      <c r="A25629" s="12"/>
    </row>
    <row r="25630" spans="1:1" x14ac:dyDescent="0.3">
      <c r="A25630" s="12"/>
    </row>
    <row r="25631" spans="1:1" x14ac:dyDescent="0.3">
      <c r="A25631" s="12"/>
    </row>
    <row r="25632" spans="1:1" x14ac:dyDescent="0.3">
      <c r="A25632" s="12"/>
    </row>
    <row r="25633" spans="1:1" x14ac:dyDescent="0.3">
      <c r="A25633" s="12"/>
    </row>
    <row r="25634" spans="1:1" x14ac:dyDescent="0.3">
      <c r="A25634" s="12"/>
    </row>
    <row r="25635" spans="1:1" x14ac:dyDescent="0.3">
      <c r="A25635" s="12"/>
    </row>
    <row r="25636" spans="1:1" x14ac:dyDescent="0.3">
      <c r="A25636" s="12"/>
    </row>
    <row r="25637" spans="1:1" x14ac:dyDescent="0.3">
      <c r="A25637" s="12"/>
    </row>
    <row r="25638" spans="1:1" x14ac:dyDescent="0.3">
      <c r="A25638" s="12"/>
    </row>
    <row r="25639" spans="1:1" x14ac:dyDescent="0.3">
      <c r="A25639" s="12"/>
    </row>
    <row r="25640" spans="1:1" x14ac:dyDescent="0.3">
      <c r="A25640" s="12"/>
    </row>
    <row r="25641" spans="1:1" x14ac:dyDescent="0.3">
      <c r="A25641" s="12"/>
    </row>
    <row r="25642" spans="1:1" x14ac:dyDescent="0.3">
      <c r="A25642" s="12"/>
    </row>
    <row r="25643" spans="1:1" x14ac:dyDescent="0.3">
      <c r="A25643" s="12"/>
    </row>
    <row r="25644" spans="1:1" x14ac:dyDescent="0.3">
      <c r="A25644" s="12"/>
    </row>
    <row r="25645" spans="1:1" x14ac:dyDescent="0.3">
      <c r="A25645" s="12"/>
    </row>
    <row r="25646" spans="1:1" x14ac:dyDescent="0.3">
      <c r="A25646" s="12"/>
    </row>
    <row r="25647" spans="1:1" x14ac:dyDescent="0.3">
      <c r="A25647" s="12"/>
    </row>
    <row r="25648" spans="1:1" x14ac:dyDescent="0.3">
      <c r="A25648" s="12"/>
    </row>
    <row r="25649" spans="1:1" x14ac:dyDescent="0.3">
      <c r="A25649" s="12"/>
    </row>
    <row r="25650" spans="1:1" x14ac:dyDescent="0.3">
      <c r="A25650" s="12"/>
    </row>
    <row r="25651" spans="1:1" x14ac:dyDescent="0.3">
      <c r="A25651" s="12"/>
    </row>
    <row r="25652" spans="1:1" x14ac:dyDescent="0.3">
      <c r="A25652" s="12"/>
    </row>
    <row r="25653" spans="1:1" x14ac:dyDescent="0.3">
      <c r="A25653" s="12"/>
    </row>
    <row r="25654" spans="1:1" x14ac:dyDescent="0.3">
      <c r="A25654" s="12"/>
    </row>
    <row r="25655" spans="1:1" x14ac:dyDescent="0.3">
      <c r="A25655" s="12"/>
    </row>
    <row r="25656" spans="1:1" x14ac:dyDescent="0.3">
      <c r="A25656" s="12"/>
    </row>
    <row r="25657" spans="1:1" x14ac:dyDescent="0.3">
      <c r="A25657" s="12"/>
    </row>
    <row r="25658" spans="1:1" x14ac:dyDescent="0.3">
      <c r="A25658" s="12"/>
    </row>
    <row r="25659" spans="1:1" x14ac:dyDescent="0.3">
      <c r="A25659" s="12"/>
    </row>
    <row r="25660" spans="1:1" x14ac:dyDescent="0.3">
      <c r="A25660" s="12"/>
    </row>
    <row r="25661" spans="1:1" x14ac:dyDescent="0.3">
      <c r="A25661" s="12"/>
    </row>
    <row r="25662" spans="1:1" x14ac:dyDescent="0.3">
      <c r="A25662" s="12"/>
    </row>
    <row r="25663" spans="1:1" x14ac:dyDescent="0.3">
      <c r="A25663" s="12"/>
    </row>
    <row r="25664" spans="1:1" x14ac:dyDescent="0.3">
      <c r="A25664" s="12"/>
    </row>
    <row r="25665" spans="1:1" x14ac:dyDescent="0.3">
      <c r="A25665" s="12"/>
    </row>
    <row r="25666" spans="1:1" x14ac:dyDescent="0.3">
      <c r="A25666" s="12"/>
    </row>
    <row r="25667" spans="1:1" x14ac:dyDescent="0.3">
      <c r="A25667" s="12"/>
    </row>
    <row r="25668" spans="1:1" x14ac:dyDescent="0.3">
      <c r="A25668" s="12"/>
    </row>
    <row r="25669" spans="1:1" x14ac:dyDescent="0.3">
      <c r="A25669" s="12"/>
    </row>
    <row r="25670" spans="1:1" x14ac:dyDescent="0.3">
      <c r="A25670" s="12"/>
    </row>
    <row r="25671" spans="1:1" x14ac:dyDescent="0.3">
      <c r="A25671" s="12"/>
    </row>
    <row r="25672" spans="1:1" x14ac:dyDescent="0.3">
      <c r="A25672" s="12"/>
    </row>
    <row r="25673" spans="1:1" x14ac:dyDescent="0.3">
      <c r="A25673" s="12"/>
    </row>
    <row r="25674" spans="1:1" x14ac:dyDescent="0.3">
      <c r="A25674" s="12"/>
    </row>
    <row r="25675" spans="1:1" x14ac:dyDescent="0.3">
      <c r="A25675" s="12"/>
    </row>
    <row r="25676" spans="1:1" x14ac:dyDescent="0.3">
      <c r="A25676" s="12"/>
    </row>
    <row r="25677" spans="1:1" x14ac:dyDescent="0.3">
      <c r="A25677" s="12"/>
    </row>
    <row r="25678" spans="1:1" x14ac:dyDescent="0.3">
      <c r="A25678" s="12"/>
    </row>
    <row r="25679" spans="1:1" x14ac:dyDescent="0.3">
      <c r="A25679" s="12"/>
    </row>
    <row r="25680" spans="1:1" x14ac:dyDescent="0.3">
      <c r="A25680" s="12"/>
    </row>
    <row r="25681" spans="1:1" x14ac:dyDescent="0.3">
      <c r="A25681" s="12"/>
    </row>
    <row r="25682" spans="1:1" x14ac:dyDescent="0.3">
      <c r="A25682" s="12"/>
    </row>
    <row r="25683" spans="1:1" x14ac:dyDescent="0.3">
      <c r="A25683" s="12"/>
    </row>
    <row r="25684" spans="1:1" x14ac:dyDescent="0.3">
      <c r="A25684" s="12"/>
    </row>
    <row r="25685" spans="1:1" x14ac:dyDescent="0.3">
      <c r="A25685" s="12"/>
    </row>
    <row r="25686" spans="1:1" x14ac:dyDescent="0.3">
      <c r="A25686" s="12"/>
    </row>
    <row r="25687" spans="1:1" x14ac:dyDescent="0.3">
      <c r="A25687" s="12"/>
    </row>
    <row r="25688" spans="1:1" x14ac:dyDescent="0.3">
      <c r="A25688" s="12"/>
    </row>
    <row r="25689" spans="1:1" x14ac:dyDescent="0.3">
      <c r="A25689" s="12"/>
    </row>
    <row r="25690" spans="1:1" x14ac:dyDescent="0.3">
      <c r="A25690" s="12"/>
    </row>
    <row r="25691" spans="1:1" x14ac:dyDescent="0.3">
      <c r="A25691" s="12"/>
    </row>
    <row r="25692" spans="1:1" x14ac:dyDescent="0.3">
      <c r="A25692" s="12"/>
    </row>
    <row r="25693" spans="1:1" x14ac:dyDescent="0.3">
      <c r="A25693" s="12"/>
    </row>
    <row r="25694" spans="1:1" x14ac:dyDescent="0.3">
      <c r="A25694" s="12"/>
    </row>
    <row r="25695" spans="1:1" x14ac:dyDescent="0.3">
      <c r="A25695" s="12"/>
    </row>
    <row r="25696" spans="1:1" x14ac:dyDescent="0.3">
      <c r="A25696" s="12"/>
    </row>
    <row r="25697" spans="1:1" x14ac:dyDescent="0.3">
      <c r="A25697" s="12"/>
    </row>
    <row r="25698" spans="1:1" x14ac:dyDescent="0.3">
      <c r="A25698" s="12"/>
    </row>
    <row r="25699" spans="1:1" x14ac:dyDescent="0.3">
      <c r="A25699" s="12"/>
    </row>
    <row r="25700" spans="1:1" x14ac:dyDescent="0.3">
      <c r="A25700" s="12"/>
    </row>
    <row r="25701" spans="1:1" x14ac:dyDescent="0.3">
      <c r="A25701" s="12"/>
    </row>
    <row r="25702" spans="1:1" x14ac:dyDescent="0.3">
      <c r="A25702" s="12"/>
    </row>
    <row r="25703" spans="1:1" x14ac:dyDescent="0.3">
      <c r="A25703" s="12"/>
    </row>
    <row r="25704" spans="1:1" x14ac:dyDescent="0.3">
      <c r="A25704" s="12"/>
    </row>
    <row r="25705" spans="1:1" x14ac:dyDescent="0.3">
      <c r="A25705" s="12"/>
    </row>
    <row r="25706" spans="1:1" x14ac:dyDescent="0.3">
      <c r="A25706" s="12"/>
    </row>
    <row r="25707" spans="1:1" x14ac:dyDescent="0.3">
      <c r="A25707" s="12"/>
    </row>
    <row r="25708" spans="1:1" x14ac:dyDescent="0.3">
      <c r="A25708" s="12"/>
    </row>
    <row r="25709" spans="1:1" x14ac:dyDescent="0.3">
      <c r="A25709" s="12"/>
    </row>
    <row r="25710" spans="1:1" x14ac:dyDescent="0.3">
      <c r="A25710" s="12"/>
    </row>
    <row r="25711" spans="1:1" x14ac:dyDescent="0.3">
      <c r="A25711" s="12"/>
    </row>
    <row r="25712" spans="1:1" x14ac:dyDescent="0.3">
      <c r="A25712" s="12"/>
    </row>
    <row r="25713" spans="1:1" x14ac:dyDescent="0.3">
      <c r="A25713" s="12"/>
    </row>
    <row r="25714" spans="1:1" x14ac:dyDescent="0.3">
      <c r="A25714" s="12"/>
    </row>
    <row r="25715" spans="1:1" x14ac:dyDescent="0.3">
      <c r="A25715" s="12"/>
    </row>
    <row r="25716" spans="1:1" x14ac:dyDescent="0.3">
      <c r="A25716" s="12"/>
    </row>
    <row r="25717" spans="1:1" x14ac:dyDescent="0.3">
      <c r="A25717" s="12"/>
    </row>
    <row r="25718" spans="1:1" x14ac:dyDescent="0.3">
      <c r="A25718" s="12"/>
    </row>
    <row r="25719" spans="1:1" x14ac:dyDescent="0.3">
      <c r="A25719" s="12"/>
    </row>
    <row r="25720" spans="1:1" x14ac:dyDescent="0.3">
      <c r="A25720" s="12"/>
    </row>
    <row r="25721" spans="1:1" x14ac:dyDescent="0.3">
      <c r="A25721" s="12"/>
    </row>
    <row r="25722" spans="1:1" x14ac:dyDescent="0.3">
      <c r="A25722" s="12"/>
    </row>
    <row r="25723" spans="1:1" x14ac:dyDescent="0.3">
      <c r="A25723" s="12"/>
    </row>
    <row r="25724" spans="1:1" x14ac:dyDescent="0.3">
      <c r="A25724" s="12"/>
    </row>
    <row r="25725" spans="1:1" x14ac:dyDescent="0.3">
      <c r="A25725" s="12"/>
    </row>
    <row r="25726" spans="1:1" x14ac:dyDescent="0.3">
      <c r="A25726" s="12"/>
    </row>
    <row r="25727" spans="1:1" x14ac:dyDescent="0.3">
      <c r="A25727" s="12"/>
    </row>
    <row r="25728" spans="1:1" x14ac:dyDescent="0.3">
      <c r="A25728" s="12"/>
    </row>
    <row r="25729" spans="1:1" x14ac:dyDescent="0.3">
      <c r="A25729" s="12"/>
    </row>
    <row r="25730" spans="1:1" x14ac:dyDescent="0.3">
      <c r="A25730" s="12"/>
    </row>
    <row r="25731" spans="1:1" x14ac:dyDescent="0.3">
      <c r="A25731" s="12"/>
    </row>
    <row r="25732" spans="1:1" x14ac:dyDescent="0.3">
      <c r="A25732" s="12"/>
    </row>
    <row r="25733" spans="1:1" x14ac:dyDescent="0.3">
      <c r="A25733" s="12"/>
    </row>
    <row r="25734" spans="1:1" x14ac:dyDescent="0.3">
      <c r="A25734" s="12"/>
    </row>
    <row r="25735" spans="1:1" x14ac:dyDescent="0.3">
      <c r="A25735" s="12"/>
    </row>
    <row r="25736" spans="1:1" x14ac:dyDescent="0.3">
      <c r="A25736" s="12"/>
    </row>
    <row r="25737" spans="1:1" x14ac:dyDescent="0.3">
      <c r="A25737" s="12"/>
    </row>
    <row r="25738" spans="1:1" x14ac:dyDescent="0.3">
      <c r="A25738" s="12"/>
    </row>
    <row r="25739" spans="1:1" x14ac:dyDescent="0.3">
      <c r="A25739" s="12"/>
    </row>
    <row r="25740" spans="1:1" x14ac:dyDescent="0.3">
      <c r="A25740" s="12"/>
    </row>
    <row r="25741" spans="1:1" x14ac:dyDescent="0.3">
      <c r="A25741" s="12"/>
    </row>
    <row r="25742" spans="1:1" x14ac:dyDescent="0.3">
      <c r="A25742" s="12"/>
    </row>
    <row r="25743" spans="1:1" x14ac:dyDescent="0.3">
      <c r="A25743" s="12"/>
    </row>
    <row r="25744" spans="1:1" x14ac:dyDescent="0.3">
      <c r="A25744" s="12"/>
    </row>
    <row r="25745" spans="1:1" x14ac:dyDescent="0.3">
      <c r="A25745" s="12"/>
    </row>
    <row r="25746" spans="1:1" x14ac:dyDescent="0.3">
      <c r="A25746" s="12"/>
    </row>
    <row r="25747" spans="1:1" x14ac:dyDescent="0.3">
      <c r="A25747" s="12"/>
    </row>
    <row r="25748" spans="1:1" x14ac:dyDescent="0.3">
      <c r="A25748" s="12"/>
    </row>
    <row r="25749" spans="1:1" x14ac:dyDescent="0.3">
      <c r="A25749" s="12"/>
    </row>
    <row r="25750" spans="1:1" x14ac:dyDescent="0.3">
      <c r="A25750" s="12"/>
    </row>
    <row r="25751" spans="1:1" x14ac:dyDescent="0.3">
      <c r="A25751" s="12"/>
    </row>
    <row r="25752" spans="1:1" x14ac:dyDescent="0.3">
      <c r="A25752" s="12"/>
    </row>
    <row r="25753" spans="1:1" x14ac:dyDescent="0.3">
      <c r="A25753" s="12"/>
    </row>
    <row r="25754" spans="1:1" x14ac:dyDescent="0.3">
      <c r="A25754" s="12"/>
    </row>
    <row r="25755" spans="1:1" x14ac:dyDescent="0.3">
      <c r="A25755" s="12"/>
    </row>
    <row r="25756" spans="1:1" x14ac:dyDescent="0.3">
      <c r="A25756" s="12"/>
    </row>
    <row r="25757" spans="1:1" x14ac:dyDescent="0.3">
      <c r="A25757" s="12"/>
    </row>
    <row r="25758" spans="1:1" x14ac:dyDescent="0.3">
      <c r="A25758" s="12"/>
    </row>
    <row r="25759" spans="1:1" x14ac:dyDescent="0.3">
      <c r="A25759" s="12"/>
    </row>
    <row r="25760" spans="1:1" x14ac:dyDescent="0.3">
      <c r="A25760" s="12"/>
    </row>
    <row r="25761" spans="1:1" x14ac:dyDescent="0.3">
      <c r="A25761" s="12"/>
    </row>
    <row r="25762" spans="1:1" x14ac:dyDescent="0.3">
      <c r="A25762" s="12"/>
    </row>
    <row r="25763" spans="1:1" x14ac:dyDescent="0.3">
      <c r="A25763" s="12"/>
    </row>
    <row r="25764" spans="1:1" x14ac:dyDescent="0.3">
      <c r="A25764" s="12"/>
    </row>
    <row r="25765" spans="1:1" x14ac:dyDescent="0.3">
      <c r="A25765" s="12"/>
    </row>
    <row r="25766" spans="1:1" x14ac:dyDescent="0.3">
      <c r="A25766" s="12"/>
    </row>
    <row r="25767" spans="1:1" x14ac:dyDescent="0.3">
      <c r="A25767" s="12"/>
    </row>
    <row r="25768" spans="1:1" x14ac:dyDescent="0.3">
      <c r="A25768" s="12"/>
    </row>
    <row r="25769" spans="1:1" x14ac:dyDescent="0.3">
      <c r="A25769" s="12"/>
    </row>
    <row r="25770" spans="1:1" x14ac:dyDescent="0.3">
      <c r="A25770" s="12"/>
    </row>
    <row r="25771" spans="1:1" x14ac:dyDescent="0.3">
      <c r="A25771" s="12"/>
    </row>
    <row r="25772" spans="1:1" x14ac:dyDescent="0.3">
      <c r="A25772" s="12"/>
    </row>
    <row r="25773" spans="1:1" x14ac:dyDescent="0.3">
      <c r="A25773" s="12"/>
    </row>
    <row r="25774" spans="1:1" x14ac:dyDescent="0.3">
      <c r="A25774" s="12"/>
    </row>
    <row r="25775" spans="1:1" x14ac:dyDescent="0.3">
      <c r="A25775" s="12"/>
    </row>
    <row r="25776" spans="1:1" x14ac:dyDescent="0.3">
      <c r="A25776" s="12"/>
    </row>
    <row r="25777" spans="1:1" x14ac:dyDescent="0.3">
      <c r="A25777" s="12"/>
    </row>
    <row r="25778" spans="1:1" x14ac:dyDescent="0.3">
      <c r="A25778" s="12"/>
    </row>
    <row r="25779" spans="1:1" x14ac:dyDescent="0.3">
      <c r="A25779" s="12"/>
    </row>
    <row r="25780" spans="1:1" x14ac:dyDescent="0.3">
      <c r="A25780" s="12"/>
    </row>
    <row r="25781" spans="1:1" x14ac:dyDescent="0.3">
      <c r="A25781" s="12"/>
    </row>
    <row r="25782" spans="1:1" x14ac:dyDescent="0.3">
      <c r="A25782" s="12"/>
    </row>
    <row r="25783" spans="1:1" x14ac:dyDescent="0.3">
      <c r="A25783" s="12"/>
    </row>
    <row r="25784" spans="1:1" x14ac:dyDescent="0.3">
      <c r="A25784" s="12"/>
    </row>
    <row r="25785" spans="1:1" x14ac:dyDescent="0.3">
      <c r="A25785" s="12"/>
    </row>
    <row r="25786" spans="1:1" x14ac:dyDescent="0.3">
      <c r="A25786" s="12"/>
    </row>
    <row r="25787" spans="1:1" x14ac:dyDescent="0.3">
      <c r="A25787" s="12"/>
    </row>
    <row r="25788" spans="1:1" x14ac:dyDescent="0.3">
      <c r="A25788" s="12"/>
    </row>
    <row r="25789" spans="1:1" x14ac:dyDescent="0.3">
      <c r="A25789" s="12"/>
    </row>
    <row r="25790" spans="1:1" x14ac:dyDescent="0.3">
      <c r="A25790" s="12"/>
    </row>
    <row r="25791" spans="1:1" x14ac:dyDescent="0.3">
      <c r="A25791" s="12"/>
    </row>
    <row r="25792" spans="1:1" x14ac:dyDescent="0.3">
      <c r="A25792" s="12"/>
    </row>
    <row r="25793" spans="1:1" x14ac:dyDescent="0.3">
      <c r="A25793" s="12"/>
    </row>
    <row r="25794" spans="1:1" x14ac:dyDescent="0.3">
      <c r="A25794" s="12"/>
    </row>
    <row r="25795" spans="1:1" x14ac:dyDescent="0.3">
      <c r="A25795" s="12"/>
    </row>
    <row r="25796" spans="1:1" x14ac:dyDescent="0.3">
      <c r="A25796" s="12"/>
    </row>
    <row r="25797" spans="1:1" x14ac:dyDescent="0.3">
      <c r="A25797" s="12"/>
    </row>
    <row r="25798" spans="1:1" x14ac:dyDescent="0.3">
      <c r="A25798" s="12"/>
    </row>
    <row r="25799" spans="1:1" x14ac:dyDescent="0.3">
      <c r="A25799" s="12"/>
    </row>
    <row r="25800" spans="1:1" x14ac:dyDescent="0.3">
      <c r="A25800" s="12"/>
    </row>
    <row r="25801" spans="1:1" x14ac:dyDescent="0.3">
      <c r="A25801" s="12"/>
    </row>
    <row r="25802" spans="1:1" x14ac:dyDescent="0.3">
      <c r="A25802" s="12"/>
    </row>
    <row r="25803" spans="1:1" x14ac:dyDescent="0.3">
      <c r="A25803" s="12"/>
    </row>
    <row r="25804" spans="1:1" x14ac:dyDescent="0.3">
      <c r="A25804" s="12"/>
    </row>
    <row r="25805" spans="1:1" x14ac:dyDescent="0.3">
      <c r="A25805" s="12"/>
    </row>
    <row r="25806" spans="1:1" x14ac:dyDescent="0.3">
      <c r="A25806" s="12"/>
    </row>
    <row r="25807" spans="1:1" x14ac:dyDescent="0.3">
      <c r="A25807" s="12"/>
    </row>
    <row r="25808" spans="1:1" x14ac:dyDescent="0.3">
      <c r="A25808" s="12"/>
    </row>
    <row r="25809" spans="1:1" x14ac:dyDescent="0.3">
      <c r="A25809" s="12"/>
    </row>
    <row r="25810" spans="1:1" x14ac:dyDescent="0.3">
      <c r="A25810" s="12"/>
    </row>
    <row r="25811" spans="1:1" x14ac:dyDescent="0.3">
      <c r="A25811" s="12"/>
    </row>
    <row r="25812" spans="1:1" x14ac:dyDescent="0.3">
      <c r="A25812" s="12"/>
    </row>
    <row r="25813" spans="1:1" x14ac:dyDescent="0.3">
      <c r="A25813" s="12"/>
    </row>
    <row r="25814" spans="1:1" x14ac:dyDescent="0.3">
      <c r="A25814" s="12"/>
    </row>
    <row r="25815" spans="1:1" x14ac:dyDescent="0.3">
      <c r="A25815" s="12"/>
    </row>
    <row r="25816" spans="1:1" x14ac:dyDescent="0.3">
      <c r="A25816" s="12"/>
    </row>
    <row r="25817" spans="1:1" x14ac:dyDescent="0.3">
      <c r="A25817" s="12"/>
    </row>
    <row r="25818" spans="1:1" x14ac:dyDescent="0.3">
      <c r="A25818" s="12"/>
    </row>
    <row r="25819" spans="1:1" x14ac:dyDescent="0.3">
      <c r="A25819" s="12"/>
    </row>
    <row r="25820" spans="1:1" x14ac:dyDescent="0.3">
      <c r="A25820" s="12"/>
    </row>
    <row r="25821" spans="1:1" x14ac:dyDescent="0.3">
      <c r="A25821" s="12"/>
    </row>
    <row r="25822" spans="1:1" x14ac:dyDescent="0.3">
      <c r="A25822" s="12"/>
    </row>
    <row r="25823" spans="1:1" x14ac:dyDescent="0.3">
      <c r="A25823" s="12"/>
    </row>
    <row r="25824" spans="1:1" x14ac:dyDescent="0.3">
      <c r="A25824" s="12"/>
    </row>
    <row r="25825" spans="1:1" x14ac:dyDescent="0.3">
      <c r="A25825" s="12"/>
    </row>
    <row r="25826" spans="1:1" x14ac:dyDescent="0.3">
      <c r="A25826" s="12"/>
    </row>
    <row r="25827" spans="1:1" x14ac:dyDescent="0.3">
      <c r="A25827" s="12"/>
    </row>
    <row r="25828" spans="1:1" x14ac:dyDescent="0.3">
      <c r="A25828" s="12"/>
    </row>
    <row r="25829" spans="1:1" x14ac:dyDescent="0.3">
      <c r="A25829" s="12"/>
    </row>
    <row r="25830" spans="1:1" x14ac:dyDescent="0.3">
      <c r="A25830" s="12"/>
    </row>
    <row r="25831" spans="1:1" x14ac:dyDescent="0.3">
      <c r="A25831" s="12"/>
    </row>
    <row r="25832" spans="1:1" x14ac:dyDescent="0.3">
      <c r="A25832" s="12"/>
    </row>
    <row r="25833" spans="1:1" x14ac:dyDescent="0.3">
      <c r="A25833" s="12"/>
    </row>
    <row r="25834" spans="1:1" x14ac:dyDescent="0.3">
      <c r="A25834" s="12"/>
    </row>
    <row r="25835" spans="1:1" x14ac:dyDescent="0.3">
      <c r="A25835" s="12"/>
    </row>
    <row r="25836" spans="1:1" x14ac:dyDescent="0.3">
      <c r="A25836" s="12"/>
    </row>
    <row r="25837" spans="1:1" x14ac:dyDescent="0.3">
      <c r="A25837" s="12"/>
    </row>
    <row r="25838" spans="1:1" x14ac:dyDescent="0.3">
      <c r="A25838" s="12"/>
    </row>
    <row r="25839" spans="1:1" x14ac:dyDescent="0.3">
      <c r="A25839" s="12"/>
    </row>
    <row r="25840" spans="1:1" x14ac:dyDescent="0.3">
      <c r="A25840" s="12"/>
    </row>
    <row r="25841" spans="1:1" x14ac:dyDescent="0.3">
      <c r="A25841" s="12"/>
    </row>
    <row r="25842" spans="1:1" x14ac:dyDescent="0.3">
      <c r="A25842" s="12"/>
    </row>
    <row r="25843" spans="1:1" x14ac:dyDescent="0.3">
      <c r="A25843" s="12"/>
    </row>
    <row r="25844" spans="1:1" x14ac:dyDescent="0.3">
      <c r="A25844" s="12"/>
    </row>
    <row r="25845" spans="1:1" x14ac:dyDescent="0.3">
      <c r="A25845" s="12"/>
    </row>
    <row r="25846" spans="1:1" x14ac:dyDescent="0.3">
      <c r="A25846" s="12"/>
    </row>
    <row r="25847" spans="1:1" x14ac:dyDescent="0.3">
      <c r="A25847" s="12"/>
    </row>
    <row r="25848" spans="1:1" x14ac:dyDescent="0.3">
      <c r="A25848" s="12"/>
    </row>
    <row r="25849" spans="1:1" x14ac:dyDescent="0.3">
      <c r="A25849" s="12"/>
    </row>
    <row r="25850" spans="1:1" x14ac:dyDescent="0.3">
      <c r="A25850" s="12"/>
    </row>
    <row r="25851" spans="1:1" x14ac:dyDescent="0.3">
      <c r="A25851" s="12"/>
    </row>
    <row r="25852" spans="1:1" x14ac:dyDescent="0.3">
      <c r="A25852" s="12"/>
    </row>
    <row r="25853" spans="1:1" x14ac:dyDescent="0.3">
      <c r="A25853" s="12"/>
    </row>
    <row r="25854" spans="1:1" x14ac:dyDescent="0.3">
      <c r="A25854" s="12"/>
    </row>
    <row r="25855" spans="1:1" x14ac:dyDescent="0.3">
      <c r="A25855" s="12"/>
    </row>
    <row r="25856" spans="1:1" x14ac:dyDescent="0.3">
      <c r="A25856" s="12"/>
    </row>
    <row r="25857" spans="1:1" x14ac:dyDescent="0.3">
      <c r="A25857" s="12"/>
    </row>
    <row r="25858" spans="1:1" x14ac:dyDescent="0.3">
      <c r="A25858" s="12"/>
    </row>
    <row r="25859" spans="1:1" x14ac:dyDescent="0.3">
      <c r="A25859" s="12"/>
    </row>
    <row r="25860" spans="1:1" x14ac:dyDescent="0.3">
      <c r="A25860" s="12"/>
    </row>
    <row r="25861" spans="1:1" x14ac:dyDescent="0.3">
      <c r="A25861" s="12"/>
    </row>
    <row r="25862" spans="1:1" x14ac:dyDescent="0.3">
      <c r="A25862" s="12"/>
    </row>
    <row r="25863" spans="1:1" x14ac:dyDescent="0.3">
      <c r="A25863" s="12"/>
    </row>
    <row r="25864" spans="1:1" x14ac:dyDescent="0.3">
      <c r="A25864" s="12"/>
    </row>
    <row r="25865" spans="1:1" x14ac:dyDescent="0.3">
      <c r="A25865" s="12"/>
    </row>
    <row r="25866" spans="1:1" x14ac:dyDescent="0.3">
      <c r="A25866" s="12"/>
    </row>
    <row r="25867" spans="1:1" x14ac:dyDescent="0.3">
      <c r="A25867" s="12"/>
    </row>
    <row r="25868" spans="1:1" x14ac:dyDescent="0.3">
      <c r="A25868" s="12"/>
    </row>
    <row r="25869" spans="1:1" x14ac:dyDescent="0.3">
      <c r="A25869" s="12"/>
    </row>
    <row r="25870" spans="1:1" x14ac:dyDescent="0.3">
      <c r="A25870" s="12"/>
    </row>
    <row r="25871" spans="1:1" x14ac:dyDescent="0.3">
      <c r="A25871" s="12"/>
    </row>
    <row r="25872" spans="1:1" x14ac:dyDescent="0.3">
      <c r="A25872" s="12"/>
    </row>
    <row r="25873" spans="1:1" x14ac:dyDescent="0.3">
      <c r="A25873" s="12"/>
    </row>
    <row r="25874" spans="1:1" x14ac:dyDescent="0.3">
      <c r="A25874" s="12"/>
    </row>
    <row r="25875" spans="1:1" x14ac:dyDescent="0.3">
      <c r="A25875" s="12"/>
    </row>
    <row r="25876" spans="1:1" x14ac:dyDescent="0.3">
      <c r="A25876" s="12"/>
    </row>
    <row r="25877" spans="1:1" x14ac:dyDescent="0.3">
      <c r="A25877" s="12"/>
    </row>
    <row r="25878" spans="1:1" x14ac:dyDescent="0.3">
      <c r="A25878" s="12"/>
    </row>
    <row r="25879" spans="1:1" x14ac:dyDescent="0.3">
      <c r="A25879" s="12"/>
    </row>
    <row r="25880" spans="1:1" x14ac:dyDescent="0.3">
      <c r="A25880" s="12"/>
    </row>
    <row r="25881" spans="1:1" x14ac:dyDescent="0.3">
      <c r="A25881" s="12"/>
    </row>
    <row r="25882" spans="1:1" x14ac:dyDescent="0.3">
      <c r="A25882" s="12"/>
    </row>
    <row r="25883" spans="1:1" x14ac:dyDescent="0.3">
      <c r="A25883" s="12"/>
    </row>
    <row r="25884" spans="1:1" x14ac:dyDescent="0.3">
      <c r="A25884" s="12"/>
    </row>
    <row r="25885" spans="1:1" x14ac:dyDescent="0.3">
      <c r="A25885" s="12"/>
    </row>
    <row r="25886" spans="1:1" x14ac:dyDescent="0.3">
      <c r="A25886" s="12"/>
    </row>
    <row r="25887" spans="1:1" x14ac:dyDescent="0.3">
      <c r="A25887" s="12"/>
    </row>
    <row r="25888" spans="1:1" x14ac:dyDescent="0.3">
      <c r="A25888" s="12"/>
    </row>
    <row r="25889" spans="1:1" x14ac:dyDescent="0.3">
      <c r="A25889" s="12"/>
    </row>
    <row r="25890" spans="1:1" x14ac:dyDescent="0.3">
      <c r="A25890" s="12"/>
    </row>
    <row r="25891" spans="1:1" x14ac:dyDescent="0.3">
      <c r="A25891" s="12"/>
    </row>
    <row r="25892" spans="1:1" x14ac:dyDescent="0.3">
      <c r="A25892" s="12"/>
    </row>
    <row r="25893" spans="1:1" x14ac:dyDescent="0.3">
      <c r="A25893" s="12"/>
    </row>
    <row r="25894" spans="1:1" x14ac:dyDescent="0.3">
      <c r="A25894" s="12"/>
    </row>
    <row r="25895" spans="1:1" x14ac:dyDescent="0.3">
      <c r="A25895" s="12"/>
    </row>
    <row r="25896" spans="1:1" x14ac:dyDescent="0.3">
      <c r="A25896" s="12"/>
    </row>
    <row r="25897" spans="1:1" x14ac:dyDescent="0.3">
      <c r="A25897" s="12"/>
    </row>
    <row r="25898" spans="1:1" x14ac:dyDescent="0.3">
      <c r="A25898" s="12"/>
    </row>
    <row r="25899" spans="1:1" x14ac:dyDescent="0.3">
      <c r="A25899" s="12"/>
    </row>
    <row r="25900" spans="1:1" x14ac:dyDescent="0.3">
      <c r="A25900" s="12"/>
    </row>
    <row r="25901" spans="1:1" x14ac:dyDescent="0.3">
      <c r="A25901" s="12"/>
    </row>
    <row r="25902" spans="1:1" x14ac:dyDescent="0.3">
      <c r="A25902" s="12"/>
    </row>
    <row r="25903" spans="1:1" x14ac:dyDescent="0.3">
      <c r="A25903" s="12"/>
    </row>
    <row r="25904" spans="1:1" x14ac:dyDescent="0.3">
      <c r="A25904" s="12"/>
    </row>
    <row r="25905" spans="1:1" x14ac:dyDescent="0.3">
      <c r="A25905" s="12"/>
    </row>
    <row r="25906" spans="1:1" x14ac:dyDescent="0.3">
      <c r="A25906" s="12"/>
    </row>
    <row r="25907" spans="1:1" x14ac:dyDescent="0.3">
      <c r="A25907" s="12"/>
    </row>
    <row r="25908" spans="1:1" x14ac:dyDescent="0.3">
      <c r="A25908" s="12"/>
    </row>
    <row r="25909" spans="1:1" x14ac:dyDescent="0.3">
      <c r="A25909" s="12"/>
    </row>
    <row r="25910" spans="1:1" x14ac:dyDescent="0.3">
      <c r="A25910" s="12"/>
    </row>
    <row r="25911" spans="1:1" x14ac:dyDescent="0.3">
      <c r="A25911" s="12"/>
    </row>
    <row r="25912" spans="1:1" x14ac:dyDescent="0.3">
      <c r="A25912" s="12"/>
    </row>
    <row r="25913" spans="1:1" x14ac:dyDescent="0.3">
      <c r="A25913" s="12"/>
    </row>
    <row r="25914" spans="1:1" x14ac:dyDescent="0.3">
      <c r="A25914" s="12"/>
    </row>
    <row r="25915" spans="1:1" x14ac:dyDescent="0.3">
      <c r="A25915" s="12"/>
    </row>
    <row r="25916" spans="1:1" x14ac:dyDescent="0.3">
      <c r="A25916" s="12"/>
    </row>
    <row r="25917" spans="1:1" x14ac:dyDescent="0.3">
      <c r="A25917" s="12"/>
    </row>
    <row r="25918" spans="1:1" x14ac:dyDescent="0.3">
      <c r="A25918" s="12"/>
    </row>
    <row r="25919" spans="1:1" x14ac:dyDescent="0.3">
      <c r="A25919" s="12"/>
    </row>
    <row r="25920" spans="1:1" x14ac:dyDescent="0.3">
      <c r="A25920" s="12"/>
    </row>
    <row r="25921" spans="1:1" x14ac:dyDescent="0.3">
      <c r="A25921" s="12"/>
    </row>
    <row r="25922" spans="1:1" x14ac:dyDescent="0.3">
      <c r="A25922" s="12"/>
    </row>
    <row r="25923" spans="1:1" x14ac:dyDescent="0.3">
      <c r="A25923" s="12"/>
    </row>
    <row r="25924" spans="1:1" x14ac:dyDescent="0.3">
      <c r="A25924" s="12"/>
    </row>
    <row r="25925" spans="1:1" x14ac:dyDescent="0.3">
      <c r="A25925" s="12"/>
    </row>
    <row r="25926" spans="1:1" x14ac:dyDescent="0.3">
      <c r="A25926" s="12"/>
    </row>
    <row r="25927" spans="1:1" x14ac:dyDescent="0.3">
      <c r="A25927" s="12"/>
    </row>
    <row r="25928" spans="1:1" x14ac:dyDescent="0.3">
      <c r="A25928" s="12"/>
    </row>
    <row r="25929" spans="1:1" x14ac:dyDescent="0.3">
      <c r="A25929" s="12"/>
    </row>
    <row r="25930" spans="1:1" x14ac:dyDescent="0.3">
      <c r="A25930" s="12"/>
    </row>
    <row r="25931" spans="1:1" x14ac:dyDescent="0.3">
      <c r="A25931" s="12"/>
    </row>
    <row r="25932" spans="1:1" x14ac:dyDescent="0.3">
      <c r="A25932" s="12"/>
    </row>
    <row r="25933" spans="1:1" x14ac:dyDescent="0.3">
      <c r="A25933" s="12"/>
    </row>
    <row r="25934" spans="1:1" x14ac:dyDescent="0.3">
      <c r="A25934" s="12"/>
    </row>
    <row r="25935" spans="1:1" x14ac:dyDescent="0.3">
      <c r="A25935" s="12"/>
    </row>
    <row r="25936" spans="1:1" x14ac:dyDescent="0.3">
      <c r="A25936" s="12"/>
    </row>
    <row r="25937" spans="1:1" x14ac:dyDescent="0.3">
      <c r="A25937" s="12"/>
    </row>
    <row r="25938" spans="1:1" x14ac:dyDescent="0.3">
      <c r="A25938" s="12"/>
    </row>
    <row r="25939" spans="1:1" x14ac:dyDescent="0.3">
      <c r="A25939" s="12"/>
    </row>
    <row r="25940" spans="1:1" x14ac:dyDescent="0.3">
      <c r="A25940" s="12"/>
    </row>
    <row r="25941" spans="1:1" x14ac:dyDescent="0.3">
      <c r="A25941" s="12"/>
    </row>
    <row r="25942" spans="1:1" x14ac:dyDescent="0.3">
      <c r="A25942" s="12"/>
    </row>
    <row r="25943" spans="1:1" x14ac:dyDescent="0.3">
      <c r="A25943" s="12"/>
    </row>
    <row r="25944" spans="1:1" x14ac:dyDescent="0.3">
      <c r="A25944" s="12"/>
    </row>
    <row r="25945" spans="1:1" x14ac:dyDescent="0.3">
      <c r="A25945" s="12"/>
    </row>
    <row r="25946" spans="1:1" x14ac:dyDescent="0.3">
      <c r="A25946" s="12"/>
    </row>
    <row r="25947" spans="1:1" x14ac:dyDescent="0.3">
      <c r="A25947" s="12"/>
    </row>
    <row r="25948" spans="1:1" x14ac:dyDescent="0.3">
      <c r="A25948" s="12"/>
    </row>
    <row r="25949" spans="1:1" x14ac:dyDescent="0.3">
      <c r="A25949" s="12"/>
    </row>
    <row r="25950" spans="1:1" x14ac:dyDescent="0.3">
      <c r="A25950" s="12"/>
    </row>
    <row r="25951" spans="1:1" x14ac:dyDescent="0.3">
      <c r="A25951" s="12"/>
    </row>
    <row r="25952" spans="1:1" x14ac:dyDescent="0.3">
      <c r="A25952" s="12"/>
    </row>
    <row r="25953" spans="1:1" x14ac:dyDescent="0.3">
      <c r="A25953" s="12"/>
    </row>
    <row r="25954" spans="1:1" x14ac:dyDescent="0.3">
      <c r="A25954" s="12"/>
    </row>
    <row r="25955" spans="1:1" x14ac:dyDescent="0.3">
      <c r="A25955" s="12"/>
    </row>
    <row r="25956" spans="1:1" x14ac:dyDescent="0.3">
      <c r="A25956" s="12"/>
    </row>
    <row r="25957" spans="1:1" x14ac:dyDescent="0.3">
      <c r="A25957" s="12"/>
    </row>
    <row r="25958" spans="1:1" x14ac:dyDescent="0.3">
      <c r="A25958" s="12"/>
    </row>
    <row r="25959" spans="1:1" x14ac:dyDescent="0.3">
      <c r="A25959" s="12"/>
    </row>
    <row r="25960" spans="1:1" x14ac:dyDescent="0.3">
      <c r="A25960" s="12"/>
    </row>
    <row r="25961" spans="1:1" x14ac:dyDescent="0.3">
      <c r="A25961" s="12"/>
    </row>
    <row r="25962" spans="1:1" x14ac:dyDescent="0.3">
      <c r="A25962" s="12"/>
    </row>
    <row r="25963" spans="1:1" x14ac:dyDescent="0.3">
      <c r="A25963" s="12"/>
    </row>
    <row r="25964" spans="1:1" x14ac:dyDescent="0.3">
      <c r="A25964" s="12"/>
    </row>
    <row r="25965" spans="1:1" x14ac:dyDescent="0.3">
      <c r="A25965" s="12"/>
    </row>
    <row r="25966" spans="1:1" x14ac:dyDescent="0.3">
      <c r="A25966" s="12"/>
    </row>
    <row r="25967" spans="1:1" x14ac:dyDescent="0.3">
      <c r="A25967" s="12"/>
    </row>
    <row r="25968" spans="1:1" x14ac:dyDescent="0.3">
      <c r="A25968" s="12"/>
    </row>
    <row r="25969" spans="1:1" x14ac:dyDescent="0.3">
      <c r="A25969" s="12"/>
    </row>
    <row r="25970" spans="1:1" x14ac:dyDescent="0.3">
      <c r="A25970" s="12"/>
    </row>
    <row r="25971" spans="1:1" x14ac:dyDescent="0.3">
      <c r="A25971" s="12"/>
    </row>
    <row r="25972" spans="1:1" x14ac:dyDescent="0.3">
      <c r="A25972" s="12"/>
    </row>
    <row r="25973" spans="1:1" x14ac:dyDescent="0.3">
      <c r="A25973" s="12"/>
    </row>
    <row r="25974" spans="1:1" x14ac:dyDescent="0.3">
      <c r="A25974" s="12"/>
    </row>
    <row r="25975" spans="1:1" x14ac:dyDescent="0.3">
      <c r="A25975" s="12"/>
    </row>
    <row r="25976" spans="1:1" x14ac:dyDescent="0.3">
      <c r="A25976" s="12"/>
    </row>
    <row r="25977" spans="1:1" x14ac:dyDescent="0.3">
      <c r="A25977" s="12"/>
    </row>
    <row r="25978" spans="1:1" x14ac:dyDescent="0.3">
      <c r="A25978" s="12"/>
    </row>
    <row r="25979" spans="1:1" x14ac:dyDescent="0.3">
      <c r="A25979" s="12"/>
    </row>
    <row r="25980" spans="1:1" x14ac:dyDescent="0.3">
      <c r="A25980" s="12"/>
    </row>
    <row r="25981" spans="1:1" x14ac:dyDescent="0.3">
      <c r="A25981" s="12"/>
    </row>
    <row r="25982" spans="1:1" x14ac:dyDescent="0.3">
      <c r="A25982" s="12"/>
    </row>
    <row r="25983" spans="1:1" x14ac:dyDescent="0.3">
      <c r="A25983" s="12"/>
    </row>
    <row r="25984" spans="1:1" x14ac:dyDescent="0.3">
      <c r="A25984" s="12"/>
    </row>
    <row r="25985" spans="1:1" x14ac:dyDescent="0.3">
      <c r="A25985" s="12"/>
    </row>
    <row r="25986" spans="1:1" x14ac:dyDescent="0.3">
      <c r="A25986" s="12"/>
    </row>
    <row r="25987" spans="1:1" x14ac:dyDescent="0.3">
      <c r="A25987" s="12"/>
    </row>
    <row r="25988" spans="1:1" x14ac:dyDescent="0.3">
      <c r="A25988" s="12"/>
    </row>
    <row r="25989" spans="1:1" x14ac:dyDescent="0.3">
      <c r="A25989" s="12"/>
    </row>
    <row r="25990" spans="1:1" x14ac:dyDescent="0.3">
      <c r="A25990" s="12"/>
    </row>
    <row r="25991" spans="1:1" x14ac:dyDescent="0.3">
      <c r="A25991" s="12"/>
    </row>
    <row r="25992" spans="1:1" x14ac:dyDescent="0.3">
      <c r="A25992" s="12"/>
    </row>
    <row r="25993" spans="1:1" x14ac:dyDescent="0.3">
      <c r="A25993" s="12"/>
    </row>
    <row r="25994" spans="1:1" x14ac:dyDescent="0.3">
      <c r="A25994" s="12"/>
    </row>
    <row r="25995" spans="1:1" x14ac:dyDescent="0.3">
      <c r="A25995" s="12"/>
    </row>
    <row r="25996" spans="1:1" x14ac:dyDescent="0.3">
      <c r="A25996" s="12"/>
    </row>
    <row r="25997" spans="1:1" x14ac:dyDescent="0.3">
      <c r="A25997" s="12"/>
    </row>
    <row r="25998" spans="1:1" x14ac:dyDescent="0.3">
      <c r="A25998" s="12"/>
    </row>
    <row r="25999" spans="1:1" x14ac:dyDescent="0.3">
      <c r="A25999" s="12"/>
    </row>
    <row r="26000" spans="1:1" x14ac:dyDescent="0.3">
      <c r="A26000" s="12"/>
    </row>
    <row r="26001" spans="1:1" x14ac:dyDescent="0.3">
      <c r="A26001" s="12"/>
    </row>
    <row r="26002" spans="1:1" x14ac:dyDescent="0.3">
      <c r="A26002" s="12"/>
    </row>
    <row r="26003" spans="1:1" x14ac:dyDescent="0.3">
      <c r="A26003" s="12"/>
    </row>
    <row r="26004" spans="1:1" x14ac:dyDescent="0.3">
      <c r="A26004" s="12"/>
    </row>
    <row r="26005" spans="1:1" x14ac:dyDescent="0.3">
      <c r="A26005" s="12"/>
    </row>
    <row r="26006" spans="1:1" x14ac:dyDescent="0.3">
      <c r="A26006" s="12"/>
    </row>
    <row r="26007" spans="1:1" x14ac:dyDescent="0.3">
      <c r="A26007" s="12"/>
    </row>
    <row r="26008" spans="1:1" x14ac:dyDescent="0.3">
      <c r="A26008" s="12"/>
    </row>
    <row r="26009" spans="1:1" x14ac:dyDescent="0.3">
      <c r="A26009" s="12"/>
    </row>
    <row r="26010" spans="1:1" x14ac:dyDescent="0.3">
      <c r="A26010" s="12"/>
    </row>
    <row r="26011" spans="1:1" x14ac:dyDescent="0.3">
      <c r="A26011" s="12"/>
    </row>
    <row r="26012" spans="1:1" x14ac:dyDescent="0.3">
      <c r="A26012" s="12"/>
    </row>
    <row r="26013" spans="1:1" x14ac:dyDescent="0.3">
      <c r="A26013" s="12"/>
    </row>
    <row r="26014" spans="1:1" x14ac:dyDescent="0.3">
      <c r="A26014" s="12"/>
    </row>
    <row r="26015" spans="1:1" x14ac:dyDescent="0.3">
      <c r="A26015" s="12"/>
    </row>
    <row r="26016" spans="1:1" x14ac:dyDescent="0.3">
      <c r="A26016" s="12"/>
    </row>
    <row r="26017" spans="1:1" x14ac:dyDescent="0.3">
      <c r="A26017" s="12"/>
    </row>
    <row r="26018" spans="1:1" x14ac:dyDescent="0.3">
      <c r="A26018" s="12"/>
    </row>
    <row r="26019" spans="1:1" x14ac:dyDescent="0.3">
      <c r="A26019" s="12"/>
    </row>
    <row r="26020" spans="1:1" x14ac:dyDescent="0.3">
      <c r="A26020" s="12"/>
    </row>
    <row r="26021" spans="1:1" x14ac:dyDescent="0.3">
      <c r="A26021" s="12"/>
    </row>
    <row r="26022" spans="1:1" x14ac:dyDescent="0.3">
      <c r="A26022" s="12"/>
    </row>
    <row r="26023" spans="1:1" x14ac:dyDescent="0.3">
      <c r="A26023" s="12"/>
    </row>
    <row r="26024" spans="1:1" x14ac:dyDescent="0.3">
      <c r="A26024" s="12"/>
    </row>
    <row r="26025" spans="1:1" x14ac:dyDescent="0.3">
      <c r="A26025" s="12"/>
    </row>
    <row r="26026" spans="1:1" x14ac:dyDescent="0.3">
      <c r="A26026" s="12"/>
    </row>
    <row r="26027" spans="1:1" x14ac:dyDescent="0.3">
      <c r="A26027" s="12"/>
    </row>
    <row r="26028" spans="1:1" x14ac:dyDescent="0.3">
      <c r="A26028" s="12"/>
    </row>
    <row r="26029" spans="1:1" x14ac:dyDescent="0.3">
      <c r="A26029" s="12"/>
    </row>
    <row r="26030" spans="1:1" x14ac:dyDescent="0.3">
      <c r="A26030" s="12"/>
    </row>
    <row r="26031" spans="1:1" x14ac:dyDescent="0.3">
      <c r="A26031" s="12"/>
    </row>
    <row r="26032" spans="1:1" x14ac:dyDescent="0.3">
      <c r="A26032" s="12"/>
    </row>
    <row r="26033" spans="1:1" x14ac:dyDescent="0.3">
      <c r="A26033" s="12"/>
    </row>
    <row r="26034" spans="1:1" x14ac:dyDescent="0.3">
      <c r="A26034" s="12"/>
    </row>
    <row r="26035" spans="1:1" x14ac:dyDescent="0.3">
      <c r="A26035" s="12"/>
    </row>
    <row r="26036" spans="1:1" x14ac:dyDescent="0.3">
      <c r="A26036" s="12"/>
    </row>
    <row r="26037" spans="1:1" x14ac:dyDescent="0.3">
      <c r="A26037" s="12"/>
    </row>
    <row r="26038" spans="1:1" x14ac:dyDescent="0.3">
      <c r="A26038" s="12"/>
    </row>
    <row r="26039" spans="1:1" x14ac:dyDescent="0.3">
      <c r="A26039" s="12"/>
    </row>
    <row r="26040" spans="1:1" x14ac:dyDescent="0.3">
      <c r="A26040" s="12"/>
    </row>
    <row r="26041" spans="1:1" x14ac:dyDescent="0.3">
      <c r="A26041" s="12"/>
    </row>
    <row r="26042" spans="1:1" x14ac:dyDescent="0.3">
      <c r="A26042" s="12"/>
    </row>
    <row r="26043" spans="1:1" x14ac:dyDescent="0.3">
      <c r="A26043" s="12"/>
    </row>
    <row r="26044" spans="1:1" x14ac:dyDescent="0.3">
      <c r="A26044" s="12"/>
    </row>
    <row r="26045" spans="1:1" x14ac:dyDescent="0.3">
      <c r="A26045" s="12"/>
    </row>
    <row r="26046" spans="1:1" x14ac:dyDescent="0.3">
      <c r="A26046" s="12"/>
    </row>
    <row r="26047" spans="1:1" x14ac:dyDescent="0.3">
      <c r="A26047" s="12"/>
    </row>
    <row r="26048" spans="1:1" x14ac:dyDescent="0.3">
      <c r="A26048" s="12"/>
    </row>
    <row r="26049" spans="1:1" x14ac:dyDescent="0.3">
      <c r="A26049" s="12"/>
    </row>
    <row r="26050" spans="1:1" x14ac:dyDescent="0.3">
      <c r="A26050" s="12"/>
    </row>
    <row r="26051" spans="1:1" x14ac:dyDescent="0.3">
      <c r="A26051" s="12"/>
    </row>
    <row r="26052" spans="1:1" x14ac:dyDescent="0.3">
      <c r="A26052" s="12"/>
    </row>
    <row r="26053" spans="1:1" x14ac:dyDescent="0.3">
      <c r="A26053" s="12"/>
    </row>
    <row r="26054" spans="1:1" x14ac:dyDescent="0.3">
      <c r="A26054" s="12"/>
    </row>
    <row r="26055" spans="1:1" x14ac:dyDescent="0.3">
      <c r="A26055" s="12"/>
    </row>
    <row r="26056" spans="1:1" x14ac:dyDescent="0.3">
      <c r="A26056" s="12"/>
    </row>
    <row r="26057" spans="1:1" x14ac:dyDescent="0.3">
      <c r="A26057" s="12"/>
    </row>
    <row r="26058" spans="1:1" x14ac:dyDescent="0.3">
      <c r="A26058" s="12"/>
    </row>
    <row r="26059" spans="1:1" x14ac:dyDescent="0.3">
      <c r="A26059" s="12"/>
    </row>
    <row r="26060" spans="1:1" x14ac:dyDescent="0.3">
      <c r="A26060" s="12"/>
    </row>
    <row r="26061" spans="1:1" x14ac:dyDescent="0.3">
      <c r="A26061" s="12"/>
    </row>
    <row r="26062" spans="1:1" x14ac:dyDescent="0.3">
      <c r="A26062" s="12"/>
    </row>
    <row r="26063" spans="1:1" x14ac:dyDescent="0.3">
      <c r="A26063" s="12"/>
    </row>
    <row r="26064" spans="1:1" x14ac:dyDescent="0.3">
      <c r="A26064" s="12"/>
    </row>
    <row r="26065" spans="1:1" x14ac:dyDescent="0.3">
      <c r="A26065" s="12"/>
    </row>
    <row r="26066" spans="1:1" x14ac:dyDescent="0.3">
      <c r="A26066" s="12"/>
    </row>
    <row r="26067" spans="1:1" x14ac:dyDescent="0.3">
      <c r="A26067" s="12"/>
    </row>
    <row r="26068" spans="1:1" x14ac:dyDescent="0.3">
      <c r="A26068" s="12"/>
    </row>
    <row r="26069" spans="1:1" x14ac:dyDescent="0.3">
      <c r="A26069" s="12"/>
    </row>
    <row r="26070" spans="1:1" x14ac:dyDescent="0.3">
      <c r="A26070" s="12"/>
    </row>
    <row r="26071" spans="1:1" x14ac:dyDescent="0.3">
      <c r="A26071" s="12"/>
    </row>
    <row r="26072" spans="1:1" x14ac:dyDescent="0.3">
      <c r="A26072" s="12"/>
    </row>
    <row r="26073" spans="1:1" x14ac:dyDescent="0.3">
      <c r="A26073" s="12"/>
    </row>
    <row r="26074" spans="1:1" x14ac:dyDescent="0.3">
      <c r="A26074" s="12"/>
    </row>
    <row r="26075" spans="1:1" x14ac:dyDescent="0.3">
      <c r="A26075" s="12"/>
    </row>
    <row r="26076" spans="1:1" x14ac:dyDescent="0.3">
      <c r="A26076" s="12"/>
    </row>
    <row r="26077" spans="1:1" x14ac:dyDescent="0.3">
      <c r="A26077" s="12"/>
    </row>
    <row r="26078" spans="1:1" x14ac:dyDescent="0.3">
      <c r="A26078" s="12"/>
    </row>
    <row r="26079" spans="1:1" x14ac:dyDescent="0.3">
      <c r="A26079" s="12"/>
    </row>
    <row r="26080" spans="1:1" x14ac:dyDescent="0.3">
      <c r="A26080" s="12"/>
    </row>
    <row r="26081" spans="1:1" x14ac:dyDescent="0.3">
      <c r="A26081" s="12"/>
    </row>
    <row r="26082" spans="1:1" x14ac:dyDescent="0.3">
      <c r="A26082" s="12"/>
    </row>
    <row r="26083" spans="1:1" x14ac:dyDescent="0.3">
      <c r="A26083" s="12"/>
    </row>
    <row r="26084" spans="1:1" x14ac:dyDescent="0.3">
      <c r="A26084" s="12"/>
    </row>
    <row r="26085" spans="1:1" x14ac:dyDescent="0.3">
      <c r="A26085" s="12"/>
    </row>
    <row r="26086" spans="1:1" x14ac:dyDescent="0.3">
      <c r="A26086" s="12"/>
    </row>
    <row r="26087" spans="1:1" x14ac:dyDescent="0.3">
      <c r="A26087" s="12"/>
    </row>
    <row r="26088" spans="1:1" x14ac:dyDescent="0.3">
      <c r="A26088" s="12"/>
    </row>
    <row r="26089" spans="1:1" x14ac:dyDescent="0.3">
      <c r="A26089" s="12"/>
    </row>
    <row r="26090" spans="1:1" x14ac:dyDescent="0.3">
      <c r="A26090" s="12"/>
    </row>
    <row r="26091" spans="1:1" x14ac:dyDescent="0.3">
      <c r="A26091" s="12"/>
    </row>
    <row r="26092" spans="1:1" x14ac:dyDescent="0.3">
      <c r="A26092" s="12"/>
    </row>
    <row r="26093" spans="1:1" x14ac:dyDescent="0.3">
      <c r="A26093" s="12"/>
    </row>
    <row r="26094" spans="1:1" x14ac:dyDescent="0.3">
      <c r="A26094" s="12"/>
    </row>
    <row r="26095" spans="1:1" x14ac:dyDescent="0.3">
      <c r="A26095" s="12"/>
    </row>
    <row r="26096" spans="1:1" x14ac:dyDescent="0.3">
      <c r="A26096" s="12"/>
    </row>
    <row r="26097" spans="1:1" x14ac:dyDescent="0.3">
      <c r="A26097" s="12"/>
    </row>
    <row r="26098" spans="1:1" x14ac:dyDescent="0.3">
      <c r="A26098" s="12"/>
    </row>
    <row r="26099" spans="1:1" x14ac:dyDescent="0.3">
      <c r="A26099" s="12"/>
    </row>
    <row r="26100" spans="1:1" x14ac:dyDescent="0.3">
      <c r="A26100" s="12"/>
    </row>
    <row r="26101" spans="1:1" x14ac:dyDescent="0.3">
      <c r="A26101" s="12"/>
    </row>
    <row r="26102" spans="1:1" x14ac:dyDescent="0.3">
      <c r="A26102" s="12"/>
    </row>
    <row r="26103" spans="1:1" x14ac:dyDescent="0.3">
      <c r="A26103" s="12"/>
    </row>
    <row r="26104" spans="1:1" x14ac:dyDescent="0.3">
      <c r="A26104" s="12"/>
    </row>
    <row r="26105" spans="1:1" x14ac:dyDescent="0.3">
      <c r="A26105" s="12"/>
    </row>
    <row r="26106" spans="1:1" x14ac:dyDescent="0.3">
      <c r="A26106" s="12"/>
    </row>
    <row r="26107" spans="1:1" x14ac:dyDescent="0.3">
      <c r="A26107" s="12"/>
    </row>
    <row r="26108" spans="1:1" x14ac:dyDescent="0.3">
      <c r="A26108" s="12"/>
    </row>
    <row r="26109" spans="1:1" x14ac:dyDescent="0.3">
      <c r="A26109" s="12"/>
    </row>
    <row r="26110" spans="1:1" x14ac:dyDescent="0.3">
      <c r="A26110" s="12"/>
    </row>
    <row r="26111" spans="1:1" x14ac:dyDescent="0.3">
      <c r="A26111" s="12"/>
    </row>
    <row r="26112" spans="1:1" x14ac:dyDescent="0.3">
      <c r="A26112" s="12"/>
    </row>
    <row r="26113" spans="1:1" x14ac:dyDescent="0.3">
      <c r="A26113" s="12"/>
    </row>
    <row r="26114" spans="1:1" x14ac:dyDescent="0.3">
      <c r="A26114" s="12"/>
    </row>
    <row r="26115" spans="1:1" x14ac:dyDescent="0.3">
      <c r="A26115" s="12"/>
    </row>
    <row r="26116" spans="1:1" x14ac:dyDescent="0.3">
      <c r="A26116" s="12"/>
    </row>
    <row r="26117" spans="1:1" x14ac:dyDescent="0.3">
      <c r="A26117" s="12"/>
    </row>
    <row r="26118" spans="1:1" x14ac:dyDescent="0.3">
      <c r="A26118" s="12"/>
    </row>
    <row r="26119" spans="1:1" x14ac:dyDescent="0.3">
      <c r="A26119" s="12"/>
    </row>
    <row r="26120" spans="1:1" x14ac:dyDescent="0.3">
      <c r="A26120" s="12"/>
    </row>
    <row r="26121" spans="1:1" x14ac:dyDescent="0.3">
      <c r="A26121" s="12"/>
    </row>
    <row r="26122" spans="1:1" x14ac:dyDescent="0.3">
      <c r="A26122" s="12"/>
    </row>
    <row r="26123" spans="1:1" x14ac:dyDescent="0.3">
      <c r="A26123" s="12"/>
    </row>
    <row r="26124" spans="1:1" x14ac:dyDescent="0.3">
      <c r="A26124" s="12"/>
    </row>
    <row r="26125" spans="1:1" x14ac:dyDescent="0.3">
      <c r="A26125" s="12"/>
    </row>
    <row r="26126" spans="1:1" x14ac:dyDescent="0.3">
      <c r="A26126" s="12"/>
    </row>
    <row r="26127" spans="1:1" x14ac:dyDescent="0.3">
      <c r="A26127" s="12"/>
    </row>
    <row r="26128" spans="1:1" x14ac:dyDescent="0.3">
      <c r="A26128" s="12"/>
    </row>
    <row r="26129" spans="1:1" x14ac:dyDescent="0.3">
      <c r="A26129" s="12"/>
    </row>
    <row r="26130" spans="1:1" x14ac:dyDescent="0.3">
      <c r="A26130" s="12"/>
    </row>
    <row r="26131" spans="1:1" x14ac:dyDescent="0.3">
      <c r="A26131" s="12"/>
    </row>
    <row r="26132" spans="1:1" x14ac:dyDescent="0.3">
      <c r="A26132" s="12"/>
    </row>
    <row r="26133" spans="1:1" x14ac:dyDescent="0.3">
      <c r="A26133" s="12"/>
    </row>
    <row r="26134" spans="1:1" x14ac:dyDescent="0.3">
      <c r="A26134" s="12"/>
    </row>
    <row r="26135" spans="1:1" x14ac:dyDescent="0.3">
      <c r="A26135" s="12"/>
    </row>
    <row r="26136" spans="1:1" x14ac:dyDescent="0.3">
      <c r="A26136" s="12"/>
    </row>
    <row r="26137" spans="1:1" x14ac:dyDescent="0.3">
      <c r="A26137" s="12"/>
    </row>
    <row r="26138" spans="1:1" x14ac:dyDescent="0.3">
      <c r="A26138" s="12"/>
    </row>
    <row r="26139" spans="1:1" x14ac:dyDescent="0.3">
      <c r="A26139" s="12"/>
    </row>
    <row r="26140" spans="1:1" x14ac:dyDescent="0.3">
      <c r="A26140" s="12"/>
    </row>
    <row r="26141" spans="1:1" x14ac:dyDescent="0.3">
      <c r="A26141" s="12"/>
    </row>
    <row r="26142" spans="1:1" x14ac:dyDescent="0.3">
      <c r="A26142" s="12"/>
    </row>
    <row r="26143" spans="1:1" x14ac:dyDescent="0.3">
      <c r="A26143" s="12"/>
    </row>
    <row r="26144" spans="1:1" x14ac:dyDescent="0.3">
      <c r="A26144" s="12"/>
    </row>
    <row r="26145" spans="1:1" x14ac:dyDescent="0.3">
      <c r="A26145" s="12"/>
    </row>
    <row r="26146" spans="1:1" x14ac:dyDescent="0.3">
      <c r="A26146" s="12"/>
    </row>
    <row r="26147" spans="1:1" x14ac:dyDescent="0.3">
      <c r="A26147" s="12"/>
    </row>
    <row r="26148" spans="1:1" x14ac:dyDescent="0.3">
      <c r="A26148" s="12"/>
    </row>
    <row r="26149" spans="1:1" x14ac:dyDescent="0.3">
      <c r="A26149" s="12"/>
    </row>
    <row r="26150" spans="1:1" x14ac:dyDescent="0.3">
      <c r="A26150" s="12"/>
    </row>
    <row r="26151" spans="1:1" x14ac:dyDescent="0.3">
      <c r="A26151" s="12"/>
    </row>
    <row r="26152" spans="1:1" x14ac:dyDescent="0.3">
      <c r="A26152" s="12"/>
    </row>
    <row r="26153" spans="1:1" x14ac:dyDescent="0.3">
      <c r="A26153" s="12"/>
    </row>
    <row r="26154" spans="1:1" x14ac:dyDescent="0.3">
      <c r="A26154" s="12"/>
    </row>
    <row r="26155" spans="1:1" x14ac:dyDescent="0.3">
      <c r="A26155" s="12"/>
    </row>
    <row r="26156" spans="1:1" x14ac:dyDescent="0.3">
      <c r="A26156" s="12"/>
    </row>
    <row r="26157" spans="1:1" x14ac:dyDescent="0.3">
      <c r="A26157" s="12"/>
    </row>
    <row r="26158" spans="1:1" x14ac:dyDescent="0.3">
      <c r="A26158" s="12"/>
    </row>
    <row r="26159" spans="1:1" x14ac:dyDescent="0.3">
      <c r="A26159" s="12"/>
    </row>
    <row r="26160" spans="1:1" x14ac:dyDescent="0.3">
      <c r="A26160" s="12"/>
    </row>
    <row r="26161" spans="1:1" x14ac:dyDescent="0.3">
      <c r="A26161" s="12"/>
    </row>
    <row r="26162" spans="1:1" x14ac:dyDescent="0.3">
      <c r="A26162" s="12"/>
    </row>
    <row r="26163" spans="1:1" x14ac:dyDescent="0.3">
      <c r="A26163" s="12"/>
    </row>
    <row r="26164" spans="1:1" x14ac:dyDescent="0.3">
      <c r="A26164" s="12"/>
    </row>
    <row r="26165" spans="1:1" x14ac:dyDescent="0.3">
      <c r="A26165" s="12"/>
    </row>
    <row r="26166" spans="1:1" x14ac:dyDescent="0.3">
      <c r="A26166" s="12"/>
    </row>
    <row r="26167" spans="1:1" x14ac:dyDescent="0.3">
      <c r="A26167" s="12"/>
    </row>
    <row r="26168" spans="1:1" x14ac:dyDescent="0.3">
      <c r="A26168" s="12"/>
    </row>
    <row r="26169" spans="1:1" x14ac:dyDescent="0.3">
      <c r="A26169" s="12"/>
    </row>
    <row r="26170" spans="1:1" x14ac:dyDescent="0.3">
      <c r="A26170" s="12"/>
    </row>
    <row r="26171" spans="1:1" x14ac:dyDescent="0.3">
      <c r="A26171" s="12"/>
    </row>
    <row r="26172" spans="1:1" x14ac:dyDescent="0.3">
      <c r="A26172" s="12"/>
    </row>
    <row r="26173" spans="1:1" x14ac:dyDescent="0.3">
      <c r="A26173" s="12"/>
    </row>
    <row r="26174" spans="1:1" x14ac:dyDescent="0.3">
      <c r="A26174" s="12"/>
    </row>
    <row r="26175" spans="1:1" x14ac:dyDescent="0.3">
      <c r="A26175" s="12"/>
    </row>
    <row r="26176" spans="1:1" x14ac:dyDescent="0.3">
      <c r="A26176" s="12"/>
    </row>
    <row r="26177" spans="1:1" x14ac:dyDescent="0.3">
      <c r="A26177" s="12"/>
    </row>
    <row r="26178" spans="1:1" x14ac:dyDescent="0.3">
      <c r="A26178" s="12"/>
    </row>
    <row r="26179" spans="1:1" x14ac:dyDescent="0.3">
      <c r="A26179" s="12"/>
    </row>
    <row r="26180" spans="1:1" x14ac:dyDescent="0.3">
      <c r="A26180" s="12"/>
    </row>
    <row r="26181" spans="1:1" x14ac:dyDescent="0.3">
      <c r="A26181" s="12"/>
    </row>
    <row r="26182" spans="1:1" x14ac:dyDescent="0.3">
      <c r="A26182" s="12"/>
    </row>
    <row r="26183" spans="1:1" x14ac:dyDescent="0.3">
      <c r="A26183" s="12"/>
    </row>
    <row r="26184" spans="1:1" x14ac:dyDescent="0.3">
      <c r="A26184" s="12"/>
    </row>
    <row r="26185" spans="1:1" x14ac:dyDescent="0.3">
      <c r="A26185" s="12"/>
    </row>
    <row r="26186" spans="1:1" x14ac:dyDescent="0.3">
      <c r="A26186" s="12"/>
    </row>
    <row r="26187" spans="1:1" x14ac:dyDescent="0.3">
      <c r="A26187" s="12"/>
    </row>
    <row r="26188" spans="1:1" x14ac:dyDescent="0.3">
      <c r="A26188" s="12"/>
    </row>
    <row r="26189" spans="1:1" x14ac:dyDescent="0.3">
      <c r="A26189" s="12"/>
    </row>
    <row r="26190" spans="1:1" x14ac:dyDescent="0.3">
      <c r="A26190" s="12"/>
    </row>
    <row r="26191" spans="1:1" x14ac:dyDescent="0.3">
      <c r="A26191" s="12"/>
    </row>
    <row r="26192" spans="1:1" x14ac:dyDescent="0.3">
      <c r="A26192" s="12"/>
    </row>
    <row r="26193" spans="1:1" x14ac:dyDescent="0.3">
      <c r="A26193" s="12"/>
    </row>
    <row r="26194" spans="1:1" x14ac:dyDescent="0.3">
      <c r="A26194" s="12"/>
    </row>
    <row r="26195" spans="1:1" x14ac:dyDescent="0.3">
      <c r="A26195" s="12"/>
    </row>
    <row r="26196" spans="1:1" x14ac:dyDescent="0.3">
      <c r="A26196" s="12"/>
    </row>
    <row r="26197" spans="1:1" x14ac:dyDescent="0.3">
      <c r="A26197" s="12"/>
    </row>
    <row r="26198" spans="1:1" x14ac:dyDescent="0.3">
      <c r="A26198" s="12"/>
    </row>
    <row r="26199" spans="1:1" x14ac:dyDescent="0.3">
      <c r="A26199" s="12"/>
    </row>
    <row r="26200" spans="1:1" x14ac:dyDescent="0.3">
      <c r="A26200" s="12"/>
    </row>
    <row r="26201" spans="1:1" x14ac:dyDescent="0.3">
      <c r="A26201" s="12"/>
    </row>
    <row r="26202" spans="1:1" x14ac:dyDescent="0.3">
      <c r="A26202" s="12"/>
    </row>
    <row r="26203" spans="1:1" x14ac:dyDescent="0.3">
      <c r="A26203" s="12"/>
    </row>
    <row r="26204" spans="1:1" x14ac:dyDescent="0.3">
      <c r="A26204" s="12"/>
    </row>
    <row r="26205" spans="1:1" x14ac:dyDescent="0.3">
      <c r="A26205" s="12"/>
    </row>
    <row r="26206" spans="1:1" x14ac:dyDescent="0.3">
      <c r="A26206" s="12"/>
    </row>
    <row r="26207" spans="1:1" x14ac:dyDescent="0.3">
      <c r="A26207" s="12"/>
    </row>
    <row r="26208" spans="1:1" x14ac:dyDescent="0.3">
      <c r="A26208" s="12"/>
    </row>
    <row r="26209" spans="1:1" x14ac:dyDescent="0.3">
      <c r="A26209" s="12"/>
    </row>
    <row r="26210" spans="1:1" x14ac:dyDescent="0.3">
      <c r="A26210" s="12"/>
    </row>
    <row r="26211" spans="1:1" x14ac:dyDescent="0.3">
      <c r="A26211" s="12"/>
    </row>
    <row r="26212" spans="1:1" x14ac:dyDescent="0.3">
      <c r="A26212" s="12"/>
    </row>
    <row r="26213" spans="1:1" x14ac:dyDescent="0.3">
      <c r="A26213" s="12"/>
    </row>
    <row r="26214" spans="1:1" x14ac:dyDescent="0.3">
      <c r="A26214" s="12"/>
    </row>
    <row r="26215" spans="1:1" x14ac:dyDescent="0.3">
      <c r="A26215" s="12"/>
    </row>
    <row r="26216" spans="1:1" x14ac:dyDescent="0.3">
      <c r="A26216" s="12"/>
    </row>
    <row r="26217" spans="1:1" x14ac:dyDescent="0.3">
      <c r="A26217" s="12"/>
    </row>
    <row r="26218" spans="1:1" x14ac:dyDescent="0.3">
      <c r="A26218" s="12"/>
    </row>
    <row r="26219" spans="1:1" x14ac:dyDescent="0.3">
      <c r="A26219" s="12"/>
    </row>
    <row r="26220" spans="1:1" x14ac:dyDescent="0.3">
      <c r="A26220" s="12"/>
    </row>
    <row r="26221" spans="1:1" x14ac:dyDescent="0.3">
      <c r="A26221" s="12"/>
    </row>
    <row r="26222" spans="1:1" x14ac:dyDescent="0.3">
      <c r="A26222" s="12"/>
    </row>
    <row r="26223" spans="1:1" x14ac:dyDescent="0.3">
      <c r="A26223" s="12"/>
    </row>
    <row r="26224" spans="1:1" x14ac:dyDescent="0.3">
      <c r="A26224" s="12"/>
    </row>
    <row r="26225" spans="1:1" x14ac:dyDescent="0.3">
      <c r="A26225" s="12"/>
    </row>
    <row r="26226" spans="1:1" x14ac:dyDescent="0.3">
      <c r="A26226" s="12"/>
    </row>
    <row r="26227" spans="1:1" x14ac:dyDescent="0.3">
      <c r="A26227" s="12"/>
    </row>
    <row r="26228" spans="1:1" x14ac:dyDescent="0.3">
      <c r="A26228" s="12"/>
    </row>
    <row r="26229" spans="1:1" x14ac:dyDescent="0.3">
      <c r="A26229" s="12"/>
    </row>
    <row r="26230" spans="1:1" x14ac:dyDescent="0.3">
      <c r="A26230" s="12"/>
    </row>
    <row r="26231" spans="1:1" x14ac:dyDescent="0.3">
      <c r="A26231" s="12"/>
    </row>
    <row r="26232" spans="1:1" x14ac:dyDescent="0.3">
      <c r="A26232" s="12"/>
    </row>
    <row r="26233" spans="1:1" x14ac:dyDescent="0.3">
      <c r="A26233" s="12"/>
    </row>
    <row r="26234" spans="1:1" x14ac:dyDescent="0.3">
      <c r="A26234" s="12"/>
    </row>
    <row r="26235" spans="1:1" x14ac:dyDescent="0.3">
      <c r="A26235" s="12"/>
    </row>
    <row r="26236" spans="1:1" x14ac:dyDescent="0.3">
      <c r="A26236" s="12"/>
    </row>
    <row r="26237" spans="1:1" x14ac:dyDescent="0.3">
      <c r="A26237" s="12"/>
    </row>
    <row r="26238" spans="1:1" x14ac:dyDescent="0.3">
      <c r="A26238" s="12"/>
    </row>
    <row r="26239" spans="1:1" x14ac:dyDescent="0.3">
      <c r="A26239" s="12"/>
    </row>
    <row r="26240" spans="1:1" x14ac:dyDescent="0.3">
      <c r="A26240" s="12"/>
    </row>
    <row r="26241" spans="1:1" x14ac:dyDescent="0.3">
      <c r="A26241" s="12"/>
    </row>
    <row r="26242" spans="1:1" x14ac:dyDescent="0.3">
      <c r="A26242" s="12"/>
    </row>
    <row r="26243" spans="1:1" x14ac:dyDescent="0.3">
      <c r="A26243" s="12"/>
    </row>
    <row r="26244" spans="1:1" x14ac:dyDescent="0.3">
      <c r="A26244" s="12"/>
    </row>
    <row r="26245" spans="1:1" x14ac:dyDescent="0.3">
      <c r="A26245" s="12"/>
    </row>
    <row r="26246" spans="1:1" x14ac:dyDescent="0.3">
      <c r="A26246" s="12"/>
    </row>
    <row r="26247" spans="1:1" x14ac:dyDescent="0.3">
      <c r="A26247" s="12"/>
    </row>
    <row r="26248" spans="1:1" x14ac:dyDescent="0.3">
      <c r="A26248" s="12"/>
    </row>
    <row r="26249" spans="1:1" x14ac:dyDescent="0.3">
      <c r="A26249" s="12"/>
    </row>
    <row r="26250" spans="1:1" x14ac:dyDescent="0.3">
      <c r="A26250" s="12"/>
    </row>
    <row r="26251" spans="1:1" x14ac:dyDescent="0.3">
      <c r="A26251" s="12"/>
    </row>
    <row r="26252" spans="1:1" x14ac:dyDescent="0.3">
      <c r="A26252" s="12"/>
    </row>
    <row r="26253" spans="1:1" x14ac:dyDescent="0.3">
      <c r="A26253" s="12"/>
    </row>
    <row r="26254" spans="1:1" x14ac:dyDescent="0.3">
      <c r="A26254" s="12"/>
    </row>
    <row r="26255" spans="1:1" x14ac:dyDescent="0.3">
      <c r="A26255" s="12"/>
    </row>
    <row r="26256" spans="1:1" x14ac:dyDescent="0.3">
      <c r="A26256" s="12"/>
    </row>
    <row r="26257" spans="1:1" x14ac:dyDescent="0.3">
      <c r="A26257" s="12"/>
    </row>
    <row r="26258" spans="1:1" x14ac:dyDescent="0.3">
      <c r="A26258" s="12"/>
    </row>
    <row r="26259" spans="1:1" x14ac:dyDescent="0.3">
      <c r="A26259" s="12"/>
    </row>
    <row r="26260" spans="1:1" x14ac:dyDescent="0.3">
      <c r="A26260" s="12"/>
    </row>
    <row r="26261" spans="1:1" x14ac:dyDescent="0.3">
      <c r="A26261" s="12"/>
    </row>
    <row r="26262" spans="1:1" x14ac:dyDescent="0.3">
      <c r="A26262" s="12"/>
    </row>
    <row r="26263" spans="1:1" x14ac:dyDescent="0.3">
      <c r="A26263" s="12"/>
    </row>
    <row r="26264" spans="1:1" x14ac:dyDescent="0.3">
      <c r="A26264" s="12"/>
    </row>
    <row r="26265" spans="1:1" x14ac:dyDescent="0.3">
      <c r="A26265" s="12"/>
    </row>
    <row r="26266" spans="1:1" x14ac:dyDescent="0.3">
      <c r="A26266" s="12"/>
    </row>
    <row r="26267" spans="1:1" x14ac:dyDescent="0.3">
      <c r="A26267" s="12"/>
    </row>
    <row r="26268" spans="1:1" x14ac:dyDescent="0.3">
      <c r="A26268" s="12"/>
    </row>
    <row r="26269" spans="1:1" x14ac:dyDescent="0.3">
      <c r="A26269" s="12"/>
    </row>
    <row r="26270" spans="1:1" x14ac:dyDescent="0.3">
      <c r="A26270" s="12"/>
    </row>
    <row r="26271" spans="1:1" x14ac:dyDescent="0.3">
      <c r="A26271" s="12"/>
    </row>
    <row r="26272" spans="1:1" x14ac:dyDescent="0.3">
      <c r="A26272" s="12"/>
    </row>
    <row r="26273" spans="1:1" x14ac:dyDescent="0.3">
      <c r="A26273" s="12"/>
    </row>
    <row r="26274" spans="1:1" x14ac:dyDescent="0.3">
      <c r="A26274" s="12"/>
    </row>
    <row r="26275" spans="1:1" x14ac:dyDescent="0.3">
      <c r="A26275" s="12"/>
    </row>
    <row r="26276" spans="1:1" x14ac:dyDescent="0.3">
      <c r="A26276" s="12"/>
    </row>
    <row r="26277" spans="1:1" x14ac:dyDescent="0.3">
      <c r="A26277" s="12"/>
    </row>
    <row r="26278" spans="1:1" x14ac:dyDescent="0.3">
      <c r="A26278" s="12"/>
    </row>
    <row r="26279" spans="1:1" x14ac:dyDescent="0.3">
      <c r="A26279" s="12"/>
    </row>
    <row r="26280" spans="1:1" x14ac:dyDescent="0.3">
      <c r="A26280" s="12"/>
    </row>
    <row r="26281" spans="1:1" x14ac:dyDescent="0.3">
      <c r="A26281" s="12"/>
    </row>
    <row r="26282" spans="1:1" x14ac:dyDescent="0.3">
      <c r="A26282" s="12"/>
    </row>
    <row r="26283" spans="1:1" x14ac:dyDescent="0.3">
      <c r="A26283" s="12"/>
    </row>
    <row r="26284" spans="1:1" x14ac:dyDescent="0.3">
      <c r="A26284" s="12"/>
    </row>
    <row r="26285" spans="1:1" x14ac:dyDescent="0.3">
      <c r="A26285" s="12"/>
    </row>
    <row r="26286" spans="1:1" x14ac:dyDescent="0.3">
      <c r="A26286" s="12"/>
    </row>
    <row r="26287" spans="1:1" x14ac:dyDescent="0.3">
      <c r="A26287" s="12"/>
    </row>
    <row r="26288" spans="1:1" x14ac:dyDescent="0.3">
      <c r="A26288" s="12"/>
    </row>
    <row r="26289" spans="1:1" x14ac:dyDescent="0.3">
      <c r="A26289" s="12"/>
    </row>
    <row r="26290" spans="1:1" x14ac:dyDescent="0.3">
      <c r="A26290" s="12"/>
    </row>
    <row r="26291" spans="1:1" x14ac:dyDescent="0.3">
      <c r="A26291" s="12"/>
    </row>
    <row r="26292" spans="1:1" x14ac:dyDescent="0.3">
      <c r="A26292" s="12"/>
    </row>
    <row r="26293" spans="1:1" x14ac:dyDescent="0.3">
      <c r="A26293" s="12"/>
    </row>
    <row r="26294" spans="1:1" x14ac:dyDescent="0.3">
      <c r="A26294" s="12"/>
    </row>
    <row r="26295" spans="1:1" x14ac:dyDescent="0.3">
      <c r="A26295" s="12"/>
    </row>
    <row r="26296" spans="1:1" x14ac:dyDescent="0.3">
      <c r="A26296" s="12"/>
    </row>
    <row r="26297" spans="1:1" x14ac:dyDescent="0.3">
      <c r="A26297" s="12"/>
    </row>
    <row r="26298" spans="1:1" x14ac:dyDescent="0.3">
      <c r="A26298" s="12"/>
    </row>
    <row r="26299" spans="1:1" x14ac:dyDescent="0.3">
      <c r="A26299" s="12"/>
    </row>
    <row r="26300" spans="1:1" x14ac:dyDescent="0.3">
      <c r="A26300" s="12"/>
    </row>
    <row r="26301" spans="1:1" x14ac:dyDescent="0.3">
      <c r="A26301" s="12"/>
    </row>
    <row r="26302" spans="1:1" x14ac:dyDescent="0.3">
      <c r="A26302" s="12"/>
    </row>
    <row r="26303" spans="1:1" x14ac:dyDescent="0.3">
      <c r="A26303" s="12"/>
    </row>
    <row r="26304" spans="1:1" x14ac:dyDescent="0.3">
      <c r="A26304" s="12"/>
    </row>
    <row r="26305" spans="1:1" x14ac:dyDescent="0.3">
      <c r="A26305" s="12"/>
    </row>
    <row r="26306" spans="1:1" x14ac:dyDescent="0.3">
      <c r="A26306" s="12"/>
    </row>
    <row r="26307" spans="1:1" x14ac:dyDescent="0.3">
      <c r="A26307" s="12"/>
    </row>
    <row r="26308" spans="1:1" x14ac:dyDescent="0.3">
      <c r="A26308" s="12"/>
    </row>
    <row r="26309" spans="1:1" x14ac:dyDescent="0.3">
      <c r="A26309" s="12"/>
    </row>
    <row r="26310" spans="1:1" x14ac:dyDescent="0.3">
      <c r="A26310" s="12"/>
    </row>
    <row r="26311" spans="1:1" x14ac:dyDescent="0.3">
      <c r="A26311" s="12"/>
    </row>
    <row r="26312" spans="1:1" x14ac:dyDescent="0.3">
      <c r="A26312" s="12"/>
    </row>
    <row r="26313" spans="1:1" x14ac:dyDescent="0.3">
      <c r="A26313" s="12"/>
    </row>
    <row r="26314" spans="1:1" x14ac:dyDescent="0.3">
      <c r="A26314" s="12"/>
    </row>
    <row r="26315" spans="1:1" x14ac:dyDescent="0.3">
      <c r="A26315" s="12"/>
    </row>
    <row r="26316" spans="1:1" x14ac:dyDescent="0.3">
      <c r="A26316" s="12"/>
    </row>
    <row r="26317" spans="1:1" x14ac:dyDescent="0.3">
      <c r="A26317" s="12"/>
    </row>
    <row r="26318" spans="1:1" x14ac:dyDescent="0.3">
      <c r="A26318" s="12"/>
    </row>
    <row r="26319" spans="1:1" x14ac:dyDescent="0.3">
      <c r="A26319" s="12"/>
    </row>
    <row r="26320" spans="1:1" x14ac:dyDescent="0.3">
      <c r="A26320" s="12"/>
    </row>
    <row r="26321" spans="1:1" x14ac:dyDescent="0.3">
      <c r="A26321" s="12"/>
    </row>
    <row r="26322" spans="1:1" x14ac:dyDescent="0.3">
      <c r="A26322" s="12"/>
    </row>
    <row r="26323" spans="1:1" x14ac:dyDescent="0.3">
      <c r="A26323" s="12"/>
    </row>
    <row r="26324" spans="1:1" x14ac:dyDescent="0.3">
      <c r="A26324" s="12"/>
    </row>
    <row r="26325" spans="1:1" x14ac:dyDescent="0.3">
      <c r="A26325" s="12"/>
    </row>
    <row r="26326" spans="1:1" x14ac:dyDescent="0.3">
      <c r="A26326" s="12"/>
    </row>
    <row r="26327" spans="1:1" x14ac:dyDescent="0.3">
      <c r="A26327" s="12"/>
    </row>
    <row r="26328" spans="1:1" x14ac:dyDescent="0.3">
      <c r="A26328" s="12"/>
    </row>
    <row r="26329" spans="1:1" x14ac:dyDescent="0.3">
      <c r="A26329" s="12"/>
    </row>
    <row r="26330" spans="1:1" x14ac:dyDescent="0.3">
      <c r="A26330" s="12"/>
    </row>
    <row r="26331" spans="1:1" x14ac:dyDescent="0.3">
      <c r="A26331" s="12"/>
    </row>
    <row r="26332" spans="1:1" x14ac:dyDescent="0.3">
      <c r="A26332" s="12"/>
    </row>
    <row r="26333" spans="1:1" x14ac:dyDescent="0.3">
      <c r="A26333" s="12"/>
    </row>
    <row r="26334" spans="1:1" x14ac:dyDescent="0.3">
      <c r="A26334" s="12"/>
    </row>
    <row r="26335" spans="1:1" x14ac:dyDescent="0.3">
      <c r="A26335" s="12"/>
    </row>
    <row r="26336" spans="1:1" x14ac:dyDescent="0.3">
      <c r="A26336" s="12"/>
    </row>
    <row r="26337" spans="1:1" x14ac:dyDescent="0.3">
      <c r="A26337" s="12"/>
    </row>
    <row r="26338" spans="1:1" x14ac:dyDescent="0.3">
      <c r="A26338" s="12"/>
    </row>
    <row r="26339" spans="1:1" x14ac:dyDescent="0.3">
      <c r="A26339" s="12"/>
    </row>
    <row r="26340" spans="1:1" x14ac:dyDescent="0.3">
      <c r="A26340" s="12"/>
    </row>
    <row r="26341" spans="1:1" x14ac:dyDescent="0.3">
      <c r="A26341" s="12"/>
    </row>
    <row r="26342" spans="1:1" x14ac:dyDescent="0.3">
      <c r="A26342" s="12"/>
    </row>
    <row r="26343" spans="1:1" x14ac:dyDescent="0.3">
      <c r="A26343" s="12"/>
    </row>
    <row r="26344" spans="1:1" x14ac:dyDescent="0.3">
      <c r="A26344" s="12"/>
    </row>
    <row r="26345" spans="1:1" x14ac:dyDescent="0.3">
      <c r="A26345" s="12"/>
    </row>
    <row r="26346" spans="1:1" x14ac:dyDescent="0.3">
      <c r="A26346" s="12"/>
    </row>
    <row r="26347" spans="1:1" x14ac:dyDescent="0.3">
      <c r="A26347" s="12"/>
    </row>
    <row r="26348" spans="1:1" x14ac:dyDescent="0.3">
      <c r="A26348" s="12"/>
    </row>
    <row r="26349" spans="1:1" x14ac:dyDescent="0.3">
      <c r="A26349" s="12"/>
    </row>
    <row r="26350" spans="1:1" x14ac:dyDescent="0.3">
      <c r="A26350" s="12"/>
    </row>
    <row r="26351" spans="1:1" x14ac:dyDescent="0.3">
      <c r="A26351" s="12"/>
    </row>
    <row r="26352" spans="1:1" x14ac:dyDescent="0.3">
      <c r="A26352" s="12"/>
    </row>
    <row r="26353" spans="1:1" x14ac:dyDescent="0.3">
      <c r="A26353" s="12"/>
    </row>
    <row r="26354" spans="1:1" x14ac:dyDescent="0.3">
      <c r="A26354" s="12"/>
    </row>
    <row r="26355" spans="1:1" x14ac:dyDescent="0.3">
      <c r="A26355" s="12"/>
    </row>
    <row r="26356" spans="1:1" x14ac:dyDescent="0.3">
      <c r="A26356" s="12"/>
    </row>
    <row r="26357" spans="1:1" x14ac:dyDescent="0.3">
      <c r="A26357" s="12"/>
    </row>
    <row r="26358" spans="1:1" x14ac:dyDescent="0.3">
      <c r="A26358" s="12"/>
    </row>
    <row r="26359" spans="1:1" x14ac:dyDescent="0.3">
      <c r="A26359" s="12"/>
    </row>
    <row r="26360" spans="1:1" x14ac:dyDescent="0.3">
      <c r="A26360" s="12"/>
    </row>
    <row r="26361" spans="1:1" x14ac:dyDescent="0.3">
      <c r="A26361" s="12"/>
    </row>
    <row r="26362" spans="1:1" x14ac:dyDescent="0.3">
      <c r="A26362" s="12"/>
    </row>
    <row r="26363" spans="1:1" x14ac:dyDescent="0.3">
      <c r="A26363" s="12"/>
    </row>
    <row r="26364" spans="1:1" x14ac:dyDescent="0.3">
      <c r="A26364" s="12"/>
    </row>
    <row r="26365" spans="1:1" x14ac:dyDescent="0.3">
      <c r="A26365" s="12"/>
    </row>
    <row r="26366" spans="1:1" x14ac:dyDescent="0.3">
      <c r="A26366" s="12"/>
    </row>
    <row r="26367" spans="1:1" x14ac:dyDescent="0.3">
      <c r="A26367" s="12"/>
    </row>
    <row r="26368" spans="1:1" x14ac:dyDescent="0.3">
      <c r="A26368" s="12"/>
    </row>
    <row r="26369" spans="1:1" x14ac:dyDescent="0.3">
      <c r="A26369" s="12"/>
    </row>
    <row r="26370" spans="1:1" x14ac:dyDescent="0.3">
      <c r="A26370" s="12"/>
    </row>
    <row r="26371" spans="1:1" x14ac:dyDescent="0.3">
      <c r="A26371" s="12"/>
    </row>
    <row r="26372" spans="1:1" x14ac:dyDescent="0.3">
      <c r="A26372" s="12"/>
    </row>
    <row r="26373" spans="1:1" x14ac:dyDescent="0.3">
      <c r="A26373" s="12"/>
    </row>
    <row r="26374" spans="1:1" x14ac:dyDescent="0.3">
      <c r="A26374" s="12"/>
    </row>
    <row r="26375" spans="1:1" x14ac:dyDescent="0.3">
      <c r="A26375" s="12"/>
    </row>
    <row r="26376" spans="1:1" x14ac:dyDescent="0.3">
      <c r="A26376" s="12"/>
    </row>
    <row r="26377" spans="1:1" x14ac:dyDescent="0.3">
      <c r="A26377" s="12"/>
    </row>
    <row r="26378" spans="1:1" x14ac:dyDescent="0.3">
      <c r="A26378" s="12"/>
    </row>
    <row r="26379" spans="1:1" x14ac:dyDescent="0.3">
      <c r="A26379" s="12"/>
    </row>
    <row r="26380" spans="1:1" x14ac:dyDescent="0.3">
      <c r="A26380" s="12"/>
    </row>
    <row r="26381" spans="1:1" x14ac:dyDescent="0.3">
      <c r="A26381" s="12"/>
    </row>
    <row r="26382" spans="1:1" x14ac:dyDescent="0.3">
      <c r="A26382" s="12"/>
    </row>
    <row r="26383" spans="1:1" x14ac:dyDescent="0.3">
      <c r="A26383" s="12"/>
    </row>
    <row r="26384" spans="1:1" x14ac:dyDescent="0.3">
      <c r="A26384" s="12"/>
    </row>
    <row r="26385" spans="1:1" x14ac:dyDescent="0.3">
      <c r="A26385" s="12"/>
    </row>
    <row r="26386" spans="1:1" x14ac:dyDescent="0.3">
      <c r="A26386" s="12"/>
    </row>
    <row r="26387" spans="1:1" x14ac:dyDescent="0.3">
      <c r="A26387" s="12"/>
    </row>
    <row r="26388" spans="1:1" x14ac:dyDescent="0.3">
      <c r="A26388" s="12"/>
    </row>
    <row r="26389" spans="1:1" x14ac:dyDescent="0.3">
      <c r="A26389" s="12"/>
    </row>
    <row r="26390" spans="1:1" x14ac:dyDescent="0.3">
      <c r="A26390" s="12"/>
    </row>
    <row r="26391" spans="1:1" x14ac:dyDescent="0.3">
      <c r="A26391" s="12"/>
    </row>
    <row r="26392" spans="1:1" x14ac:dyDescent="0.3">
      <c r="A26392" s="12"/>
    </row>
    <row r="26393" spans="1:1" x14ac:dyDescent="0.3">
      <c r="A26393" s="12"/>
    </row>
    <row r="26394" spans="1:1" x14ac:dyDescent="0.3">
      <c r="A26394" s="12"/>
    </row>
    <row r="26395" spans="1:1" x14ac:dyDescent="0.3">
      <c r="A26395" s="12"/>
    </row>
    <row r="26396" spans="1:1" x14ac:dyDescent="0.3">
      <c r="A26396" s="12"/>
    </row>
    <row r="26397" spans="1:1" x14ac:dyDescent="0.3">
      <c r="A26397" s="12"/>
    </row>
    <row r="26398" spans="1:1" x14ac:dyDescent="0.3">
      <c r="A26398" s="12"/>
    </row>
    <row r="26399" spans="1:1" x14ac:dyDescent="0.3">
      <c r="A26399" s="12"/>
    </row>
    <row r="26400" spans="1:1" x14ac:dyDescent="0.3">
      <c r="A26400" s="12"/>
    </row>
    <row r="26401" spans="1:1" x14ac:dyDescent="0.3">
      <c r="A26401" s="12"/>
    </row>
    <row r="26402" spans="1:1" x14ac:dyDescent="0.3">
      <c r="A26402" s="12"/>
    </row>
    <row r="26403" spans="1:1" x14ac:dyDescent="0.3">
      <c r="A26403" s="12"/>
    </row>
    <row r="26404" spans="1:1" x14ac:dyDescent="0.3">
      <c r="A26404" s="12"/>
    </row>
    <row r="26405" spans="1:1" x14ac:dyDescent="0.3">
      <c r="A26405" s="12"/>
    </row>
    <row r="26406" spans="1:1" x14ac:dyDescent="0.3">
      <c r="A26406" s="12"/>
    </row>
    <row r="26407" spans="1:1" x14ac:dyDescent="0.3">
      <c r="A26407" s="12"/>
    </row>
    <row r="26408" spans="1:1" x14ac:dyDescent="0.3">
      <c r="A26408" s="12"/>
    </row>
    <row r="26409" spans="1:1" x14ac:dyDescent="0.3">
      <c r="A26409" s="12"/>
    </row>
    <row r="26410" spans="1:1" x14ac:dyDescent="0.3">
      <c r="A26410" s="12"/>
    </row>
    <row r="26411" spans="1:1" x14ac:dyDescent="0.3">
      <c r="A26411" s="12"/>
    </row>
    <row r="26412" spans="1:1" x14ac:dyDescent="0.3">
      <c r="A26412" s="12"/>
    </row>
    <row r="26413" spans="1:1" x14ac:dyDescent="0.3">
      <c r="A26413" s="12"/>
    </row>
    <row r="26414" spans="1:1" x14ac:dyDescent="0.3">
      <c r="A26414" s="12"/>
    </row>
    <row r="26415" spans="1:1" x14ac:dyDescent="0.3">
      <c r="A26415" s="12"/>
    </row>
    <row r="26416" spans="1:1" x14ac:dyDescent="0.3">
      <c r="A26416" s="12"/>
    </row>
    <row r="26417" spans="1:1" x14ac:dyDescent="0.3">
      <c r="A26417" s="12"/>
    </row>
    <row r="26418" spans="1:1" x14ac:dyDescent="0.3">
      <c r="A26418" s="12"/>
    </row>
    <row r="26419" spans="1:1" x14ac:dyDescent="0.3">
      <c r="A26419" s="12"/>
    </row>
    <row r="26420" spans="1:1" x14ac:dyDescent="0.3">
      <c r="A26420" s="12"/>
    </row>
    <row r="26421" spans="1:1" x14ac:dyDescent="0.3">
      <c r="A26421" s="12"/>
    </row>
    <row r="26422" spans="1:1" x14ac:dyDescent="0.3">
      <c r="A26422" s="12"/>
    </row>
    <row r="26423" spans="1:1" x14ac:dyDescent="0.3">
      <c r="A26423" s="12"/>
    </row>
    <row r="26424" spans="1:1" x14ac:dyDescent="0.3">
      <c r="A26424" s="12"/>
    </row>
    <row r="26425" spans="1:1" x14ac:dyDescent="0.3">
      <c r="A26425" s="12"/>
    </row>
    <row r="26426" spans="1:1" x14ac:dyDescent="0.3">
      <c r="A26426" s="12"/>
    </row>
    <row r="26427" spans="1:1" x14ac:dyDescent="0.3">
      <c r="A26427" s="12"/>
    </row>
    <row r="26428" spans="1:1" x14ac:dyDescent="0.3">
      <c r="A26428" s="12"/>
    </row>
    <row r="26429" spans="1:1" x14ac:dyDescent="0.3">
      <c r="A26429" s="12"/>
    </row>
    <row r="26430" spans="1:1" x14ac:dyDescent="0.3">
      <c r="A26430" s="12"/>
    </row>
    <row r="26431" spans="1:1" x14ac:dyDescent="0.3">
      <c r="A26431" s="12"/>
    </row>
    <row r="26432" spans="1:1" x14ac:dyDescent="0.3">
      <c r="A26432" s="12"/>
    </row>
    <row r="26433" spans="1:1" x14ac:dyDescent="0.3">
      <c r="A26433" s="12"/>
    </row>
    <row r="26434" spans="1:1" x14ac:dyDescent="0.3">
      <c r="A26434" s="12"/>
    </row>
    <row r="26435" spans="1:1" x14ac:dyDescent="0.3">
      <c r="A26435" s="12"/>
    </row>
    <row r="26436" spans="1:1" x14ac:dyDescent="0.3">
      <c r="A26436" s="12"/>
    </row>
    <row r="26437" spans="1:1" x14ac:dyDescent="0.3">
      <c r="A26437" s="12"/>
    </row>
    <row r="26438" spans="1:1" x14ac:dyDescent="0.3">
      <c r="A26438" s="12"/>
    </row>
    <row r="26439" spans="1:1" x14ac:dyDescent="0.3">
      <c r="A26439" s="12"/>
    </row>
    <row r="26440" spans="1:1" x14ac:dyDescent="0.3">
      <c r="A26440" s="12"/>
    </row>
    <row r="26441" spans="1:1" x14ac:dyDescent="0.3">
      <c r="A26441" s="12"/>
    </row>
    <row r="26442" spans="1:1" x14ac:dyDescent="0.3">
      <c r="A26442" s="12"/>
    </row>
    <row r="26443" spans="1:1" x14ac:dyDescent="0.3">
      <c r="A26443" s="12"/>
    </row>
    <row r="26444" spans="1:1" x14ac:dyDescent="0.3">
      <c r="A26444" s="12"/>
    </row>
    <row r="26445" spans="1:1" x14ac:dyDescent="0.3">
      <c r="A26445" s="12"/>
    </row>
    <row r="26446" spans="1:1" x14ac:dyDescent="0.3">
      <c r="A26446" s="12"/>
    </row>
    <row r="26447" spans="1:1" x14ac:dyDescent="0.3">
      <c r="A26447" s="12"/>
    </row>
    <row r="26448" spans="1:1" x14ac:dyDescent="0.3">
      <c r="A26448" s="12"/>
    </row>
    <row r="26449" spans="1:1" x14ac:dyDescent="0.3">
      <c r="A26449" s="12"/>
    </row>
    <row r="26450" spans="1:1" x14ac:dyDescent="0.3">
      <c r="A26450" s="12"/>
    </row>
    <row r="26451" spans="1:1" x14ac:dyDescent="0.3">
      <c r="A26451" s="12"/>
    </row>
    <row r="26452" spans="1:1" x14ac:dyDescent="0.3">
      <c r="A26452" s="12"/>
    </row>
    <row r="26453" spans="1:1" x14ac:dyDescent="0.3">
      <c r="A26453" s="12"/>
    </row>
    <row r="26454" spans="1:1" x14ac:dyDescent="0.3">
      <c r="A26454" s="12"/>
    </row>
    <row r="26455" spans="1:1" x14ac:dyDescent="0.3">
      <c r="A26455" s="12"/>
    </row>
    <row r="26456" spans="1:1" x14ac:dyDescent="0.3">
      <c r="A26456" s="12"/>
    </row>
    <row r="26457" spans="1:1" x14ac:dyDescent="0.3">
      <c r="A26457" s="12"/>
    </row>
    <row r="26458" spans="1:1" x14ac:dyDescent="0.3">
      <c r="A26458" s="12"/>
    </row>
    <row r="26459" spans="1:1" x14ac:dyDescent="0.3">
      <c r="A26459" s="12"/>
    </row>
    <row r="26460" spans="1:1" x14ac:dyDescent="0.3">
      <c r="A26460" s="12"/>
    </row>
    <row r="26461" spans="1:1" x14ac:dyDescent="0.3">
      <c r="A26461" s="12"/>
    </row>
    <row r="26462" spans="1:1" x14ac:dyDescent="0.3">
      <c r="A26462" s="12"/>
    </row>
    <row r="26463" spans="1:1" x14ac:dyDescent="0.3">
      <c r="A26463" s="12"/>
    </row>
    <row r="26464" spans="1:1" x14ac:dyDescent="0.3">
      <c r="A26464" s="12"/>
    </row>
    <row r="26465" spans="1:1" x14ac:dyDescent="0.3">
      <c r="A26465" s="12"/>
    </row>
    <row r="26466" spans="1:1" x14ac:dyDescent="0.3">
      <c r="A26466" s="12"/>
    </row>
    <row r="26467" spans="1:1" x14ac:dyDescent="0.3">
      <c r="A26467" s="12"/>
    </row>
    <row r="26468" spans="1:1" x14ac:dyDescent="0.3">
      <c r="A26468" s="12"/>
    </row>
    <row r="26469" spans="1:1" x14ac:dyDescent="0.3">
      <c r="A26469" s="12"/>
    </row>
    <row r="26470" spans="1:1" x14ac:dyDescent="0.3">
      <c r="A26470" s="12"/>
    </row>
    <row r="26471" spans="1:1" x14ac:dyDescent="0.3">
      <c r="A26471" s="12"/>
    </row>
    <row r="26472" spans="1:1" x14ac:dyDescent="0.3">
      <c r="A26472" s="12"/>
    </row>
    <row r="26473" spans="1:1" x14ac:dyDescent="0.3">
      <c r="A26473" s="12"/>
    </row>
    <row r="26474" spans="1:1" x14ac:dyDescent="0.3">
      <c r="A26474" s="12"/>
    </row>
    <row r="26475" spans="1:1" x14ac:dyDescent="0.3">
      <c r="A26475" s="12"/>
    </row>
    <row r="26476" spans="1:1" x14ac:dyDescent="0.3">
      <c r="A26476" s="12"/>
    </row>
    <row r="26477" spans="1:1" x14ac:dyDescent="0.3">
      <c r="A26477" s="12"/>
    </row>
    <row r="26478" spans="1:1" x14ac:dyDescent="0.3">
      <c r="A26478" s="12"/>
    </row>
    <row r="26479" spans="1:1" x14ac:dyDescent="0.3">
      <c r="A26479" s="12"/>
    </row>
    <row r="26480" spans="1:1" x14ac:dyDescent="0.3">
      <c r="A26480" s="12"/>
    </row>
    <row r="26481" spans="1:1" x14ac:dyDescent="0.3">
      <c r="A26481" s="12"/>
    </row>
    <row r="26482" spans="1:1" x14ac:dyDescent="0.3">
      <c r="A26482" s="12"/>
    </row>
    <row r="26483" spans="1:1" x14ac:dyDescent="0.3">
      <c r="A26483" s="12"/>
    </row>
    <row r="26484" spans="1:1" x14ac:dyDescent="0.3">
      <c r="A26484" s="12"/>
    </row>
    <row r="26485" spans="1:1" x14ac:dyDescent="0.3">
      <c r="A26485" s="12"/>
    </row>
    <row r="26486" spans="1:1" x14ac:dyDescent="0.3">
      <c r="A26486" s="12"/>
    </row>
    <row r="26487" spans="1:1" x14ac:dyDescent="0.3">
      <c r="A26487" s="12"/>
    </row>
    <row r="26488" spans="1:1" x14ac:dyDescent="0.3">
      <c r="A26488" s="12"/>
    </row>
    <row r="26489" spans="1:1" x14ac:dyDescent="0.3">
      <c r="A26489" s="12"/>
    </row>
    <row r="26490" spans="1:1" x14ac:dyDescent="0.3">
      <c r="A26490" s="12"/>
    </row>
    <row r="26491" spans="1:1" x14ac:dyDescent="0.3">
      <c r="A26491" s="12"/>
    </row>
    <row r="26492" spans="1:1" x14ac:dyDescent="0.3">
      <c r="A26492" s="12"/>
    </row>
    <row r="26493" spans="1:1" x14ac:dyDescent="0.3">
      <c r="A26493" s="12"/>
    </row>
    <row r="26494" spans="1:1" x14ac:dyDescent="0.3">
      <c r="A26494" s="12"/>
    </row>
    <row r="26495" spans="1:1" x14ac:dyDescent="0.3">
      <c r="A26495" s="12"/>
    </row>
    <row r="26496" spans="1:1" x14ac:dyDescent="0.3">
      <c r="A26496" s="12"/>
    </row>
    <row r="26497" spans="1:1" x14ac:dyDescent="0.3">
      <c r="A26497" s="12"/>
    </row>
    <row r="26498" spans="1:1" x14ac:dyDescent="0.3">
      <c r="A26498" s="12"/>
    </row>
    <row r="26499" spans="1:1" x14ac:dyDescent="0.3">
      <c r="A26499" s="12"/>
    </row>
    <row r="26500" spans="1:1" x14ac:dyDescent="0.3">
      <c r="A26500" s="12"/>
    </row>
    <row r="26501" spans="1:1" x14ac:dyDescent="0.3">
      <c r="A26501" s="12"/>
    </row>
    <row r="26502" spans="1:1" x14ac:dyDescent="0.3">
      <c r="A26502" s="12"/>
    </row>
    <row r="26503" spans="1:1" x14ac:dyDescent="0.3">
      <c r="A26503" s="12"/>
    </row>
    <row r="26504" spans="1:1" x14ac:dyDescent="0.3">
      <c r="A26504" s="12"/>
    </row>
    <row r="26505" spans="1:1" x14ac:dyDescent="0.3">
      <c r="A26505" s="12"/>
    </row>
    <row r="26506" spans="1:1" x14ac:dyDescent="0.3">
      <c r="A26506" s="12"/>
    </row>
    <row r="26507" spans="1:1" x14ac:dyDescent="0.3">
      <c r="A26507" s="12"/>
    </row>
    <row r="26508" spans="1:1" x14ac:dyDescent="0.3">
      <c r="A26508" s="12"/>
    </row>
    <row r="26509" spans="1:1" x14ac:dyDescent="0.3">
      <c r="A26509" s="12"/>
    </row>
    <row r="26510" spans="1:1" x14ac:dyDescent="0.3">
      <c r="A26510" s="12"/>
    </row>
    <row r="26511" spans="1:1" x14ac:dyDescent="0.3">
      <c r="A26511" s="12"/>
    </row>
    <row r="26512" spans="1:1" x14ac:dyDescent="0.3">
      <c r="A26512" s="12"/>
    </row>
    <row r="26513" spans="1:1" x14ac:dyDescent="0.3">
      <c r="A26513" s="12"/>
    </row>
    <row r="26514" spans="1:1" x14ac:dyDescent="0.3">
      <c r="A26514" s="12"/>
    </row>
    <row r="26515" spans="1:1" x14ac:dyDescent="0.3">
      <c r="A26515" s="12"/>
    </row>
    <row r="26516" spans="1:1" x14ac:dyDescent="0.3">
      <c r="A26516" s="12"/>
    </row>
    <row r="26517" spans="1:1" x14ac:dyDescent="0.3">
      <c r="A26517" s="12"/>
    </row>
    <row r="26518" spans="1:1" x14ac:dyDescent="0.3">
      <c r="A26518" s="12"/>
    </row>
    <row r="26519" spans="1:1" x14ac:dyDescent="0.3">
      <c r="A26519" s="12"/>
    </row>
    <row r="26520" spans="1:1" x14ac:dyDescent="0.3">
      <c r="A26520" s="12"/>
    </row>
    <row r="26521" spans="1:1" x14ac:dyDescent="0.3">
      <c r="A26521" s="12"/>
    </row>
    <row r="26522" spans="1:1" x14ac:dyDescent="0.3">
      <c r="A26522" s="12"/>
    </row>
    <row r="26523" spans="1:1" x14ac:dyDescent="0.3">
      <c r="A26523" s="12"/>
    </row>
    <row r="26524" spans="1:1" x14ac:dyDescent="0.3">
      <c r="A26524" s="12"/>
    </row>
    <row r="26525" spans="1:1" x14ac:dyDescent="0.3">
      <c r="A26525" s="12"/>
    </row>
    <row r="26526" spans="1:1" x14ac:dyDescent="0.3">
      <c r="A26526" s="12"/>
    </row>
    <row r="26527" spans="1:1" x14ac:dyDescent="0.3">
      <c r="A26527" s="12"/>
    </row>
    <row r="26528" spans="1:1" x14ac:dyDescent="0.3">
      <c r="A26528" s="12"/>
    </row>
    <row r="26529" spans="1:1" x14ac:dyDescent="0.3">
      <c r="A26529" s="12"/>
    </row>
    <row r="26530" spans="1:1" x14ac:dyDescent="0.3">
      <c r="A26530" s="12"/>
    </row>
    <row r="26531" spans="1:1" x14ac:dyDescent="0.3">
      <c r="A26531" s="12"/>
    </row>
    <row r="26532" spans="1:1" x14ac:dyDescent="0.3">
      <c r="A26532" s="12"/>
    </row>
    <row r="26533" spans="1:1" x14ac:dyDescent="0.3">
      <c r="A26533" s="12"/>
    </row>
    <row r="26534" spans="1:1" x14ac:dyDescent="0.3">
      <c r="A26534" s="12"/>
    </row>
    <row r="26535" spans="1:1" x14ac:dyDescent="0.3">
      <c r="A26535" s="12"/>
    </row>
    <row r="26536" spans="1:1" x14ac:dyDescent="0.3">
      <c r="A26536" s="12"/>
    </row>
    <row r="26537" spans="1:1" x14ac:dyDescent="0.3">
      <c r="A26537" s="12"/>
    </row>
    <row r="26538" spans="1:1" x14ac:dyDescent="0.3">
      <c r="A26538" s="12"/>
    </row>
    <row r="26539" spans="1:1" x14ac:dyDescent="0.3">
      <c r="A26539" s="12"/>
    </row>
    <row r="26540" spans="1:1" x14ac:dyDescent="0.3">
      <c r="A26540" s="12"/>
    </row>
    <row r="26541" spans="1:1" x14ac:dyDescent="0.3">
      <c r="A26541" s="12"/>
    </row>
    <row r="26542" spans="1:1" x14ac:dyDescent="0.3">
      <c r="A26542" s="12"/>
    </row>
    <row r="26543" spans="1:1" x14ac:dyDescent="0.3">
      <c r="A26543" s="12"/>
    </row>
    <row r="26544" spans="1:1" x14ac:dyDescent="0.3">
      <c r="A26544" s="12"/>
    </row>
    <row r="26545" spans="1:1" x14ac:dyDescent="0.3">
      <c r="A26545" s="12"/>
    </row>
    <row r="26546" spans="1:1" x14ac:dyDescent="0.3">
      <c r="A26546" s="12"/>
    </row>
    <row r="26547" spans="1:1" x14ac:dyDescent="0.3">
      <c r="A26547" s="12"/>
    </row>
    <row r="26548" spans="1:1" x14ac:dyDescent="0.3">
      <c r="A26548" s="12"/>
    </row>
    <row r="26549" spans="1:1" x14ac:dyDescent="0.3">
      <c r="A26549" s="12"/>
    </row>
    <row r="26550" spans="1:1" x14ac:dyDescent="0.3">
      <c r="A26550" s="12"/>
    </row>
    <row r="26551" spans="1:1" x14ac:dyDescent="0.3">
      <c r="A26551" s="12"/>
    </row>
    <row r="26552" spans="1:1" x14ac:dyDescent="0.3">
      <c r="A26552" s="12"/>
    </row>
    <row r="26553" spans="1:1" x14ac:dyDescent="0.3">
      <c r="A26553" s="12"/>
    </row>
    <row r="26554" spans="1:1" x14ac:dyDescent="0.3">
      <c r="A26554" s="12"/>
    </row>
    <row r="26555" spans="1:1" x14ac:dyDescent="0.3">
      <c r="A26555" s="12"/>
    </row>
    <row r="26556" spans="1:1" x14ac:dyDescent="0.3">
      <c r="A26556" s="12"/>
    </row>
    <row r="26557" spans="1:1" x14ac:dyDescent="0.3">
      <c r="A26557" s="12"/>
    </row>
    <row r="26558" spans="1:1" x14ac:dyDescent="0.3">
      <c r="A26558" s="12"/>
    </row>
    <row r="26559" spans="1:1" x14ac:dyDescent="0.3">
      <c r="A26559" s="12"/>
    </row>
    <row r="26560" spans="1:1" x14ac:dyDescent="0.3">
      <c r="A26560" s="12"/>
    </row>
    <row r="26561" spans="1:1" x14ac:dyDescent="0.3">
      <c r="A26561" s="12"/>
    </row>
    <row r="26562" spans="1:1" x14ac:dyDescent="0.3">
      <c r="A26562" s="12"/>
    </row>
    <row r="26563" spans="1:1" x14ac:dyDescent="0.3">
      <c r="A26563" s="12"/>
    </row>
    <row r="26564" spans="1:1" x14ac:dyDescent="0.3">
      <c r="A26564" s="12"/>
    </row>
    <row r="26565" spans="1:1" x14ac:dyDescent="0.3">
      <c r="A26565" s="12"/>
    </row>
    <row r="26566" spans="1:1" x14ac:dyDescent="0.3">
      <c r="A26566" s="12"/>
    </row>
    <row r="26567" spans="1:1" x14ac:dyDescent="0.3">
      <c r="A26567" s="12"/>
    </row>
    <row r="26568" spans="1:1" x14ac:dyDescent="0.3">
      <c r="A26568" s="12"/>
    </row>
    <row r="26569" spans="1:1" x14ac:dyDescent="0.3">
      <c r="A26569" s="12"/>
    </row>
    <row r="26570" spans="1:1" x14ac:dyDescent="0.3">
      <c r="A26570" s="12"/>
    </row>
    <row r="26571" spans="1:1" x14ac:dyDescent="0.3">
      <c r="A26571" s="12"/>
    </row>
    <row r="26572" spans="1:1" x14ac:dyDescent="0.3">
      <c r="A26572" s="12"/>
    </row>
    <row r="26573" spans="1:1" x14ac:dyDescent="0.3">
      <c r="A26573" s="12"/>
    </row>
    <row r="26574" spans="1:1" x14ac:dyDescent="0.3">
      <c r="A26574" s="12"/>
    </row>
    <row r="26575" spans="1:1" x14ac:dyDescent="0.3">
      <c r="A26575" s="12"/>
    </row>
    <row r="26576" spans="1:1" x14ac:dyDescent="0.3">
      <c r="A26576" s="12"/>
    </row>
    <row r="26577" spans="1:1" x14ac:dyDescent="0.3">
      <c r="A26577" s="12"/>
    </row>
    <row r="26578" spans="1:1" x14ac:dyDescent="0.3">
      <c r="A26578" s="12"/>
    </row>
    <row r="26579" spans="1:1" x14ac:dyDescent="0.3">
      <c r="A26579" s="12"/>
    </row>
    <row r="26580" spans="1:1" x14ac:dyDescent="0.3">
      <c r="A26580" s="12"/>
    </row>
    <row r="26581" spans="1:1" x14ac:dyDescent="0.3">
      <c r="A26581" s="12"/>
    </row>
    <row r="26582" spans="1:1" x14ac:dyDescent="0.3">
      <c r="A26582" s="12"/>
    </row>
    <row r="26583" spans="1:1" x14ac:dyDescent="0.3">
      <c r="A26583" s="12"/>
    </row>
    <row r="26584" spans="1:1" x14ac:dyDescent="0.3">
      <c r="A26584" s="12"/>
    </row>
    <row r="26585" spans="1:1" x14ac:dyDescent="0.3">
      <c r="A26585" s="12"/>
    </row>
    <row r="26586" spans="1:1" x14ac:dyDescent="0.3">
      <c r="A26586" s="12"/>
    </row>
    <row r="26587" spans="1:1" x14ac:dyDescent="0.3">
      <c r="A26587" s="12"/>
    </row>
    <row r="26588" spans="1:1" x14ac:dyDescent="0.3">
      <c r="A26588" s="12"/>
    </row>
    <row r="26589" spans="1:1" x14ac:dyDescent="0.3">
      <c r="A26589" s="12"/>
    </row>
    <row r="26590" spans="1:1" x14ac:dyDescent="0.3">
      <c r="A26590" s="12"/>
    </row>
    <row r="26591" spans="1:1" x14ac:dyDescent="0.3">
      <c r="A26591" s="12"/>
    </row>
    <row r="26592" spans="1:1" x14ac:dyDescent="0.3">
      <c r="A26592" s="12"/>
    </row>
    <row r="26593" spans="1:1" x14ac:dyDescent="0.3">
      <c r="A26593" s="12"/>
    </row>
    <row r="26594" spans="1:1" x14ac:dyDescent="0.3">
      <c r="A26594" s="12"/>
    </row>
    <row r="26595" spans="1:1" x14ac:dyDescent="0.3">
      <c r="A26595" s="12"/>
    </row>
    <row r="26596" spans="1:1" x14ac:dyDescent="0.3">
      <c r="A26596" s="12"/>
    </row>
    <row r="26597" spans="1:1" x14ac:dyDescent="0.3">
      <c r="A26597" s="12"/>
    </row>
    <row r="26598" spans="1:1" x14ac:dyDescent="0.3">
      <c r="A26598" s="12"/>
    </row>
    <row r="26599" spans="1:1" x14ac:dyDescent="0.3">
      <c r="A26599" s="12"/>
    </row>
    <row r="26600" spans="1:1" x14ac:dyDescent="0.3">
      <c r="A26600" s="12"/>
    </row>
    <row r="26601" spans="1:1" x14ac:dyDescent="0.3">
      <c r="A26601" s="12"/>
    </row>
    <row r="26602" spans="1:1" x14ac:dyDescent="0.3">
      <c r="A26602" s="12"/>
    </row>
    <row r="26603" spans="1:1" x14ac:dyDescent="0.3">
      <c r="A26603" s="12"/>
    </row>
    <row r="26604" spans="1:1" x14ac:dyDescent="0.3">
      <c r="A26604" s="12"/>
    </row>
    <row r="26605" spans="1:1" x14ac:dyDescent="0.3">
      <c r="A26605" s="12"/>
    </row>
    <row r="26606" spans="1:1" x14ac:dyDescent="0.3">
      <c r="A26606" s="12"/>
    </row>
    <row r="26607" spans="1:1" x14ac:dyDescent="0.3">
      <c r="A26607" s="12"/>
    </row>
    <row r="26608" spans="1:1" x14ac:dyDescent="0.3">
      <c r="A26608" s="12"/>
    </row>
    <row r="26609" spans="1:1" x14ac:dyDescent="0.3">
      <c r="A26609" s="12"/>
    </row>
    <row r="26610" spans="1:1" x14ac:dyDescent="0.3">
      <c r="A26610" s="12"/>
    </row>
    <row r="26611" spans="1:1" x14ac:dyDescent="0.3">
      <c r="A26611" s="12"/>
    </row>
    <row r="26612" spans="1:1" x14ac:dyDescent="0.3">
      <c r="A26612" s="12"/>
    </row>
    <row r="26613" spans="1:1" x14ac:dyDescent="0.3">
      <c r="A26613" s="12"/>
    </row>
    <row r="26614" spans="1:1" x14ac:dyDescent="0.3">
      <c r="A26614" s="12"/>
    </row>
    <row r="26615" spans="1:1" x14ac:dyDescent="0.3">
      <c r="A26615" s="12"/>
    </row>
    <row r="26616" spans="1:1" x14ac:dyDescent="0.3">
      <c r="A26616" s="12"/>
    </row>
    <row r="26617" spans="1:1" x14ac:dyDescent="0.3">
      <c r="A26617" s="12"/>
    </row>
    <row r="26618" spans="1:1" x14ac:dyDescent="0.3">
      <c r="A26618" s="12"/>
    </row>
    <row r="26619" spans="1:1" x14ac:dyDescent="0.3">
      <c r="A26619" s="12"/>
    </row>
    <row r="26620" spans="1:1" x14ac:dyDescent="0.3">
      <c r="A26620" s="12"/>
    </row>
    <row r="26621" spans="1:1" x14ac:dyDescent="0.3">
      <c r="A26621" s="12"/>
    </row>
    <row r="26622" spans="1:1" x14ac:dyDescent="0.3">
      <c r="A26622" s="12"/>
    </row>
    <row r="26623" spans="1:1" x14ac:dyDescent="0.3">
      <c r="A26623" s="12"/>
    </row>
    <row r="26624" spans="1:1" x14ac:dyDescent="0.3">
      <c r="A26624" s="12"/>
    </row>
    <row r="26625" spans="1:1" x14ac:dyDescent="0.3">
      <c r="A26625" s="12"/>
    </row>
    <row r="26626" spans="1:1" x14ac:dyDescent="0.3">
      <c r="A26626" s="12"/>
    </row>
    <row r="26627" spans="1:1" x14ac:dyDescent="0.3">
      <c r="A26627" s="12"/>
    </row>
    <row r="26628" spans="1:1" x14ac:dyDescent="0.3">
      <c r="A26628" s="12"/>
    </row>
    <row r="26629" spans="1:1" x14ac:dyDescent="0.3">
      <c r="A26629" s="12"/>
    </row>
    <row r="26630" spans="1:1" x14ac:dyDescent="0.3">
      <c r="A26630" s="12"/>
    </row>
    <row r="26631" spans="1:1" x14ac:dyDescent="0.3">
      <c r="A26631" s="12"/>
    </row>
    <row r="26632" spans="1:1" x14ac:dyDescent="0.3">
      <c r="A26632" s="12"/>
    </row>
    <row r="26633" spans="1:1" x14ac:dyDescent="0.3">
      <c r="A26633" s="12"/>
    </row>
    <row r="26634" spans="1:1" x14ac:dyDescent="0.3">
      <c r="A26634" s="12"/>
    </row>
    <row r="26635" spans="1:1" x14ac:dyDescent="0.3">
      <c r="A26635" s="12"/>
    </row>
    <row r="26636" spans="1:1" x14ac:dyDescent="0.3">
      <c r="A26636" s="12"/>
    </row>
    <row r="26637" spans="1:1" x14ac:dyDescent="0.3">
      <c r="A26637" s="12"/>
    </row>
    <row r="26638" spans="1:1" x14ac:dyDescent="0.3">
      <c r="A26638" s="12"/>
    </row>
    <row r="26639" spans="1:1" x14ac:dyDescent="0.3">
      <c r="A26639" s="12"/>
    </row>
    <row r="26640" spans="1:1" x14ac:dyDescent="0.3">
      <c r="A26640" s="12"/>
    </row>
    <row r="26641" spans="1:1" x14ac:dyDescent="0.3">
      <c r="A26641" s="12"/>
    </row>
    <row r="26642" spans="1:1" x14ac:dyDescent="0.3">
      <c r="A26642" s="12"/>
    </row>
    <row r="26643" spans="1:1" x14ac:dyDescent="0.3">
      <c r="A26643" s="12"/>
    </row>
    <row r="26644" spans="1:1" x14ac:dyDescent="0.3">
      <c r="A26644" s="12"/>
    </row>
    <row r="26645" spans="1:1" x14ac:dyDescent="0.3">
      <c r="A26645" s="12"/>
    </row>
    <row r="26646" spans="1:1" x14ac:dyDescent="0.3">
      <c r="A26646" s="12"/>
    </row>
    <row r="26647" spans="1:1" x14ac:dyDescent="0.3">
      <c r="A26647" s="12"/>
    </row>
    <row r="26648" spans="1:1" x14ac:dyDescent="0.3">
      <c r="A26648" s="12"/>
    </row>
    <row r="26649" spans="1:1" x14ac:dyDescent="0.3">
      <c r="A26649" s="12"/>
    </row>
    <row r="26650" spans="1:1" x14ac:dyDescent="0.3">
      <c r="A26650" s="12"/>
    </row>
    <row r="26651" spans="1:1" x14ac:dyDescent="0.3">
      <c r="A26651" s="12"/>
    </row>
    <row r="26652" spans="1:1" x14ac:dyDescent="0.3">
      <c r="A26652" s="12"/>
    </row>
    <row r="26653" spans="1:1" x14ac:dyDescent="0.3">
      <c r="A26653" s="12"/>
    </row>
    <row r="26654" spans="1:1" x14ac:dyDescent="0.3">
      <c r="A26654" s="12"/>
    </row>
    <row r="26655" spans="1:1" x14ac:dyDescent="0.3">
      <c r="A26655" s="12"/>
    </row>
    <row r="26656" spans="1:1" x14ac:dyDescent="0.3">
      <c r="A26656" s="12"/>
    </row>
    <row r="26657" spans="1:1" x14ac:dyDescent="0.3">
      <c r="A26657" s="12"/>
    </row>
    <row r="26658" spans="1:1" x14ac:dyDescent="0.3">
      <c r="A26658" s="12"/>
    </row>
    <row r="26659" spans="1:1" x14ac:dyDescent="0.3">
      <c r="A26659" s="12"/>
    </row>
    <row r="26660" spans="1:1" x14ac:dyDescent="0.3">
      <c r="A26660" s="12"/>
    </row>
    <row r="26661" spans="1:1" x14ac:dyDescent="0.3">
      <c r="A26661" s="12"/>
    </row>
    <row r="26662" spans="1:1" x14ac:dyDescent="0.3">
      <c r="A26662" s="12"/>
    </row>
    <row r="26663" spans="1:1" x14ac:dyDescent="0.3">
      <c r="A26663" s="12"/>
    </row>
    <row r="26664" spans="1:1" x14ac:dyDescent="0.3">
      <c r="A26664" s="12"/>
    </row>
    <row r="26665" spans="1:1" x14ac:dyDescent="0.3">
      <c r="A26665" s="12"/>
    </row>
    <row r="26666" spans="1:1" x14ac:dyDescent="0.3">
      <c r="A26666" s="12"/>
    </row>
    <row r="26667" spans="1:1" x14ac:dyDescent="0.3">
      <c r="A26667" s="12"/>
    </row>
    <row r="26668" spans="1:1" x14ac:dyDescent="0.3">
      <c r="A26668" s="12"/>
    </row>
    <row r="26669" spans="1:1" x14ac:dyDescent="0.3">
      <c r="A26669" s="12"/>
    </row>
    <row r="26670" spans="1:1" x14ac:dyDescent="0.3">
      <c r="A26670" s="12"/>
    </row>
    <row r="26671" spans="1:1" x14ac:dyDescent="0.3">
      <c r="A26671" s="12"/>
    </row>
    <row r="26672" spans="1:1" x14ac:dyDescent="0.3">
      <c r="A26672" s="12"/>
    </row>
    <row r="26673" spans="1:1" x14ac:dyDescent="0.3">
      <c r="A26673" s="12"/>
    </row>
    <row r="26674" spans="1:1" x14ac:dyDescent="0.3">
      <c r="A26674" s="12"/>
    </row>
    <row r="26675" spans="1:1" x14ac:dyDescent="0.3">
      <c r="A26675" s="12"/>
    </row>
    <row r="26676" spans="1:1" x14ac:dyDescent="0.3">
      <c r="A26676" s="12"/>
    </row>
    <row r="26677" spans="1:1" x14ac:dyDescent="0.3">
      <c r="A26677" s="12"/>
    </row>
    <row r="26678" spans="1:1" x14ac:dyDescent="0.3">
      <c r="A26678" s="12"/>
    </row>
    <row r="26679" spans="1:1" x14ac:dyDescent="0.3">
      <c r="A26679" s="12"/>
    </row>
    <row r="26680" spans="1:1" x14ac:dyDescent="0.3">
      <c r="A26680" s="12"/>
    </row>
    <row r="26681" spans="1:1" x14ac:dyDescent="0.3">
      <c r="A26681" s="12"/>
    </row>
    <row r="26682" spans="1:1" x14ac:dyDescent="0.3">
      <c r="A26682" s="12"/>
    </row>
    <row r="26683" spans="1:1" x14ac:dyDescent="0.3">
      <c r="A26683" s="12"/>
    </row>
    <row r="26684" spans="1:1" x14ac:dyDescent="0.3">
      <c r="A26684" s="12"/>
    </row>
    <row r="26685" spans="1:1" x14ac:dyDescent="0.3">
      <c r="A26685" s="12"/>
    </row>
    <row r="26686" spans="1:1" x14ac:dyDescent="0.3">
      <c r="A26686" s="12"/>
    </row>
    <row r="26687" spans="1:1" x14ac:dyDescent="0.3">
      <c r="A26687" s="12"/>
    </row>
    <row r="26688" spans="1:1" x14ac:dyDescent="0.3">
      <c r="A26688" s="12"/>
    </row>
    <row r="26689" spans="1:1" x14ac:dyDescent="0.3">
      <c r="A26689" s="12"/>
    </row>
    <row r="26690" spans="1:1" x14ac:dyDescent="0.3">
      <c r="A26690" s="12"/>
    </row>
    <row r="26691" spans="1:1" x14ac:dyDescent="0.3">
      <c r="A26691" s="12"/>
    </row>
    <row r="26692" spans="1:1" x14ac:dyDescent="0.3">
      <c r="A26692" s="12"/>
    </row>
    <row r="26693" spans="1:1" x14ac:dyDescent="0.3">
      <c r="A26693" s="12"/>
    </row>
    <row r="26694" spans="1:1" x14ac:dyDescent="0.3">
      <c r="A26694" s="12"/>
    </row>
    <row r="26695" spans="1:1" x14ac:dyDescent="0.3">
      <c r="A26695" s="12"/>
    </row>
    <row r="26696" spans="1:1" x14ac:dyDescent="0.3">
      <c r="A26696" s="12"/>
    </row>
    <row r="26697" spans="1:1" x14ac:dyDescent="0.3">
      <c r="A26697" s="12"/>
    </row>
    <row r="26698" spans="1:1" x14ac:dyDescent="0.3">
      <c r="A26698" s="12"/>
    </row>
    <row r="26699" spans="1:1" x14ac:dyDescent="0.3">
      <c r="A26699" s="12"/>
    </row>
    <row r="26700" spans="1:1" x14ac:dyDescent="0.3">
      <c r="A26700" s="12"/>
    </row>
    <row r="26701" spans="1:1" x14ac:dyDescent="0.3">
      <c r="A26701" s="12"/>
    </row>
    <row r="26702" spans="1:1" x14ac:dyDescent="0.3">
      <c r="A26702" s="12"/>
    </row>
    <row r="26703" spans="1:1" x14ac:dyDescent="0.3">
      <c r="A26703" s="12"/>
    </row>
    <row r="26704" spans="1:1" x14ac:dyDescent="0.3">
      <c r="A26704" s="12"/>
    </row>
    <row r="26705" spans="1:1" x14ac:dyDescent="0.3">
      <c r="A26705" s="12"/>
    </row>
    <row r="26706" spans="1:1" x14ac:dyDescent="0.3">
      <c r="A26706" s="12"/>
    </row>
    <row r="26707" spans="1:1" x14ac:dyDescent="0.3">
      <c r="A26707" s="12"/>
    </row>
    <row r="26708" spans="1:1" x14ac:dyDescent="0.3">
      <c r="A26708" s="12"/>
    </row>
    <row r="26709" spans="1:1" x14ac:dyDescent="0.3">
      <c r="A26709" s="12"/>
    </row>
    <row r="26710" spans="1:1" x14ac:dyDescent="0.3">
      <c r="A26710" s="12"/>
    </row>
    <row r="26711" spans="1:1" x14ac:dyDescent="0.3">
      <c r="A26711" s="12"/>
    </row>
    <row r="26712" spans="1:1" x14ac:dyDescent="0.3">
      <c r="A26712" s="12"/>
    </row>
    <row r="26713" spans="1:1" x14ac:dyDescent="0.3">
      <c r="A26713" s="12"/>
    </row>
    <row r="26714" spans="1:1" x14ac:dyDescent="0.3">
      <c r="A26714" s="12"/>
    </row>
    <row r="26715" spans="1:1" x14ac:dyDescent="0.3">
      <c r="A26715" s="12"/>
    </row>
    <row r="26716" spans="1:1" x14ac:dyDescent="0.3">
      <c r="A26716" s="12"/>
    </row>
    <row r="26717" spans="1:1" x14ac:dyDescent="0.3">
      <c r="A26717" s="12"/>
    </row>
    <row r="26718" spans="1:1" x14ac:dyDescent="0.3">
      <c r="A26718" s="12"/>
    </row>
    <row r="26719" spans="1:1" x14ac:dyDescent="0.3">
      <c r="A26719" s="12"/>
    </row>
    <row r="26720" spans="1:1" x14ac:dyDescent="0.3">
      <c r="A26720" s="12"/>
    </row>
    <row r="26721" spans="1:1" x14ac:dyDescent="0.3">
      <c r="A26721" s="12"/>
    </row>
    <row r="26722" spans="1:1" x14ac:dyDescent="0.3">
      <c r="A26722" s="12"/>
    </row>
    <row r="26723" spans="1:1" x14ac:dyDescent="0.3">
      <c r="A26723" s="12"/>
    </row>
    <row r="26724" spans="1:1" x14ac:dyDescent="0.3">
      <c r="A26724" s="12"/>
    </row>
    <row r="26725" spans="1:1" x14ac:dyDescent="0.3">
      <c r="A26725" s="12"/>
    </row>
    <row r="26726" spans="1:1" x14ac:dyDescent="0.3">
      <c r="A26726" s="12"/>
    </row>
    <row r="26727" spans="1:1" x14ac:dyDescent="0.3">
      <c r="A26727" s="12"/>
    </row>
    <row r="26728" spans="1:1" x14ac:dyDescent="0.3">
      <c r="A26728" s="12"/>
    </row>
    <row r="26729" spans="1:1" x14ac:dyDescent="0.3">
      <c r="A26729" s="12"/>
    </row>
    <row r="26730" spans="1:1" x14ac:dyDescent="0.3">
      <c r="A26730" s="12"/>
    </row>
    <row r="26731" spans="1:1" x14ac:dyDescent="0.3">
      <c r="A26731" s="12"/>
    </row>
    <row r="26732" spans="1:1" x14ac:dyDescent="0.3">
      <c r="A26732" s="12"/>
    </row>
    <row r="26733" spans="1:1" x14ac:dyDescent="0.3">
      <c r="A26733" s="12"/>
    </row>
    <row r="26734" spans="1:1" x14ac:dyDescent="0.3">
      <c r="A26734" s="12"/>
    </row>
    <row r="26735" spans="1:1" x14ac:dyDescent="0.3">
      <c r="A26735" s="12"/>
    </row>
    <row r="26736" spans="1:1" x14ac:dyDescent="0.3">
      <c r="A26736" s="12"/>
    </row>
    <row r="26737" spans="1:1" x14ac:dyDescent="0.3">
      <c r="A26737" s="12"/>
    </row>
    <row r="26738" spans="1:1" x14ac:dyDescent="0.3">
      <c r="A26738" s="12"/>
    </row>
    <row r="26739" spans="1:1" x14ac:dyDescent="0.3">
      <c r="A26739" s="12"/>
    </row>
    <row r="26740" spans="1:1" x14ac:dyDescent="0.3">
      <c r="A26740" s="12"/>
    </row>
    <row r="26741" spans="1:1" x14ac:dyDescent="0.3">
      <c r="A26741" s="12"/>
    </row>
    <row r="26742" spans="1:1" x14ac:dyDescent="0.3">
      <c r="A26742" s="12"/>
    </row>
    <row r="26743" spans="1:1" x14ac:dyDescent="0.3">
      <c r="A26743" s="12"/>
    </row>
    <row r="26744" spans="1:1" x14ac:dyDescent="0.3">
      <c r="A26744" s="12"/>
    </row>
    <row r="26745" spans="1:1" x14ac:dyDescent="0.3">
      <c r="A26745" s="12"/>
    </row>
    <row r="26746" spans="1:1" x14ac:dyDescent="0.3">
      <c r="A26746" s="12"/>
    </row>
    <row r="26747" spans="1:1" x14ac:dyDescent="0.3">
      <c r="A26747" s="12"/>
    </row>
    <row r="26748" spans="1:1" x14ac:dyDescent="0.3">
      <c r="A26748" s="12"/>
    </row>
    <row r="26749" spans="1:1" x14ac:dyDescent="0.3">
      <c r="A26749" s="12"/>
    </row>
    <row r="26750" spans="1:1" x14ac:dyDescent="0.3">
      <c r="A26750" s="12"/>
    </row>
    <row r="26751" spans="1:1" x14ac:dyDescent="0.3">
      <c r="A26751" s="12"/>
    </row>
    <row r="26752" spans="1:1" x14ac:dyDescent="0.3">
      <c r="A26752" s="12"/>
    </row>
    <row r="26753" spans="1:1" x14ac:dyDescent="0.3">
      <c r="A26753" s="12"/>
    </row>
    <row r="26754" spans="1:1" x14ac:dyDescent="0.3">
      <c r="A26754" s="12"/>
    </row>
    <row r="26755" spans="1:1" x14ac:dyDescent="0.3">
      <c r="A26755" s="12"/>
    </row>
    <row r="26756" spans="1:1" x14ac:dyDescent="0.3">
      <c r="A26756" s="12"/>
    </row>
    <row r="26757" spans="1:1" x14ac:dyDescent="0.3">
      <c r="A26757" s="12"/>
    </row>
    <row r="26758" spans="1:1" x14ac:dyDescent="0.3">
      <c r="A26758" s="12"/>
    </row>
    <row r="26759" spans="1:1" x14ac:dyDescent="0.3">
      <c r="A26759" s="12"/>
    </row>
    <row r="26760" spans="1:1" x14ac:dyDescent="0.3">
      <c r="A26760" s="12"/>
    </row>
    <row r="26761" spans="1:1" x14ac:dyDescent="0.3">
      <c r="A26761" s="12"/>
    </row>
    <row r="26762" spans="1:1" x14ac:dyDescent="0.3">
      <c r="A26762" s="12"/>
    </row>
    <row r="26763" spans="1:1" x14ac:dyDescent="0.3">
      <c r="A26763" s="12"/>
    </row>
    <row r="26764" spans="1:1" x14ac:dyDescent="0.3">
      <c r="A26764" s="12"/>
    </row>
    <row r="26765" spans="1:1" x14ac:dyDescent="0.3">
      <c r="A26765" s="12"/>
    </row>
    <row r="26766" spans="1:1" x14ac:dyDescent="0.3">
      <c r="A26766" s="12"/>
    </row>
    <row r="26767" spans="1:1" x14ac:dyDescent="0.3">
      <c r="A26767" s="12"/>
    </row>
    <row r="26768" spans="1:1" x14ac:dyDescent="0.3">
      <c r="A26768" s="12"/>
    </row>
    <row r="26769" spans="1:1" x14ac:dyDescent="0.3">
      <c r="A26769" s="12"/>
    </row>
    <row r="26770" spans="1:1" x14ac:dyDescent="0.3">
      <c r="A26770" s="12"/>
    </row>
    <row r="26771" spans="1:1" x14ac:dyDescent="0.3">
      <c r="A26771" s="12"/>
    </row>
    <row r="26772" spans="1:1" x14ac:dyDescent="0.3">
      <c r="A26772" s="12"/>
    </row>
    <row r="26773" spans="1:1" x14ac:dyDescent="0.3">
      <c r="A26773" s="12"/>
    </row>
    <row r="26774" spans="1:1" x14ac:dyDescent="0.3">
      <c r="A26774" s="12"/>
    </row>
    <row r="26775" spans="1:1" x14ac:dyDescent="0.3">
      <c r="A26775" s="12"/>
    </row>
    <row r="26776" spans="1:1" x14ac:dyDescent="0.3">
      <c r="A26776" s="12"/>
    </row>
    <row r="26777" spans="1:1" x14ac:dyDescent="0.3">
      <c r="A26777" s="12"/>
    </row>
    <row r="26778" spans="1:1" x14ac:dyDescent="0.3">
      <c r="A26778" s="12"/>
    </row>
    <row r="26779" spans="1:1" x14ac:dyDescent="0.3">
      <c r="A26779" s="12"/>
    </row>
    <row r="26780" spans="1:1" x14ac:dyDescent="0.3">
      <c r="A26780" s="12"/>
    </row>
    <row r="26781" spans="1:1" x14ac:dyDescent="0.3">
      <c r="A26781" s="12"/>
    </row>
    <row r="26782" spans="1:1" x14ac:dyDescent="0.3">
      <c r="A26782" s="12"/>
    </row>
    <row r="26783" spans="1:1" x14ac:dyDescent="0.3">
      <c r="A26783" s="12"/>
    </row>
    <row r="26784" spans="1:1" x14ac:dyDescent="0.3">
      <c r="A26784" s="12"/>
    </row>
    <row r="26785" spans="1:1" x14ac:dyDescent="0.3">
      <c r="A26785" s="12"/>
    </row>
    <row r="26786" spans="1:1" x14ac:dyDescent="0.3">
      <c r="A26786" s="12"/>
    </row>
    <row r="26787" spans="1:1" x14ac:dyDescent="0.3">
      <c r="A26787" s="12"/>
    </row>
    <row r="26788" spans="1:1" x14ac:dyDescent="0.3">
      <c r="A26788" s="12"/>
    </row>
    <row r="26789" spans="1:1" x14ac:dyDescent="0.3">
      <c r="A26789" s="12"/>
    </row>
    <row r="26790" spans="1:1" x14ac:dyDescent="0.3">
      <c r="A26790" s="12"/>
    </row>
    <row r="26791" spans="1:1" x14ac:dyDescent="0.3">
      <c r="A26791" s="12"/>
    </row>
    <row r="26792" spans="1:1" x14ac:dyDescent="0.3">
      <c r="A26792" s="12"/>
    </row>
    <row r="26793" spans="1:1" x14ac:dyDescent="0.3">
      <c r="A26793" s="12"/>
    </row>
    <row r="26794" spans="1:1" x14ac:dyDescent="0.3">
      <c r="A26794" s="12"/>
    </row>
    <row r="26795" spans="1:1" x14ac:dyDescent="0.3">
      <c r="A26795" s="12"/>
    </row>
    <row r="26796" spans="1:1" x14ac:dyDescent="0.3">
      <c r="A26796" s="12"/>
    </row>
    <row r="26797" spans="1:1" x14ac:dyDescent="0.3">
      <c r="A26797" s="12"/>
    </row>
    <row r="26798" spans="1:1" x14ac:dyDescent="0.3">
      <c r="A26798" s="12"/>
    </row>
    <row r="26799" spans="1:1" x14ac:dyDescent="0.3">
      <c r="A26799" s="12"/>
    </row>
    <row r="26800" spans="1:1" x14ac:dyDescent="0.3">
      <c r="A26800" s="12"/>
    </row>
    <row r="26801" spans="1:1" x14ac:dyDescent="0.3">
      <c r="A26801" s="12"/>
    </row>
    <row r="26802" spans="1:1" x14ac:dyDescent="0.3">
      <c r="A26802" s="12"/>
    </row>
    <row r="26803" spans="1:1" x14ac:dyDescent="0.3">
      <c r="A26803" s="12"/>
    </row>
    <row r="26804" spans="1:1" x14ac:dyDescent="0.3">
      <c r="A26804" s="12"/>
    </row>
    <row r="26805" spans="1:1" x14ac:dyDescent="0.3">
      <c r="A26805" s="12"/>
    </row>
    <row r="26806" spans="1:1" x14ac:dyDescent="0.3">
      <c r="A26806" s="12"/>
    </row>
    <row r="26807" spans="1:1" x14ac:dyDescent="0.3">
      <c r="A26807" s="12"/>
    </row>
    <row r="26808" spans="1:1" x14ac:dyDescent="0.3">
      <c r="A26808" s="12"/>
    </row>
    <row r="26809" spans="1:1" x14ac:dyDescent="0.3">
      <c r="A26809" s="12"/>
    </row>
    <row r="26810" spans="1:1" x14ac:dyDescent="0.3">
      <c r="A26810" s="12"/>
    </row>
    <row r="26811" spans="1:1" x14ac:dyDescent="0.3">
      <c r="A26811" s="12"/>
    </row>
    <row r="26812" spans="1:1" x14ac:dyDescent="0.3">
      <c r="A26812" s="12"/>
    </row>
    <row r="26813" spans="1:1" x14ac:dyDescent="0.3">
      <c r="A26813" s="12"/>
    </row>
    <row r="26814" spans="1:1" x14ac:dyDescent="0.3">
      <c r="A26814" s="12"/>
    </row>
    <row r="26815" spans="1:1" x14ac:dyDescent="0.3">
      <c r="A26815" s="12"/>
    </row>
    <row r="26816" spans="1:1" x14ac:dyDescent="0.3">
      <c r="A26816" s="12"/>
    </row>
    <row r="26817" spans="1:1" x14ac:dyDescent="0.3">
      <c r="A26817" s="12"/>
    </row>
    <row r="26818" spans="1:1" x14ac:dyDescent="0.3">
      <c r="A26818" s="12"/>
    </row>
    <row r="26819" spans="1:1" x14ac:dyDescent="0.3">
      <c r="A26819" s="12"/>
    </row>
    <row r="26820" spans="1:1" x14ac:dyDescent="0.3">
      <c r="A26820" s="12"/>
    </row>
    <row r="26821" spans="1:1" x14ac:dyDescent="0.3">
      <c r="A26821" s="12"/>
    </row>
    <row r="26822" spans="1:1" x14ac:dyDescent="0.3">
      <c r="A26822" s="12"/>
    </row>
    <row r="26823" spans="1:1" x14ac:dyDescent="0.3">
      <c r="A26823" s="12"/>
    </row>
    <row r="26824" spans="1:1" x14ac:dyDescent="0.3">
      <c r="A26824" s="12"/>
    </row>
    <row r="26825" spans="1:1" x14ac:dyDescent="0.3">
      <c r="A26825" s="12"/>
    </row>
    <row r="26826" spans="1:1" x14ac:dyDescent="0.3">
      <c r="A26826" s="12"/>
    </row>
    <row r="26827" spans="1:1" x14ac:dyDescent="0.3">
      <c r="A26827" s="12"/>
    </row>
    <row r="26828" spans="1:1" x14ac:dyDescent="0.3">
      <c r="A26828" s="12"/>
    </row>
    <row r="26829" spans="1:1" x14ac:dyDescent="0.3">
      <c r="A26829" s="12"/>
    </row>
    <row r="26830" spans="1:1" x14ac:dyDescent="0.3">
      <c r="A26830" s="12"/>
    </row>
    <row r="26831" spans="1:1" x14ac:dyDescent="0.3">
      <c r="A26831" s="12"/>
    </row>
    <row r="26832" spans="1:1" x14ac:dyDescent="0.3">
      <c r="A26832" s="12"/>
    </row>
    <row r="26833" spans="1:1" x14ac:dyDescent="0.3">
      <c r="A26833" s="12"/>
    </row>
    <row r="26834" spans="1:1" x14ac:dyDescent="0.3">
      <c r="A26834" s="12"/>
    </row>
    <row r="26835" spans="1:1" x14ac:dyDescent="0.3">
      <c r="A26835" s="12"/>
    </row>
    <row r="26836" spans="1:1" x14ac:dyDescent="0.3">
      <c r="A26836" s="12"/>
    </row>
    <row r="26837" spans="1:1" x14ac:dyDescent="0.3">
      <c r="A26837" s="12"/>
    </row>
    <row r="26838" spans="1:1" x14ac:dyDescent="0.3">
      <c r="A26838" s="12"/>
    </row>
    <row r="26839" spans="1:1" x14ac:dyDescent="0.3">
      <c r="A26839" s="12"/>
    </row>
    <row r="26840" spans="1:1" x14ac:dyDescent="0.3">
      <c r="A26840" s="12"/>
    </row>
    <row r="26841" spans="1:1" x14ac:dyDescent="0.3">
      <c r="A26841" s="12"/>
    </row>
    <row r="26842" spans="1:1" x14ac:dyDescent="0.3">
      <c r="A26842" s="12"/>
    </row>
    <row r="26843" spans="1:1" x14ac:dyDescent="0.3">
      <c r="A26843" s="12"/>
    </row>
    <row r="26844" spans="1:1" x14ac:dyDescent="0.3">
      <c r="A26844" s="12"/>
    </row>
    <row r="26845" spans="1:1" x14ac:dyDescent="0.3">
      <c r="A26845" s="12"/>
    </row>
    <row r="26846" spans="1:1" x14ac:dyDescent="0.3">
      <c r="A26846" s="12"/>
    </row>
    <row r="26847" spans="1:1" x14ac:dyDescent="0.3">
      <c r="A26847" s="12"/>
    </row>
    <row r="26848" spans="1:1" x14ac:dyDescent="0.3">
      <c r="A26848" s="12"/>
    </row>
    <row r="26849" spans="1:1" x14ac:dyDescent="0.3">
      <c r="A26849" s="12"/>
    </row>
    <row r="26850" spans="1:1" x14ac:dyDescent="0.3">
      <c r="A26850" s="12"/>
    </row>
    <row r="26851" spans="1:1" x14ac:dyDescent="0.3">
      <c r="A26851" s="12"/>
    </row>
    <row r="26852" spans="1:1" x14ac:dyDescent="0.3">
      <c r="A26852" s="12"/>
    </row>
    <row r="26853" spans="1:1" x14ac:dyDescent="0.3">
      <c r="A26853" s="12"/>
    </row>
    <row r="26854" spans="1:1" x14ac:dyDescent="0.3">
      <c r="A26854" s="12"/>
    </row>
    <row r="26855" spans="1:1" x14ac:dyDescent="0.3">
      <c r="A26855" s="12"/>
    </row>
    <row r="26856" spans="1:1" x14ac:dyDescent="0.3">
      <c r="A26856" s="12"/>
    </row>
    <row r="26857" spans="1:1" x14ac:dyDescent="0.3">
      <c r="A26857" s="12"/>
    </row>
    <row r="26858" spans="1:1" x14ac:dyDescent="0.3">
      <c r="A26858" s="12"/>
    </row>
    <row r="26859" spans="1:1" x14ac:dyDescent="0.3">
      <c r="A26859" s="12"/>
    </row>
    <row r="26860" spans="1:1" x14ac:dyDescent="0.3">
      <c r="A26860" s="12"/>
    </row>
    <row r="26861" spans="1:1" x14ac:dyDescent="0.3">
      <c r="A26861" s="12"/>
    </row>
    <row r="26862" spans="1:1" x14ac:dyDescent="0.3">
      <c r="A26862" s="12"/>
    </row>
    <row r="26863" spans="1:1" x14ac:dyDescent="0.3">
      <c r="A26863" s="12"/>
    </row>
    <row r="26864" spans="1:1" x14ac:dyDescent="0.3">
      <c r="A26864" s="12"/>
    </row>
    <row r="26865" spans="1:1" x14ac:dyDescent="0.3">
      <c r="A26865" s="12"/>
    </row>
    <row r="26866" spans="1:1" x14ac:dyDescent="0.3">
      <c r="A26866" s="12"/>
    </row>
    <row r="26867" spans="1:1" x14ac:dyDescent="0.3">
      <c r="A26867" s="12"/>
    </row>
    <row r="26868" spans="1:1" x14ac:dyDescent="0.3">
      <c r="A26868" s="12"/>
    </row>
    <row r="26869" spans="1:1" x14ac:dyDescent="0.3">
      <c r="A26869" s="12"/>
    </row>
    <row r="26870" spans="1:1" x14ac:dyDescent="0.3">
      <c r="A26870" s="12"/>
    </row>
    <row r="26871" spans="1:1" x14ac:dyDescent="0.3">
      <c r="A26871" s="12"/>
    </row>
    <row r="26872" spans="1:1" x14ac:dyDescent="0.3">
      <c r="A26872" s="12"/>
    </row>
    <row r="26873" spans="1:1" x14ac:dyDescent="0.3">
      <c r="A26873" s="12"/>
    </row>
    <row r="26874" spans="1:1" x14ac:dyDescent="0.3">
      <c r="A26874" s="12"/>
    </row>
    <row r="26875" spans="1:1" x14ac:dyDescent="0.3">
      <c r="A26875" s="12"/>
    </row>
    <row r="26876" spans="1:1" x14ac:dyDescent="0.3">
      <c r="A26876" s="12"/>
    </row>
    <row r="26877" spans="1:1" x14ac:dyDescent="0.3">
      <c r="A26877" s="12"/>
    </row>
    <row r="26878" spans="1:1" x14ac:dyDescent="0.3">
      <c r="A26878" s="12"/>
    </row>
    <row r="26879" spans="1:1" x14ac:dyDescent="0.3">
      <c r="A26879" s="12"/>
    </row>
    <row r="26880" spans="1:1" x14ac:dyDescent="0.3">
      <c r="A26880" s="12"/>
    </row>
    <row r="26881" spans="1:1" x14ac:dyDescent="0.3">
      <c r="A26881" s="12"/>
    </row>
    <row r="26882" spans="1:1" x14ac:dyDescent="0.3">
      <c r="A26882" s="12"/>
    </row>
    <row r="26883" spans="1:1" x14ac:dyDescent="0.3">
      <c r="A26883" s="12"/>
    </row>
    <row r="26884" spans="1:1" x14ac:dyDescent="0.3">
      <c r="A26884" s="12"/>
    </row>
    <row r="26885" spans="1:1" x14ac:dyDescent="0.3">
      <c r="A26885" s="12"/>
    </row>
    <row r="26886" spans="1:1" x14ac:dyDescent="0.3">
      <c r="A26886" s="12"/>
    </row>
    <row r="26887" spans="1:1" x14ac:dyDescent="0.3">
      <c r="A26887" s="12"/>
    </row>
    <row r="26888" spans="1:1" x14ac:dyDescent="0.3">
      <c r="A26888" s="12"/>
    </row>
    <row r="26889" spans="1:1" x14ac:dyDescent="0.3">
      <c r="A26889" s="12"/>
    </row>
    <row r="26890" spans="1:1" x14ac:dyDescent="0.3">
      <c r="A26890" s="12"/>
    </row>
    <row r="26891" spans="1:1" x14ac:dyDescent="0.3">
      <c r="A26891" s="12"/>
    </row>
    <row r="26892" spans="1:1" x14ac:dyDescent="0.3">
      <c r="A26892" s="12"/>
    </row>
    <row r="26893" spans="1:1" x14ac:dyDescent="0.3">
      <c r="A26893" s="12"/>
    </row>
    <row r="26894" spans="1:1" x14ac:dyDescent="0.3">
      <c r="A26894" s="12"/>
    </row>
    <row r="26895" spans="1:1" x14ac:dyDescent="0.3">
      <c r="A26895" s="12"/>
    </row>
    <row r="26896" spans="1:1" x14ac:dyDescent="0.3">
      <c r="A26896" s="12"/>
    </row>
    <row r="26897" spans="1:1" x14ac:dyDescent="0.3">
      <c r="A26897" s="12"/>
    </row>
    <row r="26898" spans="1:1" x14ac:dyDescent="0.3">
      <c r="A26898" s="12"/>
    </row>
    <row r="26899" spans="1:1" x14ac:dyDescent="0.3">
      <c r="A26899" s="12"/>
    </row>
    <row r="26900" spans="1:1" x14ac:dyDescent="0.3">
      <c r="A26900" s="12"/>
    </row>
    <row r="26901" spans="1:1" x14ac:dyDescent="0.3">
      <c r="A26901" s="12"/>
    </row>
    <row r="26902" spans="1:1" x14ac:dyDescent="0.3">
      <c r="A26902" s="12"/>
    </row>
    <row r="26903" spans="1:1" x14ac:dyDescent="0.3">
      <c r="A26903" s="12"/>
    </row>
    <row r="26904" spans="1:1" x14ac:dyDescent="0.3">
      <c r="A26904" s="12"/>
    </row>
    <row r="26905" spans="1:1" x14ac:dyDescent="0.3">
      <c r="A26905" s="12"/>
    </row>
    <row r="26906" spans="1:1" x14ac:dyDescent="0.3">
      <c r="A26906" s="12"/>
    </row>
    <row r="26907" spans="1:1" x14ac:dyDescent="0.3">
      <c r="A26907" s="12"/>
    </row>
    <row r="26908" spans="1:1" x14ac:dyDescent="0.3">
      <c r="A26908" s="12"/>
    </row>
    <row r="26909" spans="1:1" x14ac:dyDescent="0.3">
      <c r="A26909" s="12"/>
    </row>
    <row r="26910" spans="1:1" x14ac:dyDescent="0.3">
      <c r="A26910" s="12"/>
    </row>
    <row r="26911" spans="1:1" x14ac:dyDescent="0.3">
      <c r="A26911" s="12"/>
    </row>
    <row r="26912" spans="1:1" x14ac:dyDescent="0.3">
      <c r="A26912" s="12"/>
    </row>
    <row r="26913" spans="1:1" x14ac:dyDescent="0.3">
      <c r="A26913" s="12"/>
    </row>
    <row r="26914" spans="1:1" x14ac:dyDescent="0.3">
      <c r="A26914" s="12"/>
    </row>
    <row r="26915" spans="1:1" x14ac:dyDescent="0.3">
      <c r="A26915" s="12"/>
    </row>
    <row r="26916" spans="1:1" x14ac:dyDescent="0.3">
      <c r="A26916" s="12"/>
    </row>
    <row r="26917" spans="1:1" x14ac:dyDescent="0.3">
      <c r="A26917" s="12"/>
    </row>
    <row r="26918" spans="1:1" x14ac:dyDescent="0.3">
      <c r="A26918" s="12"/>
    </row>
    <row r="26919" spans="1:1" x14ac:dyDescent="0.3">
      <c r="A26919" s="12"/>
    </row>
    <row r="26920" spans="1:1" x14ac:dyDescent="0.3">
      <c r="A26920" s="12"/>
    </row>
    <row r="26921" spans="1:1" x14ac:dyDescent="0.3">
      <c r="A26921" s="12"/>
    </row>
    <row r="26922" spans="1:1" x14ac:dyDescent="0.3">
      <c r="A26922" s="12"/>
    </row>
    <row r="26923" spans="1:1" x14ac:dyDescent="0.3">
      <c r="A26923" s="12"/>
    </row>
    <row r="26924" spans="1:1" x14ac:dyDescent="0.3">
      <c r="A26924" s="12"/>
    </row>
    <row r="26925" spans="1:1" x14ac:dyDescent="0.3">
      <c r="A26925" s="12"/>
    </row>
    <row r="26926" spans="1:1" x14ac:dyDescent="0.3">
      <c r="A26926" s="12"/>
    </row>
    <row r="26927" spans="1:1" x14ac:dyDescent="0.3">
      <c r="A26927" s="12"/>
    </row>
    <row r="26928" spans="1:1" x14ac:dyDescent="0.3">
      <c r="A26928" s="12"/>
    </row>
    <row r="26929" spans="1:1" x14ac:dyDescent="0.3">
      <c r="A26929" s="12"/>
    </row>
    <row r="26930" spans="1:1" x14ac:dyDescent="0.3">
      <c r="A26930" s="12"/>
    </row>
    <row r="26931" spans="1:1" x14ac:dyDescent="0.3">
      <c r="A26931" s="12"/>
    </row>
    <row r="26932" spans="1:1" x14ac:dyDescent="0.3">
      <c r="A26932" s="12"/>
    </row>
    <row r="26933" spans="1:1" x14ac:dyDescent="0.3">
      <c r="A26933" s="12"/>
    </row>
    <row r="26934" spans="1:1" x14ac:dyDescent="0.3">
      <c r="A26934" s="12"/>
    </row>
    <row r="26935" spans="1:1" x14ac:dyDescent="0.3">
      <c r="A26935" s="12"/>
    </row>
    <row r="26936" spans="1:1" x14ac:dyDescent="0.3">
      <c r="A26936" s="12"/>
    </row>
    <row r="26937" spans="1:1" x14ac:dyDescent="0.3">
      <c r="A26937" s="12"/>
    </row>
    <row r="26938" spans="1:1" x14ac:dyDescent="0.3">
      <c r="A26938" s="12"/>
    </row>
    <row r="26939" spans="1:1" x14ac:dyDescent="0.3">
      <c r="A26939" s="12"/>
    </row>
    <row r="26940" spans="1:1" x14ac:dyDescent="0.3">
      <c r="A26940" s="12"/>
    </row>
    <row r="26941" spans="1:1" x14ac:dyDescent="0.3">
      <c r="A26941" s="12"/>
    </row>
    <row r="26942" spans="1:1" x14ac:dyDescent="0.3">
      <c r="A26942" s="12"/>
    </row>
    <row r="26943" spans="1:1" x14ac:dyDescent="0.3">
      <c r="A26943" s="12"/>
    </row>
    <row r="26944" spans="1:1" x14ac:dyDescent="0.3">
      <c r="A26944" s="12"/>
    </row>
    <row r="26945" spans="1:1" x14ac:dyDescent="0.3">
      <c r="A26945" s="12"/>
    </row>
    <row r="26946" spans="1:1" x14ac:dyDescent="0.3">
      <c r="A26946" s="12"/>
    </row>
    <row r="26947" spans="1:1" x14ac:dyDescent="0.3">
      <c r="A26947" s="12"/>
    </row>
    <row r="26948" spans="1:1" x14ac:dyDescent="0.3">
      <c r="A26948" s="12"/>
    </row>
    <row r="26949" spans="1:1" x14ac:dyDescent="0.3">
      <c r="A26949" s="12"/>
    </row>
    <row r="26950" spans="1:1" x14ac:dyDescent="0.3">
      <c r="A26950" s="12"/>
    </row>
  </sheetData>
  <mergeCells count="3">
    <mergeCell ref="N1:O1"/>
    <mergeCell ref="AA1:AB1"/>
    <mergeCell ref="A122:B12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0D2D-9F04-4A6F-846F-6B1FB466CE45}">
  <sheetPr codeName="Sheet5"/>
  <dimension ref="A1:Y26950"/>
  <sheetViews>
    <sheetView topLeftCell="J1" workbookViewId="0">
      <selection activeCell="L112" sqref="L112"/>
    </sheetView>
  </sheetViews>
  <sheetFormatPr baseColWidth="10" defaultColWidth="8.77734375" defaultRowHeight="14.4" x14ac:dyDescent="0.3"/>
  <cols>
    <col min="1" max="1" width="10.77734375" style="11"/>
    <col min="2" max="2" width="13.5546875" style="13" bestFit="1" customWidth="1"/>
    <col min="3" max="8" width="12.44140625" style="13" bestFit="1" customWidth="1"/>
    <col min="9" max="11" width="11" style="13" bestFit="1" customWidth="1"/>
    <col min="16" max="16" width="11" bestFit="1" customWidth="1"/>
    <col min="17" max="23" width="10" bestFit="1" customWidth="1"/>
  </cols>
  <sheetData>
    <row r="1" spans="1:25" ht="15" thickBot="1" x14ac:dyDescent="0.35">
      <c r="A1" s="12">
        <v>42374</v>
      </c>
      <c r="B1" s="13">
        <v>357368.73100636207</v>
      </c>
      <c r="C1" s="13">
        <v>389834.51896744955</v>
      </c>
      <c r="D1" s="13">
        <v>316831.39258036658</v>
      </c>
      <c r="E1" s="13">
        <v>230961.3380416049</v>
      </c>
      <c r="F1" s="13">
        <v>54979.882812847572</v>
      </c>
      <c r="G1" s="13">
        <v>51116.87669020817</v>
      </c>
      <c r="H1" s="13">
        <v>17536.533986039358</v>
      </c>
      <c r="I1" s="13">
        <v>13543.825651997555</v>
      </c>
      <c r="J1" s="13">
        <v>119.10270812140497</v>
      </c>
      <c r="K1" s="13">
        <v>72.395149173861228</v>
      </c>
      <c r="M1" s="92" t="s">
        <v>28</v>
      </c>
      <c r="N1" s="93"/>
      <c r="O1" s="33" t="s">
        <v>27</v>
      </c>
      <c r="P1">
        <v>1</v>
      </c>
      <c r="Q1">
        <v>2</v>
      </c>
      <c r="R1">
        <v>3</v>
      </c>
      <c r="S1">
        <v>4</v>
      </c>
      <c r="T1">
        <v>5</v>
      </c>
      <c r="U1">
        <v>6</v>
      </c>
      <c r="V1">
        <v>7</v>
      </c>
      <c r="W1">
        <v>8</v>
      </c>
      <c r="X1">
        <v>9</v>
      </c>
      <c r="Y1">
        <v>10</v>
      </c>
    </row>
    <row r="2" spans="1:25" x14ac:dyDescent="0.3">
      <c r="A2" s="12">
        <v>42415</v>
      </c>
      <c r="B2" s="13">
        <v>1568224.5552473001</v>
      </c>
      <c r="C2" s="13">
        <v>841886.09702166449</v>
      </c>
      <c r="D2" s="13">
        <v>697826.37624542182</v>
      </c>
      <c r="E2" s="13">
        <v>303365.95484514604</v>
      </c>
      <c r="F2" s="13">
        <v>57283.480771277398</v>
      </c>
      <c r="G2" s="13">
        <v>57225.958266811278</v>
      </c>
      <c r="H2" s="13">
        <v>13867.485077208847</v>
      </c>
      <c r="I2" s="13">
        <v>450.93948852407186</v>
      </c>
      <c r="J2" s="13">
        <v>48.777901199452792</v>
      </c>
      <c r="K2" s="13">
        <v>0.11579825683027693</v>
      </c>
      <c r="O2">
        <f>YEAR($A1)</f>
        <v>2016</v>
      </c>
      <c r="P2" s="44">
        <f>B1*VLOOKUP('Cum. payments'!BO2,Exposure!$B$33:$C$53,2,FALSE)/VLOOKUP('Cum. payments'!AZ2,Exposure!$B$33:$C$53,2,FALSE)</f>
        <v>573885.73435420496</v>
      </c>
      <c r="Q2" s="44">
        <f>C1*VLOOKUP('Cum. payments'!BP2,Exposure!$B$33:$C$53,2,FALSE)/VLOOKUP('Cum. payments'!BA2,Exposure!$B$33:$C$53,2,FALSE)</f>
        <v>624040.774740758</v>
      </c>
      <c r="R2" s="44">
        <f>D1*VLOOKUP('Cum. payments'!BQ2,Exposure!$B$33:$C$53,2,FALSE)/VLOOKUP('Cum. payments'!BB2,Exposure!$B$33:$C$53,2,FALSE)</f>
        <v>505944.16939196433</v>
      </c>
      <c r="S2" s="44">
        <f>E1*VLOOKUP('Cum. payments'!BR2,Exposure!$B$33:$C$53,2,FALSE)/VLOOKUP('Cum. payments'!BC2,Exposure!$B$33:$C$53,2,FALSE)</f>
        <v>370103.80401113775</v>
      </c>
      <c r="T2" s="44">
        <f>F1*VLOOKUP('Cum. payments'!BS2,Exposure!$B$33:$C$53,2,FALSE)/VLOOKUP('Cum. payments'!BD2,Exposure!$B$33:$C$53,2,FALSE)</f>
        <v>89014.711703451627</v>
      </c>
      <c r="U2" s="44">
        <f>G1*VLOOKUP('Cum. payments'!BT2,Exposure!$B$33:$C$53,2,FALSE)/VLOOKUP('Cum. payments'!BE2,Exposure!$B$33:$C$53,2,FALSE)</f>
        <v>82250.087323553147</v>
      </c>
      <c r="V2" s="44">
        <f>H1*VLOOKUP('Cum. payments'!BU2,Exposure!$B$33:$C$53,2,FALSE)/VLOOKUP('Cum. payments'!BF2,Exposure!$B$33:$C$53,2,FALSE)</f>
        <v>26241.152223174995</v>
      </c>
      <c r="W2" s="44">
        <f>I1*VLOOKUP('Cum. payments'!BV2,Exposure!$B$33:$C$53,2,FALSE)/VLOOKUP('Cum. payments'!BG2,Exposure!$B$33:$C$53,2,FALSE)</f>
        <v>19822.506777654071</v>
      </c>
      <c r="X2" s="44">
        <f>J1*VLOOKUP('Cum. payments'!BW2,Exposure!$B$33:$C$53,2,FALSE)/VLOOKUP('Cum. payments'!BH2,Exposure!$B$33:$C$53,2,FALSE)</f>
        <v>172.07760048168117</v>
      </c>
      <c r="Y2" s="44">
        <f>K1*VLOOKUP('Cum. payments'!BX2,Exposure!$B$33:$C$53,2,FALSE)/VLOOKUP('Cum. payments'!BI2,Exposure!$B$33:$C$53,2,FALSE)</f>
        <v>103.92033594062202</v>
      </c>
    </row>
    <row r="3" spans="1:25" x14ac:dyDescent="0.3">
      <c r="A3" s="12">
        <v>42427</v>
      </c>
      <c r="B3" s="13">
        <v>622872.77230325167</v>
      </c>
      <c r="C3" s="13">
        <v>604063.01136819855</v>
      </c>
      <c r="D3" s="13">
        <v>705529.75270478183</v>
      </c>
      <c r="E3" s="13">
        <v>34986.659338730933</v>
      </c>
      <c r="F3" s="13">
        <v>31324.433594098773</v>
      </c>
      <c r="G3" s="13">
        <v>23467.864312512684</v>
      </c>
      <c r="H3" s="13">
        <v>22584.056475362016</v>
      </c>
      <c r="I3" s="13">
        <v>12037.607052761266</v>
      </c>
      <c r="J3" s="13">
        <v>5161.3716552638471</v>
      </c>
      <c r="K3" s="13">
        <v>1898.0262970561369</v>
      </c>
      <c r="O3">
        <f t="shared" ref="O3:O66" si="0">YEAR($A2)</f>
        <v>2016</v>
      </c>
      <c r="P3" s="44">
        <f>B2*VLOOKUP('Cum. payments'!BO3,Exposure!$B$33:$C$53,2,FALSE)/VLOOKUP('Cum. payments'!AZ3,Exposure!$B$33:$C$53,2,FALSE)</f>
        <v>2518356.035196519</v>
      </c>
      <c r="Q3" s="44">
        <f>C2*VLOOKUP('Cum. payments'!BP3,Exposure!$B$33:$C$53,2,FALSE)/VLOOKUP('Cum. payments'!BA3,Exposure!$B$33:$C$53,2,FALSE)</f>
        <v>1347677.6084899246</v>
      </c>
      <c r="R3" s="44">
        <f>D2*VLOOKUP('Cum. payments'!BQ3,Exposure!$B$33:$C$53,2,FALSE)/VLOOKUP('Cum. payments'!BB3,Exposure!$B$33:$C$53,2,FALSE)</f>
        <v>1114350.3913354729</v>
      </c>
      <c r="S3" s="44">
        <f>E2*VLOOKUP('Cum. payments'!BR3,Exposure!$B$33:$C$53,2,FALSE)/VLOOKUP('Cum. payments'!BC3,Exposure!$B$33:$C$53,2,FALSE)</f>
        <v>486128.52197554492</v>
      </c>
      <c r="T3" s="44">
        <f>F2*VLOOKUP('Cum. payments'!BS3,Exposure!$B$33:$C$53,2,FALSE)/VLOOKUP('Cum. payments'!BD3,Exposure!$B$33:$C$53,2,FALSE)</f>
        <v>92744.332387589835</v>
      </c>
      <c r="U3" s="44">
        <f>G2*VLOOKUP('Cum. payments'!BT3,Exposure!$B$33:$C$53,2,FALSE)/VLOOKUP('Cum. payments'!BE3,Exposure!$B$33:$C$53,2,FALSE)</f>
        <v>92079.962027900416</v>
      </c>
      <c r="V3" s="44">
        <f>H2*VLOOKUP('Cum. payments'!BU3,Exposure!$B$33:$C$53,2,FALSE)/VLOOKUP('Cum. payments'!BF3,Exposure!$B$33:$C$53,2,FALSE)</f>
        <v>20750.895653231186</v>
      </c>
      <c r="W3" s="44">
        <f>I2*VLOOKUP('Cum. payments'!BV3,Exposure!$B$33:$C$53,2,FALSE)/VLOOKUP('Cum. payments'!BG3,Exposure!$B$33:$C$53,2,FALSE)</f>
        <v>659.98716295213933</v>
      </c>
      <c r="X3" s="44">
        <f>J2*VLOOKUP('Cum. payments'!BW3,Exposure!$B$33:$C$53,2,FALSE)/VLOOKUP('Cum. payments'!BH3,Exposure!$B$33:$C$53,2,FALSE)</f>
        <v>70.473495752745777</v>
      </c>
      <c r="Y3" s="44">
        <f>K2*VLOOKUP('Cum. payments'!BX3,Exposure!$B$33:$C$53,2,FALSE)/VLOOKUP('Cum. payments'!BI3,Exposure!$B$33:$C$53,2,FALSE)</f>
        <v>0.1662237579239037</v>
      </c>
    </row>
    <row r="4" spans="1:25" x14ac:dyDescent="0.3">
      <c r="A4" s="12">
        <v>42443</v>
      </c>
      <c r="B4" s="13">
        <v>4402747.7157099899</v>
      </c>
      <c r="C4" s="13">
        <v>1638380.1814004893</v>
      </c>
      <c r="D4" s="13">
        <v>655167.57764514186</v>
      </c>
      <c r="E4" s="13">
        <v>267151.34438932332</v>
      </c>
      <c r="F4" s="13">
        <v>315418.28422264394</v>
      </c>
      <c r="G4" s="13">
        <v>173837.27802432099</v>
      </c>
      <c r="H4" s="13">
        <v>148743.72766963902</v>
      </c>
      <c r="I4" s="13">
        <v>151407.55977831385</v>
      </c>
      <c r="J4" s="13">
        <v>19078.159809855515</v>
      </c>
      <c r="K4" s="13">
        <v>12497.375402174659</v>
      </c>
      <c r="O4">
        <f>YEAR($A3)</f>
        <v>2016</v>
      </c>
      <c r="P4" s="44">
        <f>B3*VLOOKUP('Cum. payments'!BO4,Exposure!$B$33:$C$53,2,FALSE)/VLOOKUP('Cum. payments'!AZ4,Exposure!$B$33:$C$53,2,FALSE)</f>
        <v>1000249.2309158616</v>
      </c>
      <c r="Q4" s="44">
        <f>C3*VLOOKUP('Cum. payments'!BP4,Exposure!$B$33:$C$53,2,FALSE)/VLOOKUP('Cum. payments'!BA4,Exposure!$B$33:$C$53,2,FALSE)</f>
        <v>966974.27053123899</v>
      </c>
      <c r="R4" s="44">
        <f>D3*VLOOKUP('Cum. payments'!BQ4,Exposure!$B$33:$C$53,2,FALSE)/VLOOKUP('Cum. payments'!BB4,Exposure!$B$33:$C$53,2,FALSE)</f>
        <v>1126651.8188313479</v>
      </c>
      <c r="S4" s="44">
        <f>E3*VLOOKUP('Cum. payments'!BR4,Exposure!$B$33:$C$53,2,FALSE)/VLOOKUP('Cum. payments'!BC4,Exposure!$B$33:$C$53,2,FALSE)</f>
        <v>56064.343152417845</v>
      </c>
      <c r="T4" s="44">
        <f>F3*VLOOKUP('Cum. payments'!BS4,Exposure!$B$33:$C$53,2,FALSE)/VLOOKUP('Cum. payments'!BD4,Exposure!$B$33:$C$53,2,FALSE)</f>
        <v>50715.557818559879</v>
      </c>
      <c r="U4" s="44">
        <f>G3*VLOOKUP('Cum. payments'!BT4,Exposure!$B$33:$C$53,2,FALSE)/VLOOKUP('Cum. payments'!BE4,Exposure!$B$33:$C$53,2,FALSE)</f>
        <v>37761.186011022779</v>
      </c>
      <c r="V4" s="44">
        <f>H3*VLOOKUP('Cum. payments'!BU4,Exposure!$B$33:$C$53,2,FALSE)/VLOOKUP('Cum. payments'!BF4,Exposure!$B$33:$C$53,2,FALSE)</f>
        <v>33794.116001402741</v>
      </c>
      <c r="W4" s="44">
        <f>I3*VLOOKUP('Cum. payments'!BV4,Exposure!$B$33:$C$53,2,FALSE)/VLOOKUP('Cum. payments'!BG4,Exposure!$B$33:$C$53,2,FALSE)</f>
        <v>17618.031531209475</v>
      </c>
      <c r="X4" s="44">
        <f>J3*VLOOKUP('Cum. payments'!BW4,Exposure!$B$33:$C$53,2,FALSE)/VLOOKUP('Cum. payments'!BH4,Exposure!$B$33:$C$53,2,FALSE)</f>
        <v>7457.0634340794422</v>
      </c>
      <c r="Y4" s="44">
        <f>K3*VLOOKUP('Cum. payments'!BX4,Exposure!$B$33:$C$53,2,FALSE)/VLOOKUP('Cum. payments'!BI4,Exposure!$B$33:$C$53,2,FALSE)</f>
        <v>2724.5407001029394</v>
      </c>
    </row>
    <row r="5" spans="1:25" x14ac:dyDescent="0.3">
      <c r="A5" s="12">
        <v>42500</v>
      </c>
      <c r="B5" s="13">
        <v>756782.19591793558</v>
      </c>
      <c r="C5" s="13">
        <v>993502.33247294673</v>
      </c>
      <c r="D5" s="13">
        <v>584810.65401931852</v>
      </c>
      <c r="E5" s="13">
        <v>551731.84768978436</v>
      </c>
      <c r="F5" s="13">
        <v>607027.18534637394</v>
      </c>
      <c r="G5" s="13">
        <v>9749.6376795960168</v>
      </c>
      <c r="H5" s="13">
        <v>2920.8744014081808</v>
      </c>
      <c r="I5" s="13">
        <v>3044.7919047494674</v>
      </c>
      <c r="J5" s="13">
        <v>1884.7598761900028</v>
      </c>
      <c r="K5" s="13">
        <v>0</v>
      </c>
      <c r="O5">
        <f t="shared" si="0"/>
        <v>2016</v>
      </c>
      <c r="P5" s="44">
        <f>B4*VLOOKUP('Cum. payments'!BO5,Exposure!$B$33:$C$53,2,FALSE)/VLOOKUP('Cum. payments'!AZ5,Exposure!$B$33:$C$53,2,FALSE)</f>
        <v>7070215.9612323353</v>
      </c>
      <c r="Q5" s="44">
        <f>C4*VLOOKUP('Cum. payments'!BP5,Exposure!$B$33:$C$53,2,FALSE)/VLOOKUP('Cum. payments'!BA5,Exposure!$B$33:$C$53,2,FALSE)</f>
        <v>2622692.4194120299</v>
      </c>
      <c r="R5" s="44">
        <f>D4*VLOOKUP('Cum. payments'!BQ5,Exposure!$B$33:$C$53,2,FALSE)/VLOOKUP('Cum. payments'!BB5,Exposure!$B$33:$C$53,2,FALSE)</f>
        <v>1046229.078452618</v>
      </c>
      <c r="S5" s="44">
        <f>E4*VLOOKUP('Cum. payments'!BR5,Exposure!$B$33:$C$53,2,FALSE)/VLOOKUP('Cum. payments'!BC5,Exposure!$B$33:$C$53,2,FALSE)</f>
        <v>428096.44957705936</v>
      </c>
      <c r="T5" s="44">
        <f>F4*VLOOKUP('Cum. payments'!BS5,Exposure!$B$33:$C$53,2,FALSE)/VLOOKUP('Cum. payments'!BD5,Exposure!$B$33:$C$53,2,FALSE)</f>
        <v>510675.29066313471</v>
      </c>
      <c r="U5" s="44">
        <f>G4*VLOOKUP('Cum. payments'!BT5,Exposure!$B$33:$C$53,2,FALSE)/VLOOKUP('Cum. payments'!BE5,Exposure!$B$33:$C$53,2,FALSE)</f>
        <v>279714.49398683832</v>
      </c>
      <c r="V5" s="44">
        <f>H4*VLOOKUP('Cum. payments'!BU5,Exposure!$B$33:$C$53,2,FALSE)/VLOOKUP('Cum. payments'!BF5,Exposure!$B$33:$C$53,2,FALSE)</f>
        <v>222575.72694403492</v>
      </c>
      <c r="W5" s="44">
        <f>I4*VLOOKUP('Cum. payments'!BV5,Exposure!$B$33:$C$53,2,FALSE)/VLOOKUP('Cum. payments'!BG5,Exposure!$B$33:$C$53,2,FALSE)</f>
        <v>221597.46123511545</v>
      </c>
      <c r="X5" s="44">
        <f>J4*VLOOKUP('Cum. payments'!BW5,Exposure!$B$33:$C$53,2,FALSE)/VLOOKUP('Cum. payments'!BH5,Exposure!$B$33:$C$53,2,FALSE)</f>
        <v>27563.806175923393</v>
      </c>
      <c r="Y5" s="44">
        <f>K4*VLOOKUP('Cum. payments'!BX5,Exposure!$B$33:$C$53,2,FALSE)/VLOOKUP('Cum. payments'!BI5,Exposure!$B$33:$C$53,2,FALSE)</f>
        <v>17939.481650228754</v>
      </c>
    </row>
    <row r="6" spans="1:25" x14ac:dyDescent="0.3">
      <c r="A6" s="12">
        <v>42513</v>
      </c>
      <c r="B6" s="13">
        <v>2044548.4646531739</v>
      </c>
      <c r="C6" s="13">
        <v>1184727.6362465655</v>
      </c>
      <c r="D6" s="13">
        <v>1364172.4451356977</v>
      </c>
      <c r="E6" s="13">
        <v>1449965.9813785285</v>
      </c>
      <c r="F6" s="13">
        <v>23025.667927776987</v>
      </c>
      <c r="G6" s="13">
        <v>1058.1313835352021</v>
      </c>
      <c r="H6" s="13">
        <v>35.35560723250817</v>
      </c>
      <c r="I6" s="13">
        <v>19.161024198937245</v>
      </c>
      <c r="J6" s="13">
        <v>2.3776373911660325</v>
      </c>
      <c r="K6" s="13">
        <v>2.2207382285777757</v>
      </c>
      <c r="O6">
        <f t="shared" si="0"/>
        <v>2016</v>
      </c>
      <c r="P6" s="44">
        <f>B5*VLOOKUP('Cum. payments'!BO6,Exposure!$B$33:$C$53,2,FALSE)/VLOOKUP('Cum. payments'!AZ6,Exposure!$B$33:$C$53,2,FALSE)</f>
        <v>1215289.6114540601</v>
      </c>
      <c r="Q6" s="44">
        <f>C5*VLOOKUP('Cum. payments'!BP6,Exposure!$B$33:$C$53,2,FALSE)/VLOOKUP('Cum. payments'!BA6,Exposure!$B$33:$C$53,2,FALSE)</f>
        <v>1590382.4189436019</v>
      </c>
      <c r="R6" s="44">
        <f>D5*VLOOKUP('Cum. payments'!BQ6,Exposure!$B$33:$C$53,2,FALSE)/VLOOKUP('Cum. payments'!BB6,Exposure!$B$33:$C$53,2,FALSE)</f>
        <v>933876.96903905459</v>
      </c>
      <c r="S6" s="44">
        <f>E5*VLOOKUP('Cum. payments'!BR6,Exposure!$B$33:$C$53,2,FALSE)/VLOOKUP('Cum. payments'!BC6,Exposure!$B$33:$C$53,2,FALSE)</f>
        <v>884122.24035218847</v>
      </c>
      <c r="T6" s="44">
        <f>F5*VLOOKUP('Cum. payments'!BS6,Exposure!$B$33:$C$53,2,FALSE)/VLOOKUP('Cum. payments'!BD6,Exposure!$B$33:$C$53,2,FALSE)</f>
        <v>982802.20210179407</v>
      </c>
      <c r="U6" s="44">
        <f>G5*VLOOKUP('Cum. payments'!BT6,Exposure!$B$33:$C$53,2,FALSE)/VLOOKUP('Cum. payments'!BE6,Exposure!$B$33:$C$53,2,FALSE)</f>
        <v>15687.745465743377</v>
      </c>
      <c r="V6" s="44">
        <f>H5*VLOOKUP('Cum. payments'!BU6,Exposure!$B$33:$C$53,2,FALSE)/VLOOKUP('Cum. payments'!BF6,Exposure!$B$33:$C$53,2,FALSE)</f>
        <v>4370.7103041653017</v>
      </c>
      <c r="W6" s="44">
        <f>I5*VLOOKUP('Cum. payments'!BV6,Exposure!$B$33:$C$53,2,FALSE)/VLOOKUP('Cum. payments'!BG6,Exposure!$B$33:$C$53,2,FALSE)</f>
        <v>4456.304276151167</v>
      </c>
      <c r="X6" s="44">
        <f>J5*VLOOKUP('Cum. payments'!BW6,Exposure!$B$33:$C$53,2,FALSE)/VLOOKUP('Cum. payments'!BH6,Exposure!$B$33:$C$53,2,FALSE)</f>
        <v>2723.0695430395422</v>
      </c>
      <c r="Y6" s="44">
        <f>K5*VLOOKUP('Cum. payments'!BX6,Exposure!$B$33:$C$53,2,FALSE)/VLOOKUP('Cum. payments'!BI6,Exposure!$B$33:$C$53,2,FALSE)</f>
        <v>0</v>
      </c>
    </row>
    <row r="7" spans="1:25" x14ac:dyDescent="0.3">
      <c r="A7" s="12">
        <v>42516</v>
      </c>
      <c r="B7" s="13">
        <v>4413698.006419315</v>
      </c>
      <c r="C7" s="13">
        <v>2223980.9142774562</v>
      </c>
      <c r="D7" s="13">
        <v>3823417.0455785738</v>
      </c>
      <c r="E7" s="13">
        <v>1354292.7889889886</v>
      </c>
      <c r="F7" s="13">
        <v>1108124.4523104599</v>
      </c>
      <c r="G7" s="13">
        <v>661473.55114256777</v>
      </c>
      <c r="H7" s="13">
        <v>29733.699124777911</v>
      </c>
      <c r="I7" s="13">
        <v>16705.815167654004</v>
      </c>
      <c r="J7" s="13">
        <v>6315.1568240991801</v>
      </c>
      <c r="K7" s="13">
        <v>1311.3642435598497</v>
      </c>
      <c r="O7">
        <f t="shared" si="0"/>
        <v>2016</v>
      </c>
      <c r="P7" s="44">
        <f>B6*VLOOKUP('Cum. payments'!BO7,Exposure!$B$33:$C$53,2,FALSE)/VLOOKUP('Cum. payments'!AZ7,Exposure!$B$33:$C$53,2,FALSE)</f>
        <v>3283267.6595853614</v>
      </c>
      <c r="Q7" s="44">
        <f>C6*VLOOKUP('Cum. payments'!BP7,Exposure!$B$33:$C$53,2,FALSE)/VLOOKUP('Cum. payments'!BA7,Exposure!$B$33:$C$53,2,FALSE)</f>
        <v>1896492.7834977731</v>
      </c>
      <c r="R7" s="44">
        <f>D6*VLOOKUP('Cum. payments'!BQ7,Exposure!$B$33:$C$53,2,FALSE)/VLOOKUP('Cum. payments'!BB7,Exposure!$B$33:$C$53,2,FALSE)</f>
        <v>2178430.2655126341</v>
      </c>
      <c r="S7" s="44">
        <f>E6*VLOOKUP('Cum. payments'!BR7,Exposure!$B$33:$C$53,2,FALSE)/VLOOKUP('Cum. payments'!BC7,Exposure!$B$33:$C$53,2,FALSE)</f>
        <v>2323496.7806528169</v>
      </c>
      <c r="T7" s="44">
        <f>F6*VLOOKUP('Cum. payments'!BS7,Exposure!$B$33:$C$53,2,FALSE)/VLOOKUP('Cum. payments'!BD7,Exposure!$B$33:$C$53,2,FALSE)</f>
        <v>37279.511841584535</v>
      </c>
      <c r="U7" s="44">
        <f>G6*VLOOKUP('Cum. payments'!BT7,Exposure!$B$33:$C$53,2,FALSE)/VLOOKUP('Cum. payments'!BE7,Exposure!$B$33:$C$53,2,FALSE)</f>
        <v>1702.5961743127007</v>
      </c>
      <c r="V7" s="44">
        <f>H6*VLOOKUP('Cum. payments'!BU7,Exposure!$B$33:$C$53,2,FALSE)/VLOOKUP('Cum. payments'!BF7,Exposure!$B$33:$C$53,2,FALSE)</f>
        <v>52.905087862266441</v>
      </c>
      <c r="W7" s="44">
        <f>I6*VLOOKUP('Cum. payments'!BV7,Exposure!$B$33:$C$53,2,FALSE)/VLOOKUP('Cum. payments'!BG7,Exposure!$B$33:$C$53,2,FALSE)</f>
        <v>28.043740506524337</v>
      </c>
      <c r="X7" s="44">
        <f>J6*VLOOKUP('Cum. payments'!BW7,Exposure!$B$33:$C$53,2,FALSE)/VLOOKUP('Cum. payments'!BH7,Exposure!$B$33:$C$53,2,FALSE)</f>
        <v>3.4351707323928218</v>
      </c>
      <c r="Y7" s="44">
        <f>K6*VLOOKUP('Cum. payments'!BX7,Exposure!$B$33:$C$53,2,FALSE)/VLOOKUP('Cum. payments'!BI7,Exposure!$B$33:$C$53,2,FALSE)</f>
        <v>3.1877807475160087</v>
      </c>
    </row>
    <row r="8" spans="1:25" x14ac:dyDescent="0.3">
      <c r="A8" s="12">
        <v>42539</v>
      </c>
      <c r="B8" s="13">
        <v>649026.69296445802</v>
      </c>
      <c r="C8" s="13">
        <v>138605.46257533957</v>
      </c>
      <c r="D8" s="13">
        <v>165546.39497073888</v>
      </c>
      <c r="E8" s="13">
        <v>161495.24260689513</v>
      </c>
      <c r="F8" s="13">
        <v>109973.50666454277</v>
      </c>
      <c r="G8" s="13">
        <v>64381.809912290169</v>
      </c>
      <c r="H8" s="13">
        <v>70412.572529697703</v>
      </c>
      <c r="I8" s="13">
        <v>72025.397530521412</v>
      </c>
      <c r="J8" s="13">
        <v>76842.527463098566</v>
      </c>
      <c r="K8" s="13">
        <v>9797.1799992393935</v>
      </c>
      <c r="O8">
        <f t="shared" si="0"/>
        <v>2016</v>
      </c>
      <c r="P8" s="44">
        <f>B7*VLOOKUP('Cum. payments'!BO8,Exposure!$B$33:$C$53,2,FALSE)/VLOOKUP('Cum. payments'!AZ8,Exposure!$B$33:$C$53,2,FALSE)</f>
        <v>7087800.6436062418</v>
      </c>
      <c r="Q8" s="44">
        <f>C7*VLOOKUP('Cum. payments'!BP8,Exposure!$B$33:$C$53,2,FALSE)/VLOOKUP('Cum. payments'!BA8,Exposure!$B$33:$C$53,2,FALSE)</f>
        <v>3560112.5739977029</v>
      </c>
      <c r="R8" s="44">
        <f>D7*VLOOKUP('Cum. payments'!BQ8,Exposure!$B$33:$C$53,2,FALSE)/VLOOKUP('Cum. payments'!BB8,Exposure!$B$33:$C$53,2,FALSE)</f>
        <v>6105567.8403889416</v>
      </c>
      <c r="S8" s="44">
        <f>E7*VLOOKUP('Cum. payments'!BR8,Exposure!$B$33:$C$53,2,FALSE)/VLOOKUP('Cum. payments'!BC8,Exposure!$B$33:$C$53,2,FALSE)</f>
        <v>2170185.3530974407</v>
      </c>
      <c r="T8" s="44">
        <f>F7*VLOOKUP('Cum. payments'!BS8,Exposure!$B$33:$C$53,2,FALSE)/VLOOKUP('Cum. payments'!BD8,Exposure!$B$33:$C$53,2,FALSE)</f>
        <v>1794099.4707051469</v>
      </c>
      <c r="U8" s="44">
        <f>G7*VLOOKUP('Cum. payments'!BT8,Exposure!$B$33:$C$53,2,FALSE)/VLOOKUP('Cum. payments'!BE8,Exposure!$B$33:$C$53,2,FALSE)</f>
        <v>1064350.1885575678</v>
      </c>
      <c r="V8" s="44">
        <f>H7*VLOOKUP('Cum. payments'!BU8,Exposure!$B$33:$C$53,2,FALSE)/VLOOKUP('Cum. payments'!BF8,Exposure!$B$33:$C$53,2,FALSE)</f>
        <v>44492.630385943317</v>
      </c>
      <c r="W8" s="44">
        <f>I7*VLOOKUP('Cum. payments'!BV8,Exposure!$B$33:$C$53,2,FALSE)/VLOOKUP('Cum. payments'!BG8,Exposure!$B$33:$C$53,2,FALSE)</f>
        <v>24450.339431105775</v>
      </c>
      <c r="X8" s="44">
        <f>J7*VLOOKUP('Cum. payments'!BW8,Exposure!$B$33:$C$53,2,FALSE)/VLOOKUP('Cum. payments'!BH8,Exposure!$B$33:$C$53,2,FALSE)</f>
        <v>9124.032946831052</v>
      </c>
      <c r="Y8" s="44">
        <f>K7*VLOOKUP('Cum. payments'!BX8,Exposure!$B$33:$C$53,2,FALSE)/VLOOKUP('Cum. payments'!BI8,Exposure!$B$33:$C$53,2,FALSE)</f>
        <v>1882.4108284379799</v>
      </c>
    </row>
    <row r="9" spans="1:25" x14ac:dyDescent="0.3">
      <c r="A9" s="12">
        <v>42562</v>
      </c>
      <c r="B9" s="13">
        <v>600882.22087887686</v>
      </c>
      <c r="C9" s="13">
        <v>304345.88254809607</v>
      </c>
      <c r="D9" s="13">
        <v>337267.9516961007</v>
      </c>
      <c r="E9" s="13">
        <v>193771.77420375645</v>
      </c>
      <c r="F9" s="13">
        <v>3084.5655657874877</v>
      </c>
      <c r="G9" s="13">
        <v>3239.2355362871135</v>
      </c>
      <c r="H9" s="13">
        <v>541.41711652947765</v>
      </c>
      <c r="I9" s="13">
        <v>23.718376789717265</v>
      </c>
      <c r="J9" s="13">
        <v>1.4809415690423753</v>
      </c>
      <c r="K9" s="13">
        <v>0.33018252897636313</v>
      </c>
      <c r="O9">
        <f t="shared" si="0"/>
        <v>2016</v>
      </c>
      <c r="P9" s="44">
        <f>B8*VLOOKUP('Cum. payments'!BO9,Exposure!$B$33:$C$53,2,FALSE)/VLOOKUP('Cum. payments'!AZ9,Exposure!$B$33:$C$53,2,FALSE)</f>
        <v>1042248.8818719796</v>
      </c>
      <c r="Q9" s="44">
        <f>C8*VLOOKUP('Cum. payments'!BP9,Exposure!$B$33:$C$53,2,FALSE)/VLOOKUP('Cum. payments'!BA9,Exposure!$B$33:$C$53,2,FALSE)</f>
        <v>221877.37627215681</v>
      </c>
      <c r="R9" s="44">
        <f>D8*VLOOKUP('Cum. payments'!BQ9,Exposure!$B$33:$C$53,2,FALSE)/VLOOKUP('Cum. payments'!BB9,Exposure!$B$33:$C$53,2,FALSE)</f>
        <v>264359.01006261213</v>
      </c>
      <c r="S9" s="44">
        <f>E8*VLOOKUP('Cum. payments'!BR9,Exposure!$B$33:$C$53,2,FALSE)/VLOOKUP('Cum. payments'!BC9,Exposure!$B$33:$C$53,2,FALSE)</f>
        <v>258787.91716969796</v>
      </c>
      <c r="T9" s="44">
        <f>F8*VLOOKUP('Cum. payments'!BS9,Exposure!$B$33:$C$53,2,FALSE)/VLOOKUP('Cum. payments'!BD9,Exposure!$B$33:$C$53,2,FALSE)</f>
        <v>178051.67071899181</v>
      </c>
      <c r="U9" s="44">
        <f>G8*VLOOKUP('Cum. payments'!BT9,Exposure!$B$33:$C$53,2,FALSE)/VLOOKUP('Cum. payments'!BE9,Exposure!$B$33:$C$53,2,FALSE)</f>
        <v>103594.15187721443</v>
      </c>
      <c r="V9" s="44">
        <f>H8*VLOOKUP('Cum. payments'!BU9,Exposure!$B$33:$C$53,2,FALSE)/VLOOKUP('Cum. payments'!BF9,Exposure!$B$33:$C$53,2,FALSE)</f>
        <v>105363.29674085467</v>
      </c>
      <c r="W9" s="44">
        <f>I8*VLOOKUP('Cum. payments'!BV9,Exposure!$B$33:$C$53,2,FALSE)/VLOOKUP('Cum. payments'!BG9,Exposure!$B$33:$C$53,2,FALSE)</f>
        <v>105415.11441425097</v>
      </c>
      <c r="X9" s="44">
        <f>J8*VLOOKUP('Cum. payments'!BW9,Exposure!$B$33:$C$53,2,FALSE)/VLOOKUP('Cum. payments'!BH9,Exposure!$B$33:$C$53,2,FALSE)</f>
        <v>111020.79834590504</v>
      </c>
      <c r="Y9" s="44">
        <f>K8*VLOOKUP('Cum. payments'!BX9,Exposure!$B$33:$C$53,2,FALSE)/VLOOKUP('Cum. payments'!BI9,Exposure!$B$33:$C$53,2,FALSE)</f>
        <v>14063.45933961142</v>
      </c>
    </row>
    <row r="10" spans="1:25" x14ac:dyDescent="0.3">
      <c r="A10" s="12">
        <v>42598</v>
      </c>
      <c r="B10" s="13">
        <v>847936.65560478775</v>
      </c>
      <c r="C10" s="13">
        <v>1163013.844664498</v>
      </c>
      <c r="D10" s="13">
        <v>1208772.2833167294</v>
      </c>
      <c r="E10" s="13">
        <v>1067908.9388413536</v>
      </c>
      <c r="F10" s="13">
        <v>165297.2548300912</v>
      </c>
      <c r="G10" s="13">
        <v>37113.145039897776</v>
      </c>
      <c r="H10" s="13">
        <v>13546.046780036253</v>
      </c>
      <c r="I10" s="13">
        <v>1616.2026985758382</v>
      </c>
      <c r="J10" s="13">
        <v>119.26576891544566</v>
      </c>
      <c r="K10" s="13">
        <v>124.37060154114438</v>
      </c>
      <c r="O10">
        <f t="shared" si="0"/>
        <v>2016</v>
      </c>
      <c r="P10" s="44">
        <f>B9*VLOOKUP('Cum. payments'!BO10,Exposure!$B$33:$C$53,2,FALSE)/VLOOKUP('Cum. payments'!AZ10,Exposure!$B$33:$C$53,2,FALSE)</f>
        <v>964935.38653587701</v>
      </c>
      <c r="Q10" s="44">
        <f>C9*VLOOKUP('Cum. payments'!BP10,Exposure!$B$33:$C$53,2,FALSE)/VLOOKUP('Cum. payments'!BA10,Exposure!$B$33:$C$53,2,FALSE)</f>
        <v>487191.95220968092</v>
      </c>
      <c r="R10" s="44">
        <f>D9*VLOOKUP('Cum. payments'!BQ10,Exposure!$B$33:$C$53,2,FALSE)/VLOOKUP('Cum. payments'!BB10,Exposure!$B$33:$C$53,2,FALSE)</f>
        <v>538579.06028086867</v>
      </c>
      <c r="S10" s="44">
        <f>E9*VLOOKUP('Cum. payments'!BR10,Exposure!$B$33:$C$53,2,FALSE)/VLOOKUP('Cum. payments'!BC10,Exposure!$B$33:$C$53,2,FALSE)</f>
        <v>310509.41837667563</v>
      </c>
      <c r="T10" s="44">
        <f>F9*VLOOKUP('Cum. payments'!BS10,Exposure!$B$33:$C$53,2,FALSE)/VLOOKUP('Cum. payments'!BD10,Exposure!$B$33:$C$53,2,FALSE)</f>
        <v>4994.0396472581442</v>
      </c>
      <c r="U10" s="44">
        <f>G9*VLOOKUP('Cum. payments'!BT10,Exposure!$B$33:$C$53,2,FALSE)/VLOOKUP('Cum. payments'!BE10,Exposure!$B$33:$C$53,2,FALSE)</f>
        <v>5212.1221594942999</v>
      </c>
      <c r="V10" s="44">
        <f>H9*VLOOKUP('Cum. payments'!BU10,Exposure!$B$33:$C$53,2,FALSE)/VLOOKUP('Cum. payments'!BF10,Exposure!$B$33:$C$53,2,FALSE)</f>
        <v>810.16060427863681</v>
      </c>
      <c r="W10" s="44">
        <f>I9*VLOOKUP('Cum. payments'!BV10,Exposure!$B$33:$C$53,2,FALSE)/VLOOKUP('Cum. payments'!BG10,Exposure!$B$33:$C$53,2,FALSE)</f>
        <v>34.713802196632734</v>
      </c>
      <c r="X10" s="44">
        <f>J9*VLOOKUP('Cum. payments'!BW10,Exposure!$B$33:$C$53,2,FALSE)/VLOOKUP('Cum. payments'!BH10,Exposure!$B$33:$C$53,2,FALSE)</f>
        <v>2.1396396074774806</v>
      </c>
      <c r="Y10" s="44">
        <f>K9*VLOOKUP('Cum. payments'!BX10,Exposure!$B$33:$C$53,2,FALSE)/VLOOKUP('Cum. payments'!BI10,Exposure!$B$33:$C$53,2,FALSE)</f>
        <v>0.47396379073056261</v>
      </c>
    </row>
    <row r="11" spans="1:25" x14ac:dyDescent="0.3">
      <c r="A11" s="12">
        <v>42618</v>
      </c>
      <c r="B11" s="13">
        <v>2614373.1217722762</v>
      </c>
      <c r="C11" s="13">
        <v>1983780.5514804295</v>
      </c>
      <c r="D11" s="13">
        <v>300076.0385403675</v>
      </c>
      <c r="E11" s="13">
        <v>216086.51766562159</v>
      </c>
      <c r="F11" s="13">
        <v>17905.537390851343</v>
      </c>
      <c r="G11" s="13">
        <v>10881.990241926511</v>
      </c>
      <c r="H11" s="13">
        <v>227.22911986377011</v>
      </c>
      <c r="I11" s="13">
        <v>226.10433541120946</v>
      </c>
      <c r="J11" s="13">
        <v>1.4606018065596236</v>
      </c>
      <c r="K11" s="13">
        <v>0.76393195744692821</v>
      </c>
      <c r="O11">
        <f t="shared" si="0"/>
        <v>2016</v>
      </c>
      <c r="P11" s="44">
        <f>B10*VLOOKUP('Cum. payments'!BO11,Exposure!$B$33:$C$53,2,FALSE)/VLOOKUP('Cum. payments'!AZ11,Exposure!$B$33:$C$53,2,FALSE)</f>
        <v>1361671.3161145013</v>
      </c>
      <c r="Q11" s="44">
        <f>C10*VLOOKUP('Cum. payments'!BP11,Exposure!$B$33:$C$53,2,FALSE)/VLOOKUP('Cum. payments'!BA11,Exposure!$B$33:$C$53,2,FALSE)</f>
        <v>1861733.6981368272</v>
      </c>
      <c r="R11" s="44">
        <f>D10*VLOOKUP('Cum. payments'!BQ11,Exposure!$B$33:$C$53,2,FALSE)/VLOOKUP('Cum. payments'!BB11,Exposure!$B$33:$C$53,2,FALSE)</f>
        <v>1930273.6508712007</v>
      </c>
      <c r="S11" s="44">
        <f>E10*VLOOKUP('Cum. payments'!BR11,Exposure!$B$33:$C$53,2,FALSE)/VLOOKUP('Cum. payments'!BC11,Exposure!$B$33:$C$53,2,FALSE)</f>
        <v>1711269.7906672379</v>
      </c>
      <c r="T11" s="44">
        <f>F10*VLOOKUP('Cum. payments'!BS11,Exposure!$B$33:$C$53,2,FALSE)/VLOOKUP('Cum. payments'!BD11,Exposure!$B$33:$C$53,2,FALSE)</f>
        <v>267623.11469740421</v>
      </c>
      <c r="U11" s="44">
        <f>G10*VLOOKUP('Cum. payments'!BT11,Exposure!$B$33:$C$53,2,FALSE)/VLOOKUP('Cum. payments'!BE11,Exposure!$B$33:$C$53,2,FALSE)</f>
        <v>59717.252266471653</v>
      </c>
      <c r="V11" s="44">
        <f>H10*VLOOKUP('Cum. payments'!BU11,Exposure!$B$33:$C$53,2,FALSE)/VLOOKUP('Cum. payments'!BF11,Exposure!$B$33:$C$53,2,FALSE)</f>
        <v>20269.904866044893</v>
      </c>
      <c r="W11" s="44">
        <f>I10*VLOOKUP('Cum. payments'!BV11,Exposure!$B$33:$C$53,2,FALSE)/VLOOKUP('Cum. payments'!BG11,Exposure!$B$33:$C$53,2,FALSE)</f>
        <v>2365.4460541477251</v>
      </c>
      <c r="X11" s="44">
        <f>J10*VLOOKUP('Cum. payments'!BW11,Exposure!$B$33:$C$53,2,FALSE)/VLOOKUP('Cum. payments'!BH11,Exposure!$B$33:$C$53,2,FALSE)</f>
        <v>172.31318798941908</v>
      </c>
      <c r="Y11" s="44">
        <f>K10*VLOOKUP('Cum. payments'!BX11,Exposure!$B$33:$C$53,2,FALSE)/VLOOKUP('Cum. payments'!BI11,Exposure!$B$33:$C$53,2,FALSE)</f>
        <v>178.52901528324352</v>
      </c>
    </row>
    <row r="12" spans="1:25" x14ac:dyDescent="0.3">
      <c r="A12" s="12">
        <v>42630</v>
      </c>
      <c r="B12" s="13">
        <v>1064486.0550159346</v>
      </c>
      <c r="C12" s="13">
        <v>863070.22111062333</v>
      </c>
      <c r="D12" s="13">
        <v>1117585.3870330241</v>
      </c>
      <c r="E12" s="13">
        <v>75965.851518885087</v>
      </c>
      <c r="F12" s="13">
        <v>8961.4225860448933</v>
      </c>
      <c r="G12" s="13">
        <v>4.0481401295761925</v>
      </c>
      <c r="H12" s="13">
        <v>2.7886568922406569</v>
      </c>
      <c r="I12" s="13">
        <v>2.3927865280339256</v>
      </c>
      <c r="J12" s="13">
        <v>0.78737409369162914</v>
      </c>
      <c r="K12" s="13">
        <v>0.20659405873075343</v>
      </c>
      <c r="O12">
        <f t="shared" si="0"/>
        <v>2016</v>
      </c>
      <c r="P12" s="44">
        <f>B11*VLOOKUP('Cum. payments'!BO12,Exposure!$B$33:$C$53,2,FALSE)/VLOOKUP('Cum. payments'!AZ12,Exposure!$B$33:$C$53,2,FALSE)</f>
        <v>4198328.8091242323</v>
      </c>
      <c r="Q12" s="44">
        <f>C11*VLOOKUP('Cum. payments'!BP12,Exposure!$B$33:$C$53,2,FALSE)/VLOOKUP('Cum. payments'!BA12,Exposure!$B$33:$C$53,2,FALSE)</f>
        <v>3175603.72934769</v>
      </c>
      <c r="R12" s="44">
        <f>D11*VLOOKUP('Cum. payments'!BQ12,Exposure!$B$33:$C$53,2,FALSE)/VLOOKUP('Cum. payments'!BB12,Exposure!$B$33:$C$53,2,FALSE)</f>
        <v>479187.7497910079</v>
      </c>
      <c r="S12" s="44">
        <f>E11*VLOOKUP('Cum. payments'!BR12,Exposure!$B$33:$C$53,2,FALSE)/VLOOKUP('Cum. payments'!BC12,Exposure!$B$33:$C$53,2,FALSE)</f>
        <v>346267.66047380632</v>
      </c>
      <c r="T12" s="44">
        <f>F11*VLOOKUP('Cum. payments'!BS12,Exposure!$B$33:$C$53,2,FALSE)/VLOOKUP('Cum. payments'!BD12,Exposure!$B$33:$C$53,2,FALSE)</f>
        <v>28989.808038833384</v>
      </c>
      <c r="U12" s="44">
        <f>G11*VLOOKUP('Cum. payments'!BT12,Exposure!$B$33:$C$53,2,FALSE)/VLOOKUP('Cum. payments'!BE12,Exposure!$B$33:$C$53,2,FALSE)</f>
        <v>17509.767920229006</v>
      </c>
      <c r="V12" s="44">
        <f>H11*VLOOKUP('Cum. payments'!BU12,Exposure!$B$33:$C$53,2,FALSE)/VLOOKUP('Cum. payments'!BF12,Exposure!$B$33:$C$53,2,FALSE)</f>
        <v>340.01895292594031</v>
      </c>
      <c r="W12" s="44">
        <f>I11*VLOOKUP('Cum. payments'!BV12,Exposure!$B$33:$C$53,2,FALSE)/VLOOKUP('Cum. payments'!BG12,Exposure!$B$33:$C$53,2,FALSE)</f>
        <v>330.92235800337801</v>
      </c>
      <c r="X12" s="44">
        <f>J11*VLOOKUP('Cum. payments'!BW12,Exposure!$B$33:$C$53,2,FALSE)/VLOOKUP('Cum. payments'!BH12,Exposure!$B$33:$C$53,2,FALSE)</f>
        <v>2.1102530588623849</v>
      </c>
      <c r="Y12" s="44">
        <f>K11*VLOOKUP('Cum. payments'!BX12,Exposure!$B$33:$C$53,2,FALSE)/VLOOKUP('Cum. payments'!BI12,Exposure!$B$33:$C$53,2,FALSE)</f>
        <v>1.0965937160099859</v>
      </c>
    </row>
    <row r="13" spans="1:25" x14ac:dyDescent="0.3">
      <c r="A13" s="12">
        <v>42673</v>
      </c>
      <c r="B13" s="13">
        <v>430407.86452725448</v>
      </c>
      <c r="C13" s="13">
        <v>655081.62065839604</v>
      </c>
      <c r="D13" s="13">
        <v>46455.52706066786</v>
      </c>
      <c r="E13" s="13">
        <v>2543.8966613492607</v>
      </c>
      <c r="F13" s="13">
        <v>2642.9722189998602</v>
      </c>
      <c r="G13" s="13">
        <v>481.59720504984517</v>
      </c>
      <c r="H13" s="13">
        <v>69.093593411120679</v>
      </c>
      <c r="I13" s="13">
        <v>52.846442164126962</v>
      </c>
      <c r="J13" s="13">
        <v>33.268028836646991</v>
      </c>
      <c r="K13" s="13">
        <v>0</v>
      </c>
      <c r="O13">
        <f t="shared" si="0"/>
        <v>2016</v>
      </c>
      <c r="P13" s="44">
        <f>B12*VLOOKUP('Cum. payments'!BO13,Exposure!$B$33:$C$53,2,FALSE)/VLOOKUP('Cum. payments'!AZ13,Exposure!$B$33:$C$53,2,FALSE)</f>
        <v>1709420.2944738185</v>
      </c>
      <c r="Q13" s="44">
        <f>C12*VLOOKUP('Cum. payments'!BP13,Exposure!$B$33:$C$53,2,FALSE)/VLOOKUP('Cum. payments'!BA13,Exposure!$B$33:$C$53,2,FALSE)</f>
        <v>1381588.810719253</v>
      </c>
      <c r="R13" s="44">
        <f>D12*VLOOKUP('Cum. payments'!BQ13,Exposure!$B$33:$C$53,2,FALSE)/VLOOKUP('Cum. payments'!BB13,Exposure!$B$33:$C$53,2,FALSE)</f>
        <v>1784658.4133028847</v>
      </c>
      <c r="S13" s="44">
        <f>E12*VLOOKUP('Cum. payments'!BR13,Exposure!$B$33:$C$53,2,FALSE)/VLOOKUP('Cum. payments'!BC13,Exposure!$B$33:$C$53,2,FALSE)</f>
        <v>121731.41557146682</v>
      </c>
      <c r="T13" s="44">
        <f>F12*VLOOKUP('Cum. payments'!BS13,Exposure!$B$33:$C$53,2,FALSE)/VLOOKUP('Cum. payments'!BD13,Exposure!$B$33:$C$53,2,FALSE)</f>
        <v>14508.915027428577</v>
      </c>
      <c r="U13" s="44">
        <f>G12*VLOOKUP('Cum. payments'!BT13,Exposure!$B$33:$C$53,2,FALSE)/VLOOKUP('Cum. payments'!BE13,Exposure!$B$33:$C$53,2,FALSE)</f>
        <v>6.5136976418475632</v>
      </c>
      <c r="V13" s="44">
        <f>H12*VLOOKUP('Cum. payments'!BU13,Exposure!$B$33:$C$53,2,FALSE)/VLOOKUP('Cum. payments'!BF13,Exposure!$B$33:$C$53,2,FALSE)</f>
        <v>4.1728639231531757</v>
      </c>
      <c r="W13" s="44">
        <f>I12*VLOOKUP('Cum. payments'!BV13,Exposure!$B$33:$C$53,2,FALSE)/VLOOKUP('Cum. payments'!BG13,Exposure!$B$33:$C$53,2,FALSE)</f>
        <v>3.5020405894280193</v>
      </c>
      <c r="X13" s="44">
        <f>J12*VLOOKUP('Cum. payments'!BW13,Exposure!$B$33:$C$53,2,FALSE)/VLOOKUP('Cum. payments'!BH13,Exposure!$B$33:$C$53,2,FALSE)</f>
        <v>1.1375849202839745</v>
      </c>
      <c r="Y13" s="44">
        <f>K12*VLOOKUP('Cum. payments'!BX13,Exposure!$B$33:$C$53,2,FALSE)/VLOOKUP('Cum. payments'!BI13,Exposure!$B$33:$C$53,2,FALSE)</f>
        <v>0.29655749358395056</v>
      </c>
    </row>
    <row r="14" spans="1:25" x14ac:dyDescent="0.3">
      <c r="A14" s="12">
        <v>42683</v>
      </c>
      <c r="B14" s="13">
        <v>562058.99840427726</v>
      </c>
      <c r="C14" s="13">
        <v>999244.57017358276</v>
      </c>
      <c r="D14" s="13">
        <v>1392780.9140634416</v>
      </c>
      <c r="E14" s="22">
        <f>1456537</f>
        <v>1456537</v>
      </c>
      <c r="F14" s="13">
        <v>552419.63271169935</v>
      </c>
      <c r="G14" s="13">
        <v>125908.87288132809</v>
      </c>
      <c r="H14" s="13">
        <v>74795.27647003904</v>
      </c>
      <c r="I14" s="13">
        <v>14662.900216827527</v>
      </c>
      <c r="J14" s="13">
        <v>11291.08317198903</v>
      </c>
      <c r="K14" s="13">
        <v>13044.348045548471</v>
      </c>
      <c r="O14">
        <f t="shared" si="0"/>
        <v>2016</v>
      </c>
      <c r="P14" s="44">
        <f>B13*VLOOKUP('Cum. payments'!BO14,Exposure!$B$33:$C$53,2,FALSE)/VLOOKUP('Cum. payments'!AZ14,Exposure!$B$33:$C$53,2,FALSE)</f>
        <v>691176.68104446249</v>
      </c>
      <c r="Q14" s="44">
        <f>C13*VLOOKUP('Cum. payments'!BP14,Exposure!$B$33:$C$53,2,FALSE)/VLOOKUP('Cum. payments'!BA14,Exposure!$B$33:$C$53,2,FALSE)</f>
        <v>1048644.0327472147</v>
      </c>
      <c r="R14" s="44">
        <f>D13*VLOOKUP('Cum. payments'!BQ14,Exposure!$B$33:$C$53,2,FALSE)/VLOOKUP('Cum. payments'!BB14,Exposure!$B$33:$C$53,2,FALSE)</f>
        <v>74184.262048507662</v>
      </c>
      <c r="S14" s="44">
        <f>E13*VLOOKUP('Cum. payments'!BR14,Exposure!$B$33:$C$53,2,FALSE)/VLOOKUP('Cum. payments'!BC14,Exposure!$B$33:$C$53,2,FALSE)</f>
        <v>4076.465088745691</v>
      </c>
      <c r="T14" s="44">
        <f>F13*VLOOKUP('Cum. payments'!BS14,Exposure!$B$33:$C$53,2,FALSE)/VLOOKUP('Cum. payments'!BD14,Exposure!$B$33:$C$53,2,FALSE)</f>
        <v>4279.0816945780871</v>
      </c>
      <c r="U14" s="44">
        <f>G13*VLOOKUP('Cum. payments'!BT14,Exposure!$B$33:$C$53,2,FALSE)/VLOOKUP('Cum. payments'!BE14,Exposure!$B$33:$C$53,2,FALSE)</f>
        <v>774.91847575493148</v>
      </c>
      <c r="V14" s="44">
        <f>H13*VLOOKUP('Cum. payments'!BU14,Exposure!$B$33:$C$53,2,FALSE)/VLOOKUP('Cum. payments'!BF14,Exposure!$B$33:$C$53,2,FALSE)</f>
        <v>103.38961529061353</v>
      </c>
      <c r="W14" s="44">
        <f>I13*VLOOKUP('Cum. payments'!BV14,Exposure!$B$33:$C$53,2,FALSE)/VLOOKUP('Cum. payments'!BG14,Exposure!$B$33:$C$53,2,FALSE)</f>
        <v>77.345130164076622</v>
      </c>
      <c r="X14" s="44">
        <f>J13*VLOOKUP('Cum. payments'!BW14,Exposure!$B$33:$C$53,2,FALSE)/VLOOKUP('Cum. payments'!BH14,Exposure!$B$33:$C$53,2,FALSE)</f>
        <v>48.065091594141151</v>
      </c>
      <c r="Y14" s="44">
        <f>K13*VLOOKUP('Cum. payments'!BX14,Exposure!$B$33:$C$53,2,FALSE)/VLOOKUP('Cum. payments'!BI14,Exposure!$B$33:$C$53,2,FALSE)</f>
        <v>0</v>
      </c>
    </row>
    <row r="15" spans="1:25" x14ac:dyDescent="0.3">
      <c r="A15" s="12">
        <v>42721</v>
      </c>
      <c r="B15" s="13">
        <v>1845602.5909873177</v>
      </c>
      <c r="C15" s="13">
        <v>1068489.839785967</v>
      </c>
      <c r="D15" s="13">
        <v>1321665.0560697359</v>
      </c>
      <c r="E15" s="13">
        <v>1244705.9668532971</v>
      </c>
      <c r="F15" s="13">
        <v>1686668.7112545427</v>
      </c>
      <c r="G15" s="13">
        <v>1325635.8261821186</v>
      </c>
      <c r="H15" s="13">
        <v>1065777.4014922723</v>
      </c>
      <c r="I15" s="13">
        <v>902615.07357600483</v>
      </c>
      <c r="J15" s="13">
        <v>120253.58296082835</v>
      </c>
      <c r="K15" s="13">
        <v>100746.13128474765</v>
      </c>
      <c r="O15">
        <f t="shared" si="0"/>
        <v>2016</v>
      </c>
      <c r="P15" s="44">
        <f>B14*VLOOKUP('Cum. payments'!BO15,Exposure!$B$33:$C$53,2,FALSE)/VLOOKUP('Cum. payments'!AZ15,Exposure!$B$33:$C$53,2,FALSE)</f>
        <v>902590.55441502866</v>
      </c>
      <c r="Q15" s="44">
        <f>C14*VLOOKUP('Cum. payments'!BP15,Exposure!$B$33:$C$53,2,FALSE)/VLOOKUP('Cum. payments'!BA15,Exposure!$B$33:$C$53,2,FALSE)</f>
        <v>1599574.4999141167</v>
      </c>
      <c r="R15" s="44">
        <f>D14*VLOOKUP('Cum. payments'!BQ15,Exposure!$B$33:$C$53,2,FALSE)/VLOOKUP('Cum. payments'!BB15,Exposure!$B$33:$C$53,2,FALSE)</f>
        <v>2224114.7790683787</v>
      </c>
      <c r="S15" s="44">
        <f>E14*VLOOKUP('Cum. payments'!BR15,Exposure!$B$33:$C$53,2,FALSE)/VLOOKUP('Cum. payments'!BC15,Exposure!$B$33:$C$53,2,FALSE)</f>
        <v>2334026.5039764517</v>
      </c>
      <c r="T15" s="44">
        <f>F14*VLOOKUP('Cum. payments'!BS15,Exposure!$B$33:$C$53,2,FALSE)/VLOOKUP('Cum. payments'!BD15,Exposure!$B$33:$C$53,2,FALSE)</f>
        <v>894390.30840691098</v>
      </c>
      <c r="U15" s="44">
        <f>G14*VLOOKUP('Cum. payments'!BT15,Exposure!$B$33:$C$53,2,FALSE)/VLOOKUP('Cum. payments'!BE15,Exposure!$B$33:$C$53,2,FALSE)</f>
        <v>202594.84655257047</v>
      </c>
      <c r="V15" s="44">
        <f>H14*VLOOKUP('Cum. payments'!BU15,Exposure!$B$33:$C$53,2,FALSE)/VLOOKUP('Cum. payments'!BF15,Exposure!$B$33:$C$53,2,FALSE)</f>
        <v>111921.44565096208</v>
      </c>
      <c r="W15" s="44">
        <f>I14*VLOOKUP('Cum. payments'!BV15,Exposure!$B$33:$C$53,2,FALSE)/VLOOKUP('Cum. payments'!BG15,Exposure!$B$33:$C$53,2,FALSE)</f>
        <v>21460.364774059297</v>
      </c>
      <c r="X15" s="44">
        <f>J14*VLOOKUP('Cum. payments'!BW15,Exposure!$B$33:$C$53,2,FALSE)/VLOOKUP('Cum. payments'!BH15,Exposure!$B$33:$C$53,2,FALSE)</f>
        <v>16313.168102730813</v>
      </c>
      <c r="Y15" s="44">
        <f>K14*VLOOKUP('Cum. payments'!BX15,Exposure!$B$33:$C$53,2,FALSE)/VLOOKUP('Cum. payments'!BI15,Exposure!$B$33:$C$53,2,FALSE)</f>
        <v>18724.638963921527</v>
      </c>
    </row>
    <row r="16" spans="1:25" x14ac:dyDescent="0.3">
      <c r="A16" s="12">
        <v>42761</v>
      </c>
      <c r="B16" s="13">
        <v>2767461.850908576</v>
      </c>
      <c r="C16" s="22">
        <v>2270887.5547011001</v>
      </c>
      <c r="D16" s="13">
        <v>1061599.7494668069</v>
      </c>
      <c r="E16" s="13">
        <v>668752.76403664798</v>
      </c>
      <c r="F16" s="13">
        <v>384534.63607956882</v>
      </c>
      <c r="G16" s="13">
        <v>4455.9806164669271</v>
      </c>
      <c r="H16" s="13">
        <v>3843.0823458625955</v>
      </c>
      <c r="I16" s="13">
        <v>3168.4672854586747</v>
      </c>
      <c r="J16" s="13">
        <v>3080.0800638295791</v>
      </c>
      <c r="O16">
        <f t="shared" si="0"/>
        <v>2016</v>
      </c>
      <c r="P16" s="44">
        <f>B15*VLOOKUP('Cum. payments'!BO16,Exposure!$B$33:$C$53,2,FALSE)/VLOOKUP('Cum. payments'!AZ16,Exposure!$B$33:$C$53,2,FALSE)</f>
        <v>2963787.5571042178</v>
      </c>
      <c r="Q16" s="44">
        <f>C15*VLOOKUP('Cum. payments'!BP16,Exposure!$B$33:$C$53,2,FALSE)/VLOOKUP('Cum. payments'!BA16,Exposure!$B$33:$C$53,2,FALSE)</f>
        <v>1710421.2043324423</v>
      </c>
      <c r="R16" s="44">
        <f>D15*VLOOKUP('Cum. payments'!BQ16,Exposure!$B$33:$C$53,2,FALSE)/VLOOKUP('Cum. payments'!BB16,Exposure!$B$33:$C$53,2,FALSE)</f>
        <v>2110550.7366602528</v>
      </c>
      <c r="S16" s="44">
        <f>E15*VLOOKUP('Cum. payments'!BR16,Exposure!$B$33:$C$53,2,FALSE)/VLOOKUP('Cum. payments'!BC16,Exposure!$B$33:$C$53,2,FALSE)</f>
        <v>1994578.0411299062</v>
      </c>
      <c r="T16" s="44">
        <f>F15*VLOOKUP('Cum. payments'!BS16,Exposure!$B$33:$C$53,2,FALSE)/VLOOKUP('Cum. payments'!BD16,Exposure!$B$33:$C$53,2,FALSE)</f>
        <v>2730786.6330422852</v>
      </c>
      <c r="U16" s="44">
        <f>G15*VLOOKUP('Cum. payments'!BT16,Exposure!$B$33:$C$53,2,FALSE)/VLOOKUP('Cum. payments'!BE16,Exposure!$B$33:$C$53,2,FALSE)</f>
        <v>2133026.693385514</v>
      </c>
      <c r="V16" s="44">
        <f>H15*VLOOKUP('Cum. payments'!BU16,Exposure!$B$33:$C$53,2,FALSE)/VLOOKUP('Cum. payments'!BF16,Exposure!$B$33:$C$53,2,FALSE)</f>
        <v>1594797.8688857793</v>
      </c>
      <c r="W16" s="44">
        <f>I15*VLOOKUP('Cum. payments'!BV16,Exposure!$B$33:$C$53,2,FALSE)/VLOOKUP('Cum. payments'!BG16,Exposure!$B$33:$C$53,2,FALSE)</f>
        <v>1321051.6639317644</v>
      </c>
      <c r="X16" s="44">
        <f>J15*VLOOKUP('Cum. payments'!BW16,Exposure!$B$33:$C$53,2,FALSE)/VLOOKUP('Cum. payments'!BH16,Exposure!$B$33:$C$53,2,FALSE)</f>
        <v>173740.36519917901</v>
      </c>
      <c r="Y16" s="44">
        <f>K15*VLOOKUP('Cum. payments'!BX16,Exposure!$B$33:$C$53,2,FALSE)/VLOOKUP('Cum. payments'!BI16,Exposure!$B$33:$C$53,2,FALSE)</f>
        <v>144617.03480554602</v>
      </c>
    </row>
    <row r="17" spans="1:24" x14ac:dyDescent="0.3">
      <c r="A17" s="12">
        <v>42775</v>
      </c>
      <c r="B17" s="13">
        <v>1943175.2031425927</v>
      </c>
      <c r="C17" s="13">
        <v>936298.95574507583</v>
      </c>
      <c r="D17" s="13">
        <v>1232212.593341931</v>
      </c>
      <c r="E17" s="13">
        <v>167008.04587261242</v>
      </c>
      <c r="F17" s="13">
        <v>167087.39582075481</v>
      </c>
      <c r="G17" s="13">
        <v>136948.86467616065</v>
      </c>
      <c r="H17" s="13">
        <v>147130.82345710709</v>
      </c>
      <c r="I17" s="13">
        <v>113863.70339095968</v>
      </c>
      <c r="J17" s="13">
        <v>94761.57799786485</v>
      </c>
      <c r="O17">
        <f t="shared" si="0"/>
        <v>2017</v>
      </c>
      <c r="P17" s="44">
        <f>B16*VLOOKUP('Cum. payments'!BO17,Exposure!$B$33:$C$53,2,FALSE)/VLOOKUP('Cum. payments'!AZ17,Exposure!$B$33:$C$53,2,FALSE)</f>
        <v>4288584.7453510351</v>
      </c>
      <c r="Q17" s="44">
        <f>C16*VLOOKUP('Cum. payments'!BP17,Exposure!$B$33:$C$53,2,FALSE)/VLOOKUP('Cum. payments'!BA17,Exposure!$B$33:$C$53,2,FALSE)</f>
        <v>3510505.823857524</v>
      </c>
      <c r="R17" s="44">
        <f>D16*VLOOKUP('Cum. payments'!BQ17,Exposure!$B$33:$C$53,2,FALSE)/VLOOKUP('Cum. payments'!BB17,Exposure!$B$33:$C$53,2,FALSE)</f>
        <v>1646814.7486955719</v>
      </c>
      <c r="S17" s="44">
        <f>E16*VLOOKUP('Cum. payments'!BR17,Exposure!$B$33:$C$53,2,FALSE)/VLOOKUP('Cum. payments'!BC17,Exposure!$B$33:$C$53,2,FALSE)</f>
        <v>1048149.5405113854</v>
      </c>
      <c r="T17" s="44">
        <f>F16*VLOOKUP('Cum. payments'!BS17,Exposure!$B$33:$C$53,2,FALSE)/VLOOKUP('Cum. payments'!BD17,Exposure!$B$33:$C$53,2,FALSE)</f>
        <v>598972.9367149485</v>
      </c>
      <c r="U17" s="44">
        <f>G16*VLOOKUP('Cum. payments'!BT17,Exposure!$B$33:$C$53,2,FALSE)/VLOOKUP('Cum. payments'!BE17,Exposure!$B$33:$C$53,2,FALSE)</f>
        <v>6454.7899002841323</v>
      </c>
      <c r="V17" s="44">
        <f>H16*VLOOKUP('Cum. payments'!BU17,Exposure!$B$33:$C$53,2,FALSE)/VLOOKUP('Cum. payments'!BF17,Exposure!$B$33:$C$53,2,FALSE)</f>
        <v>5444.9837650514564</v>
      </c>
      <c r="W17" s="44">
        <f>I16*VLOOKUP('Cum. payments'!BV17,Exposure!$B$33:$C$53,2,FALSE)/VLOOKUP('Cum. payments'!BG17,Exposure!$B$33:$C$53,2,FALSE)</f>
        <v>4431.5087469317632</v>
      </c>
      <c r="X17" s="44">
        <f>J16*VLOOKUP('Cum. payments'!BW17,Exposure!$B$33:$C$53,2,FALSE)/VLOOKUP('Cum. payments'!BH17,Exposure!$B$33:$C$53,2,FALSE)</f>
        <v>4280.0885965846546</v>
      </c>
    </row>
    <row r="18" spans="1:24" x14ac:dyDescent="0.3">
      <c r="A18" s="12">
        <v>42832</v>
      </c>
      <c r="B18" s="13">
        <v>1814132.2435381771</v>
      </c>
      <c r="C18" s="13">
        <v>1271704.6365863963</v>
      </c>
      <c r="D18" s="13">
        <v>852166.84200288192</v>
      </c>
      <c r="E18" s="13">
        <v>646038.87800896144</v>
      </c>
      <c r="F18" s="13">
        <v>826130.52668573579</v>
      </c>
      <c r="G18" s="13">
        <v>358336.31836205203</v>
      </c>
      <c r="H18" s="13">
        <v>385756.0257893026</v>
      </c>
      <c r="I18" s="13">
        <v>231929.42925014469</v>
      </c>
      <c r="J18" s="13">
        <v>234191.11823748238</v>
      </c>
      <c r="O18">
        <f t="shared" si="0"/>
        <v>2017</v>
      </c>
      <c r="P18" s="44">
        <f>B17*VLOOKUP('Cum. payments'!BO18,Exposure!$B$33:$C$53,2,FALSE)/VLOOKUP('Cum. payments'!AZ18,Exposure!$B$33:$C$53,2,FALSE)</f>
        <v>3011232.6683042767</v>
      </c>
      <c r="Q18" s="44">
        <f>C17*VLOOKUP('Cum. payments'!BP18,Exposure!$B$33:$C$53,2,FALSE)/VLOOKUP('Cum. payments'!BA18,Exposure!$B$33:$C$53,2,FALSE)</f>
        <v>1447400.1278532855</v>
      </c>
      <c r="R18" s="44">
        <f>D17*VLOOKUP('Cum. payments'!BQ18,Exposure!$B$33:$C$53,2,FALSE)/VLOOKUP('Cum. payments'!BB18,Exposure!$B$33:$C$53,2,FALSE)</f>
        <v>1911479.2305321272</v>
      </c>
      <c r="S18" s="44">
        <f>E17*VLOOKUP('Cum. payments'!BR18,Exposure!$B$33:$C$53,2,FALSE)/VLOOKUP('Cum. payments'!BC18,Exposure!$B$33:$C$53,2,FALSE)</f>
        <v>261755.04006364048</v>
      </c>
      <c r="T18" s="44">
        <f>F17*VLOOKUP('Cum. payments'!BS18,Exposure!$B$33:$C$53,2,FALSE)/VLOOKUP('Cum. payments'!BD18,Exposure!$B$33:$C$53,2,FALSE)</f>
        <v>260264.79482618454</v>
      </c>
      <c r="U18" s="44">
        <f>G17*VLOOKUP('Cum. payments'!BT18,Exposure!$B$33:$C$53,2,FALSE)/VLOOKUP('Cum. payments'!BE18,Exposure!$B$33:$C$53,2,FALSE)</f>
        <v>198379.71137045702</v>
      </c>
      <c r="V18" s="44">
        <f>H17*VLOOKUP('Cum. payments'!BU18,Exposure!$B$33:$C$53,2,FALSE)/VLOOKUP('Cum. payments'!BF18,Exposure!$B$33:$C$53,2,FALSE)</f>
        <v>208458.95897210715</v>
      </c>
      <c r="W18" s="44">
        <f>I17*VLOOKUP('Cum. payments'!BV18,Exposure!$B$33:$C$53,2,FALSE)/VLOOKUP('Cum. payments'!BG18,Exposure!$B$33:$C$53,2,FALSE)</f>
        <v>159253.02427796298</v>
      </c>
      <c r="X18" s="44">
        <f>J17*VLOOKUP('Cum. payments'!BW18,Exposure!$B$33:$C$53,2,FALSE)/VLOOKUP('Cum. payments'!BH18,Exposure!$B$33:$C$53,2,FALSE)</f>
        <v>131680.97613629757</v>
      </c>
    </row>
    <row r="19" spans="1:24" x14ac:dyDescent="0.3">
      <c r="A19" s="12">
        <v>42844</v>
      </c>
      <c r="B19" s="13">
        <v>1971197.5718604792</v>
      </c>
      <c r="C19" s="13">
        <v>1223914.8531942889</v>
      </c>
      <c r="D19" s="13">
        <v>395433.47269346274</v>
      </c>
      <c r="E19" s="13">
        <v>481067.89158754743</v>
      </c>
      <c r="F19" s="13">
        <v>0.21032495644936391</v>
      </c>
      <c r="G19" s="13">
        <v>8.4024144777053972E-2</v>
      </c>
      <c r="H19" s="13">
        <v>4.6615099345549568E-4</v>
      </c>
      <c r="I19" s="13">
        <v>9.9112235920682793E-5</v>
      </c>
      <c r="J19" s="13">
        <v>3.8934411353235827E-5</v>
      </c>
      <c r="O19">
        <f t="shared" si="0"/>
        <v>2017</v>
      </c>
      <c r="P19" s="44">
        <f>B18*VLOOKUP('Cum. payments'!BO19,Exposure!$B$33:$C$53,2,FALSE)/VLOOKUP('Cum. payments'!AZ19,Exposure!$B$33:$C$53,2,FALSE)</f>
        <v>2811261.8293665117</v>
      </c>
      <c r="Q19" s="44">
        <f>C18*VLOOKUP('Cum. payments'!BP19,Exposure!$B$33:$C$53,2,FALSE)/VLOOKUP('Cum. payments'!BA19,Exposure!$B$33:$C$53,2,FALSE)</f>
        <v>1965895.0192057246</v>
      </c>
      <c r="R19" s="44">
        <f>D18*VLOOKUP('Cum. payments'!BQ19,Exposure!$B$33:$C$53,2,FALSE)/VLOOKUP('Cum. payments'!BB19,Exposure!$B$33:$C$53,2,FALSE)</f>
        <v>1321930.3456547717</v>
      </c>
      <c r="S19" s="44">
        <f>E18*VLOOKUP('Cum. payments'!BR19,Exposure!$B$33:$C$53,2,FALSE)/VLOOKUP('Cum. payments'!BC19,Exposure!$B$33:$C$53,2,FALSE)</f>
        <v>1012549.6140760266</v>
      </c>
      <c r="T19" s="44">
        <f>F18*VLOOKUP('Cum. payments'!BS19,Exposure!$B$33:$C$53,2,FALSE)/VLOOKUP('Cum. payments'!BD19,Exposure!$B$33:$C$53,2,FALSE)</f>
        <v>1286827.7165452293</v>
      </c>
      <c r="U19" s="44">
        <f>G18*VLOOKUP('Cum. payments'!BT19,Exposure!$B$33:$C$53,2,FALSE)/VLOOKUP('Cum. payments'!BE19,Exposure!$B$33:$C$53,2,FALSE)</f>
        <v>519074.44123989501</v>
      </c>
      <c r="V19" s="44">
        <f>H18*VLOOKUP('Cum. payments'!BU19,Exposure!$B$33:$C$53,2,FALSE)/VLOOKUP('Cum. payments'!BF19,Exposure!$B$33:$C$53,2,FALSE)</f>
        <v>546549.64652392128</v>
      </c>
      <c r="W19" s="44">
        <f>I18*VLOOKUP('Cum. payments'!BV19,Exposure!$B$33:$C$53,2,FALSE)/VLOOKUP('Cum. payments'!BG19,Exposure!$B$33:$C$53,2,FALSE)</f>
        <v>324383.11707047385</v>
      </c>
      <c r="X19" s="44">
        <f>J18*VLOOKUP('Cum. payments'!BW19,Exposure!$B$33:$C$53,2,FALSE)/VLOOKUP('Cum. payments'!BH19,Exposure!$B$33:$C$53,2,FALSE)</f>
        <v>325432.68805272115</v>
      </c>
    </row>
    <row r="20" spans="1:24" x14ac:dyDescent="0.3">
      <c r="A20" s="12">
        <v>42844</v>
      </c>
      <c r="B20" s="13">
        <v>1540538.5439381008</v>
      </c>
      <c r="C20" s="13">
        <v>743442.46429718065</v>
      </c>
      <c r="D20" s="13">
        <v>873562.37284713017</v>
      </c>
      <c r="E20" s="13">
        <v>95805.460179680085</v>
      </c>
      <c r="F20" s="13">
        <v>53188.661643048872</v>
      </c>
      <c r="G20" s="13">
        <v>50645.392681171557</v>
      </c>
      <c r="H20" s="13">
        <v>29429.158294847712</v>
      </c>
      <c r="I20" s="13">
        <v>25041.088162379303</v>
      </c>
      <c r="J20" s="13">
        <v>25563.378461299144</v>
      </c>
      <c r="O20">
        <f t="shared" si="0"/>
        <v>2017</v>
      </c>
      <c r="P20" s="44">
        <f>B19*VLOOKUP('Cum. payments'!BO20,Exposure!$B$33:$C$53,2,FALSE)/VLOOKUP('Cum. payments'!AZ20,Exposure!$B$33:$C$53,2,FALSE)</f>
        <v>3054657.4052966493</v>
      </c>
      <c r="Q20" s="44">
        <f>C19*VLOOKUP('Cum. payments'!BP20,Exposure!$B$33:$C$53,2,FALSE)/VLOOKUP('Cum. payments'!BA20,Exposure!$B$33:$C$53,2,FALSE)</f>
        <v>1892018.0398847631</v>
      </c>
      <c r="R20" s="44">
        <f>D19*VLOOKUP('Cum. payments'!BQ20,Exposure!$B$33:$C$53,2,FALSE)/VLOOKUP('Cum. payments'!BB20,Exposure!$B$33:$C$53,2,FALSE)</f>
        <v>613419.20557778305</v>
      </c>
      <c r="S20" s="44">
        <f>E19*VLOOKUP('Cum. payments'!BR20,Exposure!$B$33:$C$53,2,FALSE)/VLOOKUP('Cum. payments'!BC20,Exposure!$B$33:$C$53,2,FALSE)</f>
        <v>753987.29790466593</v>
      </c>
      <c r="T20" s="44">
        <f>F19*VLOOKUP('Cum. payments'!BS20,Exposure!$B$33:$C$53,2,FALSE)/VLOOKUP('Cum. payments'!BD20,Exposure!$B$33:$C$53,2,FALSE)</f>
        <v>0.3276140690818064</v>
      </c>
      <c r="U20" s="44">
        <f>G19*VLOOKUP('Cum. payments'!BT20,Exposure!$B$33:$C$53,2,FALSE)/VLOOKUP('Cum. payments'!BE20,Exposure!$B$33:$C$53,2,FALSE)</f>
        <v>0.12171466794147917</v>
      </c>
      <c r="V20" s="44">
        <f>H19*VLOOKUP('Cum. payments'!BU20,Exposure!$B$33:$C$53,2,FALSE)/VLOOKUP('Cum. payments'!BF20,Exposure!$B$33:$C$53,2,FALSE)</f>
        <v>6.6045542692062093E-4</v>
      </c>
      <c r="W20" s="44">
        <f>I19*VLOOKUP('Cum. payments'!BV20,Exposure!$B$33:$C$53,2,FALSE)/VLOOKUP('Cum. payments'!BG20,Exposure!$B$33:$C$53,2,FALSE)</f>
        <v>1.3862120099084068E-4</v>
      </c>
      <c r="X20" s="44">
        <f>J19*VLOOKUP('Cum. payments'!BW20,Exposure!$B$33:$C$53,2,FALSE)/VLOOKUP('Cum. payments'!BH20,Exposure!$B$33:$C$53,2,FALSE)</f>
        <v>5.4103376079298292E-5</v>
      </c>
    </row>
    <row r="21" spans="1:24" x14ac:dyDescent="0.3">
      <c r="A21" s="12">
        <v>42884</v>
      </c>
      <c r="B21" s="13">
        <v>793313.40315580228</v>
      </c>
      <c r="C21" s="13">
        <v>717714.36098521051</v>
      </c>
      <c r="D21" s="13">
        <v>456520.27821174497</v>
      </c>
      <c r="E21" s="13">
        <v>480361.86765131826</v>
      </c>
      <c r="F21" s="13">
        <v>7417.5035101505528</v>
      </c>
      <c r="G21" s="13">
        <v>6824.0166475112273</v>
      </c>
      <c r="H21" s="13">
        <v>3261.3648741144589</v>
      </c>
      <c r="I21" s="13">
        <v>2417.7163303339175</v>
      </c>
      <c r="J21" s="13">
        <v>0</v>
      </c>
      <c r="O21">
        <f t="shared" si="0"/>
        <v>2017</v>
      </c>
      <c r="P21" s="44">
        <f>B20*VLOOKUP('Cum. payments'!BO21,Exposure!$B$33:$C$53,2,FALSE)/VLOOKUP('Cum. payments'!AZ21,Exposure!$B$33:$C$53,2,FALSE)</f>
        <v>2387288.5897195665</v>
      </c>
      <c r="Q21" s="44">
        <f>C20*VLOOKUP('Cum. payments'!BP21,Exposure!$B$33:$C$53,2,FALSE)/VLOOKUP('Cum. payments'!BA21,Exposure!$B$33:$C$53,2,FALSE)</f>
        <v>1149268.3093072646</v>
      </c>
      <c r="R21" s="44">
        <f>D20*VLOOKUP('Cum. payments'!BQ21,Exposure!$B$33:$C$53,2,FALSE)/VLOOKUP('Cum. payments'!BB21,Exposure!$B$33:$C$53,2,FALSE)</f>
        <v>1355120.3268771446</v>
      </c>
      <c r="S21" s="44">
        <f>E20*VLOOKUP('Cum. payments'!BR21,Exposure!$B$33:$C$53,2,FALSE)/VLOOKUP('Cum. payments'!BC21,Exposure!$B$33:$C$53,2,FALSE)</f>
        <v>150157.80788654884</v>
      </c>
      <c r="T21" s="44">
        <f>F20*VLOOKUP('Cum. payments'!BS21,Exposure!$B$33:$C$53,2,FALSE)/VLOOKUP('Cum. payments'!BD21,Exposure!$B$33:$C$53,2,FALSE)</f>
        <v>82849.673020566261</v>
      </c>
      <c r="U21" s="44">
        <f>G20*VLOOKUP('Cum. payments'!BT21,Exposure!$B$33:$C$53,2,FALSE)/VLOOKUP('Cum. payments'!BE21,Exposure!$B$33:$C$53,2,FALSE)</f>
        <v>73363.283486082102</v>
      </c>
      <c r="V21" s="44">
        <f>H20*VLOOKUP('Cum. payments'!BU21,Exposure!$B$33:$C$53,2,FALSE)/VLOOKUP('Cum. payments'!BF21,Exposure!$B$33:$C$53,2,FALSE)</f>
        <v>41696.03321331081</v>
      </c>
      <c r="W21" s="44">
        <f>I20*VLOOKUP('Cum. payments'!BV21,Exposure!$B$33:$C$53,2,FALSE)/VLOOKUP('Cum. payments'!BG21,Exposure!$B$33:$C$53,2,FALSE)</f>
        <v>35023.180366594526</v>
      </c>
      <c r="X21" s="44">
        <f>J20*VLOOKUP('Cum. payments'!BW21,Exposure!$B$33:$C$53,2,FALSE)/VLOOKUP('Cum. payments'!BH21,Exposure!$B$33:$C$53,2,FALSE)</f>
        <v>35522.948226984176</v>
      </c>
    </row>
    <row r="22" spans="1:24" x14ac:dyDescent="0.3">
      <c r="A22" s="12">
        <v>42920</v>
      </c>
      <c r="B22" s="13">
        <v>4240921.112172381</v>
      </c>
      <c r="C22" s="13">
        <v>2366546.046283124</v>
      </c>
      <c r="D22" s="13">
        <v>1681631.1069148737</v>
      </c>
      <c r="E22" s="13">
        <v>1880251.6342043318</v>
      </c>
      <c r="F22" s="13">
        <v>95934.235159547068</v>
      </c>
      <c r="G22" s="13">
        <v>882.54348475620395</v>
      </c>
      <c r="H22" s="13">
        <v>150.99691004425159</v>
      </c>
      <c r="I22" s="13">
        <v>140.44724144568536</v>
      </c>
      <c r="J22" s="13">
        <v>5.1836950810488691</v>
      </c>
      <c r="O22">
        <f t="shared" si="0"/>
        <v>2017</v>
      </c>
      <c r="P22" s="44">
        <f>B21*VLOOKUP('Cum. payments'!BO22,Exposure!$B$33:$C$53,2,FALSE)/VLOOKUP('Cum. payments'!AZ22,Exposure!$B$33:$C$53,2,FALSE)</f>
        <v>1229354.5285690308</v>
      </c>
      <c r="Q22" s="44">
        <f>C21*VLOOKUP('Cum. payments'!BP22,Exposure!$B$33:$C$53,2,FALSE)/VLOOKUP('Cum. payments'!BA22,Exposure!$B$33:$C$53,2,FALSE)</f>
        <v>1109495.9056378249</v>
      </c>
      <c r="R22" s="44">
        <f>D21*VLOOKUP('Cum. payments'!BQ22,Exposure!$B$33:$C$53,2,FALSE)/VLOOKUP('Cum. payments'!BB22,Exposure!$B$33:$C$53,2,FALSE)</f>
        <v>708180.58087834355</v>
      </c>
      <c r="S22" s="44">
        <f>E21*VLOOKUP('Cum. payments'!BR22,Exposure!$B$33:$C$53,2,FALSE)/VLOOKUP('Cum. payments'!BC22,Exposure!$B$33:$C$53,2,FALSE)</f>
        <v>752880.73251287325</v>
      </c>
      <c r="T22" s="44">
        <f>F21*VLOOKUP('Cum. payments'!BS22,Exposure!$B$33:$C$53,2,FALSE)/VLOOKUP('Cum. payments'!BD22,Exposure!$B$33:$C$53,2,FALSE)</f>
        <v>11553.923739782398</v>
      </c>
      <c r="U22" s="44">
        <f>G21*VLOOKUP('Cum. payments'!BT22,Exposure!$B$33:$C$53,2,FALSE)/VLOOKUP('Cum. payments'!BE22,Exposure!$B$33:$C$53,2,FALSE)</f>
        <v>9885.0505706756994</v>
      </c>
      <c r="V22" s="44">
        <f>H21*VLOOKUP('Cum. payments'!BU22,Exposure!$B$33:$C$53,2,FALSE)/VLOOKUP('Cum. payments'!BF22,Exposure!$B$33:$C$53,2,FALSE)</f>
        <v>4620.7906032980009</v>
      </c>
      <c r="W22" s="44">
        <f>I21*VLOOKUP('Cum. payments'!BV22,Exposure!$B$33:$C$53,2,FALSE)/VLOOKUP('Cum. payments'!BG22,Exposure!$B$33:$C$53,2,FALSE)</f>
        <v>3381.4870409569394</v>
      </c>
      <c r="X22" s="44">
        <f>J21*VLOOKUP('Cum. payments'!BW22,Exposure!$B$33:$C$53,2,FALSE)/VLOOKUP('Cum. payments'!BH22,Exposure!$B$33:$C$53,2,FALSE)</f>
        <v>0</v>
      </c>
    </row>
    <row r="23" spans="1:24" x14ac:dyDescent="0.3">
      <c r="A23" s="12">
        <v>42943</v>
      </c>
      <c r="B23" s="13">
        <v>1334561.5497270583</v>
      </c>
      <c r="C23" s="13">
        <v>2267097.578809402</v>
      </c>
      <c r="D23" s="13">
        <v>975297.94254152849</v>
      </c>
      <c r="E23" s="13">
        <v>600401.83999967983</v>
      </c>
      <c r="F23" s="13">
        <v>184665.25009847424</v>
      </c>
      <c r="G23" s="13">
        <v>142906.08252232563</v>
      </c>
      <c r="H23" s="13">
        <v>44355.647164808492</v>
      </c>
      <c r="I23" s="13">
        <v>43056.050973220932</v>
      </c>
      <c r="J23" s="13">
        <v>26.993359658915555</v>
      </c>
      <c r="O23">
        <f t="shared" si="0"/>
        <v>2017</v>
      </c>
      <c r="P23" s="44">
        <f>B22*VLOOKUP('Cum. payments'!BO23,Exposure!$B$33:$C$53,2,FALSE)/VLOOKUP('Cum. payments'!AZ23,Exposure!$B$33:$C$53,2,FALSE)</f>
        <v>6571924.2279450139</v>
      </c>
      <c r="Q23" s="44">
        <f>C22*VLOOKUP('Cum. payments'!BP23,Exposure!$B$33:$C$53,2,FALSE)/VLOOKUP('Cum. payments'!BA23,Exposure!$B$33:$C$53,2,FALSE)</f>
        <v>3658381.7902852502</v>
      </c>
      <c r="R23" s="44">
        <f>D22*VLOOKUP('Cum. payments'!BQ23,Exposure!$B$33:$C$53,2,FALSE)/VLOOKUP('Cum. payments'!BB23,Exposure!$B$33:$C$53,2,FALSE)</f>
        <v>2608643.1445783447</v>
      </c>
      <c r="S23" s="44">
        <f>E22*VLOOKUP('Cum. payments'!BR23,Exposure!$B$33:$C$53,2,FALSE)/VLOOKUP('Cum. payments'!BC23,Exposure!$B$33:$C$53,2,FALSE)</f>
        <v>2946955.8743073125</v>
      </c>
      <c r="T23" s="44">
        <f>F22*VLOOKUP('Cum. payments'!BS23,Exposure!$B$33:$C$53,2,FALSE)/VLOOKUP('Cum. payments'!BD23,Exposure!$B$33:$C$53,2,FALSE)</f>
        <v>149432.6002745984</v>
      </c>
      <c r="U23" s="44">
        <f>G22*VLOOKUP('Cum. payments'!BT23,Exposure!$B$33:$C$53,2,FALSE)/VLOOKUP('Cum. payments'!BE23,Exposure!$B$33:$C$53,2,FALSE)</f>
        <v>1278.4240467550942</v>
      </c>
      <c r="V23" s="44">
        <f>H22*VLOOKUP('Cum. payments'!BU23,Exposure!$B$33:$C$53,2,FALSE)/VLOOKUP('Cum. payments'!BF23,Exposure!$B$33:$C$53,2,FALSE)</f>
        <v>213.93653577291343</v>
      </c>
      <c r="W23" s="44">
        <f>I22*VLOOKUP('Cum. payments'!BV23,Exposure!$B$33:$C$53,2,FALSE)/VLOOKUP('Cum. payments'!BG23,Exposure!$B$33:$C$53,2,FALSE)</f>
        <v>196.43351907257988</v>
      </c>
      <c r="X23" s="44">
        <f>J22*VLOOKUP('Cum. payments'!BW23,Exposure!$B$33:$C$53,2,FALSE)/VLOOKUP('Cum. payments'!BH23,Exposure!$B$33:$C$53,2,FALSE)</f>
        <v>7.2032784034138739</v>
      </c>
    </row>
    <row r="24" spans="1:24" x14ac:dyDescent="0.3">
      <c r="A24" s="12">
        <v>43008</v>
      </c>
      <c r="B24" s="13">
        <v>1066911.8637380037</v>
      </c>
      <c r="C24" s="13">
        <v>1263546.7599686021</v>
      </c>
      <c r="D24" s="13">
        <v>1002662.0853842415</v>
      </c>
      <c r="E24" s="13">
        <v>913746.95608726819</v>
      </c>
      <c r="F24" s="13">
        <v>403982.80969781679</v>
      </c>
      <c r="G24" s="13">
        <v>159850.20787574374</v>
      </c>
      <c r="H24" s="13">
        <v>102757.37508537261</v>
      </c>
      <c r="I24" s="13">
        <v>64264.300423440545</v>
      </c>
      <c r="J24" s="13">
        <v>49965.120697852864</v>
      </c>
      <c r="O24">
        <f t="shared" si="0"/>
        <v>2017</v>
      </c>
      <c r="P24" s="44">
        <f>B23*VLOOKUP('Cum. payments'!BO24,Exposure!$B$33:$C$53,2,FALSE)/VLOOKUP('Cum. payments'!AZ24,Exposure!$B$33:$C$53,2,FALSE)</f>
        <v>2068097.2718783733</v>
      </c>
      <c r="Q24" s="44">
        <f>C23*VLOOKUP('Cum. payments'!BP24,Exposure!$B$33:$C$53,2,FALSE)/VLOOKUP('Cum. payments'!BA24,Exposure!$B$33:$C$53,2,FALSE)</f>
        <v>3504646.999006182</v>
      </c>
      <c r="R24" s="44">
        <f>D23*VLOOKUP('Cum. payments'!BQ24,Exposure!$B$33:$C$53,2,FALSE)/VLOOKUP('Cum. payments'!BB24,Exposure!$B$33:$C$53,2,FALSE)</f>
        <v>1512938.4091853108</v>
      </c>
      <c r="S24" s="44">
        <f>E23*VLOOKUP('Cum. payments'!BR24,Exposure!$B$33:$C$53,2,FALSE)/VLOOKUP('Cum. payments'!BC24,Exposure!$B$33:$C$53,2,FALSE)</f>
        <v>941021.774503452</v>
      </c>
      <c r="T24" s="44">
        <f>F23*VLOOKUP('Cum. payments'!BS24,Exposure!$B$33:$C$53,2,FALSE)/VLOOKUP('Cum. payments'!BD24,Exposure!$B$33:$C$53,2,FALSE)</f>
        <v>287645.056602381</v>
      </c>
      <c r="U24" s="44">
        <f>G23*VLOOKUP('Cum. payments'!BT24,Exposure!$B$33:$C$53,2,FALSE)/VLOOKUP('Cum. payments'!BE24,Exposure!$B$33:$C$53,2,FALSE)</f>
        <v>207009.14513529831</v>
      </c>
      <c r="V24" s="44">
        <f>H23*VLOOKUP('Cum. payments'!BU24,Exposure!$B$33:$C$53,2,FALSE)/VLOOKUP('Cum. payments'!BF24,Exposure!$B$33:$C$53,2,FALSE)</f>
        <v>62844.289287931897</v>
      </c>
      <c r="W24" s="44">
        <f>I23*VLOOKUP('Cum. payments'!BV24,Exposure!$B$33:$C$53,2,FALSE)/VLOOKUP('Cum. payments'!BG24,Exposure!$B$33:$C$53,2,FALSE)</f>
        <v>60219.42134982381</v>
      </c>
      <c r="X24" s="44">
        <f>J23*VLOOKUP('Cum. payments'!BW24,Exposure!$B$33:$C$53,2,FALSE)/VLOOKUP('Cum. payments'!BH24,Exposure!$B$33:$C$53,2,FALSE)</f>
        <v>37.510054435398345</v>
      </c>
    </row>
    <row r="25" spans="1:24" x14ac:dyDescent="0.3">
      <c r="A25" s="12">
        <v>43020</v>
      </c>
      <c r="B25" s="13">
        <v>641112.24917819665</v>
      </c>
      <c r="C25" s="13">
        <v>962799.43958496815</v>
      </c>
      <c r="D25" s="13">
        <v>206984.96416833281</v>
      </c>
      <c r="E25" s="13">
        <v>235327.73702672307</v>
      </c>
      <c r="F25" s="13">
        <v>213335.14000670915</v>
      </c>
      <c r="G25" s="13">
        <v>135806.84385206766</v>
      </c>
      <c r="H25" s="13">
        <v>5052.0004145449293</v>
      </c>
      <c r="I25" s="13">
        <v>1279.9143680385534</v>
      </c>
      <c r="J25" s="13">
        <v>51.537047131515649</v>
      </c>
      <c r="O25">
        <f t="shared" si="0"/>
        <v>2017</v>
      </c>
      <c r="P25" s="44">
        <f>B24*VLOOKUP('Cum. payments'!BO25,Exposure!$B$33:$C$53,2,FALSE)/VLOOKUP('Cum. payments'!AZ25,Exposure!$B$33:$C$53,2,FALSE)</f>
        <v>1653335.1460504015</v>
      </c>
      <c r="Q25" s="44">
        <f>C24*VLOOKUP('Cum. payments'!BP25,Exposure!$B$33:$C$53,2,FALSE)/VLOOKUP('Cum. payments'!BA25,Exposure!$B$33:$C$53,2,FALSE)</f>
        <v>1953283.9705794766</v>
      </c>
      <c r="R25" s="44">
        <f>D24*VLOOKUP('Cum. payments'!BQ25,Exposure!$B$33:$C$53,2,FALSE)/VLOOKUP('Cum. payments'!BB25,Exposure!$B$33:$C$53,2,FALSE)</f>
        <v>1555387.2455206865</v>
      </c>
      <c r="S25" s="44">
        <f>E24*VLOOKUP('Cum. payments'!BR25,Exposure!$B$33:$C$53,2,FALSE)/VLOOKUP('Cum. payments'!BC25,Exposure!$B$33:$C$53,2,FALSE)</f>
        <v>1432133.822349424</v>
      </c>
      <c r="T25" s="44">
        <f>F24*VLOOKUP('Cum. payments'!BS25,Exposure!$B$33:$C$53,2,FALSE)/VLOOKUP('Cum. payments'!BD25,Exposure!$B$33:$C$53,2,FALSE)</f>
        <v>629266.51386739465</v>
      </c>
      <c r="U25" s="44">
        <f>G24*VLOOKUP('Cum. payments'!BT25,Exposure!$B$33:$C$53,2,FALSE)/VLOOKUP('Cum. payments'!BE25,Exposure!$B$33:$C$53,2,FALSE)</f>
        <v>231553.8589960848</v>
      </c>
      <c r="V25" s="44">
        <f>H24*VLOOKUP('Cum. payments'!BU25,Exposure!$B$33:$C$53,2,FALSE)/VLOOKUP('Cum. payments'!BF25,Exposure!$B$33:$C$53,2,FALSE)</f>
        <v>145589.44844924266</v>
      </c>
      <c r="W25" s="44">
        <f>I24*VLOOKUP('Cum. payments'!BV25,Exposure!$B$33:$C$53,2,FALSE)/VLOOKUP('Cum. payments'!BG25,Exposure!$B$33:$C$53,2,FALSE)</f>
        <v>89881.884136512672</v>
      </c>
      <c r="X25" s="44">
        <f>J24*VLOOKUP('Cum. payments'!BW25,Exposure!$B$33:$C$53,2,FALSE)/VLOOKUP('Cum. payments'!BH25,Exposure!$B$33:$C$53,2,FALSE)</f>
        <v>69431.683233572126</v>
      </c>
    </row>
    <row r="26" spans="1:24" x14ac:dyDescent="0.3">
      <c r="A26" s="12">
        <v>43038</v>
      </c>
      <c r="B26" s="13">
        <v>934649.00469900167</v>
      </c>
      <c r="C26" s="13">
        <v>2671964.7657000525</v>
      </c>
      <c r="D26" s="13">
        <v>2258112.0147319175</v>
      </c>
      <c r="E26" s="13">
        <v>161386.24523349543</v>
      </c>
      <c r="F26" s="13">
        <v>114297.73352716018</v>
      </c>
      <c r="G26" s="13">
        <v>6267.4571695988761</v>
      </c>
      <c r="H26" s="13">
        <v>5941.6547044390418</v>
      </c>
      <c r="I26" s="13">
        <v>19.490595518483637</v>
      </c>
      <c r="J26" s="13">
        <v>0</v>
      </c>
      <c r="O26">
        <f t="shared" si="0"/>
        <v>2017</v>
      </c>
      <c r="P26" s="44">
        <f>B25*VLOOKUP('Cum. payments'!BO26,Exposure!$B$33:$C$53,2,FALSE)/VLOOKUP('Cum. payments'!AZ26,Exposure!$B$33:$C$53,2,FALSE)</f>
        <v>993496.69842084323</v>
      </c>
      <c r="Q26" s="44">
        <f>C25*VLOOKUP('Cum. payments'!BP26,Exposure!$B$33:$C$53,2,FALSE)/VLOOKUP('Cum. payments'!BA26,Exposure!$B$33:$C$53,2,FALSE)</f>
        <v>1488366.5344296026</v>
      </c>
      <c r="R26" s="44">
        <f>D25*VLOOKUP('Cum. payments'!BQ26,Exposure!$B$33:$C$53,2,FALSE)/VLOOKUP('Cum. payments'!BB26,Exposure!$B$33:$C$53,2,FALSE)</f>
        <v>321087.0122396283</v>
      </c>
      <c r="S26" s="44">
        <f>E25*VLOOKUP('Cum. payments'!BR26,Exposure!$B$33:$C$53,2,FALSE)/VLOOKUP('Cum. payments'!BC26,Exposure!$B$33:$C$53,2,FALSE)</f>
        <v>368833.85415155749</v>
      </c>
      <c r="T26" s="44">
        <f>F25*VLOOKUP('Cum. payments'!BS26,Exposure!$B$33:$C$53,2,FALSE)/VLOOKUP('Cum. payments'!BD26,Exposure!$B$33:$C$53,2,FALSE)</f>
        <v>332302.90154635726</v>
      </c>
      <c r="U26" s="44">
        <f>G25*VLOOKUP('Cum. payments'!BT26,Exposure!$B$33:$C$53,2,FALSE)/VLOOKUP('Cum. payments'!BE26,Exposure!$B$33:$C$53,2,FALSE)</f>
        <v>196725.41681315386</v>
      </c>
      <c r="V26" s="44">
        <f>H25*VLOOKUP('Cum. payments'!BU26,Exposure!$B$33:$C$53,2,FALSE)/VLOOKUP('Cum. payments'!BF26,Exposure!$B$33:$C$53,2,FALSE)</f>
        <v>7157.8118194227955</v>
      </c>
      <c r="W26" s="44">
        <f>I25*VLOOKUP('Cum. payments'!BV26,Exposure!$B$33:$C$53,2,FALSE)/VLOOKUP('Cum. payments'!BG26,Exposure!$B$33:$C$53,2,FALSE)</f>
        <v>1790.1247531629178</v>
      </c>
      <c r="X26" s="44">
        <f>J25*VLOOKUP('Cum. payments'!BW26,Exposure!$B$33:$C$53,2,FALSE)/VLOOKUP('Cum. payments'!BH26,Exposure!$B$33:$C$53,2,FALSE)</f>
        <v>71.616036972424268</v>
      </c>
    </row>
    <row r="27" spans="1:24" x14ac:dyDescent="0.3">
      <c r="A27" s="12">
        <v>43053</v>
      </c>
      <c r="B27" s="13">
        <v>6262683.0870132418</v>
      </c>
      <c r="C27" s="13">
        <v>3434225.7977319676</v>
      </c>
      <c r="D27" s="13">
        <v>2517863.3619155921</v>
      </c>
      <c r="E27" s="13">
        <v>1619451.7880884465</v>
      </c>
      <c r="F27" s="13">
        <v>1060192.915041008</v>
      </c>
      <c r="G27" s="13">
        <v>617432.94846594858</v>
      </c>
      <c r="H27" s="13">
        <v>2255.1651899743329</v>
      </c>
      <c r="I27" s="13">
        <v>1320.4281083013832</v>
      </c>
      <c r="J27" s="13">
        <v>1086.2666258243792</v>
      </c>
      <c r="O27">
        <f t="shared" si="0"/>
        <v>2017</v>
      </c>
      <c r="P27" s="44">
        <f>B26*VLOOKUP('Cum. payments'!BO27,Exposure!$B$33:$C$53,2,FALSE)/VLOOKUP('Cum. payments'!AZ27,Exposure!$B$33:$C$53,2,FALSE)</f>
        <v>1448374.6045112452</v>
      </c>
      <c r="Q27" s="44">
        <f>C26*VLOOKUP('Cum. payments'!BP27,Exposure!$B$33:$C$53,2,FALSE)/VLOOKUP('Cum. payments'!BA27,Exposure!$B$33:$C$53,2,FALSE)</f>
        <v>4130520.6203249241</v>
      </c>
      <c r="R27" s="44">
        <f>D26*VLOOKUP('Cum. payments'!BQ27,Exposure!$B$33:$C$53,2,FALSE)/VLOOKUP('Cum. payments'!BB27,Exposure!$B$33:$C$53,2,FALSE)</f>
        <v>3502913.5716496948</v>
      </c>
      <c r="S27" s="44">
        <f>E26*VLOOKUP('Cum. payments'!BR27,Exposure!$B$33:$C$53,2,FALSE)/VLOOKUP('Cum. payments'!BC27,Exposure!$B$33:$C$53,2,FALSE)</f>
        <v>252943.87983580149</v>
      </c>
      <c r="T27" s="44">
        <f>F26*VLOOKUP('Cum. payments'!BS27,Exposure!$B$33:$C$53,2,FALSE)/VLOOKUP('Cum. payments'!BD27,Exposure!$B$33:$C$53,2,FALSE)</f>
        <v>178036.62579944968</v>
      </c>
      <c r="U27" s="44">
        <f>G26*VLOOKUP('Cum. payments'!BT27,Exposure!$B$33:$C$53,2,FALSE)/VLOOKUP('Cum. payments'!BE27,Exposure!$B$33:$C$53,2,FALSE)</f>
        <v>9078.8364494427242</v>
      </c>
      <c r="V27" s="44">
        <f>H26*VLOOKUP('Cum. payments'!BU27,Exposure!$B$33:$C$53,2,FALSE)/VLOOKUP('Cum. payments'!BF27,Exposure!$B$33:$C$53,2,FALSE)</f>
        <v>8418.298254275529</v>
      </c>
      <c r="W27" s="44">
        <f>I26*VLOOKUP('Cum. payments'!BV27,Exposure!$B$33:$C$53,2,FALSE)/VLOOKUP('Cum. payments'!BG27,Exposure!$B$33:$C$53,2,FALSE)</f>
        <v>27.260102990321943</v>
      </c>
      <c r="X27" s="44">
        <f>J26*VLOOKUP('Cum. payments'!BW27,Exposure!$B$33:$C$53,2,FALSE)/VLOOKUP('Cum. payments'!BH27,Exposure!$B$33:$C$53,2,FALSE)</f>
        <v>0</v>
      </c>
    </row>
    <row r="28" spans="1:24" x14ac:dyDescent="0.3">
      <c r="A28" s="12">
        <v>43055</v>
      </c>
      <c r="B28" s="13">
        <v>1665077.819784326</v>
      </c>
      <c r="C28" s="13">
        <v>1427959.3137332844</v>
      </c>
      <c r="D28" s="13">
        <v>1094132.1566359198</v>
      </c>
      <c r="E28" s="13">
        <v>1199322.1321666166</v>
      </c>
      <c r="F28" s="13">
        <v>25771.939325518513</v>
      </c>
      <c r="G28" s="13">
        <v>20287.394723769921</v>
      </c>
      <c r="H28" s="13">
        <v>23150.863089711791</v>
      </c>
      <c r="I28" s="13">
        <v>22648.146588391366</v>
      </c>
      <c r="J28" s="13">
        <v>18187.811610423891</v>
      </c>
      <c r="O28">
        <f t="shared" si="0"/>
        <v>2017</v>
      </c>
      <c r="P28" s="44">
        <f>B27*VLOOKUP('Cum. payments'!BO28,Exposure!$B$33:$C$53,2,FALSE)/VLOOKUP('Cum. payments'!AZ28,Exposure!$B$33:$C$53,2,FALSE)</f>
        <v>9704938.5317146275</v>
      </c>
      <c r="Q28" s="44">
        <f>C27*VLOOKUP('Cum. payments'!BP28,Exposure!$B$33:$C$53,2,FALSE)/VLOOKUP('Cum. payments'!BA28,Exposure!$B$33:$C$53,2,FALSE)</f>
        <v>5308880.0625210386</v>
      </c>
      <c r="R28" s="44">
        <f>D27*VLOOKUP('Cum. payments'!BQ28,Exposure!$B$33:$C$53,2,FALSE)/VLOOKUP('Cum. payments'!BB28,Exposure!$B$33:$C$53,2,FALSE)</f>
        <v>3905854.8400048027</v>
      </c>
      <c r="S28" s="44">
        <f>E27*VLOOKUP('Cum. payments'!BR28,Exposure!$B$33:$C$53,2,FALSE)/VLOOKUP('Cum. payments'!BC28,Exposure!$B$33:$C$53,2,FALSE)</f>
        <v>2538199.0757233365</v>
      </c>
      <c r="T28" s="44">
        <f>F27*VLOOKUP('Cum. payments'!BS28,Exposure!$B$33:$C$53,2,FALSE)/VLOOKUP('Cum. payments'!BD28,Exposure!$B$33:$C$53,2,FALSE)</f>
        <v>1651416.5545157634</v>
      </c>
      <c r="U28" s="44">
        <f>G27*VLOOKUP('Cum. payments'!BT28,Exposure!$B$33:$C$53,2,FALSE)/VLOOKUP('Cum. payments'!BE28,Exposure!$B$33:$C$53,2,FALSE)</f>
        <v>894393.46866383264</v>
      </c>
      <c r="V28" s="44">
        <f>H27*VLOOKUP('Cum. payments'!BU28,Exposure!$B$33:$C$53,2,FALSE)/VLOOKUP('Cum. payments'!BF28,Exposure!$B$33:$C$53,2,FALSE)</f>
        <v>3195.1794788209982</v>
      </c>
      <c r="W28" s="44">
        <f>I27*VLOOKUP('Cum. payments'!BV28,Exposure!$B$33:$C$53,2,FALSE)/VLOOKUP('Cum. payments'!BG28,Exposure!$B$33:$C$53,2,FALSE)</f>
        <v>1846.7884262169578</v>
      </c>
      <c r="X28" s="44">
        <f>J27*VLOOKUP('Cum. payments'!BW28,Exposure!$B$33:$C$53,2,FALSE)/VLOOKUP('Cum. payments'!BH28,Exposure!$B$33:$C$53,2,FALSE)</f>
        <v>1509.4793971883787</v>
      </c>
    </row>
    <row r="29" spans="1:24" x14ac:dyDescent="0.3">
      <c r="A29" s="12">
        <v>43151</v>
      </c>
      <c r="B29" s="13">
        <v>2254908.8571728966</v>
      </c>
      <c r="C29" s="13">
        <v>1580249.1120244979</v>
      </c>
      <c r="D29" s="13">
        <v>1719247.1980409103</v>
      </c>
      <c r="E29" s="13">
        <v>1378209.6276895921</v>
      </c>
      <c r="F29" s="13">
        <v>122597.15221702252</v>
      </c>
      <c r="G29" s="13">
        <v>84981.803997954863</v>
      </c>
      <c r="H29" s="13">
        <v>73431.66499837162</v>
      </c>
      <c r="I29" s="13">
        <v>67997.360004378832</v>
      </c>
      <c r="O29">
        <f t="shared" si="0"/>
        <v>2017</v>
      </c>
      <c r="P29" s="44">
        <f>B28*VLOOKUP('Cum. payments'!BO29,Exposure!$B$33:$C$53,2,FALSE)/VLOOKUP('Cum. payments'!AZ29,Exposure!$B$33:$C$53,2,FALSE)</f>
        <v>2580280.3154829545</v>
      </c>
      <c r="Q29" s="44">
        <f>C28*VLOOKUP('Cum. payments'!BP29,Exposure!$B$33:$C$53,2,FALSE)/VLOOKUP('Cum. payments'!BA29,Exposure!$B$33:$C$53,2,FALSE)</f>
        <v>2207445.047957072</v>
      </c>
      <c r="R29" s="44">
        <f>D28*VLOOKUP('Cum. payments'!BQ29,Exposure!$B$33:$C$53,2,FALSE)/VLOOKUP('Cum. payments'!BB29,Exposure!$B$33:$C$53,2,FALSE)</f>
        <v>1697280.8946828642</v>
      </c>
      <c r="S29" s="44">
        <f>E28*VLOOKUP('Cum. payments'!BR29,Exposure!$B$33:$C$53,2,FALSE)/VLOOKUP('Cum. payments'!BC29,Exposure!$B$33:$C$53,2,FALSE)</f>
        <v>1879721.4895498904</v>
      </c>
      <c r="T29" s="44">
        <f>F28*VLOOKUP('Cum. payments'!BS29,Exposure!$B$33:$C$53,2,FALSE)/VLOOKUP('Cum. payments'!BD29,Exposure!$B$33:$C$53,2,FALSE)</f>
        <v>40143.832919776556</v>
      </c>
      <c r="U29" s="44">
        <f>G28*VLOOKUP('Cum. payments'!BT29,Exposure!$B$33:$C$53,2,FALSE)/VLOOKUP('Cum. payments'!BE29,Exposure!$B$33:$C$53,2,FALSE)</f>
        <v>29387.666113749041</v>
      </c>
      <c r="V29" s="44">
        <f>H28*VLOOKUP('Cum. payments'!BU29,Exposure!$B$33:$C$53,2,FALSE)/VLOOKUP('Cum. payments'!BF29,Exposure!$B$33:$C$53,2,FALSE)</f>
        <v>32800.773526520912</v>
      </c>
      <c r="W29" s="44">
        <f>I28*VLOOKUP('Cum. payments'!BV29,Exposure!$B$33:$C$53,2,FALSE)/VLOOKUP('Cum. payments'!BG29,Exposure!$B$33:$C$53,2,FALSE)</f>
        <v>31676.344006726893</v>
      </c>
      <c r="X29" s="44">
        <f>J28*VLOOKUP('Cum. payments'!BW29,Exposure!$B$33:$C$53,2,FALSE)/VLOOKUP('Cum. payments'!BH29,Exposure!$B$33:$C$53,2,FALSE)</f>
        <v>25273.838165692719</v>
      </c>
    </row>
    <row r="30" spans="1:24" x14ac:dyDescent="0.3">
      <c r="A30" s="12">
        <v>43161</v>
      </c>
      <c r="B30" s="13">
        <v>997830.98263037391</v>
      </c>
      <c r="C30" s="13">
        <v>1701646.2374900202</v>
      </c>
      <c r="D30" s="13">
        <v>188664.06765041067</v>
      </c>
      <c r="E30" s="13">
        <v>159806.72417752221</v>
      </c>
      <c r="F30" s="13">
        <v>141107.82067308598</v>
      </c>
      <c r="G30" s="13">
        <v>3587.7950007903005</v>
      </c>
      <c r="H30" s="13">
        <v>46.485880302760314</v>
      </c>
      <c r="I30" s="13">
        <v>47.417406739078658</v>
      </c>
      <c r="O30">
        <f t="shared" si="0"/>
        <v>2018</v>
      </c>
      <c r="P30" s="44">
        <f>B29*VLOOKUP('Cum. payments'!BO30,Exposure!$B$33:$C$53,2,FALSE)/VLOOKUP('Cum. payments'!AZ30,Exposure!$B$33:$C$53,2,FALSE)</f>
        <v>3374447.988605387</v>
      </c>
      <c r="Q30" s="44">
        <f>C29*VLOOKUP('Cum. payments'!BP30,Exposure!$B$33:$C$53,2,FALSE)/VLOOKUP('Cum. payments'!BA30,Exposure!$B$33:$C$53,2,FALSE)</f>
        <v>2373062.4858616912</v>
      </c>
      <c r="R30" s="44">
        <f>D29*VLOOKUP('Cum. payments'!BQ30,Exposure!$B$33:$C$53,2,FALSE)/VLOOKUP('Cum. payments'!BB30,Exposure!$B$33:$C$53,2,FALSE)</f>
        <v>2608528.9558949261</v>
      </c>
      <c r="S30" s="44">
        <f>E29*VLOOKUP('Cum. payments'!BR30,Exposure!$B$33:$C$53,2,FALSE)/VLOOKUP('Cum. payments'!BC30,Exposure!$B$33:$C$53,2,FALSE)</f>
        <v>2078196.9068919192</v>
      </c>
      <c r="T30" s="44">
        <f>F29*VLOOKUP('Cum. payments'!BS30,Exposure!$B$33:$C$53,2,FALSE)/VLOOKUP('Cum. payments'!BD30,Exposure!$B$33:$C$53,2,FALSE)</f>
        <v>171917.02156074904</v>
      </c>
      <c r="U30" s="44">
        <f>G29*VLOOKUP('Cum. payments'!BT30,Exposure!$B$33:$C$53,2,FALSE)/VLOOKUP('Cum. payments'!BE30,Exposure!$B$33:$C$53,2,FALSE)</f>
        <v>116558.11720341617</v>
      </c>
      <c r="V30" s="44">
        <f>H29*VLOOKUP('Cum. payments'!BU30,Exposure!$B$33:$C$53,2,FALSE)/VLOOKUP('Cum. payments'!BF30,Exposure!$B$33:$C$53,2,FALSE)</f>
        <v>99422.673563145625</v>
      </c>
      <c r="W30" s="44">
        <f>I29*VLOOKUP('Cum. payments'!BV30,Exposure!$B$33:$C$53,2,FALSE)/VLOOKUP('Cum. payments'!BG30,Exposure!$B$33:$C$53,2,FALSE)</f>
        <v>91470.801213957704</v>
      </c>
    </row>
    <row r="31" spans="1:24" x14ac:dyDescent="0.3">
      <c r="A31" s="12">
        <v>43206</v>
      </c>
      <c r="B31" s="13">
        <v>1165857.2401185827</v>
      </c>
      <c r="C31" s="13">
        <v>1735911.0449368337</v>
      </c>
      <c r="D31" s="13">
        <v>161207.82837005757</v>
      </c>
      <c r="E31" s="13">
        <v>173611.05073135465</v>
      </c>
      <c r="F31" s="13">
        <v>41457.177693230456</v>
      </c>
      <c r="G31" s="13">
        <v>22505.45793781885</v>
      </c>
      <c r="H31" s="13">
        <v>17520.200376127184</v>
      </c>
      <c r="I31" s="13">
        <v>11053.733133584681</v>
      </c>
      <c r="O31">
        <f t="shared" si="0"/>
        <v>2018</v>
      </c>
      <c r="P31" s="44">
        <f>B30*VLOOKUP('Cum. payments'!BO31,Exposure!$B$33:$C$53,2,FALSE)/VLOOKUP('Cum. payments'!AZ31,Exposure!$B$33:$C$53,2,FALSE)</f>
        <v>1493243.8362616382</v>
      </c>
      <c r="Q31" s="44">
        <f>C30*VLOOKUP('Cum. payments'!BP31,Exposure!$B$33:$C$53,2,FALSE)/VLOOKUP('Cum. payments'!BA31,Exposure!$B$33:$C$53,2,FALSE)</f>
        <v>2555364.7331096618</v>
      </c>
      <c r="R31" s="44">
        <f>D30*VLOOKUP('Cum. payments'!BQ31,Exposure!$B$33:$C$53,2,FALSE)/VLOOKUP('Cum. payments'!BB31,Exposure!$B$33:$C$53,2,FALSE)</f>
        <v>286250.68225430656</v>
      </c>
      <c r="S31" s="44">
        <f>E30*VLOOKUP('Cum. payments'!BR31,Exposure!$B$33:$C$53,2,FALSE)/VLOOKUP('Cum. payments'!BC31,Exposure!$B$33:$C$53,2,FALSE)</f>
        <v>240971.93432250229</v>
      </c>
      <c r="T31" s="44">
        <f>F30*VLOOKUP('Cum. payments'!BS31,Exposure!$B$33:$C$53,2,FALSE)/VLOOKUP('Cum. payments'!BD31,Exposure!$B$33:$C$53,2,FALSE)</f>
        <v>197874.38623453528</v>
      </c>
      <c r="U31" s="44">
        <f>G30*VLOOKUP('Cum. payments'!BT31,Exposure!$B$33:$C$53,2,FALSE)/VLOOKUP('Cum. payments'!BE31,Exposure!$B$33:$C$53,2,FALSE)</f>
        <v>4920.8961275287866</v>
      </c>
      <c r="V31" s="44">
        <f>H30*VLOOKUP('Cum. payments'!BU31,Exposure!$B$33:$C$53,2,FALSE)/VLOOKUP('Cum. payments'!BF31,Exposure!$B$33:$C$53,2,FALSE)</f>
        <v>62.939475807055302</v>
      </c>
      <c r="W31" s="44">
        <f>I30*VLOOKUP('Cum. payments'!BV31,Exposure!$B$33:$C$53,2,FALSE)/VLOOKUP('Cum. payments'!BG31,Exposure!$B$33:$C$53,2,FALSE)</f>
        <v>63.786420320323209</v>
      </c>
    </row>
    <row r="32" spans="1:24" x14ac:dyDescent="0.3">
      <c r="A32" s="12">
        <v>43249</v>
      </c>
      <c r="B32" s="13">
        <v>714565.00404806726</v>
      </c>
      <c r="C32" s="13">
        <v>1098681.1603579789</v>
      </c>
      <c r="D32" s="13">
        <v>90109.922803541078</v>
      </c>
      <c r="E32" s="13">
        <v>35503.228787038999</v>
      </c>
      <c r="F32" s="13">
        <v>31459.719258377543</v>
      </c>
      <c r="G32" s="13">
        <v>32754.352231631121</v>
      </c>
      <c r="H32" s="13">
        <v>19460.588615964487</v>
      </c>
      <c r="I32" s="13">
        <v>626.5298158576029</v>
      </c>
      <c r="O32">
        <f t="shared" si="0"/>
        <v>2018</v>
      </c>
      <c r="P32" s="44">
        <f>B31*VLOOKUP('Cum. payments'!BO32,Exposure!$B$33:$C$53,2,FALSE)/VLOOKUP('Cum. payments'!AZ32,Exposure!$B$33:$C$53,2,FALSE)</f>
        <v>1744693.4080748647</v>
      </c>
      <c r="Q32" s="44">
        <f>C31*VLOOKUP('Cum. payments'!BP32,Exposure!$B$33:$C$53,2,FALSE)/VLOOKUP('Cum. payments'!BA32,Exposure!$B$33:$C$53,2,FALSE)</f>
        <v>2606820.2463692995</v>
      </c>
      <c r="R32" s="44">
        <f>D31*VLOOKUP('Cum. payments'!BQ32,Exposure!$B$33:$C$53,2,FALSE)/VLOOKUP('Cum. payments'!BB32,Exposure!$B$33:$C$53,2,FALSE)</f>
        <v>244592.68492594533</v>
      </c>
      <c r="S32" s="44">
        <f>E31*VLOOKUP('Cum. payments'!BR32,Exposure!$B$33:$C$53,2,FALSE)/VLOOKUP('Cum. payments'!BC32,Exposure!$B$33:$C$53,2,FALSE)</f>
        <v>261787.42433906303</v>
      </c>
      <c r="T32" s="44">
        <f>F31*VLOOKUP('Cum. payments'!BS32,Exposure!$B$33:$C$53,2,FALSE)/VLOOKUP('Cum. payments'!BD32,Exposure!$B$33:$C$53,2,FALSE)</f>
        <v>58135.073959289715</v>
      </c>
      <c r="U32" s="44">
        <f>G31*VLOOKUP('Cum. payments'!BT32,Exposure!$B$33:$C$53,2,FALSE)/VLOOKUP('Cum. payments'!BE32,Exposure!$B$33:$C$53,2,FALSE)</f>
        <v>30867.71144674654</v>
      </c>
      <c r="V32" s="44">
        <f>H31*VLOOKUP('Cum. payments'!BU32,Exposure!$B$33:$C$53,2,FALSE)/VLOOKUP('Cum. payments'!BF32,Exposure!$B$33:$C$53,2,FALSE)</f>
        <v>23721.444458534635</v>
      </c>
      <c r="W32" s="44">
        <f>I31*VLOOKUP('Cum. payments'!BV32,Exposure!$B$33:$C$53,2,FALSE)/VLOOKUP('Cum. payments'!BG32,Exposure!$B$33:$C$53,2,FALSE)</f>
        <v>14869.604144471943</v>
      </c>
    </row>
    <row r="33" spans="1:23" x14ac:dyDescent="0.3">
      <c r="A33" s="12">
        <v>43266</v>
      </c>
      <c r="B33" s="13">
        <v>292577.17622367787</v>
      </c>
      <c r="C33" s="13">
        <v>581946.74415777798</v>
      </c>
      <c r="D33" s="13">
        <v>516362.31381436228</v>
      </c>
      <c r="E33" s="13">
        <v>24376.185146655102</v>
      </c>
      <c r="F33" s="13">
        <v>20262.953090959476</v>
      </c>
      <c r="G33" s="13">
        <v>23419.806026001505</v>
      </c>
      <c r="H33" s="13">
        <v>16201.92700350905</v>
      </c>
      <c r="I33" s="13">
        <v>388.65146959784965</v>
      </c>
      <c r="O33">
        <f t="shared" si="0"/>
        <v>2018</v>
      </c>
      <c r="P33" s="44">
        <f>B32*VLOOKUP('Cum. payments'!BO33,Exposure!$B$33:$C$53,2,FALSE)/VLOOKUP('Cum. payments'!AZ33,Exposure!$B$33:$C$53,2,FALSE)</f>
        <v>1069339.2032088311</v>
      </c>
      <c r="Q33" s="44">
        <f>C32*VLOOKUP('Cum. payments'!BP33,Exposure!$B$33:$C$53,2,FALSE)/VLOOKUP('Cum. payments'!BA33,Exposure!$B$33:$C$53,2,FALSE)</f>
        <v>1649891.1631902843</v>
      </c>
      <c r="R33" s="44">
        <f>D32*VLOOKUP('Cum. payments'!BQ33,Exposure!$B$33:$C$53,2,FALSE)/VLOOKUP('Cum. payments'!BB33,Exposure!$B$33:$C$53,2,FALSE)</f>
        <v>136719.34036846989</v>
      </c>
      <c r="S33" s="44">
        <f>E32*VLOOKUP('Cum. payments'!BR33,Exposure!$B$33:$C$53,2,FALSE)/VLOOKUP('Cum. payments'!BC33,Exposure!$B$33:$C$53,2,FALSE)</f>
        <v>53535.179821366291</v>
      </c>
      <c r="T33" s="44">
        <f>F32*VLOOKUP('Cum. payments'!BS33,Exposure!$B$33:$C$53,2,FALSE)/VLOOKUP('Cum. payments'!BD33,Exposure!$B$33:$C$53,2,FALSE)</f>
        <v>44115.7166886185</v>
      </c>
      <c r="U33" s="44">
        <f>G32*VLOOKUP('Cum. payments'!BT33,Exposure!$B$33:$C$53,2,FALSE)/VLOOKUP('Cum. payments'!BE33,Exposure!$B$33:$C$53,2,FALSE)</f>
        <v>44924.742082767661</v>
      </c>
      <c r="V33" s="44">
        <f>H32*VLOOKUP('Cum. payments'!BU33,Exposure!$B$33:$C$53,2,FALSE)/VLOOKUP('Cum. payments'!BF33,Exposure!$B$33:$C$53,2,FALSE)</f>
        <v>26348.629700206453</v>
      </c>
      <c r="W33" s="44">
        <f>I32*VLOOKUP('Cum. payments'!BV33,Exposure!$B$33:$C$53,2,FALSE)/VLOOKUP('Cum. payments'!BG33,Exposure!$B$33:$C$53,2,FALSE)</f>
        <v>842.81484218266382</v>
      </c>
    </row>
    <row r="34" spans="1:23" x14ac:dyDescent="0.3">
      <c r="A34" s="12">
        <v>43306</v>
      </c>
      <c r="B34" s="13">
        <v>950221.75162588584</v>
      </c>
      <c r="C34" s="13">
        <v>513537.3279200304</v>
      </c>
      <c r="D34" s="13">
        <v>664241.37869981222</v>
      </c>
      <c r="E34" s="13">
        <v>520157.26851154031</v>
      </c>
      <c r="F34" s="13">
        <v>417085.19625460531</v>
      </c>
      <c r="G34" s="13">
        <v>356762.46590776287</v>
      </c>
      <c r="H34" s="13">
        <v>330893.60998288979</v>
      </c>
      <c r="I34" s="13">
        <v>151895.55425746916</v>
      </c>
      <c r="O34">
        <f t="shared" si="0"/>
        <v>2018</v>
      </c>
      <c r="P34" s="44">
        <f>B33*VLOOKUP('Cum. payments'!BO34,Exposure!$B$33:$C$53,2,FALSE)/VLOOKUP('Cum. payments'!AZ34,Exposure!$B$33:$C$53,2,FALSE)</f>
        <v>437838.74486955942</v>
      </c>
      <c r="Q34" s="44">
        <f>C33*VLOOKUP('Cum. payments'!BP34,Exposure!$B$33:$C$53,2,FALSE)/VLOOKUP('Cum. payments'!BA34,Exposure!$B$33:$C$53,2,FALSE)</f>
        <v>873910.30744573218</v>
      </c>
      <c r="R34" s="44">
        <f>D33*VLOOKUP('Cum. payments'!BQ34,Exposure!$B$33:$C$53,2,FALSE)/VLOOKUP('Cum. payments'!BB34,Exposure!$B$33:$C$53,2,FALSE)</f>
        <v>783451.0644266383</v>
      </c>
      <c r="S34" s="44">
        <f>E33*VLOOKUP('Cum. payments'!BR34,Exposure!$B$33:$C$53,2,FALSE)/VLOOKUP('Cum. payments'!BC34,Exposure!$B$33:$C$53,2,FALSE)</f>
        <v>36756.754238124478</v>
      </c>
      <c r="T34" s="44">
        <f>F33*VLOOKUP('Cum. payments'!BS34,Exposure!$B$33:$C$53,2,FALSE)/VLOOKUP('Cum. payments'!BD34,Exposure!$B$33:$C$53,2,FALSE)</f>
        <v>28414.57962462556</v>
      </c>
      <c r="U34" s="44">
        <f>G33*VLOOKUP('Cum. payments'!BT34,Exposure!$B$33:$C$53,2,FALSE)/VLOOKUP('Cum. payments'!BE34,Exposure!$B$33:$C$53,2,FALSE)</f>
        <v>32121.799811706151</v>
      </c>
      <c r="V34" s="44">
        <f>H33*VLOOKUP('Cum. payments'!BU34,Exposure!$B$33:$C$53,2,FALSE)/VLOOKUP('Cum. payments'!BF34,Exposure!$B$33:$C$53,2,FALSE)</f>
        <v>21936.57054622846</v>
      </c>
      <c r="W34" s="44">
        <f>I33*VLOOKUP('Cum. payments'!BV34,Exposure!$B$33:$C$53,2,FALSE)/VLOOKUP('Cum. payments'!BG34,Exposure!$B$33:$C$53,2,FALSE)</f>
        <v>522.81825816190656</v>
      </c>
    </row>
    <row r="35" spans="1:23" x14ac:dyDescent="0.3">
      <c r="A35" s="12">
        <v>43316</v>
      </c>
      <c r="B35" s="13">
        <v>2176556.3194516082</v>
      </c>
      <c r="C35" s="13">
        <v>1599761.8252241283</v>
      </c>
      <c r="D35" s="13">
        <v>443677.7236863983</v>
      </c>
      <c r="E35" s="13">
        <v>299890.68063521909</v>
      </c>
      <c r="F35" s="13">
        <v>11237.337276749284</v>
      </c>
      <c r="G35" s="13">
        <v>7475.9079462775671</v>
      </c>
      <c r="H35" s="13">
        <v>4051.6062220690551</v>
      </c>
      <c r="I35" s="13">
        <v>14.399031258168996</v>
      </c>
      <c r="O35">
        <f t="shared" si="0"/>
        <v>2018</v>
      </c>
      <c r="P35" s="44">
        <f>B34*VLOOKUP('Cum. payments'!BO35,Exposure!$B$33:$C$53,2,FALSE)/VLOOKUP('Cum. payments'!AZ35,Exposure!$B$33:$C$53,2,FALSE)</f>
        <v>1421997.110128518</v>
      </c>
      <c r="Q35" s="44">
        <f>C34*VLOOKUP('Cum. payments'!BP35,Exposure!$B$33:$C$53,2,FALSE)/VLOOKUP('Cum. payments'!BA35,Exposure!$B$33:$C$53,2,FALSE)</f>
        <v>771179.78343011125</v>
      </c>
      <c r="R35" s="44">
        <f>D34*VLOOKUP('Cum. payments'!BQ35,Exposure!$B$33:$C$53,2,FALSE)/VLOOKUP('Cum. payments'!BB35,Exposure!$B$33:$C$53,2,FALSE)</f>
        <v>1007820.6740813296</v>
      </c>
      <c r="S35" s="44">
        <f>E34*VLOOKUP('Cum. payments'!BR35,Exposure!$B$33:$C$53,2,FALSE)/VLOOKUP('Cum. payments'!BC35,Exposure!$B$33:$C$53,2,FALSE)</f>
        <v>784343.11065594945</v>
      </c>
      <c r="T35" s="44">
        <f>F34*VLOOKUP('Cum. payments'!BS35,Exposure!$B$33:$C$53,2,FALSE)/VLOOKUP('Cum. payments'!BD35,Exposure!$B$33:$C$53,2,FALSE)</f>
        <v>584875.28772480052</v>
      </c>
      <c r="U35" s="44">
        <f>G34*VLOOKUP('Cum. payments'!BT35,Exposure!$B$33:$C$53,2,FALSE)/VLOOKUP('Cum. payments'!BE35,Exposure!$B$33:$C$53,2,FALSE)</f>
        <v>489323.11811193754</v>
      </c>
      <c r="V35" s="44">
        <f>H34*VLOOKUP('Cum. payments'!BU35,Exposure!$B$33:$C$53,2,FALSE)/VLOOKUP('Cum. payments'!BF35,Exposure!$B$33:$C$53,2,FALSE)</f>
        <v>448012.82076593535</v>
      </c>
      <c r="W35" s="44">
        <f>I34*VLOOKUP('Cum. payments'!BV35,Exposure!$B$33:$C$53,2,FALSE)/VLOOKUP('Cum. payments'!BG35,Exposure!$B$33:$C$53,2,FALSE)</f>
        <v>204331.5806359858</v>
      </c>
    </row>
    <row r="36" spans="1:23" x14ac:dyDescent="0.3">
      <c r="A36" s="12">
        <v>43333</v>
      </c>
      <c r="B36" s="13">
        <v>1192018.106173604</v>
      </c>
      <c r="C36" s="13">
        <v>2167927.9592239596</v>
      </c>
      <c r="D36" s="13">
        <v>1383186.2842078246</v>
      </c>
      <c r="E36" s="13">
        <v>1420198.140035654</v>
      </c>
      <c r="F36" s="13">
        <v>231917.5587134262</v>
      </c>
      <c r="G36" s="13">
        <v>32993.551744166252</v>
      </c>
      <c r="H36" s="13">
        <v>9197.5431135506788</v>
      </c>
      <c r="I36" s="13">
        <v>1535.583096103692</v>
      </c>
      <c r="O36">
        <f t="shared" si="0"/>
        <v>2018</v>
      </c>
      <c r="P36" s="44">
        <f>B35*VLOOKUP('Cum. payments'!BO36,Exposure!$B$33:$C$53,2,FALSE)/VLOOKUP('Cum. payments'!AZ36,Exposure!$B$33:$C$53,2,FALSE)</f>
        <v>3257194.2191349803</v>
      </c>
      <c r="Q36" s="44">
        <f>C35*VLOOKUP('Cum. payments'!BP36,Exposure!$B$33:$C$53,2,FALSE)/VLOOKUP('Cum. payments'!BA36,Exposure!$B$33:$C$53,2,FALSE)</f>
        <v>2402364.7568385112</v>
      </c>
      <c r="R36" s="44">
        <f>D35*VLOOKUP('Cum. payments'!BQ36,Exposure!$B$33:$C$53,2,FALSE)/VLOOKUP('Cum. payments'!BB36,Exposure!$B$33:$C$53,2,FALSE)</f>
        <v>673170.32166189898</v>
      </c>
      <c r="S36" s="44">
        <f>E35*VLOOKUP('Cum. payments'!BR36,Exposure!$B$33:$C$53,2,FALSE)/VLOOKUP('Cum. payments'!BC36,Exposure!$B$33:$C$53,2,FALSE)</f>
        <v>452203.98434351408</v>
      </c>
      <c r="T36" s="44">
        <f>F35*VLOOKUP('Cum. payments'!BS36,Exposure!$B$33:$C$53,2,FALSE)/VLOOKUP('Cum. payments'!BD36,Exposure!$B$33:$C$53,2,FALSE)</f>
        <v>15758.029611262649</v>
      </c>
      <c r="U36" s="44">
        <f>G35*VLOOKUP('Cum. payments'!BT36,Exposure!$B$33:$C$53,2,FALSE)/VLOOKUP('Cum. payments'!BE36,Exposure!$B$33:$C$53,2,FALSE)</f>
        <v>10253.698010754646</v>
      </c>
      <c r="V36" s="44">
        <f>H35*VLOOKUP('Cum. payments'!BU36,Exposure!$B$33:$C$53,2,FALSE)/VLOOKUP('Cum. payments'!BF36,Exposure!$B$33:$C$53,2,FALSE)</f>
        <v>5485.6651123478423</v>
      </c>
      <c r="W36" s="44">
        <f>I35*VLOOKUP('Cum. payments'!BV36,Exposure!$B$33:$C$53,2,FALSE)/VLOOKUP('Cum. payments'!BG36,Exposure!$B$33:$C$53,2,FALSE)</f>
        <v>19.369736204533865</v>
      </c>
    </row>
    <row r="37" spans="1:23" x14ac:dyDescent="0.3">
      <c r="A37" s="12">
        <v>43356</v>
      </c>
      <c r="B37" s="13">
        <v>2985472.2057053982</v>
      </c>
      <c r="C37" s="13">
        <v>1808443.2304030226</v>
      </c>
      <c r="D37" s="13">
        <v>652270.03874019883</v>
      </c>
      <c r="E37" s="13">
        <v>582543.77454333089</v>
      </c>
      <c r="F37" s="13">
        <v>44950.389559489864</v>
      </c>
      <c r="G37" s="13">
        <v>43134.116316099244</v>
      </c>
      <c r="H37" s="13">
        <v>1674.9509815400631</v>
      </c>
      <c r="I37" s="13">
        <v>375.46324872242928</v>
      </c>
      <c r="O37">
        <f t="shared" si="0"/>
        <v>2018</v>
      </c>
      <c r="P37" s="44">
        <f>B36*VLOOKUP('Cum. payments'!BO37,Exposure!$B$33:$C$53,2,FALSE)/VLOOKUP('Cum. payments'!AZ37,Exposure!$B$33:$C$53,2,FALSE)</f>
        <v>1783842.8759385997</v>
      </c>
      <c r="Q37" s="44">
        <f>C36*VLOOKUP('Cum. payments'!BP37,Exposure!$B$33:$C$53,2,FALSE)/VLOOKUP('Cum. payments'!BA37,Exposure!$B$33:$C$53,2,FALSE)</f>
        <v>3255580.7011301885</v>
      </c>
      <c r="R37" s="44">
        <f>D36*VLOOKUP('Cum. payments'!BQ37,Exposure!$B$33:$C$53,2,FALSE)/VLOOKUP('Cum. payments'!BB37,Exposure!$B$33:$C$53,2,FALSE)</f>
        <v>2098640.3106337725</v>
      </c>
      <c r="S37" s="44">
        <f>E36*VLOOKUP('Cum. payments'!BR37,Exposure!$B$33:$C$53,2,FALSE)/VLOOKUP('Cum. payments'!BC37,Exposure!$B$33:$C$53,2,FALSE)</f>
        <v>2141511.2204255294</v>
      </c>
      <c r="T37" s="44">
        <f>F36*VLOOKUP('Cum. payments'!BS37,Exposure!$B$33:$C$53,2,FALSE)/VLOOKUP('Cum. payments'!BD37,Exposure!$B$33:$C$53,2,FALSE)</f>
        <v>325216.1671020966</v>
      </c>
      <c r="U37" s="44">
        <f>G36*VLOOKUP('Cum. payments'!BT37,Exposure!$B$33:$C$53,2,FALSE)/VLOOKUP('Cum. payments'!BE37,Exposure!$B$33:$C$53,2,FALSE)</f>
        <v>45252.819900670198</v>
      </c>
      <c r="V37" s="44">
        <f>H36*VLOOKUP('Cum. payments'!BU37,Exposure!$B$33:$C$53,2,FALSE)/VLOOKUP('Cum. payments'!BF37,Exposure!$B$33:$C$53,2,FALSE)</f>
        <v>12452.997308201922</v>
      </c>
      <c r="W37" s="44">
        <f>I36*VLOOKUP('Cum. payments'!BV37,Exposure!$B$33:$C$53,2,FALSE)/VLOOKUP('Cum. payments'!BG37,Exposure!$B$33:$C$53,2,FALSE)</f>
        <v>2065.6833753864748</v>
      </c>
    </row>
    <row r="38" spans="1:23" x14ac:dyDescent="0.3">
      <c r="A38" s="12">
        <v>43365</v>
      </c>
      <c r="B38" s="13">
        <v>1606249.9359254434</v>
      </c>
      <c r="C38" s="13">
        <v>1599158.1272431207</v>
      </c>
      <c r="D38" s="13">
        <v>1222174.2055172368</v>
      </c>
      <c r="E38" s="13">
        <v>628320.34083866444</v>
      </c>
      <c r="F38" s="13">
        <v>104381.35370335371</v>
      </c>
      <c r="G38" s="13">
        <v>4734.899914635972</v>
      </c>
      <c r="H38" s="13">
        <v>4271.054377483656</v>
      </c>
      <c r="I38" s="13">
        <v>3469.8253074000345</v>
      </c>
      <c r="O38">
        <f t="shared" si="0"/>
        <v>2018</v>
      </c>
      <c r="P38" s="44">
        <f>B37*VLOOKUP('Cum. payments'!BO38,Exposure!$B$33:$C$53,2,FALSE)/VLOOKUP('Cum. payments'!AZ38,Exposure!$B$33:$C$53,2,FALSE)</f>
        <v>4467728.5503284605</v>
      </c>
      <c r="Q38" s="44">
        <f>C37*VLOOKUP('Cum. payments'!BP38,Exposure!$B$33:$C$53,2,FALSE)/VLOOKUP('Cum. payments'!BA38,Exposure!$B$33:$C$53,2,FALSE)</f>
        <v>2715741.9391819369</v>
      </c>
      <c r="R38" s="44">
        <f>D37*VLOOKUP('Cum. payments'!BQ38,Exposure!$B$33:$C$53,2,FALSE)/VLOOKUP('Cum. payments'!BB38,Exposure!$B$33:$C$53,2,FALSE)</f>
        <v>989657.15055713977</v>
      </c>
      <c r="S38" s="44">
        <f>E37*VLOOKUP('Cum. payments'!BR38,Exposure!$B$33:$C$53,2,FALSE)/VLOOKUP('Cum. payments'!BC38,Exposure!$B$33:$C$53,2,FALSE)</f>
        <v>878415.47908397065</v>
      </c>
      <c r="T38" s="44">
        <f>F37*VLOOKUP('Cum. payments'!BS38,Exposure!$B$33:$C$53,2,FALSE)/VLOOKUP('Cum. payments'!BD38,Exposure!$B$33:$C$53,2,FALSE)</f>
        <v>63033.577463391492</v>
      </c>
      <c r="U38" s="44">
        <f>G37*VLOOKUP('Cum. payments'!BT38,Exposure!$B$33:$C$53,2,FALSE)/VLOOKUP('Cum. payments'!BE38,Exposure!$B$33:$C$53,2,FALSE)</f>
        <v>59161.269218980975</v>
      </c>
      <c r="V38" s="44">
        <f>H37*VLOOKUP('Cum. payments'!BU38,Exposure!$B$33:$C$53,2,FALSE)/VLOOKUP('Cum. payments'!BF38,Exposure!$B$33:$C$53,2,FALSE)</f>
        <v>2267.7969330481733</v>
      </c>
      <c r="W38" s="44">
        <f>I37*VLOOKUP('Cum. payments'!BV38,Exposure!$B$33:$C$53,2,FALSE)/VLOOKUP('Cum. payments'!BG38,Exposure!$B$33:$C$53,2,FALSE)</f>
        <v>505.07731748445002</v>
      </c>
    </row>
    <row r="39" spans="1:23" x14ac:dyDescent="0.3">
      <c r="A39" s="12">
        <v>43388</v>
      </c>
      <c r="B39" s="13">
        <v>1093750.162626303</v>
      </c>
      <c r="C39" s="13">
        <v>1664181.0603128984</v>
      </c>
      <c r="D39" s="13">
        <v>1062252.0688586966</v>
      </c>
      <c r="E39" s="13">
        <v>218379.29751881168</v>
      </c>
      <c r="F39" s="13">
        <v>26048.079965722107</v>
      </c>
      <c r="G39" s="13">
        <v>3335.2077328898381</v>
      </c>
      <c r="H39" s="13">
        <v>2928.033020752363</v>
      </c>
      <c r="I39" s="13">
        <v>2474.0637635690341</v>
      </c>
      <c r="O39">
        <f t="shared" si="0"/>
        <v>2018</v>
      </c>
      <c r="P39" s="44">
        <f>B38*VLOOKUP('Cum. payments'!BO39,Exposure!$B$33:$C$53,2,FALSE)/VLOOKUP('Cum. payments'!AZ39,Exposure!$B$33:$C$53,2,FALSE)</f>
        <v>2403736.5626727622</v>
      </c>
      <c r="Q39" s="44">
        <f>C38*VLOOKUP('Cum. payments'!BP39,Exposure!$B$33:$C$53,2,FALSE)/VLOOKUP('Cum. payments'!BA39,Exposure!$B$33:$C$53,2,FALSE)</f>
        <v>2401458.1826657313</v>
      </c>
      <c r="R39" s="44">
        <f>D38*VLOOKUP('Cum. payments'!BQ39,Exposure!$B$33:$C$53,2,FALSE)/VLOOKUP('Cum. payments'!BB39,Exposure!$B$33:$C$53,2,FALSE)</f>
        <v>1854344.6270393322</v>
      </c>
      <c r="S39" s="44">
        <f>E38*VLOOKUP('Cum. payments'!BR39,Exposure!$B$33:$C$53,2,FALSE)/VLOOKUP('Cum. payments'!BC39,Exposure!$B$33:$C$53,2,FALSE)</f>
        <v>947441.78435117006</v>
      </c>
      <c r="T39" s="44">
        <f>F38*VLOOKUP('Cum. payments'!BS39,Exposure!$B$33:$C$53,2,FALSE)/VLOOKUP('Cum. payments'!BD39,Exposure!$B$33:$C$53,2,FALSE)</f>
        <v>146373.15068618688</v>
      </c>
      <c r="U39" s="44">
        <f>G38*VLOOKUP('Cum. payments'!BT39,Exposure!$B$33:$C$53,2,FALSE)/VLOOKUP('Cum. payments'!BE39,Exposure!$B$33:$C$53,2,FALSE)</f>
        <v>6494.2257428409785</v>
      </c>
      <c r="V39" s="44">
        <f>H38*VLOOKUP('Cum. payments'!BU39,Exposure!$B$33:$C$53,2,FALSE)/VLOOKUP('Cum. payments'!BF39,Exposure!$B$33:$C$53,2,FALSE)</f>
        <v>5782.7865560779301</v>
      </c>
      <c r="W39" s="44">
        <f>I38*VLOOKUP('Cum. payments'!BV39,Exposure!$B$33:$C$53,2,FALSE)/VLOOKUP('Cum. payments'!BG39,Exposure!$B$33:$C$53,2,FALSE)</f>
        <v>4667.6474045449622</v>
      </c>
    </row>
    <row r="40" spans="1:23" x14ac:dyDescent="0.3">
      <c r="A40" s="12">
        <v>43466</v>
      </c>
      <c r="B40" s="13">
        <v>291807.23324254254</v>
      </c>
      <c r="C40" s="13">
        <v>949225.37716852222</v>
      </c>
      <c r="D40" s="13">
        <v>816915.36717762495</v>
      </c>
      <c r="E40" s="13">
        <v>159574.15574460768</v>
      </c>
      <c r="F40" s="13">
        <v>82142.194410195953</v>
      </c>
      <c r="G40" s="13">
        <v>38607.439400317242</v>
      </c>
      <c r="H40" s="13">
        <v>16609.464205054534</v>
      </c>
      <c r="O40">
        <f t="shared" si="0"/>
        <v>2018</v>
      </c>
      <c r="P40" s="44">
        <f>B39*VLOOKUP('Cum. payments'!BO40,Exposure!$B$33:$C$53,2,FALSE)/VLOOKUP('Cum. payments'!AZ40,Exposure!$B$33:$C$53,2,FALSE)</f>
        <v>1636785.9058119566</v>
      </c>
      <c r="Q40" s="44">
        <f>C39*VLOOKUP('Cum. payments'!BP40,Exposure!$B$33:$C$53,2,FALSE)/VLOOKUP('Cum. payments'!BA40,Exposure!$B$33:$C$53,2,FALSE)</f>
        <v>2499103.2197769391</v>
      </c>
      <c r="R40" s="44">
        <f>D39*VLOOKUP('Cum. payments'!BQ40,Exposure!$B$33:$C$53,2,FALSE)/VLOOKUP('Cum. payments'!BB40,Exposure!$B$33:$C$53,2,FALSE)</f>
        <v>1611702.6587186945</v>
      </c>
      <c r="S40" s="44">
        <f>E39*VLOOKUP('Cum. payments'!BR40,Exposure!$B$33:$C$53,2,FALSE)/VLOOKUP('Cum. payments'!BC40,Exposure!$B$33:$C$53,2,FALSE)</f>
        <v>329293.28856425598</v>
      </c>
      <c r="T40" s="44">
        <f>F39*VLOOKUP('Cum. payments'!BS40,Exposure!$B$33:$C$53,2,FALSE)/VLOOKUP('Cum. payments'!BD40,Exposure!$B$33:$C$53,2,FALSE)</f>
        <v>36527.017504908901</v>
      </c>
      <c r="U40" s="44">
        <f>G39*VLOOKUP('Cum. payments'!BT40,Exposure!$B$33:$C$53,2,FALSE)/VLOOKUP('Cum. payments'!BE40,Exposure!$B$33:$C$53,2,FALSE)</f>
        <v>4574.4561251873292</v>
      </c>
      <c r="V40" s="44">
        <f>H39*VLOOKUP('Cum. payments'!BU40,Exposure!$B$33:$C$53,2,FALSE)/VLOOKUP('Cum. payments'!BF40,Exposure!$B$33:$C$53,2,FALSE)</f>
        <v>3964.4051542455013</v>
      </c>
      <c r="W40" s="44">
        <f>I39*VLOOKUP('Cum. payments'!BV40,Exposure!$B$33:$C$53,2,FALSE)/VLOOKUP('Cum. payments'!BG40,Exposure!$B$33:$C$53,2,FALSE)</f>
        <v>3328.1379555545368</v>
      </c>
    </row>
    <row r="41" spans="1:23" x14ac:dyDescent="0.3">
      <c r="A41" s="12">
        <v>43485</v>
      </c>
      <c r="B41" s="13">
        <v>1609432.130729866</v>
      </c>
      <c r="C41" s="13">
        <v>1192672.2305325361</v>
      </c>
      <c r="D41" s="13">
        <v>488352.99503296503</v>
      </c>
      <c r="E41" s="13">
        <v>567564.14031866286</v>
      </c>
      <c r="F41" s="13">
        <v>164722.15342816347</v>
      </c>
      <c r="G41" s="13">
        <v>131407.56704429386</v>
      </c>
      <c r="H41" s="13">
        <v>60295.939779071006</v>
      </c>
      <c r="O41">
        <f t="shared" si="0"/>
        <v>2019</v>
      </c>
      <c r="P41" s="44">
        <f>B40*VLOOKUP('Cum. payments'!BO41,Exposure!$B$33:$C$53,2,FALSE)/VLOOKUP('Cum. payments'!AZ41,Exposure!$B$33:$C$53,2,FALSE)</f>
        <v>424208.48431341717</v>
      </c>
      <c r="Q41" s="44">
        <f>C40*VLOOKUP('Cum. payments'!BP41,Exposure!$B$33:$C$53,2,FALSE)/VLOOKUP('Cum. payments'!BA41,Exposure!$B$33:$C$53,2,FALSE)</f>
        <v>1394204.1001927345</v>
      </c>
      <c r="R41" s="44">
        <f>D40*VLOOKUP('Cum. payments'!BQ41,Exposure!$B$33:$C$53,2,FALSE)/VLOOKUP('Cum. payments'!BB41,Exposure!$B$33:$C$53,2,FALSE)</f>
        <v>1192471.9137472638</v>
      </c>
      <c r="S41" s="44">
        <f>E40*VLOOKUP('Cum. payments'!BR41,Exposure!$B$33:$C$53,2,FALSE)/VLOOKUP('Cum. payments'!BC41,Exposure!$B$33:$C$53,2,FALSE)</f>
        <v>216621.08669132425</v>
      </c>
      <c r="T41" s="44">
        <f>F40*VLOOKUP('Cum. payments'!BS41,Exposure!$B$33:$C$53,2,FALSE)/VLOOKUP('Cum. payments'!BD41,Exposure!$B$33:$C$53,2,FALSE)</f>
        <v>109064.2850291364</v>
      </c>
      <c r="U41" s="44">
        <f>G40*VLOOKUP('Cum. payments'!BT41,Exposure!$B$33:$C$53,2,FALSE)/VLOOKUP('Cum. payments'!BE41,Exposure!$B$33:$C$53,2,FALSE)</f>
        <v>50602.589172868706</v>
      </c>
      <c r="V41" s="44">
        <f>H40*VLOOKUP('Cum. payments'!BU41,Exposure!$B$33:$C$53,2,FALSE)/VLOOKUP('Cum. payments'!BF41,Exposure!$B$33:$C$53,2,FALSE)</f>
        <v>21629.462795592954</v>
      </c>
    </row>
    <row r="42" spans="1:23" x14ac:dyDescent="0.3">
      <c r="A42" s="12">
        <v>43528</v>
      </c>
      <c r="B42" s="13">
        <v>769782.59551237046</v>
      </c>
      <c r="C42" s="13">
        <v>801371.18778008083</v>
      </c>
      <c r="D42" s="13">
        <v>1082153.9185901766</v>
      </c>
      <c r="E42" s="13">
        <v>952822.67346669815</v>
      </c>
      <c r="F42" s="13">
        <v>458132.53589838254</v>
      </c>
      <c r="G42" s="13">
        <v>245893.37147175244</v>
      </c>
      <c r="H42" s="13">
        <v>32725.061538026355</v>
      </c>
      <c r="O42">
        <f t="shared" si="0"/>
        <v>2019</v>
      </c>
      <c r="P42" s="44">
        <f>B41*VLOOKUP('Cum. payments'!BO42,Exposure!$B$33:$C$53,2,FALSE)/VLOOKUP('Cum. payments'!AZ42,Exposure!$B$33:$C$53,2,FALSE)</f>
        <v>2339677.3177817655</v>
      </c>
      <c r="Q42" s="44">
        <f>C41*VLOOKUP('Cum. payments'!BP42,Exposure!$B$33:$C$53,2,FALSE)/VLOOKUP('Cum. payments'!BA42,Exposure!$B$33:$C$53,2,FALSE)</f>
        <v>1751774.1876587684</v>
      </c>
      <c r="R42" s="44">
        <f>D41*VLOOKUP('Cum. payments'!BQ42,Exposure!$B$33:$C$53,2,FALSE)/VLOOKUP('Cum. payments'!BB42,Exposure!$B$33:$C$53,2,FALSE)</f>
        <v>712861.15302632796</v>
      </c>
      <c r="S42" s="44">
        <f>E41*VLOOKUP('Cum. payments'!BR42,Exposure!$B$33:$C$53,2,FALSE)/VLOOKUP('Cum. payments'!BC42,Exposure!$B$33:$C$53,2,FALSE)</f>
        <v>770465.36933980032</v>
      </c>
      <c r="T42" s="44">
        <f>F41*VLOOKUP('Cum. payments'!BS42,Exposure!$B$33:$C$53,2,FALSE)/VLOOKUP('Cum. payments'!BD42,Exposure!$B$33:$C$53,2,FALSE)</f>
        <v>218709.81194376765</v>
      </c>
      <c r="U42" s="44">
        <f>G41*VLOOKUP('Cum. payments'!BT42,Exposure!$B$33:$C$53,2,FALSE)/VLOOKUP('Cum. payments'!BE42,Exposure!$B$33:$C$53,2,FALSE)</f>
        <v>172235.27984852478</v>
      </c>
      <c r="V42" s="44">
        <f>H41*VLOOKUP('Cum. payments'!BU42,Exposure!$B$33:$C$53,2,FALSE)/VLOOKUP('Cum. payments'!BF42,Exposure!$B$33:$C$53,2,FALSE)</f>
        <v>78519.61809700336</v>
      </c>
    </row>
    <row r="43" spans="1:23" x14ac:dyDescent="0.3">
      <c r="A43" s="12">
        <v>43587</v>
      </c>
      <c r="B43" s="13">
        <v>829053.68458868028</v>
      </c>
      <c r="C43" s="13">
        <v>629718.93340514868</v>
      </c>
      <c r="D43" s="13">
        <v>307786.83856338041</v>
      </c>
      <c r="E43" s="13">
        <v>87938.775259604008</v>
      </c>
      <c r="F43" s="13">
        <v>27162.738904328518</v>
      </c>
      <c r="G43" s="13">
        <v>12479.709286444604</v>
      </c>
      <c r="H43" s="13">
        <v>4172.3120412769422</v>
      </c>
      <c r="O43">
        <f t="shared" si="0"/>
        <v>2019</v>
      </c>
      <c r="P43" s="44">
        <f>B42*VLOOKUP('Cum. payments'!BO43,Exposure!$B$33:$C$53,2,FALSE)/VLOOKUP('Cum. payments'!AZ43,Exposure!$B$33:$C$53,2,FALSE)</f>
        <v>1119054.8790191661</v>
      </c>
      <c r="Q43" s="44">
        <f>C42*VLOOKUP('Cum. payments'!BP43,Exposure!$B$33:$C$53,2,FALSE)/VLOOKUP('Cum. payments'!BA43,Exposure!$B$33:$C$53,2,FALSE)</f>
        <v>1177038.691392838</v>
      </c>
      <c r="R43" s="44">
        <f>D42*VLOOKUP('Cum. payments'!BQ43,Exposure!$B$33:$C$53,2,FALSE)/VLOOKUP('Cum. payments'!BB43,Exposure!$B$33:$C$53,2,FALSE)</f>
        <v>1579647.3002199549</v>
      </c>
      <c r="S43" s="44">
        <f>E42*VLOOKUP('Cum. payments'!BR43,Exposure!$B$33:$C$53,2,FALSE)/VLOOKUP('Cum. payments'!BC43,Exposure!$B$33:$C$53,2,FALSE)</f>
        <v>1293451.8248733624</v>
      </c>
      <c r="T43" s="44">
        <f>F42*VLOOKUP('Cum. payments'!BS43,Exposure!$B$33:$C$53,2,FALSE)/VLOOKUP('Cum. payments'!BD43,Exposure!$B$33:$C$53,2,FALSE)</f>
        <v>608285.39869322279</v>
      </c>
      <c r="U43" s="44">
        <f>G42*VLOOKUP('Cum. payments'!BT43,Exposure!$B$33:$C$53,2,FALSE)/VLOOKUP('Cum. payments'!BE43,Exposure!$B$33:$C$53,2,FALSE)</f>
        <v>322291.28505254968</v>
      </c>
      <c r="V43" s="44">
        <f>H42*VLOOKUP('Cum. payments'!BU43,Exposure!$B$33:$C$53,2,FALSE)/VLOOKUP('Cum. payments'!BF43,Exposure!$B$33:$C$53,2,FALSE)</f>
        <v>42615.79375961014</v>
      </c>
    </row>
    <row r="44" spans="1:23" x14ac:dyDescent="0.3">
      <c r="A44" s="12">
        <v>43593</v>
      </c>
      <c r="B44" s="13">
        <v>897040.39974603138</v>
      </c>
      <c r="C44" s="13">
        <v>1367358.759036955</v>
      </c>
      <c r="D44" s="13">
        <v>1648105.1543942767</v>
      </c>
      <c r="E44" s="13">
        <v>1744296.4124901479</v>
      </c>
      <c r="F44" s="13">
        <v>1032758.0717970157</v>
      </c>
      <c r="G44" s="13">
        <v>363198.19136980007</v>
      </c>
      <c r="H44" s="13">
        <v>272045.6837052576</v>
      </c>
      <c r="O44">
        <f t="shared" si="0"/>
        <v>2019</v>
      </c>
      <c r="P44" s="44">
        <f>B43*VLOOKUP('Cum. payments'!BO44,Exposure!$B$33:$C$53,2,FALSE)/VLOOKUP('Cum. payments'!AZ44,Exposure!$B$33:$C$53,2,FALSE)</f>
        <v>1205218.9489816418</v>
      </c>
      <c r="Q44" s="44">
        <f>C43*VLOOKUP('Cum. payments'!BP44,Exposure!$B$33:$C$53,2,FALSE)/VLOOKUP('Cum. payments'!BA44,Exposure!$B$33:$C$53,2,FALSE)</f>
        <v>924919.13937377208</v>
      </c>
      <c r="R44" s="44">
        <f>D43*VLOOKUP('Cum. payments'!BQ44,Exposure!$B$33:$C$53,2,FALSE)/VLOOKUP('Cum. payments'!BB44,Exposure!$B$33:$C$53,2,FALSE)</f>
        <v>449284.19167329767</v>
      </c>
      <c r="S44" s="44">
        <f>E43*VLOOKUP('Cum. payments'!BR44,Exposure!$B$33:$C$53,2,FALSE)/VLOOKUP('Cum. payments'!BC44,Exposure!$B$33:$C$53,2,FALSE)</f>
        <v>119376.4301628353</v>
      </c>
      <c r="T44" s="44">
        <f>F43*VLOOKUP('Cum. payments'!BS44,Exposure!$B$33:$C$53,2,FALSE)/VLOOKUP('Cum. payments'!BD44,Exposure!$B$33:$C$53,2,FALSE)</f>
        <v>36065.322083311396</v>
      </c>
      <c r="U44" s="44">
        <f>G43*VLOOKUP('Cum. payments'!BT44,Exposure!$B$33:$C$53,2,FALSE)/VLOOKUP('Cum. payments'!BE44,Exposure!$B$33:$C$53,2,FALSE)</f>
        <v>16357.096244347185</v>
      </c>
      <c r="V44" s="44">
        <f>H43*VLOOKUP('Cum. payments'!BU44,Exposure!$B$33:$C$53,2,FALSE)/VLOOKUP('Cum. payments'!BF44,Exposure!$B$33:$C$53,2,FALSE)</f>
        <v>5433.3401098478007</v>
      </c>
    </row>
    <row r="45" spans="1:23" x14ac:dyDescent="0.3">
      <c r="A45" s="12">
        <v>43603</v>
      </c>
      <c r="B45" s="13">
        <v>1090081.2261234769</v>
      </c>
      <c r="C45" s="13">
        <v>715521.83912708366</v>
      </c>
      <c r="D45" s="13">
        <v>703706.85409716028</v>
      </c>
      <c r="E45" s="13">
        <v>718482.24478221801</v>
      </c>
      <c r="F45" s="13">
        <v>574146.30122338678</v>
      </c>
      <c r="G45" s="13">
        <v>29189.660996897557</v>
      </c>
      <c r="H45" s="13">
        <v>32352.742043824186</v>
      </c>
      <c r="O45">
        <f t="shared" si="0"/>
        <v>2019</v>
      </c>
      <c r="P45" s="44">
        <f>B44*VLOOKUP('Cum. payments'!BO45,Exposure!$B$33:$C$53,2,FALSE)/VLOOKUP('Cum. payments'!AZ45,Exposure!$B$33:$C$53,2,FALSE)</f>
        <v>1304053.1727596947</v>
      </c>
      <c r="Q45" s="44">
        <f>C44*VLOOKUP('Cum. payments'!BP45,Exposure!$B$33:$C$53,2,FALSE)/VLOOKUP('Cum. payments'!BA45,Exposure!$B$33:$C$53,2,FALSE)</f>
        <v>2008350.4235531203</v>
      </c>
      <c r="R45" s="44">
        <f>D44*VLOOKUP('Cum. payments'!BQ45,Exposure!$B$33:$C$53,2,FALSE)/VLOOKUP('Cum. payments'!BB45,Exposure!$B$33:$C$53,2,FALSE)</f>
        <v>2405780.5575469681</v>
      </c>
      <c r="S45" s="44">
        <f>E44*VLOOKUP('Cum. payments'!BR45,Exposure!$B$33:$C$53,2,FALSE)/VLOOKUP('Cum. payments'!BC45,Exposure!$B$33:$C$53,2,FALSE)</f>
        <v>2367873.3102002484</v>
      </c>
      <c r="T45" s="44">
        <f>F44*VLOOKUP('Cum. payments'!BS45,Exposure!$B$33:$C$53,2,FALSE)/VLOOKUP('Cum. payments'!BD45,Exposure!$B$33:$C$53,2,FALSE)</f>
        <v>1371244.3588508503</v>
      </c>
      <c r="U45" s="44">
        <f>G44*VLOOKUP('Cum. payments'!BT45,Exposure!$B$33:$C$53,2,FALSE)/VLOOKUP('Cum. payments'!BE45,Exposure!$B$33:$C$53,2,FALSE)</f>
        <v>476042.16057032568</v>
      </c>
      <c r="V45" s="44">
        <f>H44*VLOOKUP('Cum. payments'!BU45,Exposure!$B$33:$C$53,2,FALSE)/VLOOKUP('Cum. payments'!BF45,Exposure!$B$33:$C$53,2,FALSE)</f>
        <v>354268.01983256376</v>
      </c>
    </row>
    <row r="46" spans="1:23" x14ac:dyDescent="0.3">
      <c r="A46" s="12">
        <v>43609</v>
      </c>
      <c r="B46" s="13">
        <v>3139181.4368867334</v>
      </c>
      <c r="C46" s="13">
        <v>1041986.2409543797</v>
      </c>
      <c r="D46" s="13">
        <v>658637.57633171428</v>
      </c>
      <c r="E46" s="13">
        <v>159521.10229194493</v>
      </c>
      <c r="F46" s="13">
        <v>50145.94422963565</v>
      </c>
      <c r="G46" s="13">
        <v>7308.6257114933233</v>
      </c>
      <c r="H46" s="13">
        <v>3561.001348038199</v>
      </c>
      <c r="O46">
        <f t="shared" si="0"/>
        <v>2019</v>
      </c>
      <c r="P46" s="44">
        <f>B45*VLOOKUP('Cum. payments'!BO46,Exposure!$B$33:$C$53,2,FALSE)/VLOOKUP('Cum. payments'!AZ46,Exposure!$B$33:$C$53,2,FALSE)</f>
        <v>1584682.1189932558</v>
      </c>
      <c r="Q46" s="44">
        <f>C45*VLOOKUP('Cum. payments'!BP46,Exposure!$B$33:$C$53,2,FALSE)/VLOOKUP('Cum. payments'!BA46,Exposure!$B$33:$C$53,2,FALSE)</f>
        <v>1050944.8081383507</v>
      </c>
      <c r="R46" s="44">
        <f>D45*VLOOKUP('Cum. payments'!BQ46,Exposure!$B$33:$C$53,2,FALSE)/VLOOKUP('Cum. payments'!BB46,Exposure!$B$33:$C$53,2,FALSE)</f>
        <v>1027218.5990594147</v>
      </c>
      <c r="S46" s="44">
        <f>E45*VLOOKUP('Cum. payments'!BR46,Exposure!$B$33:$C$53,2,FALSE)/VLOOKUP('Cum. payments'!BC46,Exposure!$B$33:$C$53,2,FALSE)</f>
        <v>975335.91142565338</v>
      </c>
      <c r="T46" s="44">
        <f>F45*VLOOKUP('Cum. payments'!BS46,Exposure!$B$33:$C$53,2,FALSE)/VLOOKUP('Cum. payments'!BD46,Exposure!$B$33:$C$53,2,FALSE)</f>
        <v>762322.65639690845</v>
      </c>
      <c r="U46" s="44">
        <f>G45*VLOOKUP('Cum. payments'!BT46,Exposure!$B$33:$C$53,2,FALSE)/VLOOKUP('Cum. payments'!BE46,Exposure!$B$33:$C$53,2,FALSE)</f>
        <v>38258.751330428269</v>
      </c>
      <c r="V46" s="44">
        <f>H45*VLOOKUP('Cum. payments'!BU46,Exposure!$B$33:$C$53,2,FALSE)/VLOOKUP('Cum. payments'!BF46,Exposure!$B$33:$C$53,2,FALSE)</f>
        <v>42130.945449724917</v>
      </c>
    </row>
    <row r="47" spans="1:23" x14ac:dyDescent="0.3">
      <c r="A47" s="12">
        <v>43650</v>
      </c>
      <c r="B47" s="13">
        <v>901306.30199936149</v>
      </c>
      <c r="C47" s="13">
        <v>360930.52562100597</v>
      </c>
      <c r="D47" s="13">
        <v>207215.39390968659</v>
      </c>
      <c r="E47" s="13">
        <v>96319.909216998436</v>
      </c>
      <c r="F47" s="13">
        <v>51323.471396679779</v>
      </c>
      <c r="G47" s="13">
        <v>22341.763570918167</v>
      </c>
      <c r="H47" s="13">
        <v>4.5335683601663703</v>
      </c>
      <c r="O47">
        <f t="shared" si="0"/>
        <v>2019</v>
      </c>
      <c r="P47" s="44">
        <f>B46*VLOOKUP('Cum. payments'!BO47,Exposure!$B$33:$C$53,2,FALSE)/VLOOKUP('Cum. payments'!AZ47,Exposure!$B$33:$C$53,2,FALSE)</f>
        <v>4563517.4444757141</v>
      </c>
      <c r="Q47" s="44">
        <f>C46*VLOOKUP('Cum. payments'!BP47,Exposure!$B$33:$C$53,2,FALSE)/VLOOKUP('Cum. payments'!BA47,Exposure!$B$33:$C$53,2,FALSE)</f>
        <v>1530449.4848383053</v>
      </c>
      <c r="R47" s="44">
        <f>D46*VLOOKUP('Cum. payments'!BQ47,Exposure!$B$33:$C$53,2,FALSE)/VLOOKUP('Cum. payments'!BB47,Exposure!$B$33:$C$53,2,FALSE)</f>
        <v>961429.84043457825</v>
      </c>
      <c r="S47" s="44">
        <f>E46*VLOOKUP('Cum. payments'!BR47,Exposure!$B$33:$C$53,2,FALSE)/VLOOKUP('Cum. payments'!BC47,Exposure!$B$33:$C$53,2,FALSE)</f>
        <v>216549.06690519469</v>
      </c>
      <c r="T47" s="44">
        <f>F46*VLOOKUP('Cum. payments'!BS47,Exposure!$B$33:$C$53,2,FALSE)/VLOOKUP('Cum. payments'!BD47,Exposure!$B$33:$C$53,2,FALSE)</f>
        <v>66581.269149017287</v>
      </c>
      <c r="U47" s="44">
        <f>G46*VLOOKUP('Cum. payments'!BT47,Exposure!$B$33:$C$53,2,FALSE)/VLOOKUP('Cum. payments'!BE47,Exposure!$B$33:$C$53,2,FALSE)</f>
        <v>9579.381332757408</v>
      </c>
      <c r="V47" s="44">
        <f>H46*VLOOKUP('Cum. payments'!BU47,Exposure!$B$33:$C$53,2,FALSE)/VLOOKUP('Cum. payments'!BF47,Exposure!$B$33:$C$53,2,FALSE)</f>
        <v>4637.2685609575137</v>
      </c>
    </row>
    <row r="48" spans="1:23" x14ac:dyDescent="0.3">
      <c r="A48" s="12">
        <v>43651</v>
      </c>
      <c r="B48" s="13">
        <v>1491638.46253541</v>
      </c>
      <c r="C48" s="13">
        <v>1642026.8273346042</v>
      </c>
      <c r="D48" s="13">
        <v>1168185.3656385134</v>
      </c>
      <c r="E48" s="13">
        <v>636186.7806787634</v>
      </c>
      <c r="F48" s="13">
        <v>684185.39220484556</v>
      </c>
      <c r="G48" s="13">
        <v>472212.00487613538</v>
      </c>
      <c r="H48" s="13">
        <v>196511.96802258203</v>
      </c>
      <c r="O48">
        <f t="shared" si="0"/>
        <v>2019</v>
      </c>
      <c r="P48" s="44">
        <f>B47*VLOOKUP('Cum. payments'!BO48,Exposure!$B$33:$C$53,2,FALSE)/VLOOKUP('Cum. payments'!AZ48,Exposure!$B$33:$C$53,2,FALSE)</f>
        <v>1310254.6363389413</v>
      </c>
      <c r="Q48" s="44">
        <f>C47*VLOOKUP('Cum. payments'!BP48,Exposure!$B$33:$C$53,2,FALSE)/VLOOKUP('Cum. payments'!BA48,Exposure!$B$33:$C$53,2,FALSE)</f>
        <v>530127.86089492321</v>
      </c>
      <c r="R48" s="44">
        <f>D47*VLOOKUP('Cum. payments'!BQ48,Exposure!$B$33:$C$53,2,FALSE)/VLOOKUP('Cum. payments'!BB48,Exposure!$B$33:$C$53,2,FALSE)</f>
        <v>302477.52369634336</v>
      </c>
      <c r="S48" s="44">
        <f>E47*VLOOKUP('Cum. payments'!BR48,Exposure!$B$33:$C$53,2,FALSE)/VLOOKUP('Cum. payments'!BC48,Exposure!$B$33:$C$53,2,FALSE)</f>
        <v>130753.77593091835</v>
      </c>
      <c r="T48" s="44">
        <f>F47*VLOOKUP('Cum. payments'!BS48,Exposure!$B$33:$C$53,2,FALSE)/VLOOKUP('Cum. payments'!BD48,Exposure!$B$33:$C$53,2,FALSE)</f>
        <v>68144.730650115336</v>
      </c>
      <c r="U48" s="44">
        <f>G47*VLOOKUP('Cum. payments'!BT48,Exposure!$B$33:$C$53,2,FALSE)/VLOOKUP('Cum. payments'!BE48,Exposure!$B$33:$C$53,2,FALSE)</f>
        <v>29283.244393753968</v>
      </c>
      <c r="V48" s="44">
        <f>H47*VLOOKUP('Cum. payments'!BU48,Exposure!$B$33:$C$53,2,FALSE)/VLOOKUP('Cum. payments'!BF48,Exposure!$B$33:$C$53,2,FALSE)</f>
        <v>5.9037815408672243</v>
      </c>
    </row>
    <row r="49" spans="1:22" x14ac:dyDescent="0.3">
      <c r="A49" s="12">
        <v>43657</v>
      </c>
      <c r="B49" s="13">
        <v>3217071.4030458</v>
      </c>
      <c r="C49" s="13">
        <v>1262038.9447322702</v>
      </c>
      <c r="D49" s="13">
        <v>138575.60392363294</v>
      </c>
      <c r="E49" s="13">
        <v>97320.586008634229</v>
      </c>
      <c r="F49" s="13">
        <v>25958.9302544374</v>
      </c>
      <c r="G49" s="13">
        <v>12433.269824233434</v>
      </c>
      <c r="H49" s="13">
        <v>10412.831815730844</v>
      </c>
      <c r="O49">
        <f t="shared" si="0"/>
        <v>2019</v>
      </c>
      <c r="P49" s="44">
        <f>B48*VLOOKUP('Cum. payments'!BO49,Exposure!$B$33:$C$53,2,FALSE)/VLOOKUP('Cum. payments'!AZ49,Exposure!$B$33:$C$53,2,FALSE)</f>
        <v>2168437.3080971707</v>
      </c>
      <c r="Q49" s="44">
        <f>C48*VLOOKUP('Cum. payments'!BP49,Exposure!$B$33:$C$53,2,FALSE)/VLOOKUP('Cum. payments'!BA49,Exposure!$B$33:$C$53,2,FALSE)</f>
        <v>2411777.6350704692</v>
      </c>
      <c r="R49" s="44">
        <f>D48*VLOOKUP('Cum. payments'!BQ49,Exposure!$B$33:$C$53,2,FALSE)/VLOOKUP('Cum. payments'!BB49,Exposure!$B$33:$C$53,2,FALSE)</f>
        <v>1705229.5678893914</v>
      </c>
      <c r="S49" s="44">
        <f>E48*VLOOKUP('Cum. payments'!BR49,Exposure!$B$33:$C$53,2,FALSE)/VLOOKUP('Cum. payments'!BC49,Exposure!$B$33:$C$53,2,FALSE)</f>
        <v>863620.24681396957</v>
      </c>
      <c r="T49" s="44">
        <f>F48*VLOOKUP('Cum. payments'!BS49,Exposure!$B$33:$C$53,2,FALSE)/VLOOKUP('Cum. payments'!BD49,Exposure!$B$33:$C$53,2,FALSE)</f>
        <v>908427.04123008519</v>
      </c>
      <c r="U49" s="44">
        <f>G48*VLOOKUP('Cum. payments'!BT49,Exposure!$B$33:$C$53,2,FALSE)/VLOOKUP('Cum. payments'!BE49,Exposure!$B$33:$C$53,2,FALSE)</f>
        <v>618926.05301991105</v>
      </c>
      <c r="V49" s="44">
        <f>H48*VLOOKUP('Cum. payments'!BU49,Exposure!$B$33:$C$53,2,FALSE)/VLOOKUP('Cum. payments'!BF49,Exposure!$B$33:$C$53,2,FALSE)</f>
        <v>255905.20252541974</v>
      </c>
    </row>
    <row r="50" spans="1:22" x14ac:dyDescent="0.3">
      <c r="A50" s="12">
        <v>43664</v>
      </c>
      <c r="B50" s="13">
        <v>797302.28219108342</v>
      </c>
      <c r="C50" s="13">
        <v>1077175.4995995034</v>
      </c>
      <c r="D50" s="13">
        <v>978803.46058024513</v>
      </c>
      <c r="E50" s="13">
        <v>684709.35979175591</v>
      </c>
      <c r="F50" s="13">
        <v>25387.143812551127</v>
      </c>
      <c r="G50" s="13">
        <v>5000.8385578959314</v>
      </c>
      <c r="H50" s="13">
        <v>4633.80060573848</v>
      </c>
      <c r="O50">
        <f t="shared" si="0"/>
        <v>2019</v>
      </c>
      <c r="P50" s="44">
        <f>B49*VLOOKUP('Cum. payments'!BO50,Exposure!$B$33:$C$53,2,FALSE)/VLOOKUP('Cum. payments'!AZ50,Exposure!$B$33:$C$53,2,FALSE)</f>
        <v>4676748.306234709</v>
      </c>
      <c r="Q50" s="44">
        <f>C49*VLOOKUP('Cum. payments'!BP50,Exposure!$B$33:$C$53,2,FALSE)/VLOOKUP('Cum. payments'!BA50,Exposure!$B$33:$C$53,2,FALSE)</f>
        <v>1853658.6923089186</v>
      </c>
      <c r="R50" s="44">
        <f>D49*VLOOKUP('Cum. payments'!BQ50,Exposure!$B$33:$C$53,2,FALSE)/VLOOKUP('Cum. payments'!BB50,Exposure!$B$33:$C$53,2,FALSE)</f>
        <v>202282.29538686963</v>
      </c>
      <c r="S50" s="44">
        <f>E49*VLOOKUP('Cum. payments'!BR50,Exposure!$B$33:$C$53,2,FALSE)/VLOOKUP('Cum. payments'!BC50,Exposure!$B$33:$C$53,2,FALSE)</f>
        <v>132112.18947238094</v>
      </c>
      <c r="T50" s="44">
        <f>F49*VLOOKUP('Cum. payments'!BS50,Exposure!$B$33:$C$53,2,FALSE)/VLOOKUP('Cum. payments'!BD50,Exposure!$B$33:$C$53,2,FALSE)</f>
        <v>34466.965347714278</v>
      </c>
      <c r="U50" s="44">
        <f>G49*VLOOKUP('Cum. payments'!BT50,Exposure!$B$33:$C$53,2,FALSE)/VLOOKUP('Cum. payments'!BE50,Exposure!$B$33:$C$53,2,FALSE)</f>
        <v>16296.228259726025</v>
      </c>
      <c r="V50" s="44">
        <f>H49*VLOOKUP('Cum. payments'!BU50,Exposure!$B$33:$C$53,2,FALSE)/VLOOKUP('Cum. payments'!BF50,Exposure!$B$33:$C$53,2,FALSE)</f>
        <v>13559.977346323883</v>
      </c>
    </row>
    <row r="51" spans="1:22" x14ac:dyDescent="0.3">
      <c r="A51" s="12">
        <v>43670</v>
      </c>
      <c r="B51" s="13">
        <v>651797.51016354945</v>
      </c>
      <c r="C51" s="13">
        <v>630073.81802904746</v>
      </c>
      <c r="D51" s="13">
        <v>534615.18977957836</v>
      </c>
      <c r="E51" s="13">
        <v>363779.45783028903</v>
      </c>
      <c r="F51" s="13">
        <v>91948.054517350625</v>
      </c>
      <c r="G51" s="13">
        <v>958.06937700123751</v>
      </c>
      <c r="H51" s="13">
        <v>704.60347217368133</v>
      </c>
      <c r="O51">
        <f t="shared" si="0"/>
        <v>2019</v>
      </c>
      <c r="P51" s="44">
        <f>B50*VLOOKUP('Cum. payments'!BO51,Exposure!$B$33:$C$53,2,FALSE)/VLOOKUP('Cum. payments'!AZ51,Exposure!$B$33:$C$53,2,FALSE)</f>
        <v>1159061.0311800817</v>
      </c>
      <c r="Q51" s="44">
        <f>C50*VLOOKUP('Cum. payments'!BP51,Exposure!$B$33:$C$53,2,FALSE)/VLOOKUP('Cum. payments'!BA51,Exposure!$B$33:$C$53,2,FALSE)</f>
        <v>1582134.7956884215</v>
      </c>
      <c r="R51" s="44">
        <f>D50*VLOOKUP('Cum. payments'!BQ51,Exposure!$B$33:$C$53,2,FALSE)/VLOOKUP('Cum. payments'!BB51,Exposure!$B$33:$C$53,2,FALSE)</f>
        <v>1428784.0365313897</v>
      </c>
      <c r="S51" s="44">
        <f>E50*VLOOKUP('Cum. payments'!BR51,Exposure!$B$33:$C$53,2,FALSE)/VLOOKUP('Cum. payments'!BC51,Exposure!$B$33:$C$53,2,FALSE)</f>
        <v>929489.39565875276</v>
      </c>
      <c r="T51" s="44">
        <f>F50*VLOOKUP('Cum. payments'!BS51,Exposure!$B$33:$C$53,2,FALSE)/VLOOKUP('Cum. payments'!BD51,Exposure!$B$33:$C$53,2,FALSE)</f>
        <v>33707.775994161537</v>
      </c>
      <c r="U51" s="44">
        <f>G50*VLOOKUP('Cum. payments'!BT51,Exposure!$B$33:$C$53,2,FALSE)/VLOOKUP('Cum. payments'!BE51,Exposure!$B$33:$C$53,2,FALSE)</f>
        <v>6554.5755687430956</v>
      </c>
      <c r="V51" s="44">
        <f>H50*VLOOKUP('Cum. payments'!BU51,Exposure!$B$33:$C$53,2,FALSE)/VLOOKUP('Cum. payments'!BF51,Exposure!$B$33:$C$53,2,FALSE)</f>
        <v>6034.3077035269998</v>
      </c>
    </row>
    <row r="52" spans="1:22" x14ac:dyDescent="0.3">
      <c r="A52" s="12">
        <v>43697</v>
      </c>
      <c r="B52" s="13">
        <v>2837745.035333076</v>
      </c>
      <c r="C52" s="13">
        <v>2834139.6971994159</v>
      </c>
      <c r="D52" s="13">
        <v>2140401.358808748</v>
      </c>
      <c r="E52" s="13">
        <v>469115.95329133427</v>
      </c>
      <c r="F52" s="13">
        <v>335356.12330663868</v>
      </c>
      <c r="G52" s="13">
        <v>56893.32741814934</v>
      </c>
      <c r="H52" s="13">
        <v>20923.261220611985</v>
      </c>
      <c r="O52">
        <f t="shared" si="0"/>
        <v>2019</v>
      </c>
      <c r="P52" s="44">
        <f>B51*VLOOKUP('Cum. payments'!BO52,Exposure!$B$33:$C$53,2,FALSE)/VLOOKUP('Cum. payments'!AZ52,Exposure!$B$33:$C$53,2,FALSE)</f>
        <v>947536.60076657706</v>
      </c>
      <c r="Q52" s="44">
        <f>C51*VLOOKUP('Cum. payments'!BP52,Exposure!$B$33:$C$53,2,FALSE)/VLOOKUP('Cum. payments'!BA52,Exposure!$B$33:$C$53,2,FALSE)</f>
        <v>925440.38712971704</v>
      </c>
      <c r="R52" s="44">
        <f>D51*VLOOKUP('Cum. payments'!BQ52,Exposure!$B$33:$C$53,2,FALSE)/VLOOKUP('Cum. payments'!BB52,Exposure!$B$33:$C$53,2,FALSE)</f>
        <v>780391.24258044886</v>
      </c>
      <c r="S52" s="44">
        <f>E51*VLOOKUP('Cum. payments'!BR52,Exposure!$B$33:$C$53,2,FALSE)/VLOOKUP('Cum. payments'!BC52,Exposure!$B$33:$C$53,2,FALSE)</f>
        <v>493828.72247369454</v>
      </c>
      <c r="T52" s="44">
        <f>F51*VLOOKUP('Cum. payments'!BS52,Exposure!$B$33:$C$53,2,FALSE)/VLOOKUP('Cum. payments'!BD52,Exposure!$B$33:$C$53,2,FALSE)</f>
        <v>122084.01416300779</v>
      </c>
      <c r="U52" s="44">
        <f>G51*VLOOKUP('Cum. payments'!BT52,Exposure!$B$33:$C$53,2,FALSE)/VLOOKUP('Cum. payments'!BE52,Exposure!$B$33:$C$53,2,FALSE)</f>
        <v>1255.7370246911921</v>
      </c>
      <c r="V52" s="44">
        <f>H51*VLOOKUP('Cum. payments'!BU52,Exposure!$B$33:$C$53,2,FALSE)/VLOOKUP('Cum. payments'!BF52,Exposure!$B$33:$C$53,2,FALSE)</f>
        <v>917.56087968138138</v>
      </c>
    </row>
    <row r="53" spans="1:22" x14ac:dyDescent="0.3">
      <c r="A53" s="12">
        <v>43774</v>
      </c>
      <c r="B53" s="13">
        <v>3424745.0312646832</v>
      </c>
      <c r="C53" s="13">
        <v>3250046.404026316</v>
      </c>
      <c r="D53" s="13">
        <v>2564575.4519913453</v>
      </c>
      <c r="E53" s="13">
        <v>848237.71911361872</v>
      </c>
      <c r="F53" s="13">
        <v>401432.40754091</v>
      </c>
      <c r="G53" s="13">
        <v>217547.42289960652</v>
      </c>
      <c r="H53" s="13">
        <v>90763.719645502177</v>
      </c>
      <c r="O53">
        <f t="shared" si="0"/>
        <v>2019</v>
      </c>
      <c r="P53" s="44">
        <f>B52*VLOOKUP('Cum. payments'!BO53,Exposure!$B$33:$C$53,2,FALSE)/VLOOKUP('Cum. payments'!AZ53,Exposure!$B$33:$C$53,2,FALSE)</f>
        <v>4125310.7639933154</v>
      </c>
      <c r="Q53" s="44">
        <f>C52*VLOOKUP('Cum. payments'!BP53,Exposure!$B$33:$C$53,2,FALSE)/VLOOKUP('Cum. payments'!BA53,Exposure!$B$33:$C$53,2,FALSE)</f>
        <v>4162730.2444663867</v>
      </c>
      <c r="R53" s="44">
        <f>D52*VLOOKUP('Cum. payments'!BQ53,Exposure!$B$33:$C$53,2,FALSE)/VLOOKUP('Cum. payments'!BB53,Exposure!$B$33:$C$53,2,FALSE)</f>
        <v>3124397.7125122929</v>
      </c>
      <c r="S53" s="44">
        <f>E52*VLOOKUP('Cum. payments'!BR53,Exposure!$B$33:$C$53,2,FALSE)/VLOOKUP('Cum. payments'!BC53,Exposure!$B$33:$C$53,2,FALSE)</f>
        <v>636822.46734768816</v>
      </c>
      <c r="T53" s="44">
        <f>F52*VLOOKUP('Cum. payments'!BS53,Exposure!$B$33:$C$53,2,FALSE)/VLOOKUP('Cum. payments'!BD53,Exposure!$B$33:$C$53,2,FALSE)</f>
        <v>445269.03720070951</v>
      </c>
      <c r="U53" s="44">
        <f>G52*VLOOKUP('Cum. payments'!BT53,Exposure!$B$33:$C$53,2,FALSE)/VLOOKUP('Cum. payments'!BE53,Exposure!$B$33:$C$53,2,FALSE)</f>
        <v>74569.816562205393</v>
      </c>
      <c r="V53" s="44">
        <f>H52*VLOOKUP('Cum. payments'!BU53,Exposure!$B$33:$C$53,2,FALSE)/VLOOKUP('Cum. payments'!BF53,Exposure!$B$33:$C$53,2,FALSE)</f>
        <v>27247.049907605</v>
      </c>
    </row>
    <row r="54" spans="1:22" x14ac:dyDescent="0.3">
      <c r="A54" s="12">
        <v>43813</v>
      </c>
      <c r="B54" s="13">
        <v>701267.51336343552</v>
      </c>
      <c r="C54" s="13">
        <v>279674.82284525246</v>
      </c>
      <c r="D54" s="13">
        <v>125779.84153156372</v>
      </c>
      <c r="E54" s="13">
        <v>195636.47600241809</v>
      </c>
      <c r="F54" s="13">
        <v>166379.40468156661</v>
      </c>
      <c r="G54" s="13">
        <v>127237.79424123159</v>
      </c>
      <c r="H54" s="13">
        <v>151664.91684887576</v>
      </c>
      <c r="O54">
        <f t="shared" si="0"/>
        <v>2019</v>
      </c>
      <c r="P54" s="44">
        <f>B53*VLOOKUP('Cum. payments'!BO54,Exposure!$B$33:$C$53,2,FALSE)/VLOOKUP('Cum. payments'!AZ54,Exposure!$B$33:$C$53,2,FALSE)</f>
        <v>4978649.3731811075</v>
      </c>
      <c r="Q54" s="44">
        <f>C53*VLOOKUP('Cum. payments'!BP54,Exposure!$B$33:$C$53,2,FALSE)/VLOOKUP('Cum. payments'!BA54,Exposure!$B$33:$C$53,2,FALSE)</f>
        <v>4773606.0700636785</v>
      </c>
      <c r="R54" s="44">
        <f>D53*VLOOKUP('Cum. payments'!BQ54,Exposure!$B$33:$C$53,2,FALSE)/VLOOKUP('Cum. payments'!BB54,Exposure!$B$33:$C$53,2,FALSE)</f>
        <v>3743575.3078695862</v>
      </c>
      <c r="S54" s="44">
        <f>E53*VLOOKUP('Cum. payments'!BR54,Exposure!$B$33:$C$53,2,FALSE)/VLOOKUP('Cum. payments'!BC54,Exposure!$B$33:$C$53,2,FALSE)</f>
        <v>1151478.2931456713</v>
      </c>
      <c r="T54" s="44">
        <f>F53*VLOOKUP('Cum. payments'!BS54,Exposure!$B$33:$C$53,2,FALSE)/VLOOKUP('Cum. payments'!BD54,Exposure!$B$33:$C$53,2,FALSE)</f>
        <v>533001.81265354401</v>
      </c>
      <c r="U54" s="44">
        <f>G53*VLOOKUP('Cum. payments'!BT54,Exposure!$B$33:$C$53,2,FALSE)/VLOOKUP('Cum. payments'!BE54,Exposure!$B$33:$C$53,2,FALSE)</f>
        <v>285138.38362755184</v>
      </c>
      <c r="V54" s="44">
        <f>H53*VLOOKUP('Cum. payments'!BU54,Exposure!$B$33:$C$53,2,FALSE)/VLOOKUP('Cum. payments'!BF54,Exposure!$B$33:$C$53,2,FALSE)</f>
        <v>118195.89560658997</v>
      </c>
    </row>
    <row r="55" spans="1:22" x14ac:dyDescent="0.3">
      <c r="A55" s="12">
        <v>43883</v>
      </c>
      <c r="B55" s="13">
        <v>455372.74604439246</v>
      </c>
      <c r="C55" s="13">
        <v>502013.7718544458</v>
      </c>
      <c r="D55" s="13">
        <v>715305.77425110806</v>
      </c>
      <c r="E55" s="13">
        <v>89652.112375321158</v>
      </c>
      <c r="F55" s="13">
        <v>12799.73340559182</v>
      </c>
      <c r="G55" s="13">
        <v>1028.1530085641089</v>
      </c>
      <c r="O55">
        <f t="shared" si="0"/>
        <v>2019</v>
      </c>
      <c r="P55" s="44">
        <f>B54*VLOOKUP('Cum. payments'!BO55,Exposure!$B$33:$C$53,2,FALSE)/VLOOKUP('Cum. payments'!AZ55,Exposure!$B$33:$C$53,2,FALSE)</f>
        <v>1019452.553099948</v>
      </c>
      <c r="Q55" s="44">
        <f>C54*VLOOKUP('Cum. payments'!BP55,Exposure!$B$33:$C$53,2,FALSE)/VLOOKUP('Cum. payments'!BA55,Exposure!$B$33:$C$53,2,FALSE)</f>
        <v>410781.03694893303</v>
      </c>
      <c r="R55" s="44">
        <f>D54*VLOOKUP('Cum. payments'!BQ55,Exposure!$B$33:$C$53,2,FALSE)/VLOOKUP('Cum. payments'!BB55,Exposure!$B$33:$C$53,2,FALSE)</f>
        <v>183603.99910234363</v>
      </c>
      <c r="S55" s="44">
        <f>E54*VLOOKUP('Cum. payments'!BR55,Exposure!$B$33:$C$53,2,FALSE)/VLOOKUP('Cum. payments'!BC55,Exposure!$B$33:$C$53,2,FALSE)</f>
        <v>265575.49892935622</v>
      </c>
      <c r="T55" s="44">
        <f>F54*VLOOKUP('Cum. payments'!BS55,Exposure!$B$33:$C$53,2,FALSE)/VLOOKUP('Cum. payments'!BD55,Exposure!$B$33:$C$53,2,FALSE)</f>
        <v>220910.22702110844</v>
      </c>
      <c r="U55" s="44">
        <f>G54*VLOOKUP('Cum. payments'!BT55,Exposure!$B$33:$C$53,2,FALSE)/VLOOKUP('Cum. payments'!BE55,Exposure!$B$33:$C$53,2,FALSE)</f>
        <v>166769.97825445357</v>
      </c>
      <c r="V55" s="44">
        <f>H54*VLOOKUP('Cum. payments'!BU55,Exposure!$B$33:$C$53,2,FALSE)/VLOOKUP('Cum. payments'!BF55,Exposure!$B$33:$C$53,2,FALSE)</f>
        <v>197503.70246026164</v>
      </c>
    </row>
    <row r="56" spans="1:22" x14ac:dyDescent="0.3">
      <c r="A56" s="12">
        <v>43884</v>
      </c>
      <c r="B56" s="13">
        <v>1809379.3825669696</v>
      </c>
      <c r="C56" s="13">
        <v>1150909.2994141779</v>
      </c>
      <c r="D56" s="13">
        <v>517352.72156790638</v>
      </c>
      <c r="E56" s="13">
        <v>359552.02131037076</v>
      </c>
      <c r="F56" s="13">
        <v>457754.33729136636</v>
      </c>
      <c r="G56" s="13">
        <v>10134.187334334516</v>
      </c>
      <c r="O56">
        <f t="shared" si="0"/>
        <v>2020</v>
      </c>
      <c r="P56" s="44">
        <f>B55*VLOOKUP('Cum. payments'!BO56,Exposure!$B$33:$C$53,2,FALSE)/VLOOKUP('Cum. payments'!AZ56,Exposure!$B$33:$C$53,2,FALSE)</f>
        <v>647476.07942829607</v>
      </c>
      <c r="Q56" s="44">
        <f>C55*VLOOKUP('Cum. payments'!BP56,Exposure!$B$33:$C$53,2,FALSE)/VLOOKUP('Cum. payments'!BA56,Exposure!$B$33:$C$53,2,FALSE)</f>
        <v>709392.19035415223</v>
      </c>
      <c r="R56" s="44">
        <f>D55*VLOOKUP('Cum. payments'!BQ56,Exposure!$B$33:$C$53,2,FALSE)/VLOOKUP('Cum. payments'!BB56,Exposure!$B$33:$C$53,2,FALSE)</f>
        <v>940003.74559172418</v>
      </c>
      <c r="S56" s="44">
        <f>E55*VLOOKUP('Cum. payments'!BR56,Exposure!$B$33:$C$53,2,FALSE)/VLOOKUP('Cum. payments'!BC56,Exposure!$B$33:$C$53,2,FALSE)</f>
        <v>115232.89193033057</v>
      </c>
      <c r="T56" s="44">
        <f>F55*VLOOKUP('Cum. payments'!BS56,Exposure!$B$33:$C$53,2,FALSE)/VLOOKUP('Cum. payments'!BD56,Exposure!$B$33:$C$53,2,FALSE)</f>
        <v>16240.610214511749</v>
      </c>
      <c r="U56" s="44">
        <f>G55*VLOOKUP('Cum. payments'!BT56,Exposure!$B$33:$C$53,2,FALSE)/VLOOKUP('Cum. payments'!BE56,Exposure!$B$33:$C$53,2,FALSE)</f>
        <v>1296.1269452034139</v>
      </c>
    </row>
    <row r="57" spans="1:22" x14ac:dyDescent="0.3">
      <c r="A57" s="12">
        <v>43910</v>
      </c>
      <c r="B57" s="13">
        <v>3295241.4169222475</v>
      </c>
      <c r="C57" s="13">
        <v>2033519.7301752737</v>
      </c>
      <c r="D57" s="13">
        <v>1602737.3736382951</v>
      </c>
      <c r="E57" s="13">
        <v>1377530.961949134</v>
      </c>
      <c r="F57" s="13">
        <v>786703.26947983261</v>
      </c>
      <c r="G57" s="13">
        <v>247938.00315468258</v>
      </c>
      <c r="O57">
        <f t="shared" si="0"/>
        <v>2020</v>
      </c>
      <c r="P57" s="44">
        <f>B56*VLOOKUP('Cum. payments'!BO57,Exposure!$B$33:$C$53,2,FALSE)/VLOOKUP('Cum. payments'!AZ57,Exposure!$B$33:$C$53,2,FALSE)</f>
        <v>2572683.3215193008</v>
      </c>
      <c r="Q57" s="44">
        <f>C56*VLOOKUP('Cum. payments'!BP57,Exposure!$B$33:$C$53,2,FALSE)/VLOOKUP('Cum. payments'!BA57,Exposure!$B$33:$C$53,2,FALSE)</f>
        <v>1626341.9742339409</v>
      </c>
      <c r="R57" s="44">
        <f>D56*VLOOKUP('Cum. payments'!BQ57,Exposure!$B$33:$C$53,2,FALSE)/VLOOKUP('Cum. payments'!BB57,Exposure!$B$33:$C$53,2,FALSE)</f>
        <v>679867.98593238264</v>
      </c>
      <c r="S57" s="44">
        <f>E56*VLOOKUP('Cum. payments'!BR57,Exposure!$B$33:$C$53,2,FALSE)/VLOOKUP('Cum. payments'!BC57,Exposure!$B$33:$C$53,2,FALSE)</f>
        <v>462144.37247766467</v>
      </c>
      <c r="T57" s="44">
        <f>F56*VLOOKUP('Cum. payments'!BS57,Exposure!$B$33:$C$53,2,FALSE)/VLOOKUP('Cum. payments'!BD57,Exposure!$B$33:$C$53,2,FALSE)</f>
        <v>580809.73488896561</v>
      </c>
      <c r="U57" s="44">
        <f>G56*VLOOKUP('Cum. payments'!BT57,Exposure!$B$33:$C$53,2,FALSE)/VLOOKUP('Cum. payments'!BE57,Exposure!$B$33:$C$53,2,FALSE)</f>
        <v>12775.523839700072</v>
      </c>
    </row>
    <row r="58" spans="1:22" x14ac:dyDescent="0.3">
      <c r="A58" s="12">
        <v>43948</v>
      </c>
      <c r="B58" s="13">
        <v>702370.27719546063</v>
      </c>
      <c r="C58" s="13">
        <v>1012085.987654654</v>
      </c>
      <c r="D58" s="13">
        <v>527244.38743740704</v>
      </c>
      <c r="E58" s="13">
        <v>540423.40218434611</v>
      </c>
      <c r="F58" s="13">
        <v>559255.31297581969</v>
      </c>
      <c r="G58" s="13">
        <v>544197.16174346511</v>
      </c>
      <c r="O58">
        <f t="shared" si="0"/>
        <v>2020</v>
      </c>
      <c r="P58" s="44">
        <f>B57*VLOOKUP('Cum. payments'!BO58,Exposure!$B$33:$C$53,2,FALSE)/VLOOKUP('Cum. payments'!AZ58,Exposure!$B$33:$C$53,2,FALSE)</f>
        <v>4685370.417821547</v>
      </c>
      <c r="Q58" s="44">
        <f>C57*VLOOKUP('Cum. payments'!BP58,Exposure!$B$33:$C$53,2,FALSE)/VLOOKUP('Cum. payments'!BA58,Exposure!$B$33:$C$53,2,FALSE)</f>
        <v>2873552.6720483676</v>
      </c>
      <c r="R58" s="44">
        <f>D57*VLOOKUP('Cum. payments'!BQ58,Exposure!$B$33:$C$53,2,FALSE)/VLOOKUP('Cum. payments'!BB58,Exposure!$B$33:$C$53,2,FALSE)</f>
        <v>2106202.9535510996</v>
      </c>
      <c r="S58" s="44">
        <f>E57*VLOOKUP('Cum. payments'!BR58,Exposure!$B$33:$C$53,2,FALSE)/VLOOKUP('Cum. payments'!BC58,Exposure!$B$33:$C$53,2,FALSE)</f>
        <v>1770587.1313375202</v>
      </c>
      <c r="T58" s="44">
        <f>F57*VLOOKUP('Cum. payments'!BS58,Exposure!$B$33:$C$53,2,FALSE)/VLOOKUP('Cum. payments'!BD58,Exposure!$B$33:$C$53,2,FALSE)</f>
        <v>998188.06761414825</v>
      </c>
      <c r="U58" s="44">
        <f>G57*VLOOKUP('Cum. payments'!BT58,Exposure!$B$33:$C$53,2,FALSE)/VLOOKUP('Cum. payments'!BE58,Exposure!$B$33:$C$53,2,FALSE)</f>
        <v>312559.63261491084</v>
      </c>
    </row>
    <row r="59" spans="1:22" x14ac:dyDescent="0.3">
      <c r="A59" s="12">
        <v>44053</v>
      </c>
      <c r="B59" s="13">
        <v>1099575.5017498352</v>
      </c>
      <c r="C59" s="13">
        <v>1171141.6969913335</v>
      </c>
      <c r="D59" s="13">
        <v>733287.43740967126</v>
      </c>
      <c r="E59" s="13">
        <v>89574.425637744644</v>
      </c>
      <c r="F59" s="13">
        <v>33663.744511927835</v>
      </c>
      <c r="G59" s="13">
        <v>13046.682119204421</v>
      </c>
      <c r="O59">
        <f t="shared" si="0"/>
        <v>2020</v>
      </c>
      <c r="P59" s="44">
        <f>B58*VLOOKUP('Cum. payments'!BO59,Exposure!$B$33:$C$53,2,FALSE)/VLOOKUP('Cum. payments'!AZ59,Exposure!$B$33:$C$53,2,FALSE)</f>
        <v>998671.87339566636</v>
      </c>
      <c r="Q59" s="44">
        <f>C58*VLOOKUP('Cum. payments'!BP59,Exposure!$B$33:$C$53,2,FALSE)/VLOOKUP('Cum. payments'!BA59,Exposure!$B$33:$C$53,2,FALSE)</f>
        <v>1430171.7121363117</v>
      </c>
      <c r="R59" s="44">
        <f>D58*VLOOKUP('Cum. payments'!BQ59,Exposure!$B$33:$C$53,2,FALSE)/VLOOKUP('Cum. payments'!BB59,Exposure!$B$33:$C$53,2,FALSE)</f>
        <v>692866.90653694118</v>
      </c>
      <c r="S59" s="44">
        <f>E58*VLOOKUP('Cum. payments'!BR59,Exposure!$B$33:$C$53,2,FALSE)/VLOOKUP('Cum. payments'!BC59,Exposure!$B$33:$C$53,2,FALSE)</f>
        <v>694624.47510241659</v>
      </c>
      <c r="T59" s="44">
        <f>F58*VLOOKUP('Cum. payments'!BS59,Exposure!$B$33:$C$53,2,FALSE)/VLOOKUP('Cum. payments'!BD59,Exposure!$B$33:$C$53,2,FALSE)</f>
        <v>709596.61897857382</v>
      </c>
      <c r="U59" s="44">
        <f>G58*VLOOKUP('Cum. payments'!BT59,Exposure!$B$33:$C$53,2,FALSE)/VLOOKUP('Cum. payments'!BE59,Exposure!$B$33:$C$53,2,FALSE)</f>
        <v>686034.66503881232</v>
      </c>
    </row>
    <row r="60" spans="1:22" x14ac:dyDescent="0.3">
      <c r="A60" s="12">
        <v>44177</v>
      </c>
      <c r="B60" s="13">
        <v>133260.79061624978</v>
      </c>
      <c r="C60" s="13">
        <v>285203.53503366938</v>
      </c>
      <c r="D60" s="13">
        <v>194747.36449787091</v>
      </c>
      <c r="E60" s="13">
        <v>178477.69899194723</v>
      </c>
      <c r="F60" s="13">
        <v>143391.43830149111</v>
      </c>
      <c r="G60" s="13">
        <v>75321.932954300253</v>
      </c>
      <c r="O60">
        <f t="shared" si="0"/>
        <v>2020</v>
      </c>
      <c r="P60" s="44">
        <f>B59*VLOOKUP('Cum. payments'!BO60,Exposure!$B$33:$C$53,2,FALSE)/VLOOKUP('Cum. payments'!AZ60,Exposure!$B$33:$C$53,2,FALSE)</f>
        <v>1563441.9079594628</v>
      </c>
      <c r="Q60" s="44">
        <f>C59*VLOOKUP('Cum. payments'!BP60,Exposure!$B$33:$C$53,2,FALSE)/VLOOKUP('Cum. payments'!BA60,Exposure!$B$33:$C$53,2,FALSE)</f>
        <v>1654932.2353742984</v>
      </c>
      <c r="R60" s="44">
        <f>D59*VLOOKUP('Cum. payments'!BQ60,Exposure!$B$33:$C$53,2,FALSE)/VLOOKUP('Cum. payments'!BB60,Exposure!$B$33:$C$53,2,FALSE)</f>
        <v>963633.96266737208</v>
      </c>
      <c r="S60" s="44">
        <f>E59*VLOOKUP('Cum. payments'!BR60,Exposure!$B$33:$C$53,2,FALSE)/VLOOKUP('Cum. payments'!BC60,Exposure!$B$33:$C$53,2,FALSE)</f>
        <v>115133.03853927944</v>
      </c>
      <c r="T60" s="44">
        <f>F59*VLOOKUP('Cum. payments'!BS60,Exposure!$B$33:$C$53,2,FALSE)/VLOOKUP('Cum. payments'!BD60,Exposure!$B$33:$C$53,2,FALSE)</f>
        <v>42713.370322250899</v>
      </c>
      <c r="U60" s="44">
        <f>G59*VLOOKUP('Cum. payments'!BT60,Exposure!$B$33:$C$53,2,FALSE)/VLOOKUP('Cum. payments'!BE60,Exposure!$B$33:$C$53,2,FALSE)</f>
        <v>16447.120320953691</v>
      </c>
    </row>
    <row r="61" spans="1:22" x14ac:dyDescent="0.3">
      <c r="A61" s="12">
        <v>44301</v>
      </c>
      <c r="B61" s="13">
        <v>3888627.9987891805</v>
      </c>
      <c r="C61" s="13">
        <v>1583453.9825560409</v>
      </c>
      <c r="D61" s="13">
        <v>1952239.7935299925</v>
      </c>
      <c r="E61" s="13">
        <v>303384.05482730822</v>
      </c>
      <c r="F61" s="13">
        <v>293781.84684109426</v>
      </c>
      <c r="O61">
        <f t="shared" si="0"/>
        <v>2020</v>
      </c>
      <c r="P61" s="44">
        <f>B60*VLOOKUP('Cum. payments'!BO61,Exposure!$B$33:$C$53,2,FALSE)/VLOOKUP('Cum. payments'!AZ61,Exposure!$B$33:$C$53,2,FALSE)</f>
        <v>189478.125336278</v>
      </c>
      <c r="Q61" s="44">
        <f>C60*VLOOKUP('Cum. payments'!BP61,Exposure!$B$33:$C$53,2,FALSE)/VLOOKUP('Cum. payments'!BA61,Exposure!$B$33:$C$53,2,FALSE)</f>
        <v>403019.14361214591</v>
      </c>
      <c r="R61" s="44">
        <f>D60*VLOOKUP('Cum. payments'!BQ61,Exposure!$B$33:$C$53,2,FALSE)/VLOOKUP('Cum. payments'!BB61,Exposure!$B$33:$C$53,2,FALSE)</f>
        <v>255923.073267197</v>
      </c>
      <c r="S61" s="44">
        <f>E60*VLOOKUP('Cum. payments'!BR61,Exposure!$B$33:$C$53,2,FALSE)/VLOOKUP('Cum. payments'!BC61,Exposure!$B$33:$C$53,2,FALSE)</f>
        <v>229403.42235120089</v>
      </c>
      <c r="T61" s="44">
        <f>F60*VLOOKUP('Cum. payments'!BS61,Exposure!$B$33:$C$53,2,FALSE)/VLOOKUP('Cum. payments'!BD61,Exposure!$B$33:$C$53,2,FALSE)</f>
        <v>181938.51260490791</v>
      </c>
      <c r="U61" s="44">
        <f>G60*VLOOKUP('Cum. payments'!BT61,Exposure!$B$33:$C$53,2,FALSE)/VLOOKUP('Cum. payments'!BE61,Exposure!$B$33:$C$53,2,FALSE)</f>
        <v>94953.558520649094</v>
      </c>
    </row>
    <row r="62" spans="1:22" x14ac:dyDescent="0.3">
      <c r="A62" s="12">
        <v>44329</v>
      </c>
      <c r="B62" s="13">
        <v>1979494.1964999856</v>
      </c>
      <c r="C62" s="13">
        <v>739141.01109333744</v>
      </c>
      <c r="D62" s="13">
        <v>1155304.2105787692</v>
      </c>
      <c r="E62" s="13">
        <v>55781.210318978112</v>
      </c>
      <c r="F62" s="13">
        <v>20282.672705277426</v>
      </c>
      <c r="O62">
        <f t="shared" si="0"/>
        <v>2021</v>
      </c>
      <c r="P62" s="44">
        <f>B61*VLOOKUP('Cum. payments'!BO62,Exposure!$B$33:$C$53,2,FALSE)/VLOOKUP('Cum. payments'!AZ62,Exposure!$B$33:$C$53,2,FALSE)</f>
        <v>5319451.4435675787</v>
      </c>
      <c r="Q62" s="44">
        <f>C61*VLOOKUP('Cum. payments'!BP62,Exposure!$B$33:$C$53,2,FALSE)/VLOOKUP('Cum. payments'!BA62,Exposure!$B$33:$C$53,2,FALSE)</f>
        <v>2014387.3171696824</v>
      </c>
      <c r="R62" s="44">
        <f>D61*VLOOKUP('Cum. payments'!BQ62,Exposure!$B$33:$C$53,2,FALSE)/VLOOKUP('Cum. payments'!BB62,Exposure!$B$33:$C$53,2,FALSE)</f>
        <v>2429118.9044752321</v>
      </c>
      <c r="S62" s="44">
        <f>E61*VLOOKUP('Cum. payments'!BR62,Exposure!$B$33:$C$53,2,FALSE)/VLOOKUP('Cum. payments'!BC62,Exposure!$B$33:$C$53,2,FALSE)</f>
        <v>372643.75626713107</v>
      </c>
      <c r="T62" s="44">
        <f>F61*VLOOKUP('Cum. payments'!BS62,Exposure!$B$33:$C$53,2,FALSE)/VLOOKUP('Cum. payments'!BD62,Exposure!$B$33:$C$53,2,FALSE)</f>
        <v>358520.85522879363</v>
      </c>
    </row>
    <row r="63" spans="1:22" x14ac:dyDescent="0.3">
      <c r="A63" s="12">
        <v>44339</v>
      </c>
      <c r="B63" s="13">
        <v>1686121.9753092253</v>
      </c>
      <c r="C63" s="13">
        <v>1594946.6807905936</v>
      </c>
      <c r="D63" s="13">
        <v>632902.4847649408</v>
      </c>
      <c r="E63" s="13">
        <v>217255.81099056947</v>
      </c>
      <c r="F63" s="13">
        <v>63598.571643616313</v>
      </c>
      <c r="O63">
        <f t="shared" si="0"/>
        <v>2021</v>
      </c>
      <c r="P63" s="44">
        <f>B62*VLOOKUP('Cum. payments'!BO63,Exposure!$B$33:$C$53,2,FALSE)/VLOOKUP('Cum. payments'!AZ63,Exposure!$B$33:$C$53,2,FALSE)</f>
        <v>2707850.4974978869</v>
      </c>
      <c r="Q63" s="44">
        <f>C62*VLOOKUP('Cum. payments'!BP63,Exposure!$B$33:$C$53,2,FALSE)/VLOOKUP('Cum. payments'!BA63,Exposure!$B$33:$C$53,2,FALSE)</f>
        <v>940296.525664079</v>
      </c>
      <c r="R63" s="44">
        <f>D62*VLOOKUP('Cum. payments'!BQ63,Exposure!$B$33:$C$53,2,FALSE)/VLOOKUP('Cum. payments'!BB63,Exposure!$B$33:$C$53,2,FALSE)</f>
        <v>1437513.6228845692</v>
      </c>
      <c r="S63" s="44">
        <f>E62*VLOOKUP('Cum. payments'!BR63,Exposure!$B$33:$C$53,2,FALSE)/VLOOKUP('Cum. payments'!BC63,Exposure!$B$33:$C$53,2,FALSE)</f>
        <v>68515.531425087334</v>
      </c>
      <c r="T63" s="44">
        <f>F62*VLOOKUP('Cum. payments'!BS63,Exposure!$B$33:$C$53,2,FALSE)/VLOOKUP('Cum. payments'!BD63,Exposure!$B$33:$C$53,2,FALSE)</f>
        <v>24752.248114755188</v>
      </c>
    </row>
    <row r="64" spans="1:22" x14ac:dyDescent="0.3">
      <c r="A64" s="12">
        <v>44367</v>
      </c>
      <c r="B64" s="13">
        <v>344242.84649759548</v>
      </c>
      <c r="C64" s="13">
        <v>397329.92398233182</v>
      </c>
      <c r="D64" s="13">
        <v>399990.16214792355</v>
      </c>
      <c r="E64" s="13">
        <v>113801.711726789</v>
      </c>
      <c r="F64" s="13">
        <v>19409.082033175466</v>
      </c>
      <c r="O64">
        <f t="shared" si="0"/>
        <v>2021</v>
      </c>
      <c r="P64" s="44">
        <f>B63*VLOOKUP('Cum. payments'!BO64,Exposure!$B$33:$C$53,2,FALSE)/VLOOKUP('Cum. payments'!AZ64,Exposure!$B$33:$C$53,2,FALSE)</f>
        <v>2306531.7583431662</v>
      </c>
      <c r="Q64" s="44">
        <f>C63*VLOOKUP('Cum. payments'!BP64,Exposure!$B$33:$C$53,2,FALSE)/VLOOKUP('Cum. payments'!BA64,Exposure!$B$33:$C$53,2,FALSE)</f>
        <v>2029007.7266156022</v>
      </c>
      <c r="R64" s="44">
        <f>D63*VLOOKUP('Cum. payments'!BQ64,Exposure!$B$33:$C$53,2,FALSE)/VLOOKUP('Cum. payments'!BB64,Exposure!$B$33:$C$53,2,FALSE)</f>
        <v>787503.35667115171</v>
      </c>
      <c r="S64" s="44">
        <f>E63*VLOOKUP('Cum. payments'!BR64,Exposure!$B$33:$C$53,2,FALSE)/VLOOKUP('Cum. payments'!BC64,Exposure!$B$33:$C$53,2,FALSE)</f>
        <v>266853.25148175977</v>
      </c>
      <c r="T64" s="44">
        <f>F63*VLOOKUP('Cum. payments'!BS64,Exposure!$B$33:$C$53,2,FALSE)/VLOOKUP('Cum. payments'!BD64,Exposure!$B$33:$C$53,2,FALSE)</f>
        <v>77613.421462804836</v>
      </c>
    </row>
    <row r="65" spans="1:20" x14ac:dyDescent="0.3">
      <c r="A65" s="12">
        <v>44406</v>
      </c>
      <c r="B65" s="13">
        <v>1445704.9999291529</v>
      </c>
      <c r="C65" s="13">
        <v>2222386.2492314475</v>
      </c>
      <c r="D65" s="13">
        <v>387925.04056187946</v>
      </c>
      <c r="E65" s="13">
        <v>240561.73845477961</v>
      </c>
      <c r="F65" s="13">
        <v>13372.920446969258</v>
      </c>
      <c r="O65">
        <f t="shared" si="0"/>
        <v>2021</v>
      </c>
      <c r="P65" s="44">
        <f>B64*VLOOKUP('Cum. payments'!BO65,Exposure!$B$33:$C$53,2,FALSE)/VLOOKUP('Cum. payments'!AZ65,Exposure!$B$33:$C$53,2,FALSE)</f>
        <v>470907.247314382</v>
      </c>
      <c r="Q65" s="44">
        <f>C64*VLOOKUP('Cum. payments'!BP65,Exposure!$B$33:$C$53,2,FALSE)/VLOOKUP('Cum. payments'!BA65,Exposure!$B$33:$C$53,2,FALSE)</f>
        <v>505462.34271362965</v>
      </c>
      <c r="R65" s="44">
        <f>D64*VLOOKUP('Cum. payments'!BQ65,Exposure!$B$33:$C$53,2,FALSE)/VLOOKUP('Cum. payments'!BB65,Exposure!$B$33:$C$53,2,FALSE)</f>
        <v>497696.88523804146</v>
      </c>
      <c r="S65" s="44">
        <f>E64*VLOOKUP('Cum. payments'!BR65,Exposure!$B$33:$C$53,2,FALSE)/VLOOKUP('Cum. payments'!BC65,Exposure!$B$33:$C$53,2,FALSE)</f>
        <v>139781.56284989664</v>
      </c>
      <c r="T65" s="44">
        <f>F64*VLOOKUP('Cum. payments'!BS65,Exposure!$B$33:$C$53,2,FALSE)/VLOOKUP('Cum. payments'!BD65,Exposure!$B$33:$C$53,2,FALSE)</f>
        <v>23686.149313043657</v>
      </c>
    </row>
    <row r="66" spans="1:20" x14ac:dyDescent="0.3">
      <c r="A66" s="12">
        <v>44410</v>
      </c>
      <c r="B66" s="13">
        <v>7149.2531640607003</v>
      </c>
      <c r="C66" s="13">
        <v>95338.96246002923</v>
      </c>
      <c r="D66" s="13">
        <v>54391.555378085883</v>
      </c>
      <c r="E66" s="13">
        <v>6970.250747366933</v>
      </c>
      <c r="F66" s="13">
        <v>5345.4302902113641</v>
      </c>
      <c r="O66">
        <f t="shared" si="0"/>
        <v>2021</v>
      </c>
      <c r="P66" s="44">
        <f>B65*VLOOKUP('Cum. payments'!BO66,Exposure!$B$33:$C$53,2,FALSE)/VLOOKUP('Cum. payments'!AZ66,Exposure!$B$33:$C$53,2,FALSE)</f>
        <v>1977653.1854527048</v>
      </c>
      <c r="Q66" s="44">
        <f>C65*VLOOKUP('Cum. payments'!BP66,Exposure!$B$33:$C$53,2,FALSE)/VLOOKUP('Cum. payments'!BA66,Exposure!$B$33:$C$53,2,FALSE)</f>
        <v>2827203.5206717411</v>
      </c>
      <c r="R66" s="44">
        <f>D65*VLOOKUP('Cum. payments'!BQ66,Exposure!$B$33:$C$53,2,FALSE)/VLOOKUP('Cum. payments'!BB66,Exposure!$B$33:$C$53,2,FALSE)</f>
        <v>482684.58243252465</v>
      </c>
      <c r="S66" s="44">
        <f>E65*VLOOKUP('Cum. payments'!BR66,Exposure!$B$33:$C$53,2,FALSE)/VLOOKUP('Cum. payments'!BC66,Exposure!$B$33:$C$53,2,FALSE)</f>
        <v>295479.70107712859</v>
      </c>
      <c r="T66" s="44">
        <f>F65*VLOOKUP('Cum. payments'!BS66,Exposure!$B$33:$C$53,2,FALSE)/VLOOKUP('Cum. payments'!BD66,Exposure!$B$33:$C$53,2,FALSE)</f>
        <v>16319.833669462074</v>
      </c>
    </row>
    <row r="67" spans="1:20" x14ac:dyDescent="0.3">
      <c r="A67" s="12">
        <v>44411</v>
      </c>
      <c r="B67" s="13">
        <v>1319062.7521324845</v>
      </c>
      <c r="C67" s="13">
        <v>698068.99565993086</v>
      </c>
      <c r="D67" s="13">
        <v>536257.7915495066</v>
      </c>
      <c r="E67" s="13">
        <v>178678.74064976448</v>
      </c>
      <c r="F67" s="13">
        <v>194429.6749129243</v>
      </c>
      <c r="O67">
        <f t="shared" ref="O67:O105" si="1">YEAR($A66)</f>
        <v>2021</v>
      </c>
      <c r="P67" s="44">
        <f>B66*VLOOKUP('Cum. payments'!BO67,Exposure!$B$33:$C$53,2,FALSE)/VLOOKUP('Cum. payments'!AZ67,Exposure!$B$33:$C$53,2,FALSE)</f>
        <v>9779.8259632534609</v>
      </c>
      <c r="Q67" s="44">
        <f>C66*VLOOKUP('Cum. payments'!BP67,Exposure!$B$33:$C$53,2,FALSE)/VLOOKUP('Cum. payments'!BA67,Exposure!$B$33:$C$53,2,FALSE)</f>
        <v>121285.24032102867</v>
      </c>
      <c r="R67" s="44">
        <f>D66*VLOOKUP('Cum. payments'!BQ67,Exposure!$B$33:$C$53,2,FALSE)/VLOOKUP('Cum. payments'!BB67,Exposure!$B$33:$C$53,2,FALSE)</f>
        <v>67677.933751067176</v>
      </c>
      <c r="S67" s="44">
        <f>E66*VLOOKUP('Cum. payments'!BR67,Exposure!$B$33:$C$53,2,FALSE)/VLOOKUP('Cum. payments'!BC67,Exposure!$B$33:$C$53,2,FALSE)</f>
        <v>8561.4928645511427</v>
      </c>
      <c r="T67" s="44">
        <f>F66*VLOOKUP('Cum. payments'!BS67,Exposure!$B$33:$C$53,2,FALSE)/VLOOKUP('Cum. payments'!BD67,Exposure!$B$33:$C$53,2,FALSE)</f>
        <v>6523.3718822969959</v>
      </c>
    </row>
    <row r="68" spans="1:20" x14ac:dyDescent="0.3">
      <c r="A68" s="12">
        <v>44478</v>
      </c>
      <c r="B68" s="13">
        <v>2989406.7191710668</v>
      </c>
      <c r="C68" s="13">
        <v>1730848.4354454794</v>
      </c>
      <c r="D68" s="13">
        <v>1102908.3996079867</v>
      </c>
      <c r="E68" s="13">
        <v>917181.10770017328</v>
      </c>
      <c r="F68" s="13">
        <v>36906.619416922011</v>
      </c>
      <c r="O68">
        <f t="shared" si="1"/>
        <v>2021</v>
      </c>
      <c r="P68" s="44">
        <f>B67*VLOOKUP('Cum. payments'!BO68,Exposure!$B$33:$C$53,2,FALSE)/VLOOKUP('Cum. payments'!AZ68,Exposure!$B$33:$C$53,2,FALSE)</f>
        <v>1804412.8322822822</v>
      </c>
      <c r="Q68" s="44">
        <f>C67*VLOOKUP('Cum. payments'!BP68,Exposure!$B$33:$C$53,2,FALSE)/VLOOKUP('Cum. payments'!BA68,Exposure!$B$33:$C$53,2,FALSE)</f>
        <v>888046.85633924056</v>
      </c>
      <c r="R68" s="44">
        <f>D67*VLOOKUP('Cum. payments'!BQ68,Exposure!$B$33:$C$53,2,FALSE)/VLOOKUP('Cum. payments'!BB68,Exposure!$B$33:$C$53,2,FALSE)</f>
        <v>667250.99213844724</v>
      </c>
      <c r="S68" s="44">
        <f>E67*VLOOKUP('Cum. payments'!BR68,Exposure!$B$33:$C$53,2,FALSE)/VLOOKUP('Cum. payments'!BC68,Exposure!$B$33:$C$53,2,FALSE)</f>
        <v>219469.40197206254</v>
      </c>
      <c r="T68" s="44">
        <f>F67*VLOOKUP('Cum. payments'!BS68,Exposure!$B$33:$C$53,2,FALSE)/VLOOKUP('Cum. payments'!BD68,Exposure!$B$33:$C$53,2,FALSE)</f>
        <v>237275.01913806915</v>
      </c>
    </row>
    <row r="69" spans="1:20" x14ac:dyDescent="0.3">
      <c r="A69" s="12">
        <v>44481</v>
      </c>
      <c r="B69" s="13">
        <v>222806.42443594101</v>
      </c>
      <c r="C69" s="13">
        <v>1199832.4162100167</v>
      </c>
      <c r="D69" s="13">
        <v>904288.72831624036</v>
      </c>
      <c r="E69" s="13">
        <v>17138.297368457341</v>
      </c>
      <c r="F69" s="13">
        <v>822.58128890458693</v>
      </c>
      <c r="O69">
        <f t="shared" si="1"/>
        <v>2021</v>
      </c>
      <c r="P69" s="44">
        <f>B68*VLOOKUP('Cum. payments'!BO69,Exposure!$B$33:$C$53,2,FALSE)/VLOOKUP('Cum. payments'!AZ69,Exposure!$B$33:$C$53,2,FALSE)</f>
        <v>4089361.0529617718</v>
      </c>
      <c r="Q69" s="44">
        <f>C68*VLOOKUP('Cum. payments'!BP69,Exposure!$B$33:$C$53,2,FALSE)/VLOOKUP('Cum. payments'!BA69,Exposure!$B$33:$C$53,2,FALSE)</f>
        <v>2201894.8290977352</v>
      </c>
      <c r="R69" s="44">
        <f>D68*VLOOKUP('Cum. payments'!BQ69,Exposure!$B$33:$C$53,2,FALSE)/VLOOKUP('Cum. payments'!BB69,Exposure!$B$33:$C$53,2,FALSE)</f>
        <v>1372318.9396462452</v>
      </c>
      <c r="S69" s="44">
        <f>E68*VLOOKUP('Cum. payments'!BR69,Exposure!$B$33:$C$53,2,FALSE)/VLOOKUP('Cum. payments'!BC69,Exposure!$B$33:$C$53,2,FALSE)</f>
        <v>1126564.8530710989</v>
      </c>
      <c r="T69" s="44">
        <f>F68*VLOOKUP('Cum. payments'!BS69,Exposure!$B$33:$C$53,2,FALSE)/VLOOKUP('Cum. payments'!BD69,Exposure!$B$33:$C$53,2,FALSE)</f>
        <v>45039.517925406464</v>
      </c>
    </row>
    <row r="70" spans="1:20" x14ac:dyDescent="0.3">
      <c r="A70" s="12">
        <v>44512</v>
      </c>
      <c r="B70" s="13">
        <v>1195417.380314009</v>
      </c>
      <c r="C70" s="13">
        <v>1872362.7762563322</v>
      </c>
      <c r="D70" s="13">
        <v>711605.3485296095</v>
      </c>
      <c r="E70" s="13">
        <v>215080.77135919445</v>
      </c>
      <c r="F70" s="13">
        <v>90751.668056230134</v>
      </c>
      <c r="O70">
        <f t="shared" si="1"/>
        <v>2021</v>
      </c>
      <c r="P70" s="44">
        <f>B69*VLOOKUP('Cum. payments'!BO70,Exposure!$B$33:$C$53,2,FALSE)/VLOOKUP('Cum. payments'!AZ70,Exposure!$B$33:$C$53,2,FALSE)</f>
        <v>304788.20716996858</v>
      </c>
      <c r="Q70" s="44">
        <f>C69*VLOOKUP('Cum. payments'!BP70,Exposure!$B$33:$C$53,2,FALSE)/VLOOKUP('Cum. payments'!BA70,Exposure!$B$33:$C$53,2,FALSE)</f>
        <v>1526364.0298792038</v>
      </c>
      <c r="R70" s="44">
        <f>D69*VLOOKUP('Cum. payments'!BQ70,Exposure!$B$33:$C$53,2,FALSE)/VLOOKUP('Cum. payments'!BB70,Exposure!$B$33:$C$53,2,FALSE)</f>
        <v>1125181.8820294421</v>
      </c>
      <c r="S70" s="44">
        <f>E69*VLOOKUP('Cum. payments'!BR70,Exposure!$B$33:$C$53,2,FALSE)/VLOOKUP('Cum. payments'!BC70,Exposure!$B$33:$C$53,2,FALSE)</f>
        <v>21050.80806254084</v>
      </c>
      <c r="T70" s="44">
        <f>F69*VLOOKUP('Cum. payments'!BS70,Exposure!$B$33:$C$53,2,FALSE)/VLOOKUP('Cum. payments'!BD70,Exposure!$B$33:$C$53,2,FALSE)</f>
        <v>1003.8487754241439</v>
      </c>
    </row>
    <row r="71" spans="1:20" x14ac:dyDescent="0.3">
      <c r="A71" s="12">
        <v>44566</v>
      </c>
      <c r="B71" s="13">
        <v>8998892.4575238004</v>
      </c>
      <c r="C71" s="13">
        <v>5485184.7395035038</v>
      </c>
      <c r="D71" s="13">
        <v>6014551.9714575363</v>
      </c>
      <c r="E71" s="13">
        <v>1991450.7676461274</v>
      </c>
      <c r="O71">
        <f t="shared" si="1"/>
        <v>2021</v>
      </c>
      <c r="P71" s="44">
        <f>B70*VLOOKUP('Cum. payments'!BO71,Exposure!$B$33:$C$53,2,FALSE)/VLOOKUP('Cum. payments'!AZ71,Exposure!$B$33:$C$53,2,FALSE)</f>
        <v>1635272.0577430262</v>
      </c>
      <c r="Q71" s="44">
        <f>C70*VLOOKUP('Cum. payments'!BP71,Exposure!$B$33:$C$53,2,FALSE)/VLOOKUP('Cum. payments'!BA71,Exposure!$B$33:$C$53,2,FALSE)</f>
        <v>2381921.9700613474</v>
      </c>
      <c r="R71" s="44">
        <f>D70*VLOOKUP('Cum. payments'!BQ71,Exposure!$B$33:$C$53,2,FALSE)/VLOOKUP('Cum. payments'!BB71,Exposure!$B$33:$C$53,2,FALSE)</f>
        <v>885431.19055748533</v>
      </c>
      <c r="S71" s="44">
        <f>E70*VLOOKUP('Cum. payments'!BR71,Exposure!$B$33:$C$53,2,FALSE)/VLOOKUP('Cum. payments'!BC71,Exposure!$B$33:$C$53,2,FALSE)</f>
        <v>264181.67093766417</v>
      </c>
      <c r="T71" s="44">
        <f>F70*VLOOKUP('Cum. payments'!BS71,Exposure!$B$33:$C$53,2,FALSE)/VLOOKUP('Cum. payments'!BD71,Exposure!$B$33:$C$53,2,FALSE)</f>
        <v>110750.08886630781</v>
      </c>
    </row>
    <row r="72" spans="1:20" x14ac:dyDescent="0.3">
      <c r="A72" s="12">
        <v>44575</v>
      </c>
      <c r="B72" s="13">
        <v>226541.27220138701</v>
      </c>
      <c r="C72" s="13">
        <v>1425667.1894479485</v>
      </c>
      <c r="D72" s="13">
        <v>1399969.3128806485</v>
      </c>
      <c r="E72" s="13">
        <v>1345662.0404769101</v>
      </c>
      <c r="O72">
        <f t="shared" si="1"/>
        <v>2022</v>
      </c>
      <c r="P72" s="44">
        <f>B71*VLOOKUP('Cum. payments'!BO72,Exposure!$B$33:$C$53,2,FALSE)/VLOOKUP('Cum. payments'!AZ72,Exposure!$B$33:$C$53,2,FALSE)</f>
        <v>11082207.3586402</v>
      </c>
      <c r="Q72" s="44">
        <f>C71*VLOOKUP('Cum. payments'!BP72,Exposure!$B$33:$C$53,2,FALSE)/VLOOKUP('Cum. payments'!BA72,Exposure!$B$33:$C$53,2,FALSE)</f>
        <v>6607034.1331035942</v>
      </c>
      <c r="R72" s="44">
        <f>D71*VLOOKUP('Cum. payments'!BQ72,Exposure!$B$33:$C$53,2,FALSE)/VLOOKUP('Cum. payments'!BB72,Exposure!$B$33:$C$53,2,FALSE)</f>
        <v>7151613.8674201416</v>
      </c>
      <c r="S72" s="44">
        <f>E71*VLOOKUP('Cum. payments'!BR72,Exposure!$B$33:$C$53,2,FALSE)/VLOOKUP('Cum. payments'!BC72,Exposure!$B$33:$C$53,2,FALSE)</f>
        <v>2352657.5687760836</v>
      </c>
    </row>
    <row r="73" spans="1:20" x14ac:dyDescent="0.3">
      <c r="A73" s="12">
        <v>44612</v>
      </c>
      <c r="B73" s="13">
        <v>2241234.1277995217</v>
      </c>
      <c r="C73" s="13">
        <v>1441466.1684863584</v>
      </c>
      <c r="D73" s="13">
        <v>986909.34887004329</v>
      </c>
      <c r="E73" s="13">
        <v>676073.80161984521</v>
      </c>
      <c r="O73">
        <f t="shared" si="1"/>
        <v>2022</v>
      </c>
      <c r="P73" s="44">
        <f>B72*VLOOKUP('Cum. payments'!BO73,Exposure!$B$33:$C$53,2,FALSE)/VLOOKUP('Cum. payments'!AZ73,Exposure!$B$33:$C$53,2,FALSE)</f>
        <v>278987.37157669646</v>
      </c>
      <c r="Q73" s="44">
        <f>C72*VLOOKUP('Cum. payments'!BP73,Exposure!$B$33:$C$53,2,FALSE)/VLOOKUP('Cum. payments'!BA73,Exposure!$B$33:$C$53,2,FALSE)</f>
        <v>1717249.6881082389</v>
      </c>
      <c r="R73" s="44">
        <f>D72*VLOOKUP('Cum. payments'!BQ73,Exposure!$B$33:$C$53,2,FALSE)/VLOOKUP('Cum. payments'!BB73,Exposure!$B$33:$C$53,2,FALSE)</f>
        <v>1664636.0359795222</v>
      </c>
      <c r="S73" s="44">
        <f>E72*VLOOKUP('Cum. payments'!BR73,Exposure!$B$33:$C$53,2,FALSE)/VLOOKUP('Cum. payments'!BC73,Exposure!$B$33:$C$53,2,FALSE)</f>
        <v>1589736.5056554768</v>
      </c>
    </row>
    <row r="74" spans="1:20" x14ac:dyDescent="0.3">
      <c r="A74" s="12">
        <v>44631</v>
      </c>
      <c r="B74" s="13">
        <v>3312197.4016072243</v>
      </c>
      <c r="C74" s="13">
        <v>3885187.3707940541</v>
      </c>
      <c r="D74" s="13">
        <v>4018028.7116329158</v>
      </c>
      <c r="E74" s="13">
        <v>161322.80537879537</v>
      </c>
      <c r="O74">
        <f t="shared" si="1"/>
        <v>2022</v>
      </c>
      <c r="P74" s="44">
        <f>B73*VLOOKUP('Cum. payments'!BO74,Exposure!$B$33:$C$53,2,FALSE)/VLOOKUP('Cum. payments'!AZ74,Exposure!$B$33:$C$53,2,FALSE)</f>
        <v>2760097.5854277476</v>
      </c>
      <c r="Q74" s="44">
        <f>C73*VLOOKUP('Cum. payments'!BP74,Exposure!$B$33:$C$53,2,FALSE)/VLOOKUP('Cum. payments'!BA74,Exposure!$B$33:$C$53,2,FALSE)</f>
        <v>1736279.930248162</v>
      </c>
      <c r="R74" s="44">
        <f>D73*VLOOKUP('Cum. payments'!BQ74,Exposure!$B$33:$C$53,2,FALSE)/VLOOKUP('Cum. payments'!BB74,Exposure!$B$33:$C$53,2,FALSE)</f>
        <v>1173486.3409211154</v>
      </c>
      <c r="S74" s="44">
        <f>E73*VLOOKUP('Cum. payments'!BR74,Exposure!$B$33:$C$53,2,FALSE)/VLOOKUP('Cum. payments'!BC74,Exposure!$B$33:$C$53,2,FALSE)</f>
        <v>798699.20576152916</v>
      </c>
    </row>
    <row r="75" spans="1:20" x14ac:dyDescent="0.3">
      <c r="A75" s="12">
        <v>44887</v>
      </c>
      <c r="B75" s="13">
        <v>1704327.8535497603</v>
      </c>
      <c r="C75" s="13">
        <v>886358.64474926249</v>
      </c>
      <c r="D75" s="13">
        <v>1045445.8565401959</v>
      </c>
      <c r="E75" s="13">
        <v>705151.51167987986</v>
      </c>
      <c r="O75">
        <f t="shared" si="1"/>
        <v>2022</v>
      </c>
      <c r="P75" s="44">
        <f>B74*VLOOKUP('Cum. payments'!BO75,Exposure!$B$33:$C$53,2,FALSE)/VLOOKUP('Cum. payments'!AZ75,Exposure!$B$33:$C$53,2,FALSE)</f>
        <v>4078997.3422419298</v>
      </c>
      <c r="Q75" s="44">
        <f>C74*VLOOKUP('Cum. payments'!BP75,Exposure!$B$33:$C$53,2,FALSE)/VLOOKUP('Cum. payments'!BA75,Exposure!$B$33:$C$53,2,FALSE)</f>
        <v>4679799.6405610265</v>
      </c>
      <c r="R75" s="44">
        <f>D74*VLOOKUP('Cum. payments'!BQ75,Exposure!$B$33:$C$53,2,FALSE)/VLOOKUP('Cum. payments'!BB75,Exposure!$B$33:$C$53,2,FALSE)</f>
        <v>4777644.2850892274</v>
      </c>
      <c r="S75" s="44">
        <f>E74*VLOOKUP('Cum. payments'!BR75,Exposure!$B$33:$C$53,2,FALSE)/VLOOKUP('Cum. payments'!BC75,Exposure!$B$33:$C$53,2,FALSE)</f>
        <v>190583.33013134086</v>
      </c>
    </row>
    <row r="76" spans="1:20" x14ac:dyDescent="0.3">
      <c r="A76" s="12">
        <v>44890</v>
      </c>
      <c r="B76" s="13">
        <v>4280542.5795353632</v>
      </c>
      <c r="C76" s="13">
        <v>3096958.5168264122</v>
      </c>
      <c r="D76" s="13">
        <v>4476868.7995325765</v>
      </c>
      <c r="E76" s="13">
        <v>4111043.3931449992</v>
      </c>
      <c r="O76">
        <f t="shared" si="1"/>
        <v>2022</v>
      </c>
      <c r="P76" s="44">
        <f>B75*VLOOKUP('Cum. payments'!BO76,Exposure!$B$33:$C$53,2,FALSE)/VLOOKUP('Cum. payments'!AZ76,Exposure!$B$33:$C$53,2,FALSE)</f>
        <v>2098893.2548419284</v>
      </c>
      <c r="Q76" s="44">
        <f>C75*VLOOKUP('Cum. payments'!BP76,Exposure!$B$33:$C$53,2,FALSE)/VLOOKUP('Cum. payments'!BA76,Exposure!$B$33:$C$53,2,FALSE)</f>
        <v>1067639.8513716969</v>
      </c>
      <c r="R76" s="44">
        <f>D75*VLOOKUP('Cum. payments'!BQ76,Exposure!$B$33:$C$53,2,FALSE)/VLOOKUP('Cum. payments'!BB76,Exposure!$B$33:$C$53,2,FALSE)</f>
        <v>1243089.2809224401</v>
      </c>
      <c r="S76" s="44">
        <f>E75*VLOOKUP('Cum. payments'!BR76,Exposure!$B$33:$C$53,2,FALSE)/VLOOKUP('Cum. payments'!BC76,Exposure!$B$33:$C$53,2,FALSE)</f>
        <v>833050.99379808537</v>
      </c>
    </row>
    <row r="77" spans="1:20" x14ac:dyDescent="0.3">
      <c r="A77" s="12">
        <v>44930</v>
      </c>
      <c r="B77" s="13">
        <v>1312390.9528154444</v>
      </c>
      <c r="C77" s="13">
        <v>792968.1725810545</v>
      </c>
      <c r="D77" s="13">
        <v>1477219.7590652464</v>
      </c>
      <c r="O77">
        <f t="shared" si="1"/>
        <v>2022</v>
      </c>
      <c r="P77" s="44">
        <f>B76*VLOOKUP('Cum. payments'!BO77,Exposure!$B$33:$C$53,2,FALSE)/VLOOKUP('Cum. payments'!AZ77,Exposure!$B$33:$C$53,2,FALSE)</f>
        <v>5271522.1009489475</v>
      </c>
      <c r="Q77" s="44">
        <f>C76*VLOOKUP('Cum. payments'!BP77,Exposure!$B$33:$C$53,2,FALSE)/VLOOKUP('Cum. payments'!BA77,Exposure!$B$33:$C$53,2,FALSE)</f>
        <v>3730359.4320380348</v>
      </c>
      <c r="R77" s="44">
        <f>D76*VLOOKUP('Cum. payments'!BQ77,Exposure!$B$33:$C$53,2,FALSE)/VLOOKUP('Cum. payments'!BB77,Exposure!$B$33:$C$53,2,FALSE)</f>
        <v>5323228.9190110592</v>
      </c>
      <c r="S77" s="44">
        <f>E76*VLOOKUP('Cum. payments'!BR77,Exposure!$B$33:$C$53,2,FALSE)/VLOOKUP('Cum. payments'!BC77,Exposure!$B$33:$C$53,2,FALSE)</f>
        <v>4856699.2022009902</v>
      </c>
    </row>
    <row r="78" spans="1:20" x14ac:dyDescent="0.3">
      <c r="A78" s="12">
        <v>44934</v>
      </c>
      <c r="B78" s="13">
        <v>1900972.7827015072</v>
      </c>
      <c r="C78" s="13">
        <v>449921.48464226001</v>
      </c>
      <c r="D78" s="13">
        <v>334817.95689820958</v>
      </c>
      <c r="O78">
        <f t="shared" si="1"/>
        <v>2023</v>
      </c>
      <c r="P78" s="44">
        <f>B77*VLOOKUP('Cum. payments'!BO78,Exposure!$B$33:$C$53,2,FALSE)/VLOOKUP('Cum. payments'!AZ78,Exposure!$B$33:$C$53,2,FALSE)</f>
        <v>1530305.7063928361</v>
      </c>
      <c r="Q78" s="44">
        <f>C77*VLOOKUP('Cum. payments'!BP78,Exposure!$B$33:$C$53,2,FALSE)/VLOOKUP('Cum. payments'!BA78,Exposure!$B$33:$C$53,2,FALSE)</f>
        <v>912759.18250696594</v>
      </c>
      <c r="R78" s="44">
        <f>D77*VLOOKUP('Cum. payments'!BQ78,Exposure!$B$33:$C$53,2,FALSE)/VLOOKUP('Cum. payments'!BB78,Exposure!$B$33:$C$53,2,FALSE)</f>
        <v>1689405.6103629046</v>
      </c>
    </row>
    <row r="79" spans="1:20" x14ac:dyDescent="0.3">
      <c r="A79" s="12">
        <v>44975</v>
      </c>
      <c r="B79" s="13">
        <v>183810.948169685</v>
      </c>
      <c r="C79" s="13">
        <v>694795.86312882742</v>
      </c>
      <c r="D79" s="13">
        <v>1014987.3825884665</v>
      </c>
      <c r="O79">
        <f t="shared" si="1"/>
        <v>2023</v>
      </c>
      <c r="P79" s="44">
        <f>B78*VLOOKUP('Cum. payments'!BO79,Exposure!$B$33:$C$53,2,FALSE)/VLOOKUP('Cum. payments'!AZ79,Exposure!$B$33:$C$53,2,FALSE)</f>
        <v>2216618.0670666923</v>
      </c>
      <c r="Q79" s="44">
        <f>C78*VLOOKUP('Cum. payments'!BP79,Exposure!$B$33:$C$53,2,FALSE)/VLOOKUP('Cum. payments'!BA79,Exposure!$B$33:$C$53,2,FALSE)</f>
        <v>517889.59596914012</v>
      </c>
      <c r="R79" s="44">
        <f>D78*VLOOKUP('Cum. payments'!BQ79,Exposure!$B$33:$C$53,2,FALSE)/VLOOKUP('Cum. payments'!BB79,Exposure!$B$33:$C$53,2,FALSE)</f>
        <v>382910.75607600022</v>
      </c>
    </row>
    <row r="80" spans="1:20" x14ac:dyDescent="0.3">
      <c r="A80" s="12">
        <v>45000</v>
      </c>
      <c r="B80" s="13">
        <v>2214424.7183190477</v>
      </c>
      <c r="C80" s="13">
        <v>1415703.4406380537</v>
      </c>
      <c r="D80" s="13">
        <v>1212661.313809728</v>
      </c>
      <c r="O80">
        <f t="shared" si="1"/>
        <v>2023</v>
      </c>
      <c r="P80" s="44">
        <f>B79*VLOOKUP('Cum. payments'!BO80,Exposure!$B$33:$C$53,2,FALSE)/VLOOKUP('Cum. payments'!AZ80,Exposure!$B$33:$C$53,2,FALSE)</f>
        <v>214331.66868310687</v>
      </c>
      <c r="Q80" s="44">
        <f>C79*VLOOKUP('Cum. payments'!BP80,Exposure!$B$33:$C$53,2,FALSE)/VLOOKUP('Cum. payments'!BA80,Exposure!$B$33:$C$53,2,FALSE)</f>
        <v>799756.31553341623</v>
      </c>
      <c r="R80" s="44">
        <f>D79*VLOOKUP('Cum. payments'!BQ80,Exposure!$B$33:$C$53,2,FALSE)/VLOOKUP('Cum. payments'!BB80,Exposure!$B$33:$C$53,2,FALSE)</f>
        <v>1160778.7995454089</v>
      </c>
    </row>
    <row r="81" spans="1:18" x14ac:dyDescent="0.3">
      <c r="A81" s="12">
        <v>45017</v>
      </c>
      <c r="B81" s="13">
        <v>836928.55663393228</v>
      </c>
      <c r="C81" s="13">
        <v>386619.12572507595</v>
      </c>
      <c r="D81" s="13">
        <v>452734.98242345004</v>
      </c>
      <c r="O81">
        <f t="shared" si="1"/>
        <v>2023</v>
      </c>
      <c r="P81" s="44">
        <f>B80*VLOOKUP('Cum. payments'!BO81,Exposure!$B$33:$C$53,2,FALSE)/VLOOKUP('Cum. payments'!AZ81,Exposure!$B$33:$C$53,2,FALSE)</f>
        <v>2582116.8422040557</v>
      </c>
      <c r="Q81" s="44">
        <f>C80*VLOOKUP('Cum. payments'!BP81,Exposure!$B$33:$C$53,2,FALSE)/VLOOKUP('Cum. payments'!BA81,Exposure!$B$33:$C$53,2,FALSE)</f>
        <v>1629568.9534966866</v>
      </c>
      <c r="R81" s="44">
        <f>D80*VLOOKUP('Cum. payments'!BQ81,Exposure!$B$33:$C$53,2,FALSE)/VLOOKUP('Cum. payments'!BB81,Exposure!$B$33:$C$53,2,FALSE)</f>
        <v>1386846.3473008003</v>
      </c>
    </row>
    <row r="82" spans="1:18" x14ac:dyDescent="0.3">
      <c r="A82" s="12">
        <v>45019</v>
      </c>
      <c r="B82" s="13">
        <v>1249569.6898481816</v>
      </c>
      <c r="C82" s="13">
        <v>2196087.8043648377</v>
      </c>
      <c r="D82" s="13">
        <v>991301.23571650975</v>
      </c>
      <c r="O82">
        <f t="shared" si="1"/>
        <v>2023</v>
      </c>
      <c r="P82" s="44">
        <f>B81*VLOOKUP('Cum. payments'!BO82,Exposure!$B$33:$C$53,2,FALSE)/VLOOKUP('Cum. payments'!AZ82,Exposure!$B$33:$C$53,2,FALSE)</f>
        <v>975895.59217277949</v>
      </c>
      <c r="Q82" s="44">
        <f>C81*VLOOKUP('Cum. payments'!BP82,Exposure!$B$33:$C$53,2,FALSE)/VLOOKUP('Cum. payments'!BA82,Exposure!$B$33:$C$53,2,FALSE)</f>
        <v>445024.36458420026</v>
      </c>
      <c r="R82" s="44">
        <f>D81*VLOOKUP('Cum. payments'!BQ82,Exposure!$B$33:$C$53,2,FALSE)/VLOOKUP('Cum. payments'!BB82,Exposure!$B$33:$C$53,2,FALSE)</f>
        <v>517765.22390799213</v>
      </c>
    </row>
    <row r="83" spans="1:18" x14ac:dyDescent="0.3">
      <c r="A83" s="12">
        <v>45082</v>
      </c>
      <c r="B83" s="13">
        <v>442073.66391894</v>
      </c>
      <c r="C83" s="13">
        <v>359971.43659849477</v>
      </c>
      <c r="D83" s="13">
        <v>338397.93598151504</v>
      </c>
      <c r="O83">
        <f t="shared" si="1"/>
        <v>2023</v>
      </c>
      <c r="P83" s="44">
        <f>B82*VLOOKUP('Cum. payments'!BO83,Exposure!$B$33:$C$53,2,FALSE)/VLOOKUP('Cum. payments'!AZ83,Exposure!$B$33:$C$53,2,FALSE)</f>
        <v>1457053.3443620179</v>
      </c>
      <c r="Q83" s="44">
        <f>C82*VLOOKUP('Cum. payments'!BP83,Exposure!$B$33:$C$53,2,FALSE)/VLOOKUP('Cum. payments'!BA83,Exposure!$B$33:$C$53,2,FALSE)</f>
        <v>2527843.3338642907</v>
      </c>
      <c r="R83" s="44">
        <f>D82*VLOOKUP('Cum. payments'!BQ83,Exposure!$B$33:$C$53,2,FALSE)/VLOOKUP('Cum. payments'!BB83,Exposure!$B$33:$C$53,2,FALSE)</f>
        <v>1133690.4065234496</v>
      </c>
    </row>
    <row r="84" spans="1:18" x14ac:dyDescent="0.3">
      <c r="A84" s="12">
        <v>45083</v>
      </c>
      <c r="B84" s="13">
        <v>854178.4915394705</v>
      </c>
      <c r="C84" s="13">
        <v>601032.1638308455</v>
      </c>
      <c r="D84" s="13">
        <v>577284.79690659151</v>
      </c>
      <c r="O84">
        <f t="shared" si="1"/>
        <v>2023</v>
      </c>
      <c r="P84" s="44">
        <f>B83*VLOOKUP('Cum. payments'!BO84,Exposure!$B$33:$C$53,2,FALSE)/VLOOKUP('Cum. payments'!AZ84,Exposure!$B$33:$C$53,2,FALSE)</f>
        <v>515477.38049385726</v>
      </c>
      <c r="Q84" s="44">
        <f>C83*VLOOKUP('Cum. payments'!BP84,Exposure!$B$33:$C$53,2,FALSE)/VLOOKUP('Cum. payments'!BA84,Exposure!$B$33:$C$53,2,FALSE)</f>
        <v>414351.09952274308</v>
      </c>
      <c r="R84" s="44">
        <f>D83*VLOOKUP('Cum. payments'!BQ84,Exposure!$B$33:$C$53,2,FALSE)/VLOOKUP('Cum. payments'!BB84,Exposure!$B$33:$C$53,2,FALSE)</f>
        <v>387004.95852028998</v>
      </c>
    </row>
    <row r="85" spans="1:18" x14ac:dyDescent="0.3">
      <c r="A85" s="12">
        <v>45099</v>
      </c>
      <c r="B85" s="13">
        <v>723758.74499649112</v>
      </c>
      <c r="C85" s="13">
        <v>578017.15536165005</v>
      </c>
      <c r="D85" s="13">
        <v>514058.43637131166</v>
      </c>
      <c r="O85">
        <f t="shared" si="1"/>
        <v>2023</v>
      </c>
      <c r="P85" s="44">
        <f>B84*VLOOKUP('Cum. payments'!BO85,Exposure!$B$33:$C$53,2,FALSE)/VLOOKUP('Cum. payments'!AZ85,Exposure!$B$33:$C$53,2,FALSE)</f>
        <v>996009.77671833721</v>
      </c>
      <c r="Q85" s="44">
        <f>C84*VLOOKUP('Cum. payments'!BP85,Exposure!$B$33:$C$53,2,FALSE)/VLOOKUP('Cum. payments'!BA85,Exposure!$B$33:$C$53,2,FALSE)</f>
        <v>691828.05248411105</v>
      </c>
      <c r="R85" s="44">
        <f>D84*VLOOKUP('Cum. payments'!BQ85,Exposure!$B$33:$C$53,2,FALSE)/VLOOKUP('Cum. payments'!BB85,Exposure!$B$33:$C$53,2,FALSE)</f>
        <v>660205.20554662414</v>
      </c>
    </row>
    <row r="86" spans="1:18" x14ac:dyDescent="0.3">
      <c r="A86" s="12">
        <v>45108</v>
      </c>
      <c r="B86" s="13">
        <v>216841.0943435746</v>
      </c>
      <c r="C86" s="13">
        <v>1206123.5384887774</v>
      </c>
      <c r="D86" s="13">
        <v>1375932.7920997059</v>
      </c>
      <c r="O86">
        <f t="shared" si="1"/>
        <v>2023</v>
      </c>
      <c r="P86" s="44">
        <f>B85*VLOOKUP('Cum. payments'!BO86,Exposure!$B$33:$C$53,2,FALSE)/VLOOKUP('Cum. payments'!AZ86,Exposure!$B$33:$C$53,2,FALSE)</f>
        <v>843934.60282836983</v>
      </c>
      <c r="Q86" s="44">
        <f>C85*VLOOKUP('Cum. payments'!BP86,Exposure!$B$33:$C$53,2,FALSE)/VLOOKUP('Cum. payments'!BA86,Exposure!$B$33:$C$53,2,FALSE)</f>
        <v>665336.24481501267</v>
      </c>
      <c r="R86" s="44">
        <f>D85*VLOOKUP('Cum. payments'!BQ86,Exposure!$B$33:$C$53,2,FALSE)/VLOOKUP('Cum. payments'!BB86,Exposure!$B$33:$C$53,2,FALSE)</f>
        <v>587897.09596736974</v>
      </c>
    </row>
    <row r="87" spans="1:18" x14ac:dyDescent="0.3">
      <c r="A87" s="12">
        <v>45147</v>
      </c>
      <c r="B87" s="13">
        <v>1862198.6535446644</v>
      </c>
      <c r="C87" s="13">
        <v>1108633.8195473952</v>
      </c>
      <c r="D87" s="13">
        <v>648103.40198572876</v>
      </c>
      <c r="O87">
        <f t="shared" si="1"/>
        <v>2023</v>
      </c>
      <c r="P87" s="44">
        <f>B86*VLOOKUP('Cum. payments'!BO87,Exposure!$B$33:$C$53,2,FALSE)/VLOOKUP('Cum. payments'!AZ87,Exposure!$B$33:$C$53,2,FALSE)</f>
        <v>252846.27522200221</v>
      </c>
      <c r="Q87" s="44">
        <f>C86*VLOOKUP('Cum. payments'!BP87,Exposure!$B$33:$C$53,2,FALSE)/VLOOKUP('Cum. payments'!BA87,Exposure!$B$33:$C$53,2,FALSE)</f>
        <v>1388328.526995067</v>
      </c>
      <c r="R87" s="44">
        <f>D86*VLOOKUP('Cum. payments'!BQ87,Exposure!$B$33:$C$53,2,FALSE)/VLOOKUP('Cum. payments'!BB87,Exposure!$B$33:$C$53,2,FALSE)</f>
        <v>1573569.920244256</v>
      </c>
    </row>
    <row r="88" spans="1:18" x14ac:dyDescent="0.3">
      <c r="A88" s="12">
        <v>45178</v>
      </c>
      <c r="B88" s="13">
        <v>186904.39438310513</v>
      </c>
      <c r="C88" s="13">
        <v>860283.33765164821</v>
      </c>
      <c r="D88" s="13">
        <v>412775.08853094146</v>
      </c>
      <c r="O88">
        <f t="shared" si="1"/>
        <v>2023</v>
      </c>
      <c r="P88" s="44">
        <f>B87*VLOOKUP('Cum. payments'!BO88,Exposure!$B$33:$C$53,2,FALSE)/VLOOKUP('Cum. payments'!AZ88,Exposure!$B$33:$C$53,2,FALSE)</f>
        <v>2171405.7231520708</v>
      </c>
      <c r="Q88" s="44">
        <f>C87*VLOOKUP('Cum. payments'!BP88,Exposure!$B$33:$C$53,2,FALSE)/VLOOKUP('Cum. payments'!BA88,Exposure!$B$33:$C$53,2,FALSE)</f>
        <v>1276111.3671636311</v>
      </c>
      <c r="R88" s="44">
        <f>D87*VLOOKUP('Cum. payments'!BQ88,Exposure!$B$33:$C$53,2,FALSE)/VLOOKUP('Cum. payments'!BB88,Exposure!$B$33:$C$53,2,FALSE)</f>
        <v>741196.099423156</v>
      </c>
    </row>
    <row r="89" spans="1:18" x14ac:dyDescent="0.3">
      <c r="A89" s="12">
        <v>45182</v>
      </c>
      <c r="B89" s="13">
        <v>3411276.6215196303</v>
      </c>
      <c r="C89" s="13">
        <v>1572312.3037070434</v>
      </c>
      <c r="D89" s="13">
        <v>1682611.2794481032</v>
      </c>
      <c r="O89">
        <f t="shared" si="1"/>
        <v>2023</v>
      </c>
      <c r="P89" s="44">
        <f>B88*VLOOKUP('Cum. payments'!BO89,Exposure!$B$33:$C$53,2,FALSE)/VLOOKUP('Cum. payments'!AZ89,Exposure!$B$33:$C$53,2,FALSE)</f>
        <v>217938.76333936045</v>
      </c>
      <c r="Q89" s="44">
        <f>C88*VLOOKUP('Cum. payments'!BP89,Exposure!$B$33:$C$53,2,FALSE)/VLOOKUP('Cum. payments'!BA89,Exposure!$B$33:$C$53,2,FALSE)</f>
        <v>990243.42104855273</v>
      </c>
      <c r="R89" s="44">
        <f>D88*VLOOKUP('Cum. payments'!BQ89,Exposure!$B$33:$C$53,2,FALSE)/VLOOKUP('Cum. payments'!BB89,Exposure!$B$33:$C$53,2,FALSE)</f>
        <v>472065.54482014372</v>
      </c>
    </row>
    <row r="90" spans="1:18" x14ac:dyDescent="0.3">
      <c r="A90" s="12">
        <v>45258</v>
      </c>
      <c r="B90" s="13">
        <v>983276.46945126751</v>
      </c>
      <c r="C90" s="13">
        <v>1780349.3360912758</v>
      </c>
      <c r="D90" s="13">
        <v>853094.28272213973</v>
      </c>
      <c r="O90">
        <f t="shared" si="1"/>
        <v>2023</v>
      </c>
      <c r="P90" s="44">
        <f>B89*VLOOKUP('Cum. payments'!BO90,Exposure!$B$33:$C$53,2,FALSE)/VLOOKUP('Cum. payments'!AZ90,Exposure!$B$33:$C$53,2,FALSE)</f>
        <v>3977698.9233253817</v>
      </c>
      <c r="Q90" s="44">
        <f>C89*VLOOKUP('Cum. payments'!BP90,Exposure!$B$33:$C$53,2,FALSE)/VLOOKUP('Cum. payments'!BA90,Exposure!$B$33:$C$53,2,FALSE)</f>
        <v>1809836.1858660725</v>
      </c>
      <c r="R90" s="44">
        <f>D89*VLOOKUP('Cum. payments'!BQ90,Exposure!$B$33:$C$53,2,FALSE)/VLOOKUP('Cum. payments'!BB90,Exposure!$B$33:$C$53,2,FALSE)</f>
        <v>1924299.2913649324</v>
      </c>
    </row>
    <row r="91" spans="1:18" x14ac:dyDescent="0.3">
      <c r="A91" s="12">
        <v>45264</v>
      </c>
      <c r="B91" s="13">
        <v>349323.17048651946</v>
      </c>
      <c r="C91" s="13">
        <v>410715.46272597188</v>
      </c>
      <c r="D91" s="13">
        <v>344902.67273177038</v>
      </c>
      <c r="O91">
        <f t="shared" si="1"/>
        <v>2023</v>
      </c>
      <c r="P91" s="44">
        <f>B90*VLOOKUP('Cum. payments'!BO91,Exposure!$B$33:$C$53,2,FALSE)/VLOOKUP('Cum. payments'!AZ91,Exposure!$B$33:$C$53,2,FALSE)</f>
        <v>1146543.7101155305</v>
      </c>
      <c r="Q91" s="44">
        <f>C90*VLOOKUP('Cum. payments'!BP91,Exposure!$B$33:$C$53,2,FALSE)/VLOOKUP('Cum. payments'!BA91,Exposure!$B$33:$C$53,2,FALSE)</f>
        <v>2049300.666504856</v>
      </c>
      <c r="R91" s="44">
        <f>D90*VLOOKUP('Cum. payments'!BQ91,Exposure!$B$33:$C$53,2,FALSE)/VLOOKUP('Cum. payments'!BB91,Exposure!$B$33:$C$53,2,FALSE)</f>
        <v>975631.59344096226</v>
      </c>
    </row>
    <row r="92" spans="1:18" x14ac:dyDescent="0.3">
      <c r="A92" s="12">
        <v>45289</v>
      </c>
      <c r="B92" s="13">
        <v>295955.29705606599</v>
      </c>
      <c r="C92" s="13">
        <v>984753.76186899201</v>
      </c>
      <c r="D92" s="13">
        <v>1597232.6232472004</v>
      </c>
      <c r="O92">
        <f t="shared" si="1"/>
        <v>2023</v>
      </c>
      <c r="P92" s="44">
        <f>B91*VLOOKUP('Cum. payments'!BO92,Exposure!$B$33:$C$53,2,FALSE)/VLOOKUP('Cum. payments'!AZ92,Exposure!$B$33:$C$53,2,FALSE)</f>
        <v>407326.216341216</v>
      </c>
      <c r="Q92" s="44">
        <f>C91*VLOOKUP('Cum. payments'!BP92,Exposure!$B$33:$C$53,2,FALSE)/VLOOKUP('Cum. payments'!BA92,Exposure!$B$33:$C$53,2,FALSE)</f>
        <v>472760.85341547412</v>
      </c>
      <c r="R92" s="44">
        <f>D91*VLOOKUP('Cum. payments'!BQ92,Exposure!$B$33:$C$53,2,FALSE)/VLOOKUP('Cum. payments'!BB92,Exposure!$B$33:$C$53,2,FALSE)</f>
        <v>394444.02687310491</v>
      </c>
    </row>
    <row r="93" spans="1:18" x14ac:dyDescent="0.3">
      <c r="A93" s="12">
        <v>45313</v>
      </c>
      <c r="B93" s="13">
        <v>615599.77214386896</v>
      </c>
      <c r="C93" s="13">
        <v>613946.60939053167</v>
      </c>
      <c r="O93">
        <f t="shared" si="1"/>
        <v>2023</v>
      </c>
      <c r="P93" s="44">
        <f>B92*VLOOKUP('Cum. payments'!BO93,Exposure!$B$33:$C$53,2,FALSE)/VLOOKUP('Cum. payments'!AZ93,Exposure!$B$33:$C$53,2,FALSE)</f>
        <v>345096.92325330613</v>
      </c>
      <c r="Q93" s="44">
        <f>C92*VLOOKUP('Cum. payments'!BP93,Exposure!$B$33:$C$53,2,FALSE)/VLOOKUP('Cum. payments'!BA93,Exposure!$B$33:$C$53,2,FALSE)</f>
        <v>1133517.1697100161</v>
      </c>
      <c r="R93" s="44">
        <f>D92*VLOOKUP('Cum. payments'!BQ93,Exposure!$B$33:$C$53,2,FALSE)/VLOOKUP('Cum. payments'!BB93,Exposure!$B$33:$C$53,2,FALSE)</f>
        <v>1826656.9602859588</v>
      </c>
    </row>
    <row r="94" spans="1:18" x14ac:dyDescent="0.3">
      <c r="A94" s="12">
        <v>45315</v>
      </c>
      <c r="B94" s="13">
        <v>910032.2266593409</v>
      </c>
      <c r="C94" s="13">
        <v>1175785.9176620014</v>
      </c>
      <c r="O94">
        <f t="shared" si="1"/>
        <v>2024</v>
      </c>
      <c r="P94" s="44">
        <f>B93*VLOOKUP('Cum. payments'!BO94,Exposure!$B$33:$C$53,2,FALSE)/VLOOKUP('Cum. payments'!AZ94,Exposure!$B$33:$C$53,2,FALSE)</f>
        <v>685959.67079575348</v>
      </c>
      <c r="Q94" s="44">
        <f>C93*VLOOKUP('Cum. payments'!BP94,Exposure!$B$33:$C$53,2,FALSE)/VLOOKUP('Cum. payments'!BA94,Exposure!$B$33:$C$53,2,FALSE)</f>
        <v>679702.87634678942</v>
      </c>
    </row>
    <row r="95" spans="1:18" x14ac:dyDescent="0.3">
      <c r="A95" s="12">
        <v>45321</v>
      </c>
      <c r="B95" s="13">
        <v>685392.48995776766</v>
      </c>
      <c r="C95" s="13">
        <v>405767.40780728369</v>
      </c>
      <c r="O95">
        <f t="shared" si="1"/>
        <v>2024</v>
      </c>
      <c r="P95" s="44">
        <f>B94*VLOOKUP('Cum. payments'!BO95,Exposure!$B$33:$C$53,2,FALSE)/VLOOKUP('Cum. payments'!AZ95,Exposure!$B$33:$C$53,2,FALSE)</f>
        <v>1014044.2457260666</v>
      </c>
      <c r="Q95" s="44">
        <f>C94*VLOOKUP('Cum. payments'!BP95,Exposure!$B$33:$C$53,2,FALSE)/VLOOKUP('Cum. payments'!BA95,Exposure!$B$33:$C$53,2,FALSE)</f>
        <v>1301717.5402210746</v>
      </c>
    </row>
    <row r="96" spans="1:18" x14ac:dyDescent="0.3">
      <c r="A96" s="12">
        <v>45325</v>
      </c>
      <c r="B96" s="13">
        <v>188477.25088062702</v>
      </c>
      <c r="C96" s="13">
        <v>236686.12400435668</v>
      </c>
      <c r="O96">
        <f t="shared" si="1"/>
        <v>2024</v>
      </c>
      <c r="P96" s="44">
        <f>B95*VLOOKUP('Cum. payments'!BO96,Exposure!$B$33:$C$53,2,FALSE)/VLOOKUP('Cum. payments'!AZ96,Exposure!$B$33:$C$53,2,FALSE)</f>
        <v>763729.3385278174</v>
      </c>
      <c r="Q96" s="44">
        <f>C95*VLOOKUP('Cum. payments'!BP96,Exposure!$B$33:$C$53,2,FALSE)/VLOOKUP('Cum. payments'!BA96,Exposure!$B$33:$C$53,2,FALSE)</f>
        <v>449226.80571227684</v>
      </c>
    </row>
    <row r="97" spans="1:17" x14ac:dyDescent="0.3">
      <c r="A97" s="12">
        <v>45340</v>
      </c>
      <c r="B97" s="13">
        <v>2921364.7880243552</v>
      </c>
      <c r="C97" s="13">
        <v>3323698.1828999701</v>
      </c>
      <c r="O97">
        <f t="shared" si="1"/>
        <v>2024</v>
      </c>
      <c r="P97" s="44">
        <f>B96*VLOOKUP('Cum. payments'!BO97,Exposure!$B$33:$C$53,2,FALSE)/VLOOKUP('Cum. payments'!AZ97,Exposure!$B$33:$C$53,2,FALSE)</f>
        <v>210019.23460158188</v>
      </c>
      <c r="Q97" s="44">
        <f>C96*VLOOKUP('Cum. payments'!BP97,Exposure!$B$33:$C$53,2,FALSE)/VLOOKUP('Cum. payments'!BA97,Exposure!$B$33:$C$53,2,FALSE)</f>
        <v>262036.20447849188</v>
      </c>
    </row>
    <row r="98" spans="1:17" x14ac:dyDescent="0.3">
      <c r="A98" s="12">
        <v>45395</v>
      </c>
      <c r="B98" s="13">
        <v>1608470.6379257094</v>
      </c>
      <c r="C98" s="13">
        <v>1545161.6746839283</v>
      </c>
      <c r="O98">
        <f t="shared" si="1"/>
        <v>2024</v>
      </c>
      <c r="P98" s="44">
        <f>B97*VLOOKUP('Cum. payments'!BO98,Exposure!$B$33:$C$53,2,FALSE)/VLOOKUP('Cum. payments'!AZ98,Exposure!$B$33:$C$53,2,FALSE)</f>
        <v>3255261.8096147734</v>
      </c>
      <c r="Q98" s="44">
        <f>C97*VLOOKUP('Cum. payments'!BP98,Exposure!$B$33:$C$53,2,FALSE)/VLOOKUP('Cum. payments'!BA98,Exposure!$B$33:$C$53,2,FALSE)</f>
        <v>3679680.2530896873</v>
      </c>
    </row>
    <row r="99" spans="1:17" x14ac:dyDescent="0.3">
      <c r="A99" s="12">
        <v>45401</v>
      </c>
      <c r="B99" s="13">
        <v>93635.525901146757</v>
      </c>
      <c r="C99" s="13">
        <v>345118.42946448224</v>
      </c>
      <c r="O99">
        <f t="shared" si="1"/>
        <v>2024</v>
      </c>
      <c r="P99" s="44">
        <f>B98*VLOOKUP('Cum. payments'!BO99,Exposure!$B$33:$C$53,2,FALSE)/VLOOKUP('Cum. payments'!AZ99,Exposure!$B$33:$C$53,2,FALSE)</f>
        <v>1792310.587500181</v>
      </c>
      <c r="Q99" s="44">
        <f>C98*VLOOKUP('Cum. payments'!BP99,Exposure!$B$33:$C$53,2,FALSE)/VLOOKUP('Cum. payments'!BA99,Exposure!$B$33:$C$53,2,FALSE)</f>
        <v>1710654.9961177867</v>
      </c>
    </row>
    <row r="100" spans="1:17" x14ac:dyDescent="0.3">
      <c r="A100" s="12">
        <v>45408</v>
      </c>
      <c r="B100" s="13">
        <v>800259.19422835205</v>
      </c>
      <c r="C100" s="13">
        <v>3300961.5175285311</v>
      </c>
      <c r="O100">
        <f t="shared" si="1"/>
        <v>2024</v>
      </c>
      <c r="P100" s="44">
        <f>B99*VLOOKUP('Cum. payments'!BO100,Exposure!$B$33:$C$53,2,FALSE)/VLOOKUP('Cum. payments'!AZ100,Exposure!$B$33:$C$53,2,FALSE)</f>
        <v>104337.58657553067</v>
      </c>
      <c r="Q100" s="44">
        <f>C99*VLOOKUP('Cum. payments'!BP100,Exposure!$B$33:$C$53,2,FALSE)/VLOOKUP('Cum. payments'!BA100,Exposure!$B$33:$C$53,2,FALSE)</f>
        <v>382082.06641968765</v>
      </c>
    </row>
    <row r="101" spans="1:17" x14ac:dyDescent="0.3">
      <c r="A101" s="12">
        <v>45419</v>
      </c>
      <c r="B101" s="13">
        <v>3276211.5303254109</v>
      </c>
      <c r="C101" s="13">
        <v>1586573.6716457361</v>
      </c>
      <c r="O101">
        <f t="shared" si="1"/>
        <v>2024</v>
      </c>
      <c r="P101" s="44">
        <f>B100*VLOOKUP('Cum. payments'!BO101,Exposure!$B$33:$C$53,2,FALSE)/VLOOKUP('Cum. payments'!AZ101,Exposure!$B$33:$C$53,2,FALSE)</f>
        <v>891724.71833836846</v>
      </c>
      <c r="Q101" s="44">
        <f>C100*VLOOKUP('Cum. payments'!BP101,Exposure!$B$33:$C$53,2,FALSE)/VLOOKUP('Cum. payments'!BA101,Exposure!$B$33:$C$53,2,FALSE)</f>
        <v>3654508.3951217076</v>
      </c>
    </row>
    <row r="102" spans="1:17" x14ac:dyDescent="0.3">
      <c r="A102" s="12">
        <v>45422</v>
      </c>
      <c r="B102" s="13">
        <v>5348214.7253297633</v>
      </c>
      <c r="C102" s="13">
        <v>894210.73723181407</v>
      </c>
      <c r="O102">
        <f t="shared" si="1"/>
        <v>2024</v>
      </c>
      <c r="P102" s="44">
        <f>B101*VLOOKUP('Cum. payments'!BO102,Exposure!$B$33:$C$53,2,FALSE)/VLOOKUP('Cum. payments'!AZ102,Exposure!$B$33:$C$53,2,FALSE)</f>
        <v>3650665.7157664658</v>
      </c>
      <c r="Q102" s="44">
        <f>C101*VLOOKUP('Cum. payments'!BP102,Exposure!$B$33:$C$53,2,FALSE)/VLOOKUP('Cum. payments'!BA102,Exposure!$B$33:$C$53,2,FALSE)</f>
        <v>1756502.3923240267</v>
      </c>
    </row>
    <row r="103" spans="1:17" x14ac:dyDescent="0.3">
      <c r="A103" s="12">
        <v>45534</v>
      </c>
      <c r="B103" s="13">
        <v>5600557.7471759077</v>
      </c>
      <c r="C103" s="13">
        <v>3020956.5830310592</v>
      </c>
      <c r="O103">
        <f t="shared" si="1"/>
        <v>2024</v>
      </c>
      <c r="P103" s="44">
        <f>B102*VLOOKUP('Cum. payments'!BO103,Exposure!$B$33:$C$53,2,FALSE)/VLOOKUP('Cum. payments'!AZ103,Exposure!$B$33:$C$53,2,FALSE)</f>
        <v>5959488.2557474701</v>
      </c>
      <c r="Q103" s="44">
        <f>C102*VLOOKUP('Cum. payments'!BP103,Exposure!$B$33:$C$53,2,FALSE)/VLOOKUP('Cum. payments'!BA103,Exposure!$B$33:$C$53,2,FALSE)</f>
        <v>989984.47236317722</v>
      </c>
    </row>
    <row r="104" spans="1:17" x14ac:dyDescent="0.3">
      <c r="A104" s="12">
        <v>45535</v>
      </c>
      <c r="B104" s="13">
        <v>1727822.6091977481</v>
      </c>
      <c r="C104" s="13">
        <v>791117.71100511297</v>
      </c>
      <c r="O104">
        <f t="shared" si="1"/>
        <v>2024</v>
      </c>
      <c r="P104" s="44">
        <f>B103*VLOOKUP('Cum. payments'!BO104,Exposure!$B$33:$C$53,2,FALSE)/VLOOKUP('Cum. payments'!AZ104,Exposure!$B$33:$C$53,2,FALSE)</f>
        <v>6240672.7915869886</v>
      </c>
      <c r="Q104" s="44">
        <f>C103*VLOOKUP('Cum. payments'!BP104,Exposure!$B$33:$C$53,2,FALSE)/VLOOKUP('Cum. payments'!BA104,Exposure!$B$33:$C$53,2,FALSE)</f>
        <v>3344513.7531476147</v>
      </c>
    </row>
    <row r="105" spans="1:17" x14ac:dyDescent="0.3">
      <c r="A105" s="12">
        <v>45559</v>
      </c>
      <c r="B105" s="13">
        <v>2764113.7069374612</v>
      </c>
      <c r="C105" s="13">
        <v>1208731.3071030152</v>
      </c>
      <c r="O105">
        <f t="shared" si="1"/>
        <v>2024</v>
      </c>
      <c r="P105" s="44">
        <f>B104*VLOOKUP('Cum. payments'!BO105,Exposure!$B$33:$C$53,2,FALSE)/VLOOKUP('Cum. payments'!AZ105,Exposure!$B$33:$C$53,2,FALSE)</f>
        <v>1925303.8773408707</v>
      </c>
      <c r="Q105" s="44">
        <f>C104*VLOOKUP('Cum. payments'!BP105,Exposure!$B$33:$C$53,2,FALSE)/VLOOKUP('Cum. payments'!BA105,Exposure!$B$33:$C$53,2,FALSE)</f>
        <v>875849.74894293514</v>
      </c>
    </row>
    <row r="106" spans="1:17" x14ac:dyDescent="0.3">
      <c r="A106" s="12">
        <v>45684</v>
      </c>
      <c r="B106" s="13">
        <v>368553.70241625624</v>
      </c>
      <c r="O106">
        <f>YEAR($A105)</f>
        <v>2024</v>
      </c>
      <c r="P106" s="44">
        <f>B105*VLOOKUP('Cum. payments'!BO106,Exposure!$B$33:$C$53,2,FALSE)/VLOOKUP('Cum. payments'!AZ106,Exposure!$B$33:$C$53,2,FALSE)</f>
        <v>3080037.7359622042</v>
      </c>
      <c r="Q106" s="44">
        <f>C105*VLOOKUP('Cum. payments'!BP106,Exposure!$B$33:$C$53,2,FALSE)/VLOOKUP('Cum. payments'!BA106,Exposure!$B$33:$C$53,2,FALSE)</f>
        <v>1338191.51959145</v>
      </c>
    </row>
    <row r="107" spans="1:17" x14ac:dyDescent="0.3">
      <c r="A107" s="12">
        <v>45714</v>
      </c>
      <c r="B107" s="13">
        <v>2323023.1079518227</v>
      </c>
      <c r="O107">
        <f t="shared" ref="O107:O115" si="2">YEAR($A106)</f>
        <v>2025</v>
      </c>
      <c r="P107" s="44">
        <f>B106*VLOOKUP('Cum. payments'!BO107,Exposure!$B$33:$C$53,2,FALSE)/VLOOKUP('Cum. payments'!AZ107,Exposure!$B$33:$C$53,2,FALSE)</f>
        <v>394992.59998201532</v>
      </c>
    </row>
    <row r="108" spans="1:17" x14ac:dyDescent="0.3">
      <c r="A108" s="12">
        <v>45727</v>
      </c>
      <c r="B108" s="13">
        <v>19152005.025782503</v>
      </c>
      <c r="O108">
        <f>YEAR($A107)</f>
        <v>2025</v>
      </c>
      <c r="P108" s="44">
        <f>B107*VLOOKUP('Cum. payments'!BO108,Exposure!$B$33:$C$53,2,FALSE)/VLOOKUP('Cum. payments'!AZ108,Exposure!$B$33:$C$53,2,FALSE)</f>
        <v>2489669.5684034987</v>
      </c>
    </row>
    <row r="109" spans="1:17" x14ac:dyDescent="0.3">
      <c r="A109" s="12">
        <v>45822</v>
      </c>
      <c r="B109" s="13">
        <v>530517.60429918393</v>
      </c>
      <c r="O109">
        <f t="shared" si="2"/>
        <v>2025</v>
      </c>
      <c r="P109" s="44">
        <f>B108*VLOOKUP('Cum. payments'!BO109,Exposure!$B$33:$C$53,2,FALSE)/VLOOKUP('Cum. payments'!AZ109,Exposure!$B$33:$C$53,2,FALSE)</f>
        <v>20525910.363690816</v>
      </c>
    </row>
    <row r="110" spans="1:17" x14ac:dyDescent="0.3">
      <c r="A110" s="12">
        <v>45838</v>
      </c>
      <c r="B110" s="13">
        <v>1299576.0232600707</v>
      </c>
      <c r="O110">
        <f t="shared" si="2"/>
        <v>2025</v>
      </c>
      <c r="P110" s="44">
        <f>B109*VLOOKUP('Cum. payments'!BO110,Exposure!$B$33:$C$53,2,FALSE)/VLOOKUP('Cum. payments'!AZ110,Exposure!$B$33:$C$53,2,FALSE)</f>
        <v>568575.28898649244</v>
      </c>
    </row>
    <row r="111" spans="1:17" x14ac:dyDescent="0.3">
      <c r="A111" s="12">
        <v>45939</v>
      </c>
      <c r="B111" s="13">
        <v>1169247.6830728012</v>
      </c>
      <c r="O111">
        <f t="shared" si="2"/>
        <v>2025</v>
      </c>
      <c r="P111" s="44">
        <f>B110*VLOOKUP('Cum. payments'!BO111,Exposure!$B$33:$C$53,2,FALSE)/VLOOKUP('Cum. payments'!AZ111,Exposure!$B$33:$C$53,2,FALSE)</f>
        <v>1392803.5695650675</v>
      </c>
    </row>
    <row r="112" spans="1:17" x14ac:dyDescent="0.3">
      <c r="A112" s="12">
        <v>45968</v>
      </c>
      <c r="B112" s="13">
        <v>558599.93930614798</v>
      </c>
      <c r="O112">
        <f t="shared" si="2"/>
        <v>2025</v>
      </c>
      <c r="P112" s="44">
        <f>B111*VLOOKUP('Cum. payments'!BO112,Exposure!$B$33:$C$53,2,FALSE)/VLOOKUP('Cum. payments'!AZ112,Exposure!$B$33:$C$53,2,FALSE)</f>
        <v>1253125.8791649628</v>
      </c>
    </row>
    <row r="113" spans="1:16" x14ac:dyDescent="0.3">
      <c r="A113" s="12">
        <v>46007</v>
      </c>
      <c r="B113" s="13">
        <v>4053072.3803876983</v>
      </c>
      <c r="O113">
        <f t="shared" si="2"/>
        <v>2025</v>
      </c>
      <c r="P113" s="44">
        <f>B112*VLOOKUP('Cum. payments'!BO113,Exposure!$B$33:$C$53,2,FALSE)/VLOOKUP('Cum. payments'!AZ113,Exposure!$B$33:$C$53,2,FALSE)</f>
        <v>598672.16345890972</v>
      </c>
    </row>
    <row r="114" spans="1:16" x14ac:dyDescent="0.3">
      <c r="A114" s="12">
        <v>46011</v>
      </c>
      <c r="B114" s="13">
        <v>496874.29352530022</v>
      </c>
      <c r="O114">
        <f t="shared" si="2"/>
        <v>2025</v>
      </c>
      <c r="P114" s="44">
        <f>B113*VLOOKUP('Cum. payments'!BO114,Exposure!$B$33:$C$53,2,FALSE)/VLOOKUP('Cum. payments'!AZ114,Exposure!$B$33:$C$53,2,FALSE)</f>
        <v>4343827.2006191583</v>
      </c>
    </row>
    <row r="115" spans="1:16" x14ac:dyDescent="0.3">
      <c r="A115" s="12"/>
      <c r="O115">
        <f t="shared" si="2"/>
        <v>2025</v>
      </c>
      <c r="P115" s="44">
        <f>B114*VLOOKUP('Cum. payments'!BO115,Exposure!$B$33:$C$53,2,FALSE)/VLOOKUP('Cum. payments'!AZ115,Exposure!$B$33:$C$53,2,FALSE)</f>
        <v>532518.51162282238</v>
      </c>
    </row>
    <row r="116" spans="1:16" x14ac:dyDescent="0.3">
      <c r="A116" s="12"/>
    </row>
    <row r="117" spans="1:16" x14ac:dyDescent="0.3">
      <c r="A117" s="12"/>
    </row>
    <row r="118" spans="1:16" x14ac:dyDescent="0.3">
      <c r="A118" s="12"/>
    </row>
    <row r="119" spans="1:16" x14ac:dyDescent="0.3">
      <c r="A119" s="12"/>
    </row>
    <row r="120" spans="1:16" x14ac:dyDescent="0.3">
      <c r="A120" s="12"/>
    </row>
    <row r="121" spans="1:16" x14ac:dyDescent="0.3">
      <c r="A121" s="12"/>
    </row>
    <row r="122" spans="1:16" x14ac:dyDescent="0.3">
      <c r="A122" s="12"/>
    </row>
    <row r="123" spans="1:16" x14ac:dyDescent="0.3">
      <c r="A123" s="12"/>
    </row>
    <row r="124" spans="1:16" x14ac:dyDescent="0.3">
      <c r="A124" s="12"/>
    </row>
    <row r="125" spans="1:16" x14ac:dyDescent="0.3">
      <c r="A125" s="12"/>
    </row>
    <row r="126" spans="1:16" x14ac:dyDescent="0.3">
      <c r="A126" s="12"/>
    </row>
    <row r="127" spans="1:16" x14ac:dyDescent="0.3">
      <c r="A127" s="12"/>
    </row>
    <row r="128" spans="1:16" x14ac:dyDescent="0.3">
      <c r="A128" s="12"/>
    </row>
    <row r="129" spans="1:1" x14ac:dyDescent="0.3">
      <c r="A129" s="12"/>
    </row>
    <row r="130" spans="1:1" x14ac:dyDescent="0.3">
      <c r="A130" s="12"/>
    </row>
    <row r="131" spans="1:1" x14ac:dyDescent="0.3">
      <c r="A131" s="12"/>
    </row>
    <row r="132" spans="1:1" x14ac:dyDescent="0.3">
      <c r="A132" s="12"/>
    </row>
    <row r="133" spans="1:1" x14ac:dyDescent="0.3">
      <c r="A133" s="12"/>
    </row>
    <row r="134" spans="1:1" x14ac:dyDescent="0.3">
      <c r="A134" s="12"/>
    </row>
    <row r="135" spans="1:1" x14ac:dyDescent="0.3">
      <c r="A135" s="12"/>
    </row>
    <row r="136" spans="1:1" x14ac:dyDescent="0.3">
      <c r="A136" s="12"/>
    </row>
    <row r="137" spans="1:1" x14ac:dyDescent="0.3">
      <c r="A137" s="12"/>
    </row>
    <row r="138" spans="1:1" x14ac:dyDescent="0.3">
      <c r="A138" s="12"/>
    </row>
    <row r="139" spans="1:1" x14ac:dyDescent="0.3">
      <c r="A139" s="12"/>
    </row>
    <row r="140" spans="1:1" x14ac:dyDescent="0.3">
      <c r="A140" s="12"/>
    </row>
    <row r="141" spans="1:1" x14ac:dyDescent="0.3">
      <c r="A141" s="12"/>
    </row>
    <row r="142" spans="1:1" x14ac:dyDescent="0.3">
      <c r="A142" s="12"/>
    </row>
    <row r="143" spans="1:1" x14ac:dyDescent="0.3">
      <c r="A143" s="12"/>
    </row>
    <row r="144" spans="1:1" x14ac:dyDescent="0.3">
      <c r="A144" s="12"/>
    </row>
    <row r="145" spans="1:1" x14ac:dyDescent="0.3">
      <c r="A145" s="12"/>
    </row>
    <row r="146" spans="1:1" x14ac:dyDescent="0.3">
      <c r="A146" s="12"/>
    </row>
    <row r="147" spans="1:1" x14ac:dyDescent="0.3">
      <c r="A147" s="12"/>
    </row>
    <row r="148" spans="1:1" x14ac:dyDescent="0.3">
      <c r="A148" s="12"/>
    </row>
    <row r="149" spans="1:1" x14ac:dyDescent="0.3">
      <c r="A149" s="12"/>
    </row>
    <row r="150" spans="1:1" x14ac:dyDescent="0.3">
      <c r="A150" s="12"/>
    </row>
    <row r="151" spans="1:1" x14ac:dyDescent="0.3">
      <c r="A151" s="12"/>
    </row>
    <row r="152" spans="1:1" x14ac:dyDescent="0.3">
      <c r="A152" s="12"/>
    </row>
    <row r="153" spans="1:1" x14ac:dyDescent="0.3">
      <c r="A153" s="12"/>
    </row>
    <row r="154" spans="1:1" x14ac:dyDescent="0.3">
      <c r="A154" s="12"/>
    </row>
    <row r="155" spans="1:1" x14ac:dyDescent="0.3">
      <c r="A155" s="12"/>
    </row>
    <row r="156" spans="1:1" x14ac:dyDescent="0.3">
      <c r="A156" s="12"/>
    </row>
    <row r="157" spans="1:1" x14ac:dyDescent="0.3">
      <c r="A157" s="12"/>
    </row>
    <row r="158" spans="1:1" x14ac:dyDescent="0.3">
      <c r="A158" s="12"/>
    </row>
    <row r="159" spans="1:1" x14ac:dyDescent="0.3">
      <c r="A159" s="12"/>
    </row>
    <row r="160" spans="1:1" x14ac:dyDescent="0.3">
      <c r="A160" s="12"/>
    </row>
    <row r="161" spans="1:1" x14ac:dyDescent="0.3">
      <c r="A161" s="12"/>
    </row>
    <row r="162" spans="1:1" x14ac:dyDescent="0.3">
      <c r="A162" s="12"/>
    </row>
    <row r="163" spans="1:1" x14ac:dyDescent="0.3">
      <c r="A163" s="12"/>
    </row>
    <row r="164" spans="1:1" x14ac:dyDescent="0.3">
      <c r="A164" s="12"/>
    </row>
    <row r="165" spans="1:1" x14ac:dyDescent="0.3">
      <c r="A165" s="12"/>
    </row>
    <row r="166" spans="1:1" x14ac:dyDescent="0.3">
      <c r="A166" s="12"/>
    </row>
    <row r="167" spans="1:1" x14ac:dyDescent="0.3">
      <c r="A167" s="12"/>
    </row>
    <row r="168" spans="1:1" x14ac:dyDescent="0.3">
      <c r="A168" s="12"/>
    </row>
    <row r="169" spans="1:1" x14ac:dyDescent="0.3">
      <c r="A169" s="12"/>
    </row>
    <row r="170" spans="1:1" x14ac:dyDescent="0.3">
      <c r="A170" s="12"/>
    </row>
    <row r="171" spans="1:1" x14ac:dyDescent="0.3">
      <c r="A171" s="12"/>
    </row>
    <row r="172" spans="1:1" x14ac:dyDescent="0.3">
      <c r="A172" s="12"/>
    </row>
    <row r="173" spans="1:1" x14ac:dyDescent="0.3">
      <c r="A173" s="12"/>
    </row>
    <row r="174" spans="1:1" x14ac:dyDescent="0.3">
      <c r="A174" s="12"/>
    </row>
    <row r="175" spans="1:1" x14ac:dyDescent="0.3">
      <c r="A175" s="12"/>
    </row>
    <row r="176" spans="1:1" x14ac:dyDescent="0.3">
      <c r="A176" s="12"/>
    </row>
    <row r="177" spans="1:1" x14ac:dyDescent="0.3">
      <c r="A177" s="12"/>
    </row>
    <row r="178" spans="1:1" x14ac:dyDescent="0.3">
      <c r="A178" s="12"/>
    </row>
    <row r="179" spans="1:1" x14ac:dyDescent="0.3">
      <c r="A179" s="12"/>
    </row>
    <row r="180" spans="1:1" x14ac:dyDescent="0.3">
      <c r="A180" s="12"/>
    </row>
    <row r="181" spans="1:1" x14ac:dyDescent="0.3">
      <c r="A181" s="12"/>
    </row>
    <row r="182" spans="1:1" x14ac:dyDescent="0.3">
      <c r="A182" s="12"/>
    </row>
    <row r="183" spans="1:1" x14ac:dyDescent="0.3">
      <c r="A183" s="12"/>
    </row>
    <row r="184" spans="1:1" x14ac:dyDescent="0.3">
      <c r="A184" s="12"/>
    </row>
    <row r="185" spans="1:1" x14ac:dyDescent="0.3">
      <c r="A185" s="12"/>
    </row>
    <row r="186" spans="1:1" x14ac:dyDescent="0.3">
      <c r="A186" s="12"/>
    </row>
    <row r="187" spans="1:1" x14ac:dyDescent="0.3">
      <c r="A187" s="12"/>
    </row>
    <row r="188" spans="1:1" x14ac:dyDescent="0.3">
      <c r="A188" s="12"/>
    </row>
    <row r="189" spans="1:1" x14ac:dyDescent="0.3">
      <c r="A189" s="12"/>
    </row>
    <row r="190" spans="1:1" x14ac:dyDescent="0.3">
      <c r="A190" s="12"/>
    </row>
    <row r="191" spans="1:1" x14ac:dyDescent="0.3">
      <c r="A191" s="12"/>
    </row>
    <row r="192" spans="1:1" x14ac:dyDescent="0.3">
      <c r="A192" s="12"/>
    </row>
    <row r="193" spans="1:1" x14ac:dyDescent="0.3">
      <c r="A193" s="12"/>
    </row>
    <row r="194" spans="1:1" x14ac:dyDescent="0.3">
      <c r="A194" s="12"/>
    </row>
    <row r="195" spans="1:1" x14ac:dyDescent="0.3">
      <c r="A195" s="12"/>
    </row>
    <row r="196" spans="1:1" x14ac:dyDescent="0.3">
      <c r="A196" s="12"/>
    </row>
    <row r="197" spans="1:1" x14ac:dyDescent="0.3">
      <c r="A197" s="12"/>
    </row>
    <row r="198" spans="1:1" x14ac:dyDescent="0.3">
      <c r="A198" s="12"/>
    </row>
    <row r="199" spans="1:1" x14ac:dyDescent="0.3">
      <c r="A199" s="12"/>
    </row>
    <row r="200" spans="1:1" x14ac:dyDescent="0.3">
      <c r="A200" s="12"/>
    </row>
    <row r="201" spans="1:1" x14ac:dyDescent="0.3">
      <c r="A201" s="12"/>
    </row>
    <row r="202" spans="1:1" x14ac:dyDescent="0.3">
      <c r="A202" s="12"/>
    </row>
    <row r="203" spans="1:1" x14ac:dyDescent="0.3">
      <c r="A203" s="12"/>
    </row>
    <row r="204" spans="1:1" x14ac:dyDescent="0.3">
      <c r="A204" s="12"/>
    </row>
    <row r="205" spans="1:1" x14ac:dyDescent="0.3">
      <c r="A205" s="12"/>
    </row>
    <row r="206" spans="1:1" x14ac:dyDescent="0.3">
      <c r="A206" s="12"/>
    </row>
    <row r="207" spans="1:1" x14ac:dyDescent="0.3">
      <c r="A207" s="12"/>
    </row>
    <row r="208" spans="1:1" x14ac:dyDescent="0.3">
      <c r="A208" s="12"/>
    </row>
    <row r="209" spans="1:1" x14ac:dyDescent="0.3">
      <c r="A209" s="12"/>
    </row>
    <row r="210" spans="1:1" x14ac:dyDescent="0.3">
      <c r="A210" s="12"/>
    </row>
    <row r="211" spans="1:1" x14ac:dyDescent="0.3">
      <c r="A211" s="12"/>
    </row>
    <row r="212" spans="1:1" x14ac:dyDescent="0.3">
      <c r="A212" s="12"/>
    </row>
    <row r="213" spans="1:1" x14ac:dyDescent="0.3">
      <c r="A213" s="12"/>
    </row>
    <row r="214" spans="1:1" x14ac:dyDescent="0.3">
      <c r="A214" s="12"/>
    </row>
    <row r="215" spans="1:1" x14ac:dyDescent="0.3">
      <c r="A215" s="12"/>
    </row>
    <row r="216" spans="1:1" x14ac:dyDescent="0.3">
      <c r="A216" s="12"/>
    </row>
    <row r="217" spans="1:1" x14ac:dyDescent="0.3">
      <c r="A217" s="12"/>
    </row>
    <row r="218" spans="1:1" x14ac:dyDescent="0.3">
      <c r="A218" s="12"/>
    </row>
    <row r="219" spans="1:1" x14ac:dyDescent="0.3">
      <c r="A219" s="12"/>
    </row>
    <row r="220" spans="1:1" x14ac:dyDescent="0.3">
      <c r="A220" s="12"/>
    </row>
    <row r="221" spans="1:1" x14ac:dyDescent="0.3">
      <c r="A221" s="12"/>
    </row>
    <row r="222" spans="1:1" x14ac:dyDescent="0.3">
      <c r="A222" s="12"/>
    </row>
    <row r="223" spans="1:1" x14ac:dyDescent="0.3">
      <c r="A223" s="12"/>
    </row>
    <row r="224" spans="1:1" x14ac:dyDescent="0.3">
      <c r="A224" s="12"/>
    </row>
    <row r="225" spans="1:1" x14ac:dyDescent="0.3">
      <c r="A225" s="12"/>
    </row>
    <row r="226" spans="1:1" x14ac:dyDescent="0.3">
      <c r="A226" s="12"/>
    </row>
    <row r="227" spans="1:1" x14ac:dyDescent="0.3">
      <c r="A227" s="12"/>
    </row>
    <row r="228" spans="1:1" x14ac:dyDescent="0.3">
      <c r="A228" s="12"/>
    </row>
    <row r="229" spans="1:1" x14ac:dyDescent="0.3">
      <c r="A229" s="12"/>
    </row>
    <row r="230" spans="1:1" x14ac:dyDescent="0.3">
      <c r="A230" s="12"/>
    </row>
    <row r="231" spans="1:1" x14ac:dyDescent="0.3">
      <c r="A231" s="12"/>
    </row>
    <row r="232" spans="1:1" x14ac:dyDescent="0.3">
      <c r="A232" s="12"/>
    </row>
    <row r="233" spans="1:1" x14ac:dyDescent="0.3">
      <c r="A233" s="12"/>
    </row>
    <row r="234" spans="1:1" x14ac:dyDescent="0.3">
      <c r="A234" s="12"/>
    </row>
    <row r="235" spans="1:1" x14ac:dyDescent="0.3">
      <c r="A235" s="12"/>
    </row>
    <row r="236" spans="1:1" x14ac:dyDescent="0.3">
      <c r="A236" s="12"/>
    </row>
    <row r="237" spans="1:1" x14ac:dyDescent="0.3">
      <c r="A237" s="12"/>
    </row>
    <row r="238" spans="1:1" x14ac:dyDescent="0.3">
      <c r="A238" s="12"/>
    </row>
    <row r="239" spans="1:1" x14ac:dyDescent="0.3">
      <c r="A239" s="12"/>
    </row>
    <row r="240" spans="1:1" x14ac:dyDescent="0.3">
      <c r="A240" s="12"/>
    </row>
    <row r="241" spans="1:1" x14ac:dyDescent="0.3">
      <c r="A241" s="12"/>
    </row>
    <row r="242" spans="1:1" x14ac:dyDescent="0.3">
      <c r="A242" s="12"/>
    </row>
    <row r="243" spans="1:1" x14ac:dyDescent="0.3">
      <c r="A243" s="12"/>
    </row>
    <row r="244" spans="1:1" x14ac:dyDescent="0.3">
      <c r="A244" s="12"/>
    </row>
    <row r="245" spans="1:1" x14ac:dyDescent="0.3">
      <c r="A245" s="12"/>
    </row>
    <row r="246" spans="1:1" x14ac:dyDescent="0.3">
      <c r="A246" s="12"/>
    </row>
    <row r="247" spans="1:1" x14ac:dyDescent="0.3">
      <c r="A247" s="12"/>
    </row>
    <row r="248" spans="1:1" x14ac:dyDescent="0.3">
      <c r="A248" s="12"/>
    </row>
    <row r="249" spans="1:1" x14ac:dyDescent="0.3">
      <c r="A249" s="12"/>
    </row>
    <row r="250" spans="1:1" x14ac:dyDescent="0.3">
      <c r="A250" s="12"/>
    </row>
    <row r="251" spans="1:1" x14ac:dyDescent="0.3">
      <c r="A251" s="12"/>
    </row>
    <row r="252" spans="1:1" x14ac:dyDescent="0.3">
      <c r="A252" s="12"/>
    </row>
    <row r="253" spans="1:1" x14ac:dyDescent="0.3">
      <c r="A253" s="12"/>
    </row>
    <row r="254" spans="1:1" x14ac:dyDescent="0.3">
      <c r="A254" s="12"/>
    </row>
    <row r="255" spans="1:1" x14ac:dyDescent="0.3">
      <c r="A255" s="12"/>
    </row>
    <row r="256" spans="1:1" x14ac:dyDescent="0.3">
      <c r="A256" s="12"/>
    </row>
    <row r="257" spans="1:1" x14ac:dyDescent="0.3">
      <c r="A257" s="12"/>
    </row>
    <row r="258" spans="1:1" x14ac:dyDescent="0.3">
      <c r="A258" s="12"/>
    </row>
    <row r="259" spans="1:1" x14ac:dyDescent="0.3">
      <c r="A259" s="12"/>
    </row>
    <row r="260" spans="1:1" x14ac:dyDescent="0.3">
      <c r="A260" s="12"/>
    </row>
    <row r="261" spans="1:1" x14ac:dyDescent="0.3">
      <c r="A261" s="12"/>
    </row>
    <row r="262" spans="1:1" x14ac:dyDescent="0.3">
      <c r="A262" s="12"/>
    </row>
    <row r="263" spans="1:1" x14ac:dyDescent="0.3">
      <c r="A263" s="12"/>
    </row>
    <row r="264" spans="1:1" x14ac:dyDescent="0.3">
      <c r="A264" s="12"/>
    </row>
    <row r="265" spans="1:1" x14ac:dyDescent="0.3">
      <c r="A265" s="12"/>
    </row>
    <row r="266" spans="1:1" x14ac:dyDescent="0.3">
      <c r="A266" s="12"/>
    </row>
    <row r="267" spans="1:1" x14ac:dyDescent="0.3">
      <c r="A267" s="12"/>
    </row>
    <row r="268" spans="1:1" x14ac:dyDescent="0.3">
      <c r="A268" s="12"/>
    </row>
    <row r="269" spans="1:1" x14ac:dyDescent="0.3">
      <c r="A269" s="12"/>
    </row>
    <row r="270" spans="1:1" x14ac:dyDescent="0.3">
      <c r="A270" s="12"/>
    </row>
    <row r="271" spans="1:1" x14ac:dyDescent="0.3">
      <c r="A271" s="12"/>
    </row>
    <row r="272" spans="1:1" x14ac:dyDescent="0.3">
      <c r="A272" s="12"/>
    </row>
    <row r="273" spans="1:1" x14ac:dyDescent="0.3">
      <c r="A273" s="12"/>
    </row>
    <row r="274" spans="1:1" x14ac:dyDescent="0.3">
      <c r="A274" s="12"/>
    </row>
    <row r="275" spans="1:1" x14ac:dyDescent="0.3">
      <c r="A275" s="12"/>
    </row>
    <row r="276" spans="1:1" x14ac:dyDescent="0.3">
      <c r="A276" s="12"/>
    </row>
    <row r="277" spans="1:1" x14ac:dyDescent="0.3">
      <c r="A277" s="12"/>
    </row>
    <row r="278" spans="1:1" x14ac:dyDescent="0.3">
      <c r="A278" s="12"/>
    </row>
    <row r="279" spans="1:1" x14ac:dyDescent="0.3">
      <c r="A279" s="12"/>
    </row>
    <row r="280" spans="1:1" x14ac:dyDescent="0.3">
      <c r="A280" s="12"/>
    </row>
    <row r="281" spans="1:1" x14ac:dyDescent="0.3">
      <c r="A281" s="12"/>
    </row>
    <row r="282" spans="1:1" x14ac:dyDescent="0.3">
      <c r="A282" s="12"/>
    </row>
    <row r="283" spans="1:1" x14ac:dyDescent="0.3">
      <c r="A283" s="12"/>
    </row>
    <row r="284" spans="1:1" x14ac:dyDescent="0.3">
      <c r="A284" s="12"/>
    </row>
    <row r="285" spans="1:1" x14ac:dyDescent="0.3">
      <c r="A285" s="12"/>
    </row>
    <row r="286" spans="1:1" x14ac:dyDescent="0.3">
      <c r="A286" s="12"/>
    </row>
    <row r="287" spans="1:1" x14ac:dyDescent="0.3">
      <c r="A287" s="12"/>
    </row>
    <row r="288" spans="1:1" x14ac:dyDescent="0.3">
      <c r="A288" s="12"/>
    </row>
    <row r="289" spans="1:1" x14ac:dyDescent="0.3">
      <c r="A289" s="12"/>
    </row>
    <row r="290" spans="1:1" x14ac:dyDescent="0.3">
      <c r="A290" s="12"/>
    </row>
    <row r="291" spans="1:1" x14ac:dyDescent="0.3">
      <c r="A291" s="12"/>
    </row>
    <row r="292" spans="1:1" x14ac:dyDescent="0.3">
      <c r="A292" s="12"/>
    </row>
    <row r="293" spans="1:1" x14ac:dyDescent="0.3">
      <c r="A293" s="12"/>
    </row>
    <row r="294" spans="1:1" x14ac:dyDescent="0.3">
      <c r="A294" s="12"/>
    </row>
    <row r="295" spans="1:1" x14ac:dyDescent="0.3">
      <c r="A295" s="12"/>
    </row>
    <row r="296" spans="1:1" x14ac:dyDescent="0.3">
      <c r="A296" s="12"/>
    </row>
    <row r="297" spans="1:1" x14ac:dyDescent="0.3">
      <c r="A297" s="12"/>
    </row>
    <row r="298" spans="1:1" x14ac:dyDescent="0.3">
      <c r="A298" s="12"/>
    </row>
    <row r="299" spans="1:1" x14ac:dyDescent="0.3">
      <c r="A299" s="12"/>
    </row>
    <row r="300" spans="1:1" x14ac:dyDescent="0.3">
      <c r="A300" s="12"/>
    </row>
    <row r="301" spans="1:1" x14ac:dyDescent="0.3">
      <c r="A301" s="12"/>
    </row>
    <row r="302" spans="1:1" x14ac:dyDescent="0.3">
      <c r="A302" s="12"/>
    </row>
    <row r="303" spans="1:1" x14ac:dyDescent="0.3">
      <c r="A303" s="12"/>
    </row>
    <row r="304" spans="1:1" x14ac:dyDescent="0.3">
      <c r="A304" s="12"/>
    </row>
    <row r="305" spans="1:1" x14ac:dyDescent="0.3">
      <c r="A305" s="12"/>
    </row>
    <row r="306" spans="1:1" x14ac:dyDescent="0.3">
      <c r="A306" s="12"/>
    </row>
    <row r="307" spans="1:1" x14ac:dyDescent="0.3">
      <c r="A307" s="12"/>
    </row>
    <row r="308" spans="1:1" x14ac:dyDescent="0.3">
      <c r="A308" s="12"/>
    </row>
    <row r="309" spans="1:1" x14ac:dyDescent="0.3">
      <c r="A309" s="12"/>
    </row>
    <row r="310" spans="1:1" x14ac:dyDescent="0.3">
      <c r="A310" s="12"/>
    </row>
    <row r="311" spans="1:1" x14ac:dyDescent="0.3">
      <c r="A311" s="12"/>
    </row>
    <row r="312" spans="1:1" x14ac:dyDescent="0.3">
      <c r="A312" s="12"/>
    </row>
    <row r="313" spans="1:1" x14ac:dyDescent="0.3">
      <c r="A313" s="12"/>
    </row>
    <row r="314" spans="1:1" x14ac:dyDescent="0.3">
      <c r="A314" s="12"/>
    </row>
    <row r="315" spans="1:1" x14ac:dyDescent="0.3">
      <c r="A315" s="12"/>
    </row>
    <row r="316" spans="1:1" x14ac:dyDescent="0.3">
      <c r="A316" s="12"/>
    </row>
    <row r="317" spans="1:1" x14ac:dyDescent="0.3">
      <c r="A317" s="12"/>
    </row>
    <row r="318" spans="1:1" x14ac:dyDescent="0.3">
      <c r="A318" s="12"/>
    </row>
    <row r="319" spans="1:1" x14ac:dyDescent="0.3">
      <c r="A319" s="12"/>
    </row>
    <row r="320" spans="1:1" x14ac:dyDescent="0.3">
      <c r="A320" s="12"/>
    </row>
    <row r="321" spans="1:1" x14ac:dyDescent="0.3">
      <c r="A321" s="12"/>
    </row>
    <row r="322" spans="1:1" x14ac:dyDescent="0.3">
      <c r="A322" s="12"/>
    </row>
    <row r="323" spans="1:1" x14ac:dyDescent="0.3">
      <c r="A323" s="12"/>
    </row>
    <row r="324" spans="1:1" x14ac:dyDescent="0.3">
      <c r="A324" s="12"/>
    </row>
    <row r="325" spans="1:1" x14ac:dyDescent="0.3">
      <c r="A325" s="12"/>
    </row>
    <row r="326" spans="1:1" x14ac:dyDescent="0.3">
      <c r="A326" s="12"/>
    </row>
    <row r="327" spans="1:1" x14ac:dyDescent="0.3">
      <c r="A327" s="12"/>
    </row>
    <row r="328" spans="1:1" x14ac:dyDescent="0.3">
      <c r="A328" s="12"/>
    </row>
    <row r="329" spans="1:1" x14ac:dyDescent="0.3">
      <c r="A329" s="12"/>
    </row>
    <row r="330" spans="1:1" x14ac:dyDescent="0.3">
      <c r="A330" s="12"/>
    </row>
    <row r="331" spans="1:1" x14ac:dyDescent="0.3">
      <c r="A331" s="12"/>
    </row>
    <row r="332" spans="1:1" x14ac:dyDescent="0.3">
      <c r="A332" s="12"/>
    </row>
    <row r="333" spans="1:1" x14ac:dyDescent="0.3">
      <c r="A333" s="12"/>
    </row>
    <row r="334" spans="1:1" x14ac:dyDescent="0.3">
      <c r="A334" s="12"/>
    </row>
    <row r="335" spans="1:1" x14ac:dyDescent="0.3">
      <c r="A335" s="12"/>
    </row>
    <row r="336" spans="1:1" x14ac:dyDescent="0.3">
      <c r="A336" s="12"/>
    </row>
    <row r="337" spans="1:1" x14ac:dyDescent="0.3">
      <c r="A337" s="12"/>
    </row>
    <row r="338" spans="1:1" x14ac:dyDescent="0.3">
      <c r="A338" s="12"/>
    </row>
    <row r="339" spans="1:1" x14ac:dyDescent="0.3">
      <c r="A339" s="12"/>
    </row>
    <row r="340" spans="1:1" x14ac:dyDescent="0.3">
      <c r="A340" s="12"/>
    </row>
    <row r="341" spans="1:1" x14ac:dyDescent="0.3">
      <c r="A341" s="12"/>
    </row>
    <row r="342" spans="1:1" x14ac:dyDescent="0.3">
      <c r="A342" s="12"/>
    </row>
    <row r="343" spans="1:1" x14ac:dyDescent="0.3">
      <c r="A343" s="12"/>
    </row>
    <row r="344" spans="1:1" x14ac:dyDescent="0.3">
      <c r="A344" s="12"/>
    </row>
    <row r="345" spans="1:1" x14ac:dyDescent="0.3">
      <c r="A345" s="12"/>
    </row>
    <row r="346" spans="1:1" x14ac:dyDescent="0.3">
      <c r="A346" s="12"/>
    </row>
    <row r="347" spans="1:1" x14ac:dyDescent="0.3">
      <c r="A347" s="12"/>
    </row>
    <row r="348" spans="1:1" x14ac:dyDescent="0.3">
      <c r="A348" s="12"/>
    </row>
    <row r="349" spans="1:1" x14ac:dyDescent="0.3">
      <c r="A349" s="12"/>
    </row>
    <row r="350" spans="1:1" x14ac:dyDescent="0.3">
      <c r="A350" s="12"/>
    </row>
    <row r="351" spans="1:1" x14ac:dyDescent="0.3">
      <c r="A351" s="12"/>
    </row>
    <row r="352" spans="1:1" x14ac:dyDescent="0.3">
      <c r="A352" s="12"/>
    </row>
    <row r="353" spans="1:1" x14ac:dyDescent="0.3">
      <c r="A353" s="12"/>
    </row>
    <row r="354" spans="1:1" x14ac:dyDescent="0.3">
      <c r="A354" s="12"/>
    </row>
    <row r="355" spans="1:1" x14ac:dyDescent="0.3">
      <c r="A355" s="12"/>
    </row>
    <row r="356" spans="1:1" x14ac:dyDescent="0.3">
      <c r="A356" s="12"/>
    </row>
    <row r="357" spans="1:1" x14ac:dyDescent="0.3">
      <c r="A357" s="12"/>
    </row>
    <row r="358" spans="1:1" x14ac:dyDescent="0.3">
      <c r="A358" s="12"/>
    </row>
    <row r="359" spans="1:1" x14ac:dyDescent="0.3">
      <c r="A359" s="12"/>
    </row>
    <row r="360" spans="1:1" x14ac:dyDescent="0.3">
      <c r="A360" s="12"/>
    </row>
    <row r="361" spans="1:1" x14ac:dyDescent="0.3">
      <c r="A361" s="12"/>
    </row>
    <row r="362" spans="1:1" x14ac:dyDescent="0.3">
      <c r="A362" s="12"/>
    </row>
    <row r="363" spans="1:1" x14ac:dyDescent="0.3">
      <c r="A363" s="12"/>
    </row>
    <row r="364" spans="1:1" x14ac:dyDescent="0.3">
      <c r="A364" s="12"/>
    </row>
    <row r="365" spans="1:1" x14ac:dyDescent="0.3">
      <c r="A365" s="12"/>
    </row>
    <row r="366" spans="1:1" x14ac:dyDescent="0.3">
      <c r="A366" s="12"/>
    </row>
    <row r="367" spans="1:1" x14ac:dyDescent="0.3">
      <c r="A367" s="12"/>
    </row>
    <row r="368" spans="1:1" x14ac:dyDescent="0.3">
      <c r="A368" s="12"/>
    </row>
    <row r="369" spans="1:1" x14ac:dyDescent="0.3">
      <c r="A369" s="12"/>
    </row>
    <row r="370" spans="1:1" x14ac:dyDescent="0.3">
      <c r="A370" s="12"/>
    </row>
    <row r="371" spans="1:1" x14ac:dyDescent="0.3">
      <c r="A371" s="12"/>
    </row>
    <row r="372" spans="1:1" x14ac:dyDescent="0.3">
      <c r="A372" s="12"/>
    </row>
    <row r="373" spans="1:1" x14ac:dyDescent="0.3">
      <c r="A373" s="12"/>
    </row>
    <row r="374" spans="1:1" x14ac:dyDescent="0.3">
      <c r="A374" s="12"/>
    </row>
    <row r="375" spans="1:1" x14ac:dyDescent="0.3">
      <c r="A375" s="12"/>
    </row>
    <row r="376" spans="1:1" x14ac:dyDescent="0.3">
      <c r="A376" s="12"/>
    </row>
    <row r="377" spans="1:1" x14ac:dyDescent="0.3">
      <c r="A377" s="12"/>
    </row>
    <row r="378" spans="1:1" x14ac:dyDescent="0.3">
      <c r="A378" s="12"/>
    </row>
    <row r="379" spans="1:1" x14ac:dyDescent="0.3">
      <c r="A379" s="12"/>
    </row>
    <row r="380" spans="1:1" x14ac:dyDescent="0.3">
      <c r="A380" s="12"/>
    </row>
    <row r="381" spans="1:1" x14ac:dyDescent="0.3">
      <c r="A381" s="12"/>
    </row>
    <row r="382" spans="1:1" x14ac:dyDescent="0.3">
      <c r="A382" s="12"/>
    </row>
    <row r="383" spans="1:1" x14ac:dyDescent="0.3">
      <c r="A383" s="12"/>
    </row>
    <row r="384" spans="1:1" x14ac:dyDescent="0.3">
      <c r="A384" s="12"/>
    </row>
    <row r="385" spans="1:1" x14ac:dyDescent="0.3">
      <c r="A385" s="12"/>
    </row>
    <row r="386" spans="1:1" x14ac:dyDescent="0.3">
      <c r="A386" s="12"/>
    </row>
    <row r="387" spans="1:1" x14ac:dyDescent="0.3">
      <c r="A387" s="12"/>
    </row>
    <row r="388" spans="1:1" x14ac:dyDescent="0.3">
      <c r="A388" s="12"/>
    </row>
    <row r="389" spans="1:1" x14ac:dyDescent="0.3">
      <c r="A389" s="12"/>
    </row>
    <row r="390" spans="1:1" x14ac:dyDescent="0.3">
      <c r="A390" s="12"/>
    </row>
    <row r="391" spans="1:1" x14ac:dyDescent="0.3">
      <c r="A391" s="12"/>
    </row>
    <row r="392" spans="1:1" x14ac:dyDescent="0.3">
      <c r="A392" s="12"/>
    </row>
    <row r="393" spans="1:1" x14ac:dyDescent="0.3">
      <c r="A393" s="12"/>
    </row>
    <row r="394" spans="1:1" x14ac:dyDescent="0.3">
      <c r="A394" s="12"/>
    </row>
    <row r="395" spans="1:1" x14ac:dyDescent="0.3">
      <c r="A395" s="12"/>
    </row>
    <row r="396" spans="1:1" x14ac:dyDescent="0.3">
      <c r="A396" s="12"/>
    </row>
    <row r="397" spans="1:1" x14ac:dyDescent="0.3">
      <c r="A397" s="12"/>
    </row>
    <row r="398" spans="1:1" x14ac:dyDescent="0.3">
      <c r="A398" s="12"/>
    </row>
    <row r="399" spans="1:1" x14ac:dyDescent="0.3">
      <c r="A399" s="12"/>
    </row>
    <row r="400" spans="1:1" x14ac:dyDescent="0.3">
      <c r="A400" s="12"/>
    </row>
    <row r="401" spans="1:1" x14ac:dyDescent="0.3">
      <c r="A401" s="12"/>
    </row>
    <row r="402" spans="1:1" x14ac:dyDescent="0.3">
      <c r="A402" s="12"/>
    </row>
    <row r="403" spans="1:1" x14ac:dyDescent="0.3">
      <c r="A403" s="12"/>
    </row>
    <row r="404" spans="1:1" x14ac:dyDescent="0.3">
      <c r="A404" s="12"/>
    </row>
    <row r="405" spans="1:1" x14ac:dyDescent="0.3">
      <c r="A405" s="12"/>
    </row>
    <row r="406" spans="1:1" x14ac:dyDescent="0.3">
      <c r="A406" s="12"/>
    </row>
    <row r="407" spans="1:1" x14ac:dyDescent="0.3">
      <c r="A407" s="12"/>
    </row>
    <row r="408" spans="1:1" x14ac:dyDescent="0.3">
      <c r="A408" s="12"/>
    </row>
    <row r="409" spans="1:1" x14ac:dyDescent="0.3">
      <c r="A409" s="12"/>
    </row>
    <row r="410" spans="1:1" x14ac:dyDescent="0.3">
      <c r="A410" s="12"/>
    </row>
    <row r="411" spans="1:1" x14ac:dyDescent="0.3">
      <c r="A411" s="12"/>
    </row>
    <row r="412" spans="1:1" x14ac:dyDescent="0.3">
      <c r="A412" s="12"/>
    </row>
    <row r="413" spans="1:1" x14ac:dyDescent="0.3">
      <c r="A413" s="12"/>
    </row>
    <row r="414" spans="1:1" x14ac:dyDescent="0.3">
      <c r="A414" s="12"/>
    </row>
    <row r="415" spans="1:1" x14ac:dyDescent="0.3">
      <c r="A415" s="12"/>
    </row>
    <row r="416" spans="1:1" x14ac:dyDescent="0.3">
      <c r="A416" s="12"/>
    </row>
    <row r="417" spans="1:1" x14ac:dyDescent="0.3">
      <c r="A417" s="12"/>
    </row>
    <row r="418" spans="1:1" x14ac:dyDescent="0.3">
      <c r="A418" s="12"/>
    </row>
    <row r="419" spans="1:1" x14ac:dyDescent="0.3">
      <c r="A419" s="12"/>
    </row>
    <row r="420" spans="1:1" x14ac:dyDescent="0.3">
      <c r="A420" s="12"/>
    </row>
    <row r="421" spans="1:1" x14ac:dyDescent="0.3">
      <c r="A421" s="12"/>
    </row>
    <row r="422" spans="1:1" x14ac:dyDescent="0.3">
      <c r="A422" s="12"/>
    </row>
    <row r="423" spans="1:1" x14ac:dyDescent="0.3">
      <c r="A423" s="12"/>
    </row>
    <row r="424" spans="1:1" x14ac:dyDescent="0.3">
      <c r="A424" s="12"/>
    </row>
    <row r="425" spans="1:1" x14ac:dyDescent="0.3">
      <c r="A425" s="12"/>
    </row>
    <row r="426" spans="1:1" x14ac:dyDescent="0.3">
      <c r="A426" s="12"/>
    </row>
    <row r="427" spans="1:1" x14ac:dyDescent="0.3">
      <c r="A427" s="12"/>
    </row>
    <row r="428" spans="1:1" x14ac:dyDescent="0.3">
      <c r="A428" s="12"/>
    </row>
    <row r="429" spans="1:1" x14ac:dyDescent="0.3">
      <c r="A429" s="12"/>
    </row>
    <row r="430" spans="1:1" x14ac:dyDescent="0.3">
      <c r="A430" s="12"/>
    </row>
    <row r="431" spans="1:1" x14ac:dyDescent="0.3">
      <c r="A431" s="12"/>
    </row>
    <row r="432" spans="1:1" x14ac:dyDescent="0.3">
      <c r="A432" s="12"/>
    </row>
    <row r="433" spans="1:1" x14ac:dyDescent="0.3">
      <c r="A433" s="12"/>
    </row>
    <row r="434" spans="1:1" x14ac:dyDescent="0.3">
      <c r="A434" s="12"/>
    </row>
    <row r="435" spans="1:1" x14ac:dyDescent="0.3">
      <c r="A435" s="12"/>
    </row>
    <row r="436" spans="1:1" x14ac:dyDescent="0.3">
      <c r="A436" s="12"/>
    </row>
    <row r="437" spans="1:1" x14ac:dyDescent="0.3">
      <c r="A437" s="12"/>
    </row>
    <row r="438" spans="1:1" x14ac:dyDescent="0.3">
      <c r="A438" s="12"/>
    </row>
    <row r="439" spans="1:1" x14ac:dyDescent="0.3">
      <c r="A439" s="12"/>
    </row>
    <row r="440" spans="1:1" x14ac:dyDescent="0.3">
      <c r="A440" s="12"/>
    </row>
    <row r="441" spans="1:1" x14ac:dyDescent="0.3">
      <c r="A441" s="12"/>
    </row>
    <row r="442" spans="1:1" x14ac:dyDescent="0.3">
      <c r="A442" s="12"/>
    </row>
    <row r="443" spans="1:1" x14ac:dyDescent="0.3">
      <c r="A443" s="12"/>
    </row>
    <row r="444" spans="1:1" x14ac:dyDescent="0.3">
      <c r="A444" s="12"/>
    </row>
    <row r="445" spans="1:1" x14ac:dyDescent="0.3">
      <c r="A445" s="12"/>
    </row>
    <row r="446" spans="1:1" x14ac:dyDescent="0.3">
      <c r="A446" s="12"/>
    </row>
    <row r="447" spans="1:1" x14ac:dyDescent="0.3">
      <c r="A447" s="12"/>
    </row>
    <row r="448" spans="1:1" x14ac:dyDescent="0.3">
      <c r="A448" s="12"/>
    </row>
    <row r="449" spans="1:1" x14ac:dyDescent="0.3">
      <c r="A449" s="12"/>
    </row>
    <row r="450" spans="1:1" x14ac:dyDescent="0.3">
      <c r="A450" s="12"/>
    </row>
    <row r="451" spans="1:1" x14ac:dyDescent="0.3">
      <c r="A451" s="12"/>
    </row>
    <row r="452" spans="1:1" x14ac:dyDescent="0.3">
      <c r="A452" s="12"/>
    </row>
    <row r="453" spans="1:1" x14ac:dyDescent="0.3">
      <c r="A453" s="12"/>
    </row>
    <row r="454" spans="1:1" x14ac:dyDescent="0.3">
      <c r="A454" s="12"/>
    </row>
    <row r="455" spans="1:1" x14ac:dyDescent="0.3">
      <c r="A455" s="12"/>
    </row>
    <row r="456" spans="1:1" x14ac:dyDescent="0.3">
      <c r="A456" s="12"/>
    </row>
    <row r="457" spans="1:1" x14ac:dyDescent="0.3">
      <c r="A457" s="12"/>
    </row>
    <row r="458" spans="1:1" x14ac:dyDescent="0.3">
      <c r="A458" s="12"/>
    </row>
    <row r="459" spans="1:1" x14ac:dyDescent="0.3">
      <c r="A459" s="12"/>
    </row>
    <row r="460" spans="1:1" x14ac:dyDescent="0.3">
      <c r="A460" s="12"/>
    </row>
    <row r="461" spans="1:1" x14ac:dyDescent="0.3">
      <c r="A461" s="12"/>
    </row>
    <row r="462" spans="1:1" x14ac:dyDescent="0.3">
      <c r="A462" s="12"/>
    </row>
    <row r="463" spans="1:1" x14ac:dyDescent="0.3">
      <c r="A463" s="12"/>
    </row>
    <row r="464" spans="1:1" x14ac:dyDescent="0.3">
      <c r="A464" s="12"/>
    </row>
    <row r="465" spans="1:1" x14ac:dyDescent="0.3">
      <c r="A465" s="12"/>
    </row>
    <row r="466" spans="1:1" x14ac:dyDescent="0.3">
      <c r="A466" s="12"/>
    </row>
    <row r="467" spans="1:1" x14ac:dyDescent="0.3">
      <c r="A467" s="12"/>
    </row>
    <row r="468" spans="1:1" x14ac:dyDescent="0.3">
      <c r="A468" s="12"/>
    </row>
    <row r="469" spans="1:1" x14ac:dyDescent="0.3">
      <c r="A469" s="12"/>
    </row>
    <row r="470" spans="1:1" x14ac:dyDescent="0.3">
      <c r="A470" s="12"/>
    </row>
    <row r="471" spans="1:1" x14ac:dyDescent="0.3">
      <c r="A471" s="12"/>
    </row>
    <row r="472" spans="1:1" x14ac:dyDescent="0.3">
      <c r="A472" s="12"/>
    </row>
    <row r="473" spans="1:1" x14ac:dyDescent="0.3">
      <c r="A473" s="12"/>
    </row>
    <row r="474" spans="1:1" x14ac:dyDescent="0.3">
      <c r="A474" s="12"/>
    </row>
    <row r="475" spans="1:1" x14ac:dyDescent="0.3">
      <c r="A475" s="12"/>
    </row>
    <row r="476" spans="1:1" x14ac:dyDescent="0.3">
      <c r="A476" s="12"/>
    </row>
    <row r="477" spans="1:1" x14ac:dyDescent="0.3">
      <c r="A477" s="12"/>
    </row>
    <row r="478" spans="1:1" x14ac:dyDescent="0.3">
      <c r="A478" s="12"/>
    </row>
    <row r="479" spans="1:1" x14ac:dyDescent="0.3">
      <c r="A479" s="12"/>
    </row>
    <row r="480" spans="1:1" x14ac:dyDescent="0.3">
      <c r="A480" s="12"/>
    </row>
    <row r="481" spans="1:1" x14ac:dyDescent="0.3">
      <c r="A481" s="12"/>
    </row>
    <row r="482" spans="1:1" x14ac:dyDescent="0.3">
      <c r="A482" s="12"/>
    </row>
    <row r="483" spans="1:1" x14ac:dyDescent="0.3">
      <c r="A483" s="12"/>
    </row>
    <row r="484" spans="1:1" x14ac:dyDescent="0.3">
      <c r="A484" s="12"/>
    </row>
    <row r="485" spans="1:1" x14ac:dyDescent="0.3">
      <c r="A485" s="12"/>
    </row>
    <row r="486" spans="1:1" x14ac:dyDescent="0.3">
      <c r="A486" s="12"/>
    </row>
    <row r="487" spans="1:1" x14ac:dyDescent="0.3">
      <c r="A487" s="12"/>
    </row>
    <row r="488" spans="1:1" x14ac:dyDescent="0.3">
      <c r="A488" s="12"/>
    </row>
    <row r="489" spans="1:1" x14ac:dyDescent="0.3">
      <c r="A489" s="12"/>
    </row>
    <row r="490" spans="1:1" x14ac:dyDescent="0.3">
      <c r="A490" s="12"/>
    </row>
    <row r="491" spans="1:1" x14ac:dyDescent="0.3">
      <c r="A491" s="12"/>
    </row>
    <row r="492" spans="1:1" x14ac:dyDescent="0.3">
      <c r="A492" s="12"/>
    </row>
    <row r="493" spans="1:1" x14ac:dyDescent="0.3">
      <c r="A493" s="12"/>
    </row>
    <row r="494" spans="1:1" x14ac:dyDescent="0.3">
      <c r="A494" s="12"/>
    </row>
    <row r="495" spans="1:1" x14ac:dyDescent="0.3">
      <c r="A495" s="12"/>
    </row>
    <row r="496" spans="1:1" x14ac:dyDescent="0.3">
      <c r="A496" s="12"/>
    </row>
    <row r="497" spans="1:1" x14ac:dyDescent="0.3">
      <c r="A497" s="12"/>
    </row>
    <row r="498" spans="1:1" x14ac:dyDescent="0.3">
      <c r="A498" s="12"/>
    </row>
    <row r="499" spans="1:1" x14ac:dyDescent="0.3">
      <c r="A499" s="12"/>
    </row>
    <row r="500" spans="1:1" x14ac:dyDescent="0.3">
      <c r="A500" s="12"/>
    </row>
    <row r="501" spans="1:1" x14ac:dyDescent="0.3">
      <c r="A501" s="12"/>
    </row>
    <row r="502" spans="1:1" x14ac:dyDescent="0.3">
      <c r="A502" s="12"/>
    </row>
    <row r="503" spans="1:1" x14ac:dyDescent="0.3">
      <c r="A503" s="12"/>
    </row>
    <row r="504" spans="1:1" x14ac:dyDescent="0.3">
      <c r="A504" s="12"/>
    </row>
    <row r="505" spans="1:1" x14ac:dyDescent="0.3">
      <c r="A505" s="12"/>
    </row>
    <row r="506" spans="1:1" x14ac:dyDescent="0.3">
      <c r="A506" s="12"/>
    </row>
    <row r="507" spans="1:1" x14ac:dyDescent="0.3">
      <c r="A507" s="12"/>
    </row>
    <row r="508" spans="1:1" x14ac:dyDescent="0.3">
      <c r="A508" s="12"/>
    </row>
    <row r="509" spans="1:1" x14ac:dyDescent="0.3">
      <c r="A509" s="12"/>
    </row>
    <row r="510" spans="1:1" x14ac:dyDescent="0.3">
      <c r="A510" s="12"/>
    </row>
    <row r="511" spans="1:1" x14ac:dyDescent="0.3">
      <c r="A511" s="12"/>
    </row>
    <row r="512" spans="1:1" x14ac:dyDescent="0.3">
      <c r="A512" s="12"/>
    </row>
    <row r="513" spans="1:1" x14ac:dyDescent="0.3">
      <c r="A513" s="12"/>
    </row>
    <row r="514" spans="1:1" x14ac:dyDescent="0.3">
      <c r="A514" s="12"/>
    </row>
    <row r="515" spans="1:1" x14ac:dyDescent="0.3">
      <c r="A515" s="12"/>
    </row>
    <row r="516" spans="1:1" x14ac:dyDescent="0.3">
      <c r="A516" s="12"/>
    </row>
    <row r="517" spans="1:1" x14ac:dyDescent="0.3">
      <c r="A517" s="12"/>
    </row>
    <row r="518" spans="1:1" x14ac:dyDescent="0.3">
      <c r="A518" s="12"/>
    </row>
    <row r="519" spans="1:1" x14ac:dyDescent="0.3">
      <c r="A519" s="12"/>
    </row>
    <row r="520" spans="1:1" x14ac:dyDescent="0.3">
      <c r="A520" s="12"/>
    </row>
    <row r="521" spans="1:1" x14ac:dyDescent="0.3">
      <c r="A521" s="12"/>
    </row>
    <row r="522" spans="1:1" x14ac:dyDescent="0.3">
      <c r="A522" s="12"/>
    </row>
    <row r="523" spans="1:1" x14ac:dyDescent="0.3">
      <c r="A523" s="12"/>
    </row>
    <row r="524" spans="1:1" x14ac:dyDescent="0.3">
      <c r="A524" s="12"/>
    </row>
    <row r="525" spans="1:1" x14ac:dyDescent="0.3">
      <c r="A525" s="12"/>
    </row>
    <row r="526" spans="1:1" x14ac:dyDescent="0.3">
      <c r="A526" s="12"/>
    </row>
    <row r="527" spans="1:1" x14ac:dyDescent="0.3">
      <c r="A527" s="12"/>
    </row>
    <row r="528" spans="1:1" x14ac:dyDescent="0.3">
      <c r="A528" s="12"/>
    </row>
    <row r="529" spans="1:1" x14ac:dyDescent="0.3">
      <c r="A529" s="12"/>
    </row>
    <row r="530" spans="1:1" x14ac:dyDescent="0.3">
      <c r="A530" s="12"/>
    </row>
    <row r="531" spans="1:1" x14ac:dyDescent="0.3">
      <c r="A531" s="12"/>
    </row>
    <row r="532" spans="1:1" x14ac:dyDescent="0.3">
      <c r="A532" s="12"/>
    </row>
    <row r="533" spans="1:1" x14ac:dyDescent="0.3">
      <c r="A533" s="12"/>
    </row>
    <row r="534" spans="1:1" x14ac:dyDescent="0.3">
      <c r="A534" s="12"/>
    </row>
    <row r="535" spans="1:1" x14ac:dyDescent="0.3">
      <c r="A535" s="12"/>
    </row>
    <row r="536" spans="1:1" x14ac:dyDescent="0.3">
      <c r="A536" s="12"/>
    </row>
    <row r="537" spans="1:1" x14ac:dyDescent="0.3">
      <c r="A537" s="12"/>
    </row>
    <row r="538" spans="1:1" x14ac:dyDescent="0.3">
      <c r="A538" s="12"/>
    </row>
    <row r="539" spans="1:1" x14ac:dyDescent="0.3">
      <c r="A539" s="12"/>
    </row>
    <row r="540" spans="1:1" x14ac:dyDescent="0.3">
      <c r="A540" s="12"/>
    </row>
    <row r="541" spans="1:1" x14ac:dyDescent="0.3">
      <c r="A541" s="12"/>
    </row>
    <row r="542" spans="1:1" x14ac:dyDescent="0.3">
      <c r="A542" s="12"/>
    </row>
    <row r="543" spans="1:1" x14ac:dyDescent="0.3">
      <c r="A543" s="12"/>
    </row>
    <row r="544" spans="1:1" x14ac:dyDescent="0.3">
      <c r="A544" s="12"/>
    </row>
    <row r="545" spans="1:1" x14ac:dyDescent="0.3">
      <c r="A545" s="12"/>
    </row>
    <row r="546" spans="1:1" x14ac:dyDescent="0.3">
      <c r="A546" s="12"/>
    </row>
    <row r="547" spans="1:1" x14ac:dyDescent="0.3">
      <c r="A547" s="12"/>
    </row>
    <row r="548" spans="1:1" x14ac:dyDescent="0.3">
      <c r="A548" s="12"/>
    </row>
    <row r="549" spans="1:1" x14ac:dyDescent="0.3">
      <c r="A549" s="12"/>
    </row>
    <row r="550" spans="1:1" x14ac:dyDescent="0.3">
      <c r="A550" s="12"/>
    </row>
    <row r="551" spans="1:1" x14ac:dyDescent="0.3">
      <c r="A551" s="12"/>
    </row>
    <row r="552" spans="1:1" x14ac:dyDescent="0.3">
      <c r="A552" s="12"/>
    </row>
    <row r="553" spans="1:1" x14ac:dyDescent="0.3">
      <c r="A553" s="12"/>
    </row>
    <row r="554" spans="1:1" x14ac:dyDescent="0.3">
      <c r="A554" s="12"/>
    </row>
    <row r="555" spans="1:1" x14ac:dyDescent="0.3">
      <c r="A555" s="12"/>
    </row>
    <row r="556" spans="1:1" x14ac:dyDescent="0.3">
      <c r="A556" s="12"/>
    </row>
    <row r="557" spans="1:1" x14ac:dyDescent="0.3">
      <c r="A557" s="12"/>
    </row>
    <row r="558" spans="1:1" x14ac:dyDescent="0.3">
      <c r="A558" s="12"/>
    </row>
    <row r="559" spans="1:1" x14ac:dyDescent="0.3">
      <c r="A559" s="12"/>
    </row>
    <row r="560" spans="1:1" x14ac:dyDescent="0.3">
      <c r="A560" s="12"/>
    </row>
    <row r="561" spans="1:1" x14ac:dyDescent="0.3">
      <c r="A561" s="12"/>
    </row>
    <row r="562" spans="1:1" x14ac:dyDescent="0.3">
      <c r="A562" s="12"/>
    </row>
    <row r="563" spans="1:1" x14ac:dyDescent="0.3">
      <c r="A563" s="12"/>
    </row>
    <row r="564" spans="1:1" x14ac:dyDescent="0.3">
      <c r="A564" s="12"/>
    </row>
    <row r="565" spans="1:1" x14ac:dyDescent="0.3">
      <c r="A565" s="12"/>
    </row>
    <row r="566" spans="1:1" x14ac:dyDescent="0.3">
      <c r="A566" s="12"/>
    </row>
    <row r="567" spans="1:1" x14ac:dyDescent="0.3">
      <c r="A567" s="12"/>
    </row>
    <row r="568" spans="1:1" x14ac:dyDescent="0.3">
      <c r="A568" s="12"/>
    </row>
    <row r="569" spans="1:1" x14ac:dyDescent="0.3">
      <c r="A569" s="12"/>
    </row>
    <row r="570" spans="1:1" x14ac:dyDescent="0.3">
      <c r="A570" s="12"/>
    </row>
    <row r="571" spans="1:1" x14ac:dyDescent="0.3">
      <c r="A571" s="12"/>
    </row>
    <row r="572" spans="1:1" x14ac:dyDescent="0.3">
      <c r="A572" s="12"/>
    </row>
    <row r="573" spans="1:1" x14ac:dyDescent="0.3">
      <c r="A573" s="12"/>
    </row>
    <row r="574" spans="1:1" x14ac:dyDescent="0.3">
      <c r="A574" s="12"/>
    </row>
    <row r="575" spans="1:1" x14ac:dyDescent="0.3">
      <c r="A575" s="12"/>
    </row>
    <row r="576" spans="1:1" x14ac:dyDescent="0.3">
      <c r="A576" s="12"/>
    </row>
    <row r="577" spans="1:1" x14ac:dyDescent="0.3">
      <c r="A577" s="12"/>
    </row>
    <row r="578" spans="1:1" x14ac:dyDescent="0.3">
      <c r="A578" s="12"/>
    </row>
    <row r="579" spans="1:1" x14ac:dyDescent="0.3">
      <c r="A579" s="12"/>
    </row>
    <row r="580" spans="1:1" x14ac:dyDescent="0.3">
      <c r="A580" s="12"/>
    </row>
    <row r="581" spans="1:1" x14ac:dyDescent="0.3">
      <c r="A581" s="12"/>
    </row>
    <row r="582" spans="1:1" x14ac:dyDescent="0.3">
      <c r="A582" s="12"/>
    </row>
    <row r="583" spans="1:1" x14ac:dyDescent="0.3">
      <c r="A583" s="12"/>
    </row>
    <row r="584" spans="1:1" x14ac:dyDescent="0.3">
      <c r="A584" s="12"/>
    </row>
    <row r="585" spans="1:1" x14ac:dyDescent="0.3">
      <c r="A585" s="12"/>
    </row>
    <row r="586" spans="1:1" x14ac:dyDescent="0.3">
      <c r="A586" s="12"/>
    </row>
    <row r="587" spans="1:1" x14ac:dyDescent="0.3">
      <c r="A587" s="12"/>
    </row>
    <row r="588" spans="1:1" x14ac:dyDescent="0.3">
      <c r="A588" s="12"/>
    </row>
    <row r="589" spans="1:1" x14ac:dyDescent="0.3">
      <c r="A589" s="12"/>
    </row>
    <row r="590" spans="1:1" x14ac:dyDescent="0.3">
      <c r="A590" s="12"/>
    </row>
    <row r="591" spans="1:1" x14ac:dyDescent="0.3">
      <c r="A591" s="12"/>
    </row>
    <row r="592" spans="1:1" x14ac:dyDescent="0.3">
      <c r="A592" s="12"/>
    </row>
    <row r="593" spans="1:1" x14ac:dyDescent="0.3">
      <c r="A593" s="12"/>
    </row>
    <row r="594" spans="1:1" x14ac:dyDescent="0.3">
      <c r="A594" s="12"/>
    </row>
    <row r="595" spans="1:1" x14ac:dyDescent="0.3">
      <c r="A595" s="12"/>
    </row>
    <row r="596" spans="1:1" x14ac:dyDescent="0.3">
      <c r="A596" s="12"/>
    </row>
    <row r="597" spans="1:1" x14ac:dyDescent="0.3">
      <c r="A597" s="12"/>
    </row>
    <row r="598" spans="1:1" x14ac:dyDescent="0.3">
      <c r="A598" s="12"/>
    </row>
    <row r="599" spans="1:1" x14ac:dyDescent="0.3">
      <c r="A599" s="12"/>
    </row>
    <row r="600" spans="1:1" x14ac:dyDescent="0.3">
      <c r="A600" s="12"/>
    </row>
    <row r="601" spans="1:1" x14ac:dyDescent="0.3">
      <c r="A601" s="12"/>
    </row>
    <row r="602" spans="1:1" x14ac:dyDescent="0.3">
      <c r="A602" s="12"/>
    </row>
    <row r="603" spans="1:1" x14ac:dyDescent="0.3">
      <c r="A603" s="12"/>
    </row>
    <row r="604" spans="1:1" x14ac:dyDescent="0.3">
      <c r="A604" s="12"/>
    </row>
    <row r="605" spans="1:1" x14ac:dyDescent="0.3">
      <c r="A605" s="12"/>
    </row>
    <row r="606" spans="1:1" x14ac:dyDescent="0.3">
      <c r="A606" s="12"/>
    </row>
    <row r="607" spans="1:1" x14ac:dyDescent="0.3">
      <c r="A607" s="12"/>
    </row>
    <row r="608" spans="1:1" x14ac:dyDescent="0.3">
      <c r="A608" s="12"/>
    </row>
    <row r="609" spans="1:1" x14ac:dyDescent="0.3">
      <c r="A609" s="12"/>
    </row>
    <row r="610" spans="1:1" x14ac:dyDescent="0.3">
      <c r="A610" s="12"/>
    </row>
    <row r="611" spans="1:1" x14ac:dyDescent="0.3">
      <c r="A611" s="12"/>
    </row>
    <row r="612" spans="1:1" x14ac:dyDescent="0.3">
      <c r="A612" s="12"/>
    </row>
    <row r="613" spans="1:1" x14ac:dyDescent="0.3">
      <c r="A613" s="12"/>
    </row>
    <row r="614" spans="1:1" x14ac:dyDescent="0.3">
      <c r="A614" s="12"/>
    </row>
    <row r="615" spans="1:1" x14ac:dyDescent="0.3">
      <c r="A615" s="12"/>
    </row>
    <row r="616" spans="1:1" x14ac:dyDescent="0.3">
      <c r="A616" s="12"/>
    </row>
    <row r="617" spans="1:1" x14ac:dyDescent="0.3">
      <c r="A617" s="12"/>
    </row>
    <row r="618" spans="1:1" x14ac:dyDescent="0.3">
      <c r="A618" s="12"/>
    </row>
    <row r="619" spans="1:1" x14ac:dyDescent="0.3">
      <c r="A619" s="12"/>
    </row>
    <row r="620" spans="1:1" x14ac:dyDescent="0.3">
      <c r="A620" s="12"/>
    </row>
    <row r="621" spans="1:1" x14ac:dyDescent="0.3">
      <c r="A621" s="12"/>
    </row>
    <row r="622" spans="1:1" x14ac:dyDescent="0.3">
      <c r="A622" s="12"/>
    </row>
    <row r="623" spans="1:1" x14ac:dyDescent="0.3">
      <c r="A623" s="12"/>
    </row>
    <row r="624" spans="1:1" x14ac:dyDescent="0.3">
      <c r="A624" s="12"/>
    </row>
    <row r="625" spans="1:1" x14ac:dyDescent="0.3">
      <c r="A625" s="12"/>
    </row>
    <row r="626" spans="1:1" x14ac:dyDescent="0.3">
      <c r="A626" s="12"/>
    </row>
    <row r="627" spans="1:1" x14ac:dyDescent="0.3">
      <c r="A627" s="12"/>
    </row>
    <row r="628" spans="1:1" x14ac:dyDescent="0.3">
      <c r="A628" s="12"/>
    </row>
    <row r="629" spans="1:1" x14ac:dyDescent="0.3">
      <c r="A629" s="12"/>
    </row>
    <row r="630" spans="1:1" x14ac:dyDescent="0.3">
      <c r="A630" s="12"/>
    </row>
    <row r="631" spans="1:1" x14ac:dyDescent="0.3">
      <c r="A631" s="12"/>
    </row>
    <row r="632" spans="1:1" x14ac:dyDescent="0.3">
      <c r="A632" s="12"/>
    </row>
    <row r="633" spans="1:1" x14ac:dyDescent="0.3">
      <c r="A633" s="12"/>
    </row>
    <row r="634" spans="1:1" x14ac:dyDescent="0.3">
      <c r="A634" s="12"/>
    </row>
    <row r="635" spans="1:1" x14ac:dyDescent="0.3">
      <c r="A635" s="12"/>
    </row>
    <row r="636" spans="1:1" x14ac:dyDescent="0.3">
      <c r="A636" s="12"/>
    </row>
    <row r="637" spans="1:1" x14ac:dyDescent="0.3">
      <c r="A637" s="12"/>
    </row>
    <row r="638" spans="1:1" x14ac:dyDescent="0.3">
      <c r="A638" s="12"/>
    </row>
    <row r="639" spans="1:1" x14ac:dyDescent="0.3">
      <c r="A639" s="12"/>
    </row>
    <row r="640" spans="1:1" x14ac:dyDescent="0.3">
      <c r="A640" s="12"/>
    </row>
    <row r="641" spans="1:1" x14ac:dyDescent="0.3">
      <c r="A641" s="12"/>
    </row>
    <row r="642" spans="1:1" x14ac:dyDescent="0.3">
      <c r="A642" s="12"/>
    </row>
    <row r="643" spans="1:1" x14ac:dyDescent="0.3">
      <c r="A643" s="12"/>
    </row>
    <row r="644" spans="1:1" x14ac:dyDescent="0.3">
      <c r="A644" s="12"/>
    </row>
    <row r="645" spans="1:1" x14ac:dyDescent="0.3">
      <c r="A645" s="12"/>
    </row>
    <row r="646" spans="1:1" x14ac:dyDescent="0.3">
      <c r="A646" s="12"/>
    </row>
    <row r="647" spans="1:1" x14ac:dyDescent="0.3">
      <c r="A647" s="12"/>
    </row>
    <row r="648" spans="1:1" x14ac:dyDescent="0.3">
      <c r="A648" s="12"/>
    </row>
    <row r="649" spans="1:1" x14ac:dyDescent="0.3">
      <c r="A649" s="12"/>
    </row>
    <row r="650" spans="1:1" x14ac:dyDescent="0.3">
      <c r="A650" s="12"/>
    </row>
    <row r="651" spans="1:1" x14ac:dyDescent="0.3">
      <c r="A651" s="12"/>
    </row>
    <row r="652" spans="1:1" x14ac:dyDescent="0.3">
      <c r="A652" s="12"/>
    </row>
    <row r="653" spans="1:1" x14ac:dyDescent="0.3">
      <c r="A653" s="12"/>
    </row>
    <row r="654" spans="1:1" x14ac:dyDescent="0.3">
      <c r="A654" s="12"/>
    </row>
    <row r="655" spans="1:1" x14ac:dyDescent="0.3">
      <c r="A655" s="12"/>
    </row>
    <row r="656" spans="1:1" x14ac:dyDescent="0.3">
      <c r="A656" s="12"/>
    </row>
    <row r="657" spans="1:1" x14ac:dyDescent="0.3">
      <c r="A657" s="12"/>
    </row>
    <row r="658" spans="1:1" x14ac:dyDescent="0.3">
      <c r="A658" s="12"/>
    </row>
    <row r="659" spans="1:1" x14ac:dyDescent="0.3">
      <c r="A659" s="12"/>
    </row>
    <row r="660" spans="1:1" x14ac:dyDescent="0.3">
      <c r="A660" s="12"/>
    </row>
    <row r="661" spans="1:1" x14ac:dyDescent="0.3">
      <c r="A661" s="12"/>
    </row>
    <row r="662" spans="1:1" x14ac:dyDescent="0.3">
      <c r="A662" s="12"/>
    </row>
    <row r="663" spans="1:1" x14ac:dyDescent="0.3">
      <c r="A663" s="12"/>
    </row>
    <row r="664" spans="1:1" x14ac:dyDescent="0.3">
      <c r="A664" s="12"/>
    </row>
    <row r="665" spans="1:1" x14ac:dyDescent="0.3">
      <c r="A665" s="12"/>
    </row>
    <row r="666" spans="1:1" x14ac:dyDescent="0.3">
      <c r="A666" s="12"/>
    </row>
    <row r="667" spans="1:1" x14ac:dyDescent="0.3">
      <c r="A667" s="12"/>
    </row>
    <row r="668" spans="1:1" x14ac:dyDescent="0.3">
      <c r="A668" s="12"/>
    </row>
    <row r="669" spans="1:1" x14ac:dyDescent="0.3">
      <c r="A669" s="12"/>
    </row>
    <row r="670" spans="1:1" x14ac:dyDescent="0.3">
      <c r="A670" s="12"/>
    </row>
    <row r="671" spans="1:1" x14ac:dyDescent="0.3">
      <c r="A671" s="12"/>
    </row>
    <row r="672" spans="1:1" x14ac:dyDescent="0.3">
      <c r="A672" s="12"/>
    </row>
    <row r="673" spans="1:1" x14ac:dyDescent="0.3">
      <c r="A673" s="12"/>
    </row>
    <row r="674" spans="1:1" x14ac:dyDescent="0.3">
      <c r="A674" s="12"/>
    </row>
    <row r="675" spans="1:1" x14ac:dyDescent="0.3">
      <c r="A675" s="12"/>
    </row>
    <row r="676" spans="1:1" x14ac:dyDescent="0.3">
      <c r="A676" s="12"/>
    </row>
    <row r="677" spans="1:1" x14ac:dyDescent="0.3">
      <c r="A677" s="12"/>
    </row>
    <row r="678" spans="1:1" x14ac:dyDescent="0.3">
      <c r="A678" s="12"/>
    </row>
    <row r="679" spans="1:1" x14ac:dyDescent="0.3">
      <c r="A679" s="12"/>
    </row>
    <row r="680" spans="1:1" x14ac:dyDescent="0.3">
      <c r="A680" s="12"/>
    </row>
    <row r="681" spans="1:1" x14ac:dyDescent="0.3">
      <c r="A681" s="12"/>
    </row>
    <row r="682" spans="1:1" x14ac:dyDescent="0.3">
      <c r="A682" s="12"/>
    </row>
    <row r="683" spans="1:1" x14ac:dyDescent="0.3">
      <c r="A683" s="12"/>
    </row>
    <row r="684" spans="1:1" x14ac:dyDescent="0.3">
      <c r="A684" s="12"/>
    </row>
    <row r="685" spans="1:1" x14ac:dyDescent="0.3">
      <c r="A685" s="12"/>
    </row>
    <row r="686" spans="1:1" x14ac:dyDescent="0.3">
      <c r="A686" s="12"/>
    </row>
    <row r="687" spans="1:1" x14ac:dyDescent="0.3">
      <c r="A687" s="12"/>
    </row>
    <row r="688" spans="1:1" x14ac:dyDescent="0.3">
      <c r="A688" s="12"/>
    </row>
    <row r="689" spans="1:1" x14ac:dyDescent="0.3">
      <c r="A689" s="12"/>
    </row>
    <row r="690" spans="1:1" x14ac:dyDescent="0.3">
      <c r="A690" s="12"/>
    </row>
    <row r="691" spans="1:1" x14ac:dyDescent="0.3">
      <c r="A691" s="12"/>
    </row>
    <row r="692" spans="1:1" x14ac:dyDescent="0.3">
      <c r="A692" s="12"/>
    </row>
    <row r="693" spans="1:1" x14ac:dyDescent="0.3">
      <c r="A693" s="12"/>
    </row>
    <row r="694" spans="1:1" x14ac:dyDescent="0.3">
      <c r="A694" s="12"/>
    </row>
    <row r="695" spans="1:1" x14ac:dyDescent="0.3">
      <c r="A695" s="12"/>
    </row>
    <row r="696" spans="1:1" x14ac:dyDescent="0.3">
      <c r="A696" s="12"/>
    </row>
    <row r="697" spans="1:1" x14ac:dyDescent="0.3">
      <c r="A697" s="12"/>
    </row>
    <row r="698" spans="1:1" x14ac:dyDescent="0.3">
      <c r="A698" s="12"/>
    </row>
    <row r="699" spans="1:1" x14ac:dyDescent="0.3">
      <c r="A699" s="12"/>
    </row>
    <row r="700" spans="1:1" x14ac:dyDescent="0.3">
      <c r="A700" s="12"/>
    </row>
    <row r="701" spans="1:1" x14ac:dyDescent="0.3">
      <c r="A701" s="12"/>
    </row>
    <row r="702" spans="1:1" x14ac:dyDescent="0.3">
      <c r="A702" s="12"/>
    </row>
    <row r="703" spans="1:1" x14ac:dyDescent="0.3">
      <c r="A703" s="12"/>
    </row>
    <row r="704" spans="1:1" x14ac:dyDescent="0.3">
      <c r="A704" s="12"/>
    </row>
    <row r="705" spans="1:1" x14ac:dyDescent="0.3">
      <c r="A705" s="12"/>
    </row>
    <row r="706" spans="1:1" x14ac:dyDescent="0.3">
      <c r="A706" s="12"/>
    </row>
    <row r="707" spans="1:1" x14ac:dyDescent="0.3">
      <c r="A707" s="12"/>
    </row>
    <row r="708" spans="1:1" x14ac:dyDescent="0.3">
      <c r="A708" s="12"/>
    </row>
    <row r="709" spans="1:1" x14ac:dyDescent="0.3">
      <c r="A709" s="12"/>
    </row>
    <row r="710" spans="1:1" x14ac:dyDescent="0.3">
      <c r="A710" s="12"/>
    </row>
    <row r="711" spans="1:1" x14ac:dyDescent="0.3">
      <c r="A711" s="12"/>
    </row>
    <row r="712" spans="1:1" x14ac:dyDescent="0.3">
      <c r="A712" s="12"/>
    </row>
    <row r="713" spans="1:1" x14ac:dyDescent="0.3">
      <c r="A713" s="12"/>
    </row>
    <row r="714" spans="1:1" x14ac:dyDescent="0.3">
      <c r="A714" s="12"/>
    </row>
    <row r="715" spans="1:1" x14ac:dyDescent="0.3">
      <c r="A715" s="12"/>
    </row>
    <row r="716" spans="1:1" x14ac:dyDescent="0.3">
      <c r="A716" s="12"/>
    </row>
    <row r="717" spans="1:1" x14ac:dyDescent="0.3">
      <c r="A717" s="12"/>
    </row>
    <row r="718" spans="1:1" x14ac:dyDescent="0.3">
      <c r="A718" s="12"/>
    </row>
    <row r="719" spans="1:1" x14ac:dyDescent="0.3">
      <c r="A719" s="12"/>
    </row>
    <row r="720" spans="1:1" x14ac:dyDescent="0.3">
      <c r="A720" s="12"/>
    </row>
    <row r="721" spans="1:1" x14ac:dyDescent="0.3">
      <c r="A721" s="12"/>
    </row>
    <row r="722" spans="1:1" x14ac:dyDescent="0.3">
      <c r="A722" s="12"/>
    </row>
    <row r="723" spans="1:1" x14ac:dyDescent="0.3">
      <c r="A723" s="12"/>
    </row>
    <row r="724" spans="1:1" x14ac:dyDescent="0.3">
      <c r="A724" s="12"/>
    </row>
    <row r="725" spans="1:1" x14ac:dyDescent="0.3">
      <c r="A725" s="12"/>
    </row>
    <row r="726" spans="1:1" x14ac:dyDescent="0.3">
      <c r="A726" s="12"/>
    </row>
    <row r="727" spans="1:1" x14ac:dyDescent="0.3">
      <c r="A727" s="12"/>
    </row>
    <row r="728" spans="1:1" x14ac:dyDescent="0.3">
      <c r="A728" s="12"/>
    </row>
    <row r="729" spans="1:1" x14ac:dyDescent="0.3">
      <c r="A729" s="12"/>
    </row>
    <row r="730" spans="1:1" x14ac:dyDescent="0.3">
      <c r="A730" s="12"/>
    </row>
    <row r="731" spans="1:1" x14ac:dyDescent="0.3">
      <c r="A731" s="12"/>
    </row>
    <row r="732" spans="1:1" x14ac:dyDescent="0.3">
      <c r="A732" s="12"/>
    </row>
    <row r="733" spans="1:1" x14ac:dyDescent="0.3">
      <c r="A733" s="12"/>
    </row>
    <row r="734" spans="1:1" x14ac:dyDescent="0.3">
      <c r="A734" s="12"/>
    </row>
    <row r="735" spans="1:1" x14ac:dyDescent="0.3">
      <c r="A735" s="12"/>
    </row>
    <row r="736" spans="1:1" x14ac:dyDescent="0.3">
      <c r="A736" s="12"/>
    </row>
    <row r="737" spans="1:1" x14ac:dyDescent="0.3">
      <c r="A737" s="12"/>
    </row>
    <row r="738" spans="1:1" x14ac:dyDescent="0.3">
      <c r="A738" s="12"/>
    </row>
    <row r="739" spans="1:1" x14ac:dyDescent="0.3">
      <c r="A739" s="12"/>
    </row>
    <row r="740" spans="1:1" x14ac:dyDescent="0.3">
      <c r="A740" s="12"/>
    </row>
    <row r="741" spans="1:1" x14ac:dyDescent="0.3">
      <c r="A741" s="12"/>
    </row>
    <row r="742" spans="1:1" x14ac:dyDescent="0.3">
      <c r="A742" s="12"/>
    </row>
    <row r="743" spans="1:1" x14ac:dyDescent="0.3">
      <c r="A743" s="12"/>
    </row>
    <row r="744" spans="1:1" x14ac:dyDescent="0.3">
      <c r="A744" s="12"/>
    </row>
    <row r="745" spans="1:1" x14ac:dyDescent="0.3">
      <c r="A745" s="12"/>
    </row>
    <row r="746" spans="1:1" x14ac:dyDescent="0.3">
      <c r="A746" s="12"/>
    </row>
    <row r="747" spans="1:1" x14ac:dyDescent="0.3">
      <c r="A747" s="12"/>
    </row>
    <row r="748" spans="1:1" x14ac:dyDescent="0.3">
      <c r="A748" s="12"/>
    </row>
    <row r="749" spans="1:1" x14ac:dyDescent="0.3">
      <c r="A749" s="12"/>
    </row>
    <row r="750" spans="1:1" x14ac:dyDescent="0.3">
      <c r="A750" s="12"/>
    </row>
    <row r="751" spans="1:1" x14ac:dyDescent="0.3">
      <c r="A751" s="12"/>
    </row>
    <row r="752" spans="1:1" x14ac:dyDescent="0.3">
      <c r="A752" s="12"/>
    </row>
    <row r="753" spans="1:1" x14ac:dyDescent="0.3">
      <c r="A753" s="12"/>
    </row>
    <row r="754" spans="1:1" x14ac:dyDescent="0.3">
      <c r="A754" s="12"/>
    </row>
    <row r="755" spans="1:1" x14ac:dyDescent="0.3">
      <c r="A755" s="12"/>
    </row>
    <row r="756" spans="1:1" x14ac:dyDescent="0.3">
      <c r="A756" s="12"/>
    </row>
    <row r="757" spans="1:1" x14ac:dyDescent="0.3">
      <c r="A757" s="12"/>
    </row>
    <row r="758" spans="1:1" x14ac:dyDescent="0.3">
      <c r="A758" s="12"/>
    </row>
    <row r="759" spans="1:1" x14ac:dyDescent="0.3">
      <c r="A759" s="12"/>
    </row>
    <row r="760" spans="1:1" x14ac:dyDescent="0.3">
      <c r="A760" s="12"/>
    </row>
    <row r="761" spans="1:1" x14ac:dyDescent="0.3">
      <c r="A761" s="12"/>
    </row>
    <row r="762" spans="1:1" x14ac:dyDescent="0.3">
      <c r="A762" s="12"/>
    </row>
    <row r="763" spans="1:1" x14ac:dyDescent="0.3">
      <c r="A763" s="12"/>
    </row>
    <row r="764" spans="1:1" x14ac:dyDescent="0.3">
      <c r="A764" s="12"/>
    </row>
    <row r="765" spans="1:1" x14ac:dyDescent="0.3">
      <c r="A765" s="12"/>
    </row>
    <row r="766" spans="1:1" x14ac:dyDescent="0.3">
      <c r="A766" s="12"/>
    </row>
    <row r="767" spans="1:1" x14ac:dyDescent="0.3">
      <c r="A767" s="12"/>
    </row>
    <row r="768" spans="1:1" x14ac:dyDescent="0.3">
      <c r="A768" s="12"/>
    </row>
    <row r="769" spans="1:1" x14ac:dyDescent="0.3">
      <c r="A769" s="12"/>
    </row>
    <row r="770" spans="1:1" x14ac:dyDescent="0.3">
      <c r="A770" s="12"/>
    </row>
    <row r="771" spans="1:1" x14ac:dyDescent="0.3">
      <c r="A771" s="12"/>
    </row>
    <row r="772" spans="1:1" x14ac:dyDescent="0.3">
      <c r="A772" s="12"/>
    </row>
    <row r="773" spans="1:1" x14ac:dyDescent="0.3">
      <c r="A773" s="12"/>
    </row>
    <row r="774" spans="1:1" x14ac:dyDescent="0.3">
      <c r="A774" s="12"/>
    </row>
    <row r="775" spans="1:1" x14ac:dyDescent="0.3">
      <c r="A775" s="12"/>
    </row>
    <row r="776" spans="1:1" x14ac:dyDescent="0.3">
      <c r="A776" s="12"/>
    </row>
    <row r="777" spans="1:1" x14ac:dyDescent="0.3">
      <c r="A777" s="12"/>
    </row>
    <row r="778" spans="1:1" x14ac:dyDescent="0.3">
      <c r="A778" s="12"/>
    </row>
    <row r="779" spans="1:1" x14ac:dyDescent="0.3">
      <c r="A779" s="12"/>
    </row>
    <row r="780" spans="1:1" x14ac:dyDescent="0.3">
      <c r="A780" s="12"/>
    </row>
    <row r="781" spans="1:1" x14ac:dyDescent="0.3">
      <c r="A781" s="12"/>
    </row>
    <row r="782" spans="1:1" x14ac:dyDescent="0.3">
      <c r="A782" s="12"/>
    </row>
    <row r="783" spans="1:1" x14ac:dyDescent="0.3">
      <c r="A783" s="12"/>
    </row>
    <row r="784" spans="1:1" x14ac:dyDescent="0.3">
      <c r="A784" s="12"/>
    </row>
    <row r="785" spans="1:1" x14ac:dyDescent="0.3">
      <c r="A785" s="12"/>
    </row>
    <row r="786" spans="1:1" x14ac:dyDescent="0.3">
      <c r="A786" s="12"/>
    </row>
    <row r="787" spans="1:1" x14ac:dyDescent="0.3">
      <c r="A787" s="12"/>
    </row>
    <row r="788" spans="1:1" x14ac:dyDescent="0.3">
      <c r="A788" s="12"/>
    </row>
    <row r="789" spans="1:1" x14ac:dyDescent="0.3">
      <c r="A789" s="12"/>
    </row>
    <row r="790" spans="1:1" x14ac:dyDescent="0.3">
      <c r="A790" s="12"/>
    </row>
    <row r="791" spans="1:1" x14ac:dyDescent="0.3">
      <c r="A791" s="12"/>
    </row>
    <row r="792" spans="1:1" x14ac:dyDescent="0.3">
      <c r="A792" s="12"/>
    </row>
    <row r="793" spans="1:1" x14ac:dyDescent="0.3">
      <c r="A793" s="12"/>
    </row>
    <row r="794" spans="1:1" x14ac:dyDescent="0.3">
      <c r="A794" s="12"/>
    </row>
    <row r="795" spans="1:1" x14ac:dyDescent="0.3">
      <c r="A795" s="12"/>
    </row>
    <row r="796" spans="1:1" x14ac:dyDescent="0.3">
      <c r="A796" s="12"/>
    </row>
    <row r="797" spans="1:1" x14ac:dyDescent="0.3">
      <c r="A797" s="12"/>
    </row>
    <row r="798" spans="1:1" x14ac:dyDescent="0.3">
      <c r="A798" s="12"/>
    </row>
    <row r="799" spans="1:1" x14ac:dyDescent="0.3">
      <c r="A799" s="12"/>
    </row>
    <row r="800" spans="1:1" x14ac:dyDescent="0.3">
      <c r="A800" s="12"/>
    </row>
    <row r="801" spans="1:1" x14ac:dyDescent="0.3">
      <c r="A801" s="12"/>
    </row>
    <row r="802" spans="1:1" x14ac:dyDescent="0.3">
      <c r="A802" s="12"/>
    </row>
    <row r="803" spans="1:1" x14ac:dyDescent="0.3">
      <c r="A803" s="12"/>
    </row>
    <row r="804" spans="1:1" x14ac:dyDescent="0.3">
      <c r="A804" s="12"/>
    </row>
    <row r="805" spans="1:1" x14ac:dyDescent="0.3">
      <c r="A805" s="12"/>
    </row>
    <row r="806" spans="1:1" x14ac:dyDescent="0.3">
      <c r="A806" s="12"/>
    </row>
    <row r="807" spans="1:1" x14ac:dyDescent="0.3">
      <c r="A807" s="12"/>
    </row>
    <row r="808" spans="1:1" x14ac:dyDescent="0.3">
      <c r="A808" s="12"/>
    </row>
    <row r="809" spans="1:1" x14ac:dyDescent="0.3">
      <c r="A809" s="12"/>
    </row>
    <row r="810" spans="1:1" x14ac:dyDescent="0.3">
      <c r="A810" s="12"/>
    </row>
    <row r="811" spans="1:1" x14ac:dyDescent="0.3">
      <c r="A811" s="12"/>
    </row>
    <row r="812" spans="1:1" x14ac:dyDescent="0.3">
      <c r="A812" s="12"/>
    </row>
    <row r="813" spans="1:1" x14ac:dyDescent="0.3">
      <c r="A813" s="12"/>
    </row>
    <row r="814" spans="1:1" x14ac:dyDescent="0.3">
      <c r="A814" s="12"/>
    </row>
    <row r="815" spans="1:1" x14ac:dyDescent="0.3">
      <c r="A815" s="12"/>
    </row>
    <row r="816" spans="1:1" x14ac:dyDescent="0.3">
      <c r="A816" s="12"/>
    </row>
    <row r="817" spans="1:1" x14ac:dyDescent="0.3">
      <c r="A817" s="12"/>
    </row>
    <row r="818" spans="1:1" x14ac:dyDescent="0.3">
      <c r="A818" s="12"/>
    </row>
    <row r="819" spans="1:1" x14ac:dyDescent="0.3">
      <c r="A819" s="12"/>
    </row>
    <row r="820" spans="1:1" x14ac:dyDescent="0.3">
      <c r="A820" s="12"/>
    </row>
    <row r="821" spans="1:1" x14ac:dyDescent="0.3">
      <c r="A821" s="12"/>
    </row>
    <row r="822" spans="1:1" x14ac:dyDescent="0.3">
      <c r="A822" s="12"/>
    </row>
    <row r="823" spans="1:1" x14ac:dyDescent="0.3">
      <c r="A823" s="12"/>
    </row>
    <row r="824" spans="1:1" x14ac:dyDescent="0.3">
      <c r="A824" s="12"/>
    </row>
    <row r="825" spans="1:1" x14ac:dyDescent="0.3">
      <c r="A825" s="12"/>
    </row>
    <row r="826" spans="1:1" x14ac:dyDescent="0.3">
      <c r="A826" s="12"/>
    </row>
    <row r="827" spans="1:1" x14ac:dyDescent="0.3">
      <c r="A827" s="12"/>
    </row>
    <row r="828" spans="1:1" x14ac:dyDescent="0.3">
      <c r="A828" s="12"/>
    </row>
    <row r="829" spans="1:1" x14ac:dyDescent="0.3">
      <c r="A829" s="12"/>
    </row>
    <row r="830" spans="1:1" x14ac:dyDescent="0.3">
      <c r="A830" s="12"/>
    </row>
    <row r="831" spans="1:1" x14ac:dyDescent="0.3">
      <c r="A831" s="12"/>
    </row>
    <row r="832" spans="1:1" x14ac:dyDescent="0.3">
      <c r="A832" s="12"/>
    </row>
    <row r="833" spans="1:1" x14ac:dyDescent="0.3">
      <c r="A833" s="12"/>
    </row>
    <row r="834" spans="1:1" x14ac:dyDescent="0.3">
      <c r="A834" s="12"/>
    </row>
    <row r="835" spans="1:1" x14ac:dyDescent="0.3">
      <c r="A835" s="12"/>
    </row>
    <row r="836" spans="1:1" x14ac:dyDescent="0.3">
      <c r="A836" s="12"/>
    </row>
    <row r="837" spans="1:1" x14ac:dyDescent="0.3">
      <c r="A837" s="12"/>
    </row>
    <row r="838" spans="1:1" x14ac:dyDescent="0.3">
      <c r="A838" s="12"/>
    </row>
    <row r="839" spans="1:1" x14ac:dyDescent="0.3">
      <c r="A839" s="12"/>
    </row>
    <row r="840" spans="1:1" x14ac:dyDescent="0.3">
      <c r="A840" s="12"/>
    </row>
    <row r="841" spans="1:1" x14ac:dyDescent="0.3">
      <c r="A841" s="12"/>
    </row>
    <row r="842" spans="1:1" x14ac:dyDescent="0.3">
      <c r="A842" s="12"/>
    </row>
    <row r="843" spans="1:1" x14ac:dyDescent="0.3">
      <c r="A843" s="12"/>
    </row>
    <row r="844" spans="1:1" x14ac:dyDescent="0.3">
      <c r="A844" s="12"/>
    </row>
    <row r="845" spans="1:1" x14ac:dyDescent="0.3">
      <c r="A845" s="12"/>
    </row>
    <row r="846" spans="1:1" x14ac:dyDescent="0.3">
      <c r="A846" s="12"/>
    </row>
    <row r="847" spans="1:1" x14ac:dyDescent="0.3">
      <c r="A847" s="12"/>
    </row>
    <row r="848" spans="1:1" x14ac:dyDescent="0.3">
      <c r="A848" s="12"/>
    </row>
    <row r="849" spans="1:1" x14ac:dyDescent="0.3">
      <c r="A849" s="12"/>
    </row>
    <row r="850" spans="1:1" x14ac:dyDescent="0.3">
      <c r="A850" s="12"/>
    </row>
    <row r="851" spans="1:1" x14ac:dyDescent="0.3">
      <c r="A851" s="12"/>
    </row>
    <row r="852" spans="1:1" x14ac:dyDescent="0.3">
      <c r="A852" s="12"/>
    </row>
    <row r="853" spans="1:1" x14ac:dyDescent="0.3">
      <c r="A853" s="12"/>
    </row>
    <row r="854" spans="1:1" x14ac:dyDescent="0.3">
      <c r="A854" s="12"/>
    </row>
    <row r="855" spans="1:1" x14ac:dyDescent="0.3">
      <c r="A855" s="12"/>
    </row>
    <row r="856" spans="1:1" x14ac:dyDescent="0.3">
      <c r="A856" s="12"/>
    </row>
    <row r="857" spans="1:1" x14ac:dyDescent="0.3">
      <c r="A857" s="12"/>
    </row>
    <row r="858" spans="1:1" x14ac:dyDescent="0.3">
      <c r="A858" s="12"/>
    </row>
    <row r="859" spans="1:1" x14ac:dyDescent="0.3">
      <c r="A859" s="12"/>
    </row>
    <row r="860" spans="1:1" x14ac:dyDescent="0.3">
      <c r="A860" s="12"/>
    </row>
    <row r="861" spans="1:1" x14ac:dyDescent="0.3">
      <c r="A861" s="12"/>
    </row>
    <row r="862" spans="1:1" x14ac:dyDescent="0.3">
      <c r="A862" s="12"/>
    </row>
    <row r="863" spans="1:1" x14ac:dyDescent="0.3">
      <c r="A863" s="12"/>
    </row>
    <row r="864" spans="1:1" x14ac:dyDescent="0.3">
      <c r="A864" s="12"/>
    </row>
    <row r="865" spans="1:1" x14ac:dyDescent="0.3">
      <c r="A865" s="12"/>
    </row>
    <row r="866" spans="1:1" x14ac:dyDescent="0.3">
      <c r="A866" s="12"/>
    </row>
    <row r="867" spans="1:1" x14ac:dyDescent="0.3">
      <c r="A867" s="12"/>
    </row>
    <row r="868" spans="1:1" x14ac:dyDescent="0.3">
      <c r="A868" s="12"/>
    </row>
    <row r="869" spans="1:1" x14ac:dyDescent="0.3">
      <c r="A869" s="12"/>
    </row>
    <row r="870" spans="1:1" x14ac:dyDescent="0.3">
      <c r="A870" s="12"/>
    </row>
    <row r="871" spans="1:1" x14ac:dyDescent="0.3">
      <c r="A871" s="12"/>
    </row>
    <row r="872" spans="1:1" x14ac:dyDescent="0.3">
      <c r="A872" s="12"/>
    </row>
    <row r="873" spans="1:1" x14ac:dyDescent="0.3">
      <c r="A873" s="12"/>
    </row>
    <row r="874" spans="1:1" x14ac:dyDescent="0.3">
      <c r="A874" s="12"/>
    </row>
    <row r="875" spans="1:1" x14ac:dyDescent="0.3">
      <c r="A875" s="12"/>
    </row>
    <row r="876" spans="1:1" x14ac:dyDescent="0.3">
      <c r="A876" s="12"/>
    </row>
    <row r="877" spans="1:1" x14ac:dyDescent="0.3">
      <c r="A877" s="12"/>
    </row>
    <row r="878" spans="1:1" x14ac:dyDescent="0.3">
      <c r="A878" s="12"/>
    </row>
    <row r="879" spans="1:1" x14ac:dyDescent="0.3">
      <c r="A879" s="12"/>
    </row>
    <row r="880" spans="1:1" x14ac:dyDescent="0.3">
      <c r="A880" s="12"/>
    </row>
    <row r="881" spans="1:1" x14ac:dyDescent="0.3">
      <c r="A881" s="12"/>
    </row>
    <row r="882" spans="1:1" x14ac:dyDescent="0.3">
      <c r="A882" s="12"/>
    </row>
    <row r="883" spans="1:1" x14ac:dyDescent="0.3">
      <c r="A883" s="12"/>
    </row>
    <row r="884" spans="1:1" x14ac:dyDescent="0.3">
      <c r="A884" s="12"/>
    </row>
    <row r="885" spans="1:1" x14ac:dyDescent="0.3">
      <c r="A885" s="12"/>
    </row>
    <row r="886" spans="1:1" x14ac:dyDescent="0.3">
      <c r="A886" s="12"/>
    </row>
    <row r="887" spans="1:1" x14ac:dyDescent="0.3">
      <c r="A887" s="12"/>
    </row>
    <row r="888" spans="1:1" x14ac:dyDescent="0.3">
      <c r="A888" s="12"/>
    </row>
    <row r="889" spans="1:1" x14ac:dyDescent="0.3">
      <c r="A889" s="12"/>
    </row>
    <row r="890" spans="1:1" x14ac:dyDescent="0.3">
      <c r="A890" s="12"/>
    </row>
    <row r="891" spans="1:1" x14ac:dyDescent="0.3">
      <c r="A891" s="12"/>
    </row>
    <row r="892" spans="1:1" x14ac:dyDescent="0.3">
      <c r="A892" s="12"/>
    </row>
    <row r="893" spans="1:1" x14ac:dyDescent="0.3">
      <c r="A893" s="12"/>
    </row>
    <row r="894" spans="1:1" x14ac:dyDescent="0.3">
      <c r="A894" s="12"/>
    </row>
    <row r="895" spans="1:1" x14ac:dyDescent="0.3">
      <c r="A895" s="12"/>
    </row>
    <row r="896" spans="1:1" x14ac:dyDescent="0.3">
      <c r="A896" s="12"/>
    </row>
    <row r="897" spans="1:1" x14ac:dyDescent="0.3">
      <c r="A897" s="12"/>
    </row>
    <row r="898" spans="1:1" x14ac:dyDescent="0.3">
      <c r="A898" s="12"/>
    </row>
    <row r="899" spans="1:1" x14ac:dyDescent="0.3">
      <c r="A899" s="12"/>
    </row>
    <row r="900" spans="1:1" x14ac:dyDescent="0.3">
      <c r="A900" s="12"/>
    </row>
    <row r="901" spans="1:1" x14ac:dyDescent="0.3">
      <c r="A901" s="12"/>
    </row>
    <row r="902" spans="1:1" x14ac:dyDescent="0.3">
      <c r="A902" s="12"/>
    </row>
    <row r="903" spans="1:1" x14ac:dyDescent="0.3">
      <c r="A903" s="12"/>
    </row>
    <row r="904" spans="1:1" x14ac:dyDescent="0.3">
      <c r="A904" s="12"/>
    </row>
    <row r="905" spans="1:1" x14ac:dyDescent="0.3">
      <c r="A905" s="12"/>
    </row>
    <row r="906" spans="1:1" x14ac:dyDescent="0.3">
      <c r="A906" s="12"/>
    </row>
    <row r="907" spans="1:1" x14ac:dyDescent="0.3">
      <c r="A907" s="12"/>
    </row>
    <row r="908" spans="1:1" x14ac:dyDescent="0.3">
      <c r="A908" s="12"/>
    </row>
    <row r="909" spans="1:1" x14ac:dyDescent="0.3">
      <c r="A909" s="12"/>
    </row>
    <row r="910" spans="1:1" x14ac:dyDescent="0.3">
      <c r="A910" s="12"/>
    </row>
    <row r="911" spans="1:1" x14ac:dyDescent="0.3">
      <c r="A911" s="12"/>
    </row>
    <row r="912" spans="1:1" x14ac:dyDescent="0.3">
      <c r="A912" s="12"/>
    </row>
    <row r="913" spans="1:1" x14ac:dyDescent="0.3">
      <c r="A913" s="12"/>
    </row>
    <row r="914" spans="1:1" x14ac:dyDescent="0.3">
      <c r="A914" s="12"/>
    </row>
    <row r="915" spans="1:1" x14ac:dyDescent="0.3">
      <c r="A915" s="12"/>
    </row>
    <row r="916" spans="1:1" x14ac:dyDescent="0.3">
      <c r="A916" s="12"/>
    </row>
    <row r="917" spans="1:1" x14ac:dyDescent="0.3">
      <c r="A917" s="12"/>
    </row>
    <row r="918" spans="1:1" x14ac:dyDescent="0.3">
      <c r="A918" s="12"/>
    </row>
    <row r="919" spans="1:1" x14ac:dyDescent="0.3">
      <c r="A919" s="12"/>
    </row>
    <row r="920" spans="1:1" x14ac:dyDescent="0.3">
      <c r="A920" s="12"/>
    </row>
    <row r="921" spans="1:1" x14ac:dyDescent="0.3">
      <c r="A921" s="12"/>
    </row>
    <row r="922" spans="1:1" x14ac:dyDescent="0.3">
      <c r="A922" s="12"/>
    </row>
    <row r="923" spans="1:1" x14ac:dyDescent="0.3">
      <c r="A923" s="12"/>
    </row>
    <row r="924" spans="1:1" x14ac:dyDescent="0.3">
      <c r="A924" s="12"/>
    </row>
    <row r="925" spans="1:1" x14ac:dyDescent="0.3">
      <c r="A925" s="12"/>
    </row>
    <row r="926" spans="1:1" x14ac:dyDescent="0.3">
      <c r="A926" s="12"/>
    </row>
    <row r="927" spans="1:1" x14ac:dyDescent="0.3">
      <c r="A927" s="12"/>
    </row>
    <row r="928" spans="1:1" x14ac:dyDescent="0.3">
      <c r="A928" s="12"/>
    </row>
    <row r="929" spans="1:1" x14ac:dyDescent="0.3">
      <c r="A929" s="12"/>
    </row>
    <row r="930" spans="1:1" x14ac:dyDescent="0.3">
      <c r="A930" s="12"/>
    </row>
    <row r="931" spans="1:1" x14ac:dyDescent="0.3">
      <c r="A931" s="12"/>
    </row>
    <row r="932" spans="1:1" x14ac:dyDescent="0.3">
      <c r="A932" s="12"/>
    </row>
    <row r="933" spans="1:1" x14ac:dyDescent="0.3">
      <c r="A933" s="12"/>
    </row>
    <row r="934" spans="1:1" x14ac:dyDescent="0.3">
      <c r="A934" s="12"/>
    </row>
    <row r="935" spans="1:1" x14ac:dyDescent="0.3">
      <c r="A935" s="12"/>
    </row>
    <row r="936" spans="1:1" x14ac:dyDescent="0.3">
      <c r="A936" s="12"/>
    </row>
    <row r="937" spans="1:1" x14ac:dyDescent="0.3">
      <c r="A937" s="12"/>
    </row>
    <row r="938" spans="1:1" x14ac:dyDescent="0.3">
      <c r="A938" s="12"/>
    </row>
    <row r="939" spans="1:1" x14ac:dyDescent="0.3">
      <c r="A939" s="12"/>
    </row>
    <row r="940" spans="1:1" x14ac:dyDescent="0.3">
      <c r="A940" s="12"/>
    </row>
    <row r="941" spans="1:1" x14ac:dyDescent="0.3">
      <c r="A941" s="12"/>
    </row>
    <row r="942" spans="1:1" x14ac:dyDescent="0.3">
      <c r="A942" s="12"/>
    </row>
    <row r="943" spans="1:1" x14ac:dyDescent="0.3">
      <c r="A943" s="12"/>
    </row>
    <row r="944" spans="1:1" x14ac:dyDescent="0.3">
      <c r="A944" s="12"/>
    </row>
    <row r="945" spans="1:1" x14ac:dyDescent="0.3">
      <c r="A945" s="12"/>
    </row>
    <row r="946" spans="1:1" x14ac:dyDescent="0.3">
      <c r="A946" s="12"/>
    </row>
    <row r="947" spans="1:1" x14ac:dyDescent="0.3">
      <c r="A947" s="12"/>
    </row>
    <row r="948" spans="1:1" x14ac:dyDescent="0.3">
      <c r="A948" s="12"/>
    </row>
    <row r="949" spans="1:1" x14ac:dyDescent="0.3">
      <c r="A949" s="12"/>
    </row>
    <row r="950" spans="1:1" x14ac:dyDescent="0.3">
      <c r="A950" s="12"/>
    </row>
    <row r="951" spans="1:1" x14ac:dyDescent="0.3">
      <c r="A951" s="12"/>
    </row>
    <row r="952" spans="1:1" x14ac:dyDescent="0.3">
      <c r="A952" s="12"/>
    </row>
    <row r="953" spans="1:1" x14ac:dyDescent="0.3">
      <c r="A953" s="12"/>
    </row>
    <row r="954" spans="1:1" x14ac:dyDescent="0.3">
      <c r="A954" s="12"/>
    </row>
    <row r="955" spans="1:1" x14ac:dyDescent="0.3">
      <c r="A955" s="12"/>
    </row>
    <row r="956" spans="1:1" x14ac:dyDescent="0.3">
      <c r="A956" s="12"/>
    </row>
    <row r="957" spans="1:1" x14ac:dyDescent="0.3">
      <c r="A957" s="12"/>
    </row>
    <row r="958" spans="1:1" x14ac:dyDescent="0.3">
      <c r="A958" s="12"/>
    </row>
    <row r="959" spans="1:1" x14ac:dyDescent="0.3">
      <c r="A959" s="12"/>
    </row>
    <row r="960" spans="1:1" x14ac:dyDescent="0.3">
      <c r="A960" s="12"/>
    </row>
    <row r="961" spans="1:1" x14ac:dyDescent="0.3">
      <c r="A961" s="12"/>
    </row>
    <row r="962" spans="1:1" x14ac:dyDescent="0.3">
      <c r="A962" s="12"/>
    </row>
    <row r="963" spans="1:1" x14ac:dyDescent="0.3">
      <c r="A963" s="12"/>
    </row>
    <row r="964" spans="1:1" x14ac:dyDescent="0.3">
      <c r="A964" s="12"/>
    </row>
    <row r="965" spans="1:1" x14ac:dyDescent="0.3">
      <c r="A965" s="12"/>
    </row>
    <row r="966" spans="1:1" x14ac:dyDescent="0.3">
      <c r="A966" s="12"/>
    </row>
    <row r="967" spans="1:1" x14ac:dyDescent="0.3">
      <c r="A967" s="12"/>
    </row>
    <row r="968" spans="1:1" x14ac:dyDescent="0.3">
      <c r="A968" s="12"/>
    </row>
    <row r="969" spans="1:1" x14ac:dyDescent="0.3">
      <c r="A969" s="12"/>
    </row>
    <row r="970" spans="1:1" x14ac:dyDescent="0.3">
      <c r="A970" s="12"/>
    </row>
    <row r="971" spans="1:1" x14ac:dyDescent="0.3">
      <c r="A971" s="12"/>
    </row>
    <row r="972" spans="1:1" x14ac:dyDescent="0.3">
      <c r="A972" s="12"/>
    </row>
    <row r="973" spans="1:1" x14ac:dyDescent="0.3">
      <c r="A973" s="12"/>
    </row>
    <row r="974" spans="1:1" x14ac:dyDescent="0.3">
      <c r="A974" s="12"/>
    </row>
    <row r="975" spans="1:1" x14ac:dyDescent="0.3">
      <c r="A975" s="12"/>
    </row>
    <row r="976" spans="1:1" x14ac:dyDescent="0.3">
      <c r="A976" s="12"/>
    </row>
    <row r="977" spans="1:1" x14ac:dyDescent="0.3">
      <c r="A977" s="12"/>
    </row>
    <row r="978" spans="1:1" x14ac:dyDescent="0.3">
      <c r="A978" s="12"/>
    </row>
    <row r="979" spans="1:1" x14ac:dyDescent="0.3">
      <c r="A979" s="12"/>
    </row>
    <row r="980" spans="1:1" x14ac:dyDescent="0.3">
      <c r="A980" s="12"/>
    </row>
    <row r="981" spans="1:1" x14ac:dyDescent="0.3">
      <c r="A981" s="12"/>
    </row>
    <row r="982" spans="1:1" x14ac:dyDescent="0.3">
      <c r="A982" s="12"/>
    </row>
    <row r="983" spans="1:1" x14ac:dyDescent="0.3">
      <c r="A983" s="12"/>
    </row>
    <row r="984" spans="1:1" x14ac:dyDescent="0.3">
      <c r="A984" s="12"/>
    </row>
    <row r="985" spans="1:1" x14ac:dyDescent="0.3">
      <c r="A985" s="12"/>
    </row>
    <row r="986" spans="1:1" x14ac:dyDescent="0.3">
      <c r="A986" s="12"/>
    </row>
    <row r="987" spans="1:1" x14ac:dyDescent="0.3">
      <c r="A987" s="12"/>
    </row>
    <row r="988" spans="1:1" x14ac:dyDescent="0.3">
      <c r="A988" s="12"/>
    </row>
    <row r="989" spans="1:1" x14ac:dyDescent="0.3">
      <c r="A989" s="12"/>
    </row>
    <row r="990" spans="1:1" x14ac:dyDescent="0.3">
      <c r="A990" s="12"/>
    </row>
    <row r="991" spans="1:1" x14ac:dyDescent="0.3">
      <c r="A991" s="12"/>
    </row>
    <row r="992" spans="1:1" x14ac:dyDescent="0.3">
      <c r="A992" s="12"/>
    </row>
    <row r="993" spans="1:1" x14ac:dyDescent="0.3">
      <c r="A993" s="12"/>
    </row>
    <row r="994" spans="1:1" x14ac:dyDescent="0.3">
      <c r="A994" s="12"/>
    </row>
    <row r="995" spans="1:1" x14ac:dyDescent="0.3">
      <c r="A995" s="12"/>
    </row>
    <row r="996" spans="1:1" x14ac:dyDescent="0.3">
      <c r="A996" s="12"/>
    </row>
    <row r="997" spans="1:1" x14ac:dyDescent="0.3">
      <c r="A997" s="12"/>
    </row>
    <row r="998" spans="1:1" x14ac:dyDescent="0.3">
      <c r="A998" s="12"/>
    </row>
    <row r="999" spans="1:1" x14ac:dyDescent="0.3">
      <c r="A999" s="12"/>
    </row>
    <row r="1000" spans="1:1" x14ac:dyDescent="0.3">
      <c r="A1000" s="12"/>
    </row>
    <row r="1001" spans="1:1" x14ac:dyDescent="0.3">
      <c r="A1001" s="12"/>
    </row>
    <row r="1002" spans="1:1" x14ac:dyDescent="0.3">
      <c r="A1002" s="12"/>
    </row>
    <row r="1003" spans="1:1" x14ac:dyDescent="0.3">
      <c r="A1003" s="12"/>
    </row>
    <row r="1004" spans="1:1" x14ac:dyDescent="0.3">
      <c r="A1004" s="12"/>
    </row>
    <row r="1005" spans="1:1" x14ac:dyDescent="0.3">
      <c r="A1005" s="12"/>
    </row>
    <row r="1006" spans="1:1" x14ac:dyDescent="0.3">
      <c r="A1006" s="12"/>
    </row>
    <row r="1007" spans="1:1" x14ac:dyDescent="0.3">
      <c r="A1007" s="12"/>
    </row>
    <row r="1008" spans="1:1" x14ac:dyDescent="0.3">
      <c r="A1008" s="12"/>
    </row>
    <row r="1009" spans="1:1" x14ac:dyDescent="0.3">
      <c r="A1009" s="12"/>
    </row>
    <row r="1010" spans="1:1" x14ac:dyDescent="0.3">
      <c r="A1010" s="12"/>
    </row>
    <row r="1011" spans="1:1" x14ac:dyDescent="0.3">
      <c r="A1011" s="12"/>
    </row>
    <row r="1012" spans="1:1" x14ac:dyDescent="0.3">
      <c r="A1012" s="12"/>
    </row>
    <row r="1013" spans="1:1" x14ac:dyDescent="0.3">
      <c r="A1013" s="12"/>
    </row>
    <row r="1014" spans="1:1" x14ac:dyDescent="0.3">
      <c r="A1014" s="12"/>
    </row>
    <row r="1015" spans="1:1" x14ac:dyDescent="0.3">
      <c r="A1015" s="12"/>
    </row>
    <row r="1016" spans="1:1" x14ac:dyDescent="0.3">
      <c r="A1016" s="12"/>
    </row>
    <row r="1017" spans="1:1" x14ac:dyDescent="0.3">
      <c r="A1017" s="12"/>
    </row>
    <row r="1018" spans="1:1" x14ac:dyDescent="0.3">
      <c r="A1018" s="12"/>
    </row>
    <row r="1019" spans="1:1" x14ac:dyDescent="0.3">
      <c r="A1019" s="12"/>
    </row>
    <row r="1020" spans="1:1" x14ac:dyDescent="0.3">
      <c r="A1020" s="12"/>
    </row>
    <row r="1021" spans="1:1" x14ac:dyDescent="0.3">
      <c r="A1021" s="12"/>
    </row>
    <row r="1022" spans="1:1" x14ac:dyDescent="0.3">
      <c r="A1022" s="12"/>
    </row>
    <row r="1023" spans="1:1" x14ac:dyDescent="0.3">
      <c r="A1023" s="12"/>
    </row>
    <row r="1024" spans="1:1" x14ac:dyDescent="0.3">
      <c r="A1024" s="12"/>
    </row>
    <row r="1025" spans="1:1" x14ac:dyDescent="0.3">
      <c r="A1025" s="12"/>
    </row>
    <row r="1026" spans="1:1" x14ac:dyDescent="0.3">
      <c r="A1026" s="12"/>
    </row>
    <row r="1027" spans="1:1" x14ac:dyDescent="0.3">
      <c r="A1027" s="12"/>
    </row>
    <row r="1028" spans="1:1" x14ac:dyDescent="0.3">
      <c r="A1028" s="12"/>
    </row>
    <row r="1029" spans="1:1" x14ac:dyDescent="0.3">
      <c r="A1029" s="12"/>
    </row>
    <row r="1030" spans="1:1" x14ac:dyDescent="0.3">
      <c r="A1030" s="12"/>
    </row>
    <row r="1031" spans="1:1" x14ac:dyDescent="0.3">
      <c r="A1031" s="12"/>
    </row>
    <row r="1032" spans="1:1" x14ac:dyDescent="0.3">
      <c r="A1032" s="12"/>
    </row>
    <row r="1033" spans="1:1" x14ac:dyDescent="0.3">
      <c r="A1033" s="12"/>
    </row>
    <row r="1034" spans="1:1" x14ac:dyDescent="0.3">
      <c r="A1034" s="12"/>
    </row>
    <row r="1035" spans="1:1" x14ac:dyDescent="0.3">
      <c r="A1035" s="12"/>
    </row>
    <row r="1036" spans="1:1" x14ac:dyDescent="0.3">
      <c r="A1036" s="12"/>
    </row>
    <row r="1037" spans="1:1" x14ac:dyDescent="0.3">
      <c r="A1037" s="12"/>
    </row>
    <row r="1038" spans="1:1" x14ac:dyDescent="0.3">
      <c r="A1038" s="12"/>
    </row>
    <row r="1039" spans="1:1" x14ac:dyDescent="0.3">
      <c r="A1039" s="12"/>
    </row>
    <row r="1040" spans="1:1" x14ac:dyDescent="0.3">
      <c r="A1040" s="12"/>
    </row>
    <row r="1041" spans="1:1" x14ac:dyDescent="0.3">
      <c r="A1041" s="12"/>
    </row>
    <row r="1042" spans="1:1" x14ac:dyDescent="0.3">
      <c r="A1042" s="12"/>
    </row>
    <row r="1043" spans="1:1" x14ac:dyDescent="0.3">
      <c r="A1043" s="12"/>
    </row>
    <row r="1044" spans="1:1" x14ac:dyDescent="0.3">
      <c r="A1044" s="12"/>
    </row>
    <row r="1045" spans="1:1" x14ac:dyDescent="0.3">
      <c r="A1045" s="12"/>
    </row>
    <row r="1046" spans="1:1" x14ac:dyDescent="0.3">
      <c r="A1046" s="12"/>
    </row>
    <row r="1047" spans="1:1" x14ac:dyDescent="0.3">
      <c r="A1047" s="12"/>
    </row>
    <row r="1048" spans="1:1" x14ac:dyDescent="0.3">
      <c r="A1048" s="12"/>
    </row>
    <row r="1049" spans="1:1" x14ac:dyDescent="0.3">
      <c r="A1049" s="12"/>
    </row>
    <row r="1050" spans="1:1" x14ac:dyDescent="0.3">
      <c r="A1050" s="12"/>
    </row>
    <row r="1051" spans="1:1" x14ac:dyDescent="0.3">
      <c r="A1051" s="12"/>
    </row>
    <row r="1052" spans="1:1" x14ac:dyDescent="0.3">
      <c r="A1052" s="12"/>
    </row>
    <row r="1053" spans="1:1" x14ac:dyDescent="0.3">
      <c r="A1053" s="12"/>
    </row>
    <row r="1054" spans="1:1" x14ac:dyDescent="0.3">
      <c r="A1054" s="12"/>
    </row>
    <row r="1055" spans="1:1" x14ac:dyDescent="0.3">
      <c r="A1055" s="12"/>
    </row>
    <row r="1056" spans="1:1" x14ac:dyDescent="0.3">
      <c r="A1056" s="12"/>
    </row>
    <row r="1057" spans="1:1" x14ac:dyDescent="0.3">
      <c r="A1057" s="12"/>
    </row>
    <row r="1058" spans="1:1" x14ac:dyDescent="0.3">
      <c r="A1058" s="12"/>
    </row>
    <row r="1059" spans="1:1" x14ac:dyDescent="0.3">
      <c r="A1059" s="12"/>
    </row>
    <row r="1060" spans="1:1" x14ac:dyDescent="0.3">
      <c r="A1060" s="12"/>
    </row>
    <row r="1061" spans="1:1" x14ac:dyDescent="0.3">
      <c r="A1061" s="12"/>
    </row>
    <row r="1062" spans="1:1" x14ac:dyDescent="0.3">
      <c r="A1062" s="12"/>
    </row>
    <row r="1063" spans="1:1" x14ac:dyDescent="0.3">
      <c r="A1063" s="12"/>
    </row>
    <row r="1064" spans="1:1" x14ac:dyDescent="0.3">
      <c r="A1064" s="12"/>
    </row>
    <row r="1065" spans="1:1" x14ac:dyDescent="0.3">
      <c r="A1065" s="12"/>
    </row>
    <row r="1066" spans="1:1" x14ac:dyDescent="0.3">
      <c r="A1066" s="12"/>
    </row>
    <row r="1067" spans="1:1" x14ac:dyDescent="0.3">
      <c r="A1067" s="12"/>
    </row>
    <row r="1068" spans="1:1" x14ac:dyDescent="0.3">
      <c r="A1068" s="12"/>
    </row>
    <row r="1069" spans="1:1" x14ac:dyDescent="0.3">
      <c r="A1069" s="12"/>
    </row>
    <row r="1070" spans="1:1" x14ac:dyDescent="0.3">
      <c r="A1070" s="12"/>
    </row>
    <row r="1071" spans="1:1" x14ac:dyDescent="0.3">
      <c r="A1071" s="12"/>
    </row>
    <row r="1072" spans="1:1" x14ac:dyDescent="0.3">
      <c r="A1072" s="12"/>
    </row>
    <row r="1073" spans="1:1" x14ac:dyDescent="0.3">
      <c r="A1073" s="12"/>
    </row>
    <row r="1074" spans="1:1" x14ac:dyDescent="0.3">
      <c r="A1074" s="12"/>
    </row>
    <row r="1075" spans="1:1" x14ac:dyDescent="0.3">
      <c r="A1075" s="12"/>
    </row>
    <row r="1076" spans="1:1" x14ac:dyDescent="0.3">
      <c r="A1076" s="12"/>
    </row>
    <row r="1077" spans="1:1" x14ac:dyDescent="0.3">
      <c r="A1077" s="12"/>
    </row>
    <row r="1078" spans="1:1" x14ac:dyDescent="0.3">
      <c r="A1078" s="12"/>
    </row>
    <row r="1079" spans="1:1" x14ac:dyDescent="0.3">
      <c r="A1079" s="12"/>
    </row>
    <row r="1080" spans="1:1" x14ac:dyDescent="0.3">
      <c r="A1080" s="12"/>
    </row>
    <row r="1081" spans="1:1" x14ac:dyDescent="0.3">
      <c r="A1081" s="12"/>
    </row>
    <row r="1082" spans="1:1" x14ac:dyDescent="0.3">
      <c r="A1082" s="12"/>
    </row>
    <row r="1083" spans="1:1" x14ac:dyDescent="0.3">
      <c r="A1083" s="12"/>
    </row>
    <row r="1084" spans="1:1" x14ac:dyDescent="0.3">
      <c r="A1084" s="12"/>
    </row>
    <row r="1085" spans="1:1" x14ac:dyDescent="0.3">
      <c r="A1085" s="12"/>
    </row>
    <row r="1086" spans="1:1" x14ac:dyDescent="0.3">
      <c r="A1086" s="12"/>
    </row>
    <row r="1087" spans="1:1" x14ac:dyDescent="0.3">
      <c r="A1087" s="12"/>
    </row>
    <row r="1088" spans="1:1" x14ac:dyDescent="0.3">
      <c r="A1088" s="12"/>
    </row>
    <row r="1089" spans="1:1" x14ac:dyDescent="0.3">
      <c r="A1089" s="12"/>
    </row>
    <row r="1090" spans="1:1" x14ac:dyDescent="0.3">
      <c r="A1090" s="12"/>
    </row>
    <row r="1091" spans="1:1" x14ac:dyDescent="0.3">
      <c r="A1091" s="12"/>
    </row>
    <row r="1092" spans="1:1" x14ac:dyDescent="0.3">
      <c r="A1092" s="12"/>
    </row>
    <row r="1093" spans="1:1" x14ac:dyDescent="0.3">
      <c r="A1093" s="12"/>
    </row>
    <row r="1094" spans="1:1" x14ac:dyDescent="0.3">
      <c r="A1094" s="12"/>
    </row>
    <row r="1095" spans="1:1" x14ac:dyDescent="0.3">
      <c r="A1095" s="12"/>
    </row>
    <row r="1096" spans="1:1" x14ac:dyDescent="0.3">
      <c r="A1096" s="12"/>
    </row>
    <row r="1097" spans="1:1" x14ac:dyDescent="0.3">
      <c r="A1097" s="12"/>
    </row>
    <row r="1098" spans="1:1" x14ac:dyDescent="0.3">
      <c r="A1098" s="12"/>
    </row>
    <row r="1099" spans="1:1" x14ac:dyDescent="0.3">
      <c r="A1099" s="12"/>
    </row>
    <row r="1100" spans="1:1" x14ac:dyDescent="0.3">
      <c r="A1100" s="12"/>
    </row>
    <row r="1101" spans="1:1" x14ac:dyDescent="0.3">
      <c r="A1101" s="12"/>
    </row>
    <row r="1102" spans="1:1" x14ac:dyDescent="0.3">
      <c r="A1102" s="12"/>
    </row>
    <row r="1103" spans="1:1" x14ac:dyDescent="0.3">
      <c r="A1103" s="12"/>
    </row>
    <row r="1104" spans="1:1" x14ac:dyDescent="0.3">
      <c r="A1104" s="12"/>
    </row>
    <row r="1105" spans="1:1" x14ac:dyDescent="0.3">
      <c r="A1105" s="12"/>
    </row>
    <row r="1106" spans="1:1" x14ac:dyDescent="0.3">
      <c r="A1106" s="12"/>
    </row>
    <row r="1107" spans="1:1" x14ac:dyDescent="0.3">
      <c r="A1107" s="12"/>
    </row>
    <row r="1108" spans="1:1" x14ac:dyDescent="0.3">
      <c r="A1108" s="12"/>
    </row>
    <row r="1109" spans="1:1" x14ac:dyDescent="0.3">
      <c r="A1109" s="12"/>
    </row>
    <row r="1110" spans="1:1" x14ac:dyDescent="0.3">
      <c r="A1110" s="12"/>
    </row>
    <row r="1111" spans="1:1" x14ac:dyDescent="0.3">
      <c r="A1111" s="12"/>
    </row>
    <row r="1112" spans="1:1" x14ac:dyDescent="0.3">
      <c r="A1112" s="12"/>
    </row>
    <row r="1113" spans="1:1" x14ac:dyDescent="0.3">
      <c r="A1113" s="12"/>
    </row>
    <row r="1114" spans="1:1" x14ac:dyDescent="0.3">
      <c r="A1114" s="12"/>
    </row>
    <row r="1115" spans="1:1" x14ac:dyDescent="0.3">
      <c r="A1115" s="12"/>
    </row>
    <row r="1116" spans="1:1" x14ac:dyDescent="0.3">
      <c r="A1116" s="12"/>
    </row>
    <row r="1117" spans="1:1" x14ac:dyDescent="0.3">
      <c r="A1117" s="12"/>
    </row>
    <row r="1118" spans="1:1" x14ac:dyDescent="0.3">
      <c r="A1118" s="12"/>
    </row>
    <row r="1119" spans="1:1" x14ac:dyDescent="0.3">
      <c r="A1119" s="12"/>
    </row>
    <row r="1120" spans="1:1" x14ac:dyDescent="0.3">
      <c r="A1120" s="12"/>
    </row>
    <row r="1121" spans="1:1" x14ac:dyDescent="0.3">
      <c r="A1121" s="12"/>
    </row>
    <row r="1122" spans="1:1" x14ac:dyDescent="0.3">
      <c r="A1122" s="12"/>
    </row>
    <row r="1123" spans="1:1" x14ac:dyDescent="0.3">
      <c r="A1123" s="12"/>
    </row>
    <row r="1124" spans="1:1" x14ac:dyDescent="0.3">
      <c r="A1124" s="12"/>
    </row>
    <row r="1125" spans="1:1" x14ac:dyDescent="0.3">
      <c r="A1125" s="12"/>
    </row>
    <row r="1126" spans="1:1" x14ac:dyDescent="0.3">
      <c r="A1126" s="12"/>
    </row>
    <row r="1127" spans="1:1" x14ac:dyDescent="0.3">
      <c r="A1127" s="12"/>
    </row>
    <row r="1128" spans="1:1" x14ac:dyDescent="0.3">
      <c r="A1128" s="12"/>
    </row>
    <row r="1129" spans="1:1" x14ac:dyDescent="0.3">
      <c r="A1129" s="12"/>
    </row>
    <row r="1130" spans="1:1" x14ac:dyDescent="0.3">
      <c r="A1130" s="12"/>
    </row>
    <row r="1131" spans="1:1" x14ac:dyDescent="0.3">
      <c r="A1131" s="12"/>
    </row>
    <row r="1132" spans="1:1" x14ac:dyDescent="0.3">
      <c r="A1132" s="12"/>
    </row>
    <row r="1133" spans="1:1" x14ac:dyDescent="0.3">
      <c r="A1133" s="12"/>
    </row>
    <row r="1134" spans="1:1" x14ac:dyDescent="0.3">
      <c r="A1134" s="12"/>
    </row>
    <row r="1135" spans="1:1" x14ac:dyDescent="0.3">
      <c r="A1135" s="12"/>
    </row>
    <row r="1136" spans="1:1" x14ac:dyDescent="0.3">
      <c r="A1136" s="12"/>
    </row>
    <row r="1137" spans="1:1" x14ac:dyDescent="0.3">
      <c r="A1137" s="12"/>
    </row>
    <row r="1138" spans="1:1" x14ac:dyDescent="0.3">
      <c r="A1138" s="12"/>
    </row>
    <row r="1139" spans="1:1" x14ac:dyDescent="0.3">
      <c r="A1139" s="12"/>
    </row>
    <row r="1140" spans="1:1" x14ac:dyDescent="0.3">
      <c r="A1140" s="12"/>
    </row>
    <row r="1141" spans="1:1" x14ac:dyDescent="0.3">
      <c r="A1141" s="12"/>
    </row>
    <row r="1142" spans="1:1" x14ac:dyDescent="0.3">
      <c r="A1142" s="12"/>
    </row>
    <row r="1143" spans="1:1" x14ac:dyDescent="0.3">
      <c r="A1143" s="12"/>
    </row>
    <row r="1144" spans="1:1" x14ac:dyDescent="0.3">
      <c r="A1144" s="12"/>
    </row>
    <row r="1145" spans="1:1" x14ac:dyDescent="0.3">
      <c r="A1145" s="12"/>
    </row>
    <row r="1146" spans="1:1" x14ac:dyDescent="0.3">
      <c r="A1146" s="12"/>
    </row>
    <row r="1147" spans="1:1" x14ac:dyDescent="0.3">
      <c r="A1147" s="12"/>
    </row>
    <row r="1148" spans="1:1" x14ac:dyDescent="0.3">
      <c r="A1148" s="12"/>
    </row>
    <row r="1149" spans="1:1" x14ac:dyDescent="0.3">
      <c r="A1149" s="12"/>
    </row>
    <row r="1150" spans="1:1" x14ac:dyDescent="0.3">
      <c r="A1150" s="12"/>
    </row>
    <row r="1151" spans="1:1" x14ac:dyDescent="0.3">
      <c r="A1151" s="12"/>
    </row>
    <row r="1152" spans="1:1" x14ac:dyDescent="0.3">
      <c r="A1152" s="12"/>
    </row>
    <row r="1153" spans="1:1" x14ac:dyDescent="0.3">
      <c r="A1153" s="12"/>
    </row>
    <row r="1154" spans="1:1" x14ac:dyDescent="0.3">
      <c r="A1154" s="12"/>
    </row>
    <row r="1155" spans="1:1" x14ac:dyDescent="0.3">
      <c r="A1155" s="12"/>
    </row>
    <row r="1156" spans="1:1" x14ac:dyDescent="0.3">
      <c r="A1156" s="12"/>
    </row>
    <row r="1157" spans="1:1" x14ac:dyDescent="0.3">
      <c r="A1157" s="12"/>
    </row>
    <row r="1158" spans="1:1" x14ac:dyDescent="0.3">
      <c r="A1158" s="12"/>
    </row>
    <row r="1159" spans="1:1" x14ac:dyDescent="0.3">
      <c r="A1159" s="12"/>
    </row>
    <row r="1160" spans="1:1" x14ac:dyDescent="0.3">
      <c r="A1160" s="12"/>
    </row>
    <row r="1161" spans="1:1" x14ac:dyDescent="0.3">
      <c r="A1161" s="12"/>
    </row>
    <row r="1162" spans="1:1" x14ac:dyDescent="0.3">
      <c r="A1162" s="12"/>
    </row>
    <row r="1163" spans="1:1" x14ac:dyDescent="0.3">
      <c r="A1163" s="12"/>
    </row>
    <row r="1164" spans="1:1" x14ac:dyDescent="0.3">
      <c r="A1164" s="12"/>
    </row>
    <row r="1165" spans="1:1" x14ac:dyDescent="0.3">
      <c r="A1165" s="12"/>
    </row>
    <row r="1166" spans="1:1" x14ac:dyDescent="0.3">
      <c r="A1166" s="12"/>
    </row>
    <row r="1167" spans="1:1" x14ac:dyDescent="0.3">
      <c r="A1167" s="12"/>
    </row>
    <row r="1168" spans="1:1" x14ac:dyDescent="0.3">
      <c r="A1168" s="12"/>
    </row>
    <row r="1169" spans="1:1" x14ac:dyDescent="0.3">
      <c r="A1169" s="12"/>
    </row>
    <row r="1170" spans="1:1" x14ac:dyDescent="0.3">
      <c r="A1170" s="12"/>
    </row>
    <row r="1171" spans="1:1" x14ac:dyDescent="0.3">
      <c r="A1171" s="12"/>
    </row>
    <row r="1172" spans="1:1" x14ac:dyDescent="0.3">
      <c r="A1172" s="12"/>
    </row>
    <row r="1173" spans="1:1" x14ac:dyDescent="0.3">
      <c r="A1173" s="12"/>
    </row>
    <row r="1174" spans="1:1" x14ac:dyDescent="0.3">
      <c r="A1174" s="12"/>
    </row>
    <row r="1175" spans="1:1" x14ac:dyDescent="0.3">
      <c r="A1175" s="12"/>
    </row>
    <row r="1176" spans="1:1" x14ac:dyDescent="0.3">
      <c r="A1176" s="12"/>
    </row>
    <row r="1177" spans="1:1" x14ac:dyDescent="0.3">
      <c r="A1177" s="12"/>
    </row>
    <row r="1178" spans="1:1" x14ac:dyDescent="0.3">
      <c r="A1178" s="12"/>
    </row>
    <row r="1179" spans="1:1" x14ac:dyDescent="0.3">
      <c r="A1179" s="12"/>
    </row>
    <row r="1180" spans="1:1" x14ac:dyDescent="0.3">
      <c r="A1180" s="12"/>
    </row>
    <row r="1181" spans="1:1" x14ac:dyDescent="0.3">
      <c r="A1181" s="12"/>
    </row>
    <row r="1182" spans="1:1" x14ac:dyDescent="0.3">
      <c r="A1182" s="12"/>
    </row>
    <row r="1183" spans="1:1" x14ac:dyDescent="0.3">
      <c r="A1183" s="12"/>
    </row>
    <row r="1184" spans="1:1" x14ac:dyDescent="0.3">
      <c r="A1184" s="12"/>
    </row>
    <row r="1185" spans="1:1" x14ac:dyDescent="0.3">
      <c r="A1185" s="12"/>
    </row>
    <row r="1186" spans="1:1" x14ac:dyDescent="0.3">
      <c r="A1186" s="12"/>
    </row>
    <row r="1187" spans="1:1" x14ac:dyDescent="0.3">
      <c r="A1187" s="12"/>
    </row>
    <row r="1188" spans="1:1" x14ac:dyDescent="0.3">
      <c r="A1188" s="12"/>
    </row>
    <row r="1189" spans="1:1" x14ac:dyDescent="0.3">
      <c r="A1189" s="12"/>
    </row>
    <row r="1190" spans="1:1" x14ac:dyDescent="0.3">
      <c r="A1190" s="12"/>
    </row>
    <row r="1191" spans="1:1" x14ac:dyDescent="0.3">
      <c r="A1191" s="12"/>
    </row>
    <row r="1192" spans="1:1" x14ac:dyDescent="0.3">
      <c r="A1192" s="12"/>
    </row>
    <row r="1193" spans="1:1" x14ac:dyDescent="0.3">
      <c r="A1193" s="12"/>
    </row>
    <row r="1194" spans="1:1" x14ac:dyDescent="0.3">
      <c r="A1194" s="12"/>
    </row>
    <row r="1195" spans="1:1" x14ac:dyDescent="0.3">
      <c r="A1195" s="12"/>
    </row>
    <row r="1196" spans="1:1" x14ac:dyDescent="0.3">
      <c r="A1196" s="12"/>
    </row>
    <row r="1197" spans="1:1" x14ac:dyDescent="0.3">
      <c r="A1197" s="12"/>
    </row>
    <row r="1198" spans="1:1" x14ac:dyDescent="0.3">
      <c r="A1198" s="12"/>
    </row>
    <row r="1199" spans="1:1" x14ac:dyDescent="0.3">
      <c r="A1199" s="12"/>
    </row>
    <row r="1200" spans="1:1" x14ac:dyDescent="0.3">
      <c r="A1200" s="12"/>
    </row>
    <row r="1201" spans="1:1" x14ac:dyDescent="0.3">
      <c r="A1201" s="12"/>
    </row>
    <row r="1202" spans="1:1" x14ac:dyDescent="0.3">
      <c r="A1202" s="12"/>
    </row>
    <row r="1203" spans="1:1" x14ac:dyDescent="0.3">
      <c r="A1203" s="12"/>
    </row>
    <row r="1204" spans="1:1" x14ac:dyDescent="0.3">
      <c r="A1204" s="12"/>
    </row>
    <row r="1205" spans="1:1" x14ac:dyDescent="0.3">
      <c r="A1205" s="12"/>
    </row>
    <row r="1206" spans="1:1" x14ac:dyDescent="0.3">
      <c r="A1206" s="12"/>
    </row>
    <row r="1207" spans="1:1" x14ac:dyDescent="0.3">
      <c r="A1207" s="12"/>
    </row>
    <row r="1208" spans="1:1" x14ac:dyDescent="0.3">
      <c r="A1208" s="12"/>
    </row>
    <row r="1209" spans="1:1" x14ac:dyDescent="0.3">
      <c r="A1209" s="12"/>
    </row>
    <row r="1210" spans="1:1" x14ac:dyDescent="0.3">
      <c r="A1210" s="12"/>
    </row>
    <row r="1211" spans="1:1" x14ac:dyDescent="0.3">
      <c r="A1211" s="12"/>
    </row>
    <row r="1212" spans="1:1" x14ac:dyDescent="0.3">
      <c r="A1212" s="12"/>
    </row>
    <row r="1213" spans="1:1" x14ac:dyDescent="0.3">
      <c r="A1213" s="12"/>
    </row>
    <row r="1214" spans="1:1" x14ac:dyDescent="0.3">
      <c r="A1214" s="12"/>
    </row>
    <row r="1215" spans="1:1" x14ac:dyDescent="0.3">
      <c r="A1215" s="12"/>
    </row>
    <row r="1216" spans="1:1" x14ac:dyDescent="0.3">
      <c r="A1216" s="12"/>
    </row>
    <row r="1217" spans="1:1" x14ac:dyDescent="0.3">
      <c r="A1217" s="12"/>
    </row>
    <row r="1218" spans="1:1" x14ac:dyDescent="0.3">
      <c r="A1218" s="12"/>
    </row>
    <row r="1219" spans="1:1" x14ac:dyDescent="0.3">
      <c r="A1219" s="12"/>
    </row>
    <row r="1220" spans="1:1" x14ac:dyDescent="0.3">
      <c r="A1220" s="12"/>
    </row>
    <row r="1221" spans="1:1" x14ac:dyDescent="0.3">
      <c r="A1221" s="12"/>
    </row>
    <row r="1222" spans="1:1" x14ac:dyDescent="0.3">
      <c r="A1222" s="12"/>
    </row>
    <row r="1223" spans="1:1" x14ac:dyDescent="0.3">
      <c r="A1223" s="12"/>
    </row>
    <row r="1224" spans="1:1" x14ac:dyDescent="0.3">
      <c r="A1224" s="12"/>
    </row>
    <row r="1225" spans="1:1" x14ac:dyDescent="0.3">
      <c r="A1225" s="12"/>
    </row>
    <row r="1226" spans="1:1" x14ac:dyDescent="0.3">
      <c r="A1226" s="12"/>
    </row>
    <row r="1227" spans="1:1" x14ac:dyDescent="0.3">
      <c r="A1227" s="12"/>
    </row>
    <row r="1228" spans="1:1" x14ac:dyDescent="0.3">
      <c r="A1228" s="12"/>
    </row>
    <row r="1229" spans="1:1" x14ac:dyDescent="0.3">
      <c r="A1229" s="12"/>
    </row>
    <row r="1230" spans="1:1" x14ac:dyDescent="0.3">
      <c r="A1230" s="12"/>
    </row>
    <row r="1231" spans="1:1" x14ac:dyDescent="0.3">
      <c r="A1231" s="12"/>
    </row>
    <row r="1232" spans="1:1" x14ac:dyDescent="0.3">
      <c r="A1232" s="12"/>
    </row>
    <row r="1233" spans="1:1" x14ac:dyDescent="0.3">
      <c r="A1233" s="12"/>
    </row>
    <row r="1234" spans="1:1" x14ac:dyDescent="0.3">
      <c r="A1234" s="12"/>
    </row>
    <row r="1235" spans="1:1" x14ac:dyDescent="0.3">
      <c r="A1235" s="12"/>
    </row>
    <row r="1236" spans="1:1" x14ac:dyDescent="0.3">
      <c r="A1236" s="12"/>
    </row>
    <row r="1237" spans="1:1" x14ac:dyDescent="0.3">
      <c r="A1237" s="12"/>
    </row>
    <row r="1238" spans="1:1" x14ac:dyDescent="0.3">
      <c r="A1238" s="12"/>
    </row>
    <row r="1239" spans="1:1" x14ac:dyDescent="0.3">
      <c r="A1239" s="12"/>
    </row>
    <row r="1240" spans="1:1" x14ac:dyDescent="0.3">
      <c r="A1240" s="12"/>
    </row>
    <row r="1241" spans="1:1" x14ac:dyDescent="0.3">
      <c r="A1241" s="12"/>
    </row>
    <row r="1242" spans="1:1" x14ac:dyDescent="0.3">
      <c r="A1242" s="12"/>
    </row>
    <row r="1243" spans="1:1" x14ac:dyDescent="0.3">
      <c r="A1243" s="12"/>
    </row>
    <row r="1244" spans="1:1" x14ac:dyDescent="0.3">
      <c r="A1244" s="12"/>
    </row>
    <row r="1245" spans="1:1" x14ac:dyDescent="0.3">
      <c r="A1245" s="12"/>
    </row>
    <row r="1246" spans="1:1" x14ac:dyDescent="0.3">
      <c r="A1246" s="12"/>
    </row>
    <row r="1247" spans="1:1" x14ac:dyDescent="0.3">
      <c r="A1247" s="12"/>
    </row>
    <row r="1248" spans="1:1" x14ac:dyDescent="0.3">
      <c r="A1248" s="12"/>
    </row>
    <row r="1249" spans="1:1" x14ac:dyDescent="0.3">
      <c r="A1249" s="12"/>
    </row>
    <row r="1250" spans="1:1" x14ac:dyDescent="0.3">
      <c r="A1250" s="12"/>
    </row>
    <row r="1251" spans="1:1" x14ac:dyDescent="0.3">
      <c r="A1251" s="12"/>
    </row>
    <row r="1252" spans="1:1" x14ac:dyDescent="0.3">
      <c r="A1252" s="12"/>
    </row>
    <row r="1253" spans="1:1" x14ac:dyDescent="0.3">
      <c r="A1253" s="12"/>
    </row>
    <row r="1254" spans="1:1" x14ac:dyDescent="0.3">
      <c r="A1254" s="12"/>
    </row>
    <row r="1255" spans="1:1" x14ac:dyDescent="0.3">
      <c r="A1255" s="12"/>
    </row>
    <row r="1256" spans="1:1" x14ac:dyDescent="0.3">
      <c r="A1256" s="12"/>
    </row>
    <row r="1257" spans="1:1" x14ac:dyDescent="0.3">
      <c r="A1257" s="12"/>
    </row>
    <row r="1258" spans="1:1" x14ac:dyDescent="0.3">
      <c r="A1258" s="12"/>
    </row>
    <row r="1259" spans="1:1" x14ac:dyDescent="0.3">
      <c r="A1259" s="12"/>
    </row>
    <row r="1260" spans="1:1" x14ac:dyDescent="0.3">
      <c r="A1260" s="12"/>
    </row>
    <row r="1261" spans="1:1" x14ac:dyDescent="0.3">
      <c r="A1261" s="12"/>
    </row>
    <row r="1262" spans="1:1" x14ac:dyDescent="0.3">
      <c r="A1262" s="12"/>
    </row>
    <row r="1263" spans="1:1" x14ac:dyDescent="0.3">
      <c r="A1263" s="12"/>
    </row>
    <row r="1264" spans="1:1" x14ac:dyDescent="0.3">
      <c r="A1264" s="12"/>
    </row>
    <row r="1265" spans="1:1" x14ac:dyDescent="0.3">
      <c r="A1265" s="12"/>
    </row>
    <row r="1266" spans="1:1" x14ac:dyDescent="0.3">
      <c r="A1266" s="12"/>
    </row>
    <row r="1267" spans="1:1" x14ac:dyDescent="0.3">
      <c r="A1267" s="12"/>
    </row>
    <row r="1268" spans="1:1" x14ac:dyDescent="0.3">
      <c r="A1268" s="12"/>
    </row>
    <row r="1269" spans="1:1" x14ac:dyDescent="0.3">
      <c r="A1269" s="12"/>
    </row>
    <row r="1270" spans="1:1" x14ac:dyDescent="0.3">
      <c r="A1270" s="12"/>
    </row>
    <row r="1271" spans="1:1" x14ac:dyDescent="0.3">
      <c r="A1271" s="12"/>
    </row>
    <row r="1272" spans="1:1" x14ac:dyDescent="0.3">
      <c r="A1272" s="12"/>
    </row>
    <row r="1273" spans="1:1" x14ac:dyDescent="0.3">
      <c r="A1273" s="12"/>
    </row>
    <row r="1274" spans="1:1" x14ac:dyDescent="0.3">
      <c r="A1274" s="12"/>
    </row>
    <row r="1275" spans="1:1" x14ac:dyDescent="0.3">
      <c r="A1275" s="12"/>
    </row>
    <row r="1276" spans="1:1" x14ac:dyDescent="0.3">
      <c r="A1276" s="12"/>
    </row>
    <row r="1277" spans="1:1" x14ac:dyDescent="0.3">
      <c r="A1277" s="12"/>
    </row>
    <row r="1278" spans="1:1" x14ac:dyDescent="0.3">
      <c r="A1278" s="12"/>
    </row>
    <row r="1279" spans="1:1" x14ac:dyDescent="0.3">
      <c r="A1279" s="12"/>
    </row>
    <row r="1280" spans="1:1" x14ac:dyDescent="0.3">
      <c r="A1280" s="12"/>
    </row>
    <row r="1281" spans="1:1" x14ac:dyDescent="0.3">
      <c r="A1281" s="12"/>
    </row>
    <row r="1282" spans="1:1" x14ac:dyDescent="0.3">
      <c r="A1282" s="12"/>
    </row>
    <row r="1283" spans="1:1" x14ac:dyDescent="0.3">
      <c r="A1283" s="12"/>
    </row>
    <row r="1284" spans="1:1" x14ac:dyDescent="0.3">
      <c r="A1284" s="12"/>
    </row>
    <row r="1285" spans="1:1" x14ac:dyDescent="0.3">
      <c r="A1285" s="12"/>
    </row>
    <row r="1286" spans="1:1" x14ac:dyDescent="0.3">
      <c r="A1286" s="12"/>
    </row>
    <row r="1287" spans="1:1" x14ac:dyDescent="0.3">
      <c r="A1287" s="12"/>
    </row>
    <row r="1288" spans="1:1" x14ac:dyDescent="0.3">
      <c r="A1288" s="12"/>
    </row>
    <row r="1289" spans="1:1" x14ac:dyDescent="0.3">
      <c r="A1289" s="12"/>
    </row>
    <row r="1290" spans="1:1" x14ac:dyDescent="0.3">
      <c r="A1290" s="12"/>
    </row>
    <row r="1291" spans="1:1" x14ac:dyDescent="0.3">
      <c r="A1291" s="12"/>
    </row>
    <row r="1292" spans="1:1" x14ac:dyDescent="0.3">
      <c r="A1292" s="12"/>
    </row>
    <row r="1293" spans="1:1" x14ac:dyDescent="0.3">
      <c r="A1293" s="12"/>
    </row>
    <row r="1294" spans="1:1" x14ac:dyDescent="0.3">
      <c r="A1294" s="12"/>
    </row>
    <row r="1295" spans="1:1" x14ac:dyDescent="0.3">
      <c r="A1295" s="12"/>
    </row>
    <row r="1296" spans="1:1" x14ac:dyDescent="0.3">
      <c r="A1296" s="12"/>
    </row>
    <row r="1297" spans="1:1" x14ac:dyDescent="0.3">
      <c r="A1297" s="12"/>
    </row>
    <row r="1298" spans="1:1" x14ac:dyDescent="0.3">
      <c r="A1298" s="12"/>
    </row>
    <row r="1299" spans="1:1" x14ac:dyDescent="0.3">
      <c r="A1299" s="12"/>
    </row>
    <row r="1300" spans="1:1" x14ac:dyDescent="0.3">
      <c r="A1300" s="12"/>
    </row>
    <row r="1301" spans="1:1" x14ac:dyDescent="0.3">
      <c r="A1301" s="12"/>
    </row>
    <row r="1302" spans="1:1" x14ac:dyDescent="0.3">
      <c r="A1302" s="12"/>
    </row>
    <row r="1303" spans="1:1" x14ac:dyDescent="0.3">
      <c r="A1303" s="12"/>
    </row>
    <row r="1304" spans="1:1" x14ac:dyDescent="0.3">
      <c r="A1304" s="12"/>
    </row>
    <row r="1305" spans="1:1" x14ac:dyDescent="0.3">
      <c r="A1305" s="12"/>
    </row>
    <row r="1306" spans="1:1" x14ac:dyDescent="0.3">
      <c r="A1306" s="12"/>
    </row>
    <row r="1307" spans="1:1" x14ac:dyDescent="0.3">
      <c r="A1307" s="12"/>
    </row>
    <row r="1308" spans="1:1" x14ac:dyDescent="0.3">
      <c r="A1308" s="12"/>
    </row>
    <row r="1309" spans="1:1" x14ac:dyDescent="0.3">
      <c r="A1309" s="12"/>
    </row>
    <row r="1310" spans="1:1" x14ac:dyDescent="0.3">
      <c r="A1310" s="12"/>
    </row>
    <row r="1311" spans="1:1" x14ac:dyDescent="0.3">
      <c r="A1311" s="12"/>
    </row>
    <row r="1312" spans="1:1" x14ac:dyDescent="0.3">
      <c r="A1312" s="12"/>
    </row>
    <row r="1313" spans="1:1" x14ac:dyDescent="0.3">
      <c r="A1313" s="12"/>
    </row>
    <row r="1314" spans="1:1" x14ac:dyDescent="0.3">
      <c r="A1314" s="12"/>
    </row>
    <row r="1315" spans="1:1" x14ac:dyDescent="0.3">
      <c r="A1315" s="12"/>
    </row>
    <row r="1316" spans="1:1" x14ac:dyDescent="0.3">
      <c r="A1316" s="12"/>
    </row>
    <row r="1317" spans="1:1" x14ac:dyDescent="0.3">
      <c r="A1317" s="12"/>
    </row>
    <row r="1318" spans="1:1" x14ac:dyDescent="0.3">
      <c r="A1318" s="12"/>
    </row>
    <row r="1319" spans="1:1" x14ac:dyDescent="0.3">
      <c r="A1319" s="12"/>
    </row>
    <row r="1320" spans="1:1" x14ac:dyDescent="0.3">
      <c r="A1320" s="12"/>
    </row>
    <row r="1321" spans="1:1" x14ac:dyDescent="0.3">
      <c r="A1321" s="12"/>
    </row>
    <row r="1322" spans="1:1" x14ac:dyDescent="0.3">
      <c r="A1322" s="12"/>
    </row>
    <row r="1323" spans="1:1" x14ac:dyDescent="0.3">
      <c r="A1323" s="12"/>
    </row>
    <row r="1324" spans="1:1" x14ac:dyDescent="0.3">
      <c r="A1324" s="12"/>
    </row>
    <row r="1325" spans="1:1" x14ac:dyDescent="0.3">
      <c r="A1325" s="12"/>
    </row>
    <row r="1326" spans="1:1" x14ac:dyDescent="0.3">
      <c r="A1326" s="12"/>
    </row>
    <row r="1327" spans="1:1" x14ac:dyDescent="0.3">
      <c r="A1327" s="12"/>
    </row>
    <row r="1328" spans="1:1" x14ac:dyDescent="0.3">
      <c r="A1328" s="12"/>
    </row>
    <row r="1329" spans="1:1" x14ac:dyDescent="0.3">
      <c r="A1329" s="12"/>
    </row>
    <row r="1330" spans="1:1" x14ac:dyDescent="0.3">
      <c r="A1330" s="12"/>
    </row>
    <row r="1331" spans="1:1" x14ac:dyDescent="0.3">
      <c r="A1331" s="12"/>
    </row>
    <row r="1332" spans="1:1" x14ac:dyDescent="0.3">
      <c r="A1332" s="12"/>
    </row>
    <row r="1333" spans="1:1" x14ac:dyDescent="0.3">
      <c r="A1333" s="12"/>
    </row>
    <row r="1334" spans="1:1" x14ac:dyDescent="0.3">
      <c r="A1334" s="12"/>
    </row>
    <row r="1335" spans="1:1" x14ac:dyDescent="0.3">
      <c r="A1335" s="12"/>
    </row>
    <row r="1336" spans="1:1" x14ac:dyDescent="0.3">
      <c r="A1336" s="12"/>
    </row>
    <row r="1337" spans="1:1" x14ac:dyDescent="0.3">
      <c r="A1337" s="12"/>
    </row>
    <row r="1338" spans="1:1" x14ac:dyDescent="0.3">
      <c r="A1338" s="12"/>
    </row>
    <row r="1339" spans="1:1" x14ac:dyDescent="0.3">
      <c r="A1339" s="12"/>
    </row>
    <row r="1340" spans="1:1" x14ac:dyDescent="0.3">
      <c r="A1340" s="12"/>
    </row>
    <row r="1341" spans="1:1" x14ac:dyDescent="0.3">
      <c r="A1341" s="12"/>
    </row>
    <row r="1342" spans="1:1" x14ac:dyDescent="0.3">
      <c r="A1342" s="12"/>
    </row>
    <row r="1343" spans="1:1" x14ac:dyDescent="0.3">
      <c r="A1343" s="12"/>
    </row>
    <row r="1344" spans="1:1" x14ac:dyDescent="0.3">
      <c r="A1344" s="12"/>
    </row>
    <row r="1345" spans="1:1" x14ac:dyDescent="0.3">
      <c r="A1345" s="12"/>
    </row>
    <row r="1346" spans="1:1" x14ac:dyDescent="0.3">
      <c r="A1346" s="12"/>
    </row>
    <row r="1347" spans="1:1" x14ac:dyDescent="0.3">
      <c r="A1347" s="12"/>
    </row>
    <row r="1348" spans="1:1" x14ac:dyDescent="0.3">
      <c r="A1348" s="12"/>
    </row>
    <row r="1349" spans="1:1" x14ac:dyDescent="0.3">
      <c r="A1349" s="12"/>
    </row>
    <row r="1350" spans="1:1" x14ac:dyDescent="0.3">
      <c r="A1350" s="12"/>
    </row>
    <row r="1351" spans="1:1" x14ac:dyDescent="0.3">
      <c r="A1351" s="12"/>
    </row>
    <row r="1352" spans="1:1" x14ac:dyDescent="0.3">
      <c r="A1352" s="12"/>
    </row>
    <row r="1353" spans="1:1" x14ac:dyDescent="0.3">
      <c r="A1353" s="12"/>
    </row>
    <row r="1354" spans="1:1" x14ac:dyDescent="0.3">
      <c r="A1354" s="12"/>
    </row>
    <row r="1355" spans="1:1" x14ac:dyDescent="0.3">
      <c r="A1355" s="12"/>
    </row>
    <row r="1356" spans="1:1" x14ac:dyDescent="0.3">
      <c r="A1356" s="12"/>
    </row>
    <row r="1357" spans="1:1" x14ac:dyDescent="0.3">
      <c r="A1357" s="12"/>
    </row>
    <row r="1358" spans="1:1" x14ac:dyDescent="0.3">
      <c r="A1358" s="12"/>
    </row>
    <row r="1359" spans="1:1" x14ac:dyDescent="0.3">
      <c r="A1359" s="12"/>
    </row>
    <row r="1360" spans="1:1" x14ac:dyDescent="0.3">
      <c r="A1360" s="12"/>
    </row>
    <row r="1361" spans="1:1" x14ac:dyDescent="0.3">
      <c r="A1361" s="12"/>
    </row>
    <row r="1362" spans="1:1" x14ac:dyDescent="0.3">
      <c r="A1362" s="12"/>
    </row>
    <row r="1363" spans="1:1" x14ac:dyDescent="0.3">
      <c r="A1363" s="12"/>
    </row>
    <row r="1364" spans="1:1" x14ac:dyDescent="0.3">
      <c r="A1364" s="12"/>
    </row>
    <row r="1365" spans="1:1" x14ac:dyDescent="0.3">
      <c r="A1365" s="12"/>
    </row>
    <row r="1366" spans="1:1" x14ac:dyDescent="0.3">
      <c r="A1366" s="12"/>
    </row>
    <row r="1367" spans="1:1" x14ac:dyDescent="0.3">
      <c r="A1367" s="12"/>
    </row>
    <row r="1368" spans="1:1" x14ac:dyDescent="0.3">
      <c r="A1368" s="12"/>
    </row>
    <row r="1369" spans="1:1" x14ac:dyDescent="0.3">
      <c r="A1369" s="12"/>
    </row>
    <row r="1370" spans="1:1" x14ac:dyDescent="0.3">
      <c r="A1370" s="12"/>
    </row>
    <row r="1371" spans="1:1" x14ac:dyDescent="0.3">
      <c r="A1371" s="12"/>
    </row>
    <row r="1372" spans="1:1" x14ac:dyDescent="0.3">
      <c r="A1372" s="12"/>
    </row>
    <row r="1373" spans="1:1" x14ac:dyDescent="0.3">
      <c r="A1373" s="12"/>
    </row>
    <row r="1374" spans="1:1" x14ac:dyDescent="0.3">
      <c r="A1374" s="12"/>
    </row>
    <row r="1375" spans="1:1" x14ac:dyDescent="0.3">
      <c r="A1375" s="12"/>
    </row>
    <row r="1376" spans="1:1" x14ac:dyDescent="0.3">
      <c r="A1376" s="12"/>
    </row>
    <row r="1377" spans="1:1" x14ac:dyDescent="0.3">
      <c r="A1377" s="12"/>
    </row>
    <row r="1378" spans="1:1" x14ac:dyDescent="0.3">
      <c r="A1378" s="12"/>
    </row>
    <row r="1379" spans="1:1" x14ac:dyDescent="0.3">
      <c r="A1379" s="12"/>
    </row>
    <row r="1380" spans="1:1" x14ac:dyDescent="0.3">
      <c r="A1380" s="12"/>
    </row>
    <row r="1381" spans="1:1" x14ac:dyDescent="0.3">
      <c r="A1381" s="12"/>
    </row>
    <row r="1382" spans="1:1" x14ac:dyDescent="0.3">
      <c r="A1382" s="12"/>
    </row>
    <row r="1383" spans="1:1" x14ac:dyDescent="0.3">
      <c r="A1383" s="12"/>
    </row>
    <row r="1384" spans="1:1" x14ac:dyDescent="0.3">
      <c r="A1384" s="12"/>
    </row>
    <row r="1385" spans="1:1" x14ac:dyDescent="0.3">
      <c r="A1385" s="12"/>
    </row>
    <row r="1386" spans="1:1" x14ac:dyDescent="0.3">
      <c r="A1386" s="12"/>
    </row>
    <row r="1387" spans="1:1" x14ac:dyDescent="0.3">
      <c r="A1387" s="12"/>
    </row>
    <row r="1388" spans="1:1" x14ac:dyDescent="0.3">
      <c r="A1388" s="12"/>
    </row>
    <row r="1389" spans="1:1" x14ac:dyDescent="0.3">
      <c r="A1389" s="12"/>
    </row>
    <row r="1390" spans="1:1" x14ac:dyDescent="0.3">
      <c r="A1390" s="12"/>
    </row>
    <row r="1391" spans="1:1" x14ac:dyDescent="0.3">
      <c r="A1391" s="12"/>
    </row>
    <row r="1392" spans="1:1" x14ac:dyDescent="0.3">
      <c r="A1392" s="12"/>
    </row>
    <row r="1393" spans="1:1" x14ac:dyDescent="0.3">
      <c r="A1393" s="12"/>
    </row>
    <row r="1394" spans="1:1" x14ac:dyDescent="0.3">
      <c r="A1394" s="12"/>
    </row>
    <row r="1395" spans="1:1" x14ac:dyDescent="0.3">
      <c r="A1395" s="12"/>
    </row>
    <row r="1396" spans="1:1" x14ac:dyDescent="0.3">
      <c r="A1396" s="12"/>
    </row>
    <row r="1397" spans="1:1" x14ac:dyDescent="0.3">
      <c r="A1397" s="12"/>
    </row>
    <row r="1398" spans="1:1" x14ac:dyDescent="0.3">
      <c r="A1398" s="12"/>
    </row>
    <row r="1399" spans="1:1" x14ac:dyDescent="0.3">
      <c r="A1399" s="12"/>
    </row>
    <row r="1400" spans="1:1" x14ac:dyDescent="0.3">
      <c r="A1400" s="12"/>
    </row>
    <row r="1401" spans="1:1" x14ac:dyDescent="0.3">
      <c r="A1401" s="12"/>
    </row>
    <row r="1402" spans="1:1" x14ac:dyDescent="0.3">
      <c r="A1402" s="12"/>
    </row>
    <row r="1403" spans="1:1" x14ac:dyDescent="0.3">
      <c r="A1403" s="12"/>
    </row>
    <row r="1404" spans="1:1" x14ac:dyDescent="0.3">
      <c r="A1404" s="12"/>
    </row>
    <row r="1405" spans="1:1" x14ac:dyDescent="0.3">
      <c r="A1405" s="12"/>
    </row>
    <row r="1406" spans="1:1" x14ac:dyDescent="0.3">
      <c r="A1406" s="12"/>
    </row>
    <row r="1407" spans="1:1" x14ac:dyDescent="0.3">
      <c r="A1407" s="12"/>
    </row>
    <row r="1408" spans="1:1" x14ac:dyDescent="0.3">
      <c r="A1408" s="12"/>
    </row>
    <row r="1409" spans="1:1" x14ac:dyDescent="0.3">
      <c r="A1409" s="12"/>
    </row>
    <row r="1410" spans="1:1" x14ac:dyDescent="0.3">
      <c r="A1410" s="12"/>
    </row>
    <row r="1411" spans="1:1" x14ac:dyDescent="0.3">
      <c r="A1411" s="12"/>
    </row>
    <row r="1412" spans="1:1" x14ac:dyDescent="0.3">
      <c r="A1412" s="12"/>
    </row>
    <row r="1413" spans="1:1" x14ac:dyDescent="0.3">
      <c r="A1413" s="12"/>
    </row>
    <row r="1414" spans="1:1" x14ac:dyDescent="0.3">
      <c r="A1414" s="12"/>
    </row>
    <row r="1415" spans="1:1" x14ac:dyDescent="0.3">
      <c r="A1415" s="12"/>
    </row>
    <row r="1416" spans="1:1" x14ac:dyDescent="0.3">
      <c r="A1416" s="12"/>
    </row>
    <row r="1417" spans="1:1" x14ac:dyDescent="0.3">
      <c r="A1417" s="12"/>
    </row>
    <row r="1418" spans="1:1" x14ac:dyDescent="0.3">
      <c r="A1418" s="12"/>
    </row>
    <row r="1419" spans="1:1" x14ac:dyDescent="0.3">
      <c r="A1419" s="12"/>
    </row>
    <row r="1420" spans="1:1" x14ac:dyDescent="0.3">
      <c r="A1420" s="12"/>
    </row>
    <row r="1421" spans="1:1" x14ac:dyDescent="0.3">
      <c r="A1421" s="12"/>
    </row>
    <row r="1422" spans="1:1" x14ac:dyDescent="0.3">
      <c r="A1422" s="12"/>
    </row>
    <row r="1423" spans="1:1" x14ac:dyDescent="0.3">
      <c r="A1423" s="12"/>
    </row>
    <row r="1424" spans="1:1" x14ac:dyDescent="0.3">
      <c r="A1424" s="12"/>
    </row>
    <row r="1425" spans="1:1" x14ac:dyDescent="0.3">
      <c r="A1425" s="12"/>
    </row>
    <row r="1426" spans="1:1" x14ac:dyDescent="0.3">
      <c r="A1426" s="12"/>
    </row>
    <row r="1427" spans="1:1" x14ac:dyDescent="0.3">
      <c r="A1427" s="12"/>
    </row>
    <row r="1428" spans="1:1" x14ac:dyDescent="0.3">
      <c r="A1428" s="12"/>
    </row>
    <row r="1429" spans="1:1" x14ac:dyDescent="0.3">
      <c r="A1429" s="12"/>
    </row>
    <row r="1430" spans="1:1" x14ac:dyDescent="0.3">
      <c r="A1430" s="12"/>
    </row>
    <row r="1431" spans="1:1" x14ac:dyDescent="0.3">
      <c r="A1431" s="12"/>
    </row>
    <row r="1432" spans="1:1" x14ac:dyDescent="0.3">
      <c r="A1432" s="12"/>
    </row>
    <row r="1433" spans="1:1" x14ac:dyDescent="0.3">
      <c r="A1433" s="12"/>
    </row>
    <row r="1434" spans="1:1" x14ac:dyDescent="0.3">
      <c r="A1434" s="12"/>
    </row>
    <row r="1435" spans="1:1" x14ac:dyDescent="0.3">
      <c r="A1435" s="12"/>
    </row>
    <row r="1436" spans="1:1" x14ac:dyDescent="0.3">
      <c r="A1436" s="12"/>
    </row>
    <row r="1437" spans="1:1" x14ac:dyDescent="0.3">
      <c r="A1437" s="12"/>
    </row>
    <row r="1438" spans="1:1" x14ac:dyDescent="0.3">
      <c r="A1438" s="12"/>
    </row>
    <row r="1439" spans="1:1" x14ac:dyDescent="0.3">
      <c r="A1439" s="12"/>
    </row>
    <row r="1440" spans="1:1" x14ac:dyDescent="0.3">
      <c r="A1440" s="12"/>
    </row>
    <row r="1441" spans="1:1" x14ac:dyDescent="0.3">
      <c r="A1441" s="12"/>
    </row>
    <row r="1442" spans="1:1" x14ac:dyDescent="0.3">
      <c r="A1442" s="12"/>
    </row>
    <row r="1443" spans="1:1" x14ac:dyDescent="0.3">
      <c r="A1443" s="12"/>
    </row>
    <row r="1444" spans="1:1" x14ac:dyDescent="0.3">
      <c r="A1444" s="12"/>
    </row>
    <row r="1445" spans="1:1" x14ac:dyDescent="0.3">
      <c r="A1445" s="12"/>
    </row>
    <row r="1446" spans="1:1" x14ac:dyDescent="0.3">
      <c r="A1446" s="12"/>
    </row>
    <row r="1447" spans="1:1" x14ac:dyDescent="0.3">
      <c r="A1447" s="12"/>
    </row>
    <row r="1448" spans="1:1" x14ac:dyDescent="0.3">
      <c r="A1448" s="12"/>
    </row>
    <row r="1449" spans="1:1" x14ac:dyDescent="0.3">
      <c r="A1449" s="12"/>
    </row>
    <row r="1450" spans="1:1" x14ac:dyDescent="0.3">
      <c r="A1450" s="12"/>
    </row>
    <row r="1451" spans="1:1" x14ac:dyDescent="0.3">
      <c r="A1451" s="12"/>
    </row>
    <row r="1452" spans="1:1" x14ac:dyDescent="0.3">
      <c r="A1452" s="12"/>
    </row>
    <row r="1453" spans="1:1" x14ac:dyDescent="0.3">
      <c r="A1453" s="12"/>
    </row>
    <row r="1454" spans="1:1" x14ac:dyDescent="0.3">
      <c r="A1454" s="12"/>
    </row>
    <row r="1455" spans="1:1" x14ac:dyDescent="0.3">
      <c r="A1455" s="12"/>
    </row>
    <row r="1456" spans="1:1" x14ac:dyDescent="0.3">
      <c r="A1456" s="12"/>
    </row>
    <row r="1457" spans="1:1" x14ac:dyDescent="0.3">
      <c r="A1457" s="12"/>
    </row>
    <row r="1458" spans="1:1" x14ac:dyDescent="0.3">
      <c r="A1458" s="12"/>
    </row>
    <row r="1459" spans="1:1" x14ac:dyDescent="0.3">
      <c r="A1459" s="12"/>
    </row>
    <row r="1460" spans="1:1" x14ac:dyDescent="0.3">
      <c r="A1460" s="12"/>
    </row>
    <row r="1461" spans="1:1" x14ac:dyDescent="0.3">
      <c r="A1461" s="12"/>
    </row>
    <row r="1462" spans="1:1" x14ac:dyDescent="0.3">
      <c r="A1462" s="12"/>
    </row>
    <row r="1463" spans="1:1" x14ac:dyDescent="0.3">
      <c r="A1463" s="12"/>
    </row>
    <row r="1464" spans="1:1" x14ac:dyDescent="0.3">
      <c r="A1464" s="12"/>
    </row>
    <row r="1465" spans="1:1" x14ac:dyDescent="0.3">
      <c r="A1465" s="12"/>
    </row>
    <row r="1466" spans="1:1" x14ac:dyDescent="0.3">
      <c r="A1466" s="12"/>
    </row>
    <row r="1467" spans="1:1" x14ac:dyDescent="0.3">
      <c r="A1467" s="12"/>
    </row>
    <row r="1468" spans="1:1" x14ac:dyDescent="0.3">
      <c r="A1468" s="12"/>
    </row>
    <row r="1469" spans="1:1" x14ac:dyDescent="0.3">
      <c r="A1469" s="12"/>
    </row>
    <row r="1470" spans="1:1" x14ac:dyDescent="0.3">
      <c r="A1470" s="12"/>
    </row>
    <row r="1471" spans="1:1" x14ac:dyDescent="0.3">
      <c r="A1471" s="12"/>
    </row>
    <row r="1472" spans="1:1" x14ac:dyDescent="0.3">
      <c r="A1472" s="12"/>
    </row>
    <row r="1473" spans="1:1" x14ac:dyDescent="0.3">
      <c r="A1473" s="12"/>
    </row>
    <row r="1474" spans="1:1" x14ac:dyDescent="0.3">
      <c r="A1474" s="12"/>
    </row>
    <row r="1475" spans="1:1" x14ac:dyDescent="0.3">
      <c r="A1475" s="12"/>
    </row>
    <row r="1476" spans="1:1" x14ac:dyDescent="0.3">
      <c r="A1476" s="12"/>
    </row>
    <row r="1477" spans="1:1" x14ac:dyDescent="0.3">
      <c r="A1477" s="12"/>
    </row>
    <row r="1478" spans="1:1" x14ac:dyDescent="0.3">
      <c r="A1478" s="12"/>
    </row>
    <row r="1479" spans="1:1" x14ac:dyDescent="0.3">
      <c r="A1479" s="12"/>
    </row>
    <row r="1480" spans="1:1" x14ac:dyDescent="0.3">
      <c r="A1480" s="12"/>
    </row>
    <row r="1481" spans="1:1" x14ac:dyDescent="0.3">
      <c r="A1481" s="12"/>
    </row>
    <row r="1482" spans="1:1" x14ac:dyDescent="0.3">
      <c r="A1482" s="12"/>
    </row>
    <row r="1483" spans="1:1" x14ac:dyDescent="0.3">
      <c r="A1483" s="12"/>
    </row>
    <row r="1484" spans="1:1" x14ac:dyDescent="0.3">
      <c r="A1484" s="12"/>
    </row>
    <row r="1485" spans="1:1" x14ac:dyDescent="0.3">
      <c r="A1485" s="12"/>
    </row>
    <row r="1486" spans="1:1" x14ac:dyDescent="0.3">
      <c r="A1486" s="12"/>
    </row>
    <row r="1487" spans="1:1" x14ac:dyDescent="0.3">
      <c r="A1487" s="12"/>
    </row>
    <row r="1488" spans="1:1" x14ac:dyDescent="0.3">
      <c r="A1488" s="12"/>
    </row>
    <row r="1489" spans="1:1" x14ac:dyDescent="0.3">
      <c r="A1489" s="12"/>
    </row>
    <row r="1490" spans="1:1" x14ac:dyDescent="0.3">
      <c r="A1490" s="12"/>
    </row>
    <row r="1491" spans="1:1" x14ac:dyDescent="0.3">
      <c r="A1491" s="12"/>
    </row>
    <row r="1492" spans="1:1" x14ac:dyDescent="0.3">
      <c r="A1492" s="12"/>
    </row>
    <row r="1493" spans="1:1" x14ac:dyDescent="0.3">
      <c r="A1493" s="12"/>
    </row>
    <row r="1494" spans="1:1" x14ac:dyDescent="0.3">
      <c r="A1494" s="12"/>
    </row>
    <row r="1495" spans="1:1" x14ac:dyDescent="0.3">
      <c r="A1495" s="12"/>
    </row>
    <row r="1496" spans="1:1" x14ac:dyDescent="0.3">
      <c r="A1496" s="12"/>
    </row>
    <row r="1497" spans="1:1" x14ac:dyDescent="0.3">
      <c r="A1497" s="12"/>
    </row>
    <row r="1498" spans="1:1" x14ac:dyDescent="0.3">
      <c r="A1498" s="12"/>
    </row>
    <row r="1499" spans="1:1" x14ac:dyDescent="0.3">
      <c r="A1499" s="12"/>
    </row>
    <row r="1500" spans="1:1" x14ac:dyDescent="0.3">
      <c r="A1500" s="12"/>
    </row>
    <row r="1501" spans="1:1" x14ac:dyDescent="0.3">
      <c r="A1501" s="12"/>
    </row>
    <row r="1502" spans="1:1" x14ac:dyDescent="0.3">
      <c r="A1502" s="12"/>
    </row>
    <row r="1503" spans="1:1" x14ac:dyDescent="0.3">
      <c r="A1503" s="12"/>
    </row>
    <row r="1504" spans="1:1" x14ac:dyDescent="0.3">
      <c r="A1504" s="12"/>
    </row>
    <row r="1505" spans="1:1" x14ac:dyDescent="0.3">
      <c r="A1505" s="12"/>
    </row>
    <row r="1506" spans="1:1" x14ac:dyDescent="0.3">
      <c r="A1506" s="12"/>
    </row>
    <row r="1507" spans="1:1" x14ac:dyDescent="0.3">
      <c r="A1507" s="12"/>
    </row>
    <row r="1508" spans="1:1" x14ac:dyDescent="0.3">
      <c r="A1508" s="12"/>
    </row>
    <row r="1509" spans="1:1" x14ac:dyDescent="0.3">
      <c r="A1509" s="12"/>
    </row>
    <row r="1510" spans="1:1" x14ac:dyDescent="0.3">
      <c r="A1510" s="12"/>
    </row>
    <row r="1511" spans="1:1" x14ac:dyDescent="0.3">
      <c r="A1511" s="12"/>
    </row>
    <row r="1512" spans="1:1" x14ac:dyDescent="0.3">
      <c r="A1512" s="12"/>
    </row>
    <row r="1513" spans="1:1" x14ac:dyDescent="0.3">
      <c r="A1513" s="12"/>
    </row>
    <row r="1514" spans="1:1" x14ac:dyDescent="0.3">
      <c r="A1514" s="12"/>
    </row>
    <row r="1515" spans="1:1" x14ac:dyDescent="0.3">
      <c r="A1515" s="12"/>
    </row>
    <row r="1516" spans="1:1" x14ac:dyDescent="0.3">
      <c r="A1516" s="12"/>
    </row>
    <row r="1517" spans="1:1" x14ac:dyDescent="0.3">
      <c r="A1517" s="12"/>
    </row>
    <row r="1518" spans="1:1" x14ac:dyDescent="0.3">
      <c r="A1518" s="12"/>
    </row>
    <row r="1519" spans="1:1" x14ac:dyDescent="0.3">
      <c r="A1519" s="12"/>
    </row>
    <row r="1520" spans="1:1" x14ac:dyDescent="0.3">
      <c r="A1520" s="12"/>
    </row>
    <row r="1521" spans="1:1" x14ac:dyDescent="0.3">
      <c r="A1521" s="12"/>
    </row>
    <row r="1522" spans="1:1" x14ac:dyDescent="0.3">
      <c r="A1522" s="12"/>
    </row>
    <row r="1523" spans="1:1" x14ac:dyDescent="0.3">
      <c r="A1523" s="12"/>
    </row>
    <row r="1524" spans="1:1" x14ac:dyDescent="0.3">
      <c r="A1524" s="12"/>
    </row>
    <row r="1525" spans="1:1" x14ac:dyDescent="0.3">
      <c r="A1525" s="12"/>
    </row>
    <row r="1526" spans="1:1" x14ac:dyDescent="0.3">
      <c r="A1526" s="12"/>
    </row>
    <row r="1527" spans="1:1" x14ac:dyDescent="0.3">
      <c r="A1527" s="12"/>
    </row>
    <row r="1528" spans="1:1" x14ac:dyDescent="0.3">
      <c r="A1528" s="12"/>
    </row>
    <row r="1529" spans="1:1" x14ac:dyDescent="0.3">
      <c r="A1529" s="12"/>
    </row>
    <row r="1530" spans="1:1" x14ac:dyDescent="0.3">
      <c r="A1530" s="12"/>
    </row>
    <row r="1531" spans="1:1" x14ac:dyDescent="0.3">
      <c r="A1531" s="12"/>
    </row>
    <row r="1532" spans="1:1" x14ac:dyDescent="0.3">
      <c r="A1532" s="12"/>
    </row>
    <row r="1533" spans="1:1" x14ac:dyDescent="0.3">
      <c r="A1533" s="12"/>
    </row>
    <row r="1534" spans="1:1" x14ac:dyDescent="0.3">
      <c r="A1534" s="12"/>
    </row>
    <row r="1535" spans="1:1" x14ac:dyDescent="0.3">
      <c r="A1535" s="12"/>
    </row>
    <row r="1536" spans="1:1" x14ac:dyDescent="0.3">
      <c r="A1536" s="12"/>
    </row>
    <row r="1537" spans="1:1" x14ac:dyDescent="0.3">
      <c r="A1537" s="12"/>
    </row>
    <row r="1538" spans="1:1" x14ac:dyDescent="0.3">
      <c r="A1538" s="12"/>
    </row>
    <row r="1539" spans="1:1" x14ac:dyDescent="0.3">
      <c r="A1539" s="12"/>
    </row>
    <row r="1540" spans="1:1" x14ac:dyDescent="0.3">
      <c r="A1540" s="12"/>
    </row>
    <row r="1541" spans="1:1" x14ac:dyDescent="0.3">
      <c r="A1541" s="12"/>
    </row>
    <row r="1542" spans="1:1" x14ac:dyDescent="0.3">
      <c r="A1542" s="12"/>
    </row>
    <row r="1543" spans="1:1" x14ac:dyDescent="0.3">
      <c r="A1543" s="12"/>
    </row>
    <row r="1544" spans="1:1" x14ac:dyDescent="0.3">
      <c r="A1544" s="12"/>
    </row>
    <row r="1545" spans="1:1" x14ac:dyDescent="0.3">
      <c r="A1545" s="12"/>
    </row>
    <row r="1546" spans="1:1" x14ac:dyDescent="0.3">
      <c r="A1546" s="12"/>
    </row>
    <row r="1547" spans="1:1" x14ac:dyDescent="0.3">
      <c r="A1547" s="12"/>
    </row>
    <row r="1548" spans="1:1" x14ac:dyDescent="0.3">
      <c r="A1548" s="12"/>
    </row>
    <row r="1549" spans="1:1" x14ac:dyDescent="0.3">
      <c r="A1549" s="12"/>
    </row>
    <row r="1550" spans="1:1" x14ac:dyDescent="0.3">
      <c r="A1550" s="12"/>
    </row>
    <row r="1551" spans="1:1" x14ac:dyDescent="0.3">
      <c r="A1551" s="12"/>
    </row>
    <row r="1552" spans="1:1" x14ac:dyDescent="0.3">
      <c r="A1552" s="12"/>
    </row>
    <row r="1553" spans="1:1" x14ac:dyDescent="0.3">
      <c r="A1553" s="12"/>
    </row>
    <row r="1554" spans="1:1" x14ac:dyDescent="0.3">
      <c r="A1554" s="12"/>
    </row>
    <row r="1555" spans="1:1" x14ac:dyDescent="0.3">
      <c r="A1555" s="12"/>
    </row>
    <row r="1556" spans="1:1" x14ac:dyDescent="0.3">
      <c r="A1556" s="12"/>
    </row>
    <row r="1557" spans="1:1" x14ac:dyDescent="0.3">
      <c r="A1557" s="12"/>
    </row>
    <row r="1558" spans="1:1" x14ac:dyDescent="0.3">
      <c r="A1558" s="12"/>
    </row>
    <row r="1559" spans="1:1" x14ac:dyDescent="0.3">
      <c r="A1559" s="12"/>
    </row>
    <row r="1560" spans="1:1" x14ac:dyDescent="0.3">
      <c r="A1560" s="12"/>
    </row>
    <row r="1561" spans="1:1" x14ac:dyDescent="0.3">
      <c r="A1561" s="12"/>
    </row>
    <row r="1562" spans="1:1" x14ac:dyDescent="0.3">
      <c r="A1562" s="12"/>
    </row>
    <row r="1563" spans="1:1" x14ac:dyDescent="0.3">
      <c r="A1563" s="12"/>
    </row>
    <row r="1564" spans="1:1" x14ac:dyDescent="0.3">
      <c r="A1564" s="12"/>
    </row>
    <row r="1565" spans="1:1" x14ac:dyDescent="0.3">
      <c r="A1565" s="12"/>
    </row>
    <row r="1566" spans="1:1" x14ac:dyDescent="0.3">
      <c r="A1566" s="12"/>
    </row>
    <row r="1567" spans="1:1" x14ac:dyDescent="0.3">
      <c r="A1567" s="12"/>
    </row>
    <row r="1568" spans="1:1" x14ac:dyDescent="0.3">
      <c r="A1568" s="12"/>
    </row>
    <row r="1569" spans="1:1" x14ac:dyDescent="0.3">
      <c r="A1569" s="12"/>
    </row>
    <row r="1570" spans="1:1" x14ac:dyDescent="0.3">
      <c r="A1570" s="12"/>
    </row>
    <row r="1571" spans="1:1" x14ac:dyDescent="0.3">
      <c r="A1571" s="12"/>
    </row>
    <row r="1572" spans="1:1" x14ac:dyDescent="0.3">
      <c r="A1572" s="12"/>
    </row>
    <row r="1573" spans="1:1" x14ac:dyDescent="0.3">
      <c r="A1573" s="12"/>
    </row>
    <row r="1574" spans="1:1" x14ac:dyDescent="0.3">
      <c r="A1574" s="12"/>
    </row>
    <row r="1575" spans="1:1" x14ac:dyDescent="0.3">
      <c r="A1575" s="12"/>
    </row>
    <row r="1576" spans="1:1" x14ac:dyDescent="0.3">
      <c r="A1576" s="12"/>
    </row>
    <row r="1577" spans="1:1" x14ac:dyDescent="0.3">
      <c r="A1577" s="12"/>
    </row>
    <row r="1578" spans="1:1" x14ac:dyDescent="0.3">
      <c r="A1578" s="12"/>
    </row>
    <row r="1579" spans="1:1" x14ac:dyDescent="0.3">
      <c r="A1579" s="12"/>
    </row>
    <row r="1580" spans="1:1" x14ac:dyDescent="0.3">
      <c r="A1580" s="12"/>
    </row>
    <row r="1581" spans="1:1" x14ac:dyDescent="0.3">
      <c r="A1581" s="12"/>
    </row>
    <row r="1582" spans="1:1" x14ac:dyDescent="0.3">
      <c r="A1582" s="12"/>
    </row>
    <row r="1583" spans="1:1" x14ac:dyDescent="0.3">
      <c r="A1583" s="12"/>
    </row>
    <row r="1584" spans="1:1" x14ac:dyDescent="0.3">
      <c r="A1584" s="12"/>
    </row>
    <row r="1585" spans="1:1" x14ac:dyDescent="0.3">
      <c r="A1585" s="12"/>
    </row>
    <row r="1586" spans="1:1" x14ac:dyDescent="0.3">
      <c r="A1586" s="12"/>
    </row>
    <row r="1587" spans="1:1" x14ac:dyDescent="0.3">
      <c r="A1587" s="12"/>
    </row>
    <row r="1588" spans="1:1" x14ac:dyDescent="0.3">
      <c r="A1588" s="12"/>
    </row>
    <row r="1589" spans="1:1" x14ac:dyDescent="0.3">
      <c r="A1589" s="12"/>
    </row>
    <row r="1590" spans="1:1" x14ac:dyDescent="0.3">
      <c r="A1590" s="12"/>
    </row>
    <row r="1591" spans="1:1" x14ac:dyDescent="0.3">
      <c r="A1591" s="12"/>
    </row>
    <row r="1592" spans="1:1" x14ac:dyDescent="0.3">
      <c r="A1592" s="12"/>
    </row>
    <row r="1593" spans="1:1" x14ac:dyDescent="0.3">
      <c r="A1593" s="12"/>
    </row>
    <row r="1594" spans="1:1" x14ac:dyDescent="0.3">
      <c r="A1594" s="12"/>
    </row>
    <row r="1595" spans="1:1" x14ac:dyDescent="0.3">
      <c r="A1595" s="12"/>
    </row>
    <row r="1596" spans="1:1" x14ac:dyDescent="0.3">
      <c r="A1596" s="12"/>
    </row>
    <row r="1597" spans="1:1" x14ac:dyDescent="0.3">
      <c r="A1597" s="12"/>
    </row>
    <row r="1598" spans="1:1" x14ac:dyDescent="0.3">
      <c r="A1598" s="12"/>
    </row>
    <row r="1599" spans="1:1" x14ac:dyDescent="0.3">
      <c r="A1599" s="12"/>
    </row>
    <row r="1600" spans="1:1" x14ac:dyDescent="0.3">
      <c r="A1600" s="12"/>
    </row>
    <row r="1601" spans="1:1" x14ac:dyDescent="0.3">
      <c r="A1601" s="12"/>
    </row>
    <row r="1602" spans="1:1" x14ac:dyDescent="0.3">
      <c r="A1602" s="12"/>
    </row>
    <row r="1603" spans="1:1" x14ac:dyDescent="0.3">
      <c r="A1603" s="12"/>
    </row>
    <row r="1604" spans="1:1" x14ac:dyDescent="0.3">
      <c r="A1604" s="12"/>
    </row>
    <row r="1605" spans="1:1" x14ac:dyDescent="0.3">
      <c r="A1605" s="12"/>
    </row>
    <row r="1606" spans="1:1" x14ac:dyDescent="0.3">
      <c r="A1606" s="12"/>
    </row>
    <row r="1607" spans="1:1" x14ac:dyDescent="0.3">
      <c r="A1607" s="12"/>
    </row>
    <row r="1608" spans="1:1" x14ac:dyDescent="0.3">
      <c r="A1608" s="12"/>
    </row>
    <row r="1609" spans="1:1" x14ac:dyDescent="0.3">
      <c r="A1609" s="12"/>
    </row>
    <row r="1610" spans="1:1" x14ac:dyDescent="0.3">
      <c r="A1610" s="12"/>
    </row>
    <row r="1611" spans="1:1" x14ac:dyDescent="0.3">
      <c r="A1611" s="12"/>
    </row>
    <row r="1612" spans="1:1" x14ac:dyDescent="0.3">
      <c r="A1612" s="12"/>
    </row>
    <row r="1613" spans="1:1" x14ac:dyDescent="0.3">
      <c r="A1613" s="12"/>
    </row>
    <row r="1614" spans="1:1" x14ac:dyDescent="0.3">
      <c r="A1614" s="12"/>
    </row>
    <row r="1615" spans="1:1" x14ac:dyDescent="0.3">
      <c r="A1615" s="12"/>
    </row>
    <row r="1616" spans="1:1" x14ac:dyDescent="0.3">
      <c r="A1616" s="12"/>
    </row>
    <row r="1617" spans="1:1" x14ac:dyDescent="0.3">
      <c r="A1617" s="12"/>
    </row>
    <row r="1618" spans="1:1" x14ac:dyDescent="0.3">
      <c r="A1618" s="12"/>
    </row>
    <row r="1619" spans="1:1" x14ac:dyDescent="0.3">
      <c r="A1619" s="12"/>
    </row>
    <row r="1620" spans="1:1" x14ac:dyDescent="0.3">
      <c r="A1620" s="12"/>
    </row>
    <row r="1621" spans="1:1" x14ac:dyDescent="0.3">
      <c r="A1621" s="12"/>
    </row>
    <row r="1622" spans="1:1" x14ac:dyDescent="0.3">
      <c r="A1622" s="12"/>
    </row>
    <row r="1623" spans="1:1" x14ac:dyDescent="0.3">
      <c r="A1623" s="12"/>
    </row>
    <row r="1624" spans="1:1" x14ac:dyDescent="0.3">
      <c r="A1624" s="12"/>
    </row>
    <row r="1625" spans="1:1" x14ac:dyDescent="0.3">
      <c r="A1625" s="12"/>
    </row>
    <row r="1626" spans="1:1" x14ac:dyDescent="0.3">
      <c r="A1626" s="12"/>
    </row>
    <row r="1627" spans="1:1" x14ac:dyDescent="0.3">
      <c r="A1627" s="12"/>
    </row>
    <row r="1628" spans="1:1" x14ac:dyDescent="0.3">
      <c r="A1628" s="12"/>
    </row>
    <row r="1629" spans="1:1" x14ac:dyDescent="0.3">
      <c r="A1629" s="12"/>
    </row>
    <row r="1630" spans="1:1" x14ac:dyDescent="0.3">
      <c r="A1630" s="12"/>
    </row>
    <row r="1631" spans="1:1" x14ac:dyDescent="0.3">
      <c r="A1631" s="12"/>
    </row>
    <row r="1632" spans="1:1" x14ac:dyDescent="0.3">
      <c r="A1632" s="12"/>
    </row>
    <row r="1633" spans="1:1" x14ac:dyDescent="0.3">
      <c r="A1633" s="12"/>
    </row>
    <row r="1634" spans="1:1" x14ac:dyDescent="0.3">
      <c r="A1634" s="12"/>
    </row>
    <row r="1635" spans="1:1" x14ac:dyDescent="0.3">
      <c r="A1635" s="12"/>
    </row>
    <row r="1636" spans="1:1" x14ac:dyDescent="0.3">
      <c r="A1636" s="12"/>
    </row>
    <row r="1637" spans="1:1" x14ac:dyDescent="0.3">
      <c r="A1637" s="12"/>
    </row>
    <row r="1638" spans="1:1" x14ac:dyDescent="0.3">
      <c r="A1638" s="12"/>
    </row>
    <row r="1639" spans="1:1" x14ac:dyDescent="0.3">
      <c r="A1639" s="12"/>
    </row>
    <row r="1640" spans="1:1" x14ac:dyDescent="0.3">
      <c r="A1640" s="12"/>
    </row>
    <row r="1641" spans="1:1" x14ac:dyDescent="0.3">
      <c r="A1641" s="12"/>
    </row>
    <row r="1642" spans="1:1" x14ac:dyDescent="0.3">
      <c r="A1642" s="12"/>
    </row>
    <row r="1643" spans="1:1" x14ac:dyDescent="0.3">
      <c r="A1643" s="12"/>
    </row>
    <row r="1644" spans="1:1" x14ac:dyDescent="0.3">
      <c r="A1644" s="12"/>
    </row>
    <row r="1645" spans="1:1" x14ac:dyDescent="0.3">
      <c r="A1645" s="12"/>
    </row>
    <row r="1646" spans="1:1" x14ac:dyDescent="0.3">
      <c r="A1646" s="12"/>
    </row>
    <row r="1647" spans="1:1" x14ac:dyDescent="0.3">
      <c r="A1647" s="12"/>
    </row>
    <row r="1648" spans="1:1" x14ac:dyDescent="0.3">
      <c r="A1648" s="12"/>
    </row>
    <row r="1649" spans="1:1" x14ac:dyDescent="0.3">
      <c r="A1649" s="12"/>
    </row>
    <row r="1650" spans="1:1" x14ac:dyDescent="0.3">
      <c r="A1650" s="12"/>
    </row>
    <row r="1651" spans="1:1" x14ac:dyDescent="0.3">
      <c r="A1651" s="12"/>
    </row>
    <row r="1652" spans="1:1" x14ac:dyDescent="0.3">
      <c r="A1652" s="12"/>
    </row>
    <row r="1653" spans="1:1" x14ac:dyDescent="0.3">
      <c r="A1653" s="12"/>
    </row>
    <row r="1654" spans="1:1" x14ac:dyDescent="0.3">
      <c r="A1654" s="12"/>
    </row>
    <row r="1655" spans="1:1" x14ac:dyDescent="0.3">
      <c r="A1655" s="12"/>
    </row>
    <row r="1656" spans="1:1" x14ac:dyDescent="0.3">
      <c r="A1656" s="12"/>
    </row>
    <row r="1657" spans="1:1" x14ac:dyDescent="0.3">
      <c r="A1657" s="12"/>
    </row>
    <row r="1658" spans="1:1" x14ac:dyDescent="0.3">
      <c r="A1658" s="12"/>
    </row>
    <row r="1659" spans="1:1" x14ac:dyDescent="0.3">
      <c r="A1659" s="12"/>
    </row>
    <row r="1660" spans="1:1" x14ac:dyDescent="0.3">
      <c r="A1660" s="12"/>
    </row>
    <row r="1661" spans="1:1" x14ac:dyDescent="0.3">
      <c r="A1661" s="12"/>
    </row>
    <row r="1662" spans="1:1" x14ac:dyDescent="0.3">
      <c r="A1662" s="12"/>
    </row>
    <row r="1663" spans="1:1" x14ac:dyDescent="0.3">
      <c r="A1663" s="12"/>
    </row>
    <row r="1664" spans="1:1" x14ac:dyDescent="0.3">
      <c r="A1664" s="12"/>
    </row>
    <row r="1665" spans="1:1" x14ac:dyDescent="0.3">
      <c r="A1665" s="12"/>
    </row>
    <row r="1666" spans="1:1" x14ac:dyDescent="0.3">
      <c r="A1666" s="12"/>
    </row>
    <row r="1667" spans="1:1" x14ac:dyDescent="0.3">
      <c r="A1667" s="12"/>
    </row>
    <row r="1668" spans="1:1" x14ac:dyDescent="0.3">
      <c r="A1668" s="12"/>
    </row>
    <row r="1669" spans="1:1" x14ac:dyDescent="0.3">
      <c r="A1669" s="12"/>
    </row>
    <row r="1670" spans="1:1" x14ac:dyDescent="0.3">
      <c r="A1670" s="12"/>
    </row>
    <row r="1671" spans="1:1" x14ac:dyDescent="0.3">
      <c r="A1671" s="12"/>
    </row>
    <row r="1672" spans="1:1" x14ac:dyDescent="0.3">
      <c r="A1672" s="12"/>
    </row>
    <row r="1673" spans="1:1" x14ac:dyDescent="0.3">
      <c r="A1673" s="12"/>
    </row>
    <row r="1674" spans="1:1" x14ac:dyDescent="0.3">
      <c r="A1674" s="12"/>
    </row>
    <row r="1675" spans="1:1" x14ac:dyDescent="0.3">
      <c r="A1675" s="12"/>
    </row>
    <row r="1676" spans="1:1" x14ac:dyDescent="0.3">
      <c r="A1676" s="12"/>
    </row>
    <row r="1677" spans="1:1" x14ac:dyDescent="0.3">
      <c r="A1677" s="12"/>
    </row>
    <row r="1678" spans="1:1" x14ac:dyDescent="0.3">
      <c r="A1678" s="12"/>
    </row>
    <row r="1679" spans="1:1" x14ac:dyDescent="0.3">
      <c r="A1679" s="12"/>
    </row>
    <row r="1680" spans="1:1" x14ac:dyDescent="0.3">
      <c r="A1680" s="12"/>
    </row>
    <row r="1681" spans="1:1" x14ac:dyDescent="0.3">
      <c r="A1681" s="12"/>
    </row>
    <row r="1682" spans="1:1" x14ac:dyDescent="0.3">
      <c r="A1682" s="12"/>
    </row>
    <row r="1683" spans="1:1" x14ac:dyDescent="0.3">
      <c r="A1683" s="12"/>
    </row>
    <row r="1684" spans="1:1" x14ac:dyDescent="0.3">
      <c r="A1684" s="12"/>
    </row>
    <row r="1685" spans="1:1" x14ac:dyDescent="0.3">
      <c r="A1685" s="12"/>
    </row>
    <row r="1686" spans="1:1" x14ac:dyDescent="0.3">
      <c r="A1686" s="12"/>
    </row>
    <row r="1687" spans="1:1" x14ac:dyDescent="0.3">
      <c r="A1687" s="12"/>
    </row>
    <row r="1688" spans="1:1" x14ac:dyDescent="0.3">
      <c r="A1688" s="12"/>
    </row>
    <row r="1689" spans="1:1" x14ac:dyDescent="0.3">
      <c r="A1689" s="12"/>
    </row>
    <row r="1690" spans="1:1" x14ac:dyDescent="0.3">
      <c r="A1690" s="12"/>
    </row>
    <row r="1691" spans="1:1" x14ac:dyDescent="0.3">
      <c r="A1691" s="12"/>
    </row>
    <row r="1692" spans="1:1" x14ac:dyDescent="0.3">
      <c r="A1692" s="12"/>
    </row>
    <row r="1693" spans="1:1" x14ac:dyDescent="0.3">
      <c r="A1693" s="12"/>
    </row>
    <row r="1694" spans="1:1" x14ac:dyDescent="0.3">
      <c r="A1694" s="12"/>
    </row>
    <row r="1695" spans="1:1" x14ac:dyDescent="0.3">
      <c r="A1695" s="12"/>
    </row>
    <row r="1696" spans="1:1" x14ac:dyDescent="0.3">
      <c r="A1696" s="12"/>
    </row>
    <row r="1697" spans="1:1" x14ac:dyDescent="0.3">
      <c r="A1697" s="12"/>
    </row>
    <row r="1698" spans="1:1" x14ac:dyDescent="0.3">
      <c r="A1698" s="12"/>
    </row>
    <row r="1699" spans="1:1" x14ac:dyDescent="0.3">
      <c r="A1699" s="12"/>
    </row>
    <row r="1700" spans="1:1" x14ac:dyDescent="0.3">
      <c r="A1700" s="12"/>
    </row>
    <row r="1701" spans="1:1" x14ac:dyDescent="0.3">
      <c r="A1701" s="12"/>
    </row>
    <row r="1702" spans="1:1" x14ac:dyDescent="0.3">
      <c r="A1702" s="12"/>
    </row>
    <row r="1703" spans="1:1" x14ac:dyDescent="0.3">
      <c r="A1703" s="12"/>
    </row>
    <row r="1704" spans="1:1" x14ac:dyDescent="0.3">
      <c r="A1704" s="12"/>
    </row>
    <row r="1705" spans="1:1" x14ac:dyDescent="0.3">
      <c r="A1705" s="12"/>
    </row>
    <row r="1706" spans="1:1" x14ac:dyDescent="0.3">
      <c r="A1706" s="12"/>
    </row>
    <row r="1707" spans="1:1" x14ac:dyDescent="0.3">
      <c r="A1707" s="12"/>
    </row>
    <row r="1708" spans="1:1" x14ac:dyDescent="0.3">
      <c r="A1708" s="12"/>
    </row>
    <row r="1709" spans="1:1" x14ac:dyDescent="0.3">
      <c r="A1709" s="12"/>
    </row>
    <row r="1710" spans="1:1" x14ac:dyDescent="0.3">
      <c r="A1710" s="12"/>
    </row>
    <row r="1711" spans="1:1" x14ac:dyDescent="0.3">
      <c r="A1711" s="12"/>
    </row>
    <row r="1712" spans="1:1" x14ac:dyDescent="0.3">
      <c r="A1712" s="12"/>
    </row>
    <row r="1713" spans="1:1" x14ac:dyDescent="0.3">
      <c r="A1713" s="12"/>
    </row>
    <row r="1714" spans="1:1" x14ac:dyDescent="0.3">
      <c r="A1714" s="12"/>
    </row>
    <row r="1715" spans="1:1" x14ac:dyDescent="0.3">
      <c r="A1715" s="12"/>
    </row>
    <row r="1716" spans="1:1" x14ac:dyDescent="0.3">
      <c r="A1716" s="12"/>
    </row>
    <row r="1717" spans="1:1" x14ac:dyDescent="0.3">
      <c r="A1717" s="12"/>
    </row>
    <row r="1718" spans="1:1" x14ac:dyDescent="0.3">
      <c r="A1718" s="12"/>
    </row>
    <row r="1719" spans="1:1" x14ac:dyDescent="0.3">
      <c r="A1719" s="12"/>
    </row>
    <row r="1720" spans="1:1" x14ac:dyDescent="0.3">
      <c r="A1720" s="12"/>
    </row>
    <row r="1721" spans="1:1" x14ac:dyDescent="0.3">
      <c r="A1721" s="12"/>
    </row>
    <row r="1722" spans="1:1" x14ac:dyDescent="0.3">
      <c r="A1722" s="12"/>
    </row>
    <row r="1723" spans="1:1" x14ac:dyDescent="0.3">
      <c r="A1723" s="12"/>
    </row>
    <row r="1724" spans="1:1" x14ac:dyDescent="0.3">
      <c r="A1724" s="12"/>
    </row>
    <row r="1725" spans="1:1" x14ac:dyDescent="0.3">
      <c r="A1725" s="12"/>
    </row>
    <row r="1726" spans="1:1" x14ac:dyDescent="0.3">
      <c r="A1726" s="12"/>
    </row>
    <row r="1727" spans="1:1" x14ac:dyDescent="0.3">
      <c r="A1727" s="12"/>
    </row>
    <row r="1728" spans="1:1" x14ac:dyDescent="0.3">
      <c r="A1728" s="12"/>
    </row>
    <row r="1729" spans="1:1" x14ac:dyDescent="0.3">
      <c r="A1729" s="12"/>
    </row>
    <row r="1730" spans="1:1" x14ac:dyDescent="0.3">
      <c r="A1730" s="12"/>
    </row>
    <row r="1731" spans="1:1" x14ac:dyDescent="0.3">
      <c r="A1731" s="12"/>
    </row>
    <row r="1732" spans="1:1" x14ac:dyDescent="0.3">
      <c r="A1732" s="12"/>
    </row>
    <row r="1733" spans="1:1" x14ac:dyDescent="0.3">
      <c r="A1733" s="12"/>
    </row>
    <row r="1734" spans="1:1" x14ac:dyDescent="0.3">
      <c r="A1734" s="12"/>
    </row>
    <row r="1735" spans="1:1" x14ac:dyDescent="0.3">
      <c r="A1735" s="12"/>
    </row>
    <row r="1736" spans="1:1" x14ac:dyDescent="0.3">
      <c r="A1736" s="12"/>
    </row>
    <row r="1737" spans="1:1" x14ac:dyDescent="0.3">
      <c r="A1737" s="12"/>
    </row>
    <row r="1738" spans="1:1" x14ac:dyDescent="0.3">
      <c r="A1738" s="12"/>
    </row>
    <row r="1739" spans="1:1" x14ac:dyDescent="0.3">
      <c r="A1739" s="12"/>
    </row>
    <row r="1740" spans="1:1" x14ac:dyDescent="0.3">
      <c r="A1740" s="12"/>
    </row>
    <row r="1741" spans="1:1" x14ac:dyDescent="0.3">
      <c r="A1741" s="12"/>
    </row>
    <row r="1742" spans="1:1" x14ac:dyDescent="0.3">
      <c r="A1742" s="12"/>
    </row>
    <row r="1743" spans="1:1" x14ac:dyDescent="0.3">
      <c r="A1743" s="12"/>
    </row>
    <row r="1744" spans="1:1" x14ac:dyDescent="0.3">
      <c r="A1744" s="12"/>
    </row>
    <row r="1745" spans="1:1" x14ac:dyDescent="0.3">
      <c r="A1745" s="12"/>
    </row>
    <row r="1746" spans="1:1" x14ac:dyDescent="0.3">
      <c r="A1746" s="12"/>
    </row>
    <row r="1747" spans="1:1" x14ac:dyDescent="0.3">
      <c r="A1747" s="12"/>
    </row>
    <row r="1748" spans="1:1" x14ac:dyDescent="0.3">
      <c r="A1748" s="12"/>
    </row>
    <row r="1749" spans="1:1" x14ac:dyDescent="0.3">
      <c r="A1749" s="12"/>
    </row>
    <row r="1750" spans="1:1" x14ac:dyDescent="0.3">
      <c r="A1750" s="12"/>
    </row>
    <row r="1751" spans="1:1" x14ac:dyDescent="0.3">
      <c r="A1751" s="12"/>
    </row>
    <row r="1752" spans="1:1" x14ac:dyDescent="0.3">
      <c r="A1752" s="12"/>
    </row>
    <row r="1753" spans="1:1" x14ac:dyDescent="0.3">
      <c r="A1753" s="12"/>
    </row>
    <row r="1754" spans="1:1" x14ac:dyDescent="0.3">
      <c r="A1754" s="12"/>
    </row>
    <row r="1755" spans="1:1" x14ac:dyDescent="0.3">
      <c r="A1755" s="12"/>
    </row>
    <row r="1756" spans="1:1" x14ac:dyDescent="0.3">
      <c r="A1756" s="12"/>
    </row>
    <row r="1757" spans="1:1" x14ac:dyDescent="0.3">
      <c r="A1757" s="12"/>
    </row>
    <row r="1758" spans="1:1" x14ac:dyDescent="0.3">
      <c r="A1758" s="12"/>
    </row>
    <row r="1759" spans="1:1" x14ac:dyDescent="0.3">
      <c r="A1759" s="12"/>
    </row>
    <row r="1760" spans="1:1" x14ac:dyDescent="0.3">
      <c r="A1760" s="12"/>
    </row>
    <row r="1761" spans="1:1" x14ac:dyDescent="0.3">
      <c r="A1761" s="12"/>
    </row>
    <row r="1762" spans="1:1" x14ac:dyDescent="0.3">
      <c r="A1762" s="12"/>
    </row>
    <row r="1763" spans="1:1" x14ac:dyDescent="0.3">
      <c r="A1763" s="12"/>
    </row>
    <row r="1764" spans="1:1" x14ac:dyDescent="0.3">
      <c r="A1764" s="12"/>
    </row>
    <row r="1765" spans="1:1" x14ac:dyDescent="0.3">
      <c r="A1765" s="12"/>
    </row>
    <row r="1766" spans="1:1" x14ac:dyDescent="0.3">
      <c r="A1766" s="12"/>
    </row>
    <row r="1767" spans="1:1" x14ac:dyDescent="0.3">
      <c r="A1767" s="12"/>
    </row>
    <row r="1768" spans="1:1" x14ac:dyDescent="0.3">
      <c r="A1768" s="12"/>
    </row>
    <row r="1769" spans="1:1" x14ac:dyDescent="0.3">
      <c r="A1769" s="12"/>
    </row>
    <row r="1770" spans="1:1" x14ac:dyDescent="0.3">
      <c r="A1770" s="12"/>
    </row>
    <row r="1771" spans="1:1" x14ac:dyDescent="0.3">
      <c r="A1771" s="12"/>
    </row>
    <row r="1772" spans="1:1" x14ac:dyDescent="0.3">
      <c r="A1772" s="12"/>
    </row>
    <row r="1773" spans="1:1" x14ac:dyDescent="0.3">
      <c r="A1773" s="12"/>
    </row>
    <row r="1774" spans="1:1" x14ac:dyDescent="0.3">
      <c r="A1774" s="12"/>
    </row>
    <row r="1775" spans="1:1" x14ac:dyDescent="0.3">
      <c r="A1775" s="12"/>
    </row>
    <row r="1776" spans="1:1" x14ac:dyDescent="0.3">
      <c r="A1776" s="12"/>
    </row>
    <row r="1777" spans="1:1" x14ac:dyDescent="0.3">
      <c r="A1777" s="12"/>
    </row>
    <row r="1778" spans="1:1" x14ac:dyDescent="0.3">
      <c r="A1778" s="12"/>
    </row>
    <row r="1779" spans="1:1" x14ac:dyDescent="0.3">
      <c r="A1779" s="12"/>
    </row>
    <row r="1780" spans="1:1" x14ac:dyDescent="0.3">
      <c r="A1780" s="12"/>
    </row>
    <row r="1781" spans="1:1" x14ac:dyDescent="0.3">
      <c r="A1781" s="12"/>
    </row>
    <row r="1782" spans="1:1" x14ac:dyDescent="0.3">
      <c r="A1782" s="12"/>
    </row>
    <row r="1783" spans="1:1" x14ac:dyDescent="0.3">
      <c r="A1783" s="12"/>
    </row>
    <row r="1784" spans="1:1" x14ac:dyDescent="0.3">
      <c r="A1784" s="12"/>
    </row>
    <row r="1785" spans="1:1" x14ac:dyDescent="0.3">
      <c r="A1785" s="12"/>
    </row>
    <row r="1786" spans="1:1" x14ac:dyDescent="0.3">
      <c r="A1786" s="12"/>
    </row>
    <row r="1787" spans="1:1" x14ac:dyDescent="0.3">
      <c r="A1787" s="12"/>
    </row>
    <row r="1788" spans="1:1" x14ac:dyDescent="0.3">
      <c r="A1788" s="12"/>
    </row>
    <row r="1789" spans="1:1" x14ac:dyDescent="0.3">
      <c r="A1789" s="12"/>
    </row>
    <row r="1790" spans="1:1" x14ac:dyDescent="0.3">
      <c r="A1790" s="12"/>
    </row>
    <row r="1791" spans="1:1" x14ac:dyDescent="0.3">
      <c r="A1791" s="12"/>
    </row>
    <row r="1792" spans="1:1" x14ac:dyDescent="0.3">
      <c r="A1792" s="12"/>
    </row>
    <row r="1793" spans="1:1" x14ac:dyDescent="0.3">
      <c r="A1793" s="12"/>
    </row>
    <row r="1794" spans="1:1" x14ac:dyDescent="0.3">
      <c r="A1794" s="12"/>
    </row>
    <row r="1795" spans="1:1" x14ac:dyDescent="0.3">
      <c r="A1795" s="12"/>
    </row>
    <row r="1796" spans="1:1" x14ac:dyDescent="0.3">
      <c r="A1796" s="12"/>
    </row>
    <row r="1797" spans="1:1" x14ac:dyDescent="0.3">
      <c r="A1797" s="12"/>
    </row>
    <row r="1798" spans="1:1" x14ac:dyDescent="0.3">
      <c r="A1798" s="12"/>
    </row>
    <row r="1799" spans="1:1" x14ac:dyDescent="0.3">
      <c r="A1799" s="12"/>
    </row>
    <row r="1800" spans="1:1" x14ac:dyDescent="0.3">
      <c r="A1800" s="12"/>
    </row>
    <row r="1801" spans="1:1" x14ac:dyDescent="0.3">
      <c r="A1801" s="12"/>
    </row>
    <row r="1802" spans="1:1" x14ac:dyDescent="0.3">
      <c r="A1802" s="12"/>
    </row>
    <row r="1803" spans="1:1" x14ac:dyDescent="0.3">
      <c r="A1803" s="12"/>
    </row>
    <row r="1804" spans="1:1" x14ac:dyDescent="0.3">
      <c r="A1804" s="12"/>
    </row>
    <row r="1805" spans="1:1" x14ac:dyDescent="0.3">
      <c r="A1805" s="12"/>
    </row>
    <row r="1806" spans="1:1" x14ac:dyDescent="0.3">
      <c r="A1806" s="12"/>
    </row>
    <row r="1807" spans="1:1" x14ac:dyDescent="0.3">
      <c r="A1807" s="12"/>
    </row>
    <row r="1808" spans="1:1" x14ac:dyDescent="0.3">
      <c r="A1808" s="12"/>
    </row>
    <row r="1809" spans="1:1" x14ac:dyDescent="0.3">
      <c r="A1809" s="12"/>
    </row>
    <row r="1810" spans="1:1" x14ac:dyDescent="0.3">
      <c r="A1810" s="12"/>
    </row>
    <row r="1811" spans="1:1" x14ac:dyDescent="0.3">
      <c r="A1811" s="12"/>
    </row>
    <row r="1812" spans="1:1" x14ac:dyDescent="0.3">
      <c r="A1812" s="12"/>
    </row>
    <row r="1813" spans="1:1" x14ac:dyDescent="0.3">
      <c r="A1813" s="12"/>
    </row>
    <row r="1814" spans="1:1" x14ac:dyDescent="0.3">
      <c r="A1814" s="12"/>
    </row>
    <row r="1815" spans="1:1" x14ac:dyDescent="0.3">
      <c r="A1815" s="12"/>
    </row>
    <row r="1816" spans="1:1" x14ac:dyDescent="0.3">
      <c r="A1816" s="12"/>
    </row>
    <row r="1817" spans="1:1" x14ac:dyDescent="0.3">
      <c r="A1817" s="12"/>
    </row>
    <row r="1818" spans="1:1" x14ac:dyDescent="0.3">
      <c r="A1818" s="12"/>
    </row>
    <row r="1819" spans="1:1" x14ac:dyDescent="0.3">
      <c r="A1819" s="12"/>
    </row>
    <row r="1820" spans="1:1" x14ac:dyDescent="0.3">
      <c r="A1820" s="12"/>
    </row>
    <row r="1821" spans="1:1" x14ac:dyDescent="0.3">
      <c r="A1821" s="12"/>
    </row>
    <row r="1822" spans="1:1" x14ac:dyDescent="0.3">
      <c r="A1822" s="12"/>
    </row>
    <row r="1823" spans="1:1" x14ac:dyDescent="0.3">
      <c r="A1823" s="12"/>
    </row>
    <row r="1824" spans="1:1" x14ac:dyDescent="0.3">
      <c r="A1824" s="12"/>
    </row>
    <row r="1825" spans="1:1" x14ac:dyDescent="0.3">
      <c r="A1825" s="12"/>
    </row>
    <row r="1826" spans="1:1" x14ac:dyDescent="0.3">
      <c r="A1826" s="12"/>
    </row>
    <row r="1827" spans="1:1" x14ac:dyDescent="0.3">
      <c r="A1827" s="12"/>
    </row>
    <row r="1828" spans="1:1" x14ac:dyDescent="0.3">
      <c r="A1828" s="12"/>
    </row>
    <row r="1829" spans="1:1" x14ac:dyDescent="0.3">
      <c r="A1829" s="12"/>
    </row>
    <row r="1830" spans="1:1" x14ac:dyDescent="0.3">
      <c r="A1830" s="12"/>
    </row>
    <row r="1831" spans="1:1" x14ac:dyDescent="0.3">
      <c r="A1831" s="12"/>
    </row>
    <row r="1832" spans="1:1" x14ac:dyDescent="0.3">
      <c r="A1832" s="12"/>
    </row>
    <row r="1833" spans="1:1" x14ac:dyDescent="0.3">
      <c r="A1833" s="12"/>
    </row>
    <row r="1834" spans="1:1" x14ac:dyDescent="0.3">
      <c r="A1834" s="12"/>
    </row>
    <row r="1835" spans="1:1" x14ac:dyDescent="0.3">
      <c r="A1835" s="12"/>
    </row>
    <row r="1836" spans="1:1" x14ac:dyDescent="0.3">
      <c r="A1836" s="12"/>
    </row>
    <row r="1837" spans="1:1" x14ac:dyDescent="0.3">
      <c r="A1837" s="12"/>
    </row>
    <row r="1838" spans="1:1" x14ac:dyDescent="0.3">
      <c r="A1838" s="12"/>
    </row>
    <row r="1839" spans="1:1" x14ac:dyDescent="0.3">
      <c r="A1839" s="12"/>
    </row>
    <row r="1840" spans="1:1" x14ac:dyDescent="0.3">
      <c r="A1840" s="12"/>
    </row>
    <row r="1841" spans="1:1" x14ac:dyDescent="0.3">
      <c r="A1841" s="12"/>
    </row>
    <row r="1842" spans="1:1" x14ac:dyDescent="0.3">
      <c r="A1842" s="12"/>
    </row>
    <row r="1843" spans="1:1" x14ac:dyDescent="0.3">
      <c r="A1843" s="12"/>
    </row>
    <row r="1844" spans="1:1" x14ac:dyDescent="0.3">
      <c r="A1844" s="12"/>
    </row>
    <row r="1845" spans="1:1" x14ac:dyDescent="0.3">
      <c r="A1845" s="12"/>
    </row>
    <row r="1846" spans="1:1" x14ac:dyDescent="0.3">
      <c r="A1846" s="12"/>
    </row>
    <row r="1847" spans="1:1" x14ac:dyDescent="0.3">
      <c r="A1847" s="12"/>
    </row>
    <row r="1848" spans="1:1" x14ac:dyDescent="0.3">
      <c r="A1848" s="12"/>
    </row>
    <row r="1849" spans="1:1" x14ac:dyDescent="0.3">
      <c r="A1849" s="12"/>
    </row>
    <row r="1850" spans="1:1" x14ac:dyDescent="0.3">
      <c r="A1850" s="12"/>
    </row>
    <row r="1851" spans="1:1" x14ac:dyDescent="0.3">
      <c r="A1851" s="12"/>
    </row>
    <row r="1852" spans="1:1" x14ac:dyDescent="0.3">
      <c r="A1852" s="12"/>
    </row>
    <row r="1853" spans="1:1" x14ac:dyDescent="0.3">
      <c r="A1853" s="12"/>
    </row>
    <row r="1854" spans="1:1" x14ac:dyDescent="0.3">
      <c r="A1854" s="12"/>
    </row>
    <row r="1855" spans="1:1" x14ac:dyDescent="0.3">
      <c r="A1855" s="12"/>
    </row>
    <row r="1856" spans="1:1" x14ac:dyDescent="0.3">
      <c r="A1856" s="12"/>
    </row>
    <row r="1857" spans="1:1" x14ac:dyDescent="0.3">
      <c r="A1857" s="12"/>
    </row>
    <row r="1858" spans="1:1" x14ac:dyDescent="0.3">
      <c r="A1858" s="12"/>
    </row>
    <row r="1859" spans="1:1" x14ac:dyDescent="0.3">
      <c r="A1859" s="12"/>
    </row>
    <row r="1860" spans="1:1" x14ac:dyDescent="0.3">
      <c r="A1860" s="12"/>
    </row>
    <row r="1861" spans="1:1" x14ac:dyDescent="0.3">
      <c r="A1861" s="12"/>
    </row>
    <row r="1862" spans="1:1" x14ac:dyDescent="0.3">
      <c r="A1862" s="12"/>
    </row>
    <row r="1863" spans="1:1" x14ac:dyDescent="0.3">
      <c r="A1863" s="12"/>
    </row>
    <row r="1864" spans="1:1" x14ac:dyDescent="0.3">
      <c r="A1864" s="12"/>
    </row>
    <row r="1865" spans="1:1" x14ac:dyDescent="0.3">
      <c r="A1865" s="12"/>
    </row>
    <row r="1866" spans="1:1" x14ac:dyDescent="0.3">
      <c r="A1866" s="12"/>
    </row>
    <row r="1867" spans="1:1" x14ac:dyDescent="0.3">
      <c r="A1867" s="12"/>
    </row>
    <row r="1868" spans="1:1" x14ac:dyDescent="0.3">
      <c r="A1868" s="12"/>
    </row>
    <row r="1869" spans="1:1" x14ac:dyDescent="0.3">
      <c r="A1869" s="12"/>
    </row>
    <row r="1870" spans="1:1" x14ac:dyDescent="0.3">
      <c r="A1870" s="12"/>
    </row>
    <row r="1871" spans="1:1" x14ac:dyDescent="0.3">
      <c r="A1871" s="12"/>
    </row>
    <row r="1872" spans="1:1" x14ac:dyDescent="0.3">
      <c r="A1872" s="12"/>
    </row>
    <row r="1873" spans="1:1" x14ac:dyDescent="0.3">
      <c r="A1873" s="12"/>
    </row>
    <row r="1874" spans="1:1" x14ac:dyDescent="0.3">
      <c r="A1874" s="12"/>
    </row>
    <row r="1875" spans="1:1" x14ac:dyDescent="0.3">
      <c r="A1875" s="12"/>
    </row>
    <row r="1876" spans="1:1" x14ac:dyDescent="0.3">
      <c r="A1876" s="12"/>
    </row>
    <row r="1877" spans="1:1" x14ac:dyDescent="0.3">
      <c r="A1877" s="12"/>
    </row>
    <row r="1878" spans="1:1" x14ac:dyDescent="0.3">
      <c r="A1878" s="12"/>
    </row>
    <row r="1879" spans="1:1" x14ac:dyDescent="0.3">
      <c r="A1879" s="12"/>
    </row>
    <row r="1880" spans="1:1" x14ac:dyDescent="0.3">
      <c r="A1880" s="12"/>
    </row>
    <row r="1881" spans="1:1" x14ac:dyDescent="0.3">
      <c r="A1881" s="12"/>
    </row>
    <row r="1882" spans="1:1" x14ac:dyDescent="0.3">
      <c r="A1882" s="12"/>
    </row>
    <row r="1883" spans="1:1" x14ac:dyDescent="0.3">
      <c r="A1883" s="12"/>
    </row>
    <row r="1884" spans="1:1" x14ac:dyDescent="0.3">
      <c r="A1884" s="12"/>
    </row>
    <row r="1885" spans="1:1" x14ac:dyDescent="0.3">
      <c r="A1885" s="12"/>
    </row>
    <row r="1886" spans="1:1" x14ac:dyDescent="0.3">
      <c r="A1886" s="12"/>
    </row>
    <row r="1887" spans="1:1" x14ac:dyDescent="0.3">
      <c r="A1887" s="12"/>
    </row>
    <row r="1888" spans="1:1" x14ac:dyDescent="0.3">
      <c r="A1888" s="12"/>
    </row>
    <row r="1889" spans="1:1" x14ac:dyDescent="0.3">
      <c r="A1889" s="12"/>
    </row>
    <row r="1890" spans="1:1" x14ac:dyDescent="0.3">
      <c r="A1890" s="12"/>
    </row>
    <row r="1891" spans="1:1" x14ac:dyDescent="0.3">
      <c r="A1891" s="12"/>
    </row>
    <row r="1892" spans="1:1" x14ac:dyDescent="0.3">
      <c r="A1892" s="12"/>
    </row>
    <row r="1893" spans="1:1" x14ac:dyDescent="0.3">
      <c r="A1893" s="12"/>
    </row>
    <row r="1894" spans="1:1" x14ac:dyDescent="0.3">
      <c r="A1894" s="12"/>
    </row>
    <row r="1895" spans="1:1" x14ac:dyDescent="0.3">
      <c r="A1895" s="12"/>
    </row>
    <row r="1896" spans="1:1" x14ac:dyDescent="0.3">
      <c r="A1896" s="12"/>
    </row>
    <row r="1897" spans="1:1" x14ac:dyDescent="0.3">
      <c r="A1897" s="12"/>
    </row>
    <row r="1898" spans="1:1" x14ac:dyDescent="0.3">
      <c r="A1898" s="12"/>
    </row>
    <row r="1899" spans="1:1" x14ac:dyDescent="0.3">
      <c r="A1899" s="12"/>
    </row>
    <row r="1900" spans="1:1" x14ac:dyDescent="0.3">
      <c r="A1900" s="12"/>
    </row>
    <row r="1901" spans="1:1" x14ac:dyDescent="0.3">
      <c r="A1901" s="12"/>
    </row>
    <row r="1902" spans="1:1" x14ac:dyDescent="0.3">
      <c r="A1902" s="12"/>
    </row>
    <row r="1903" spans="1:1" x14ac:dyDescent="0.3">
      <c r="A1903" s="12"/>
    </row>
    <row r="1904" spans="1:1" x14ac:dyDescent="0.3">
      <c r="A1904" s="12"/>
    </row>
    <row r="1905" spans="1:1" x14ac:dyDescent="0.3">
      <c r="A1905" s="12"/>
    </row>
    <row r="1906" spans="1:1" x14ac:dyDescent="0.3">
      <c r="A1906" s="12"/>
    </row>
    <row r="1907" spans="1:1" x14ac:dyDescent="0.3">
      <c r="A1907" s="12"/>
    </row>
    <row r="1908" spans="1:1" x14ac:dyDescent="0.3">
      <c r="A1908" s="12"/>
    </row>
    <row r="1909" spans="1:1" x14ac:dyDescent="0.3">
      <c r="A1909" s="12"/>
    </row>
    <row r="1910" spans="1:1" x14ac:dyDescent="0.3">
      <c r="A1910" s="12"/>
    </row>
    <row r="1911" spans="1:1" x14ac:dyDescent="0.3">
      <c r="A1911" s="12"/>
    </row>
    <row r="1912" spans="1:1" x14ac:dyDescent="0.3">
      <c r="A1912" s="12"/>
    </row>
    <row r="1913" spans="1:1" x14ac:dyDescent="0.3">
      <c r="A1913" s="12"/>
    </row>
    <row r="1914" spans="1:1" x14ac:dyDescent="0.3">
      <c r="A1914" s="12"/>
    </row>
    <row r="1915" spans="1:1" x14ac:dyDescent="0.3">
      <c r="A1915" s="12"/>
    </row>
    <row r="1916" spans="1:1" x14ac:dyDescent="0.3">
      <c r="A1916" s="12"/>
    </row>
    <row r="1917" spans="1:1" x14ac:dyDescent="0.3">
      <c r="A1917" s="12"/>
    </row>
    <row r="1918" spans="1:1" x14ac:dyDescent="0.3">
      <c r="A1918" s="12"/>
    </row>
    <row r="1919" spans="1:1" x14ac:dyDescent="0.3">
      <c r="A1919" s="12"/>
    </row>
    <row r="1920" spans="1:1" x14ac:dyDescent="0.3">
      <c r="A1920" s="12"/>
    </row>
    <row r="1921" spans="1:1" x14ac:dyDescent="0.3">
      <c r="A1921" s="12"/>
    </row>
    <row r="1922" spans="1:1" x14ac:dyDescent="0.3">
      <c r="A1922" s="12"/>
    </row>
    <row r="1923" spans="1:1" x14ac:dyDescent="0.3">
      <c r="A1923" s="12"/>
    </row>
    <row r="1924" spans="1:1" x14ac:dyDescent="0.3">
      <c r="A1924" s="12"/>
    </row>
    <row r="1925" spans="1:1" x14ac:dyDescent="0.3">
      <c r="A1925" s="12"/>
    </row>
    <row r="1926" spans="1:1" x14ac:dyDescent="0.3">
      <c r="A1926" s="12"/>
    </row>
    <row r="1927" spans="1:1" x14ac:dyDescent="0.3">
      <c r="A1927" s="12"/>
    </row>
    <row r="1928" spans="1:1" x14ac:dyDescent="0.3">
      <c r="A1928" s="12"/>
    </row>
    <row r="1929" spans="1:1" x14ac:dyDescent="0.3">
      <c r="A1929" s="12"/>
    </row>
    <row r="1930" spans="1:1" x14ac:dyDescent="0.3">
      <c r="A1930" s="12"/>
    </row>
    <row r="1931" spans="1:1" x14ac:dyDescent="0.3">
      <c r="A1931" s="12"/>
    </row>
    <row r="1932" spans="1:1" x14ac:dyDescent="0.3">
      <c r="A1932" s="12"/>
    </row>
    <row r="1933" spans="1:1" x14ac:dyDescent="0.3">
      <c r="A1933" s="12"/>
    </row>
    <row r="1934" spans="1:1" x14ac:dyDescent="0.3">
      <c r="A1934" s="12"/>
    </row>
    <row r="1935" spans="1:1" x14ac:dyDescent="0.3">
      <c r="A1935" s="12"/>
    </row>
    <row r="1936" spans="1:1" x14ac:dyDescent="0.3">
      <c r="A1936" s="12"/>
    </row>
    <row r="1937" spans="1:1" x14ac:dyDescent="0.3">
      <c r="A1937" s="12"/>
    </row>
    <row r="1938" spans="1:1" x14ac:dyDescent="0.3">
      <c r="A1938" s="12"/>
    </row>
    <row r="1939" spans="1:1" x14ac:dyDescent="0.3">
      <c r="A1939" s="12"/>
    </row>
    <row r="1940" spans="1:1" x14ac:dyDescent="0.3">
      <c r="A1940" s="12"/>
    </row>
    <row r="1941" spans="1:1" x14ac:dyDescent="0.3">
      <c r="A1941" s="12"/>
    </row>
    <row r="1942" spans="1:1" x14ac:dyDescent="0.3">
      <c r="A1942" s="12"/>
    </row>
    <row r="1943" spans="1:1" x14ac:dyDescent="0.3">
      <c r="A1943" s="12"/>
    </row>
    <row r="1944" spans="1:1" x14ac:dyDescent="0.3">
      <c r="A1944" s="12"/>
    </row>
    <row r="1945" spans="1:1" x14ac:dyDescent="0.3">
      <c r="A1945" s="12"/>
    </row>
    <row r="1946" spans="1:1" x14ac:dyDescent="0.3">
      <c r="A1946" s="12"/>
    </row>
    <row r="1947" spans="1:1" x14ac:dyDescent="0.3">
      <c r="A1947" s="12"/>
    </row>
    <row r="1948" spans="1:1" x14ac:dyDescent="0.3">
      <c r="A1948" s="12"/>
    </row>
    <row r="1949" spans="1:1" x14ac:dyDescent="0.3">
      <c r="A1949" s="12"/>
    </row>
    <row r="1950" spans="1:1" x14ac:dyDescent="0.3">
      <c r="A1950" s="12"/>
    </row>
    <row r="1951" spans="1:1" x14ac:dyDescent="0.3">
      <c r="A1951" s="12"/>
    </row>
    <row r="1952" spans="1:1" x14ac:dyDescent="0.3">
      <c r="A1952" s="12"/>
    </row>
    <row r="1953" spans="1:1" x14ac:dyDescent="0.3">
      <c r="A1953" s="12"/>
    </row>
    <row r="1954" spans="1:1" x14ac:dyDescent="0.3">
      <c r="A1954" s="12"/>
    </row>
    <row r="1955" spans="1:1" x14ac:dyDescent="0.3">
      <c r="A1955" s="12"/>
    </row>
    <row r="1956" spans="1:1" x14ac:dyDescent="0.3">
      <c r="A1956" s="12"/>
    </row>
    <row r="1957" spans="1:1" x14ac:dyDescent="0.3">
      <c r="A1957" s="12"/>
    </row>
    <row r="1958" spans="1:1" x14ac:dyDescent="0.3">
      <c r="A1958" s="12"/>
    </row>
    <row r="1959" spans="1:1" x14ac:dyDescent="0.3">
      <c r="A1959" s="12"/>
    </row>
    <row r="1960" spans="1:1" x14ac:dyDescent="0.3">
      <c r="A1960" s="12"/>
    </row>
    <row r="1961" spans="1:1" x14ac:dyDescent="0.3">
      <c r="A1961" s="12"/>
    </row>
    <row r="1962" spans="1:1" x14ac:dyDescent="0.3">
      <c r="A1962" s="12"/>
    </row>
    <row r="1963" spans="1:1" x14ac:dyDescent="0.3">
      <c r="A1963" s="12"/>
    </row>
    <row r="1964" spans="1:1" x14ac:dyDescent="0.3">
      <c r="A1964" s="12"/>
    </row>
    <row r="1965" spans="1:1" x14ac:dyDescent="0.3">
      <c r="A1965" s="12"/>
    </row>
    <row r="1966" spans="1:1" x14ac:dyDescent="0.3">
      <c r="A1966" s="12"/>
    </row>
    <row r="1967" spans="1:1" x14ac:dyDescent="0.3">
      <c r="A1967" s="12"/>
    </row>
    <row r="1968" spans="1:1" x14ac:dyDescent="0.3">
      <c r="A1968" s="12"/>
    </row>
    <row r="1969" spans="1:1" x14ac:dyDescent="0.3">
      <c r="A1969" s="12"/>
    </row>
    <row r="1970" spans="1:1" x14ac:dyDescent="0.3">
      <c r="A1970" s="12"/>
    </row>
    <row r="1971" spans="1:1" x14ac:dyDescent="0.3">
      <c r="A1971" s="12"/>
    </row>
    <row r="1972" spans="1:1" x14ac:dyDescent="0.3">
      <c r="A1972" s="12"/>
    </row>
    <row r="1973" spans="1:1" x14ac:dyDescent="0.3">
      <c r="A1973" s="12"/>
    </row>
    <row r="1974" spans="1:1" x14ac:dyDescent="0.3">
      <c r="A1974" s="12"/>
    </row>
    <row r="1975" spans="1:1" x14ac:dyDescent="0.3">
      <c r="A1975" s="12"/>
    </row>
    <row r="1976" spans="1:1" x14ac:dyDescent="0.3">
      <c r="A1976" s="12"/>
    </row>
    <row r="1977" spans="1:1" x14ac:dyDescent="0.3">
      <c r="A1977" s="12"/>
    </row>
    <row r="1978" spans="1:1" x14ac:dyDescent="0.3">
      <c r="A1978" s="12"/>
    </row>
    <row r="1979" spans="1:1" x14ac:dyDescent="0.3">
      <c r="A1979" s="12"/>
    </row>
    <row r="1980" spans="1:1" x14ac:dyDescent="0.3">
      <c r="A1980" s="12"/>
    </row>
    <row r="1981" spans="1:1" x14ac:dyDescent="0.3">
      <c r="A1981" s="12"/>
    </row>
    <row r="1982" spans="1:1" x14ac:dyDescent="0.3">
      <c r="A1982" s="12"/>
    </row>
    <row r="1983" spans="1:1" x14ac:dyDescent="0.3">
      <c r="A1983" s="12"/>
    </row>
    <row r="1984" spans="1:1" x14ac:dyDescent="0.3">
      <c r="A1984" s="12"/>
    </row>
    <row r="1985" spans="1:1" x14ac:dyDescent="0.3">
      <c r="A1985" s="12"/>
    </row>
    <row r="1986" spans="1:1" x14ac:dyDescent="0.3">
      <c r="A1986" s="12"/>
    </row>
    <row r="1987" spans="1:1" x14ac:dyDescent="0.3">
      <c r="A1987" s="12"/>
    </row>
    <row r="1988" spans="1:1" x14ac:dyDescent="0.3">
      <c r="A1988" s="12"/>
    </row>
    <row r="1989" spans="1:1" x14ac:dyDescent="0.3">
      <c r="A1989" s="12"/>
    </row>
    <row r="1990" spans="1:1" x14ac:dyDescent="0.3">
      <c r="A1990" s="12"/>
    </row>
    <row r="1991" spans="1:1" x14ac:dyDescent="0.3">
      <c r="A1991" s="12"/>
    </row>
    <row r="1992" spans="1:1" x14ac:dyDescent="0.3">
      <c r="A1992" s="12"/>
    </row>
    <row r="1993" spans="1:1" x14ac:dyDescent="0.3">
      <c r="A1993" s="12"/>
    </row>
    <row r="1994" spans="1:1" x14ac:dyDescent="0.3">
      <c r="A1994" s="12"/>
    </row>
    <row r="1995" spans="1:1" x14ac:dyDescent="0.3">
      <c r="A1995" s="12"/>
    </row>
    <row r="1996" spans="1:1" x14ac:dyDescent="0.3">
      <c r="A1996" s="12"/>
    </row>
    <row r="1997" spans="1:1" x14ac:dyDescent="0.3">
      <c r="A1997" s="12"/>
    </row>
    <row r="1998" spans="1:1" x14ac:dyDescent="0.3">
      <c r="A1998" s="12"/>
    </row>
    <row r="1999" spans="1:1" x14ac:dyDescent="0.3">
      <c r="A1999" s="12"/>
    </row>
    <row r="2000" spans="1:1" x14ac:dyDescent="0.3">
      <c r="A2000" s="12"/>
    </row>
    <row r="2001" spans="1:1" x14ac:dyDescent="0.3">
      <c r="A2001" s="12"/>
    </row>
    <row r="2002" spans="1:1" x14ac:dyDescent="0.3">
      <c r="A2002" s="12"/>
    </row>
    <row r="2003" spans="1:1" x14ac:dyDescent="0.3">
      <c r="A2003" s="12"/>
    </row>
    <row r="2004" spans="1:1" x14ac:dyDescent="0.3">
      <c r="A2004" s="12"/>
    </row>
    <row r="2005" spans="1:1" x14ac:dyDescent="0.3">
      <c r="A2005" s="12"/>
    </row>
    <row r="2006" spans="1:1" x14ac:dyDescent="0.3">
      <c r="A2006" s="12"/>
    </row>
    <row r="2007" spans="1:1" x14ac:dyDescent="0.3">
      <c r="A2007" s="12"/>
    </row>
    <row r="2008" spans="1:1" x14ac:dyDescent="0.3">
      <c r="A2008" s="12"/>
    </row>
    <row r="2009" spans="1:1" x14ac:dyDescent="0.3">
      <c r="A2009" s="12"/>
    </row>
    <row r="2010" spans="1:1" x14ac:dyDescent="0.3">
      <c r="A2010" s="12"/>
    </row>
    <row r="2011" spans="1:1" x14ac:dyDescent="0.3">
      <c r="A2011" s="12"/>
    </row>
    <row r="2012" spans="1:1" x14ac:dyDescent="0.3">
      <c r="A2012" s="12"/>
    </row>
    <row r="2013" spans="1:1" x14ac:dyDescent="0.3">
      <c r="A2013" s="12"/>
    </row>
    <row r="2014" spans="1:1" x14ac:dyDescent="0.3">
      <c r="A2014" s="12"/>
    </row>
    <row r="2015" spans="1:1" x14ac:dyDescent="0.3">
      <c r="A2015" s="12"/>
    </row>
    <row r="2016" spans="1:1" x14ac:dyDescent="0.3">
      <c r="A2016" s="12"/>
    </row>
    <row r="2017" spans="1:1" x14ac:dyDescent="0.3">
      <c r="A2017" s="12"/>
    </row>
    <row r="2018" spans="1:1" x14ac:dyDescent="0.3">
      <c r="A2018" s="12"/>
    </row>
    <row r="2019" spans="1:1" x14ac:dyDescent="0.3">
      <c r="A2019" s="12"/>
    </row>
    <row r="2020" spans="1:1" x14ac:dyDescent="0.3">
      <c r="A2020" s="12"/>
    </row>
    <row r="2021" spans="1:1" x14ac:dyDescent="0.3">
      <c r="A2021" s="12"/>
    </row>
    <row r="2022" spans="1:1" x14ac:dyDescent="0.3">
      <c r="A2022" s="12"/>
    </row>
    <row r="2023" spans="1:1" x14ac:dyDescent="0.3">
      <c r="A2023" s="12"/>
    </row>
    <row r="2024" spans="1:1" x14ac:dyDescent="0.3">
      <c r="A2024" s="12"/>
    </row>
    <row r="2025" spans="1:1" x14ac:dyDescent="0.3">
      <c r="A2025" s="12"/>
    </row>
    <row r="2026" spans="1:1" x14ac:dyDescent="0.3">
      <c r="A2026" s="12"/>
    </row>
    <row r="2027" spans="1:1" x14ac:dyDescent="0.3">
      <c r="A2027" s="12"/>
    </row>
    <row r="2028" spans="1:1" x14ac:dyDescent="0.3">
      <c r="A2028" s="12"/>
    </row>
    <row r="2029" spans="1:1" x14ac:dyDescent="0.3">
      <c r="A2029" s="12"/>
    </row>
    <row r="2030" spans="1:1" x14ac:dyDescent="0.3">
      <c r="A2030" s="12"/>
    </row>
    <row r="2031" spans="1:1" x14ac:dyDescent="0.3">
      <c r="A2031" s="12"/>
    </row>
    <row r="2032" spans="1:1" x14ac:dyDescent="0.3">
      <c r="A2032" s="12"/>
    </row>
    <row r="2033" spans="1:1" x14ac:dyDescent="0.3">
      <c r="A2033" s="12"/>
    </row>
    <row r="2034" spans="1:1" x14ac:dyDescent="0.3">
      <c r="A2034" s="12"/>
    </row>
    <row r="2035" spans="1:1" x14ac:dyDescent="0.3">
      <c r="A2035" s="12"/>
    </row>
    <row r="2036" spans="1:1" x14ac:dyDescent="0.3">
      <c r="A2036" s="12"/>
    </row>
    <row r="2037" spans="1:1" x14ac:dyDescent="0.3">
      <c r="A2037" s="12"/>
    </row>
    <row r="2038" spans="1:1" x14ac:dyDescent="0.3">
      <c r="A2038" s="12"/>
    </row>
    <row r="2039" spans="1:1" x14ac:dyDescent="0.3">
      <c r="A2039" s="12"/>
    </row>
    <row r="2040" spans="1:1" x14ac:dyDescent="0.3">
      <c r="A2040" s="12"/>
    </row>
    <row r="2041" spans="1:1" x14ac:dyDescent="0.3">
      <c r="A2041" s="12"/>
    </row>
    <row r="2042" spans="1:1" x14ac:dyDescent="0.3">
      <c r="A2042" s="12"/>
    </row>
    <row r="2043" spans="1:1" x14ac:dyDescent="0.3">
      <c r="A2043" s="12"/>
    </row>
    <row r="2044" spans="1:1" x14ac:dyDescent="0.3">
      <c r="A2044" s="12"/>
    </row>
    <row r="2045" spans="1:1" x14ac:dyDescent="0.3">
      <c r="A2045" s="12"/>
    </row>
    <row r="2046" spans="1:1" x14ac:dyDescent="0.3">
      <c r="A2046" s="12"/>
    </row>
    <row r="2047" spans="1:1" x14ac:dyDescent="0.3">
      <c r="A2047" s="12"/>
    </row>
    <row r="2048" spans="1:1" x14ac:dyDescent="0.3">
      <c r="A2048" s="12"/>
    </row>
    <row r="2049" spans="1:1" x14ac:dyDescent="0.3">
      <c r="A2049" s="12"/>
    </row>
    <row r="2050" spans="1:1" x14ac:dyDescent="0.3">
      <c r="A2050" s="12"/>
    </row>
    <row r="2051" spans="1:1" x14ac:dyDescent="0.3">
      <c r="A2051" s="12"/>
    </row>
    <row r="2052" spans="1:1" x14ac:dyDescent="0.3">
      <c r="A2052" s="12"/>
    </row>
    <row r="2053" spans="1:1" x14ac:dyDescent="0.3">
      <c r="A2053" s="12"/>
    </row>
    <row r="2054" spans="1:1" x14ac:dyDescent="0.3">
      <c r="A2054" s="12"/>
    </row>
    <row r="2055" spans="1:1" x14ac:dyDescent="0.3">
      <c r="A2055" s="12"/>
    </row>
    <row r="2056" spans="1:1" x14ac:dyDescent="0.3">
      <c r="A2056" s="12"/>
    </row>
    <row r="2057" spans="1:1" x14ac:dyDescent="0.3">
      <c r="A2057" s="12"/>
    </row>
    <row r="2058" spans="1:1" x14ac:dyDescent="0.3">
      <c r="A2058" s="12"/>
    </row>
    <row r="2059" spans="1:1" x14ac:dyDescent="0.3">
      <c r="A2059" s="12"/>
    </row>
    <row r="2060" spans="1:1" x14ac:dyDescent="0.3">
      <c r="A2060" s="12"/>
    </row>
    <row r="2061" spans="1:1" x14ac:dyDescent="0.3">
      <c r="A2061" s="12"/>
    </row>
    <row r="2062" spans="1:1" x14ac:dyDescent="0.3">
      <c r="A2062" s="12"/>
    </row>
    <row r="2063" spans="1:1" x14ac:dyDescent="0.3">
      <c r="A2063" s="12"/>
    </row>
    <row r="2064" spans="1:1" x14ac:dyDescent="0.3">
      <c r="A2064" s="12"/>
    </row>
    <row r="2065" spans="1:1" x14ac:dyDescent="0.3">
      <c r="A2065" s="12"/>
    </row>
    <row r="2066" spans="1:1" x14ac:dyDescent="0.3">
      <c r="A2066" s="12"/>
    </row>
    <row r="2067" spans="1:1" x14ac:dyDescent="0.3">
      <c r="A2067" s="12"/>
    </row>
    <row r="2068" spans="1:1" x14ac:dyDescent="0.3">
      <c r="A2068" s="12"/>
    </row>
    <row r="2069" spans="1:1" x14ac:dyDescent="0.3">
      <c r="A2069" s="12"/>
    </row>
    <row r="2070" spans="1:1" x14ac:dyDescent="0.3">
      <c r="A2070" s="12"/>
    </row>
    <row r="2071" spans="1:1" x14ac:dyDescent="0.3">
      <c r="A2071" s="12"/>
    </row>
    <row r="2072" spans="1:1" x14ac:dyDescent="0.3">
      <c r="A2072" s="12"/>
    </row>
    <row r="2073" spans="1:1" x14ac:dyDescent="0.3">
      <c r="A2073" s="12"/>
    </row>
    <row r="2074" spans="1:1" x14ac:dyDescent="0.3">
      <c r="A2074" s="12"/>
    </row>
    <row r="2075" spans="1:1" x14ac:dyDescent="0.3">
      <c r="A2075" s="12"/>
    </row>
    <row r="2076" spans="1:1" x14ac:dyDescent="0.3">
      <c r="A2076" s="12"/>
    </row>
    <row r="2077" spans="1:1" x14ac:dyDescent="0.3">
      <c r="A2077" s="12"/>
    </row>
    <row r="2078" spans="1:1" x14ac:dyDescent="0.3">
      <c r="A2078" s="12"/>
    </row>
    <row r="2079" spans="1:1" x14ac:dyDescent="0.3">
      <c r="A2079" s="12"/>
    </row>
    <row r="2080" spans="1:1" x14ac:dyDescent="0.3">
      <c r="A2080" s="12"/>
    </row>
    <row r="2081" spans="1:1" x14ac:dyDescent="0.3">
      <c r="A2081" s="12"/>
    </row>
    <row r="2082" spans="1:1" x14ac:dyDescent="0.3">
      <c r="A2082" s="12"/>
    </row>
    <row r="2083" spans="1:1" x14ac:dyDescent="0.3">
      <c r="A2083" s="12"/>
    </row>
    <row r="2084" spans="1:1" x14ac:dyDescent="0.3">
      <c r="A2084" s="12"/>
    </row>
    <row r="2085" spans="1:1" x14ac:dyDescent="0.3">
      <c r="A2085" s="12"/>
    </row>
    <row r="2086" spans="1:1" x14ac:dyDescent="0.3">
      <c r="A2086" s="12"/>
    </row>
    <row r="2087" spans="1:1" x14ac:dyDescent="0.3">
      <c r="A2087" s="12"/>
    </row>
    <row r="2088" spans="1:1" x14ac:dyDescent="0.3">
      <c r="A2088" s="12"/>
    </row>
    <row r="2089" spans="1:1" x14ac:dyDescent="0.3">
      <c r="A2089" s="12"/>
    </row>
    <row r="2090" spans="1:1" x14ac:dyDescent="0.3">
      <c r="A2090" s="12"/>
    </row>
    <row r="2091" spans="1:1" x14ac:dyDescent="0.3">
      <c r="A2091" s="12"/>
    </row>
    <row r="2092" spans="1:1" x14ac:dyDescent="0.3">
      <c r="A2092" s="12"/>
    </row>
    <row r="2093" spans="1:1" x14ac:dyDescent="0.3">
      <c r="A2093" s="12"/>
    </row>
    <row r="2094" spans="1:1" x14ac:dyDescent="0.3">
      <c r="A2094" s="12"/>
    </row>
    <row r="2095" spans="1:1" x14ac:dyDescent="0.3">
      <c r="A2095" s="12"/>
    </row>
    <row r="2096" spans="1:1" x14ac:dyDescent="0.3">
      <c r="A2096" s="12"/>
    </row>
    <row r="2097" spans="1:1" x14ac:dyDescent="0.3">
      <c r="A2097" s="12"/>
    </row>
    <row r="2098" spans="1:1" x14ac:dyDescent="0.3">
      <c r="A2098" s="12"/>
    </row>
    <row r="2099" spans="1:1" x14ac:dyDescent="0.3">
      <c r="A2099" s="12"/>
    </row>
    <row r="2100" spans="1:1" x14ac:dyDescent="0.3">
      <c r="A2100" s="12"/>
    </row>
    <row r="2101" spans="1:1" x14ac:dyDescent="0.3">
      <c r="A2101" s="12"/>
    </row>
    <row r="2102" spans="1:1" x14ac:dyDescent="0.3">
      <c r="A2102" s="12"/>
    </row>
    <row r="2103" spans="1:1" x14ac:dyDescent="0.3">
      <c r="A2103" s="12"/>
    </row>
    <row r="2104" spans="1:1" x14ac:dyDescent="0.3">
      <c r="A2104" s="12"/>
    </row>
    <row r="2105" spans="1:1" x14ac:dyDescent="0.3">
      <c r="A2105" s="12"/>
    </row>
    <row r="2106" spans="1:1" x14ac:dyDescent="0.3">
      <c r="A2106" s="12"/>
    </row>
    <row r="2107" spans="1:1" x14ac:dyDescent="0.3">
      <c r="A2107" s="12"/>
    </row>
    <row r="2108" spans="1:1" x14ac:dyDescent="0.3">
      <c r="A2108" s="12"/>
    </row>
    <row r="2109" spans="1:1" x14ac:dyDescent="0.3">
      <c r="A2109" s="12"/>
    </row>
    <row r="2110" spans="1:1" x14ac:dyDescent="0.3">
      <c r="A2110" s="12"/>
    </row>
    <row r="2111" spans="1:1" x14ac:dyDescent="0.3">
      <c r="A2111" s="12"/>
    </row>
    <row r="2112" spans="1:1" x14ac:dyDescent="0.3">
      <c r="A2112" s="12"/>
    </row>
    <row r="2113" spans="1:1" x14ac:dyDescent="0.3">
      <c r="A2113" s="12"/>
    </row>
    <row r="2114" spans="1:1" x14ac:dyDescent="0.3">
      <c r="A2114" s="12"/>
    </row>
    <row r="2115" spans="1:1" x14ac:dyDescent="0.3">
      <c r="A2115" s="12"/>
    </row>
    <row r="2116" spans="1:1" x14ac:dyDescent="0.3">
      <c r="A2116" s="12"/>
    </row>
    <row r="2117" spans="1:1" x14ac:dyDescent="0.3">
      <c r="A2117" s="12"/>
    </row>
    <row r="2118" spans="1:1" x14ac:dyDescent="0.3">
      <c r="A2118" s="12"/>
    </row>
    <row r="2119" spans="1:1" x14ac:dyDescent="0.3">
      <c r="A2119" s="12"/>
    </row>
    <row r="2120" spans="1:1" x14ac:dyDescent="0.3">
      <c r="A2120" s="12"/>
    </row>
    <row r="2121" spans="1:1" x14ac:dyDescent="0.3">
      <c r="A2121" s="12"/>
    </row>
    <row r="2122" spans="1:1" x14ac:dyDescent="0.3">
      <c r="A2122" s="12"/>
    </row>
    <row r="2123" spans="1:1" x14ac:dyDescent="0.3">
      <c r="A2123" s="12"/>
    </row>
    <row r="2124" spans="1:1" x14ac:dyDescent="0.3">
      <c r="A2124" s="12"/>
    </row>
    <row r="2125" spans="1:1" x14ac:dyDescent="0.3">
      <c r="A2125" s="12"/>
    </row>
    <row r="2126" spans="1:1" x14ac:dyDescent="0.3">
      <c r="A2126" s="12"/>
    </row>
    <row r="2127" spans="1:1" x14ac:dyDescent="0.3">
      <c r="A2127" s="12"/>
    </row>
    <row r="2128" spans="1:1" x14ac:dyDescent="0.3">
      <c r="A2128" s="12"/>
    </row>
    <row r="2129" spans="1:1" x14ac:dyDescent="0.3">
      <c r="A2129" s="12"/>
    </row>
    <row r="2130" spans="1:1" x14ac:dyDescent="0.3">
      <c r="A2130" s="12"/>
    </row>
    <row r="2131" spans="1:1" x14ac:dyDescent="0.3">
      <c r="A2131" s="12"/>
    </row>
    <row r="2132" spans="1:1" x14ac:dyDescent="0.3">
      <c r="A2132" s="12"/>
    </row>
    <row r="2133" spans="1:1" x14ac:dyDescent="0.3">
      <c r="A2133" s="12"/>
    </row>
    <row r="2134" spans="1:1" x14ac:dyDescent="0.3">
      <c r="A2134" s="12"/>
    </row>
    <row r="2135" spans="1:1" x14ac:dyDescent="0.3">
      <c r="A2135" s="12"/>
    </row>
    <row r="2136" spans="1:1" x14ac:dyDescent="0.3">
      <c r="A2136" s="12"/>
    </row>
    <row r="2137" spans="1:1" x14ac:dyDescent="0.3">
      <c r="A2137" s="12"/>
    </row>
    <row r="2138" spans="1:1" x14ac:dyDescent="0.3">
      <c r="A2138" s="12"/>
    </row>
    <row r="2139" spans="1:1" x14ac:dyDescent="0.3">
      <c r="A2139" s="12"/>
    </row>
    <row r="2140" spans="1:1" x14ac:dyDescent="0.3">
      <c r="A2140" s="12"/>
    </row>
    <row r="2141" spans="1:1" x14ac:dyDescent="0.3">
      <c r="A2141" s="12"/>
    </row>
    <row r="2142" spans="1:1" x14ac:dyDescent="0.3">
      <c r="A2142" s="12"/>
    </row>
    <row r="2143" spans="1:1" x14ac:dyDescent="0.3">
      <c r="A2143" s="12"/>
    </row>
    <row r="2144" spans="1:1" x14ac:dyDescent="0.3">
      <c r="A2144" s="12"/>
    </row>
    <row r="2145" spans="1:1" x14ac:dyDescent="0.3">
      <c r="A2145" s="12"/>
    </row>
    <row r="2146" spans="1:1" x14ac:dyDescent="0.3">
      <c r="A2146" s="12"/>
    </row>
    <row r="2147" spans="1:1" x14ac:dyDescent="0.3">
      <c r="A2147" s="12"/>
    </row>
    <row r="2148" spans="1:1" x14ac:dyDescent="0.3">
      <c r="A2148" s="12"/>
    </row>
    <row r="2149" spans="1:1" x14ac:dyDescent="0.3">
      <c r="A2149" s="12"/>
    </row>
    <row r="2150" spans="1:1" x14ac:dyDescent="0.3">
      <c r="A2150" s="12"/>
    </row>
    <row r="2151" spans="1:1" x14ac:dyDescent="0.3">
      <c r="A2151" s="12"/>
    </row>
    <row r="2152" spans="1:1" x14ac:dyDescent="0.3">
      <c r="A2152" s="12"/>
    </row>
    <row r="2153" spans="1:1" x14ac:dyDescent="0.3">
      <c r="A2153" s="12"/>
    </row>
    <row r="2154" spans="1:1" x14ac:dyDescent="0.3">
      <c r="A2154" s="12"/>
    </row>
    <row r="2155" spans="1:1" x14ac:dyDescent="0.3">
      <c r="A2155" s="12"/>
    </row>
    <row r="2156" spans="1:1" x14ac:dyDescent="0.3">
      <c r="A2156" s="12"/>
    </row>
    <row r="2157" spans="1:1" x14ac:dyDescent="0.3">
      <c r="A2157" s="12"/>
    </row>
    <row r="2158" spans="1:1" x14ac:dyDescent="0.3">
      <c r="A2158" s="12"/>
    </row>
    <row r="2159" spans="1:1" x14ac:dyDescent="0.3">
      <c r="A2159" s="12"/>
    </row>
    <row r="2160" spans="1:1" x14ac:dyDescent="0.3">
      <c r="A2160" s="12"/>
    </row>
    <row r="2161" spans="1:1" x14ac:dyDescent="0.3">
      <c r="A2161" s="12"/>
    </row>
    <row r="2162" spans="1:1" x14ac:dyDescent="0.3">
      <c r="A2162" s="12"/>
    </row>
    <row r="2163" spans="1:1" x14ac:dyDescent="0.3">
      <c r="A2163" s="12"/>
    </row>
    <row r="2164" spans="1:1" x14ac:dyDescent="0.3">
      <c r="A2164" s="12"/>
    </row>
    <row r="2165" spans="1:1" x14ac:dyDescent="0.3">
      <c r="A2165" s="12"/>
    </row>
    <row r="2166" spans="1:1" x14ac:dyDescent="0.3">
      <c r="A2166" s="12"/>
    </row>
    <row r="2167" spans="1:1" x14ac:dyDescent="0.3">
      <c r="A2167" s="12"/>
    </row>
    <row r="2168" spans="1:1" x14ac:dyDescent="0.3">
      <c r="A2168" s="12"/>
    </row>
    <row r="2169" spans="1:1" x14ac:dyDescent="0.3">
      <c r="A2169" s="12"/>
    </row>
    <row r="2170" spans="1:1" x14ac:dyDescent="0.3">
      <c r="A2170" s="12"/>
    </row>
    <row r="2171" spans="1:1" x14ac:dyDescent="0.3">
      <c r="A2171" s="12"/>
    </row>
    <row r="2172" spans="1:1" x14ac:dyDescent="0.3">
      <c r="A2172" s="12"/>
    </row>
    <row r="2173" spans="1:1" x14ac:dyDescent="0.3">
      <c r="A2173" s="12"/>
    </row>
    <row r="2174" spans="1:1" x14ac:dyDescent="0.3">
      <c r="A2174" s="12"/>
    </row>
    <row r="2175" spans="1:1" x14ac:dyDescent="0.3">
      <c r="A2175" s="12"/>
    </row>
    <row r="2176" spans="1:1" x14ac:dyDescent="0.3">
      <c r="A2176" s="12"/>
    </row>
    <row r="2177" spans="1:1" x14ac:dyDescent="0.3">
      <c r="A2177" s="12"/>
    </row>
    <row r="2178" spans="1:1" x14ac:dyDescent="0.3">
      <c r="A2178" s="12"/>
    </row>
    <row r="2179" spans="1:1" x14ac:dyDescent="0.3">
      <c r="A2179" s="12"/>
    </row>
    <row r="2180" spans="1:1" x14ac:dyDescent="0.3">
      <c r="A2180" s="12"/>
    </row>
    <row r="2181" spans="1:1" x14ac:dyDescent="0.3">
      <c r="A2181" s="12"/>
    </row>
    <row r="2182" spans="1:1" x14ac:dyDescent="0.3">
      <c r="A2182" s="12"/>
    </row>
    <row r="2183" spans="1:1" x14ac:dyDescent="0.3">
      <c r="A2183" s="12"/>
    </row>
    <row r="2184" spans="1:1" x14ac:dyDescent="0.3">
      <c r="A2184" s="12"/>
    </row>
    <row r="2185" spans="1:1" x14ac:dyDescent="0.3">
      <c r="A2185" s="12"/>
    </row>
    <row r="2186" spans="1:1" x14ac:dyDescent="0.3">
      <c r="A2186" s="12"/>
    </row>
    <row r="2187" spans="1:1" x14ac:dyDescent="0.3">
      <c r="A2187" s="12"/>
    </row>
    <row r="2188" spans="1:1" x14ac:dyDescent="0.3">
      <c r="A2188" s="12"/>
    </row>
    <row r="2189" spans="1:1" x14ac:dyDescent="0.3">
      <c r="A2189" s="12"/>
    </row>
    <row r="2190" spans="1:1" x14ac:dyDescent="0.3">
      <c r="A2190" s="12"/>
    </row>
    <row r="2191" spans="1:1" x14ac:dyDescent="0.3">
      <c r="A2191" s="12"/>
    </row>
    <row r="2192" spans="1:1" x14ac:dyDescent="0.3">
      <c r="A2192" s="12"/>
    </row>
    <row r="2193" spans="1:1" x14ac:dyDescent="0.3">
      <c r="A2193" s="12"/>
    </row>
    <row r="2194" spans="1:1" x14ac:dyDescent="0.3">
      <c r="A2194" s="12"/>
    </row>
    <row r="2195" spans="1:1" x14ac:dyDescent="0.3">
      <c r="A2195" s="12"/>
    </row>
    <row r="2196" spans="1:1" x14ac:dyDescent="0.3">
      <c r="A2196" s="12"/>
    </row>
    <row r="2197" spans="1:1" x14ac:dyDescent="0.3">
      <c r="A2197" s="12"/>
    </row>
    <row r="2198" spans="1:1" x14ac:dyDescent="0.3">
      <c r="A2198" s="12"/>
    </row>
    <row r="2199" spans="1:1" x14ac:dyDescent="0.3">
      <c r="A2199" s="12"/>
    </row>
    <row r="2200" spans="1:1" x14ac:dyDescent="0.3">
      <c r="A2200" s="12"/>
    </row>
    <row r="2201" spans="1:1" x14ac:dyDescent="0.3">
      <c r="A2201" s="12"/>
    </row>
    <row r="2202" spans="1:1" x14ac:dyDescent="0.3">
      <c r="A2202" s="12"/>
    </row>
    <row r="2203" spans="1:1" x14ac:dyDescent="0.3">
      <c r="A2203" s="12"/>
    </row>
    <row r="2204" spans="1:1" x14ac:dyDescent="0.3">
      <c r="A2204" s="12"/>
    </row>
    <row r="2205" spans="1:1" x14ac:dyDescent="0.3">
      <c r="A2205" s="12"/>
    </row>
    <row r="2206" spans="1:1" x14ac:dyDescent="0.3">
      <c r="A2206" s="12"/>
    </row>
    <row r="2207" spans="1:1" x14ac:dyDescent="0.3">
      <c r="A2207" s="12"/>
    </row>
    <row r="2208" spans="1:1" x14ac:dyDescent="0.3">
      <c r="A2208" s="12"/>
    </row>
    <row r="2209" spans="1:1" x14ac:dyDescent="0.3">
      <c r="A2209" s="12"/>
    </row>
    <row r="2210" spans="1:1" x14ac:dyDescent="0.3">
      <c r="A2210" s="12"/>
    </row>
    <row r="2211" spans="1:1" x14ac:dyDescent="0.3">
      <c r="A2211" s="12"/>
    </row>
    <row r="2212" spans="1:1" x14ac:dyDescent="0.3">
      <c r="A2212" s="12"/>
    </row>
    <row r="2213" spans="1:1" x14ac:dyDescent="0.3">
      <c r="A2213" s="12"/>
    </row>
    <row r="2214" spans="1:1" x14ac:dyDescent="0.3">
      <c r="A2214" s="12"/>
    </row>
    <row r="2215" spans="1:1" x14ac:dyDescent="0.3">
      <c r="A2215" s="12"/>
    </row>
    <row r="2216" spans="1:1" x14ac:dyDescent="0.3">
      <c r="A2216" s="12"/>
    </row>
    <row r="2217" spans="1:1" x14ac:dyDescent="0.3">
      <c r="A2217" s="12"/>
    </row>
    <row r="2218" spans="1:1" x14ac:dyDescent="0.3">
      <c r="A2218" s="12"/>
    </row>
    <row r="2219" spans="1:1" x14ac:dyDescent="0.3">
      <c r="A2219" s="12"/>
    </row>
    <row r="2220" spans="1:1" x14ac:dyDescent="0.3">
      <c r="A2220" s="12"/>
    </row>
    <row r="2221" spans="1:1" x14ac:dyDescent="0.3">
      <c r="A2221" s="12"/>
    </row>
    <row r="2222" spans="1:1" x14ac:dyDescent="0.3">
      <c r="A2222" s="12"/>
    </row>
    <row r="2223" spans="1:1" x14ac:dyDescent="0.3">
      <c r="A2223" s="12"/>
    </row>
    <row r="2224" spans="1:1" x14ac:dyDescent="0.3">
      <c r="A2224" s="12"/>
    </row>
    <row r="2225" spans="1:1" x14ac:dyDescent="0.3">
      <c r="A2225" s="12"/>
    </row>
    <row r="2226" spans="1:1" x14ac:dyDescent="0.3">
      <c r="A2226" s="12"/>
    </row>
    <row r="2227" spans="1:1" x14ac:dyDescent="0.3">
      <c r="A2227" s="12"/>
    </row>
    <row r="2228" spans="1:1" x14ac:dyDescent="0.3">
      <c r="A2228" s="12"/>
    </row>
    <row r="2229" spans="1:1" x14ac:dyDescent="0.3">
      <c r="A2229" s="12"/>
    </row>
    <row r="2230" spans="1:1" x14ac:dyDescent="0.3">
      <c r="A2230" s="12"/>
    </row>
    <row r="2231" spans="1:1" x14ac:dyDescent="0.3">
      <c r="A2231" s="12"/>
    </row>
    <row r="2232" spans="1:1" x14ac:dyDescent="0.3">
      <c r="A2232" s="12"/>
    </row>
    <row r="2233" spans="1:1" x14ac:dyDescent="0.3">
      <c r="A2233" s="12"/>
    </row>
    <row r="2234" spans="1:1" x14ac:dyDescent="0.3">
      <c r="A2234" s="12"/>
    </row>
    <row r="2235" spans="1:1" x14ac:dyDescent="0.3">
      <c r="A2235" s="12"/>
    </row>
    <row r="2236" spans="1:1" x14ac:dyDescent="0.3">
      <c r="A2236" s="12"/>
    </row>
    <row r="2237" spans="1:1" x14ac:dyDescent="0.3">
      <c r="A2237" s="12"/>
    </row>
    <row r="2238" spans="1:1" x14ac:dyDescent="0.3">
      <c r="A2238" s="12"/>
    </row>
    <row r="2239" spans="1:1" x14ac:dyDescent="0.3">
      <c r="A2239" s="12"/>
    </row>
    <row r="2240" spans="1:1" x14ac:dyDescent="0.3">
      <c r="A2240" s="12"/>
    </row>
    <row r="2241" spans="1:1" x14ac:dyDescent="0.3">
      <c r="A2241" s="12"/>
    </row>
    <row r="2242" spans="1:1" x14ac:dyDescent="0.3">
      <c r="A2242" s="12"/>
    </row>
    <row r="2243" spans="1:1" x14ac:dyDescent="0.3">
      <c r="A2243" s="12"/>
    </row>
    <row r="2244" spans="1:1" x14ac:dyDescent="0.3">
      <c r="A2244" s="12"/>
    </row>
    <row r="2245" spans="1:1" x14ac:dyDescent="0.3">
      <c r="A2245" s="12"/>
    </row>
    <row r="2246" spans="1:1" x14ac:dyDescent="0.3">
      <c r="A2246" s="12"/>
    </row>
    <row r="2247" spans="1:1" x14ac:dyDescent="0.3">
      <c r="A2247" s="12"/>
    </row>
    <row r="2248" spans="1:1" x14ac:dyDescent="0.3">
      <c r="A2248" s="12"/>
    </row>
    <row r="2249" spans="1:1" x14ac:dyDescent="0.3">
      <c r="A2249" s="12"/>
    </row>
    <row r="2250" spans="1:1" x14ac:dyDescent="0.3">
      <c r="A2250" s="12"/>
    </row>
    <row r="2251" spans="1:1" x14ac:dyDescent="0.3">
      <c r="A2251" s="12"/>
    </row>
    <row r="2252" spans="1:1" x14ac:dyDescent="0.3">
      <c r="A2252" s="12"/>
    </row>
    <row r="2253" spans="1:1" x14ac:dyDescent="0.3">
      <c r="A2253" s="12"/>
    </row>
    <row r="2254" spans="1:1" x14ac:dyDescent="0.3">
      <c r="A2254" s="12"/>
    </row>
    <row r="2255" spans="1:1" x14ac:dyDescent="0.3">
      <c r="A2255" s="12"/>
    </row>
    <row r="2256" spans="1:1" x14ac:dyDescent="0.3">
      <c r="A2256" s="12"/>
    </row>
    <row r="2257" spans="1:1" x14ac:dyDescent="0.3">
      <c r="A2257" s="12"/>
    </row>
    <row r="2258" spans="1:1" x14ac:dyDescent="0.3">
      <c r="A2258" s="12"/>
    </row>
    <row r="2259" spans="1:1" x14ac:dyDescent="0.3">
      <c r="A2259" s="12"/>
    </row>
    <row r="2260" spans="1:1" x14ac:dyDescent="0.3">
      <c r="A2260" s="12"/>
    </row>
    <row r="2261" spans="1:1" x14ac:dyDescent="0.3">
      <c r="A2261" s="12"/>
    </row>
    <row r="2262" spans="1:1" x14ac:dyDescent="0.3">
      <c r="A2262" s="12"/>
    </row>
    <row r="2263" spans="1:1" x14ac:dyDescent="0.3">
      <c r="A2263" s="12"/>
    </row>
    <row r="2264" spans="1:1" x14ac:dyDescent="0.3">
      <c r="A2264" s="12"/>
    </row>
    <row r="2265" spans="1:1" x14ac:dyDescent="0.3">
      <c r="A2265" s="12"/>
    </row>
    <row r="2266" spans="1:1" x14ac:dyDescent="0.3">
      <c r="A2266" s="12"/>
    </row>
    <row r="2267" spans="1:1" x14ac:dyDescent="0.3">
      <c r="A2267" s="12"/>
    </row>
    <row r="2268" spans="1:1" x14ac:dyDescent="0.3">
      <c r="A2268" s="12"/>
    </row>
    <row r="2269" spans="1:1" x14ac:dyDescent="0.3">
      <c r="A2269" s="12"/>
    </row>
    <row r="2270" spans="1:1" x14ac:dyDescent="0.3">
      <c r="A2270" s="12"/>
    </row>
    <row r="2271" spans="1:1" x14ac:dyDescent="0.3">
      <c r="A2271" s="12"/>
    </row>
    <row r="2272" spans="1:1" x14ac:dyDescent="0.3">
      <c r="A2272" s="12"/>
    </row>
    <row r="2273" spans="1:1" x14ac:dyDescent="0.3">
      <c r="A2273" s="12"/>
    </row>
    <row r="2274" spans="1:1" x14ac:dyDescent="0.3">
      <c r="A2274" s="12"/>
    </row>
    <row r="2275" spans="1:1" x14ac:dyDescent="0.3">
      <c r="A2275" s="12"/>
    </row>
    <row r="2276" spans="1:1" x14ac:dyDescent="0.3">
      <c r="A2276" s="12"/>
    </row>
    <row r="2277" spans="1:1" x14ac:dyDescent="0.3">
      <c r="A2277" s="12"/>
    </row>
    <row r="2278" spans="1:1" x14ac:dyDescent="0.3">
      <c r="A2278" s="12"/>
    </row>
    <row r="2279" spans="1:1" x14ac:dyDescent="0.3">
      <c r="A2279" s="12"/>
    </row>
    <row r="2280" spans="1:1" x14ac:dyDescent="0.3">
      <c r="A2280" s="12"/>
    </row>
    <row r="2281" spans="1:1" x14ac:dyDescent="0.3">
      <c r="A2281" s="12"/>
    </row>
    <row r="2282" spans="1:1" x14ac:dyDescent="0.3">
      <c r="A2282" s="12"/>
    </row>
    <row r="2283" spans="1:1" x14ac:dyDescent="0.3">
      <c r="A2283" s="12"/>
    </row>
    <row r="2284" spans="1:1" x14ac:dyDescent="0.3">
      <c r="A2284" s="12"/>
    </row>
    <row r="2285" spans="1:1" x14ac:dyDescent="0.3">
      <c r="A2285" s="12"/>
    </row>
    <row r="2286" spans="1:1" x14ac:dyDescent="0.3">
      <c r="A2286" s="12"/>
    </row>
    <row r="2287" spans="1:1" x14ac:dyDescent="0.3">
      <c r="A2287" s="12"/>
    </row>
    <row r="2288" spans="1:1" x14ac:dyDescent="0.3">
      <c r="A2288" s="12"/>
    </row>
    <row r="2289" spans="1:1" x14ac:dyDescent="0.3">
      <c r="A2289" s="12"/>
    </row>
    <row r="2290" spans="1:1" x14ac:dyDescent="0.3">
      <c r="A2290" s="12"/>
    </row>
    <row r="2291" spans="1:1" x14ac:dyDescent="0.3">
      <c r="A2291" s="12"/>
    </row>
    <row r="2292" spans="1:1" x14ac:dyDescent="0.3">
      <c r="A2292" s="12"/>
    </row>
    <row r="2293" spans="1:1" x14ac:dyDescent="0.3">
      <c r="A2293" s="12"/>
    </row>
    <row r="2294" spans="1:1" x14ac:dyDescent="0.3">
      <c r="A2294" s="12"/>
    </row>
    <row r="2295" spans="1:1" x14ac:dyDescent="0.3">
      <c r="A2295" s="12"/>
    </row>
    <row r="2296" spans="1:1" x14ac:dyDescent="0.3">
      <c r="A2296" s="12"/>
    </row>
    <row r="2297" spans="1:1" x14ac:dyDescent="0.3">
      <c r="A2297" s="12"/>
    </row>
    <row r="2298" spans="1:1" x14ac:dyDescent="0.3">
      <c r="A2298" s="12"/>
    </row>
    <row r="2299" spans="1:1" x14ac:dyDescent="0.3">
      <c r="A2299" s="12"/>
    </row>
    <row r="2300" spans="1:1" x14ac:dyDescent="0.3">
      <c r="A2300" s="12"/>
    </row>
    <row r="2301" spans="1:1" x14ac:dyDescent="0.3">
      <c r="A2301" s="12"/>
    </row>
    <row r="2302" spans="1:1" x14ac:dyDescent="0.3">
      <c r="A2302" s="12"/>
    </row>
    <row r="2303" spans="1:1" x14ac:dyDescent="0.3">
      <c r="A2303" s="12"/>
    </row>
    <row r="2304" spans="1:1" x14ac:dyDescent="0.3">
      <c r="A2304" s="12"/>
    </row>
    <row r="2305" spans="1:1" x14ac:dyDescent="0.3">
      <c r="A2305" s="12"/>
    </row>
    <row r="2306" spans="1:1" x14ac:dyDescent="0.3">
      <c r="A2306" s="12"/>
    </row>
    <row r="2307" spans="1:1" x14ac:dyDescent="0.3">
      <c r="A2307" s="12"/>
    </row>
    <row r="2308" spans="1:1" x14ac:dyDescent="0.3">
      <c r="A2308" s="12"/>
    </row>
    <row r="2309" spans="1:1" x14ac:dyDescent="0.3">
      <c r="A2309" s="12"/>
    </row>
    <row r="2310" spans="1:1" x14ac:dyDescent="0.3">
      <c r="A2310" s="12"/>
    </row>
    <row r="2311" spans="1:1" x14ac:dyDescent="0.3">
      <c r="A2311" s="12"/>
    </row>
    <row r="2312" spans="1:1" x14ac:dyDescent="0.3">
      <c r="A2312" s="12"/>
    </row>
    <row r="2313" spans="1:1" x14ac:dyDescent="0.3">
      <c r="A2313" s="12"/>
    </row>
    <row r="2314" spans="1:1" x14ac:dyDescent="0.3">
      <c r="A2314" s="12"/>
    </row>
    <row r="2315" spans="1:1" x14ac:dyDescent="0.3">
      <c r="A2315" s="12"/>
    </row>
    <row r="2316" spans="1:1" x14ac:dyDescent="0.3">
      <c r="A2316" s="12"/>
    </row>
    <row r="2317" spans="1:1" x14ac:dyDescent="0.3">
      <c r="A2317" s="12"/>
    </row>
    <row r="2318" spans="1:1" x14ac:dyDescent="0.3">
      <c r="A2318" s="12"/>
    </row>
    <row r="2319" spans="1:1" x14ac:dyDescent="0.3">
      <c r="A2319" s="12"/>
    </row>
    <row r="2320" spans="1:1" x14ac:dyDescent="0.3">
      <c r="A2320" s="12"/>
    </row>
    <row r="2321" spans="1:1" x14ac:dyDescent="0.3">
      <c r="A2321" s="12"/>
    </row>
    <row r="2322" spans="1:1" x14ac:dyDescent="0.3">
      <c r="A2322" s="12"/>
    </row>
    <row r="2323" spans="1:1" x14ac:dyDescent="0.3">
      <c r="A2323" s="12"/>
    </row>
    <row r="2324" spans="1:1" x14ac:dyDescent="0.3">
      <c r="A2324" s="12"/>
    </row>
    <row r="2325" spans="1:1" x14ac:dyDescent="0.3">
      <c r="A2325" s="12"/>
    </row>
    <row r="2326" spans="1:1" x14ac:dyDescent="0.3">
      <c r="A2326" s="12"/>
    </row>
    <row r="2327" spans="1:1" x14ac:dyDescent="0.3">
      <c r="A2327" s="12"/>
    </row>
    <row r="2328" spans="1:1" x14ac:dyDescent="0.3">
      <c r="A2328" s="12"/>
    </row>
    <row r="2329" spans="1:1" x14ac:dyDescent="0.3">
      <c r="A2329" s="12"/>
    </row>
    <row r="2330" spans="1:1" x14ac:dyDescent="0.3">
      <c r="A2330" s="12"/>
    </row>
    <row r="2331" spans="1:1" x14ac:dyDescent="0.3">
      <c r="A2331" s="12"/>
    </row>
    <row r="2332" spans="1:1" x14ac:dyDescent="0.3">
      <c r="A2332" s="12"/>
    </row>
    <row r="2333" spans="1:1" x14ac:dyDescent="0.3">
      <c r="A2333" s="12"/>
    </row>
    <row r="2334" spans="1:1" x14ac:dyDescent="0.3">
      <c r="A2334" s="12"/>
    </row>
    <row r="2335" spans="1:1" x14ac:dyDescent="0.3">
      <c r="A2335" s="12"/>
    </row>
    <row r="2336" spans="1:1" x14ac:dyDescent="0.3">
      <c r="A2336" s="12"/>
    </row>
    <row r="2337" spans="1:1" x14ac:dyDescent="0.3">
      <c r="A2337" s="12"/>
    </row>
    <row r="2338" spans="1:1" x14ac:dyDescent="0.3">
      <c r="A2338" s="12"/>
    </row>
    <row r="2339" spans="1:1" x14ac:dyDescent="0.3">
      <c r="A2339" s="12"/>
    </row>
    <row r="2340" spans="1:1" x14ac:dyDescent="0.3">
      <c r="A2340" s="12"/>
    </row>
    <row r="2341" spans="1:1" x14ac:dyDescent="0.3">
      <c r="A2341" s="12"/>
    </row>
    <row r="2342" spans="1:1" x14ac:dyDescent="0.3">
      <c r="A2342" s="12"/>
    </row>
    <row r="2343" spans="1:1" x14ac:dyDescent="0.3">
      <c r="A2343" s="12"/>
    </row>
    <row r="2344" spans="1:1" x14ac:dyDescent="0.3">
      <c r="A2344" s="12"/>
    </row>
    <row r="2345" spans="1:1" x14ac:dyDescent="0.3">
      <c r="A2345" s="12"/>
    </row>
    <row r="2346" spans="1:1" x14ac:dyDescent="0.3">
      <c r="A2346" s="12"/>
    </row>
    <row r="2347" spans="1:1" x14ac:dyDescent="0.3">
      <c r="A2347" s="12"/>
    </row>
    <row r="2348" spans="1:1" x14ac:dyDescent="0.3">
      <c r="A2348" s="12"/>
    </row>
    <row r="2349" spans="1:1" x14ac:dyDescent="0.3">
      <c r="A2349" s="12"/>
    </row>
    <row r="2350" spans="1:1" x14ac:dyDescent="0.3">
      <c r="A2350" s="12"/>
    </row>
    <row r="2351" spans="1:1" x14ac:dyDescent="0.3">
      <c r="A2351" s="12"/>
    </row>
    <row r="2352" spans="1:1" x14ac:dyDescent="0.3">
      <c r="A2352" s="12"/>
    </row>
    <row r="2353" spans="1:1" x14ac:dyDescent="0.3">
      <c r="A2353" s="12"/>
    </row>
    <row r="2354" spans="1:1" x14ac:dyDescent="0.3">
      <c r="A2354" s="12"/>
    </row>
    <row r="2355" spans="1:1" x14ac:dyDescent="0.3">
      <c r="A2355" s="12"/>
    </row>
    <row r="2356" spans="1:1" x14ac:dyDescent="0.3">
      <c r="A2356" s="12"/>
    </row>
    <row r="2357" spans="1:1" x14ac:dyDescent="0.3">
      <c r="A2357" s="12"/>
    </row>
    <row r="2358" spans="1:1" x14ac:dyDescent="0.3">
      <c r="A2358" s="12"/>
    </row>
    <row r="2359" spans="1:1" x14ac:dyDescent="0.3">
      <c r="A2359" s="12"/>
    </row>
    <row r="2360" spans="1:1" x14ac:dyDescent="0.3">
      <c r="A2360" s="12"/>
    </row>
    <row r="2361" spans="1:1" x14ac:dyDescent="0.3">
      <c r="A2361" s="12"/>
    </row>
    <row r="2362" spans="1:1" x14ac:dyDescent="0.3">
      <c r="A2362" s="12"/>
    </row>
    <row r="2363" spans="1:1" x14ac:dyDescent="0.3">
      <c r="A2363" s="12"/>
    </row>
    <row r="2364" spans="1:1" x14ac:dyDescent="0.3">
      <c r="A2364" s="12"/>
    </row>
    <row r="2365" spans="1:1" x14ac:dyDescent="0.3">
      <c r="A2365" s="12"/>
    </row>
    <row r="2366" spans="1:1" x14ac:dyDescent="0.3">
      <c r="A2366" s="12"/>
    </row>
    <row r="2367" spans="1:1" x14ac:dyDescent="0.3">
      <c r="A2367" s="12"/>
    </row>
    <row r="2368" spans="1:1" x14ac:dyDescent="0.3">
      <c r="A2368" s="12"/>
    </row>
    <row r="2369" spans="1:1" x14ac:dyDescent="0.3">
      <c r="A2369" s="12"/>
    </row>
    <row r="2370" spans="1:1" x14ac:dyDescent="0.3">
      <c r="A2370" s="12"/>
    </row>
    <row r="2371" spans="1:1" x14ac:dyDescent="0.3">
      <c r="A2371" s="12"/>
    </row>
    <row r="2372" spans="1:1" x14ac:dyDescent="0.3">
      <c r="A2372" s="12"/>
    </row>
    <row r="2373" spans="1:1" x14ac:dyDescent="0.3">
      <c r="A2373" s="12"/>
    </row>
    <row r="2374" spans="1:1" x14ac:dyDescent="0.3">
      <c r="A2374" s="12"/>
    </row>
    <row r="2375" spans="1:1" x14ac:dyDescent="0.3">
      <c r="A2375" s="12"/>
    </row>
    <row r="2376" spans="1:1" x14ac:dyDescent="0.3">
      <c r="A2376" s="12"/>
    </row>
    <row r="2377" spans="1:1" x14ac:dyDescent="0.3">
      <c r="A2377" s="12"/>
    </row>
    <row r="2378" spans="1:1" x14ac:dyDescent="0.3">
      <c r="A2378" s="12"/>
    </row>
    <row r="2379" spans="1:1" x14ac:dyDescent="0.3">
      <c r="A2379" s="12"/>
    </row>
    <row r="2380" spans="1:1" x14ac:dyDescent="0.3">
      <c r="A2380" s="12"/>
    </row>
    <row r="2381" spans="1:1" x14ac:dyDescent="0.3">
      <c r="A2381" s="12"/>
    </row>
    <row r="2382" spans="1:1" x14ac:dyDescent="0.3">
      <c r="A2382" s="12"/>
    </row>
    <row r="2383" spans="1:1" x14ac:dyDescent="0.3">
      <c r="A2383" s="12"/>
    </row>
    <row r="2384" spans="1:1" x14ac:dyDescent="0.3">
      <c r="A2384" s="12"/>
    </row>
    <row r="2385" spans="1:1" x14ac:dyDescent="0.3">
      <c r="A2385" s="12"/>
    </row>
    <row r="2386" spans="1:1" x14ac:dyDescent="0.3">
      <c r="A2386" s="12"/>
    </row>
    <row r="2387" spans="1:1" x14ac:dyDescent="0.3">
      <c r="A2387" s="12"/>
    </row>
    <row r="2388" spans="1:1" x14ac:dyDescent="0.3">
      <c r="A2388" s="12"/>
    </row>
    <row r="2389" spans="1:1" x14ac:dyDescent="0.3">
      <c r="A2389" s="12"/>
    </row>
    <row r="2390" spans="1:1" x14ac:dyDescent="0.3">
      <c r="A2390" s="12"/>
    </row>
    <row r="2391" spans="1:1" x14ac:dyDescent="0.3">
      <c r="A2391" s="12"/>
    </row>
    <row r="2392" spans="1:1" x14ac:dyDescent="0.3">
      <c r="A2392" s="12"/>
    </row>
    <row r="2393" spans="1:1" x14ac:dyDescent="0.3">
      <c r="A2393" s="12"/>
    </row>
    <row r="2394" spans="1:1" x14ac:dyDescent="0.3">
      <c r="A2394" s="12"/>
    </row>
    <row r="2395" spans="1:1" x14ac:dyDescent="0.3">
      <c r="A2395" s="12"/>
    </row>
    <row r="2396" spans="1:1" x14ac:dyDescent="0.3">
      <c r="A2396" s="12"/>
    </row>
    <row r="2397" spans="1:1" x14ac:dyDescent="0.3">
      <c r="A2397" s="12"/>
    </row>
    <row r="2398" spans="1:1" x14ac:dyDescent="0.3">
      <c r="A2398" s="12"/>
    </row>
    <row r="2399" spans="1:1" x14ac:dyDescent="0.3">
      <c r="A2399" s="12"/>
    </row>
    <row r="2400" spans="1:1" x14ac:dyDescent="0.3">
      <c r="A2400" s="12"/>
    </row>
    <row r="2401" spans="1:1" x14ac:dyDescent="0.3">
      <c r="A2401" s="12"/>
    </row>
    <row r="2402" spans="1:1" x14ac:dyDescent="0.3">
      <c r="A2402" s="12"/>
    </row>
    <row r="2403" spans="1:1" x14ac:dyDescent="0.3">
      <c r="A2403" s="12"/>
    </row>
    <row r="2404" spans="1:1" x14ac:dyDescent="0.3">
      <c r="A2404" s="12"/>
    </row>
    <row r="2405" spans="1:1" x14ac:dyDescent="0.3">
      <c r="A2405" s="12"/>
    </row>
    <row r="2406" spans="1:1" x14ac:dyDescent="0.3">
      <c r="A2406" s="12"/>
    </row>
    <row r="2407" spans="1:1" x14ac:dyDescent="0.3">
      <c r="A2407" s="12"/>
    </row>
    <row r="2408" spans="1:1" x14ac:dyDescent="0.3">
      <c r="A2408" s="12"/>
    </row>
    <row r="2409" spans="1:1" x14ac:dyDescent="0.3">
      <c r="A2409" s="12"/>
    </row>
    <row r="2410" spans="1:1" x14ac:dyDescent="0.3">
      <c r="A2410" s="12"/>
    </row>
    <row r="2411" spans="1:1" x14ac:dyDescent="0.3">
      <c r="A2411" s="12"/>
    </row>
    <row r="2412" spans="1:1" x14ac:dyDescent="0.3">
      <c r="A2412" s="12"/>
    </row>
    <row r="2413" spans="1:1" x14ac:dyDescent="0.3">
      <c r="A2413" s="12"/>
    </row>
    <row r="2414" spans="1:1" x14ac:dyDescent="0.3">
      <c r="A2414" s="12"/>
    </row>
    <row r="2415" spans="1:1" x14ac:dyDescent="0.3">
      <c r="A2415" s="12"/>
    </row>
    <row r="2416" spans="1:1" x14ac:dyDescent="0.3">
      <c r="A2416" s="12"/>
    </row>
    <row r="2417" spans="1:1" x14ac:dyDescent="0.3">
      <c r="A2417" s="12"/>
    </row>
    <row r="2418" spans="1:1" x14ac:dyDescent="0.3">
      <c r="A2418" s="12"/>
    </row>
    <row r="2419" spans="1:1" x14ac:dyDescent="0.3">
      <c r="A2419" s="12"/>
    </row>
    <row r="2420" spans="1:1" x14ac:dyDescent="0.3">
      <c r="A2420" s="12"/>
    </row>
    <row r="2421" spans="1:1" x14ac:dyDescent="0.3">
      <c r="A2421" s="12"/>
    </row>
    <row r="2422" spans="1:1" x14ac:dyDescent="0.3">
      <c r="A2422" s="12"/>
    </row>
    <row r="2423" spans="1:1" x14ac:dyDescent="0.3">
      <c r="A2423" s="12"/>
    </row>
    <row r="2424" spans="1:1" x14ac:dyDescent="0.3">
      <c r="A2424" s="12"/>
    </row>
    <row r="2425" spans="1:1" x14ac:dyDescent="0.3">
      <c r="A2425" s="12"/>
    </row>
    <row r="2426" spans="1:1" x14ac:dyDescent="0.3">
      <c r="A2426" s="12"/>
    </row>
    <row r="2427" spans="1:1" x14ac:dyDescent="0.3">
      <c r="A2427" s="12"/>
    </row>
    <row r="2428" spans="1:1" x14ac:dyDescent="0.3">
      <c r="A2428" s="12"/>
    </row>
    <row r="2429" spans="1:1" x14ac:dyDescent="0.3">
      <c r="A2429" s="12"/>
    </row>
    <row r="2430" spans="1:1" x14ac:dyDescent="0.3">
      <c r="A2430" s="12"/>
    </row>
    <row r="2431" spans="1:1" x14ac:dyDescent="0.3">
      <c r="A2431" s="12"/>
    </row>
    <row r="2432" spans="1:1" x14ac:dyDescent="0.3">
      <c r="A2432" s="12"/>
    </row>
    <row r="2433" spans="1:1" x14ac:dyDescent="0.3">
      <c r="A2433" s="12"/>
    </row>
    <row r="2434" spans="1:1" x14ac:dyDescent="0.3">
      <c r="A2434" s="12"/>
    </row>
    <row r="2435" spans="1:1" x14ac:dyDescent="0.3">
      <c r="A2435" s="12"/>
    </row>
    <row r="2436" spans="1:1" x14ac:dyDescent="0.3">
      <c r="A2436" s="12"/>
    </row>
    <row r="2437" spans="1:1" x14ac:dyDescent="0.3">
      <c r="A2437" s="12"/>
    </row>
    <row r="2438" spans="1:1" x14ac:dyDescent="0.3">
      <c r="A2438" s="12"/>
    </row>
    <row r="2439" spans="1:1" x14ac:dyDescent="0.3">
      <c r="A2439" s="12"/>
    </row>
    <row r="2440" spans="1:1" x14ac:dyDescent="0.3">
      <c r="A2440" s="12"/>
    </row>
    <row r="2441" spans="1:1" x14ac:dyDescent="0.3">
      <c r="A2441" s="12"/>
    </row>
    <row r="2442" spans="1:1" x14ac:dyDescent="0.3">
      <c r="A2442" s="12"/>
    </row>
    <row r="2443" spans="1:1" x14ac:dyDescent="0.3">
      <c r="A2443" s="12"/>
    </row>
    <row r="2444" spans="1:1" x14ac:dyDescent="0.3">
      <c r="A2444" s="12"/>
    </row>
    <row r="2445" spans="1:1" x14ac:dyDescent="0.3">
      <c r="A2445" s="12"/>
    </row>
    <row r="2446" spans="1:1" x14ac:dyDescent="0.3">
      <c r="A2446" s="12"/>
    </row>
    <row r="2447" spans="1:1" x14ac:dyDescent="0.3">
      <c r="A2447" s="12"/>
    </row>
    <row r="2448" spans="1:1" x14ac:dyDescent="0.3">
      <c r="A2448" s="12"/>
    </row>
    <row r="2449" spans="1:1" x14ac:dyDescent="0.3">
      <c r="A2449" s="12"/>
    </row>
    <row r="2450" spans="1:1" x14ac:dyDescent="0.3">
      <c r="A2450" s="12"/>
    </row>
    <row r="2451" spans="1:1" x14ac:dyDescent="0.3">
      <c r="A2451" s="12"/>
    </row>
    <row r="2452" spans="1:1" x14ac:dyDescent="0.3">
      <c r="A2452" s="12"/>
    </row>
    <row r="2453" spans="1:1" x14ac:dyDescent="0.3">
      <c r="A2453" s="12"/>
    </row>
    <row r="2454" spans="1:1" x14ac:dyDescent="0.3">
      <c r="A2454" s="12"/>
    </row>
    <row r="2455" spans="1:1" x14ac:dyDescent="0.3">
      <c r="A2455" s="12"/>
    </row>
    <row r="2456" spans="1:1" x14ac:dyDescent="0.3">
      <c r="A2456" s="12"/>
    </row>
    <row r="2457" spans="1:1" x14ac:dyDescent="0.3">
      <c r="A2457" s="12"/>
    </row>
    <row r="2458" spans="1:1" x14ac:dyDescent="0.3">
      <c r="A2458" s="12"/>
    </row>
    <row r="2459" spans="1:1" x14ac:dyDescent="0.3">
      <c r="A2459" s="12"/>
    </row>
    <row r="2460" spans="1:1" x14ac:dyDescent="0.3">
      <c r="A2460" s="12"/>
    </row>
    <row r="2461" spans="1:1" x14ac:dyDescent="0.3">
      <c r="A2461" s="12"/>
    </row>
    <row r="2462" spans="1:1" x14ac:dyDescent="0.3">
      <c r="A2462" s="12"/>
    </row>
    <row r="2463" spans="1:1" x14ac:dyDescent="0.3">
      <c r="A2463" s="12"/>
    </row>
    <row r="2464" spans="1:1" x14ac:dyDescent="0.3">
      <c r="A2464" s="12"/>
    </row>
    <row r="2465" spans="1:1" x14ac:dyDescent="0.3">
      <c r="A2465" s="12"/>
    </row>
    <row r="2466" spans="1:1" x14ac:dyDescent="0.3">
      <c r="A2466" s="12"/>
    </row>
    <row r="2467" spans="1:1" x14ac:dyDescent="0.3">
      <c r="A2467" s="12"/>
    </row>
    <row r="2468" spans="1:1" x14ac:dyDescent="0.3">
      <c r="A2468" s="12"/>
    </row>
    <row r="2469" spans="1:1" x14ac:dyDescent="0.3">
      <c r="A2469" s="12"/>
    </row>
    <row r="2470" spans="1:1" x14ac:dyDescent="0.3">
      <c r="A2470" s="12"/>
    </row>
    <row r="2471" spans="1:1" x14ac:dyDescent="0.3">
      <c r="A2471" s="12"/>
    </row>
    <row r="2472" spans="1:1" x14ac:dyDescent="0.3">
      <c r="A2472" s="12"/>
    </row>
    <row r="2473" spans="1:1" x14ac:dyDescent="0.3">
      <c r="A2473" s="12"/>
    </row>
    <row r="2474" spans="1:1" x14ac:dyDescent="0.3">
      <c r="A2474" s="12"/>
    </row>
    <row r="2475" spans="1:1" x14ac:dyDescent="0.3">
      <c r="A2475" s="12"/>
    </row>
    <row r="2476" spans="1:1" x14ac:dyDescent="0.3">
      <c r="A2476" s="12"/>
    </row>
    <row r="2477" spans="1:1" x14ac:dyDescent="0.3">
      <c r="A2477" s="12"/>
    </row>
    <row r="2478" spans="1:1" x14ac:dyDescent="0.3">
      <c r="A2478" s="12"/>
    </row>
    <row r="2479" spans="1:1" x14ac:dyDescent="0.3">
      <c r="A2479" s="12"/>
    </row>
    <row r="2480" spans="1:1" x14ac:dyDescent="0.3">
      <c r="A2480" s="12"/>
    </row>
    <row r="2481" spans="1:1" x14ac:dyDescent="0.3">
      <c r="A2481" s="12"/>
    </row>
    <row r="2482" spans="1:1" x14ac:dyDescent="0.3">
      <c r="A2482" s="12"/>
    </row>
    <row r="2483" spans="1:1" x14ac:dyDescent="0.3">
      <c r="A2483" s="12"/>
    </row>
    <row r="2484" spans="1:1" x14ac:dyDescent="0.3">
      <c r="A2484" s="12"/>
    </row>
    <row r="2485" spans="1:1" x14ac:dyDescent="0.3">
      <c r="A2485" s="12"/>
    </row>
    <row r="2486" spans="1:1" x14ac:dyDescent="0.3">
      <c r="A2486" s="12"/>
    </row>
    <row r="2487" spans="1:1" x14ac:dyDescent="0.3">
      <c r="A2487" s="12"/>
    </row>
    <row r="2488" spans="1:1" x14ac:dyDescent="0.3">
      <c r="A2488" s="12"/>
    </row>
    <row r="2489" spans="1:1" x14ac:dyDescent="0.3">
      <c r="A2489" s="12"/>
    </row>
    <row r="2490" spans="1:1" x14ac:dyDescent="0.3">
      <c r="A2490" s="12"/>
    </row>
    <row r="2491" spans="1:1" x14ac:dyDescent="0.3">
      <c r="A2491" s="12"/>
    </row>
    <row r="2492" spans="1:1" x14ac:dyDescent="0.3">
      <c r="A2492" s="12"/>
    </row>
    <row r="2493" spans="1:1" x14ac:dyDescent="0.3">
      <c r="A2493" s="12"/>
    </row>
    <row r="2494" spans="1:1" x14ac:dyDescent="0.3">
      <c r="A2494" s="12"/>
    </row>
    <row r="2495" spans="1:1" x14ac:dyDescent="0.3">
      <c r="A2495" s="12"/>
    </row>
    <row r="2496" spans="1:1" x14ac:dyDescent="0.3">
      <c r="A2496" s="12"/>
    </row>
    <row r="2497" spans="1:1" x14ac:dyDescent="0.3">
      <c r="A2497" s="12"/>
    </row>
    <row r="2498" spans="1:1" x14ac:dyDescent="0.3">
      <c r="A2498" s="12"/>
    </row>
    <row r="2499" spans="1:1" x14ac:dyDescent="0.3">
      <c r="A2499" s="12"/>
    </row>
    <row r="2500" spans="1:1" x14ac:dyDescent="0.3">
      <c r="A2500" s="12"/>
    </row>
    <row r="2501" spans="1:1" x14ac:dyDescent="0.3">
      <c r="A2501" s="12"/>
    </row>
    <row r="2502" spans="1:1" x14ac:dyDescent="0.3">
      <c r="A2502" s="12"/>
    </row>
    <row r="2503" spans="1:1" x14ac:dyDescent="0.3">
      <c r="A2503" s="12"/>
    </row>
    <row r="2504" spans="1:1" x14ac:dyDescent="0.3">
      <c r="A2504" s="12"/>
    </row>
    <row r="2505" spans="1:1" x14ac:dyDescent="0.3">
      <c r="A2505" s="12"/>
    </row>
    <row r="2506" spans="1:1" x14ac:dyDescent="0.3">
      <c r="A2506" s="12"/>
    </row>
    <row r="2507" spans="1:1" x14ac:dyDescent="0.3">
      <c r="A2507" s="12"/>
    </row>
    <row r="2508" spans="1:1" x14ac:dyDescent="0.3">
      <c r="A2508" s="12"/>
    </row>
    <row r="2509" spans="1:1" x14ac:dyDescent="0.3">
      <c r="A2509" s="12"/>
    </row>
    <row r="2510" spans="1:1" x14ac:dyDescent="0.3">
      <c r="A2510" s="12"/>
    </row>
    <row r="2511" spans="1:1" x14ac:dyDescent="0.3">
      <c r="A2511" s="12"/>
    </row>
    <row r="2512" spans="1:1" x14ac:dyDescent="0.3">
      <c r="A2512" s="12"/>
    </row>
    <row r="2513" spans="1:1" x14ac:dyDescent="0.3">
      <c r="A2513" s="12"/>
    </row>
    <row r="2514" spans="1:1" x14ac:dyDescent="0.3">
      <c r="A2514" s="12"/>
    </row>
    <row r="2515" spans="1:1" x14ac:dyDescent="0.3">
      <c r="A2515" s="12"/>
    </row>
    <row r="2516" spans="1:1" x14ac:dyDescent="0.3">
      <c r="A2516" s="12"/>
    </row>
    <row r="2517" spans="1:1" x14ac:dyDescent="0.3">
      <c r="A2517" s="12"/>
    </row>
    <row r="2518" spans="1:1" x14ac:dyDescent="0.3">
      <c r="A2518" s="12"/>
    </row>
    <row r="2519" spans="1:1" x14ac:dyDescent="0.3">
      <c r="A2519" s="12"/>
    </row>
    <row r="2520" spans="1:1" x14ac:dyDescent="0.3">
      <c r="A2520" s="12"/>
    </row>
    <row r="2521" spans="1:1" x14ac:dyDescent="0.3">
      <c r="A2521" s="12"/>
    </row>
    <row r="2522" spans="1:1" x14ac:dyDescent="0.3">
      <c r="A2522" s="12"/>
    </row>
    <row r="2523" spans="1:1" x14ac:dyDescent="0.3">
      <c r="A2523" s="12"/>
    </row>
    <row r="2524" spans="1:1" x14ac:dyDescent="0.3">
      <c r="A2524" s="12"/>
    </row>
    <row r="2525" spans="1:1" x14ac:dyDescent="0.3">
      <c r="A2525" s="12"/>
    </row>
    <row r="2526" spans="1:1" x14ac:dyDescent="0.3">
      <c r="A2526" s="12"/>
    </row>
    <row r="2527" spans="1:1" x14ac:dyDescent="0.3">
      <c r="A2527" s="12"/>
    </row>
    <row r="2528" spans="1:1" x14ac:dyDescent="0.3">
      <c r="A2528" s="12"/>
    </row>
    <row r="2529" spans="1:1" x14ac:dyDescent="0.3">
      <c r="A2529" s="12"/>
    </row>
    <row r="2530" spans="1:1" x14ac:dyDescent="0.3">
      <c r="A2530" s="12"/>
    </row>
    <row r="2531" spans="1:1" x14ac:dyDescent="0.3">
      <c r="A2531" s="12"/>
    </row>
    <row r="2532" spans="1:1" x14ac:dyDescent="0.3">
      <c r="A2532" s="12"/>
    </row>
    <row r="2533" spans="1:1" x14ac:dyDescent="0.3">
      <c r="A2533" s="12"/>
    </row>
    <row r="2534" spans="1:1" x14ac:dyDescent="0.3">
      <c r="A2534" s="12"/>
    </row>
    <row r="2535" spans="1:1" x14ac:dyDescent="0.3">
      <c r="A2535" s="12"/>
    </row>
    <row r="2536" spans="1:1" x14ac:dyDescent="0.3">
      <c r="A2536" s="12"/>
    </row>
    <row r="2537" spans="1:1" x14ac:dyDescent="0.3">
      <c r="A2537" s="12"/>
    </row>
    <row r="2538" spans="1:1" x14ac:dyDescent="0.3">
      <c r="A2538" s="12"/>
    </row>
    <row r="2539" spans="1:1" x14ac:dyDescent="0.3">
      <c r="A2539" s="12"/>
    </row>
    <row r="2540" spans="1:1" x14ac:dyDescent="0.3">
      <c r="A2540" s="12"/>
    </row>
    <row r="2541" spans="1:1" x14ac:dyDescent="0.3">
      <c r="A2541" s="12"/>
    </row>
    <row r="2542" spans="1:1" x14ac:dyDescent="0.3">
      <c r="A2542" s="12"/>
    </row>
    <row r="2543" spans="1:1" x14ac:dyDescent="0.3">
      <c r="A2543" s="12"/>
    </row>
    <row r="2544" spans="1:1" x14ac:dyDescent="0.3">
      <c r="A2544" s="12"/>
    </row>
    <row r="2545" spans="1:1" x14ac:dyDescent="0.3">
      <c r="A2545" s="12"/>
    </row>
    <row r="2546" spans="1:1" x14ac:dyDescent="0.3">
      <c r="A2546" s="12"/>
    </row>
    <row r="2547" spans="1:1" x14ac:dyDescent="0.3">
      <c r="A2547" s="12"/>
    </row>
    <row r="2548" spans="1:1" x14ac:dyDescent="0.3">
      <c r="A2548" s="12"/>
    </row>
    <row r="2549" spans="1:1" x14ac:dyDescent="0.3">
      <c r="A2549" s="12"/>
    </row>
    <row r="2550" spans="1:1" x14ac:dyDescent="0.3">
      <c r="A2550" s="12"/>
    </row>
    <row r="2551" spans="1:1" x14ac:dyDescent="0.3">
      <c r="A2551" s="12"/>
    </row>
    <row r="2552" spans="1:1" x14ac:dyDescent="0.3">
      <c r="A2552" s="12"/>
    </row>
    <row r="2553" spans="1:1" x14ac:dyDescent="0.3">
      <c r="A2553" s="12"/>
    </row>
    <row r="2554" spans="1:1" x14ac:dyDescent="0.3">
      <c r="A2554" s="12"/>
    </row>
    <row r="2555" spans="1:1" x14ac:dyDescent="0.3">
      <c r="A2555" s="12"/>
    </row>
    <row r="2556" spans="1:1" x14ac:dyDescent="0.3">
      <c r="A2556" s="12"/>
    </row>
    <row r="2557" spans="1:1" x14ac:dyDescent="0.3">
      <c r="A2557" s="12"/>
    </row>
    <row r="2558" spans="1:1" x14ac:dyDescent="0.3">
      <c r="A2558" s="12"/>
    </row>
    <row r="2559" spans="1:1" x14ac:dyDescent="0.3">
      <c r="A2559" s="12"/>
    </row>
    <row r="2560" spans="1:1" x14ac:dyDescent="0.3">
      <c r="A2560" s="12"/>
    </row>
    <row r="2561" spans="1:1" x14ac:dyDescent="0.3">
      <c r="A2561" s="12"/>
    </row>
    <row r="2562" spans="1:1" x14ac:dyDescent="0.3">
      <c r="A2562" s="12"/>
    </row>
    <row r="2563" spans="1:1" x14ac:dyDescent="0.3">
      <c r="A2563" s="12"/>
    </row>
    <row r="2564" spans="1:1" x14ac:dyDescent="0.3">
      <c r="A2564" s="12"/>
    </row>
    <row r="2565" spans="1:1" x14ac:dyDescent="0.3">
      <c r="A2565" s="12"/>
    </row>
    <row r="2566" spans="1:1" x14ac:dyDescent="0.3">
      <c r="A2566" s="12"/>
    </row>
    <row r="2567" spans="1:1" x14ac:dyDescent="0.3">
      <c r="A2567" s="12"/>
    </row>
    <row r="2568" spans="1:1" x14ac:dyDescent="0.3">
      <c r="A2568" s="12"/>
    </row>
    <row r="2569" spans="1:1" x14ac:dyDescent="0.3">
      <c r="A2569" s="12"/>
    </row>
    <row r="2570" spans="1:1" x14ac:dyDescent="0.3">
      <c r="A2570" s="12"/>
    </row>
    <row r="2571" spans="1:1" x14ac:dyDescent="0.3">
      <c r="A2571" s="12"/>
    </row>
    <row r="2572" spans="1:1" x14ac:dyDescent="0.3">
      <c r="A2572" s="12"/>
    </row>
    <row r="2573" spans="1:1" x14ac:dyDescent="0.3">
      <c r="A2573" s="12"/>
    </row>
    <row r="2574" spans="1:1" x14ac:dyDescent="0.3">
      <c r="A2574" s="12"/>
    </row>
    <row r="2575" spans="1:1" x14ac:dyDescent="0.3">
      <c r="A2575" s="12"/>
    </row>
    <row r="2576" spans="1:1" x14ac:dyDescent="0.3">
      <c r="A2576" s="12"/>
    </row>
    <row r="2577" spans="1:1" x14ac:dyDescent="0.3">
      <c r="A2577" s="12"/>
    </row>
    <row r="2578" spans="1:1" x14ac:dyDescent="0.3">
      <c r="A2578" s="12"/>
    </row>
    <row r="2579" spans="1:1" x14ac:dyDescent="0.3">
      <c r="A2579" s="12"/>
    </row>
    <row r="2580" spans="1:1" x14ac:dyDescent="0.3">
      <c r="A2580" s="12"/>
    </row>
    <row r="2581" spans="1:1" x14ac:dyDescent="0.3">
      <c r="A2581" s="12"/>
    </row>
    <row r="2582" spans="1:1" x14ac:dyDescent="0.3">
      <c r="A2582" s="12"/>
    </row>
    <row r="2583" spans="1:1" x14ac:dyDescent="0.3">
      <c r="A2583" s="12"/>
    </row>
    <row r="2584" spans="1:1" x14ac:dyDescent="0.3">
      <c r="A2584" s="12"/>
    </row>
    <row r="2585" spans="1:1" x14ac:dyDescent="0.3">
      <c r="A2585" s="12"/>
    </row>
    <row r="2586" spans="1:1" x14ac:dyDescent="0.3">
      <c r="A2586" s="12"/>
    </row>
    <row r="2587" spans="1:1" x14ac:dyDescent="0.3">
      <c r="A2587" s="12"/>
    </row>
    <row r="2588" spans="1:1" x14ac:dyDescent="0.3">
      <c r="A2588" s="12"/>
    </row>
    <row r="2589" spans="1:1" x14ac:dyDescent="0.3">
      <c r="A2589" s="12"/>
    </row>
    <row r="2590" spans="1:1" x14ac:dyDescent="0.3">
      <c r="A2590" s="12"/>
    </row>
    <row r="2591" spans="1:1" x14ac:dyDescent="0.3">
      <c r="A2591" s="12"/>
    </row>
    <row r="2592" spans="1:1" x14ac:dyDescent="0.3">
      <c r="A2592" s="12"/>
    </row>
    <row r="2593" spans="1:1" x14ac:dyDescent="0.3">
      <c r="A2593" s="12"/>
    </row>
    <row r="2594" spans="1:1" x14ac:dyDescent="0.3">
      <c r="A2594" s="12"/>
    </row>
    <row r="2595" spans="1:1" x14ac:dyDescent="0.3">
      <c r="A2595" s="12"/>
    </row>
    <row r="2596" spans="1:1" x14ac:dyDescent="0.3">
      <c r="A2596" s="12"/>
    </row>
    <row r="2597" spans="1:1" x14ac:dyDescent="0.3">
      <c r="A2597" s="12"/>
    </row>
    <row r="2598" spans="1:1" x14ac:dyDescent="0.3">
      <c r="A2598" s="12"/>
    </row>
    <row r="2599" spans="1:1" x14ac:dyDescent="0.3">
      <c r="A2599" s="12"/>
    </row>
    <row r="2600" spans="1:1" x14ac:dyDescent="0.3">
      <c r="A2600" s="12"/>
    </row>
    <row r="2601" spans="1:1" x14ac:dyDescent="0.3">
      <c r="A2601" s="12"/>
    </row>
    <row r="2602" spans="1:1" x14ac:dyDescent="0.3">
      <c r="A2602" s="12"/>
    </row>
    <row r="2603" spans="1:1" x14ac:dyDescent="0.3">
      <c r="A2603" s="12"/>
    </row>
    <row r="2604" spans="1:1" x14ac:dyDescent="0.3">
      <c r="A2604" s="12"/>
    </row>
    <row r="2605" spans="1:1" x14ac:dyDescent="0.3">
      <c r="A2605" s="12"/>
    </row>
    <row r="2606" spans="1:1" x14ac:dyDescent="0.3">
      <c r="A2606" s="12"/>
    </row>
    <row r="2607" spans="1:1" x14ac:dyDescent="0.3">
      <c r="A2607" s="12"/>
    </row>
    <row r="2608" spans="1:1" x14ac:dyDescent="0.3">
      <c r="A2608" s="12"/>
    </row>
    <row r="2609" spans="1:1" x14ac:dyDescent="0.3">
      <c r="A2609" s="12"/>
    </row>
    <row r="2610" spans="1:1" x14ac:dyDescent="0.3">
      <c r="A2610" s="12"/>
    </row>
    <row r="2611" spans="1:1" x14ac:dyDescent="0.3">
      <c r="A2611" s="12"/>
    </row>
    <row r="2612" spans="1:1" x14ac:dyDescent="0.3">
      <c r="A2612" s="12"/>
    </row>
    <row r="2613" spans="1:1" x14ac:dyDescent="0.3">
      <c r="A2613" s="12"/>
    </row>
    <row r="2614" spans="1:1" x14ac:dyDescent="0.3">
      <c r="A2614" s="12"/>
    </row>
    <row r="2615" spans="1:1" x14ac:dyDescent="0.3">
      <c r="A2615" s="12"/>
    </row>
    <row r="2616" spans="1:1" x14ac:dyDescent="0.3">
      <c r="A2616" s="12"/>
    </row>
    <row r="2617" spans="1:1" x14ac:dyDescent="0.3">
      <c r="A2617" s="12"/>
    </row>
    <row r="2618" spans="1:1" x14ac:dyDescent="0.3">
      <c r="A2618" s="12"/>
    </row>
    <row r="2619" spans="1:1" x14ac:dyDescent="0.3">
      <c r="A2619" s="12"/>
    </row>
    <row r="2620" spans="1:1" x14ac:dyDescent="0.3">
      <c r="A2620" s="12"/>
    </row>
    <row r="2621" spans="1:1" x14ac:dyDescent="0.3">
      <c r="A2621" s="12"/>
    </row>
    <row r="2622" spans="1:1" x14ac:dyDescent="0.3">
      <c r="A2622" s="12"/>
    </row>
    <row r="2623" spans="1:1" x14ac:dyDescent="0.3">
      <c r="A2623" s="12"/>
    </row>
    <row r="2624" spans="1:1" x14ac:dyDescent="0.3">
      <c r="A2624" s="12"/>
    </row>
    <row r="2625" spans="1:1" x14ac:dyDescent="0.3">
      <c r="A2625" s="12"/>
    </row>
    <row r="2626" spans="1:1" x14ac:dyDescent="0.3">
      <c r="A2626" s="12"/>
    </row>
    <row r="2627" spans="1:1" x14ac:dyDescent="0.3">
      <c r="A2627" s="12"/>
    </row>
    <row r="2628" spans="1:1" x14ac:dyDescent="0.3">
      <c r="A2628" s="12"/>
    </row>
    <row r="2629" spans="1:1" x14ac:dyDescent="0.3">
      <c r="A2629" s="12"/>
    </row>
    <row r="2630" spans="1:1" x14ac:dyDescent="0.3">
      <c r="A2630" s="12"/>
    </row>
    <row r="2631" spans="1:1" x14ac:dyDescent="0.3">
      <c r="A2631" s="12"/>
    </row>
    <row r="2632" spans="1:1" x14ac:dyDescent="0.3">
      <c r="A2632" s="12"/>
    </row>
    <row r="2633" spans="1:1" x14ac:dyDescent="0.3">
      <c r="A2633" s="12"/>
    </row>
    <row r="2634" spans="1:1" x14ac:dyDescent="0.3">
      <c r="A2634" s="12"/>
    </row>
    <row r="2635" spans="1:1" x14ac:dyDescent="0.3">
      <c r="A2635" s="12"/>
    </row>
    <row r="2636" spans="1:1" x14ac:dyDescent="0.3">
      <c r="A2636" s="12"/>
    </row>
    <row r="2637" spans="1:1" x14ac:dyDescent="0.3">
      <c r="A2637" s="12"/>
    </row>
    <row r="2638" spans="1:1" x14ac:dyDescent="0.3">
      <c r="A2638" s="12"/>
    </row>
    <row r="2639" spans="1:1" x14ac:dyDescent="0.3">
      <c r="A2639" s="12"/>
    </row>
    <row r="2640" spans="1:1" x14ac:dyDescent="0.3">
      <c r="A2640" s="12"/>
    </row>
    <row r="2641" spans="1:1" x14ac:dyDescent="0.3">
      <c r="A2641" s="12"/>
    </row>
    <row r="2642" spans="1:1" x14ac:dyDescent="0.3">
      <c r="A2642" s="12"/>
    </row>
    <row r="2643" spans="1:1" x14ac:dyDescent="0.3">
      <c r="A2643" s="12"/>
    </row>
    <row r="2644" spans="1:1" x14ac:dyDescent="0.3">
      <c r="A2644" s="12"/>
    </row>
    <row r="2645" spans="1:1" x14ac:dyDescent="0.3">
      <c r="A2645" s="12"/>
    </row>
    <row r="2646" spans="1:1" x14ac:dyDescent="0.3">
      <c r="A2646" s="12"/>
    </row>
    <row r="2647" spans="1:1" x14ac:dyDescent="0.3">
      <c r="A2647" s="12"/>
    </row>
    <row r="2648" spans="1:1" x14ac:dyDescent="0.3">
      <c r="A2648" s="12"/>
    </row>
    <row r="2649" spans="1:1" x14ac:dyDescent="0.3">
      <c r="A2649" s="12"/>
    </row>
    <row r="2650" spans="1:1" x14ac:dyDescent="0.3">
      <c r="A2650" s="12"/>
    </row>
    <row r="2651" spans="1:1" x14ac:dyDescent="0.3">
      <c r="A2651" s="12"/>
    </row>
    <row r="2652" spans="1:1" x14ac:dyDescent="0.3">
      <c r="A2652" s="12"/>
    </row>
    <row r="2653" spans="1:1" x14ac:dyDescent="0.3">
      <c r="A2653" s="12"/>
    </row>
    <row r="2654" spans="1:1" x14ac:dyDescent="0.3">
      <c r="A2654" s="12"/>
    </row>
    <row r="2655" spans="1:1" x14ac:dyDescent="0.3">
      <c r="A2655" s="12"/>
    </row>
    <row r="2656" spans="1:1" x14ac:dyDescent="0.3">
      <c r="A2656" s="12"/>
    </row>
    <row r="2657" spans="1:1" x14ac:dyDescent="0.3">
      <c r="A2657" s="12"/>
    </row>
    <row r="2658" spans="1:1" x14ac:dyDescent="0.3">
      <c r="A2658" s="12"/>
    </row>
    <row r="2659" spans="1:1" x14ac:dyDescent="0.3">
      <c r="A2659" s="12"/>
    </row>
    <row r="2660" spans="1:1" x14ac:dyDescent="0.3">
      <c r="A2660" s="12"/>
    </row>
    <row r="2661" spans="1:1" x14ac:dyDescent="0.3">
      <c r="A2661" s="12"/>
    </row>
    <row r="2662" spans="1:1" x14ac:dyDescent="0.3">
      <c r="A2662" s="12"/>
    </row>
    <row r="2663" spans="1:1" x14ac:dyDescent="0.3">
      <c r="A2663" s="12"/>
    </row>
    <row r="2664" spans="1:1" x14ac:dyDescent="0.3">
      <c r="A2664" s="12"/>
    </row>
    <row r="2665" spans="1:1" x14ac:dyDescent="0.3">
      <c r="A2665" s="12"/>
    </row>
    <row r="2666" spans="1:1" x14ac:dyDescent="0.3">
      <c r="A2666" s="12"/>
    </row>
    <row r="2667" spans="1:1" x14ac:dyDescent="0.3">
      <c r="A2667" s="12"/>
    </row>
    <row r="2668" spans="1:1" x14ac:dyDescent="0.3">
      <c r="A2668" s="12"/>
    </row>
    <row r="2669" spans="1:1" x14ac:dyDescent="0.3">
      <c r="A2669" s="12"/>
    </row>
    <row r="2670" spans="1:1" x14ac:dyDescent="0.3">
      <c r="A2670" s="12"/>
    </row>
    <row r="2671" spans="1:1" x14ac:dyDescent="0.3">
      <c r="A2671" s="12"/>
    </row>
    <row r="2672" spans="1:1" x14ac:dyDescent="0.3">
      <c r="A2672" s="12"/>
    </row>
    <row r="2673" spans="1:1" x14ac:dyDescent="0.3">
      <c r="A2673" s="12"/>
    </row>
    <row r="2674" spans="1:1" x14ac:dyDescent="0.3">
      <c r="A2674" s="12"/>
    </row>
    <row r="2675" spans="1:1" x14ac:dyDescent="0.3">
      <c r="A2675" s="12"/>
    </row>
    <row r="2676" spans="1:1" x14ac:dyDescent="0.3">
      <c r="A2676" s="12"/>
    </row>
    <row r="2677" spans="1:1" x14ac:dyDescent="0.3">
      <c r="A2677" s="12"/>
    </row>
    <row r="2678" spans="1:1" x14ac:dyDescent="0.3">
      <c r="A2678" s="12"/>
    </row>
    <row r="2679" spans="1:1" x14ac:dyDescent="0.3">
      <c r="A2679" s="12"/>
    </row>
    <row r="2680" spans="1:1" x14ac:dyDescent="0.3">
      <c r="A2680" s="12"/>
    </row>
    <row r="2681" spans="1:1" x14ac:dyDescent="0.3">
      <c r="A2681" s="12"/>
    </row>
    <row r="2682" spans="1:1" x14ac:dyDescent="0.3">
      <c r="A2682" s="12"/>
    </row>
    <row r="2683" spans="1:1" x14ac:dyDescent="0.3">
      <c r="A2683" s="12"/>
    </row>
    <row r="2684" spans="1:1" x14ac:dyDescent="0.3">
      <c r="A2684" s="12"/>
    </row>
    <row r="2685" spans="1:1" x14ac:dyDescent="0.3">
      <c r="A2685" s="12"/>
    </row>
    <row r="2686" spans="1:1" x14ac:dyDescent="0.3">
      <c r="A2686" s="12"/>
    </row>
    <row r="2687" spans="1:1" x14ac:dyDescent="0.3">
      <c r="A2687" s="12"/>
    </row>
    <row r="2688" spans="1:1" x14ac:dyDescent="0.3">
      <c r="A2688" s="12"/>
    </row>
    <row r="2689" spans="1:1" x14ac:dyDescent="0.3">
      <c r="A2689" s="12"/>
    </row>
    <row r="2690" spans="1:1" x14ac:dyDescent="0.3">
      <c r="A2690" s="12"/>
    </row>
    <row r="2691" spans="1:1" x14ac:dyDescent="0.3">
      <c r="A2691" s="12"/>
    </row>
    <row r="2692" spans="1:1" x14ac:dyDescent="0.3">
      <c r="A2692" s="12"/>
    </row>
    <row r="2693" spans="1:1" x14ac:dyDescent="0.3">
      <c r="A2693" s="12"/>
    </row>
    <row r="2694" spans="1:1" x14ac:dyDescent="0.3">
      <c r="A2694" s="12"/>
    </row>
    <row r="2695" spans="1:1" x14ac:dyDescent="0.3">
      <c r="A2695" s="12"/>
    </row>
    <row r="2696" spans="1:1" x14ac:dyDescent="0.3">
      <c r="A2696" s="12"/>
    </row>
    <row r="2697" spans="1:1" x14ac:dyDescent="0.3">
      <c r="A2697" s="12"/>
    </row>
    <row r="2698" spans="1:1" x14ac:dyDescent="0.3">
      <c r="A2698" s="12"/>
    </row>
    <row r="2699" spans="1:1" x14ac:dyDescent="0.3">
      <c r="A2699" s="12"/>
    </row>
    <row r="2700" spans="1:1" x14ac:dyDescent="0.3">
      <c r="A2700" s="12"/>
    </row>
    <row r="2701" spans="1:1" x14ac:dyDescent="0.3">
      <c r="A2701" s="12"/>
    </row>
    <row r="2702" spans="1:1" x14ac:dyDescent="0.3">
      <c r="A2702" s="12"/>
    </row>
    <row r="2703" spans="1:1" x14ac:dyDescent="0.3">
      <c r="A2703" s="12"/>
    </row>
    <row r="2704" spans="1:1" x14ac:dyDescent="0.3">
      <c r="A2704" s="12"/>
    </row>
    <row r="2705" spans="1:1" x14ac:dyDescent="0.3">
      <c r="A2705" s="12"/>
    </row>
    <row r="2706" spans="1:1" x14ac:dyDescent="0.3">
      <c r="A2706" s="12"/>
    </row>
    <row r="2707" spans="1:1" x14ac:dyDescent="0.3">
      <c r="A2707" s="12"/>
    </row>
    <row r="2708" spans="1:1" x14ac:dyDescent="0.3">
      <c r="A2708" s="12"/>
    </row>
    <row r="2709" spans="1:1" x14ac:dyDescent="0.3">
      <c r="A2709" s="12"/>
    </row>
    <row r="2710" spans="1:1" x14ac:dyDescent="0.3">
      <c r="A2710" s="12"/>
    </row>
    <row r="2711" spans="1:1" x14ac:dyDescent="0.3">
      <c r="A2711" s="12"/>
    </row>
    <row r="2712" spans="1:1" x14ac:dyDescent="0.3">
      <c r="A2712" s="12"/>
    </row>
    <row r="2713" spans="1:1" x14ac:dyDescent="0.3">
      <c r="A2713" s="12"/>
    </row>
    <row r="2714" spans="1:1" x14ac:dyDescent="0.3">
      <c r="A2714" s="12"/>
    </row>
    <row r="2715" spans="1:1" x14ac:dyDescent="0.3">
      <c r="A2715" s="12"/>
    </row>
    <row r="2716" spans="1:1" x14ac:dyDescent="0.3">
      <c r="A2716" s="12"/>
    </row>
    <row r="2717" spans="1:1" x14ac:dyDescent="0.3">
      <c r="A2717" s="12"/>
    </row>
    <row r="2718" spans="1:1" x14ac:dyDescent="0.3">
      <c r="A2718" s="12"/>
    </row>
    <row r="2719" spans="1:1" x14ac:dyDescent="0.3">
      <c r="A2719" s="12"/>
    </row>
    <row r="2720" spans="1:1" x14ac:dyDescent="0.3">
      <c r="A2720" s="12"/>
    </row>
    <row r="2721" spans="1:1" x14ac:dyDescent="0.3">
      <c r="A2721" s="12"/>
    </row>
    <row r="2722" spans="1:1" x14ac:dyDescent="0.3">
      <c r="A2722" s="12"/>
    </row>
    <row r="2723" spans="1:1" x14ac:dyDescent="0.3">
      <c r="A2723" s="12"/>
    </row>
    <row r="2724" spans="1:1" x14ac:dyDescent="0.3">
      <c r="A2724" s="12"/>
    </row>
    <row r="2725" spans="1:1" x14ac:dyDescent="0.3">
      <c r="A2725" s="12"/>
    </row>
    <row r="2726" spans="1:1" x14ac:dyDescent="0.3">
      <c r="A2726" s="12"/>
    </row>
    <row r="2727" spans="1:1" x14ac:dyDescent="0.3">
      <c r="A2727" s="12"/>
    </row>
    <row r="2728" spans="1:1" x14ac:dyDescent="0.3">
      <c r="A2728" s="12"/>
    </row>
    <row r="2729" spans="1:1" x14ac:dyDescent="0.3">
      <c r="A2729" s="12"/>
    </row>
    <row r="2730" spans="1:1" x14ac:dyDescent="0.3">
      <c r="A2730" s="12"/>
    </row>
    <row r="2731" spans="1:1" x14ac:dyDescent="0.3">
      <c r="A2731" s="12"/>
    </row>
    <row r="2732" spans="1:1" x14ac:dyDescent="0.3">
      <c r="A2732" s="12"/>
    </row>
    <row r="2733" spans="1:1" x14ac:dyDescent="0.3">
      <c r="A2733" s="12"/>
    </row>
    <row r="2734" spans="1:1" x14ac:dyDescent="0.3">
      <c r="A2734" s="12"/>
    </row>
    <row r="2735" spans="1:1" x14ac:dyDescent="0.3">
      <c r="A2735" s="12"/>
    </row>
    <row r="2736" spans="1:1" x14ac:dyDescent="0.3">
      <c r="A2736" s="12"/>
    </row>
    <row r="2737" spans="1:1" x14ac:dyDescent="0.3">
      <c r="A2737" s="12"/>
    </row>
    <row r="2738" spans="1:1" x14ac:dyDescent="0.3">
      <c r="A2738" s="12"/>
    </row>
    <row r="2739" spans="1:1" x14ac:dyDescent="0.3">
      <c r="A2739" s="12"/>
    </row>
    <row r="2740" spans="1:1" x14ac:dyDescent="0.3">
      <c r="A2740" s="12"/>
    </row>
    <row r="2741" spans="1:1" x14ac:dyDescent="0.3">
      <c r="A2741" s="12"/>
    </row>
    <row r="2742" spans="1:1" x14ac:dyDescent="0.3">
      <c r="A2742" s="12"/>
    </row>
    <row r="2743" spans="1:1" x14ac:dyDescent="0.3">
      <c r="A2743" s="12"/>
    </row>
    <row r="2744" spans="1:1" x14ac:dyDescent="0.3">
      <c r="A2744" s="12"/>
    </row>
    <row r="2745" spans="1:1" x14ac:dyDescent="0.3">
      <c r="A2745" s="12"/>
    </row>
    <row r="2746" spans="1:1" x14ac:dyDescent="0.3">
      <c r="A2746" s="12"/>
    </row>
    <row r="2747" spans="1:1" x14ac:dyDescent="0.3">
      <c r="A2747" s="12"/>
    </row>
    <row r="2748" spans="1:1" x14ac:dyDescent="0.3">
      <c r="A2748" s="12"/>
    </row>
    <row r="2749" spans="1:1" x14ac:dyDescent="0.3">
      <c r="A2749" s="12"/>
    </row>
    <row r="2750" spans="1:1" x14ac:dyDescent="0.3">
      <c r="A2750" s="12"/>
    </row>
    <row r="2751" spans="1:1" x14ac:dyDescent="0.3">
      <c r="A2751" s="12"/>
    </row>
    <row r="2752" spans="1:1" x14ac:dyDescent="0.3">
      <c r="A2752" s="12"/>
    </row>
    <row r="2753" spans="1:1" x14ac:dyDescent="0.3">
      <c r="A2753" s="12"/>
    </row>
    <row r="2754" spans="1:1" x14ac:dyDescent="0.3">
      <c r="A2754" s="12"/>
    </row>
    <row r="2755" spans="1:1" x14ac:dyDescent="0.3">
      <c r="A2755" s="12"/>
    </row>
    <row r="2756" spans="1:1" x14ac:dyDescent="0.3">
      <c r="A2756" s="12"/>
    </row>
    <row r="2757" spans="1:1" x14ac:dyDescent="0.3">
      <c r="A2757" s="12"/>
    </row>
    <row r="2758" spans="1:1" x14ac:dyDescent="0.3">
      <c r="A2758" s="12"/>
    </row>
    <row r="2759" spans="1:1" x14ac:dyDescent="0.3">
      <c r="A2759" s="12"/>
    </row>
    <row r="2760" spans="1:1" x14ac:dyDescent="0.3">
      <c r="A2760" s="12"/>
    </row>
    <row r="2761" spans="1:1" x14ac:dyDescent="0.3">
      <c r="A2761" s="12"/>
    </row>
    <row r="2762" spans="1:1" x14ac:dyDescent="0.3">
      <c r="A2762" s="12"/>
    </row>
    <row r="2763" spans="1:1" x14ac:dyDescent="0.3">
      <c r="A2763" s="12"/>
    </row>
    <row r="2764" spans="1:1" x14ac:dyDescent="0.3">
      <c r="A2764" s="12"/>
    </row>
    <row r="2765" spans="1:1" x14ac:dyDescent="0.3">
      <c r="A2765" s="12"/>
    </row>
    <row r="2766" spans="1:1" x14ac:dyDescent="0.3">
      <c r="A2766" s="12"/>
    </row>
    <row r="2767" spans="1:1" x14ac:dyDescent="0.3">
      <c r="A2767" s="12"/>
    </row>
    <row r="2768" spans="1:1" x14ac:dyDescent="0.3">
      <c r="A2768" s="12"/>
    </row>
    <row r="2769" spans="1:1" x14ac:dyDescent="0.3">
      <c r="A2769" s="12"/>
    </row>
    <row r="2770" spans="1:1" x14ac:dyDescent="0.3">
      <c r="A2770" s="12"/>
    </row>
    <row r="2771" spans="1:1" x14ac:dyDescent="0.3">
      <c r="A2771" s="12"/>
    </row>
    <row r="2772" spans="1:1" x14ac:dyDescent="0.3">
      <c r="A2772" s="12"/>
    </row>
    <row r="2773" spans="1:1" x14ac:dyDescent="0.3">
      <c r="A2773" s="12"/>
    </row>
    <row r="2774" spans="1:1" x14ac:dyDescent="0.3">
      <c r="A2774" s="12"/>
    </row>
    <row r="2775" spans="1:1" x14ac:dyDescent="0.3">
      <c r="A2775" s="12"/>
    </row>
    <row r="2776" spans="1:1" x14ac:dyDescent="0.3">
      <c r="A2776" s="12"/>
    </row>
    <row r="2777" spans="1:1" x14ac:dyDescent="0.3">
      <c r="A2777" s="12"/>
    </row>
    <row r="2778" spans="1:1" x14ac:dyDescent="0.3">
      <c r="A2778" s="12"/>
    </row>
    <row r="2779" spans="1:1" x14ac:dyDescent="0.3">
      <c r="A2779" s="12"/>
    </row>
    <row r="2780" spans="1:1" x14ac:dyDescent="0.3">
      <c r="A2780" s="12"/>
    </row>
    <row r="2781" spans="1:1" x14ac:dyDescent="0.3">
      <c r="A2781" s="12"/>
    </row>
    <row r="2782" spans="1:1" x14ac:dyDescent="0.3">
      <c r="A2782" s="12"/>
    </row>
    <row r="2783" spans="1:1" x14ac:dyDescent="0.3">
      <c r="A2783" s="12"/>
    </row>
    <row r="2784" spans="1:1" x14ac:dyDescent="0.3">
      <c r="A2784" s="12"/>
    </row>
    <row r="2785" spans="1:1" x14ac:dyDescent="0.3">
      <c r="A2785" s="12"/>
    </row>
    <row r="2786" spans="1:1" x14ac:dyDescent="0.3">
      <c r="A2786" s="12"/>
    </row>
    <row r="2787" spans="1:1" x14ac:dyDescent="0.3">
      <c r="A2787" s="12"/>
    </row>
    <row r="2788" spans="1:1" x14ac:dyDescent="0.3">
      <c r="A2788" s="12"/>
    </row>
    <row r="2789" spans="1:1" x14ac:dyDescent="0.3">
      <c r="A2789" s="12"/>
    </row>
    <row r="2790" spans="1:1" x14ac:dyDescent="0.3">
      <c r="A2790" s="12"/>
    </row>
    <row r="2791" spans="1:1" x14ac:dyDescent="0.3">
      <c r="A2791" s="12"/>
    </row>
    <row r="2792" spans="1:1" x14ac:dyDescent="0.3">
      <c r="A2792" s="12"/>
    </row>
    <row r="2793" spans="1:1" x14ac:dyDescent="0.3">
      <c r="A2793" s="12"/>
    </row>
    <row r="2794" spans="1:1" x14ac:dyDescent="0.3">
      <c r="A2794" s="12"/>
    </row>
    <row r="2795" spans="1:1" x14ac:dyDescent="0.3">
      <c r="A2795" s="12"/>
    </row>
    <row r="2796" spans="1:1" x14ac:dyDescent="0.3">
      <c r="A2796" s="12"/>
    </row>
    <row r="2797" spans="1:1" x14ac:dyDescent="0.3">
      <c r="A2797" s="12"/>
    </row>
    <row r="2798" spans="1:1" x14ac:dyDescent="0.3">
      <c r="A2798" s="12"/>
    </row>
    <row r="2799" spans="1:1" x14ac:dyDescent="0.3">
      <c r="A2799" s="12"/>
    </row>
    <row r="2800" spans="1:1" x14ac:dyDescent="0.3">
      <c r="A2800" s="12"/>
    </row>
    <row r="2801" spans="1:1" x14ac:dyDescent="0.3">
      <c r="A2801" s="12"/>
    </row>
    <row r="2802" spans="1:1" x14ac:dyDescent="0.3">
      <c r="A2802" s="12"/>
    </row>
    <row r="2803" spans="1:1" x14ac:dyDescent="0.3">
      <c r="A2803" s="12"/>
    </row>
    <row r="2804" spans="1:1" x14ac:dyDescent="0.3">
      <c r="A2804" s="12"/>
    </row>
    <row r="2805" spans="1:1" x14ac:dyDescent="0.3">
      <c r="A2805" s="12"/>
    </row>
    <row r="2806" spans="1:1" x14ac:dyDescent="0.3">
      <c r="A2806" s="12"/>
    </row>
    <row r="2807" spans="1:1" x14ac:dyDescent="0.3">
      <c r="A2807" s="12"/>
    </row>
    <row r="2808" spans="1:1" x14ac:dyDescent="0.3">
      <c r="A2808" s="12"/>
    </row>
    <row r="2809" spans="1:1" x14ac:dyDescent="0.3">
      <c r="A2809" s="12"/>
    </row>
    <row r="2810" spans="1:1" x14ac:dyDescent="0.3">
      <c r="A2810" s="12"/>
    </row>
    <row r="2811" spans="1:1" x14ac:dyDescent="0.3">
      <c r="A2811" s="12"/>
    </row>
    <row r="2812" spans="1:1" x14ac:dyDescent="0.3">
      <c r="A2812" s="12"/>
    </row>
    <row r="2813" spans="1:1" x14ac:dyDescent="0.3">
      <c r="A2813" s="12"/>
    </row>
    <row r="2814" spans="1:1" x14ac:dyDescent="0.3">
      <c r="A2814" s="12"/>
    </row>
    <row r="2815" spans="1:1" x14ac:dyDescent="0.3">
      <c r="A2815" s="12"/>
    </row>
    <row r="2816" spans="1:1" x14ac:dyDescent="0.3">
      <c r="A2816" s="12"/>
    </row>
    <row r="2817" spans="1:1" x14ac:dyDescent="0.3">
      <c r="A2817" s="12"/>
    </row>
    <row r="2818" spans="1:1" x14ac:dyDescent="0.3">
      <c r="A2818" s="12"/>
    </row>
    <row r="2819" spans="1:1" x14ac:dyDescent="0.3">
      <c r="A2819" s="12"/>
    </row>
    <row r="2820" spans="1:1" x14ac:dyDescent="0.3">
      <c r="A2820" s="12"/>
    </row>
    <row r="2821" spans="1:1" x14ac:dyDescent="0.3">
      <c r="A2821" s="12"/>
    </row>
    <row r="2822" spans="1:1" x14ac:dyDescent="0.3">
      <c r="A2822" s="12"/>
    </row>
    <row r="2823" spans="1:1" x14ac:dyDescent="0.3">
      <c r="A2823" s="12"/>
    </row>
    <row r="2824" spans="1:1" x14ac:dyDescent="0.3">
      <c r="A2824" s="12"/>
    </row>
    <row r="2825" spans="1:1" x14ac:dyDescent="0.3">
      <c r="A2825" s="12"/>
    </row>
    <row r="2826" spans="1:1" x14ac:dyDescent="0.3">
      <c r="A2826" s="12"/>
    </row>
    <row r="2827" spans="1:1" x14ac:dyDescent="0.3">
      <c r="A2827" s="12"/>
    </row>
    <row r="2828" spans="1:1" x14ac:dyDescent="0.3">
      <c r="A2828" s="12"/>
    </row>
    <row r="2829" spans="1:1" x14ac:dyDescent="0.3">
      <c r="A2829" s="12"/>
    </row>
    <row r="2830" spans="1:1" x14ac:dyDescent="0.3">
      <c r="A2830" s="12"/>
    </row>
    <row r="2831" spans="1:1" x14ac:dyDescent="0.3">
      <c r="A2831" s="12"/>
    </row>
    <row r="2832" spans="1:1" x14ac:dyDescent="0.3">
      <c r="A2832" s="12"/>
    </row>
    <row r="2833" spans="1:1" x14ac:dyDescent="0.3">
      <c r="A2833" s="12"/>
    </row>
    <row r="2834" spans="1:1" x14ac:dyDescent="0.3">
      <c r="A2834" s="12"/>
    </row>
    <row r="2835" spans="1:1" x14ac:dyDescent="0.3">
      <c r="A2835" s="12"/>
    </row>
    <row r="2836" spans="1:1" x14ac:dyDescent="0.3">
      <c r="A2836" s="12"/>
    </row>
    <row r="2837" spans="1:1" x14ac:dyDescent="0.3">
      <c r="A2837" s="12"/>
    </row>
    <row r="2838" spans="1:1" x14ac:dyDescent="0.3">
      <c r="A2838" s="12"/>
    </row>
    <row r="2839" spans="1:1" x14ac:dyDescent="0.3">
      <c r="A2839" s="12"/>
    </row>
    <row r="2840" spans="1:1" x14ac:dyDescent="0.3">
      <c r="A2840" s="12"/>
    </row>
    <row r="2841" spans="1:1" x14ac:dyDescent="0.3">
      <c r="A2841" s="12"/>
    </row>
    <row r="2842" spans="1:1" x14ac:dyDescent="0.3">
      <c r="A2842" s="12"/>
    </row>
    <row r="2843" spans="1:1" x14ac:dyDescent="0.3">
      <c r="A2843" s="12"/>
    </row>
    <row r="2844" spans="1:1" x14ac:dyDescent="0.3">
      <c r="A2844" s="12"/>
    </row>
    <row r="2845" spans="1:1" x14ac:dyDescent="0.3">
      <c r="A2845" s="12"/>
    </row>
    <row r="2846" spans="1:1" x14ac:dyDescent="0.3">
      <c r="A2846" s="12"/>
    </row>
    <row r="2847" spans="1:1" x14ac:dyDescent="0.3">
      <c r="A2847" s="12"/>
    </row>
    <row r="2848" spans="1:1" x14ac:dyDescent="0.3">
      <c r="A2848" s="12"/>
    </row>
    <row r="2849" spans="1:1" x14ac:dyDescent="0.3">
      <c r="A2849" s="12"/>
    </row>
    <row r="2850" spans="1:1" x14ac:dyDescent="0.3">
      <c r="A2850" s="12"/>
    </row>
    <row r="2851" spans="1:1" x14ac:dyDescent="0.3">
      <c r="A2851" s="12"/>
    </row>
    <row r="2852" spans="1:1" x14ac:dyDescent="0.3">
      <c r="A2852" s="12"/>
    </row>
    <row r="2853" spans="1:1" x14ac:dyDescent="0.3">
      <c r="A2853" s="12"/>
    </row>
    <row r="2854" spans="1:1" x14ac:dyDescent="0.3">
      <c r="A2854" s="12"/>
    </row>
    <row r="2855" spans="1:1" x14ac:dyDescent="0.3">
      <c r="A2855" s="12"/>
    </row>
    <row r="2856" spans="1:1" x14ac:dyDescent="0.3">
      <c r="A2856" s="12"/>
    </row>
    <row r="2857" spans="1:1" x14ac:dyDescent="0.3">
      <c r="A2857" s="12"/>
    </row>
    <row r="2858" spans="1:1" x14ac:dyDescent="0.3">
      <c r="A2858" s="12"/>
    </row>
    <row r="2859" spans="1:1" x14ac:dyDescent="0.3">
      <c r="A2859" s="12"/>
    </row>
    <row r="2860" spans="1:1" x14ac:dyDescent="0.3">
      <c r="A2860" s="12"/>
    </row>
    <row r="2861" spans="1:1" x14ac:dyDescent="0.3">
      <c r="A2861" s="12"/>
    </row>
    <row r="2862" spans="1:1" x14ac:dyDescent="0.3">
      <c r="A2862" s="12"/>
    </row>
    <row r="2863" spans="1:1" x14ac:dyDescent="0.3">
      <c r="A2863" s="12"/>
    </row>
    <row r="2864" spans="1:1" x14ac:dyDescent="0.3">
      <c r="A2864" s="12"/>
    </row>
    <row r="2865" spans="1:1" x14ac:dyDescent="0.3">
      <c r="A2865" s="12"/>
    </row>
    <row r="2866" spans="1:1" x14ac:dyDescent="0.3">
      <c r="A2866" s="12"/>
    </row>
    <row r="2867" spans="1:1" x14ac:dyDescent="0.3">
      <c r="A2867" s="12"/>
    </row>
    <row r="2868" spans="1:1" x14ac:dyDescent="0.3">
      <c r="A2868" s="12"/>
    </row>
    <row r="2869" spans="1:1" x14ac:dyDescent="0.3">
      <c r="A2869" s="12"/>
    </row>
    <row r="2870" spans="1:1" x14ac:dyDescent="0.3">
      <c r="A2870" s="12"/>
    </row>
    <row r="2871" spans="1:1" x14ac:dyDescent="0.3">
      <c r="A2871" s="12"/>
    </row>
    <row r="2872" spans="1:1" x14ac:dyDescent="0.3">
      <c r="A2872" s="12"/>
    </row>
    <row r="2873" spans="1:1" x14ac:dyDescent="0.3">
      <c r="A2873" s="12"/>
    </row>
    <row r="2874" spans="1:1" x14ac:dyDescent="0.3">
      <c r="A2874" s="12"/>
    </row>
    <row r="2875" spans="1:1" x14ac:dyDescent="0.3">
      <c r="A2875" s="12"/>
    </row>
    <row r="2876" spans="1:1" x14ac:dyDescent="0.3">
      <c r="A2876" s="12"/>
    </row>
    <row r="2877" spans="1:1" x14ac:dyDescent="0.3">
      <c r="A2877" s="12"/>
    </row>
    <row r="2878" spans="1:1" x14ac:dyDescent="0.3">
      <c r="A2878" s="12"/>
    </row>
    <row r="2879" spans="1:1" x14ac:dyDescent="0.3">
      <c r="A2879" s="12"/>
    </row>
    <row r="2880" spans="1:1" x14ac:dyDescent="0.3">
      <c r="A2880" s="12"/>
    </row>
    <row r="2881" spans="1:1" x14ac:dyDescent="0.3">
      <c r="A2881" s="12"/>
    </row>
    <row r="2882" spans="1:1" x14ac:dyDescent="0.3">
      <c r="A2882" s="12"/>
    </row>
    <row r="2883" spans="1:1" x14ac:dyDescent="0.3">
      <c r="A2883" s="12"/>
    </row>
    <row r="2884" spans="1:1" x14ac:dyDescent="0.3">
      <c r="A2884" s="12"/>
    </row>
    <row r="2885" spans="1:1" x14ac:dyDescent="0.3">
      <c r="A2885" s="12"/>
    </row>
    <row r="2886" spans="1:1" x14ac:dyDescent="0.3">
      <c r="A2886" s="12"/>
    </row>
    <row r="2887" spans="1:1" x14ac:dyDescent="0.3">
      <c r="A2887" s="12"/>
    </row>
    <row r="2888" spans="1:1" x14ac:dyDescent="0.3">
      <c r="A2888" s="12"/>
    </row>
    <row r="2889" spans="1:1" x14ac:dyDescent="0.3">
      <c r="A2889" s="12"/>
    </row>
    <row r="2890" spans="1:1" x14ac:dyDescent="0.3">
      <c r="A2890" s="12"/>
    </row>
    <row r="2891" spans="1:1" x14ac:dyDescent="0.3">
      <c r="A2891" s="12"/>
    </row>
    <row r="2892" spans="1:1" x14ac:dyDescent="0.3">
      <c r="A2892" s="12"/>
    </row>
    <row r="2893" spans="1:1" x14ac:dyDescent="0.3">
      <c r="A2893" s="12"/>
    </row>
    <row r="2894" spans="1:1" x14ac:dyDescent="0.3">
      <c r="A2894" s="12"/>
    </row>
    <row r="2895" spans="1:1" x14ac:dyDescent="0.3">
      <c r="A2895" s="12"/>
    </row>
    <row r="2896" spans="1:1" x14ac:dyDescent="0.3">
      <c r="A2896" s="12"/>
    </row>
    <row r="2897" spans="1:1" x14ac:dyDescent="0.3">
      <c r="A2897" s="12"/>
    </row>
    <row r="2898" spans="1:1" x14ac:dyDescent="0.3">
      <c r="A2898" s="12"/>
    </row>
    <row r="2899" spans="1:1" x14ac:dyDescent="0.3">
      <c r="A2899" s="12"/>
    </row>
    <row r="2900" spans="1:1" x14ac:dyDescent="0.3">
      <c r="A2900" s="12"/>
    </row>
    <row r="2901" spans="1:1" x14ac:dyDescent="0.3">
      <c r="A2901" s="12"/>
    </row>
    <row r="2902" spans="1:1" x14ac:dyDescent="0.3">
      <c r="A2902" s="12"/>
    </row>
    <row r="2903" spans="1:1" x14ac:dyDescent="0.3">
      <c r="A2903" s="12"/>
    </row>
    <row r="2904" spans="1:1" x14ac:dyDescent="0.3">
      <c r="A2904" s="12"/>
    </row>
    <row r="2905" spans="1:1" x14ac:dyDescent="0.3">
      <c r="A2905" s="12"/>
    </row>
    <row r="2906" spans="1:1" x14ac:dyDescent="0.3">
      <c r="A2906" s="12"/>
    </row>
    <row r="2907" spans="1:1" x14ac:dyDescent="0.3">
      <c r="A2907" s="12"/>
    </row>
    <row r="2908" spans="1:1" x14ac:dyDescent="0.3">
      <c r="A2908" s="12"/>
    </row>
    <row r="2909" spans="1:1" x14ac:dyDescent="0.3">
      <c r="A2909" s="12"/>
    </row>
    <row r="2910" spans="1:1" x14ac:dyDescent="0.3">
      <c r="A2910" s="12"/>
    </row>
    <row r="2911" spans="1:1" x14ac:dyDescent="0.3">
      <c r="A2911" s="12"/>
    </row>
    <row r="2912" spans="1:1" x14ac:dyDescent="0.3">
      <c r="A2912" s="12"/>
    </row>
    <row r="2913" spans="1:1" x14ac:dyDescent="0.3">
      <c r="A2913" s="12"/>
    </row>
    <row r="2914" spans="1:1" x14ac:dyDescent="0.3">
      <c r="A2914" s="12"/>
    </row>
    <row r="2915" spans="1:1" x14ac:dyDescent="0.3">
      <c r="A2915" s="12"/>
    </row>
    <row r="2916" spans="1:1" x14ac:dyDescent="0.3">
      <c r="A2916" s="12"/>
    </row>
    <row r="2917" spans="1:1" x14ac:dyDescent="0.3">
      <c r="A2917" s="12"/>
    </row>
    <row r="2918" spans="1:1" x14ac:dyDescent="0.3">
      <c r="A2918" s="12"/>
    </row>
    <row r="2919" spans="1:1" x14ac:dyDescent="0.3">
      <c r="A2919" s="12"/>
    </row>
    <row r="2920" spans="1:1" x14ac:dyDescent="0.3">
      <c r="A2920" s="12"/>
    </row>
    <row r="2921" spans="1:1" x14ac:dyDescent="0.3">
      <c r="A2921" s="12"/>
    </row>
    <row r="2922" spans="1:1" x14ac:dyDescent="0.3">
      <c r="A2922" s="12"/>
    </row>
    <row r="2923" spans="1:1" x14ac:dyDescent="0.3">
      <c r="A2923" s="12"/>
    </row>
    <row r="2924" spans="1:1" x14ac:dyDescent="0.3">
      <c r="A2924" s="12"/>
    </row>
    <row r="2925" spans="1:1" x14ac:dyDescent="0.3">
      <c r="A2925" s="12"/>
    </row>
    <row r="2926" spans="1:1" x14ac:dyDescent="0.3">
      <c r="A2926" s="12"/>
    </row>
    <row r="2927" spans="1:1" x14ac:dyDescent="0.3">
      <c r="A2927" s="12"/>
    </row>
    <row r="2928" spans="1:1" x14ac:dyDescent="0.3">
      <c r="A2928" s="12"/>
    </row>
    <row r="2929" spans="1:1" x14ac:dyDescent="0.3">
      <c r="A2929" s="12"/>
    </row>
    <row r="2930" spans="1:1" x14ac:dyDescent="0.3">
      <c r="A2930" s="12"/>
    </row>
    <row r="2931" spans="1:1" x14ac:dyDescent="0.3">
      <c r="A2931" s="12"/>
    </row>
    <row r="2932" spans="1:1" x14ac:dyDescent="0.3">
      <c r="A2932" s="12"/>
    </row>
    <row r="2933" spans="1:1" x14ac:dyDescent="0.3">
      <c r="A2933" s="12"/>
    </row>
    <row r="2934" spans="1:1" x14ac:dyDescent="0.3">
      <c r="A2934" s="12"/>
    </row>
    <row r="2935" spans="1:1" x14ac:dyDescent="0.3">
      <c r="A2935" s="12"/>
    </row>
    <row r="2936" spans="1:1" x14ac:dyDescent="0.3">
      <c r="A2936" s="12"/>
    </row>
    <row r="2937" spans="1:1" x14ac:dyDescent="0.3">
      <c r="A2937" s="12"/>
    </row>
    <row r="2938" spans="1:1" x14ac:dyDescent="0.3">
      <c r="A2938" s="12"/>
    </row>
    <row r="2939" spans="1:1" x14ac:dyDescent="0.3">
      <c r="A2939" s="12"/>
    </row>
    <row r="2940" spans="1:1" x14ac:dyDescent="0.3">
      <c r="A2940" s="12"/>
    </row>
    <row r="2941" spans="1:1" x14ac:dyDescent="0.3">
      <c r="A2941" s="12"/>
    </row>
    <row r="2942" spans="1:1" x14ac:dyDescent="0.3">
      <c r="A2942" s="12"/>
    </row>
    <row r="2943" spans="1:1" x14ac:dyDescent="0.3">
      <c r="A2943" s="12"/>
    </row>
    <row r="2944" spans="1:1" x14ac:dyDescent="0.3">
      <c r="A2944" s="12"/>
    </row>
    <row r="2945" spans="1:1" x14ac:dyDescent="0.3">
      <c r="A2945" s="12"/>
    </row>
    <row r="2946" spans="1:1" x14ac:dyDescent="0.3">
      <c r="A2946" s="12"/>
    </row>
    <row r="2947" spans="1:1" x14ac:dyDescent="0.3">
      <c r="A2947" s="12"/>
    </row>
    <row r="2948" spans="1:1" x14ac:dyDescent="0.3">
      <c r="A2948" s="12"/>
    </row>
    <row r="2949" spans="1:1" x14ac:dyDescent="0.3">
      <c r="A2949" s="12"/>
    </row>
    <row r="2950" spans="1:1" x14ac:dyDescent="0.3">
      <c r="A2950" s="12"/>
    </row>
    <row r="2951" spans="1:1" x14ac:dyDescent="0.3">
      <c r="A2951" s="12"/>
    </row>
    <row r="2952" spans="1:1" x14ac:dyDescent="0.3">
      <c r="A2952" s="12"/>
    </row>
    <row r="2953" spans="1:1" x14ac:dyDescent="0.3">
      <c r="A2953" s="12"/>
    </row>
    <row r="2954" spans="1:1" x14ac:dyDescent="0.3">
      <c r="A2954" s="12"/>
    </row>
    <row r="2955" spans="1:1" x14ac:dyDescent="0.3">
      <c r="A2955" s="12"/>
    </row>
    <row r="2956" spans="1:1" x14ac:dyDescent="0.3">
      <c r="A2956" s="12"/>
    </row>
    <row r="2957" spans="1:1" x14ac:dyDescent="0.3">
      <c r="A2957" s="12"/>
    </row>
    <row r="2958" spans="1:1" x14ac:dyDescent="0.3">
      <c r="A2958" s="12"/>
    </row>
    <row r="2959" spans="1:1" x14ac:dyDescent="0.3">
      <c r="A2959" s="12"/>
    </row>
    <row r="2960" spans="1:1" x14ac:dyDescent="0.3">
      <c r="A2960" s="12"/>
    </row>
    <row r="2961" spans="1:1" x14ac:dyDescent="0.3">
      <c r="A2961" s="12"/>
    </row>
    <row r="2962" spans="1:1" x14ac:dyDescent="0.3">
      <c r="A2962" s="12"/>
    </row>
    <row r="2963" spans="1:1" x14ac:dyDescent="0.3">
      <c r="A2963" s="12"/>
    </row>
    <row r="2964" spans="1:1" x14ac:dyDescent="0.3">
      <c r="A2964" s="12"/>
    </row>
    <row r="2965" spans="1:1" x14ac:dyDescent="0.3">
      <c r="A2965" s="12"/>
    </row>
    <row r="2966" spans="1:1" x14ac:dyDescent="0.3">
      <c r="A2966" s="12"/>
    </row>
    <row r="2967" spans="1:1" x14ac:dyDescent="0.3">
      <c r="A2967" s="12"/>
    </row>
    <row r="2968" spans="1:1" x14ac:dyDescent="0.3">
      <c r="A2968" s="12"/>
    </row>
    <row r="2969" spans="1:1" x14ac:dyDescent="0.3">
      <c r="A2969" s="12"/>
    </row>
    <row r="2970" spans="1:1" x14ac:dyDescent="0.3">
      <c r="A2970" s="12"/>
    </row>
    <row r="2971" spans="1:1" x14ac:dyDescent="0.3">
      <c r="A2971" s="12"/>
    </row>
    <row r="2972" spans="1:1" x14ac:dyDescent="0.3">
      <c r="A2972" s="12"/>
    </row>
    <row r="2973" spans="1:1" x14ac:dyDescent="0.3">
      <c r="A2973" s="12"/>
    </row>
    <row r="2974" spans="1:1" x14ac:dyDescent="0.3">
      <c r="A2974" s="12"/>
    </row>
    <row r="2975" spans="1:1" x14ac:dyDescent="0.3">
      <c r="A2975" s="12"/>
    </row>
    <row r="2976" spans="1:1" x14ac:dyDescent="0.3">
      <c r="A2976" s="12"/>
    </row>
    <row r="2977" spans="1:1" x14ac:dyDescent="0.3">
      <c r="A2977" s="12"/>
    </row>
    <row r="2978" spans="1:1" x14ac:dyDescent="0.3">
      <c r="A2978" s="12"/>
    </row>
    <row r="2979" spans="1:1" x14ac:dyDescent="0.3">
      <c r="A2979" s="12"/>
    </row>
    <row r="2980" spans="1:1" x14ac:dyDescent="0.3">
      <c r="A2980" s="12"/>
    </row>
    <row r="2981" spans="1:1" x14ac:dyDescent="0.3">
      <c r="A2981" s="12"/>
    </row>
    <row r="2982" spans="1:1" x14ac:dyDescent="0.3">
      <c r="A2982" s="12"/>
    </row>
    <row r="2983" spans="1:1" x14ac:dyDescent="0.3">
      <c r="A2983" s="12"/>
    </row>
    <row r="2984" spans="1:1" x14ac:dyDescent="0.3">
      <c r="A2984" s="12"/>
    </row>
    <row r="2985" spans="1:1" x14ac:dyDescent="0.3">
      <c r="A2985" s="12"/>
    </row>
    <row r="2986" spans="1:1" x14ac:dyDescent="0.3">
      <c r="A2986" s="12"/>
    </row>
    <row r="2987" spans="1:1" x14ac:dyDescent="0.3">
      <c r="A2987" s="12"/>
    </row>
    <row r="2988" spans="1:1" x14ac:dyDescent="0.3">
      <c r="A2988" s="12"/>
    </row>
    <row r="2989" spans="1:1" x14ac:dyDescent="0.3">
      <c r="A2989" s="12"/>
    </row>
    <row r="2990" spans="1:1" x14ac:dyDescent="0.3">
      <c r="A2990" s="12"/>
    </row>
    <row r="2991" spans="1:1" x14ac:dyDescent="0.3">
      <c r="A2991" s="12"/>
    </row>
    <row r="2992" spans="1:1" x14ac:dyDescent="0.3">
      <c r="A2992" s="12"/>
    </row>
    <row r="2993" spans="1:1" x14ac:dyDescent="0.3">
      <c r="A2993" s="12"/>
    </row>
    <row r="2994" spans="1:1" x14ac:dyDescent="0.3">
      <c r="A2994" s="12"/>
    </row>
    <row r="2995" spans="1:1" x14ac:dyDescent="0.3">
      <c r="A2995" s="12"/>
    </row>
    <row r="2996" spans="1:1" x14ac:dyDescent="0.3">
      <c r="A2996" s="12"/>
    </row>
    <row r="2997" spans="1:1" x14ac:dyDescent="0.3">
      <c r="A2997" s="12"/>
    </row>
    <row r="2998" spans="1:1" x14ac:dyDescent="0.3">
      <c r="A2998" s="12"/>
    </row>
    <row r="2999" spans="1:1" x14ac:dyDescent="0.3">
      <c r="A2999" s="12"/>
    </row>
    <row r="3000" spans="1:1" x14ac:dyDescent="0.3">
      <c r="A3000" s="12"/>
    </row>
    <row r="3001" spans="1:1" x14ac:dyDescent="0.3">
      <c r="A3001" s="12"/>
    </row>
    <row r="3002" spans="1:1" x14ac:dyDescent="0.3">
      <c r="A3002" s="12"/>
    </row>
    <row r="3003" spans="1:1" x14ac:dyDescent="0.3">
      <c r="A3003" s="12"/>
    </row>
    <row r="3004" spans="1:1" x14ac:dyDescent="0.3">
      <c r="A3004" s="12"/>
    </row>
    <row r="3005" spans="1:1" x14ac:dyDescent="0.3">
      <c r="A3005" s="12"/>
    </row>
    <row r="3006" spans="1:1" x14ac:dyDescent="0.3">
      <c r="A3006" s="12"/>
    </row>
    <row r="3007" spans="1:1" x14ac:dyDescent="0.3">
      <c r="A3007" s="12"/>
    </row>
    <row r="3008" spans="1:1" x14ac:dyDescent="0.3">
      <c r="A3008" s="12"/>
    </row>
    <row r="3009" spans="1:1" x14ac:dyDescent="0.3">
      <c r="A3009" s="12"/>
    </row>
    <row r="3010" spans="1:1" x14ac:dyDescent="0.3">
      <c r="A3010" s="12"/>
    </row>
    <row r="3011" spans="1:1" x14ac:dyDescent="0.3">
      <c r="A3011" s="12"/>
    </row>
    <row r="3012" spans="1:1" x14ac:dyDescent="0.3">
      <c r="A3012" s="12"/>
    </row>
    <row r="3013" spans="1:1" x14ac:dyDescent="0.3">
      <c r="A3013" s="12"/>
    </row>
    <row r="3014" spans="1:1" x14ac:dyDescent="0.3">
      <c r="A3014" s="12"/>
    </row>
    <row r="3015" spans="1:1" x14ac:dyDescent="0.3">
      <c r="A3015" s="12"/>
    </row>
    <row r="3016" spans="1:1" x14ac:dyDescent="0.3">
      <c r="A3016" s="12"/>
    </row>
    <row r="3017" spans="1:1" x14ac:dyDescent="0.3">
      <c r="A3017" s="12"/>
    </row>
    <row r="3018" spans="1:1" x14ac:dyDescent="0.3">
      <c r="A3018" s="12"/>
    </row>
    <row r="3019" spans="1:1" x14ac:dyDescent="0.3">
      <c r="A3019" s="12"/>
    </row>
    <row r="3020" spans="1:1" x14ac:dyDescent="0.3">
      <c r="A3020" s="12"/>
    </row>
    <row r="3021" spans="1:1" x14ac:dyDescent="0.3">
      <c r="A3021" s="12"/>
    </row>
    <row r="3022" spans="1:1" x14ac:dyDescent="0.3">
      <c r="A3022" s="12"/>
    </row>
    <row r="3023" spans="1:1" x14ac:dyDescent="0.3">
      <c r="A3023" s="12"/>
    </row>
    <row r="3024" spans="1:1" x14ac:dyDescent="0.3">
      <c r="A3024" s="12"/>
    </row>
    <row r="3025" spans="1:1" x14ac:dyDescent="0.3">
      <c r="A3025" s="12"/>
    </row>
    <row r="3026" spans="1:1" x14ac:dyDescent="0.3">
      <c r="A3026" s="12"/>
    </row>
    <row r="3027" spans="1:1" x14ac:dyDescent="0.3">
      <c r="A3027" s="12"/>
    </row>
    <row r="3028" spans="1:1" x14ac:dyDescent="0.3">
      <c r="A3028" s="12"/>
    </row>
    <row r="3029" spans="1:1" x14ac:dyDescent="0.3">
      <c r="A3029" s="12"/>
    </row>
    <row r="3030" spans="1:1" x14ac:dyDescent="0.3">
      <c r="A3030" s="12"/>
    </row>
    <row r="3031" spans="1:1" x14ac:dyDescent="0.3">
      <c r="A3031" s="12"/>
    </row>
    <row r="3032" spans="1:1" x14ac:dyDescent="0.3">
      <c r="A3032" s="12"/>
    </row>
    <row r="3033" spans="1:1" x14ac:dyDescent="0.3">
      <c r="A3033" s="12"/>
    </row>
    <row r="3034" spans="1:1" x14ac:dyDescent="0.3">
      <c r="A3034" s="12"/>
    </row>
    <row r="3035" spans="1:1" x14ac:dyDescent="0.3">
      <c r="A3035" s="12"/>
    </row>
    <row r="3036" spans="1:1" x14ac:dyDescent="0.3">
      <c r="A3036" s="12"/>
    </row>
    <row r="3037" spans="1:1" x14ac:dyDescent="0.3">
      <c r="A3037" s="12"/>
    </row>
    <row r="3038" spans="1:1" x14ac:dyDescent="0.3">
      <c r="A3038" s="12"/>
    </row>
    <row r="3039" spans="1:1" x14ac:dyDescent="0.3">
      <c r="A3039" s="12"/>
    </row>
    <row r="3040" spans="1:1" x14ac:dyDescent="0.3">
      <c r="A3040" s="12"/>
    </row>
    <row r="3041" spans="1:1" x14ac:dyDescent="0.3">
      <c r="A3041" s="12"/>
    </row>
    <row r="3042" spans="1:1" x14ac:dyDescent="0.3">
      <c r="A3042" s="12"/>
    </row>
    <row r="3043" spans="1:1" x14ac:dyDescent="0.3">
      <c r="A3043" s="12"/>
    </row>
    <row r="3044" spans="1:1" x14ac:dyDescent="0.3">
      <c r="A3044" s="12"/>
    </row>
    <row r="3045" spans="1:1" x14ac:dyDescent="0.3">
      <c r="A3045" s="12"/>
    </row>
    <row r="3046" spans="1:1" x14ac:dyDescent="0.3">
      <c r="A3046" s="12"/>
    </row>
    <row r="3047" spans="1:1" x14ac:dyDescent="0.3">
      <c r="A3047" s="12"/>
    </row>
    <row r="3048" spans="1:1" x14ac:dyDescent="0.3">
      <c r="A3048" s="12"/>
    </row>
    <row r="3049" spans="1:1" x14ac:dyDescent="0.3">
      <c r="A3049" s="12"/>
    </row>
    <row r="3050" spans="1:1" x14ac:dyDescent="0.3">
      <c r="A3050" s="12"/>
    </row>
    <row r="3051" spans="1:1" x14ac:dyDescent="0.3">
      <c r="A3051" s="12"/>
    </row>
    <row r="3052" spans="1:1" x14ac:dyDescent="0.3">
      <c r="A3052" s="12"/>
    </row>
    <row r="3053" spans="1:1" x14ac:dyDescent="0.3">
      <c r="A3053" s="12"/>
    </row>
    <row r="3054" spans="1:1" x14ac:dyDescent="0.3">
      <c r="A3054" s="12"/>
    </row>
    <row r="3055" spans="1:1" x14ac:dyDescent="0.3">
      <c r="A3055" s="12"/>
    </row>
    <row r="3056" spans="1:1" x14ac:dyDescent="0.3">
      <c r="A3056" s="12"/>
    </row>
    <row r="3057" spans="1:1" x14ac:dyDescent="0.3">
      <c r="A3057" s="12"/>
    </row>
    <row r="3058" spans="1:1" x14ac:dyDescent="0.3">
      <c r="A3058" s="12"/>
    </row>
    <row r="3059" spans="1:1" x14ac:dyDescent="0.3">
      <c r="A3059" s="12"/>
    </row>
    <row r="3060" spans="1:1" x14ac:dyDescent="0.3">
      <c r="A3060" s="12"/>
    </row>
    <row r="3061" spans="1:1" x14ac:dyDescent="0.3">
      <c r="A3061" s="12"/>
    </row>
    <row r="3062" spans="1:1" x14ac:dyDescent="0.3">
      <c r="A3062" s="12"/>
    </row>
    <row r="3063" spans="1:1" x14ac:dyDescent="0.3">
      <c r="A3063" s="12"/>
    </row>
    <row r="3064" spans="1:1" x14ac:dyDescent="0.3">
      <c r="A3064" s="12"/>
    </row>
    <row r="3065" spans="1:1" x14ac:dyDescent="0.3">
      <c r="A3065" s="12"/>
    </row>
    <row r="3066" spans="1:1" x14ac:dyDescent="0.3">
      <c r="A3066" s="12"/>
    </row>
    <row r="3067" spans="1:1" x14ac:dyDescent="0.3">
      <c r="A3067" s="12"/>
    </row>
    <row r="3068" spans="1:1" x14ac:dyDescent="0.3">
      <c r="A3068" s="12"/>
    </row>
    <row r="3069" spans="1:1" x14ac:dyDescent="0.3">
      <c r="A3069" s="12"/>
    </row>
    <row r="3070" spans="1:1" x14ac:dyDescent="0.3">
      <c r="A3070" s="12"/>
    </row>
    <row r="3071" spans="1:1" x14ac:dyDescent="0.3">
      <c r="A3071" s="12"/>
    </row>
    <row r="3072" spans="1:1" x14ac:dyDescent="0.3">
      <c r="A3072" s="12"/>
    </row>
    <row r="3073" spans="1:1" x14ac:dyDescent="0.3">
      <c r="A3073" s="12"/>
    </row>
    <row r="3074" spans="1:1" x14ac:dyDescent="0.3">
      <c r="A3074" s="12"/>
    </row>
    <row r="3075" spans="1:1" x14ac:dyDescent="0.3">
      <c r="A3075" s="12"/>
    </row>
    <row r="3076" spans="1:1" x14ac:dyDescent="0.3">
      <c r="A3076" s="12"/>
    </row>
    <row r="3077" spans="1:1" x14ac:dyDescent="0.3">
      <c r="A3077" s="12"/>
    </row>
    <row r="3078" spans="1:1" x14ac:dyDescent="0.3">
      <c r="A3078" s="12"/>
    </row>
    <row r="3079" spans="1:1" x14ac:dyDescent="0.3">
      <c r="A3079" s="12"/>
    </row>
    <row r="3080" spans="1:1" x14ac:dyDescent="0.3">
      <c r="A3080" s="12"/>
    </row>
    <row r="3081" spans="1:1" x14ac:dyDescent="0.3">
      <c r="A3081" s="12"/>
    </row>
    <row r="3082" spans="1:1" x14ac:dyDescent="0.3">
      <c r="A3082" s="12"/>
    </row>
    <row r="3083" spans="1:1" x14ac:dyDescent="0.3">
      <c r="A3083" s="12"/>
    </row>
    <row r="3084" spans="1:1" x14ac:dyDescent="0.3">
      <c r="A3084" s="12"/>
    </row>
    <row r="3085" spans="1:1" x14ac:dyDescent="0.3">
      <c r="A3085" s="12"/>
    </row>
    <row r="3086" spans="1:1" x14ac:dyDescent="0.3">
      <c r="A3086" s="12"/>
    </row>
    <row r="3087" spans="1:1" x14ac:dyDescent="0.3">
      <c r="A3087" s="12"/>
    </row>
    <row r="3088" spans="1:1" x14ac:dyDescent="0.3">
      <c r="A3088" s="12"/>
    </row>
    <row r="3089" spans="1:1" x14ac:dyDescent="0.3">
      <c r="A3089" s="12"/>
    </row>
    <row r="3090" spans="1:1" x14ac:dyDescent="0.3">
      <c r="A3090" s="12"/>
    </row>
    <row r="3091" spans="1:1" x14ac:dyDescent="0.3">
      <c r="A3091" s="12"/>
    </row>
    <row r="3092" spans="1:1" x14ac:dyDescent="0.3">
      <c r="A3092" s="12"/>
    </row>
    <row r="3093" spans="1:1" x14ac:dyDescent="0.3">
      <c r="A3093" s="12"/>
    </row>
    <row r="3094" spans="1:1" x14ac:dyDescent="0.3">
      <c r="A3094" s="12"/>
    </row>
    <row r="3095" spans="1:1" x14ac:dyDescent="0.3">
      <c r="A3095" s="12"/>
    </row>
    <row r="3096" spans="1:1" x14ac:dyDescent="0.3">
      <c r="A3096" s="12"/>
    </row>
    <row r="3097" spans="1:1" x14ac:dyDescent="0.3">
      <c r="A3097" s="12"/>
    </row>
    <row r="3098" spans="1:1" x14ac:dyDescent="0.3">
      <c r="A3098" s="12"/>
    </row>
    <row r="3099" spans="1:1" x14ac:dyDescent="0.3">
      <c r="A3099" s="12"/>
    </row>
    <row r="3100" spans="1:1" x14ac:dyDescent="0.3">
      <c r="A3100" s="12"/>
    </row>
    <row r="3101" spans="1:1" x14ac:dyDescent="0.3">
      <c r="A3101" s="12"/>
    </row>
    <row r="3102" spans="1:1" x14ac:dyDescent="0.3">
      <c r="A3102" s="12"/>
    </row>
    <row r="3103" spans="1:1" x14ac:dyDescent="0.3">
      <c r="A3103" s="12"/>
    </row>
    <row r="3104" spans="1:1" x14ac:dyDescent="0.3">
      <c r="A3104" s="12"/>
    </row>
    <row r="3105" spans="1:1" x14ac:dyDescent="0.3">
      <c r="A3105" s="12"/>
    </row>
    <row r="3106" spans="1:1" x14ac:dyDescent="0.3">
      <c r="A3106" s="12"/>
    </row>
    <row r="3107" spans="1:1" x14ac:dyDescent="0.3">
      <c r="A3107" s="12"/>
    </row>
    <row r="3108" spans="1:1" x14ac:dyDescent="0.3">
      <c r="A3108" s="12"/>
    </row>
    <row r="3109" spans="1:1" x14ac:dyDescent="0.3">
      <c r="A3109" s="12"/>
    </row>
    <row r="3110" spans="1:1" x14ac:dyDescent="0.3">
      <c r="A3110" s="12"/>
    </row>
    <row r="3111" spans="1:1" x14ac:dyDescent="0.3">
      <c r="A3111" s="12"/>
    </row>
    <row r="3112" spans="1:1" x14ac:dyDescent="0.3">
      <c r="A3112" s="12"/>
    </row>
    <row r="3113" spans="1:1" x14ac:dyDescent="0.3">
      <c r="A3113" s="12"/>
    </row>
    <row r="3114" spans="1:1" x14ac:dyDescent="0.3">
      <c r="A3114" s="12"/>
    </row>
    <row r="3115" spans="1:1" x14ac:dyDescent="0.3">
      <c r="A3115" s="12"/>
    </row>
    <row r="3116" spans="1:1" x14ac:dyDescent="0.3">
      <c r="A3116" s="12"/>
    </row>
    <row r="3117" spans="1:1" x14ac:dyDescent="0.3">
      <c r="A3117" s="12"/>
    </row>
    <row r="3118" spans="1:1" x14ac:dyDescent="0.3">
      <c r="A3118" s="12"/>
    </row>
    <row r="3119" spans="1:1" x14ac:dyDescent="0.3">
      <c r="A3119" s="12"/>
    </row>
    <row r="3120" spans="1:1" x14ac:dyDescent="0.3">
      <c r="A3120" s="12"/>
    </row>
    <row r="3121" spans="1:1" x14ac:dyDescent="0.3">
      <c r="A3121" s="12"/>
    </row>
    <row r="3122" spans="1:1" x14ac:dyDescent="0.3">
      <c r="A3122" s="12"/>
    </row>
    <row r="3123" spans="1:1" x14ac:dyDescent="0.3">
      <c r="A3123" s="12"/>
    </row>
    <row r="3124" spans="1:1" x14ac:dyDescent="0.3">
      <c r="A3124" s="12"/>
    </row>
    <row r="3125" spans="1:1" x14ac:dyDescent="0.3">
      <c r="A3125" s="12"/>
    </row>
    <row r="3126" spans="1:1" x14ac:dyDescent="0.3">
      <c r="A3126" s="12"/>
    </row>
    <row r="3127" spans="1:1" x14ac:dyDescent="0.3">
      <c r="A3127" s="12"/>
    </row>
    <row r="3128" spans="1:1" x14ac:dyDescent="0.3">
      <c r="A3128" s="12"/>
    </row>
    <row r="3129" spans="1:1" x14ac:dyDescent="0.3">
      <c r="A3129" s="12"/>
    </row>
    <row r="3130" spans="1:1" x14ac:dyDescent="0.3">
      <c r="A3130" s="12"/>
    </row>
    <row r="3131" spans="1:1" x14ac:dyDescent="0.3">
      <c r="A3131" s="12"/>
    </row>
    <row r="3132" spans="1:1" x14ac:dyDescent="0.3">
      <c r="A3132" s="12"/>
    </row>
    <row r="3133" spans="1:1" x14ac:dyDescent="0.3">
      <c r="A3133" s="12"/>
    </row>
    <row r="3134" spans="1:1" x14ac:dyDescent="0.3">
      <c r="A3134" s="12"/>
    </row>
    <row r="3135" spans="1:1" x14ac:dyDescent="0.3">
      <c r="A3135" s="12"/>
    </row>
    <row r="3136" spans="1:1" x14ac:dyDescent="0.3">
      <c r="A3136" s="12"/>
    </row>
    <row r="3137" spans="1:1" x14ac:dyDescent="0.3">
      <c r="A3137" s="12"/>
    </row>
    <row r="3138" spans="1:1" x14ac:dyDescent="0.3">
      <c r="A3138" s="12"/>
    </row>
    <row r="3139" spans="1:1" x14ac:dyDescent="0.3">
      <c r="A3139" s="12"/>
    </row>
    <row r="3140" spans="1:1" x14ac:dyDescent="0.3">
      <c r="A3140" s="12"/>
    </row>
    <row r="3141" spans="1:1" x14ac:dyDescent="0.3">
      <c r="A3141" s="12"/>
    </row>
    <row r="3142" spans="1:1" x14ac:dyDescent="0.3">
      <c r="A3142" s="12"/>
    </row>
    <row r="3143" spans="1:1" x14ac:dyDescent="0.3">
      <c r="A3143" s="12"/>
    </row>
    <row r="3144" spans="1:1" x14ac:dyDescent="0.3">
      <c r="A3144" s="12"/>
    </row>
    <row r="3145" spans="1:1" x14ac:dyDescent="0.3">
      <c r="A3145" s="12"/>
    </row>
    <row r="3146" spans="1:1" x14ac:dyDescent="0.3">
      <c r="A3146" s="12"/>
    </row>
    <row r="3147" spans="1:1" x14ac:dyDescent="0.3">
      <c r="A3147" s="12"/>
    </row>
    <row r="3148" spans="1:1" x14ac:dyDescent="0.3">
      <c r="A3148" s="12"/>
    </row>
    <row r="3149" spans="1:1" x14ac:dyDescent="0.3">
      <c r="A3149" s="12"/>
    </row>
    <row r="3150" spans="1:1" x14ac:dyDescent="0.3">
      <c r="A3150" s="12"/>
    </row>
    <row r="3151" spans="1:1" x14ac:dyDescent="0.3">
      <c r="A3151" s="12"/>
    </row>
    <row r="3152" spans="1:1" x14ac:dyDescent="0.3">
      <c r="A3152" s="12"/>
    </row>
    <row r="3153" spans="1:1" x14ac:dyDescent="0.3">
      <c r="A3153" s="12"/>
    </row>
    <row r="3154" spans="1:1" x14ac:dyDescent="0.3">
      <c r="A3154" s="12"/>
    </row>
    <row r="3155" spans="1:1" x14ac:dyDescent="0.3">
      <c r="A3155" s="12"/>
    </row>
    <row r="3156" spans="1:1" x14ac:dyDescent="0.3">
      <c r="A3156" s="12"/>
    </row>
    <row r="3157" spans="1:1" x14ac:dyDescent="0.3">
      <c r="A3157" s="12"/>
    </row>
    <row r="3158" spans="1:1" x14ac:dyDescent="0.3">
      <c r="A3158" s="12"/>
    </row>
    <row r="3159" spans="1:1" x14ac:dyDescent="0.3">
      <c r="A3159" s="12"/>
    </row>
    <row r="3160" spans="1:1" x14ac:dyDescent="0.3">
      <c r="A3160" s="12"/>
    </row>
    <row r="3161" spans="1:1" x14ac:dyDescent="0.3">
      <c r="A3161" s="12"/>
    </row>
    <row r="3162" spans="1:1" x14ac:dyDescent="0.3">
      <c r="A3162" s="12"/>
    </row>
    <row r="3163" spans="1:1" x14ac:dyDescent="0.3">
      <c r="A3163" s="12"/>
    </row>
    <row r="3164" spans="1:1" x14ac:dyDescent="0.3">
      <c r="A3164" s="12"/>
    </row>
    <row r="3165" spans="1:1" x14ac:dyDescent="0.3">
      <c r="A3165" s="12"/>
    </row>
    <row r="3166" spans="1:1" x14ac:dyDescent="0.3">
      <c r="A3166" s="12"/>
    </row>
    <row r="3167" spans="1:1" x14ac:dyDescent="0.3">
      <c r="A3167" s="12"/>
    </row>
    <row r="3168" spans="1:1" x14ac:dyDescent="0.3">
      <c r="A3168" s="12"/>
    </row>
    <row r="3169" spans="1:1" x14ac:dyDescent="0.3">
      <c r="A3169" s="12"/>
    </row>
    <row r="3170" spans="1:1" x14ac:dyDescent="0.3">
      <c r="A3170" s="12"/>
    </row>
    <row r="3171" spans="1:1" x14ac:dyDescent="0.3">
      <c r="A3171" s="12"/>
    </row>
    <row r="3172" spans="1:1" x14ac:dyDescent="0.3">
      <c r="A3172" s="12"/>
    </row>
    <row r="3173" spans="1:1" x14ac:dyDescent="0.3">
      <c r="A3173" s="12"/>
    </row>
    <row r="3174" spans="1:1" x14ac:dyDescent="0.3">
      <c r="A3174" s="12"/>
    </row>
    <row r="3175" spans="1:1" x14ac:dyDescent="0.3">
      <c r="A3175" s="12"/>
    </row>
    <row r="3176" spans="1:1" x14ac:dyDescent="0.3">
      <c r="A3176" s="12"/>
    </row>
    <row r="3177" spans="1:1" x14ac:dyDescent="0.3">
      <c r="A3177" s="12"/>
    </row>
    <row r="3178" spans="1:1" x14ac:dyDescent="0.3">
      <c r="A3178" s="12"/>
    </row>
    <row r="3179" spans="1:1" x14ac:dyDescent="0.3">
      <c r="A3179" s="12"/>
    </row>
    <row r="3180" spans="1:1" x14ac:dyDescent="0.3">
      <c r="A3180" s="12"/>
    </row>
    <row r="3181" spans="1:1" x14ac:dyDescent="0.3">
      <c r="A3181" s="12"/>
    </row>
    <row r="3182" spans="1:1" x14ac:dyDescent="0.3">
      <c r="A3182" s="12"/>
    </row>
    <row r="3183" spans="1:1" x14ac:dyDescent="0.3">
      <c r="A3183" s="12"/>
    </row>
    <row r="3184" spans="1:1" x14ac:dyDescent="0.3">
      <c r="A3184" s="12"/>
    </row>
    <row r="3185" spans="1:1" x14ac:dyDescent="0.3">
      <c r="A3185" s="12"/>
    </row>
    <row r="3186" spans="1:1" x14ac:dyDescent="0.3">
      <c r="A3186" s="12"/>
    </row>
    <row r="3187" spans="1:1" x14ac:dyDescent="0.3">
      <c r="A3187" s="12"/>
    </row>
    <row r="3188" spans="1:1" x14ac:dyDescent="0.3">
      <c r="A3188" s="12"/>
    </row>
    <row r="3189" spans="1:1" x14ac:dyDescent="0.3">
      <c r="A3189" s="12"/>
    </row>
    <row r="3190" spans="1:1" x14ac:dyDescent="0.3">
      <c r="A3190" s="12"/>
    </row>
    <row r="3191" spans="1:1" x14ac:dyDescent="0.3">
      <c r="A3191" s="12"/>
    </row>
    <row r="3192" spans="1:1" x14ac:dyDescent="0.3">
      <c r="A3192" s="12"/>
    </row>
    <row r="3193" spans="1:1" x14ac:dyDescent="0.3">
      <c r="A3193" s="12"/>
    </row>
    <row r="3194" spans="1:1" x14ac:dyDescent="0.3">
      <c r="A3194" s="12"/>
    </row>
    <row r="3195" spans="1:1" x14ac:dyDescent="0.3">
      <c r="A3195" s="12"/>
    </row>
    <row r="3196" spans="1:1" x14ac:dyDescent="0.3">
      <c r="A3196" s="12"/>
    </row>
    <row r="3197" spans="1:1" x14ac:dyDescent="0.3">
      <c r="A3197" s="12"/>
    </row>
    <row r="3198" spans="1:1" x14ac:dyDescent="0.3">
      <c r="A3198" s="12"/>
    </row>
    <row r="3199" spans="1:1" x14ac:dyDescent="0.3">
      <c r="A3199" s="12"/>
    </row>
    <row r="3200" spans="1:1" x14ac:dyDescent="0.3">
      <c r="A3200" s="12"/>
    </row>
    <row r="3201" spans="1:1" x14ac:dyDescent="0.3">
      <c r="A3201" s="12"/>
    </row>
    <row r="3202" spans="1:1" x14ac:dyDescent="0.3">
      <c r="A3202" s="12"/>
    </row>
    <row r="3203" spans="1:1" x14ac:dyDescent="0.3">
      <c r="A3203" s="12"/>
    </row>
    <row r="3204" spans="1:1" x14ac:dyDescent="0.3">
      <c r="A3204" s="12"/>
    </row>
    <row r="3205" spans="1:1" x14ac:dyDescent="0.3">
      <c r="A3205" s="12"/>
    </row>
    <row r="3206" spans="1:1" x14ac:dyDescent="0.3">
      <c r="A3206" s="12"/>
    </row>
    <row r="3207" spans="1:1" x14ac:dyDescent="0.3">
      <c r="A3207" s="12"/>
    </row>
    <row r="3208" spans="1:1" x14ac:dyDescent="0.3">
      <c r="A3208" s="12"/>
    </row>
    <row r="3209" spans="1:1" x14ac:dyDescent="0.3">
      <c r="A3209" s="12"/>
    </row>
    <row r="3210" spans="1:1" x14ac:dyDescent="0.3">
      <c r="A3210" s="12"/>
    </row>
    <row r="3211" spans="1:1" x14ac:dyDescent="0.3">
      <c r="A3211" s="12"/>
    </row>
    <row r="3212" spans="1:1" x14ac:dyDescent="0.3">
      <c r="A3212" s="12"/>
    </row>
    <row r="3213" spans="1:1" x14ac:dyDescent="0.3">
      <c r="A3213" s="12"/>
    </row>
    <row r="3214" spans="1:1" x14ac:dyDescent="0.3">
      <c r="A3214" s="12"/>
    </row>
    <row r="3215" spans="1:1" x14ac:dyDescent="0.3">
      <c r="A3215" s="12"/>
    </row>
    <row r="3216" spans="1:1" x14ac:dyDescent="0.3">
      <c r="A3216" s="12"/>
    </row>
    <row r="3217" spans="1:1" x14ac:dyDescent="0.3">
      <c r="A3217" s="12"/>
    </row>
    <row r="3218" spans="1:1" x14ac:dyDescent="0.3">
      <c r="A3218" s="12"/>
    </row>
    <row r="3219" spans="1:1" x14ac:dyDescent="0.3">
      <c r="A3219" s="12"/>
    </row>
    <row r="3220" spans="1:1" x14ac:dyDescent="0.3">
      <c r="A3220" s="12"/>
    </row>
    <row r="3221" spans="1:1" x14ac:dyDescent="0.3">
      <c r="A3221" s="12"/>
    </row>
    <row r="3222" spans="1:1" x14ac:dyDescent="0.3">
      <c r="A3222" s="12"/>
    </row>
    <row r="3223" spans="1:1" x14ac:dyDescent="0.3">
      <c r="A3223" s="12"/>
    </row>
    <row r="3224" spans="1:1" x14ac:dyDescent="0.3">
      <c r="A3224" s="12"/>
    </row>
    <row r="3225" spans="1:1" x14ac:dyDescent="0.3">
      <c r="A3225" s="12"/>
    </row>
    <row r="3226" spans="1:1" x14ac:dyDescent="0.3">
      <c r="A3226" s="12"/>
    </row>
    <row r="3227" spans="1:1" x14ac:dyDescent="0.3">
      <c r="A3227" s="12"/>
    </row>
    <row r="3228" spans="1:1" x14ac:dyDescent="0.3">
      <c r="A3228" s="12"/>
    </row>
    <row r="3229" spans="1:1" x14ac:dyDescent="0.3">
      <c r="A3229" s="12"/>
    </row>
    <row r="3230" spans="1:1" x14ac:dyDescent="0.3">
      <c r="A3230" s="12"/>
    </row>
    <row r="3231" spans="1:1" x14ac:dyDescent="0.3">
      <c r="A3231" s="12"/>
    </row>
    <row r="3232" spans="1:1" x14ac:dyDescent="0.3">
      <c r="A3232" s="12"/>
    </row>
    <row r="3233" spans="1:1" x14ac:dyDescent="0.3">
      <c r="A3233" s="12"/>
    </row>
    <row r="3234" spans="1:1" x14ac:dyDescent="0.3">
      <c r="A3234" s="12"/>
    </row>
    <row r="3235" spans="1:1" x14ac:dyDescent="0.3">
      <c r="A3235" s="12"/>
    </row>
    <row r="3236" spans="1:1" x14ac:dyDescent="0.3">
      <c r="A3236" s="12"/>
    </row>
    <row r="3237" spans="1:1" x14ac:dyDescent="0.3">
      <c r="A3237" s="12"/>
    </row>
    <row r="3238" spans="1:1" x14ac:dyDescent="0.3">
      <c r="A3238" s="12"/>
    </row>
    <row r="3239" spans="1:1" x14ac:dyDescent="0.3">
      <c r="A3239" s="12"/>
    </row>
    <row r="3240" spans="1:1" x14ac:dyDescent="0.3">
      <c r="A3240" s="12"/>
    </row>
    <row r="3241" spans="1:1" x14ac:dyDescent="0.3">
      <c r="A3241" s="12"/>
    </row>
    <row r="3242" spans="1:1" x14ac:dyDescent="0.3">
      <c r="A3242" s="12"/>
    </row>
    <row r="3243" spans="1:1" x14ac:dyDescent="0.3">
      <c r="A3243" s="12"/>
    </row>
    <row r="3244" spans="1:1" x14ac:dyDescent="0.3">
      <c r="A3244" s="12"/>
    </row>
    <row r="3245" spans="1:1" x14ac:dyDescent="0.3">
      <c r="A3245" s="12"/>
    </row>
    <row r="3246" spans="1:1" x14ac:dyDescent="0.3">
      <c r="A3246" s="12"/>
    </row>
    <row r="3247" spans="1:1" x14ac:dyDescent="0.3">
      <c r="A3247" s="12"/>
    </row>
    <row r="3248" spans="1:1" x14ac:dyDescent="0.3">
      <c r="A3248" s="12"/>
    </row>
    <row r="3249" spans="1:1" x14ac:dyDescent="0.3">
      <c r="A3249" s="12"/>
    </row>
    <row r="3250" spans="1:1" x14ac:dyDescent="0.3">
      <c r="A3250" s="12"/>
    </row>
    <row r="3251" spans="1:1" x14ac:dyDescent="0.3">
      <c r="A3251" s="12"/>
    </row>
    <row r="3252" spans="1:1" x14ac:dyDescent="0.3">
      <c r="A3252" s="12"/>
    </row>
    <row r="3253" spans="1:1" x14ac:dyDescent="0.3">
      <c r="A3253" s="12"/>
    </row>
    <row r="3254" spans="1:1" x14ac:dyDescent="0.3">
      <c r="A3254" s="12"/>
    </row>
    <row r="3255" spans="1:1" x14ac:dyDescent="0.3">
      <c r="A3255" s="12"/>
    </row>
    <row r="3256" spans="1:1" x14ac:dyDescent="0.3">
      <c r="A3256" s="12"/>
    </row>
    <row r="3257" spans="1:1" x14ac:dyDescent="0.3">
      <c r="A3257" s="12"/>
    </row>
    <row r="3258" spans="1:1" x14ac:dyDescent="0.3">
      <c r="A3258" s="12"/>
    </row>
    <row r="3259" spans="1:1" x14ac:dyDescent="0.3">
      <c r="A3259" s="12"/>
    </row>
    <row r="3260" spans="1:1" x14ac:dyDescent="0.3">
      <c r="A3260" s="12"/>
    </row>
    <row r="3261" spans="1:1" x14ac:dyDescent="0.3">
      <c r="A3261" s="12"/>
    </row>
    <row r="3262" spans="1:1" x14ac:dyDescent="0.3">
      <c r="A3262" s="12"/>
    </row>
    <row r="3263" spans="1:1" x14ac:dyDescent="0.3">
      <c r="A3263" s="12"/>
    </row>
    <row r="3264" spans="1:1" x14ac:dyDescent="0.3">
      <c r="A3264" s="12"/>
    </row>
    <row r="3265" spans="1:1" x14ac:dyDescent="0.3">
      <c r="A3265" s="12"/>
    </row>
    <row r="3266" spans="1:1" x14ac:dyDescent="0.3">
      <c r="A3266" s="12"/>
    </row>
    <row r="3267" spans="1:1" x14ac:dyDescent="0.3">
      <c r="A3267" s="12"/>
    </row>
    <row r="3268" spans="1:1" x14ac:dyDescent="0.3">
      <c r="A3268" s="12"/>
    </row>
    <row r="3269" spans="1:1" x14ac:dyDescent="0.3">
      <c r="A3269" s="12"/>
    </row>
    <row r="3270" spans="1:1" x14ac:dyDescent="0.3">
      <c r="A3270" s="12"/>
    </row>
    <row r="3271" spans="1:1" x14ac:dyDescent="0.3">
      <c r="A3271" s="12"/>
    </row>
    <row r="3272" spans="1:1" x14ac:dyDescent="0.3">
      <c r="A3272" s="12"/>
    </row>
    <row r="3273" spans="1:1" x14ac:dyDescent="0.3">
      <c r="A3273" s="12"/>
    </row>
    <row r="3274" spans="1:1" x14ac:dyDescent="0.3">
      <c r="A3274" s="12"/>
    </row>
    <row r="3275" spans="1:1" x14ac:dyDescent="0.3">
      <c r="A3275" s="12"/>
    </row>
    <row r="3276" spans="1:1" x14ac:dyDescent="0.3">
      <c r="A3276" s="12"/>
    </row>
    <row r="3277" spans="1:1" x14ac:dyDescent="0.3">
      <c r="A3277" s="12"/>
    </row>
    <row r="3278" spans="1:1" x14ac:dyDescent="0.3">
      <c r="A3278" s="12"/>
    </row>
    <row r="3279" spans="1:1" x14ac:dyDescent="0.3">
      <c r="A3279" s="12"/>
    </row>
    <row r="3280" spans="1:1" x14ac:dyDescent="0.3">
      <c r="A3280" s="12"/>
    </row>
    <row r="3281" spans="1:1" x14ac:dyDescent="0.3">
      <c r="A3281" s="12"/>
    </row>
    <row r="3282" spans="1:1" x14ac:dyDescent="0.3">
      <c r="A3282" s="12"/>
    </row>
    <row r="3283" spans="1:1" x14ac:dyDescent="0.3">
      <c r="A3283" s="12"/>
    </row>
    <row r="3284" spans="1:1" x14ac:dyDescent="0.3">
      <c r="A3284" s="12"/>
    </row>
    <row r="3285" spans="1:1" x14ac:dyDescent="0.3">
      <c r="A3285" s="12"/>
    </row>
    <row r="3286" spans="1:1" x14ac:dyDescent="0.3">
      <c r="A3286" s="12"/>
    </row>
    <row r="3287" spans="1:1" x14ac:dyDescent="0.3">
      <c r="A3287" s="12"/>
    </row>
    <row r="3288" spans="1:1" x14ac:dyDescent="0.3">
      <c r="A3288" s="12"/>
    </row>
    <row r="3289" spans="1:1" x14ac:dyDescent="0.3">
      <c r="A3289" s="12"/>
    </row>
    <row r="3290" spans="1:1" x14ac:dyDescent="0.3">
      <c r="A3290" s="12"/>
    </row>
    <row r="3291" spans="1:1" x14ac:dyDescent="0.3">
      <c r="A3291" s="12"/>
    </row>
    <row r="3292" spans="1:1" x14ac:dyDescent="0.3">
      <c r="A3292" s="12"/>
    </row>
    <row r="3293" spans="1:1" x14ac:dyDescent="0.3">
      <c r="A3293" s="12"/>
    </row>
    <row r="3294" spans="1:1" x14ac:dyDescent="0.3">
      <c r="A3294" s="12"/>
    </row>
    <row r="3295" spans="1:1" x14ac:dyDescent="0.3">
      <c r="A3295" s="12"/>
    </row>
    <row r="3296" spans="1:1" x14ac:dyDescent="0.3">
      <c r="A3296" s="12"/>
    </row>
    <row r="3297" spans="1:1" x14ac:dyDescent="0.3">
      <c r="A3297" s="12"/>
    </row>
    <row r="3298" spans="1:1" x14ac:dyDescent="0.3">
      <c r="A3298" s="12"/>
    </row>
    <row r="3299" spans="1:1" x14ac:dyDescent="0.3">
      <c r="A3299" s="12"/>
    </row>
    <row r="3300" spans="1:1" x14ac:dyDescent="0.3">
      <c r="A3300" s="12"/>
    </row>
    <row r="3301" spans="1:1" x14ac:dyDescent="0.3">
      <c r="A3301" s="12"/>
    </row>
    <row r="3302" spans="1:1" x14ac:dyDescent="0.3">
      <c r="A3302" s="12"/>
    </row>
    <row r="3303" spans="1:1" x14ac:dyDescent="0.3">
      <c r="A3303" s="12"/>
    </row>
    <row r="3304" spans="1:1" x14ac:dyDescent="0.3">
      <c r="A3304" s="12"/>
    </row>
    <row r="3305" spans="1:1" x14ac:dyDescent="0.3">
      <c r="A3305" s="12"/>
    </row>
    <row r="3306" spans="1:1" x14ac:dyDescent="0.3">
      <c r="A3306" s="12"/>
    </row>
    <row r="3307" spans="1:1" x14ac:dyDescent="0.3">
      <c r="A3307" s="12"/>
    </row>
    <row r="3308" spans="1:1" x14ac:dyDescent="0.3">
      <c r="A3308" s="12"/>
    </row>
    <row r="3309" spans="1:1" x14ac:dyDescent="0.3">
      <c r="A3309" s="12"/>
    </row>
    <row r="3310" spans="1:1" x14ac:dyDescent="0.3">
      <c r="A3310" s="12"/>
    </row>
    <row r="3311" spans="1:1" x14ac:dyDescent="0.3">
      <c r="A3311" s="12"/>
    </row>
    <row r="3312" spans="1:1" x14ac:dyDescent="0.3">
      <c r="A3312" s="12"/>
    </row>
    <row r="3313" spans="1:1" x14ac:dyDescent="0.3">
      <c r="A3313" s="12"/>
    </row>
    <row r="3314" spans="1:1" x14ac:dyDescent="0.3">
      <c r="A3314" s="12"/>
    </row>
    <row r="3315" spans="1:1" x14ac:dyDescent="0.3">
      <c r="A3315" s="12"/>
    </row>
    <row r="3316" spans="1:1" x14ac:dyDescent="0.3">
      <c r="A3316" s="12"/>
    </row>
    <row r="3317" spans="1:1" x14ac:dyDescent="0.3">
      <c r="A3317" s="12"/>
    </row>
    <row r="3318" spans="1:1" x14ac:dyDescent="0.3">
      <c r="A3318" s="12"/>
    </row>
    <row r="3319" spans="1:1" x14ac:dyDescent="0.3">
      <c r="A3319" s="12"/>
    </row>
    <row r="3320" spans="1:1" x14ac:dyDescent="0.3">
      <c r="A3320" s="12"/>
    </row>
    <row r="3321" spans="1:1" x14ac:dyDescent="0.3">
      <c r="A3321" s="12"/>
    </row>
    <row r="3322" spans="1:1" x14ac:dyDescent="0.3">
      <c r="A3322" s="12"/>
    </row>
    <row r="3323" spans="1:1" x14ac:dyDescent="0.3">
      <c r="A3323" s="12"/>
    </row>
    <row r="3324" spans="1:1" x14ac:dyDescent="0.3">
      <c r="A3324" s="12"/>
    </row>
    <row r="3325" spans="1:1" x14ac:dyDescent="0.3">
      <c r="A3325" s="12"/>
    </row>
    <row r="3326" spans="1:1" x14ac:dyDescent="0.3">
      <c r="A3326" s="12"/>
    </row>
    <row r="3327" spans="1:1" x14ac:dyDescent="0.3">
      <c r="A3327" s="12"/>
    </row>
    <row r="3328" spans="1:1" x14ac:dyDescent="0.3">
      <c r="A3328" s="12"/>
    </row>
    <row r="3329" spans="1:1" x14ac:dyDescent="0.3">
      <c r="A3329" s="12"/>
    </row>
    <row r="3330" spans="1:1" x14ac:dyDescent="0.3">
      <c r="A3330" s="12"/>
    </row>
    <row r="3331" spans="1:1" x14ac:dyDescent="0.3">
      <c r="A3331" s="12"/>
    </row>
    <row r="3332" spans="1:1" x14ac:dyDescent="0.3">
      <c r="A3332" s="12"/>
    </row>
    <row r="3333" spans="1:1" x14ac:dyDescent="0.3">
      <c r="A3333" s="12"/>
    </row>
    <row r="3334" spans="1:1" x14ac:dyDescent="0.3">
      <c r="A3334" s="12"/>
    </row>
    <row r="3335" spans="1:1" x14ac:dyDescent="0.3">
      <c r="A3335" s="12"/>
    </row>
    <row r="3336" spans="1:1" x14ac:dyDescent="0.3">
      <c r="A3336" s="12"/>
    </row>
    <row r="3337" spans="1:1" x14ac:dyDescent="0.3">
      <c r="A3337" s="12"/>
    </row>
    <row r="3338" spans="1:1" x14ac:dyDescent="0.3">
      <c r="A3338" s="12"/>
    </row>
    <row r="3339" spans="1:1" x14ac:dyDescent="0.3">
      <c r="A3339" s="12"/>
    </row>
    <row r="3340" spans="1:1" x14ac:dyDescent="0.3">
      <c r="A3340" s="12"/>
    </row>
    <row r="3341" spans="1:1" x14ac:dyDescent="0.3">
      <c r="A3341" s="12"/>
    </row>
    <row r="3342" spans="1:1" x14ac:dyDescent="0.3">
      <c r="A3342" s="12"/>
    </row>
    <row r="3343" spans="1:1" x14ac:dyDescent="0.3">
      <c r="A3343" s="12"/>
    </row>
    <row r="3344" spans="1:1" x14ac:dyDescent="0.3">
      <c r="A3344" s="12"/>
    </row>
    <row r="3345" spans="1:1" x14ac:dyDescent="0.3">
      <c r="A3345" s="12"/>
    </row>
    <row r="3346" spans="1:1" x14ac:dyDescent="0.3">
      <c r="A3346" s="12"/>
    </row>
    <row r="3347" spans="1:1" x14ac:dyDescent="0.3">
      <c r="A3347" s="12"/>
    </row>
    <row r="3348" spans="1:1" x14ac:dyDescent="0.3">
      <c r="A3348" s="12"/>
    </row>
    <row r="3349" spans="1:1" x14ac:dyDescent="0.3">
      <c r="A3349" s="12"/>
    </row>
    <row r="3350" spans="1:1" x14ac:dyDescent="0.3">
      <c r="A3350" s="12"/>
    </row>
    <row r="3351" spans="1:1" x14ac:dyDescent="0.3">
      <c r="A3351" s="12"/>
    </row>
    <row r="3352" spans="1:1" x14ac:dyDescent="0.3">
      <c r="A3352" s="12"/>
    </row>
    <row r="3353" spans="1:1" x14ac:dyDescent="0.3">
      <c r="A3353" s="12"/>
    </row>
    <row r="3354" spans="1:1" x14ac:dyDescent="0.3">
      <c r="A3354" s="12"/>
    </row>
    <row r="3355" spans="1:1" x14ac:dyDescent="0.3">
      <c r="A3355" s="12"/>
    </row>
    <row r="3356" spans="1:1" x14ac:dyDescent="0.3">
      <c r="A3356" s="12"/>
    </row>
    <row r="3357" spans="1:1" x14ac:dyDescent="0.3">
      <c r="A3357" s="12"/>
    </row>
    <row r="3358" spans="1:1" x14ac:dyDescent="0.3">
      <c r="A3358" s="12"/>
    </row>
    <row r="3359" spans="1:1" x14ac:dyDescent="0.3">
      <c r="A3359" s="12"/>
    </row>
    <row r="3360" spans="1:1" x14ac:dyDescent="0.3">
      <c r="A3360" s="12"/>
    </row>
    <row r="3361" spans="1:1" x14ac:dyDescent="0.3">
      <c r="A3361" s="12"/>
    </row>
    <row r="3362" spans="1:1" x14ac:dyDescent="0.3">
      <c r="A3362" s="12"/>
    </row>
    <row r="3363" spans="1:1" x14ac:dyDescent="0.3">
      <c r="A3363" s="12"/>
    </row>
    <row r="3364" spans="1:1" x14ac:dyDescent="0.3">
      <c r="A3364" s="12"/>
    </row>
    <row r="3365" spans="1:1" x14ac:dyDescent="0.3">
      <c r="A3365" s="12"/>
    </row>
    <row r="3366" spans="1:1" x14ac:dyDescent="0.3">
      <c r="A3366" s="12"/>
    </row>
    <row r="3367" spans="1:1" x14ac:dyDescent="0.3">
      <c r="A3367" s="12"/>
    </row>
    <row r="3368" spans="1:1" x14ac:dyDescent="0.3">
      <c r="A3368" s="12"/>
    </row>
    <row r="3369" spans="1:1" x14ac:dyDescent="0.3">
      <c r="A3369" s="12"/>
    </row>
    <row r="3370" spans="1:1" x14ac:dyDescent="0.3">
      <c r="A3370" s="12"/>
    </row>
    <row r="3371" spans="1:1" x14ac:dyDescent="0.3">
      <c r="A3371" s="12"/>
    </row>
    <row r="3372" spans="1:1" x14ac:dyDescent="0.3">
      <c r="A3372" s="12"/>
    </row>
    <row r="3373" spans="1:1" x14ac:dyDescent="0.3">
      <c r="A3373" s="12"/>
    </row>
    <row r="3374" spans="1:1" x14ac:dyDescent="0.3">
      <c r="A3374" s="12"/>
    </row>
    <row r="3375" spans="1:1" x14ac:dyDescent="0.3">
      <c r="A3375" s="12"/>
    </row>
    <row r="3376" spans="1:1" x14ac:dyDescent="0.3">
      <c r="A3376" s="12"/>
    </row>
    <row r="3377" spans="1:1" x14ac:dyDescent="0.3">
      <c r="A3377" s="12"/>
    </row>
    <row r="3378" spans="1:1" x14ac:dyDescent="0.3">
      <c r="A3378" s="12"/>
    </row>
    <row r="3379" spans="1:1" x14ac:dyDescent="0.3">
      <c r="A3379" s="12"/>
    </row>
    <row r="3380" spans="1:1" x14ac:dyDescent="0.3">
      <c r="A3380" s="12"/>
    </row>
    <row r="3381" spans="1:1" x14ac:dyDescent="0.3">
      <c r="A3381" s="12"/>
    </row>
    <row r="3382" spans="1:1" x14ac:dyDescent="0.3">
      <c r="A3382" s="12"/>
    </row>
    <row r="3383" spans="1:1" x14ac:dyDescent="0.3">
      <c r="A3383" s="12"/>
    </row>
    <row r="3384" spans="1:1" x14ac:dyDescent="0.3">
      <c r="A3384" s="12"/>
    </row>
    <row r="3385" spans="1:1" x14ac:dyDescent="0.3">
      <c r="A3385" s="12"/>
    </row>
    <row r="3386" spans="1:1" x14ac:dyDescent="0.3">
      <c r="A3386" s="12"/>
    </row>
    <row r="3387" spans="1:1" x14ac:dyDescent="0.3">
      <c r="A3387" s="12"/>
    </row>
    <row r="3388" spans="1:1" x14ac:dyDescent="0.3">
      <c r="A3388" s="12"/>
    </row>
    <row r="3389" spans="1:1" x14ac:dyDescent="0.3">
      <c r="A3389" s="12"/>
    </row>
    <row r="3390" spans="1:1" x14ac:dyDescent="0.3">
      <c r="A3390" s="12"/>
    </row>
    <row r="3391" spans="1:1" x14ac:dyDescent="0.3">
      <c r="A3391" s="12"/>
    </row>
    <row r="3392" spans="1:1" x14ac:dyDescent="0.3">
      <c r="A3392" s="12"/>
    </row>
    <row r="3393" spans="1:1" x14ac:dyDescent="0.3">
      <c r="A3393" s="12"/>
    </row>
    <row r="3394" spans="1:1" x14ac:dyDescent="0.3">
      <c r="A3394" s="12"/>
    </row>
    <row r="3395" spans="1:1" x14ac:dyDescent="0.3">
      <c r="A3395" s="12"/>
    </row>
    <row r="3396" spans="1:1" x14ac:dyDescent="0.3">
      <c r="A3396" s="12"/>
    </row>
    <row r="3397" spans="1:1" x14ac:dyDescent="0.3">
      <c r="A3397" s="12"/>
    </row>
    <row r="3398" spans="1:1" x14ac:dyDescent="0.3">
      <c r="A3398" s="12"/>
    </row>
    <row r="3399" spans="1:1" x14ac:dyDescent="0.3">
      <c r="A3399" s="12"/>
    </row>
    <row r="3400" spans="1:1" x14ac:dyDescent="0.3">
      <c r="A3400" s="12"/>
    </row>
    <row r="3401" spans="1:1" x14ac:dyDescent="0.3">
      <c r="A3401" s="12"/>
    </row>
    <row r="3402" spans="1:1" x14ac:dyDescent="0.3">
      <c r="A3402" s="12"/>
    </row>
    <row r="3403" spans="1:1" x14ac:dyDescent="0.3">
      <c r="A3403" s="12"/>
    </row>
    <row r="3404" spans="1:1" x14ac:dyDescent="0.3">
      <c r="A3404" s="12"/>
    </row>
    <row r="3405" spans="1:1" x14ac:dyDescent="0.3">
      <c r="A3405" s="12"/>
    </row>
    <row r="3406" spans="1:1" x14ac:dyDescent="0.3">
      <c r="A3406" s="12"/>
    </row>
    <row r="3407" spans="1:1" x14ac:dyDescent="0.3">
      <c r="A3407" s="12"/>
    </row>
    <row r="3408" spans="1:1" x14ac:dyDescent="0.3">
      <c r="A3408" s="12"/>
    </row>
    <row r="3409" spans="1:1" x14ac:dyDescent="0.3">
      <c r="A3409" s="12"/>
    </row>
    <row r="3410" spans="1:1" x14ac:dyDescent="0.3">
      <c r="A3410" s="12"/>
    </row>
    <row r="3411" spans="1:1" x14ac:dyDescent="0.3">
      <c r="A3411" s="12"/>
    </row>
    <row r="3412" spans="1:1" x14ac:dyDescent="0.3">
      <c r="A3412" s="12"/>
    </row>
    <row r="3413" spans="1:1" x14ac:dyDescent="0.3">
      <c r="A3413" s="12"/>
    </row>
    <row r="3414" spans="1:1" x14ac:dyDescent="0.3">
      <c r="A3414" s="12"/>
    </row>
    <row r="3415" spans="1:1" x14ac:dyDescent="0.3">
      <c r="A3415" s="12"/>
    </row>
    <row r="3416" spans="1:1" x14ac:dyDescent="0.3">
      <c r="A3416" s="12"/>
    </row>
    <row r="3417" spans="1:1" x14ac:dyDescent="0.3">
      <c r="A3417" s="12"/>
    </row>
    <row r="3418" spans="1:1" x14ac:dyDescent="0.3">
      <c r="A3418" s="12"/>
    </row>
    <row r="3419" spans="1:1" x14ac:dyDescent="0.3">
      <c r="A3419" s="12"/>
    </row>
    <row r="3420" spans="1:1" x14ac:dyDescent="0.3">
      <c r="A3420" s="12"/>
    </row>
    <row r="3421" spans="1:1" x14ac:dyDescent="0.3">
      <c r="A3421" s="12"/>
    </row>
    <row r="3422" spans="1:1" x14ac:dyDescent="0.3">
      <c r="A3422" s="12"/>
    </row>
    <row r="3423" spans="1:1" x14ac:dyDescent="0.3">
      <c r="A3423" s="12"/>
    </row>
    <row r="3424" spans="1:1" x14ac:dyDescent="0.3">
      <c r="A3424" s="12"/>
    </row>
    <row r="3425" spans="1:1" x14ac:dyDescent="0.3">
      <c r="A3425" s="12"/>
    </row>
    <row r="3426" spans="1:1" x14ac:dyDescent="0.3">
      <c r="A3426" s="12"/>
    </row>
    <row r="3427" spans="1:1" x14ac:dyDescent="0.3">
      <c r="A3427" s="12"/>
    </row>
    <row r="3428" spans="1:1" x14ac:dyDescent="0.3">
      <c r="A3428" s="12"/>
    </row>
    <row r="3429" spans="1:1" x14ac:dyDescent="0.3">
      <c r="A3429" s="12"/>
    </row>
    <row r="3430" spans="1:1" x14ac:dyDescent="0.3">
      <c r="A3430" s="12"/>
    </row>
    <row r="3431" spans="1:1" x14ac:dyDescent="0.3">
      <c r="A3431" s="12"/>
    </row>
    <row r="3432" spans="1:1" x14ac:dyDescent="0.3">
      <c r="A3432" s="12"/>
    </row>
    <row r="3433" spans="1:1" x14ac:dyDescent="0.3">
      <c r="A3433" s="12"/>
    </row>
    <row r="3434" spans="1:1" x14ac:dyDescent="0.3">
      <c r="A3434" s="12"/>
    </row>
    <row r="3435" spans="1:1" x14ac:dyDescent="0.3">
      <c r="A3435" s="12"/>
    </row>
    <row r="3436" spans="1:1" x14ac:dyDescent="0.3">
      <c r="A3436" s="12"/>
    </row>
    <row r="3437" spans="1:1" x14ac:dyDescent="0.3">
      <c r="A3437" s="12"/>
    </row>
    <row r="3438" spans="1:1" x14ac:dyDescent="0.3">
      <c r="A3438" s="12"/>
    </row>
    <row r="3439" spans="1:1" x14ac:dyDescent="0.3">
      <c r="A3439" s="12"/>
    </row>
    <row r="3440" spans="1:1" x14ac:dyDescent="0.3">
      <c r="A3440" s="12"/>
    </row>
    <row r="3441" spans="1:1" x14ac:dyDescent="0.3">
      <c r="A3441" s="12"/>
    </row>
    <row r="3442" spans="1:1" x14ac:dyDescent="0.3">
      <c r="A3442" s="12"/>
    </row>
    <row r="3443" spans="1:1" x14ac:dyDescent="0.3">
      <c r="A3443" s="12"/>
    </row>
    <row r="3444" spans="1:1" x14ac:dyDescent="0.3">
      <c r="A3444" s="12"/>
    </row>
    <row r="3445" spans="1:1" x14ac:dyDescent="0.3">
      <c r="A3445" s="12"/>
    </row>
    <row r="3446" spans="1:1" x14ac:dyDescent="0.3">
      <c r="A3446" s="12"/>
    </row>
    <row r="3447" spans="1:1" x14ac:dyDescent="0.3">
      <c r="A3447" s="12"/>
    </row>
    <row r="3448" spans="1:1" x14ac:dyDescent="0.3">
      <c r="A3448" s="12"/>
    </row>
    <row r="3449" spans="1:1" x14ac:dyDescent="0.3">
      <c r="A3449" s="12"/>
    </row>
    <row r="3450" spans="1:1" x14ac:dyDescent="0.3">
      <c r="A3450" s="12"/>
    </row>
    <row r="3451" spans="1:1" x14ac:dyDescent="0.3">
      <c r="A3451" s="12"/>
    </row>
    <row r="3452" spans="1:1" x14ac:dyDescent="0.3">
      <c r="A3452" s="12"/>
    </row>
    <row r="3453" spans="1:1" x14ac:dyDescent="0.3">
      <c r="A3453" s="12"/>
    </row>
    <row r="3454" spans="1:1" x14ac:dyDescent="0.3">
      <c r="A3454" s="12"/>
    </row>
    <row r="3455" spans="1:1" x14ac:dyDescent="0.3">
      <c r="A3455" s="12"/>
    </row>
    <row r="3456" spans="1:1" x14ac:dyDescent="0.3">
      <c r="A3456" s="12"/>
    </row>
    <row r="3457" spans="1:1" x14ac:dyDescent="0.3">
      <c r="A3457" s="12"/>
    </row>
    <row r="3458" spans="1:1" x14ac:dyDescent="0.3">
      <c r="A3458" s="12"/>
    </row>
    <row r="3459" spans="1:1" x14ac:dyDescent="0.3">
      <c r="A3459" s="12"/>
    </row>
    <row r="3460" spans="1:1" x14ac:dyDescent="0.3">
      <c r="A3460" s="12"/>
    </row>
    <row r="3461" spans="1:1" x14ac:dyDescent="0.3">
      <c r="A3461" s="12"/>
    </row>
    <row r="3462" spans="1:1" x14ac:dyDescent="0.3">
      <c r="A3462" s="12"/>
    </row>
    <row r="3463" spans="1:1" x14ac:dyDescent="0.3">
      <c r="A3463" s="12"/>
    </row>
    <row r="3464" spans="1:1" x14ac:dyDescent="0.3">
      <c r="A3464" s="12"/>
    </row>
    <row r="3465" spans="1:1" x14ac:dyDescent="0.3">
      <c r="A3465" s="12"/>
    </row>
    <row r="3466" spans="1:1" x14ac:dyDescent="0.3">
      <c r="A3466" s="12"/>
    </row>
    <row r="3467" spans="1:1" x14ac:dyDescent="0.3">
      <c r="A3467" s="12"/>
    </row>
    <row r="3468" spans="1:1" x14ac:dyDescent="0.3">
      <c r="A3468" s="12"/>
    </row>
    <row r="3469" spans="1:1" x14ac:dyDescent="0.3">
      <c r="A3469" s="12"/>
    </row>
    <row r="3470" spans="1:1" x14ac:dyDescent="0.3">
      <c r="A3470" s="12"/>
    </row>
    <row r="3471" spans="1:1" x14ac:dyDescent="0.3">
      <c r="A3471" s="12"/>
    </row>
    <row r="3472" spans="1:1" x14ac:dyDescent="0.3">
      <c r="A3472" s="12"/>
    </row>
    <row r="3473" spans="1:1" x14ac:dyDescent="0.3">
      <c r="A3473" s="12"/>
    </row>
    <row r="3474" spans="1:1" x14ac:dyDescent="0.3">
      <c r="A3474" s="12"/>
    </row>
    <row r="3475" spans="1:1" x14ac:dyDescent="0.3">
      <c r="A3475" s="12"/>
    </row>
    <row r="3476" spans="1:1" x14ac:dyDescent="0.3">
      <c r="A3476" s="12"/>
    </row>
    <row r="3477" spans="1:1" x14ac:dyDescent="0.3">
      <c r="A3477" s="12"/>
    </row>
    <row r="3478" spans="1:1" x14ac:dyDescent="0.3">
      <c r="A3478" s="12"/>
    </row>
    <row r="3479" spans="1:1" x14ac:dyDescent="0.3">
      <c r="A3479" s="12"/>
    </row>
    <row r="3480" spans="1:1" x14ac:dyDescent="0.3">
      <c r="A3480" s="12"/>
    </row>
    <row r="3481" spans="1:1" x14ac:dyDescent="0.3">
      <c r="A3481" s="12"/>
    </row>
    <row r="3482" spans="1:1" x14ac:dyDescent="0.3">
      <c r="A3482" s="12"/>
    </row>
    <row r="3483" spans="1:1" x14ac:dyDescent="0.3">
      <c r="A3483" s="12"/>
    </row>
    <row r="3484" spans="1:1" x14ac:dyDescent="0.3">
      <c r="A3484" s="12"/>
    </row>
    <row r="3485" spans="1:1" x14ac:dyDescent="0.3">
      <c r="A3485" s="12"/>
    </row>
    <row r="3486" spans="1:1" x14ac:dyDescent="0.3">
      <c r="A3486" s="12"/>
    </row>
    <row r="3487" spans="1:1" x14ac:dyDescent="0.3">
      <c r="A3487" s="12"/>
    </row>
    <row r="3488" spans="1:1" x14ac:dyDescent="0.3">
      <c r="A3488" s="12"/>
    </row>
    <row r="3489" spans="1:1" x14ac:dyDescent="0.3">
      <c r="A3489" s="12"/>
    </row>
    <row r="3490" spans="1:1" x14ac:dyDescent="0.3">
      <c r="A3490" s="12"/>
    </row>
    <row r="3491" spans="1:1" x14ac:dyDescent="0.3">
      <c r="A3491" s="12"/>
    </row>
    <row r="3492" spans="1:1" x14ac:dyDescent="0.3">
      <c r="A3492" s="12"/>
    </row>
    <row r="3493" spans="1:1" x14ac:dyDescent="0.3">
      <c r="A3493" s="12"/>
    </row>
    <row r="3494" spans="1:1" x14ac:dyDescent="0.3">
      <c r="A3494" s="12"/>
    </row>
    <row r="3495" spans="1:1" x14ac:dyDescent="0.3">
      <c r="A3495" s="12"/>
    </row>
    <row r="3496" spans="1:1" x14ac:dyDescent="0.3">
      <c r="A3496" s="12"/>
    </row>
    <row r="3497" spans="1:1" x14ac:dyDescent="0.3">
      <c r="A3497" s="12"/>
    </row>
    <row r="3498" spans="1:1" x14ac:dyDescent="0.3">
      <c r="A3498" s="12"/>
    </row>
    <row r="3499" spans="1:1" x14ac:dyDescent="0.3">
      <c r="A3499" s="12"/>
    </row>
    <row r="3500" spans="1:1" x14ac:dyDescent="0.3">
      <c r="A3500" s="12"/>
    </row>
    <row r="3501" spans="1:1" x14ac:dyDescent="0.3">
      <c r="A3501" s="12"/>
    </row>
    <row r="3502" spans="1:1" x14ac:dyDescent="0.3">
      <c r="A3502" s="12"/>
    </row>
    <row r="3503" spans="1:1" x14ac:dyDescent="0.3">
      <c r="A3503" s="12"/>
    </row>
    <row r="3504" spans="1:1" x14ac:dyDescent="0.3">
      <c r="A3504" s="12"/>
    </row>
    <row r="3505" spans="1:1" x14ac:dyDescent="0.3">
      <c r="A3505" s="12"/>
    </row>
    <row r="3506" spans="1:1" x14ac:dyDescent="0.3">
      <c r="A3506" s="12"/>
    </row>
    <row r="3507" spans="1:1" x14ac:dyDescent="0.3">
      <c r="A3507" s="12"/>
    </row>
    <row r="3508" spans="1:1" x14ac:dyDescent="0.3">
      <c r="A3508" s="12"/>
    </row>
    <row r="3509" spans="1:1" x14ac:dyDescent="0.3">
      <c r="A3509" s="12"/>
    </row>
    <row r="3510" spans="1:1" x14ac:dyDescent="0.3">
      <c r="A3510" s="12"/>
    </row>
    <row r="3511" spans="1:1" x14ac:dyDescent="0.3">
      <c r="A3511" s="12"/>
    </row>
    <row r="3512" spans="1:1" x14ac:dyDescent="0.3">
      <c r="A3512" s="12"/>
    </row>
    <row r="3513" spans="1:1" x14ac:dyDescent="0.3">
      <c r="A3513" s="12"/>
    </row>
    <row r="3514" spans="1:1" x14ac:dyDescent="0.3">
      <c r="A3514" s="12"/>
    </row>
    <row r="3515" spans="1:1" x14ac:dyDescent="0.3">
      <c r="A3515" s="12"/>
    </row>
    <row r="3516" spans="1:1" x14ac:dyDescent="0.3">
      <c r="A3516" s="12"/>
    </row>
    <row r="3517" spans="1:1" x14ac:dyDescent="0.3">
      <c r="A3517" s="12"/>
    </row>
    <row r="3518" spans="1:1" x14ac:dyDescent="0.3">
      <c r="A3518" s="12"/>
    </row>
    <row r="3519" spans="1:1" x14ac:dyDescent="0.3">
      <c r="A3519" s="12"/>
    </row>
    <row r="3520" spans="1:1" x14ac:dyDescent="0.3">
      <c r="A3520" s="12"/>
    </row>
    <row r="3521" spans="1:1" x14ac:dyDescent="0.3">
      <c r="A3521" s="12"/>
    </row>
    <row r="3522" spans="1:1" x14ac:dyDescent="0.3">
      <c r="A3522" s="12"/>
    </row>
    <row r="3523" spans="1:1" x14ac:dyDescent="0.3">
      <c r="A3523" s="12"/>
    </row>
    <row r="3524" spans="1:1" x14ac:dyDescent="0.3">
      <c r="A3524" s="12"/>
    </row>
    <row r="3525" spans="1:1" x14ac:dyDescent="0.3">
      <c r="A3525" s="12"/>
    </row>
    <row r="3526" spans="1:1" x14ac:dyDescent="0.3">
      <c r="A3526" s="12"/>
    </row>
    <row r="3527" spans="1:1" x14ac:dyDescent="0.3">
      <c r="A3527" s="12"/>
    </row>
    <row r="3528" spans="1:1" x14ac:dyDescent="0.3">
      <c r="A3528" s="12"/>
    </row>
    <row r="3529" spans="1:1" x14ac:dyDescent="0.3">
      <c r="A3529" s="12"/>
    </row>
    <row r="3530" spans="1:1" x14ac:dyDescent="0.3">
      <c r="A3530" s="12"/>
    </row>
    <row r="3531" spans="1:1" x14ac:dyDescent="0.3">
      <c r="A3531" s="12"/>
    </row>
    <row r="3532" spans="1:1" x14ac:dyDescent="0.3">
      <c r="A3532" s="12"/>
    </row>
    <row r="3533" spans="1:1" x14ac:dyDescent="0.3">
      <c r="A3533" s="12"/>
    </row>
    <row r="3534" spans="1:1" x14ac:dyDescent="0.3">
      <c r="A3534" s="12"/>
    </row>
    <row r="3535" spans="1:1" x14ac:dyDescent="0.3">
      <c r="A3535" s="12"/>
    </row>
    <row r="3536" spans="1:1" x14ac:dyDescent="0.3">
      <c r="A3536" s="12"/>
    </row>
    <row r="3537" spans="1:1" x14ac:dyDescent="0.3">
      <c r="A3537" s="12"/>
    </row>
    <row r="3538" spans="1:1" x14ac:dyDescent="0.3">
      <c r="A3538" s="12"/>
    </row>
    <row r="3539" spans="1:1" x14ac:dyDescent="0.3">
      <c r="A3539" s="12"/>
    </row>
    <row r="3540" spans="1:1" x14ac:dyDescent="0.3">
      <c r="A3540" s="12"/>
    </row>
    <row r="3541" spans="1:1" x14ac:dyDescent="0.3">
      <c r="A3541" s="12"/>
    </row>
    <row r="3542" spans="1:1" x14ac:dyDescent="0.3">
      <c r="A3542" s="12"/>
    </row>
    <row r="3543" spans="1:1" x14ac:dyDescent="0.3">
      <c r="A3543" s="12"/>
    </row>
    <row r="3544" spans="1:1" x14ac:dyDescent="0.3">
      <c r="A3544" s="12"/>
    </row>
    <row r="3545" spans="1:1" x14ac:dyDescent="0.3">
      <c r="A3545" s="12"/>
    </row>
    <row r="3546" spans="1:1" x14ac:dyDescent="0.3">
      <c r="A3546" s="12"/>
    </row>
    <row r="3547" spans="1:1" x14ac:dyDescent="0.3">
      <c r="A3547" s="12"/>
    </row>
    <row r="3548" spans="1:1" x14ac:dyDescent="0.3">
      <c r="A3548" s="12"/>
    </row>
    <row r="3549" spans="1:1" x14ac:dyDescent="0.3">
      <c r="A3549" s="12"/>
    </row>
    <row r="3550" spans="1:1" x14ac:dyDescent="0.3">
      <c r="A3550" s="12"/>
    </row>
    <row r="3551" spans="1:1" x14ac:dyDescent="0.3">
      <c r="A3551" s="12"/>
    </row>
    <row r="3552" spans="1:1" x14ac:dyDescent="0.3">
      <c r="A3552" s="12"/>
    </row>
    <row r="3553" spans="1:1" x14ac:dyDescent="0.3">
      <c r="A3553" s="12"/>
    </row>
    <row r="3554" spans="1:1" x14ac:dyDescent="0.3">
      <c r="A3554" s="12"/>
    </row>
    <row r="3555" spans="1:1" x14ac:dyDescent="0.3">
      <c r="A3555" s="12"/>
    </row>
    <row r="3556" spans="1:1" x14ac:dyDescent="0.3">
      <c r="A3556" s="12"/>
    </row>
    <row r="3557" spans="1:1" x14ac:dyDescent="0.3">
      <c r="A3557" s="12"/>
    </row>
    <row r="3558" spans="1:1" x14ac:dyDescent="0.3">
      <c r="A3558" s="12"/>
    </row>
    <row r="3559" spans="1:1" x14ac:dyDescent="0.3">
      <c r="A3559" s="12"/>
    </row>
    <row r="3560" spans="1:1" x14ac:dyDescent="0.3">
      <c r="A3560" s="12"/>
    </row>
    <row r="3561" spans="1:1" x14ac:dyDescent="0.3">
      <c r="A3561" s="12"/>
    </row>
    <row r="3562" spans="1:1" x14ac:dyDescent="0.3">
      <c r="A3562" s="12"/>
    </row>
    <row r="3563" spans="1:1" x14ac:dyDescent="0.3">
      <c r="A3563" s="12"/>
    </row>
    <row r="3564" spans="1:1" x14ac:dyDescent="0.3">
      <c r="A3564" s="12"/>
    </row>
    <row r="3565" spans="1:1" x14ac:dyDescent="0.3">
      <c r="A3565" s="12"/>
    </row>
    <row r="3566" spans="1:1" x14ac:dyDescent="0.3">
      <c r="A3566" s="12"/>
    </row>
    <row r="3567" spans="1:1" x14ac:dyDescent="0.3">
      <c r="A3567" s="12"/>
    </row>
    <row r="3568" spans="1:1" x14ac:dyDescent="0.3">
      <c r="A3568" s="12"/>
    </row>
    <row r="3569" spans="1:1" x14ac:dyDescent="0.3">
      <c r="A3569" s="12"/>
    </row>
    <row r="3570" spans="1:1" x14ac:dyDescent="0.3">
      <c r="A3570" s="12"/>
    </row>
    <row r="3571" spans="1:1" x14ac:dyDescent="0.3">
      <c r="A3571" s="12"/>
    </row>
    <row r="3572" spans="1:1" x14ac:dyDescent="0.3">
      <c r="A3572" s="12"/>
    </row>
    <row r="3573" spans="1:1" x14ac:dyDescent="0.3">
      <c r="A3573" s="12"/>
    </row>
    <row r="3574" spans="1:1" x14ac:dyDescent="0.3">
      <c r="A3574" s="12"/>
    </row>
    <row r="3575" spans="1:1" x14ac:dyDescent="0.3">
      <c r="A3575" s="12"/>
    </row>
    <row r="3576" spans="1:1" x14ac:dyDescent="0.3">
      <c r="A3576" s="12"/>
    </row>
    <row r="3577" spans="1:1" x14ac:dyDescent="0.3">
      <c r="A3577" s="12"/>
    </row>
    <row r="3578" spans="1:1" x14ac:dyDescent="0.3">
      <c r="A3578" s="12"/>
    </row>
    <row r="3579" spans="1:1" x14ac:dyDescent="0.3">
      <c r="A3579" s="12"/>
    </row>
    <row r="3580" spans="1:1" x14ac:dyDescent="0.3">
      <c r="A3580" s="12"/>
    </row>
    <row r="3581" spans="1:1" x14ac:dyDescent="0.3">
      <c r="A3581" s="12"/>
    </row>
    <row r="3582" spans="1:1" x14ac:dyDescent="0.3">
      <c r="A3582" s="12"/>
    </row>
    <row r="3583" spans="1:1" x14ac:dyDescent="0.3">
      <c r="A3583" s="12"/>
    </row>
    <row r="3584" spans="1:1" x14ac:dyDescent="0.3">
      <c r="A3584" s="12"/>
    </row>
    <row r="3585" spans="1:1" x14ac:dyDescent="0.3">
      <c r="A3585" s="12"/>
    </row>
    <row r="3586" spans="1:1" x14ac:dyDescent="0.3">
      <c r="A3586" s="12"/>
    </row>
    <row r="3587" spans="1:1" x14ac:dyDescent="0.3">
      <c r="A3587" s="12"/>
    </row>
    <row r="3588" spans="1:1" x14ac:dyDescent="0.3">
      <c r="A3588" s="12"/>
    </row>
    <row r="3589" spans="1:1" x14ac:dyDescent="0.3">
      <c r="A3589" s="12"/>
    </row>
    <row r="3590" spans="1:1" x14ac:dyDescent="0.3">
      <c r="A3590" s="12"/>
    </row>
    <row r="3591" spans="1:1" x14ac:dyDescent="0.3">
      <c r="A3591" s="12"/>
    </row>
    <row r="3592" spans="1:1" x14ac:dyDescent="0.3">
      <c r="A3592" s="12"/>
    </row>
    <row r="3593" spans="1:1" x14ac:dyDescent="0.3">
      <c r="A3593" s="12"/>
    </row>
    <row r="3594" spans="1:1" x14ac:dyDescent="0.3">
      <c r="A3594" s="12"/>
    </row>
    <row r="3595" spans="1:1" x14ac:dyDescent="0.3">
      <c r="A3595" s="12"/>
    </row>
    <row r="3596" spans="1:1" x14ac:dyDescent="0.3">
      <c r="A3596" s="12"/>
    </row>
    <row r="3597" spans="1:1" x14ac:dyDescent="0.3">
      <c r="A3597" s="12"/>
    </row>
    <row r="3598" spans="1:1" x14ac:dyDescent="0.3">
      <c r="A3598" s="12"/>
    </row>
    <row r="3599" spans="1:1" x14ac:dyDescent="0.3">
      <c r="A3599" s="12"/>
    </row>
    <row r="3600" spans="1:1" x14ac:dyDescent="0.3">
      <c r="A3600" s="12"/>
    </row>
    <row r="3601" spans="1:1" x14ac:dyDescent="0.3">
      <c r="A3601" s="12"/>
    </row>
    <row r="3602" spans="1:1" x14ac:dyDescent="0.3">
      <c r="A3602" s="12"/>
    </row>
    <row r="3603" spans="1:1" x14ac:dyDescent="0.3">
      <c r="A3603" s="12"/>
    </row>
    <row r="3604" spans="1:1" x14ac:dyDescent="0.3">
      <c r="A3604" s="12"/>
    </row>
    <row r="3605" spans="1:1" x14ac:dyDescent="0.3">
      <c r="A3605" s="12"/>
    </row>
    <row r="3606" spans="1:1" x14ac:dyDescent="0.3">
      <c r="A3606" s="12"/>
    </row>
    <row r="3607" spans="1:1" x14ac:dyDescent="0.3">
      <c r="A3607" s="12"/>
    </row>
    <row r="3608" spans="1:1" x14ac:dyDescent="0.3">
      <c r="A3608" s="12"/>
    </row>
    <row r="3609" spans="1:1" x14ac:dyDescent="0.3">
      <c r="A3609" s="12"/>
    </row>
    <row r="3610" spans="1:1" x14ac:dyDescent="0.3">
      <c r="A3610" s="12"/>
    </row>
    <row r="3611" spans="1:1" x14ac:dyDescent="0.3">
      <c r="A3611" s="12"/>
    </row>
    <row r="3612" spans="1:1" x14ac:dyDescent="0.3">
      <c r="A3612" s="12"/>
    </row>
    <row r="3613" spans="1:1" x14ac:dyDescent="0.3">
      <c r="A3613" s="12"/>
    </row>
    <row r="3614" spans="1:1" x14ac:dyDescent="0.3">
      <c r="A3614" s="12"/>
    </row>
    <row r="3615" spans="1:1" x14ac:dyDescent="0.3">
      <c r="A3615" s="12"/>
    </row>
    <row r="3616" spans="1:1" x14ac:dyDescent="0.3">
      <c r="A3616" s="12"/>
    </row>
    <row r="3617" spans="1:1" x14ac:dyDescent="0.3">
      <c r="A3617" s="12"/>
    </row>
    <row r="3618" spans="1:1" x14ac:dyDescent="0.3">
      <c r="A3618" s="12"/>
    </row>
    <row r="3619" spans="1:1" x14ac:dyDescent="0.3">
      <c r="A3619" s="12"/>
    </row>
    <row r="3620" spans="1:1" x14ac:dyDescent="0.3">
      <c r="A3620" s="12"/>
    </row>
    <row r="3621" spans="1:1" x14ac:dyDescent="0.3">
      <c r="A3621" s="12"/>
    </row>
    <row r="3622" spans="1:1" x14ac:dyDescent="0.3">
      <c r="A3622" s="12"/>
    </row>
    <row r="3623" spans="1:1" x14ac:dyDescent="0.3">
      <c r="A3623" s="12"/>
    </row>
    <row r="3624" spans="1:1" x14ac:dyDescent="0.3">
      <c r="A3624" s="12"/>
    </row>
    <row r="3625" spans="1:1" x14ac:dyDescent="0.3">
      <c r="A3625" s="12"/>
    </row>
    <row r="3626" spans="1:1" x14ac:dyDescent="0.3">
      <c r="A3626" s="12"/>
    </row>
    <row r="3627" spans="1:1" x14ac:dyDescent="0.3">
      <c r="A3627" s="12"/>
    </row>
    <row r="3628" spans="1:1" x14ac:dyDescent="0.3">
      <c r="A3628" s="12"/>
    </row>
    <row r="3629" spans="1:1" x14ac:dyDescent="0.3">
      <c r="A3629" s="12"/>
    </row>
    <row r="3630" spans="1:1" x14ac:dyDescent="0.3">
      <c r="A3630" s="12"/>
    </row>
    <row r="3631" spans="1:1" x14ac:dyDescent="0.3">
      <c r="A3631" s="12"/>
    </row>
    <row r="3632" spans="1:1" x14ac:dyDescent="0.3">
      <c r="A3632" s="12"/>
    </row>
    <row r="3633" spans="1:1" x14ac:dyDescent="0.3">
      <c r="A3633" s="12"/>
    </row>
    <row r="3634" spans="1:1" x14ac:dyDescent="0.3">
      <c r="A3634" s="12"/>
    </row>
    <row r="3635" spans="1:1" x14ac:dyDescent="0.3">
      <c r="A3635" s="12"/>
    </row>
    <row r="3636" spans="1:1" x14ac:dyDescent="0.3">
      <c r="A3636" s="12"/>
    </row>
    <row r="3637" spans="1:1" x14ac:dyDescent="0.3">
      <c r="A3637" s="12"/>
    </row>
    <row r="3638" spans="1:1" x14ac:dyDescent="0.3">
      <c r="A3638" s="12"/>
    </row>
    <row r="3639" spans="1:1" x14ac:dyDescent="0.3">
      <c r="A3639" s="12"/>
    </row>
    <row r="3640" spans="1:1" x14ac:dyDescent="0.3">
      <c r="A3640" s="12"/>
    </row>
    <row r="3641" spans="1:1" x14ac:dyDescent="0.3">
      <c r="A3641" s="12"/>
    </row>
    <row r="3642" spans="1:1" x14ac:dyDescent="0.3">
      <c r="A3642" s="12"/>
    </row>
    <row r="3643" spans="1:1" x14ac:dyDescent="0.3">
      <c r="A3643" s="12"/>
    </row>
    <row r="3644" spans="1:1" x14ac:dyDescent="0.3">
      <c r="A3644" s="12"/>
    </row>
    <row r="3645" spans="1:1" x14ac:dyDescent="0.3">
      <c r="A3645" s="12"/>
    </row>
    <row r="3646" spans="1:1" x14ac:dyDescent="0.3">
      <c r="A3646" s="12"/>
    </row>
    <row r="3647" spans="1:1" x14ac:dyDescent="0.3">
      <c r="A3647" s="12"/>
    </row>
    <row r="3648" spans="1:1" x14ac:dyDescent="0.3">
      <c r="A3648" s="12"/>
    </row>
    <row r="3649" spans="1:1" x14ac:dyDescent="0.3">
      <c r="A3649" s="12"/>
    </row>
    <row r="3650" spans="1:1" x14ac:dyDescent="0.3">
      <c r="A3650" s="12"/>
    </row>
    <row r="3651" spans="1:1" x14ac:dyDescent="0.3">
      <c r="A3651" s="12"/>
    </row>
    <row r="3652" spans="1:1" x14ac:dyDescent="0.3">
      <c r="A3652" s="12"/>
    </row>
    <row r="3653" spans="1:1" x14ac:dyDescent="0.3">
      <c r="A3653" s="12"/>
    </row>
    <row r="3654" spans="1:1" x14ac:dyDescent="0.3">
      <c r="A3654" s="12"/>
    </row>
    <row r="3655" spans="1:1" x14ac:dyDescent="0.3">
      <c r="A3655" s="12"/>
    </row>
    <row r="3656" spans="1:1" x14ac:dyDescent="0.3">
      <c r="A3656" s="12"/>
    </row>
    <row r="3657" spans="1:1" x14ac:dyDescent="0.3">
      <c r="A3657" s="12"/>
    </row>
    <row r="3658" spans="1:1" x14ac:dyDescent="0.3">
      <c r="A3658" s="12"/>
    </row>
    <row r="3659" spans="1:1" x14ac:dyDescent="0.3">
      <c r="A3659" s="12"/>
    </row>
    <row r="3660" spans="1:1" x14ac:dyDescent="0.3">
      <c r="A3660" s="12"/>
    </row>
    <row r="3661" spans="1:1" x14ac:dyDescent="0.3">
      <c r="A3661" s="12"/>
    </row>
    <row r="3662" spans="1:1" x14ac:dyDescent="0.3">
      <c r="A3662" s="12"/>
    </row>
    <row r="3663" spans="1:1" x14ac:dyDescent="0.3">
      <c r="A3663" s="12"/>
    </row>
    <row r="3664" spans="1:1" x14ac:dyDescent="0.3">
      <c r="A3664" s="12"/>
    </row>
    <row r="3665" spans="1:1" x14ac:dyDescent="0.3">
      <c r="A3665" s="12"/>
    </row>
    <row r="3666" spans="1:1" x14ac:dyDescent="0.3">
      <c r="A3666" s="12"/>
    </row>
    <row r="3667" spans="1:1" x14ac:dyDescent="0.3">
      <c r="A3667" s="12"/>
    </row>
    <row r="3668" spans="1:1" x14ac:dyDescent="0.3">
      <c r="A3668" s="12"/>
    </row>
    <row r="3669" spans="1:1" x14ac:dyDescent="0.3">
      <c r="A3669" s="12"/>
    </row>
    <row r="3670" spans="1:1" x14ac:dyDescent="0.3">
      <c r="A3670" s="12"/>
    </row>
    <row r="3671" spans="1:1" x14ac:dyDescent="0.3">
      <c r="A3671" s="12"/>
    </row>
    <row r="3672" spans="1:1" x14ac:dyDescent="0.3">
      <c r="A3672" s="12"/>
    </row>
    <row r="3673" spans="1:1" x14ac:dyDescent="0.3">
      <c r="A3673" s="12"/>
    </row>
    <row r="3674" spans="1:1" x14ac:dyDescent="0.3">
      <c r="A3674" s="12"/>
    </row>
    <row r="3675" spans="1:1" x14ac:dyDescent="0.3">
      <c r="A3675" s="12"/>
    </row>
    <row r="3676" spans="1:1" x14ac:dyDescent="0.3">
      <c r="A3676" s="12"/>
    </row>
    <row r="3677" spans="1:1" x14ac:dyDescent="0.3">
      <c r="A3677" s="12"/>
    </row>
    <row r="3678" spans="1:1" x14ac:dyDescent="0.3">
      <c r="A3678" s="12"/>
    </row>
    <row r="3679" spans="1:1" x14ac:dyDescent="0.3">
      <c r="A3679" s="12"/>
    </row>
    <row r="3680" spans="1:1" x14ac:dyDescent="0.3">
      <c r="A3680" s="12"/>
    </row>
    <row r="3681" spans="1:1" x14ac:dyDescent="0.3">
      <c r="A3681" s="12"/>
    </row>
    <row r="3682" spans="1:1" x14ac:dyDescent="0.3">
      <c r="A3682" s="12"/>
    </row>
    <row r="3683" spans="1:1" x14ac:dyDescent="0.3">
      <c r="A3683" s="12"/>
    </row>
    <row r="3684" spans="1:1" x14ac:dyDescent="0.3">
      <c r="A3684" s="12"/>
    </row>
    <row r="3685" spans="1:1" x14ac:dyDescent="0.3">
      <c r="A3685" s="12"/>
    </row>
    <row r="3686" spans="1:1" x14ac:dyDescent="0.3">
      <c r="A3686" s="12"/>
    </row>
    <row r="3687" spans="1:1" x14ac:dyDescent="0.3">
      <c r="A3687" s="12"/>
    </row>
    <row r="3688" spans="1:1" x14ac:dyDescent="0.3">
      <c r="A3688" s="12"/>
    </row>
    <row r="3689" spans="1:1" x14ac:dyDescent="0.3">
      <c r="A3689" s="12"/>
    </row>
    <row r="3690" spans="1:1" x14ac:dyDescent="0.3">
      <c r="A3690" s="12"/>
    </row>
    <row r="3691" spans="1:1" x14ac:dyDescent="0.3">
      <c r="A3691" s="12"/>
    </row>
    <row r="3692" spans="1:1" x14ac:dyDescent="0.3">
      <c r="A3692" s="12"/>
    </row>
    <row r="3693" spans="1:1" x14ac:dyDescent="0.3">
      <c r="A3693" s="12"/>
    </row>
    <row r="3694" spans="1:1" x14ac:dyDescent="0.3">
      <c r="A3694" s="12"/>
    </row>
    <row r="3695" spans="1:1" x14ac:dyDescent="0.3">
      <c r="A3695" s="12"/>
    </row>
    <row r="3696" spans="1:1" x14ac:dyDescent="0.3">
      <c r="A3696" s="12"/>
    </row>
    <row r="3697" spans="1:1" x14ac:dyDescent="0.3">
      <c r="A3697" s="12"/>
    </row>
    <row r="3698" spans="1:1" x14ac:dyDescent="0.3">
      <c r="A3698" s="12"/>
    </row>
    <row r="3699" spans="1:1" x14ac:dyDescent="0.3">
      <c r="A3699" s="12"/>
    </row>
    <row r="3700" spans="1:1" x14ac:dyDescent="0.3">
      <c r="A3700" s="12"/>
    </row>
    <row r="3701" spans="1:1" x14ac:dyDescent="0.3">
      <c r="A3701" s="12"/>
    </row>
    <row r="3702" spans="1:1" x14ac:dyDescent="0.3">
      <c r="A3702" s="12"/>
    </row>
    <row r="3703" spans="1:1" x14ac:dyDescent="0.3">
      <c r="A3703" s="12"/>
    </row>
    <row r="3704" spans="1:1" x14ac:dyDescent="0.3">
      <c r="A3704" s="12"/>
    </row>
    <row r="3705" spans="1:1" x14ac:dyDescent="0.3">
      <c r="A3705" s="12"/>
    </row>
    <row r="3706" spans="1:1" x14ac:dyDescent="0.3">
      <c r="A3706" s="12"/>
    </row>
    <row r="3707" spans="1:1" x14ac:dyDescent="0.3">
      <c r="A3707" s="12"/>
    </row>
    <row r="3708" spans="1:1" x14ac:dyDescent="0.3">
      <c r="A3708" s="12"/>
    </row>
    <row r="3709" spans="1:1" x14ac:dyDescent="0.3">
      <c r="A3709" s="12"/>
    </row>
    <row r="3710" spans="1:1" x14ac:dyDescent="0.3">
      <c r="A3710" s="12"/>
    </row>
    <row r="3711" spans="1:1" x14ac:dyDescent="0.3">
      <c r="A3711" s="12"/>
    </row>
    <row r="3712" spans="1:1" x14ac:dyDescent="0.3">
      <c r="A3712" s="12"/>
    </row>
    <row r="3713" spans="1:1" x14ac:dyDescent="0.3">
      <c r="A3713" s="12"/>
    </row>
    <row r="3714" spans="1:1" x14ac:dyDescent="0.3">
      <c r="A3714" s="12"/>
    </row>
    <row r="3715" spans="1:1" x14ac:dyDescent="0.3">
      <c r="A3715" s="12"/>
    </row>
    <row r="3716" spans="1:1" x14ac:dyDescent="0.3">
      <c r="A3716" s="12"/>
    </row>
    <row r="3717" spans="1:1" x14ac:dyDescent="0.3">
      <c r="A3717" s="12"/>
    </row>
    <row r="3718" spans="1:1" x14ac:dyDescent="0.3">
      <c r="A3718" s="12"/>
    </row>
    <row r="3719" spans="1:1" x14ac:dyDescent="0.3">
      <c r="A3719" s="12"/>
    </row>
    <row r="3720" spans="1:1" x14ac:dyDescent="0.3">
      <c r="A3720" s="12"/>
    </row>
    <row r="3721" spans="1:1" x14ac:dyDescent="0.3">
      <c r="A3721" s="12"/>
    </row>
    <row r="3722" spans="1:1" x14ac:dyDescent="0.3">
      <c r="A3722" s="12"/>
    </row>
    <row r="3723" spans="1:1" x14ac:dyDescent="0.3">
      <c r="A3723" s="12"/>
    </row>
    <row r="3724" spans="1:1" x14ac:dyDescent="0.3">
      <c r="A3724" s="12"/>
    </row>
    <row r="3725" spans="1:1" x14ac:dyDescent="0.3">
      <c r="A3725" s="12"/>
    </row>
    <row r="3726" spans="1:1" x14ac:dyDescent="0.3">
      <c r="A3726" s="12"/>
    </row>
    <row r="3727" spans="1:1" x14ac:dyDescent="0.3">
      <c r="A3727" s="12"/>
    </row>
    <row r="3728" spans="1:1" x14ac:dyDescent="0.3">
      <c r="A3728" s="12"/>
    </row>
    <row r="3729" spans="1:1" x14ac:dyDescent="0.3">
      <c r="A3729" s="12"/>
    </row>
    <row r="3730" spans="1:1" x14ac:dyDescent="0.3">
      <c r="A3730" s="12"/>
    </row>
    <row r="3731" spans="1:1" x14ac:dyDescent="0.3">
      <c r="A3731" s="12"/>
    </row>
    <row r="3732" spans="1:1" x14ac:dyDescent="0.3">
      <c r="A3732" s="12"/>
    </row>
    <row r="3733" spans="1:1" x14ac:dyDescent="0.3">
      <c r="A3733" s="12"/>
    </row>
    <row r="3734" spans="1:1" x14ac:dyDescent="0.3">
      <c r="A3734" s="12"/>
    </row>
    <row r="3735" spans="1:1" x14ac:dyDescent="0.3">
      <c r="A3735" s="12"/>
    </row>
    <row r="3736" spans="1:1" x14ac:dyDescent="0.3">
      <c r="A3736" s="12"/>
    </row>
    <row r="3737" spans="1:1" x14ac:dyDescent="0.3">
      <c r="A3737" s="12"/>
    </row>
    <row r="3738" spans="1:1" x14ac:dyDescent="0.3">
      <c r="A3738" s="12"/>
    </row>
    <row r="3739" spans="1:1" x14ac:dyDescent="0.3">
      <c r="A3739" s="12"/>
    </row>
    <row r="3740" spans="1:1" x14ac:dyDescent="0.3">
      <c r="A3740" s="12"/>
    </row>
    <row r="3741" spans="1:1" x14ac:dyDescent="0.3">
      <c r="A3741" s="12"/>
    </row>
    <row r="3742" spans="1:1" x14ac:dyDescent="0.3">
      <c r="A3742" s="12"/>
    </row>
    <row r="3743" spans="1:1" x14ac:dyDescent="0.3">
      <c r="A3743" s="12"/>
    </row>
    <row r="3744" spans="1:1" x14ac:dyDescent="0.3">
      <c r="A3744" s="12"/>
    </row>
    <row r="3745" spans="1:1" x14ac:dyDescent="0.3">
      <c r="A3745" s="12"/>
    </row>
    <row r="3746" spans="1:1" x14ac:dyDescent="0.3">
      <c r="A3746" s="12"/>
    </row>
    <row r="3747" spans="1:1" x14ac:dyDescent="0.3">
      <c r="A3747" s="12"/>
    </row>
    <row r="3748" spans="1:1" x14ac:dyDescent="0.3">
      <c r="A3748" s="12"/>
    </row>
    <row r="3749" spans="1:1" x14ac:dyDescent="0.3">
      <c r="A3749" s="12"/>
    </row>
    <row r="3750" spans="1:1" x14ac:dyDescent="0.3">
      <c r="A3750" s="12"/>
    </row>
    <row r="3751" spans="1:1" x14ac:dyDescent="0.3">
      <c r="A3751" s="12"/>
    </row>
    <row r="3752" spans="1:1" x14ac:dyDescent="0.3">
      <c r="A3752" s="12"/>
    </row>
    <row r="3753" spans="1:1" x14ac:dyDescent="0.3">
      <c r="A3753" s="12"/>
    </row>
    <row r="3754" spans="1:1" x14ac:dyDescent="0.3">
      <c r="A3754" s="12"/>
    </row>
    <row r="3755" spans="1:1" x14ac:dyDescent="0.3">
      <c r="A3755" s="12"/>
    </row>
    <row r="3756" spans="1:1" x14ac:dyDescent="0.3">
      <c r="A3756" s="12"/>
    </row>
    <row r="3757" spans="1:1" x14ac:dyDescent="0.3">
      <c r="A3757" s="12"/>
    </row>
    <row r="3758" spans="1:1" x14ac:dyDescent="0.3">
      <c r="A3758" s="12"/>
    </row>
    <row r="3759" spans="1:1" x14ac:dyDescent="0.3">
      <c r="A3759" s="12"/>
    </row>
    <row r="3760" spans="1:1" x14ac:dyDescent="0.3">
      <c r="A3760" s="12"/>
    </row>
    <row r="3761" spans="1:1" x14ac:dyDescent="0.3">
      <c r="A3761" s="12"/>
    </row>
    <row r="3762" spans="1:1" x14ac:dyDescent="0.3">
      <c r="A3762" s="12"/>
    </row>
    <row r="3763" spans="1:1" x14ac:dyDescent="0.3">
      <c r="A3763" s="12"/>
    </row>
    <row r="3764" spans="1:1" x14ac:dyDescent="0.3">
      <c r="A3764" s="12"/>
    </row>
    <row r="3765" spans="1:1" x14ac:dyDescent="0.3">
      <c r="A3765" s="12"/>
    </row>
    <row r="3766" spans="1:1" x14ac:dyDescent="0.3">
      <c r="A3766" s="12"/>
    </row>
    <row r="3767" spans="1:1" x14ac:dyDescent="0.3">
      <c r="A3767" s="12"/>
    </row>
    <row r="3768" spans="1:1" x14ac:dyDescent="0.3">
      <c r="A3768" s="12"/>
    </row>
    <row r="3769" spans="1:1" x14ac:dyDescent="0.3">
      <c r="A3769" s="12"/>
    </row>
    <row r="3770" spans="1:1" x14ac:dyDescent="0.3">
      <c r="A3770" s="12"/>
    </row>
    <row r="3771" spans="1:1" x14ac:dyDescent="0.3">
      <c r="A3771" s="12"/>
    </row>
    <row r="3772" spans="1:1" x14ac:dyDescent="0.3">
      <c r="A3772" s="12"/>
    </row>
    <row r="3773" spans="1:1" x14ac:dyDescent="0.3">
      <c r="A3773" s="12"/>
    </row>
    <row r="3774" spans="1:1" x14ac:dyDescent="0.3">
      <c r="A3774" s="12"/>
    </row>
    <row r="3775" spans="1:1" x14ac:dyDescent="0.3">
      <c r="A3775" s="12"/>
    </row>
    <row r="3776" spans="1:1" x14ac:dyDescent="0.3">
      <c r="A3776" s="12"/>
    </row>
    <row r="3777" spans="1:1" x14ac:dyDescent="0.3">
      <c r="A3777" s="12"/>
    </row>
    <row r="3778" spans="1:1" x14ac:dyDescent="0.3">
      <c r="A3778" s="12"/>
    </row>
    <row r="3779" spans="1:1" x14ac:dyDescent="0.3">
      <c r="A3779" s="12"/>
    </row>
    <row r="3780" spans="1:1" x14ac:dyDescent="0.3">
      <c r="A3780" s="12"/>
    </row>
    <row r="3781" spans="1:1" x14ac:dyDescent="0.3">
      <c r="A3781" s="12"/>
    </row>
    <row r="3782" spans="1:1" x14ac:dyDescent="0.3">
      <c r="A3782" s="12"/>
    </row>
    <row r="3783" spans="1:1" x14ac:dyDescent="0.3">
      <c r="A3783" s="12"/>
    </row>
    <row r="3784" spans="1:1" x14ac:dyDescent="0.3">
      <c r="A3784" s="12"/>
    </row>
    <row r="3785" spans="1:1" x14ac:dyDescent="0.3">
      <c r="A3785" s="12"/>
    </row>
    <row r="3786" spans="1:1" x14ac:dyDescent="0.3">
      <c r="A3786" s="12"/>
    </row>
    <row r="3787" spans="1:1" x14ac:dyDescent="0.3">
      <c r="A3787" s="12"/>
    </row>
    <row r="3788" spans="1:1" x14ac:dyDescent="0.3">
      <c r="A3788" s="12"/>
    </row>
    <row r="3789" spans="1:1" x14ac:dyDescent="0.3">
      <c r="A3789" s="12"/>
    </row>
    <row r="3790" spans="1:1" x14ac:dyDescent="0.3">
      <c r="A3790" s="12"/>
    </row>
    <row r="3791" spans="1:1" x14ac:dyDescent="0.3">
      <c r="A3791" s="12"/>
    </row>
    <row r="3792" spans="1:1" x14ac:dyDescent="0.3">
      <c r="A3792" s="12"/>
    </row>
    <row r="3793" spans="1:1" x14ac:dyDescent="0.3">
      <c r="A3793" s="12"/>
    </row>
    <row r="3794" spans="1:1" x14ac:dyDescent="0.3">
      <c r="A3794" s="12"/>
    </row>
    <row r="3795" spans="1:1" x14ac:dyDescent="0.3">
      <c r="A3795" s="12"/>
    </row>
    <row r="3796" spans="1:1" x14ac:dyDescent="0.3">
      <c r="A3796" s="12"/>
    </row>
    <row r="3797" spans="1:1" x14ac:dyDescent="0.3">
      <c r="A3797" s="12"/>
    </row>
    <row r="3798" spans="1:1" x14ac:dyDescent="0.3">
      <c r="A3798" s="12"/>
    </row>
    <row r="3799" spans="1:1" x14ac:dyDescent="0.3">
      <c r="A3799" s="12"/>
    </row>
    <row r="3800" spans="1:1" x14ac:dyDescent="0.3">
      <c r="A3800" s="12"/>
    </row>
    <row r="3801" spans="1:1" x14ac:dyDescent="0.3">
      <c r="A3801" s="12"/>
    </row>
    <row r="3802" spans="1:1" x14ac:dyDescent="0.3">
      <c r="A3802" s="12"/>
    </row>
    <row r="3803" spans="1:1" x14ac:dyDescent="0.3">
      <c r="A3803" s="12"/>
    </row>
    <row r="3804" spans="1:1" x14ac:dyDescent="0.3">
      <c r="A3804" s="12"/>
    </row>
    <row r="3805" spans="1:1" x14ac:dyDescent="0.3">
      <c r="A3805" s="12"/>
    </row>
    <row r="3806" spans="1:1" x14ac:dyDescent="0.3">
      <c r="A3806" s="12"/>
    </row>
    <row r="3807" spans="1:1" x14ac:dyDescent="0.3">
      <c r="A3807" s="12"/>
    </row>
    <row r="3808" spans="1:1" x14ac:dyDescent="0.3">
      <c r="A3808" s="12"/>
    </row>
    <row r="3809" spans="1:1" x14ac:dyDescent="0.3">
      <c r="A3809" s="12"/>
    </row>
    <row r="3810" spans="1:1" x14ac:dyDescent="0.3">
      <c r="A3810" s="12"/>
    </row>
    <row r="3811" spans="1:1" x14ac:dyDescent="0.3">
      <c r="A3811" s="12"/>
    </row>
    <row r="3812" spans="1:1" x14ac:dyDescent="0.3">
      <c r="A3812" s="12"/>
    </row>
    <row r="3813" spans="1:1" x14ac:dyDescent="0.3">
      <c r="A3813" s="12"/>
    </row>
    <row r="3814" spans="1:1" x14ac:dyDescent="0.3">
      <c r="A3814" s="12"/>
    </row>
    <row r="3815" spans="1:1" x14ac:dyDescent="0.3">
      <c r="A3815" s="12"/>
    </row>
    <row r="3816" spans="1:1" x14ac:dyDescent="0.3">
      <c r="A3816" s="12"/>
    </row>
    <row r="3817" spans="1:1" x14ac:dyDescent="0.3">
      <c r="A3817" s="12"/>
    </row>
    <row r="3818" spans="1:1" x14ac:dyDescent="0.3">
      <c r="A3818" s="12"/>
    </row>
    <row r="3819" spans="1:1" x14ac:dyDescent="0.3">
      <c r="A3819" s="12"/>
    </row>
    <row r="3820" spans="1:1" x14ac:dyDescent="0.3">
      <c r="A3820" s="12"/>
    </row>
    <row r="3821" spans="1:1" x14ac:dyDescent="0.3">
      <c r="A3821" s="12"/>
    </row>
    <row r="3822" spans="1:1" x14ac:dyDescent="0.3">
      <c r="A3822" s="12"/>
    </row>
    <row r="3823" spans="1:1" x14ac:dyDescent="0.3">
      <c r="A3823" s="12"/>
    </row>
    <row r="3824" spans="1:1" x14ac:dyDescent="0.3">
      <c r="A3824" s="12"/>
    </row>
    <row r="3825" spans="1:1" x14ac:dyDescent="0.3">
      <c r="A3825" s="12"/>
    </row>
    <row r="3826" spans="1:1" x14ac:dyDescent="0.3">
      <c r="A3826" s="12"/>
    </row>
    <row r="3827" spans="1:1" x14ac:dyDescent="0.3">
      <c r="A3827" s="12"/>
    </row>
    <row r="3828" spans="1:1" x14ac:dyDescent="0.3">
      <c r="A3828" s="12"/>
    </row>
    <row r="3829" spans="1:1" x14ac:dyDescent="0.3">
      <c r="A3829" s="12"/>
    </row>
    <row r="3830" spans="1:1" x14ac:dyDescent="0.3">
      <c r="A3830" s="12"/>
    </row>
    <row r="3831" spans="1:1" x14ac:dyDescent="0.3">
      <c r="A3831" s="12"/>
    </row>
    <row r="3832" spans="1:1" x14ac:dyDescent="0.3">
      <c r="A3832" s="12"/>
    </row>
    <row r="3833" spans="1:1" x14ac:dyDescent="0.3">
      <c r="A3833" s="12"/>
    </row>
    <row r="3834" spans="1:1" x14ac:dyDescent="0.3">
      <c r="A3834" s="12"/>
    </row>
    <row r="3835" spans="1:1" x14ac:dyDescent="0.3">
      <c r="A3835" s="12"/>
    </row>
    <row r="3836" spans="1:1" x14ac:dyDescent="0.3">
      <c r="A3836" s="12"/>
    </row>
    <row r="3837" spans="1:1" x14ac:dyDescent="0.3">
      <c r="A3837" s="12"/>
    </row>
    <row r="3838" spans="1:1" x14ac:dyDescent="0.3">
      <c r="A3838" s="12"/>
    </row>
    <row r="3839" spans="1:1" x14ac:dyDescent="0.3">
      <c r="A3839" s="12"/>
    </row>
    <row r="3840" spans="1:1" x14ac:dyDescent="0.3">
      <c r="A3840" s="12"/>
    </row>
    <row r="3841" spans="1:1" x14ac:dyDescent="0.3">
      <c r="A3841" s="12"/>
    </row>
    <row r="3842" spans="1:1" x14ac:dyDescent="0.3">
      <c r="A3842" s="12"/>
    </row>
    <row r="3843" spans="1:1" x14ac:dyDescent="0.3">
      <c r="A3843" s="12"/>
    </row>
    <row r="3844" spans="1:1" x14ac:dyDescent="0.3">
      <c r="A3844" s="12"/>
    </row>
    <row r="3845" spans="1:1" x14ac:dyDescent="0.3">
      <c r="A3845" s="12"/>
    </row>
    <row r="3846" spans="1:1" x14ac:dyDescent="0.3">
      <c r="A3846" s="12"/>
    </row>
    <row r="3847" spans="1:1" x14ac:dyDescent="0.3">
      <c r="A3847" s="12"/>
    </row>
    <row r="3848" spans="1:1" x14ac:dyDescent="0.3">
      <c r="A3848" s="12"/>
    </row>
    <row r="3849" spans="1:1" x14ac:dyDescent="0.3">
      <c r="A3849" s="12"/>
    </row>
    <row r="3850" spans="1:1" x14ac:dyDescent="0.3">
      <c r="A3850" s="12"/>
    </row>
    <row r="3851" spans="1:1" x14ac:dyDescent="0.3">
      <c r="A3851" s="12"/>
    </row>
    <row r="3852" spans="1:1" x14ac:dyDescent="0.3">
      <c r="A3852" s="12"/>
    </row>
    <row r="3853" spans="1:1" x14ac:dyDescent="0.3">
      <c r="A3853" s="12"/>
    </row>
    <row r="3854" spans="1:1" x14ac:dyDescent="0.3">
      <c r="A3854" s="12"/>
    </row>
    <row r="3855" spans="1:1" x14ac:dyDescent="0.3">
      <c r="A3855" s="12"/>
    </row>
    <row r="3856" spans="1:1" x14ac:dyDescent="0.3">
      <c r="A3856" s="12"/>
    </row>
    <row r="3857" spans="1:1" x14ac:dyDescent="0.3">
      <c r="A3857" s="12"/>
    </row>
    <row r="3858" spans="1:1" x14ac:dyDescent="0.3">
      <c r="A3858" s="12"/>
    </row>
    <row r="3859" spans="1:1" x14ac:dyDescent="0.3">
      <c r="A3859" s="12"/>
    </row>
    <row r="3860" spans="1:1" x14ac:dyDescent="0.3">
      <c r="A3860" s="12"/>
    </row>
    <row r="3861" spans="1:1" x14ac:dyDescent="0.3">
      <c r="A3861" s="12"/>
    </row>
    <row r="3862" spans="1:1" x14ac:dyDescent="0.3">
      <c r="A3862" s="12"/>
    </row>
    <row r="3863" spans="1:1" x14ac:dyDescent="0.3">
      <c r="A3863" s="12"/>
    </row>
    <row r="3864" spans="1:1" x14ac:dyDescent="0.3">
      <c r="A3864" s="12"/>
    </row>
    <row r="3865" spans="1:1" x14ac:dyDescent="0.3">
      <c r="A3865" s="12"/>
    </row>
    <row r="3866" spans="1:1" x14ac:dyDescent="0.3">
      <c r="A3866" s="12"/>
    </row>
    <row r="3867" spans="1:1" x14ac:dyDescent="0.3">
      <c r="A3867" s="12"/>
    </row>
    <row r="3868" spans="1:1" x14ac:dyDescent="0.3">
      <c r="A3868" s="12"/>
    </row>
    <row r="3869" spans="1:1" x14ac:dyDescent="0.3">
      <c r="A3869" s="12"/>
    </row>
    <row r="3870" spans="1:1" x14ac:dyDescent="0.3">
      <c r="A3870" s="12"/>
    </row>
    <row r="3871" spans="1:1" x14ac:dyDescent="0.3">
      <c r="A3871" s="12"/>
    </row>
    <row r="3872" spans="1:1" x14ac:dyDescent="0.3">
      <c r="A3872" s="12"/>
    </row>
    <row r="3873" spans="1:1" x14ac:dyDescent="0.3">
      <c r="A3873" s="12"/>
    </row>
    <row r="3874" spans="1:1" x14ac:dyDescent="0.3">
      <c r="A3874" s="12"/>
    </row>
    <row r="3875" spans="1:1" x14ac:dyDescent="0.3">
      <c r="A3875" s="12"/>
    </row>
    <row r="3876" spans="1:1" x14ac:dyDescent="0.3">
      <c r="A3876" s="12"/>
    </row>
    <row r="3877" spans="1:1" x14ac:dyDescent="0.3">
      <c r="A3877" s="12"/>
    </row>
    <row r="3878" spans="1:1" x14ac:dyDescent="0.3">
      <c r="A3878" s="12"/>
    </row>
    <row r="3879" spans="1:1" x14ac:dyDescent="0.3">
      <c r="A3879" s="12"/>
    </row>
    <row r="3880" spans="1:1" x14ac:dyDescent="0.3">
      <c r="A3880" s="12"/>
    </row>
    <row r="3881" spans="1:1" x14ac:dyDescent="0.3">
      <c r="A3881" s="12"/>
    </row>
    <row r="3882" spans="1:1" x14ac:dyDescent="0.3">
      <c r="A3882" s="12"/>
    </row>
    <row r="3883" spans="1:1" x14ac:dyDescent="0.3">
      <c r="A3883" s="12"/>
    </row>
    <row r="3884" spans="1:1" x14ac:dyDescent="0.3">
      <c r="A3884" s="12"/>
    </row>
    <row r="3885" spans="1:1" x14ac:dyDescent="0.3">
      <c r="A3885" s="12"/>
    </row>
    <row r="3886" spans="1:1" x14ac:dyDescent="0.3">
      <c r="A3886" s="12"/>
    </row>
    <row r="3887" spans="1:1" x14ac:dyDescent="0.3">
      <c r="A3887" s="12"/>
    </row>
    <row r="3888" spans="1:1" x14ac:dyDescent="0.3">
      <c r="A3888" s="12"/>
    </row>
    <row r="3889" spans="1:1" x14ac:dyDescent="0.3">
      <c r="A3889" s="12"/>
    </row>
    <row r="3890" spans="1:1" x14ac:dyDescent="0.3">
      <c r="A3890" s="12"/>
    </row>
    <row r="3891" spans="1:1" x14ac:dyDescent="0.3">
      <c r="A3891" s="12"/>
    </row>
    <row r="3892" spans="1:1" x14ac:dyDescent="0.3">
      <c r="A3892" s="12"/>
    </row>
    <row r="3893" spans="1:1" x14ac:dyDescent="0.3">
      <c r="A3893" s="12"/>
    </row>
    <row r="3894" spans="1:1" x14ac:dyDescent="0.3">
      <c r="A3894" s="12"/>
    </row>
    <row r="3895" spans="1:1" x14ac:dyDescent="0.3">
      <c r="A3895" s="12"/>
    </row>
    <row r="3896" spans="1:1" x14ac:dyDescent="0.3">
      <c r="A3896" s="12"/>
    </row>
    <row r="3897" spans="1:1" x14ac:dyDescent="0.3">
      <c r="A3897" s="12"/>
    </row>
    <row r="3898" spans="1:1" x14ac:dyDescent="0.3">
      <c r="A3898" s="12"/>
    </row>
    <row r="3899" spans="1:1" x14ac:dyDescent="0.3">
      <c r="A3899" s="12"/>
    </row>
    <row r="3900" spans="1:1" x14ac:dyDescent="0.3">
      <c r="A3900" s="12"/>
    </row>
    <row r="3901" spans="1:1" x14ac:dyDescent="0.3">
      <c r="A3901" s="12"/>
    </row>
    <row r="3902" spans="1:1" x14ac:dyDescent="0.3">
      <c r="A3902" s="12"/>
    </row>
    <row r="3903" spans="1:1" x14ac:dyDescent="0.3">
      <c r="A3903" s="12"/>
    </row>
    <row r="3904" spans="1:1" x14ac:dyDescent="0.3">
      <c r="A3904" s="12"/>
    </row>
    <row r="3905" spans="1:1" x14ac:dyDescent="0.3">
      <c r="A3905" s="12"/>
    </row>
    <row r="3906" spans="1:1" x14ac:dyDescent="0.3">
      <c r="A3906" s="12"/>
    </row>
    <row r="3907" spans="1:1" x14ac:dyDescent="0.3">
      <c r="A3907" s="12"/>
    </row>
    <row r="3908" spans="1:1" x14ac:dyDescent="0.3">
      <c r="A3908" s="12"/>
    </row>
    <row r="3909" spans="1:1" x14ac:dyDescent="0.3">
      <c r="A3909" s="12"/>
    </row>
    <row r="3910" spans="1:1" x14ac:dyDescent="0.3">
      <c r="A3910" s="12"/>
    </row>
    <row r="3911" spans="1:1" x14ac:dyDescent="0.3">
      <c r="A3911" s="12"/>
    </row>
    <row r="3912" spans="1:1" x14ac:dyDescent="0.3">
      <c r="A3912" s="12"/>
    </row>
    <row r="3913" spans="1:1" x14ac:dyDescent="0.3">
      <c r="A3913" s="12"/>
    </row>
    <row r="3914" spans="1:1" x14ac:dyDescent="0.3">
      <c r="A3914" s="12"/>
    </row>
    <row r="3915" spans="1:1" x14ac:dyDescent="0.3">
      <c r="A3915" s="12"/>
    </row>
    <row r="3916" spans="1:1" x14ac:dyDescent="0.3">
      <c r="A3916" s="12"/>
    </row>
    <row r="3917" spans="1:1" x14ac:dyDescent="0.3">
      <c r="A3917" s="12"/>
    </row>
    <row r="3918" spans="1:1" x14ac:dyDescent="0.3">
      <c r="A3918" s="12"/>
    </row>
    <row r="3919" spans="1:1" x14ac:dyDescent="0.3">
      <c r="A3919" s="12"/>
    </row>
    <row r="3920" spans="1:1" x14ac:dyDescent="0.3">
      <c r="A3920" s="12"/>
    </row>
    <row r="3921" spans="1:1" x14ac:dyDescent="0.3">
      <c r="A3921" s="12"/>
    </row>
    <row r="3922" spans="1:1" x14ac:dyDescent="0.3">
      <c r="A3922" s="12"/>
    </row>
    <row r="3923" spans="1:1" x14ac:dyDescent="0.3">
      <c r="A3923" s="12"/>
    </row>
    <row r="3924" spans="1:1" x14ac:dyDescent="0.3">
      <c r="A3924" s="12"/>
    </row>
    <row r="3925" spans="1:1" x14ac:dyDescent="0.3">
      <c r="A3925" s="12"/>
    </row>
    <row r="3926" spans="1:1" x14ac:dyDescent="0.3">
      <c r="A3926" s="12"/>
    </row>
    <row r="3927" spans="1:1" x14ac:dyDescent="0.3">
      <c r="A3927" s="12"/>
    </row>
    <row r="3928" spans="1:1" x14ac:dyDescent="0.3">
      <c r="A3928" s="12"/>
    </row>
    <row r="3929" spans="1:1" x14ac:dyDescent="0.3">
      <c r="A3929" s="12"/>
    </row>
    <row r="3930" spans="1:1" x14ac:dyDescent="0.3">
      <c r="A3930" s="12"/>
    </row>
    <row r="3931" spans="1:1" x14ac:dyDescent="0.3">
      <c r="A3931" s="12"/>
    </row>
    <row r="3932" spans="1:1" x14ac:dyDescent="0.3">
      <c r="A3932" s="12"/>
    </row>
    <row r="3933" spans="1:1" x14ac:dyDescent="0.3">
      <c r="A3933" s="12"/>
    </row>
    <row r="3934" spans="1:1" x14ac:dyDescent="0.3">
      <c r="A3934" s="12"/>
    </row>
    <row r="3935" spans="1:1" x14ac:dyDescent="0.3">
      <c r="A3935" s="12"/>
    </row>
    <row r="3936" spans="1:1" x14ac:dyDescent="0.3">
      <c r="A3936" s="12"/>
    </row>
    <row r="3937" spans="1:1" x14ac:dyDescent="0.3">
      <c r="A3937" s="12"/>
    </row>
    <row r="3938" spans="1:1" x14ac:dyDescent="0.3">
      <c r="A3938" s="12"/>
    </row>
    <row r="3939" spans="1:1" x14ac:dyDescent="0.3">
      <c r="A3939" s="12"/>
    </row>
    <row r="3940" spans="1:1" x14ac:dyDescent="0.3">
      <c r="A3940" s="12"/>
    </row>
    <row r="3941" spans="1:1" x14ac:dyDescent="0.3">
      <c r="A3941" s="12"/>
    </row>
    <row r="3942" spans="1:1" x14ac:dyDescent="0.3">
      <c r="A3942" s="12"/>
    </row>
    <row r="3943" spans="1:1" x14ac:dyDescent="0.3">
      <c r="A3943" s="12"/>
    </row>
    <row r="3944" spans="1:1" x14ac:dyDescent="0.3">
      <c r="A3944" s="12"/>
    </row>
    <row r="3945" spans="1:1" x14ac:dyDescent="0.3">
      <c r="A3945" s="12"/>
    </row>
    <row r="3946" spans="1:1" x14ac:dyDescent="0.3">
      <c r="A3946" s="12"/>
    </row>
    <row r="3947" spans="1:1" x14ac:dyDescent="0.3">
      <c r="A3947" s="12"/>
    </row>
    <row r="3948" spans="1:1" x14ac:dyDescent="0.3">
      <c r="A3948" s="12"/>
    </row>
    <row r="3949" spans="1:1" x14ac:dyDescent="0.3">
      <c r="A3949" s="12"/>
    </row>
    <row r="3950" spans="1:1" x14ac:dyDescent="0.3">
      <c r="A3950" s="12"/>
    </row>
    <row r="3951" spans="1:1" x14ac:dyDescent="0.3">
      <c r="A3951" s="12"/>
    </row>
    <row r="3952" spans="1:1" x14ac:dyDescent="0.3">
      <c r="A3952" s="12"/>
    </row>
    <row r="3953" spans="1:1" x14ac:dyDescent="0.3">
      <c r="A3953" s="12"/>
    </row>
    <row r="3954" spans="1:1" x14ac:dyDescent="0.3">
      <c r="A3954" s="12"/>
    </row>
    <row r="3955" spans="1:1" x14ac:dyDescent="0.3">
      <c r="A3955" s="12"/>
    </row>
    <row r="3956" spans="1:1" x14ac:dyDescent="0.3">
      <c r="A3956" s="12"/>
    </row>
    <row r="3957" spans="1:1" x14ac:dyDescent="0.3">
      <c r="A3957" s="12"/>
    </row>
    <row r="3958" spans="1:1" x14ac:dyDescent="0.3">
      <c r="A3958" s="12"/>
    </row>
    <row r="3959" spans="1:1" x14ac:dyDescent="0.3">
      <c r="A3959" s="12"/>
    </row>
    <row r="3960" spans="1:1" x14ac:dyDescent="0.3">
      <c r="A3960" s="12"/>
    </row>
    <row r="3961" spans="1:1" x14ac:dyDescent="0.3">
      <c r="A3961" s="12"/>
    </row>
    <row r="3962" spans="1:1" x14ac:dyDescent="0.3">
      <c r="A3962" s="12"/>
    </row>
    <row r="3963" spans="1:1" x14ac:dyDescent="0.3">
      <c r="A3963" s="12"/>
    </row>
    <row r="3964" spans="1:1" x14ac:dyDescent="0.3">
      <c r="A3964" s="12"/>
    </row>
    <row r="3965" spans="1:1" x14ac:dyDescent="0.3">
      <c r="A3965" s="12"/>
    </row>
    <row r="3966" spans="1:1" x14ac:dyDescent="0.3">
      <c r="A3966" s="12"/>
    </row>
    <row r="3967" spans="1:1" x14ac:dyDescent="0.3">
      <c r="A3967" s="12"/>
    </row>
    <row r="3968" spans="1:1" x14ac:dyDescent="0.3">
      <c r="A3968" s="12"/>
    </row>
    <row r="3969" spans="1:1" x14ac:dyDescent="0.3">
      <c r="A3969" s="12"/>
    </row>
    <row r="3970" spans="1:1" x14ac:dyDescent="0.3">
      <c r="A3970" s="12"/>
    </row>
    <row r="3971" spans="1:1" x14ac:dyDescent="0.3">
      <c r="A3971" s="12"/>
    </row>
    <row r="3972" spans="1:1" x14ac:dyDescent="0.3">
      <c r="A3972" s="12"/>
    </row>
    <row r="3973" spans="1:1" x14ac:dyDescent="0.3">
      <c r="A3973" s="12"/>
    </row>
    <row r="3974" spans="1:1" x14ac:dyDescent="0.3">
      <c r="A3974" s="12"/>
    </row>
    <row r="3975" spans="1:1" x14ac:dyDescent="0.3">
      <c r="A3975" s="12"/>
    </row>
    <row r="3976" spans="1:1" x14ac:dyDescent="0.3">
      <c r="A3976" s="12"/>
    </row>
    <row r="3977" spans="1:1" x14ac:dyDescent="0.3">
      <c r="A3977" s="12"/>
    </row>
    <row r="3978" spans="1:1" x14ac:dyDescent="0.3">
      <c r="A3978" s="12"/>
    </row>
    <row r="3979" spans="1:1" x14ac:dyDescent="0.3">
      <c r="A3979" s="12"/>
    </row>
    <row r="3980" spans="1:1" x14ac:dyDescent="0.3">
      <c r="A3980" s="12"/>
    </row>
    <row r="3981" spans="1:1" x14ac:dyDescent="0.3">
      <c r="A3981" s="12"/>
    </row>
    <row r="3982" spans="1:1" x14ac:dyDescent="0.3">
      <c r="A3982" s="12"/>
    </row>
    <row r="3983" spans="1:1" x14ac:dyDescent="0.3">
      <c r="A3983" s="12"/>
    </row>
    <row r="3984" spans="1:1" x14ac:dyDescent="0.3">
      <c r="A3984" s="12"/>
    </row>
    <row r="3985" spans="1:1" x14ac:dyDescent="0.3">
      <c r="A3985" s="12"/>
    </row>
    <row r="3986" spans="1:1" x14ac:dyDescent="0.3">
      <c r="A3986" s="12"/>
    </row>
    <row r="3987" spans="1:1" x14ac:dyDescent="0.3">
      <c r="A3987" s="12"/>
    </row>
    <row r="3988" spans="1:1" x14ac:dyDescent="0.3">
      <c r="A3988" s="12"/>
    </row>
    <row r="3989" spans="1:1" x14ac:dyDescent="0.3">
      <c r="A3989" s="12"/>
    </row>
    <row r="3990" spans="1:1" x14ac:dyDescent="0.3">
      <c r="A3990" s="12"/>
    </row>
    <row r="3991" spans="1:1" x14ac:dyDescent="0.3">
      <c r="A3991" s="12"/>
    </row>
    <row r="3992" spans="1:1" x14ac:dyDescent="0.3">
      <c r="A3992" s="12"/>
    </row>
    <row r="3993" spans="1:1" x14ac:dyDescent="0.3">
      <c r="A3993" s="12"/>
    </row>
    <row r="3994" spans="1:1" x14ac:dyDescent="0.3">
      <c r="A3994" s="12"/>
    </row>
    <row r="3995" spans="1:1" x14ac:dyDescent="0.3">
      <c r="A3995" s="12"/>
    </row>
    <row r="3996" spans="1:1" x14ac:dyDescent="0.3">
      <c r="A3996" s="12"/>
    </row>
    <row r="3997" spans="1:1" x14ac:dyDescent="0.3">
      <c r="A3997" s="12"/>
    </row>
    <row r="3998" spans="1:1" x14ac:dyDescent="0.3">
      <c r="A3998" s="12"/>
    </row>
    <row r="3999" spans="1:1" x14ac:dyDescent="0.3">
      <c r="A3999" s="12"/>
    </row>
    <row r="4000" spans="1:1" x14ac:dyDescent="0.3">
      <c r="A4000" s="12"/>
    </row>
    <row r="4001" spans="1:1" x14ac:dyDescent="0.3">
      <c r="A4001" s="12"/>
    </row>
    <row r="4002" spans="1:1" x14ac:dyDescent="0.3">
      <c r="A4002" s="12"/>
    </row>
    <row r="4003" spans="1:1" x14ac:dyDescent="0.3">
      <c r="A4003" s="12"/>
    </row>
    <row r="4004" spans="1:1" x14ac:dyDescent="0.3">
      <c r="A4004" s="12"/>
    </row>
    <row r="4005" spans="1:1" x14ac:dyDescent="0.3">
      <c r="A4005" s="12"/>
    </row>
    <row r="4006" spans="1:1" x14ac:dyDescent="0.3">
      <c r="A4006" s="12"/>
    </row>
    <row r="4007" spans="1:1" x14ac:dyDescent="0.3">
      <c r="A4007" s="12"/>
    </row>
    <row r="4008" spans="1:1" x14ac:dyDescent="0.3">
      <c r="A4008" s="12"/>
    </row>
    <row r="4009" spans="1:1" x14ac:dyDescent="0.3">
      <c r="A4009" s="12"/>
    </row>
    <row r="4010" spans="1:1" x14ac:dyDescent="0.3">
      <c r="A4010" s="12"/>
    </row>
    <row r="4011" spans="1:1" x14ac:dyDescent="0.3">
      <c r="A4011" s="12"/>
    </row>
    <row r="4012" spans="1:1" x14ac:dyDescent="0.3">
      <c r="A4012" s="12"/>
    </row>
    <row r="4013" spans="1:1" x14ac:dyDescent="0.3">
      <c r="A4013" s="12"/>
    </row>
    <row r="4014" spans="1:1" x14ac:dyDescent="0.3">
      <c r="A4014" s="12"/>
    </row>
    <row r="4015" spans="1:1" x14ac:dyDescent="0.3">
      <c r="A4015" s="12"/>
    </row>
    <row r="4016" spans="1:1" x14ac:dyDescent="0.3">
      <c r="A4016" s="12"/>
    </row>
    <row r="4017" spans="1:1" x14ac:dyDescent="0.3">
      <c r="A4017" s="12"/>
    </row>
    <row r="4018" spans="1:1" x14ac:dyDescent="0.3">
      <c r="A4018" s="12"/>
    </row>
    <row r="4019" spans="1:1" x14ac:dyDescent="0.3">
      <c r="A4019" s="12"/>
    </row>
    <row r="4020" spans="1:1" x14ac:dyDescent="0.3">
      <c r="A4020" s="12"/>
    </row>
    <row r="4021" spans="1:1" x14ac:dyDescent="0.3">
      <c r="A4021" s="12"/>
    </row>
    <row r="4022" spans="1:1" x14ac:dyDescent="0.3">
      <c r="A4022" s="12"/>
    </row>
    <row r="4023" spans="1:1" x14ac:dyDescent="0.3">
      <c r="A4023" s="12"/>
    </row>
    <row r="4024" spans="1:1" x14ac:dyDescent="0.3">
      <c r="A4024" s="12"/>
    </row>
    <row r="4025" spans="1:1" x14ac:dyDescent="0.3">
      <c r="A4025" s="12"/>
    </row>
    <row r="4026" spans="1:1" x14ac:dyDescent="0.3">
      <c r="A4026" s="12"/>
    </row>
    <row r="4027" spans="1:1" x14ac:dyDescent="0.3">
      <c r="A4027" s="12"/>
    </row>
    <row r="4028" spans="1:1" x14ac:dyDescent="0.3">
      <c r="A4028" s="12"/>
    </row>
    <row r="4029" spans="1:1" x14ac:dyDescent="0.3">
      <c r="A4029" s="12"/>
    </row>
    <row r="4030" spans="1:1" x14ac:dyDescent="0.3">
      <c r="A4030" s="12"/>
    </row>
    <row r="4031" spans="1:1" x14ac:dyDescent="0.3">
      <c r="A4031" s="12"/>
    </row>
    <row r="4032" spans="1:1" x14ac:dyDescent="0.3">
      <c r="A4032" s="12"/>
    </row>
    <row r="4033" spans="1:1" x14ac:dyDescent="0.3">
      <c r="A4033" s="12"/>
    </row>
    <row r="4034" spans="1:1" x14ac:dyDescent="0.3">
      <c r="A4034" s="12"/>
    </row>
    <row r="4035" spans="1:1" x14ac:dyDescent="0.3">
      <c r="A4035" s="12"/>
    </row>
    <row r="4036" spans="1:1" x14ac:dyDescent="0.3">
      <c r="A4036" s="12"/>
    </row>
    <row r="4037" spans="1:1" x14ac:dyDescent="0.3">
      <c r="A4037" s="12"/>
    </row>
    <row r="4038" spans="1:1" x14ac:dyDescent="0.3">
      <c r="A4038" s="12"/>
    </row>
    <row r="4039" spans="1:1" x14ac:dyDescent="0.3">
      <c r="A4039" s="12"/>
    </row>
    <row r="4040" spans="1:1" x14ac:dyDescent="0.3">
      <c r="A4040" s="12"/>
    </row>
    <row r="4041" spans="1:1" x14ac:dyDescent="0.3">
      <c r="A4041" s="12"/>
    </row>
    <row r="4042" spans="1:1" x14ac:dyDescent="0.3">
      <c r="A4042" s="12"/>
    </row>
    <row r="4043" spans="1:1" x14ac:dyDescent="0.3">
      <c r="A4043" s="12"/>
    </row>
    <row r="4044" spans="1:1" x14ac:dyDescent="0.3">
      <c r="A4044" s="12"/>
    </row>
    <row r="4045" spans="1:1" x14ac:dyDescent="0.3">
      <c r="A4045" s="12"/>
    </row>
    <row r="4046" spans="1:1" x14ac:dyDescent="0.3">
      <c r="A4046" s="12"/>
    </row>
    <row r="4047" spans="1:1" x14ac:dyDescent="0.3">
      <c r="A4047" s="12"/>
    </row>
    <row r="4048" spans="1:1" x14ac:dyDescent="0.3">
      <c r="A4048" s="12"/>
    </row>
    <row r="4049" spans="1:1" x14ac:dyDescent="0.3">
      <c r="A4049" s="12"/>
    </row>
    <row r="4050" spans="1:1" x14ac:dyDescent="0.3">
      <c r="A4050" s="12"/>
    </row>
    <row r="4051" spans="1:1" x14ac:dyDescent="0.3">
      <c r="A4051" s="12"/>
    </row>
    <row r="4052" spans="1:1" x14ac:dyDescent="0.3">
      <c r="A4052" s="12"/>
    </row>
    <row r="4053" spans="1:1" x14ac:dyDescent="0.3">
      <c r="A4053" s="12"/>
    </row>
    <row r="4054" spans="1:1" x14ac:dyDescent="0.3">
      <c r="A4054" s="12"/>
    </row>
    <row r="4055" spans="1:1" x14ac:dyDescent="0.3">
      <c r="A4055" s="12"/>
    </row>
    <row r="4056" spans="1:1" x14ac:dyDescent="0.3">
      <c r="A4056" s="12"/>
    </row>
    <row r="4057" spans="1:1" x14ac:dyDescent="0.3">
      <c r="A4057" s="12"/>
    </row>
    <row r="4058" spans="1:1" x14ac:dyDescent="0.3">
      <c r="A4058" s="12"/>
    </row>
    <row r="4059" spans="1:1" x14ac:dyDescent="0.3">
      <c r="A4059" s="12"/>
    </row>
    <row r="4060" spans="1:1" x14ac:dyDescent="0.3">
      <c r="A4060" s="12"/>
    </row>
    <row r="4061" spans="1:1" x14ac:dyDescent="0.3">
      <c r="A4061" s="12"/>
    </row>
    <row r="4062" spans="1:1" x14ac:dyDescent="0.3">
      <c r="A4062" s="12"/>
    </row>
    <row r="4063" spans="1:1" x14ac:dyDescent="0.3">
      <c r="A4063" s="12"/>
    </row>
    <row r="4064" spans="1:1" x14ac:dyDescent="0.3">
      <c r="A4064" s="12"/>
    </row>
    <row r="4065" spans="1:1" x14ac:dyDescent="0.3">
      <c r="A4065" s="12"/>
    </row>
    <row r="4066" spans="1:1" x14ac:dyDescent="0.3">
      <c r="A4066" s="12"/>
    </row>
    <row r="4067" spans="1:1" x14ac:dyDescent="0.3">
      <c r="A4067" s="12"/>
    </row>
    <row r="4068" spans="1:1" x14ac:dyDescent="0.3">
      <c r="A4068" s="12"/>
    </row>
    <row r="4069" spans="1:1" x14ac:dyDescent="0.3">
      <c r="A4069" s="12"/>
    </row>
    <row r="4070" spans="1:1" x14ac:dyDescent="0.3">
      <c r="A4070" s="12"/>
    </row>
    <row r="4071" spans="1:1" x14ac:dyDescent="0.3">
      <c r="A4071" s="12"/>
    </row>
    <row r="4072" spans="1:1" x14ac:dyDescent="0.3">
      <c r="A4072" s="12"/>
    </row>
    <row r="4073" spans="1:1" x14ac:dyDescent="0.3">
      <c r="A4073" s="12"/>
    </row>
    <row r="4074" spans="1:1" x14ac:dyDescent="0.3">
      <c r="A4074" s="12"/>
    </row>
    <row r="4075" spans="1:1" x14ac:dyDescent="0.3">
      <c r="A4075" s="12"/>
    </row>
    <row r="4076" spans="1:1" x14ac:dyDescent="0.3">
      <c r="A4076" s="12"/>
    </row>
    <row r="4077" spans="1:1" x14ac:dyDescent="0.3">
      <c r="A4077" s="12"/>
    </row>
    <row r="4078" spans="1:1" x14ac:dyDescent="0.3">
      <c r="A4078" s="12"/>
    </row>
    <row r="4079" spans="1:1" x14ac:dyDescent="0.3">
      <c r="A4079" s="12"/>
    </row>
    <row r="4080" spans="1:1" x14ac:dyDescent="0.3">
      <c r="A4080" s="12"/>
    </row>
    <row r="4081" spans="1:1" x14ac:dyDescent="0.3">
      <c r="A4081" s="12"/>
    </row>
    <row r="4082" spans="1:1" x14ac:dyDescent="0.3">
      <c r="A4082" s="12"/>
    </row>
    <row r="4083" spans="1:1" x14ac:dyDescent="0.3">
      <c r="A4083" s="12"/>
    </row>
    <row r="4084" spans="1:1" x14ac:dyDescent="0.3">
      <c r="A4084" s="12"/>
    </row>
    <row r="4085" spans="1:1" x14ac:dyDescent="0.3">
      <c r="A4085" s="12"/>
    </row>
    <row r="4086" spans="1:1" x14ac:dyDescent="0.3">
      <c r="A4086" s="12"/>
    </row>
    <row r="4087" spans="1:1" x14ac:dyDescent="0.3">
      <c r="A4087" s="12"/>
    </row>
    <row r="4088" spans="1:1" x14ac:dyDescent="0.3">
      <c r="A4088" s="12"/>
    </row>
    <row r="4089" spans="1:1" x14ac:dyDescent="0.3">
      <c r="A4089" s="12"/>
    </row>
    <row r="4090" spans="1:1" x14ac:dyDescent="0.3">
      <c r="A4090" s="12"/>
    </row>
    <row r="4091" spans="1:1" x14ac:dyDescent="0.3">
      <c r="A4091" s="12"/>
    </row>
    <row r="4092" spans="1:1" x14ac:dyDescent="0.3">
      <c r="A4092" s="12"/>
    </row>
    <row r="4093" spans="1:1" x14ac:dyDescent="0.3">
      <c r="A4093" s="12"/>
    </row>
    <row r="4094" spans="1:1" x14ac:dyDescent="0.3">
      <c r="A4094" s="12"/>
    </row>
    <row r="4095" spans="1:1" x14ac:dyDescent="0.3">
      <c r="A4095" s="12"/>
    </row>
    <row r="4096" spans="1:1" x14ac:dyDescent="0.3">
      <c r="A4096" s="12"/>
    </row>
    <row r="4097" spans="1:1" x14ac:dyDescent="0.3">
      <c r="A4097" s="12"/>
    </row>
    <row r="4098" spans="1:1" x14ac:dyDescent="0.3">
      <c r="A4098" s="12"/>
    </row>
    <row r="4099" spans="1:1" x14ac:dyDescent="0.3">
      <c r="A4099" s="12"/>
    </row>
    <row r="4100" spans="1:1" x14ac:dyDescent="0.3">
      <c r="A4100" s="12"/>
    </row>
    <row r="4101" spans="1:1" x14ac:dyDescent="0.3">
      <c r="A4101" s="12"/>
    </row>
    <row r="4102" spans="1:1" x14ac:dyDescent="0.3">
      <c r="A4102" s="12"/>
    </row>
    <row r="4103" spans="1:1" x14ac:dyDescent="0.3">
      <c r="A4103" s="12"/>
    </row>
    <row r="4104" spans="1:1" x14ac:dyDescent="0.3">
      <c r="A4104" s="12"/>
    </row>
    <row r="4105" spans="1:1" x14ac:dyDescent="0.3">
      <c r="A4105" s="12"/>
    </row>
    <row r="4106" spans="1:1" x14ac:dyDescent="0.3">
      <c r="A4106" s="12"/>
    </row>
    <row r="4107" spans="1:1" x14ac:dyDescent="0.3">
      <c r="A4107" s="12"/>
    </row>
    <row r="4108" spans="1:1" x14ac:dyDescent="0.3">
      <c r="A4108" s="12"/>
    </row>
    <row r="4109" spans="1:1" x14ac:dyDescent="0.3">
      <c r="A4109" s="12"/>
    </row>
    <row r="4110" spans="1:1" x14ac:dyDescent="0.3">
      <c r="A4110" s="12"/>
    </row>
    <row r="4111" spans="1:1" x14ac:dyDescent="0.3">
      <c r="A4111" s="12"/>
    </row>
    <row r="4112" spans="1:1" x14ac:dyDescent="0.3">
      <c r="A4112" s="12"/>
    </row>
    <row r="4113" spans="1:1" x14ac:dyDescent="0.3">
      <c r="A4113" s="12"/>
    </row>
    <row r="4114" spans="1:1" x14ac:dyDescent="0.3">
      <c r="A4114" s="12"/>
    </row>
    <row r="4115" spans="1:1" x14ac:dyDescent="0.3">
      <c r="A4115" s="12"/>
    </row>
    <row r="4116" spans="1:1" x14ac:dyDescent="0.3">
      <c r="A4116" s="12"/>
    </row>
    <row r="4117" spans="1:1" x14ac:dyDescent="0.3">
      <c r="A4117" s="12"/>
    </row>
    <row r="4118" spans="1:1" x14ac:dyDescent="0.3">
      <c r="A4118" s="12"/>
    </row>
    <row r="4119" spans="1:1" x14ac:dyDescent="0.3">
      <c r="A4119" s="12"/>
    </row>
    <row r="4120" spans="1:1" x14ac:dyDescent="0.3">
      <c r="A4120" s="12"/>
    </row>
    <row r="4121" spans="1:1" x14ac:dyDescent="0.3">
      <c r="A4121" s="12"/>
    </row>
    <row r="4122" spans="1:1" x14ac:dyDescent="0.3">
      <c r="A4122" s="12"/>
    </row>
    <row r="4123" spans="1:1" x14ac:dyDescent="0.3">
      <c r="A4123" s="12"/>
    </row>
    <row r="4124" spans="1:1" x14ac:dyDescent="0.3">
      <c r="A4124" s="12"/>
    </row>
    <row r="4125" spans="1:1" x14ac:dyDescent="0.3">
      <c r="A4125" s="12"/>
    </row>
    <row r="4126" spans="1:1" x14ac:dyDescent="0.3">
      <c r="A4126" s="12"/>
    </row>
    <row r="4127" spans="1:1" x14ac:dyDescent="0.3">
      <c r="A4127" s="12"/>
    </row>
    <row r="4128" spans="1:1" x14ac:dyDescent="0.3">
      <c r="A4128" s="12"/>
    </row>
    <row r="4129" spans="1:1" x14ac:dyDescent="0.3">
      <c r="A4129" s="12"/>
    </row>
    <row r="4130" spans="1:1" x14ac:dyDescent="0.3">
      <c r="A4130" s="12"/>
    </row>
    <row r="4131" spans="1:1" x14ac:dyDescent="0.3">
      <c r="A4131" s="12"/>
    </row>
    <row r="4132" spans="1:1" x14ac:dyDescent="0.3">
      <c r="A4132" s="12"/>
    </row>
    <row r="4133" spans="1:1" x14ac:dyDescent="0.3">
      <c r="A4133" s="12"/>
    </row>
    <row r="4134" spans="1:1" x14ac:dyDescent="0.3">
      <c r="A4134" s="12"/>
    </row>
    <row r="4135" spans="1:1" x14ac:dyDescent="0.3">
      <c r="A4135" s="12"/>
    </row>
    <row r="4136" spans="1:1" x14ac:dyDescent="0.3">
      <c r="A4136" s="12"/>
    </row>
    <row r="4137" spans="1:1" x14ac:dyDescent="0.3">
      <c r="A4137" s="12"/>
    </row>
    <row r="4138" spans="1:1" x14ac:dyDescent="0.3">
      <c r="A4138" s="12"/>
    </row>
    <row r="4139" spans="1:1" x14ac:dyDescent="0.3">
      <c r="A4139" s="12"/>
    </row>
    <row r="4140" spans="1:1" x14ac:dyDescent="0.3">
      <c r="A4140" s="12"/>
    </row>
    <row r="4141" spans="1:1" x14ac:dyDescent="0.3">
      <c r="A4141" s="12"/>
    </row>
    <row r="4142" spans="1:1" x14ac:dyDescent="0.3">
      <c r="A4142" s="12"/>
    </row>
    <row r="4143" spans="1:1" x14ac:dyDescent="0.3">
      <c r="A4143" s="12"/>
    </row>
    <row r="4144" spans="1:1" x14ac:dyDescent="0.3">
      <c r="A4144" s="12"/>
    </row>
    <row r="4145" spans="1:1" x14ac:dyDescent="0.3">
      <c r="A4145" s="12"/>
    </row>
    <row r="4146" spans="1:1" x14ac:dyDescent="0.3">
      <c r="A4146" s="12"/>
    </row>
    <row r="4147" spans="1:1" x14ac:dyDescent="0.3">
      <c r="A4147" s="12"/>
    </row>
    <row r="4148" spans="1:1" x14ac:dyDescent="0.3">
      <c r="A4148" s="12"/>
    </row>
    <row r="4149" spans="1:1" x14ac:dyDescent="0.3">
      <c r="A4149" s="12"/>
    </row>
    <row r="4150" spans="1:1" x14ac:dyDescent="0.3">
      <c r="A4150" s="12"/>
    </row>
    <row r="4151" spans="1:1" x14ac:dyDescent="0.3">
      <c r="A4151" s="12"/>
    </row>
    <row r="4152" spans="1:1" x14ac:dyDescent="0.3">
      <c r="A4152" s="12"/>
    </row>
    <row r="4153" spans="1:1" x14ac:dyDescent="0.3">
      <c r="A4153" s="12"/>
    </row>
    <row r="4154" spans="1:1" x14ac:dyDescent="0.3">
      <c r="A4154" s="12"/>
    </row>
    <row r="4155" spans="1:1" x14ac:dyDescent="0.3">
      <c r="A4155" s="12"/>
    </row>
    <row r="4156" spans="1:1" x14ac:dyDescent="0.3">
      <c r="A4156" s="12"/>
    </row>
    <row r="4157" spans="1:1" x14ac:dyDescent="0.3">
      <c r="A4157" s="12"/>
    </row>
    <row r="4158" spans="1:1" x14ac:dyDescent="0.3">
      <c r="A4158" s="12"/>
    </row>
    <row r="4159" spans="1:1" x14ac:dyDescent="0.3">
      <c r="A4159" s="12"/>
    </row>
    <row r="4160" spans="1:1" x14ac:dyDescent="0.3">
      <c r="A4160" s="12"/>
    </row>
    <row r="4161" spans="1:1" x14ac:dyDescent="0.3">
      <c r="A4161" s="12"/>
    </row>
    <row r="4162" spans="1:1" x14ac:dyDescent="0.3">
      <c r="A4162" s="12"/>
    </row>
    <row r="4163" spans="1:1" x14ac:dyDescent="0.3">
      <c r="A4163" s="12"/>
    </row>
    <row r="4164" spans="1:1" x14ac:dyDescent="0.3">
      <c r="A4164" s="12"/>
    </row>
    <row r="4165" spans="1:1" x14ac:dyDescent="0.3">
      <c r="A4165" s="12"/>
    </row>
    <row r="4166" spans="1:1" x14ac:dyDescent="0.3">
      <c r="A4166" s="12"/>
    </row>
    <row r="4167" spans="1:1" x14ac:dyDescent="0.3">
      <c r="A4167" s="12"/>
    </row>
    <row r="4168" spans="1:1" x14ac:dyDescent="0.3">
      <c r="A4168" s="12"/>
    </row>
    <row r="4169" spans="1:1" x14ac:dyDescent="0.3">
      <c r="A4169" s="12"/>
    </row>
    <row r="4170" spans="1:1" x14ac:dyDescent="0.3">
      <c r="A4170" s="12"/>
    </row>
    <row r="4171" spans="1:1" x14ac:dyDescent="0.3">
      <c r="A4171" s="12"/>
    </row>
    <row r="4172" spans="1:1" x14ac:dyDescent="0.3">
      <c r="A4172" s="12"/>
    </row>
    <row r="4173" spans="1:1" x14ac:dyDescent="0.3">
      <c r="A4173" s="12"/>
    </row>
    <row r="4174" spans="1:1" x14ac:dyDescent="0.3">
      <c r="A4174" s="12"/>
    </row>
    <row r="4175" spans="1:1" x14ac:dyDescent="0.3">
      <c r="A4175" s="12"/>
    </row>
    <row r="4176" spans="1:1" x14ac:dyDescent="0.3">
      <c r="A4176" s="12"/>
    </row>
    <row r="4177" spans="1:1" x14ac:dyDescent="0.3">
      <c r="A4177" s="12"/>
    </row>
    <row r="4178" spans="1:1" x14ac:dyDescent="0.3">
      <c r="A4178" s="12"/>
    </row>
    <row r="4179" spans="1:1" x14ac:dyDescent="0.3">
      <c r="A4179" s="12"/>
    </row>
    <row r="4180" spans="1:1" x14ac:dyDescent="0.3">
      <c r="A4180" s="12"/>
    </row>
    <row r="4181" spans="1:1" x14ac:dyDescent="0.3">
      <c r="A4181" s="12"/>
    </row>
    <row r="4182" spans="1:1" x14ac:dyDescent="0.3">
      <c r="A4182" s="12"/>
    </row>
    <row r="4183" spans="1:1" x14ac:dyDescent="0.3">
      <c r="A4183" s="12"/>
    </row>
    <row r="4184" spans="1:1" x14ac:dyDescent="0.3">
      <c r="A4184" s="12"/>
    </row>
    <row r="4185" spans="1:1" x14ac:dyDescent="0.3">
      <c r="A4185" s="12"/>
    </row>
    <row r="4186" spans="1:1" x14ac:dyDescent="0.3">
      <c r="A4186" s="12"/>
    </row>
    <row r="4187" spans="1:1" x14ac:dyDescent="0.3">
      <c r="A4187" s="12"/>
    </row>
    <row r="4188" spans="1:1" x14ac:dyDescent="0.3">
      <c r="A4188" s="12"/>
    </row>
    <row r="4189" spans="1:1" x14ac:dyDescent="0.3">
      <c r="A4189" s="12"/>
    </row>
    <row r="4190" spans="1:1" x14ac:dyDescent="0.3">
      <c r="A4190" s="12"/>
    </row>
    <row r="4191" spans="1:1" x14ac:dyDescent="0.3">
      <c r="A4191" s="12"/>
    </row>
    <row r="4192" spans="1:1" x14ac:dyDescent="0.3">
      <c r="A4192" s="12"/>
    </row>
    <row r="4193" spans="1:1" x14ac:dyDescent="0.3">
      <c r="A4193" s="12"/>
    </row>
    <row r="4194" spans="1:1" x14ac:dyDescent="0.3">
      <c r="A4194" s="12"/>
    </row>
    <row r="4195" spans="1:1" x14ac:dyDescent="0.3">
      <c r="A4195" s="12"/>
    </row>
    <row r="4196" spans="1:1" x14ac:dyDescent="0.3">
      <c r="A4196" s="12"/>
    </row>
    <row r="4197" spans="1:1" x14ac:dyDescent="0.3">
      <c r="A4197" s="12"/>
    </row>
    <row r="4198" spans="1:1" x14ac:dyDescent="0.3">
      <c r="A4198" s="12"/>
    </row>
    <row r="4199" spans="1:1" x14ac:dyDescent="0.3">
      <c r="A4199" s="12"/>
    </row>
    <row r="4200" spans="1:1" x14ac:dyDescent="0.3">
      <c r="A4200" s="12"/>
    </row>
    <row r="4201" spans="1:1" x14ac:dyDescent="0.3">
      <c r="A4201" s="12"/>
    </row>
    <row r="4202" spans="1:1" x14ac:dyDescent="0.3">
      <c r="A4202" s="12"/>
    </row>
    <row r="4203" spans="1:1" x14ac:dyDescent="0.3">
      <c r="A4203" s="12"/>
    </row>
    <row r="4204" spans="1:1" x14ac:dyDescent="0.3">
      <c r="A4204" s="12"/>
    </row>
    <row r="4205" spans="1:1" x14ac:dyDescent="0.3">
      <c r="A4205" s="12"/>
    </row>
    <row r="4206" spans="1:1" x14ac:dyDescent="0.3">
      <c r="A4206" s="12"/>
    </row>
    <row r="4207" spans="1:1" x14ac:dyDescent="0.3">
      <c r="A4207" s="12"/>
    </row>
    <row r="4208" spans="1:1" x14ac:dyDescent="0.3">
      <c r="A4208" s="12"/>
    </row>
    <row r="4209" spans="1:1" x14ac:dyDescent="0.3">
      <c r="A4209" s="12"/>
    </row>
    <row r="4210" spans="1:1" x14ac:dyDescent="0.3">
      <c r="A4210" s="12"/>
    </row>
    <row r="4211" spans="1:1" x14ac:dyDescent="0.3">
      <c r="A4211" s="12"/>
    </row>
    <row r="4212" spans="1:1" x14ac:dyDescent="0.3">
      <c r="A4212" s="12"/>
    </row>
    <row r="4213" spans="1:1" x14ac:dyDescent="0.3">
      <c r="A4213" s="12"/>
    </row>
    <row r="4214" spans="1:1" x14ac:dyDescent="0.3">
      <c r="A4214" s="12"/>
    </row>
    <row r="4215" spans="1:1" x14ac:dyDescent="0.3">
      <c r="A4215" s="12"/>
    </row>
    <row r="4216" spans="1:1" x14ac:dyDescent="0.3">
      <c r="A4216" s="12"/>
    </row>
    <row r="4217" spans="1:1" x14ac:dyDescent="0.3">
      <c r="A4217" s="12"/>
    </row>
    <row r="4218" spans="1:1" x14ac:dyDescent="0.3">
      <c r="A4218" s="12"/>
    </row>
    <row r="4219" spans="1:1" x14ac:dyDescent="0.3">
      <c r="A4219" s="12"/>
    </row>
    <row r="4220" spans="1:1" x14ac:dyDescent="0.3">
      <c r="A4220" s="12"/>
    </row>
    <row r="4221" spans="1:1" x14ac:dyDescent="0.3">
      <c r="A4221" s="12"/>
    </row>
    <row r="4222" spans="1:1" x14ac:dyDescent="0.3">
      <c r="A4222" s="12"/>
    </row>
    <row r="4223" spans="1:1" x14ac:dyDescent="0.3">
      <c r="A4223" s="12"/>
    </row>
    <row r="4224" spans="1:1" x14ac:dyDescent="0.3">
      <c r="A4224" s="12"/>
    </row>
    <row r="4225" spans="1:1" x14ac:dyDescent="0.3">
      <c r="A4225" s="12"/>
    </row>
    <row r="4226" spans="1:1" x14ac:dyDescent="0.3">
      <c r="A4226" s="12"/>
    </row>
    <row r="4227" spans="1:1" x14ac:dyDescent="0.3">
      <c r="A4227" s="12"/>
    </row>
    <row r="4228" spans="1:1" x14ac:dyDescent="0.3">
      <c r="A4228" s="12"/>
    </row>
    <row r="4229" spans="1:1" x14ac:dyDescent="0.3">
      <c r="A4229" s="12"/>
    </row>
    <row r="4230" spans="1:1" x14ac:dyDescent="0.3">
      <c r="A4230" s="12"/>
    </row>
    <row r="4231" spans="1:1" x14ac:dyDescent="0.3">
      <c r="A4231" s="12"/>
    </row>
    <row r="4232" spans="1:1" x14ac:dyDescent="0.3">
      <c r="A4232" s="12"/>
    </row>
    <row r="4233" spans="1:1" x14ac:dyDescent="0.3">
      <c r="A4233" s="12"/>
    </row>
    <row r="4234" spans="1:1" x14ac:dyDescent="0.3">
      <c r="A4234" s="12"/>
    </row>
    <row r="4235" spans="1:1" x14ac:dyDescent="0.3">
      <c r="A4235" s="12"/>
    </row>
    <row r="4236" spans="1:1" x14ac:dyDescent="0.3">
      <c r="A4236" s="12"/>
    </row>
    <row r="4237" spans="1:1" x14ac:dyDescent="0.3">
      <c r="A4237" s="12"/>
    </row>
    <row r="4238" spans="1:1" x14ac:dyDescent="0.3">
      <c r="A4238" s="12"/>
    </row>
    <row r="4239" spans="1:1" x14ac:dyDescent="0.3">
      <c r="A4239" s="12"/>
    </row>
    <row r="4240" spans="1:1" x14ac:dyDescent="0.3">
      <c r="A4240" s="12"/>
    </row>
    <row r="4241" spans="1:1" x14ac:dyDescent="0.3">
      <c r="A4241" s="12"/>
    </row>
    <row r="4242" spans="1:1" x14ac:dyDescent="0.3">
      <c r="A4242" s="12"/>
    </row>
    <row r="4243" spans="1:1" x14ac:dyDescent="0.3">
      <c r="A4243" s="12"/>
    </row>
    <row r="4244" spans="1:1" x14ac:dyDescent="0.3">
      <c r="A4244" s="12"/>
    </row>
    <row r="4245" spans="1:1" x14ac:dyDescent="0.3">
      <c r="A4245" s="12"/>
    </row>
    <row r="4246" spans="1:1" x14ac:dyDescent="0.3">
      <c r="A4246" s="12"/>
    </row>
    <row r="4247" spans="1:1" x14ac:dyDescent="0.3">
      <c r="A4247" s="12"/>
    </row>
    <row r="4248" spans="1:1" x14ac:dyDescent="0.3">
      <c r="A4248" s="12"/>
    </row>
    <row r="4249" spans="1:1" x14ac:dyDescent="0.3">
      <c r="A4249" s="12"/>
    </row>
    <row r="4250" spans="1:1" x14ac:dyDescent="0.3">
      <c r="A4250" s="12"/>
    </row>
    <row r="4251" spans="1:1" x14ac:dyDescent="0.3">
      <c r="A4251" s="12"/>
    </row>
    <row r="4252" spans="1:1" x14ac:dyDescent="0.3">
      <c r="A4252" s="12"/>
    </row>
    <row r="4253" spans="1:1" x14ac:dyDescent="0.3">
      <c r="A4253" s="12"/>
    </row>
    <row r="4254" spans="1:1" x14ac:dyDescent="0.3">
      <c r="A4254" s="12"/>
    </row>
    <row r="4255" spans="1:1" x14ac:dyDescent="0.3">
      <c r="A4255" s="12"/>
    </row>
    <row r="4256" spans="1:1" x14ac:dyDescent="0.3">
      <c r="A4256" s="12"/>
    </row>
    <row r="4257" spans="1:1" x14ac:dyDescent="0.3">
      <c r="A4257" s="12"/>
    </row>
    <row r="4258" spans="1:1" x14ac:dyDescent="0.3">
      <c r="A4258" s="12"/>
    </row>
    <row r="4259" spans="1:1" x14ac:dyDescent="0.3">
      <c r="A4259" s="12"/>
    </row>
    <row r="4260" spans="1:1" x14ac:dyDescent="0.3">
      <c r="A4260" s="12"/>
    </row>
    <row r="4261" spans="1:1" x14ac:dyDescent="0.3">
      <c r="A4261" s="12"/>
    </row>
    <row r="4262" spans="1:1" x14ac:dyDescent="0.3">
      <c r="A4262" s="12"/>
    </row>
    <row r="4263" spans="1:1" x14ac:dyDescent="0.3">
      <c r="A4263" s="12"/>
    </row>
    <row r="4264" spans="1:1" x14ac:dyDescent="0.3">
      <c r="A4264" s="12"/>
    </row>
    <row r="4265" spans="1:1" x14ac:dyDescent="0.3">
      <c r="A4265" s="12"/>
    </row>
    <row r="4266" spans="1:1" x14ac:dyDescent="0.3">
      <c r="A4266" s="12"/>
    </row>
    <row r="4267" spans="1:1" x14ac:dyDescent="0.3">
      <c r="A4267" s="12"/>
    </row>
    <row r="4268" spans="1:1" x14ac:dyDescent="0.3">
      <c r="A4268" s="12"/>
    </row>
    <row r="4269" spans="1:1" x14ac:dyDescent="0.3">
      <c r="A4269" s="12"/>
    </row>
    <row r="4270" spans="1:1" x14ac:dyDescent="0.3">
      <c r="A4270" s="12"/>
    </row>
    <row r="4271" spans="1:1" x14ac:dyDescent="0.3">
      <c r="A4271" s="12"/>
    </row>
    <row r="4272" spans="1:1" x14ac:dyDescent="0.3">
      <c r="A4272" s="12"/>
    </row>
    <row r="4273" spans="1:1" x14ac:dyDescent="0.3">
      <c r="A4273" s="12"/>
    </row>
    <row r="4274" spans="1:1" x14ac:dyDescent="0.3">
      <c r="A4274" s="12"/>
    </row>
    <row r="4275" spans="1:1" x14ac:dyDescent="0.3">
      <c r="A4275" s="12"/>
    </row>
    <row r="4276" spans="1:1" x14ac:dyDescent="0.3">
      <c r="A4276" s="12"/>
    </row>
    <row r="4277" spans="1:1" x14ac:dyDescent="0.3">
      <c r="A4277" s="12"/>
    </row>
    <row r="4278" spans="1:1" x14ac:dyDescent="0.3">
      <c r="A4278" s="12"/>
    </row>
    <row r="4279" spans="1:1" x14ac:dyDescent="0.3">
      <c r="A4279" s="12"/>
    </row>
    <row r="4280" spans="1:1" x14ac:dyDescent="0.3">
      <c r="A4280" s="12"/>
    </row>
    <row r="4281" spans="1:1" x14ac:dyDescent="0.3">
      <c r="A4281" s="12"/>
    </row>
    <row r="4282" spans="1:1" x14ac:dyDescent="0.3">
      <c r="A4282" s="12"/>
    </row>
    <row r="4283" spans="1:1" x14ac:dyDescent="0.3">
      <c r="A4283" s="12"/>
    </row>
    <row r="4284" spans="1:1" x14ac:dyDescent="0.3">
      <c r="A4284" s="12"/>
    </row>
    <row r="4285" spans="1:1" x14ac:dyDescent="0.3">
      <c r="A4285" s="12"/>
    </row>
    <row r="4286" spans="1:1" x14ac:dyDescent="0.3">
      <c r="A4286" s="12"/>
    </row>
    <row r="4287" spans="1:1" x14ac:dyDescent="0.3">
      <c r="A4287" s="12"/>
    </row>
    <row r="4288" spans="1:1" x14ac:dyDescent="0.3">
      <c r="A4288" s="12"/>
    </row>
    <row r="4289" spans="1:1" x14ac:dyDescent="0.3">
      <c r="A4289" s="12"/>
    </row>
    <row r="4290" spans="1:1" x14ac:dyDescent="0.3">
      <c r="A4290" s="12"/>
    </row>
    <row r="4291" spans="1:1" x14ac:dyDescent="0.3">
      <c r="A4291" s="12"/>
    </row>
    <row r="4292" spans="1:1" x14ac:dyDescent="0.3">
      <c r="A4292" s="12"/>
    </row>
    <row r="4293" spans="1:1" x14ac:dyDescent="0.3">
      <c r="A4293" s="12"/>
    </row>
    <row r="4294" spans="1:1" x14ac:dyDescent="0.3">
      <c r="A4294" s="12"/>
    </row>
    <row r="4295" spans="1:1" x14ac:dyDescent="0.3">
      <c r="A4295" s="12"/>
    </row>
    <row r="4296" spans="1:1" x14ac:dyDescent="0.3">
      <c r="A4296" s="12"/>
    </row>
    <row r="4297" spans="1:1" x14ac:dyDescent="0.3">
      <c r="A4297" s="12"/>
    </row>
    <row r="4298" spans="1:1" x14ac:dyDescent="0.3">
      <c r="A4298" s="12"/>
    </row>
    <row r="4299" spans="1:1" x14ac:dyDescent="0.3">
      <c r="A4299" s="12"/>
    </row>
    <row r="4300" spans="1:1" x14ac:dyDescent="0.3">
      <c r="A4300" s="12"/>
    </row>
    <row r="4301" spans="1:1" x14ac:dyDescent="0.3">
      <c r="A4301" s="12"/>
    </row>
    <row r="4302" spans="1:1" x14ac:dyDescent="0.3">
      <c r="A4302" s="12"/>
    </row>
    <row r="4303" spans="1:1" x14ac:dyDescent="0.3">
      <c r="A4303" s="12"/>
    </row>
    <row r="4304" spans="1:1" x14ac:dyDescent="0.3">
      <c r="A4304" s="12"/>
    </row>
    <row r="4305" spans="1:1" x14ac:dyDescent="0.3">
      <c r="A4305" s="12"/>
    </row>
    <row r="4306" spans="1:1" x14ac:dyDescent="0.3">
      <c r="A4306" s="12"/>
    </row>
    <row r="4307" spans="1:1" x14ac:dyDescent="0.3">
      <c r="A4307" s="12"/>
    </row>
    <row r="4308" spans="1:1" x14ac:dyDescent="0.3">
      <c r="A4308" s="12"/>
    </row>
    <row r="4309" spans="1:1" x14ac:dyDescent="0.3">
      <c r="A4309" s="12"/>
    </row>
    <row r="4310" spans="1:1" x14ac:dyDescent="0.3">
      <c r="A4310" s="12"/>
    </row>
    <row r="4311" spans="1:1" x14ac:dyDescent="0.3">
      <c r="A4311" s="12"/>
    </row>
    <row r="4312" spans="1:1" x14ac:dyDescent="0.3">
      <c r="A4312" s="12"/>
    </row>
    <row r="4313" spans="1:1" x14ac:dyDescent="0.3">
      <c r="A4313" s="12"/>
    </row>
    <row r="4314" spans="1:1" x14ac:dyDescent="0.3">
      <c r="A4314" s="12"/>
    </row>
    <row r="4315" spans="1:1" x14ac:dyDescent="0.3">
      <c r="A4315" s="12"/>
    </row>
    <row r="4316" spans="1:1" x14ac:dyDescent="0.3">
      <c r="A4316" s="12"/>
    </row>
    <row r="4317" spans="1:1" x14ac:dyDescent="0.3">
      <c r="A4317" s="12"/>
    </row>
    <row r="4318" spans="1:1" x14ac:dyDescent="0.3">
      <c r="A4318" s="12"/>
    </row>
    <row r="4319" spans="1:1" x14ac:dyDescent="0.3">
      <c r="A4319" s="12"/>
    </row>
    <row r="4320" spans="1:1" x14ac:dyDescent="0.3">
      <c r="A4320" s="12"/>
    </row>
    <row r="4321" spans="1:1" x14ac:dyDescent="0.3">
      <c r="A4321" s="12"/>
    </row>
    <row r="4322" spans="1:1" x14ac:dyDescent="0.3">
      <c r="A4322" s="12"/>
    </row>
    <row r="4323" spans="1:1" x14ac:dyDescent="0.3">
      <c r="A4323" s="12"/>
    </row>
    <row r="4324" spans="1:1" x14ac:dyDescent="0.3">
      <c r="A4324" s="12"/>
    </row>
    <row r="4325" spans="1:1" x14ac:dyDescent="0.3">
      <c r="A4325" s="12"/>
    </row>
    <row r="4326" spans="1:1" x14ac:dyDescent="0.3">
      <c r="A4326" s="12"/>
    </row>
    <row r="4327" spans="1:1" x14ac:dyDescent="0.3">
      <c r="A4327" s="12"/>
    </row>
    <row r="4328" spans="1:1" x14ac:dyDescent="0.3">
      <c r="A4328" s="12"/>
    </row>
    <row r="4329" spans="1:1" x14ac:dyDescent="0.3">
      <c r="A4329" s="12"/>
    </row>
    <row r="4330" spans="1:1" x14ac:dyDescent="0.3">
      <c r="A4330" s="12"/>
    </row>
    <row r="4331" spans="1:1" x14ac:dyDescent="0.3">
      <c r="A4331" s="12"/>
    </row>
    <row r="4332" spans="1:1" x14ac:dyDescent="0.3">
      <c r="A4332" s="12"/>
    </row>
    <row r="4333" spans="1:1" x14ac:dyDescent="0.3">
      <c r="A4333" s="12"/>
    </row>
    <row r="4334" spans="1:1" x14ac:dyDescent="0.3">
      <c r="A4334" s="12"/>
    </row>
    <row r="4335" spans="1:1" x14ac:dyDescent="0.3">
      <c r="A4335" s="12"/>
    </row>
    <row r="4336" spans="1:1" x14ac:dyDescent="0.3">
      <c r="A4336" s="12"/>
    </row>
    <row r="4337" spans="1:1" x14ac:dyDescent="0.3">
      <c r="A4337" s="12"/>
    </row>
    <row r="4338" spans="1:1" x14ac:dyDescent="0.3">
      <c r="A4338" s="12"/>
    </row>
    <row r="4339" spans="1:1" x14ac:dyDescent="0.3">
      <c r="A4339" s="12"/>
    </row>
    <row r="4340" spans="1:1" x14ac:dyDescent="0.3">
      <c r="A4340" s="12"/>
    </row>
    <row r="4341" spans="1:1" x14ac:dyDescent="0.3">
      <c r="A4341" s="12"/>
    </row>
    <row r="4342" spans="1:1" x14ac:dyDescent="0.3">
      <c r="A4342" s="12"/>
    </row>
    <row r="4343" spans="1:1" x14ac:dyDescent="0.3">
      <c r="A4343" s="12"/>
    </row>
    <row r="4344" spans="1:1" x14ac:dyDescent="0.3">
      <c r="A4344" s="12"/>
    </row>
    <row r="4345" spans="1:1" x14ac:dyDescent="0.3">
      <c r="A4345" s="12"/>
    </row>
    <row r="4346" spans="1:1" x14ac:dyDescent="0.3">
      <c r="A4346" s="12"/>
    </row>
    <row r="4347" spans="1:1" x14ac:dyDescent="0.3">
      <c r="A4347" s="12"/>
    </row>
    <row r="4348" spans="1:1" x14ac:dyDescent="0.3">
      <c r="A4348" s="12"/>
    </row>
    <row r="4349" spans="1:1" x14ac:dyDescent="0.3">
      <c r="A4349" s="12"/>
    </row>
    <row r="4350" spans="1:1" x14ac:dyDescent="0.3">
      <c r="A4350" s="12"/>
    </row>
    <row r="4351" spans="1:1" x14ac:dyDescent="0.3">
      <c r="A4351" s="12"/>
    </row>
    <row r="4352" spans="1:1" x14ac:dyDescent="0.3">
      <c r="A4352" s="12"/>
    </row>
    <row r="4353" spans="1:1" x14ac:dyDescent="0.3">
      <c r="A4353" s="12"/>
    </row>
    <row r="4354" spans="1:1" x14ac:dyDescent="0.3">
      <c r="A4354" s="12"/>
    </row>
    <row r="4355" spans="1:1" x14ac:dyDescent="0.3">
      <c r="A4355" s="12"/>
    </row>
    <row r="4356" spans="1:1" x14ac:dyDescent="0.3">
      <c r="A4356" s="12"/>
    </row>
    <row r="4357" spans="1:1" x14ac:dyDescent="0.3">
      <c r="A4357" s="12"/>
    </row>
    <row r="4358" spans="1:1" x14ac:dyDescent="0.3">
      <c r="A4358" s="12"/>
    </row>
    <row r="4359" spans="1:1" x14ac:dyDescent="0.3">
      <c r="A4359" s="12"/>
    </row>
    <row r="4360" spans="1:1" x14ac:dyDescent="0.3">
      <c r="A4360" s="12"/>
    </row>
    <row r="4361" spans="1:1" x14ac:dyDescent="0.3">
      <c r="A4361" s="12"/>
    </row>
    <row r="4362" spans="1:1" x14ac:dyDescent="0.3">
      <c r="A4362" s="12"/>
    </row>
    <row r="4363" spans="1:1" x14ac:dyDescent="0.3">
      <c r="A4363" s="12"/>
    </row>
    <row r="4364" spans="1:1" x14ac:dyDescent="0.3">
      <c r="A4364" s="12"/>
    </row>
    <row r="4365" spans="1:1" x14ac:dyDescent="0.3">
      <c r="A4365" s="12"/>
    </row>
    <row r="4366" spans="1:1" x14ac:dyDescent="0.3">
      <c r="A4366" s="12"/>
    </row>
    <row r="4367" spans="1:1" x14ac:dyDescent="0.3">
      <c r="A4367" s="12"/>
    </row>
    <row r="4368" spans="1:1" x14ac:dyDescent="0.3">
      <c r="A4368" s="12"/>
    </row>
    <row r="4369" spans="1:1" x14ac:dyDescent="0.3">
      <c r="A4369" s="12"/>
    </row>
    <row r="4370" spans="1:1" x14ac:dyDescent="0.3">
      <c r="A4370" s="12"/>
    </row>
    <row r="4371" spans="1:1" x14ac:dyDescent="0.3">
      <c r="A4371" s="12"/>
    </row>
    <row r="4372" spans="1:1" x14ac:dyDescent="0.3">
      <c r="A4372" s="12"/>
    </row>
    <row r="4373" spans="1:1" x14ac:dyDescent="0.3">
      <c r="A4373" s="12"/>
    </row>
    <row r="4374" spans="1:1" x14ac:dyDescent="0.3">
      <c r="A4374" s="12"/>
    </row>
    <row r="4375" spans="1:1" x14ac:dyDescent="0.3">
      <c r="A4375" s="12"/>
    </row>
    <row r="4376" spans="1:1" x14ac:dyDescent="0.3">
      <c r="A4376" s="12"/>
    </row>
    <row r="4377" spans="1:1" x14ac:dyDescent="0.3">
      <c r="A4377" s="12"/>
    </row>
    <row r="4378" spans="1:1" x14ac:dyDescent="0.3">
      <c r="A4378" s="12"/>
    </row>
    <row r="4379" spans="1:1" x14ac:dyDescent="0.3">
      <c r="A4379" s="12"/>
    </row>
    <row r="4380" spans="1:1" x14ac:dyDescent="0.3">
      <c r="A4380" s="12"/>
    </row>
    <row r="4381" spans="1:1" x14ac:dyDescent="0.3">
      <c r="A4381" s="12"/>
    </row>
    <row r="4382" spans="1:1" x14ac:dyDescent="0.3">
      <c r="A4382" s="12"/>
    </row>
    <row r="4383" spans="1:1" x14ac:dyDescent="0.3">
      <c r="A4383" s="12"/>
    </row>
    <row r="4384" spans="1:1" x14ac:dyDescent="0.3">
      <c r="A4384" s="12"/>
    </row>
    <row r="4385" spans="1:1" x14ac:dyDescent="0.3">
      <c r="A4385" s="12"/>
    </row>
    <row r="4386" spans="1:1" x14ac:dyDescent="0.3">
      <c r="A4386" s="12"/>
    </row>
    <row r="4387" spans="1:1" x14ac:dyDescent="0.3">
      <c r="A4387" s="12"/>
    </row>
    <row r="4388" spans="1:1" x14ac:dyDescent="0.3">
      <c r="A4388" s="12"/>
    </row>
    <row r="4389" spans="1:1" x14ac:dyDescent="0.3">
      <c r="A4389" s="12"/>
    </row>
    <row r="4390" spans="1:1" x14ac:dyDescent="0.3">
      <c r="A4390" s="12"/>
    </row>
    <row r="4391" spans="1:1" x14ac:dyDescent="0.3">
      <c r="A4391" s="12"/>
    </row>
    <row r="4392" spans="1:1" x14ac:dyDescent="0.3">
      <c r="A4392" s="12"/>
    </row>
    <row r="4393" spans="1:1" x14ac:dyDescent="0.3">
      <c r="A4393" s="12"/>
    </row>
    <row r="4394" spans="1:1" x14ac:dyDescent="0.3">
      <c r="A4394" s="12"/>
    </row>
    <row r="4395" spans="1:1" x14ac:dyDescent="0.3">
      <c r="A4395" s="12"/>
    </row>
    <row r="4396" spans="1:1" x14ac:dyDescent="0.3">
      <c r="A4396" s="12"/>
    </row>
    <row r="4397" spans="1:1" x14ac:dyDescent="0.3">
      <c r="A4397" s="12"/>
    </row>
    <row r="4398" spans="1:1" x14ac:dyDescent="0.3">
      <c r="A4398" s="12"/>
    </row>
    <row r="4399" spans="1:1" x14ac:dyDescent="0.3">
      <c r="A4399" s="12"/>
    </row>
    <row r="4400" spans="1:1" x14ac:dyDescent="0.3">
      <c r="A4400" s="12"/>
    </row>
    <row r="4401" spans="1:1" x14ac:dyDescent="0.3">
      <c r="A4401" s="12"/>
    </row>
    <row r="4402" spans="1:1" x14ac:dyDescent="0.3">
      <c r="A4402" s="12"/>
    </row>
    <row r="4403" spans="1:1" x14ac:dyDescent="0.3">
      <c r="A4403" s="12"/>
    </row>
    <row r="4404" spans="1:1" x14ac:dyDescent="0.3">
      <c r="A4404" s="12"/>
    </row>
    <row r="4405" spans="1:1" x14ac:dyDescent="0.3">
      <c r="A4405" s="12"/>
    </row>
    <row r="4406" spans="1:1" x14ac:dyDescent="0.3">
      <c r="A4406" s="12"/>
    </row>
    <row r="4407" spans="1:1" x14ac:dyDescent="0.3">
      <c r="A4407" s="12"/>
    </row>
    <row r="4408" spans="1:1" x14ac:dyDescent="0.3">
      <c r="A4408" s="12"/>
    </row>
    <row r="4409" spans="1:1" x14ac:dyDescent="0.3">
      <c r="A4409" s="12"/>
    </row>
    <row r="4410" spans="1:1" x14ac:dyDescent="0.3">
      <c r="A4410" s="12"/>
    </row>
    <row r="4411" spans="1:1" x14ac:dyDescent="0.3">
      <c r="A4411" s="12"/>
    </row>
    <row r="4412" spans="1:1" x14ac:dyDescent="0.3">
      <c r="A4412" s="12"/>
    </row>
    <row r="4413" spans="1:1" x14ac:dyDescent="0.3">
      <c r="A4413" s="12"/>
    </row>
    <row r="4414" spans="1:1" x14ac:dyDescent="0.3">
      <c r="A4414" s="12"/>
    </row>
    <row r="4415" spans="1:1" x14ac:dyDescent="0.3">
      <c r="A4415" s="12"/>
    </row>
    <row r="4416" spans="1:1" x14ac:dyDescent="0.3">
      <c r="A4416" s="12"/>
    </row>
    <row r="4417" spans="1:1" x14ac:dyDescent="0.3">
      <c r="A4417" s="12"/>
    </row>
    <row r="4418" spans="1:1" x14ac:dyDescent="0.3">
      <c r="A4418" s="12"/>
    </row>
    <row r="4419" spans="1:1" x14ac:dyDescent="0.3">
      <c r="A4419" s="12"/>
    </row>
    <row r="4420" spans="1:1" x14ac:dyDescent="0.3">
      <c r="A4420" s="12"/>
    </row>
    <row r="4421" spans="1:1" x14ac:dyDescent="0.3">
      <c r="A4421" s="12"/>
    </row>
    <row r="4422" spans="1:1" x14ac:dyDescent="0.3">
      <c r="A4422" s="12"/>
    </row>
    <row r="4423" spans="1:1" x14ac:dyDescent="0.3">
      <c r="A4423" s="12"/>
    </row>
    <row r="4424" spans="1:1" x14ac:dyDescent="0.3">
      <c r="A4424" s="12"/>
    </row>
    <row r="4425" spans="1:1" x14ac:dyDescent="0.3">
      <c r="A4425" s="12"/>
    </row>
    <row r="4426" spans="1:1" x14ac:dyDescent="0.3">
      <c r="A4426" s="12"/>
    </row>
    <row r="4427" spans="1:1" x14ac:dyDescent="0.3">
      <c r="A4427" s="12"/>
    </row>
    <row r="4428" spans="1:1" x14ac:dyDescent="0.3">
      <c r="A4428" s="12"/>
    </row>
    <row r="4429" spans="1:1" x14ac:dyDescent="0.3">
      <c r="A4429" s="12"/>
    </row>
    <row r="4430" spans="1:1" x14ac:dyDescent="0.3">
      <c r="A4430" s="12"/>
    </row>
    <row r="4431" spans="1:1" x14ac:dyDescent="0.3">
      <c r="A4431" s="12"/>
    </row>
    <row r="4432" spans="1:1" x14ac:dyDescent="0.3">
      <c r="A4432" s="12"/>
    </row>
    <row r="4433" spans="1:1" x14ac:dyDescent="0.3">
      <c r="A4433" s="12"/>
    </row>
    <row r="4434" spans="1:1" x14ac:dyDescent="0.3">
      <c r="A4434" s="12"/>
    </row>
    <row r="4435" spans="1:1" x14ac:dyDescent="0.3">
      <c r="A4435" s="12"/>
    </row>
    <row r="4436" spans="1:1" x14ac:dyDescent="0.3">
      <c r="A4436" s="12"/>
    </row>
    <row r="4437" spans="1:1" x14ac:dyDescent="0.3">
      <c r="A4437" s="12"/>
    </row>
    <row r="4438" spans="1:1" x14ac:dyDescent="0.3">
      <c r="A4438" s="12"/>
    </row>
    <row r="4439" spans="1:1" x14ac:dyDescent="0.3">
      <c r="A4439" s="12"/>
    </row>
    <row r="4440" spans="1:1" x14ac:dyDescent="0.3">
      <c r="A4440" s="12"/>
    </row>
    <row r="4441" spans="1:1" x14ac:dyDescent="0.3">
      <c r="A4441" s="12"/>
    </row>
    <row r="4442" spans="1:1" x14ac:dyDescent="0.3">
      <c r="A4442" s="12"/>
    </row>
    <row r="4443" spans="1:1" x14ac:dyDescent="0.3">
      <c r="A4443" s="12"/>
    </row>
    <row r="4444" spans="1:1" x14ac:dyDescent="0.3">
      <c r="A4444" s="12"/>
    </row>
    <row r="4445" spans="1:1" x14ac:dyDescent="0.3">
      <c r="A4445" s="12"/>
    </row>
    <row r="4446" spans="1:1" x14ac:dyDescent="0.3">
      <c r="A4446" s="12"/>
    </row>
    <row r="4447" spans="1:1" x14ac:dyDescent="0.3">
      <c r="A4447" s="12"/>
    </row>
    <row r="4448" spans="1:1" x14ac:dyDescent="0.3">
      <c r="A4448" s="12"/>
    </row>
    <row r="4449" spans="1:1" x14ac:dyDescent="0.3">
      <c r="A4449" s="12"/>
    </row>
    <row r="4450" spans="1:1" x14ac:dyDescent="0.3">
      <c r="A4450" s="12"/>
    </row>
    <row r="4451" spans="1:1" x14ac:dyDescent="0.3">
      <c r="A4451" s="12"/>
    </row>
    <row r="4452" spans="1:1" x14ac:dyDescent="0.3">
      <c r="A4452" s="12"/>
    </row>
    <row r="4453" spans="1:1" x14ac:dyDescent="0.3">
      <c r="A4453" s="12"/>
    </row>
    <row r="4454" spans="1:1" x14ac:dyDescent="0.3">
      <c r="A4454" s="12"/>
    </row>
    <row r="4455" spans="1:1" x14ac:dyDescent="0.3">
      <c r="A4455" s="12"/>
    </row>
    <row r="4456" spans="1:1" x14ac:dyDescent="0.3">
      <c r="A4456" s="12"/>
    </row>
    <row r="4457" spans="1:1" x14ac:dyDescent="0.3">
      <c r="A4457" s="12"/>
    </row>
    <row r="4458" spans="1:1" x14ac:dyDescent="0.3">
      <c r="A4458" s="12"/>
    </row>
    <row r="4459" spans="1:1" x14ac:dyDescent="0.3">
      <c r="A4459" s="12"/>
    </row>
    <row r="4460" spans="1:1" x14ac:dyDescent="0.3">
      <c r="A4460" s="12"/>
    </row>
    <row r="4461" spans="1:1" x14ac:dyDescent="0.3">
      <c r="A4461" s="12"/>
    </row>
    <row r="4462" spans="1:1" x14ac:dyDescent="0.3">
      <c r="A4462" s="12"/>
    </row>
    <row r="4463" spans="1:1" x14ac:dyDescent="0.3">
      <c r="A4463" s="12"/>
    </row>
    <row r="4464" spans="1:1" x14ac:dyDescent="0.3">
      <c r="A4464" s="12"/>
    </row>
    <row r="4465" spans="1:1" x14ac:dyDescent="0.3">
      <c r="A4465" s="12"/>
    </row>
    <row r="4466" spans="1:1" x14ac:dyDescent="0.3">
      <c r="A4466" s="12"/>
    </row>
    <row r="4467" spans="1:1" x14ac:dyDescent="0.3">
      <c r="A4467" s="12"/>
    </row>
    <row r="4468" spans="1:1" x14ac:dyDescent="0.3">
      <c r="A4468" s="12"/>
    </row>
    <row r="4469" spans="1:1" x14ac:dyDescent="0.3">
      <c r="A4469" s="12"/>
    </row>
    <row r="4470" spans="1:1" x14ac:dyDescent="0.3">
      <c r="A4470" s="12"/>
    </row>
    <row r="4471" spans="1:1" x14ac:dyDescent="0.3">
      <c r="A4471" s="12"/>
    </row>
    <row r="4472" spans="1:1" x14ac:dyDescent="0.3">
      <c r="A4472" s="12"/>
    </row>
    <row r="4473" spans="1:1" x14ac:dyDescent="0.3">
      <c r="A4473" s="12"/>
    </row>
    <row r="4474" spans="1:1" x14ac:dyDescent="0.3">
      <c r="A4474" s="12"/>
    </row>
    <row r="4475" spans="1:1" x14ac:dyDescent="0.3">
      <c r="A4475" s="12"/>
    </row>
    <row r="4476" spans="1:1" x14ac:dyDescent="0.3">
      <c r="A4476" s="12"/>
    </row>
    <row r="4477" spans="1:1" x14ac:dyDescent="0.3">
      <c r="A4477" s="12"/>
    </row>
    <row r="4478" spans="1:1" x14ac:dyDescent="0.3">
      <c r="A4478" s="12"/>
    </row>
    <row r="4479" spans="1:1" x14ac:dyDescent="0.3">
      <c r="A4479" s="12"/>
    </row>
    <row r="4480" spans="1:1" x14ac:dyDescent="0.3">
      <c r="A4480" s="12"/>
    </row>
    <row r="4481" spans="1:1" x14ac:dyDescent="0.3">
      <c r="A4481" s="12"/>
    </row>
    <row r="4482" spans="1:1" x14ac:dyDescent="0.3">
      <c r="A4482" s="12"/>
    </row>
    <row r="4483" spans="1:1" x14ac:dyDescent="0.3">
      <c r="A4483" s="12"/>
    </row>
    <row r="4484" spans="1:1" x14ac:dyDescent="0.3">
      <c r="A4484" s="12"/>
    </row>
    <row r="4485" spans="1:1" x14ac:dyDescent="0.3">
      <c r="A4485" s="12"/>
    </row>
    <row r="4486" spans="1:1" x14ac:dyDescent="0.3">
      <c r="A4486" s="12"/>
    </row>
    <row r="4487" spans="1:1" x14ac:dyDescent="0.3">
      <c r="A4487" s="12"/>
    </row>
    <row r="4488" spans="1:1" x14ac:dyDescent="0.3">
      <c r="A4488" s="12"/>
    </row>
    <row r="4489" spans="1:1" x14ac:dyDescent="0.3">
      <c r="A4489" s="12"/>
    </row>
    <row r="4490" spans="1:1" x14ac:dyDescent="0.3">
      <c r="A4490" s="12"/>
    </row>
    <row r="4491" spans="1:1" x14ac:dyDescent="0.3">
      <c r="A4491" s="12"/>
    </row>
    <row r="4492" spans="1:1" x14ac:dyDescent="0.3">
      <c r="A4492" s="12"/>
    </row>
    <row r="4493" spans="1:1" x14ac:dyDescent="0.3">
      <c r="A4493" s="12"/>
    </row>
    <row r="4494" spans="1:1" x14ac:dyDescent="0.3">
      <c r="A4494" s="12"/>
    </row>
    <row r="4495" spans="1:1" x14ac:dyDescent="0.3">
      <c r="A4495" s="12"/>
    </row>
    <row r="4496" spans="1:1" x14ac:dyDescent="0.3">
      <c r="A4496" s="12"/>
    </row>
    <row r="4497" spans="1:1" x14ac:dyDescent="0.3">
      <c r="A4497" s="12"/>
    </row>
    <row r="4498" spans="1:1" x14ac:dyDescent="0.3">
      <c r="A4498" s="12"/>
    </row>
    <row r="4499" spans="1:1" x14ac:dyDescent="0.3">
      <c r="A4499" s="12"/>
    </row>
    <row r="4500" spans="1:1" x14ac:dyDescent="0.3">
      <c r="A4500" s="12"/>
    </row>
    <row r="4501" spans="1:1" x14ac:dyDescent="0.3">
      <c r="A4501" s="12"/>
    </row>
    <row r="4502" spans="1:1" x14ac:dyDescent="0.3">
      <c r="A4502" s="12"/>
    </row>
    <row r="4503" spans="1:1" x14ac:dyDescent="0.3">
      <c r="A4503" s="12"/>
    </row>
    <row r="4504" spans="1:1" x14ac:dyDescent="0.3">
      <c r="A4504" s="12"/>
    </row>
    <row r="4505" spans="1:1" x14ac:dyDescent="0.3">
      <c r="A4505" s="12"/>
    </row>
    <row r="4506" spans="1:1" x14ac:dyDescent="0.3">
      <c r="A4506" s="12"/>
    </row>
    <row r="4507" spans="1:1" x14ac:dyDescent="0.3">
      <c r="A4507" s="12"/>
    </row>
    <row r="4508" spans="1:1" x14ac:dyDescent="0.3">
      <c r="A4508" s="12"/>
    </row>
    <row r="4509" spans="1:1" x14ac:dyDescent="0.3">
      <c r="A4509" s="12"/>
    </row>
    <row r="4510" spans="1:1" x14ac:dyDescent="0.3">
      <c r="A4510" s="12"/>
    </row>
    <row r="4511" spans="1:1" x14ac:dyDescent="0.3">
      <c r="A4511" s="12"/>
    </row>
    <row r="4512" spans="1:1" x14ac:dyDescent="0.3">
      <c r="A4512" s="12"/>
    </row>
    <row r="4513" spans="1:1" x14ac:dyDescent="0.3">
      <c r="A4513" s="12"/>
    </row>
    <row r="4514" spans="1:1" x14ac:dyDescent="0.3">
      <c r="A4514" s="12"/>
    </row>
    <row r="4515" spans="1:1" x14ac:dyDescent="0.3">
      <c r="A4515" s="12"/>
    </row>
    <row r="4516" spans="1:1" x14ac:dyDescent="0.3">
      <c r="A4516" s="12"/>
    </row>
    <row r="4517" spans="1:1" x14ac:dyDescent="0.3">
      <c r="A4517" s="12"/>
    </row>
    <row r="4518" spans="1:1" x14ac:dyDescent="0.3">
      <c r="A4518" s="12"/>
    </row>
    <row r="4519" spans="1:1" x14ac:dyDescent="0.3">
      <c r="A4519" s="12"/>
    </row>
    <row r="4520" spans="1:1" x14ac:dyDescent="0.3">
      <c r="A4520" s="12"/>
    </row>
    <row r="4521" spans="1:1" x14ac:dyDescent="0.3">
      <c r="A4521" s="12"/>
    </row>
    <row r="4522" spans="1:1" x14ac:dyDescent="0.3">
      <c r="A4522" s="12"/>
    </row>
    <row r="4523" spans="1:1" x14ac:dyDescent="0.3">
      <c r="A4523" s="12"/>
    </row>
    <row r="4524" spans="1:1" x14ac:dyDescent="0.3">
      <c r="A4524" s="12"/>
    </row>
    <row r="4525" spans="1:1" x14ac:dyDescent="0.3">
      <c r="A4525" s="12"/>
    </row>
    <row r="4526" spans="1:1" x14ac:dyDescent="0.3">
      <c r="A4526" s="12"/>
    </row>
    <row r="4527" spans="1:1" x14ac:dyDescent="0.3">
      <c r="A4527" s="12"/>
    </row>
    <row r="4528" spans="1:1" x14ac:dyDescent="0.3">
      <c r="A4528" s="12"/>
    </row>
    <row r="4529" spans="1:1" x14ac:dyDescent="0.3">
      <c r="A4529" s="12"/>
    </row>
    <row r="4530" spans="1:1" x14ac:dyDescent="0.3">
      <c r="A4530" s="12"/>
    </row>
    <row r="4531" spans="1:1" x14ac:dyDescent="0.3">
      <c r="A4531" s="12"/>
    </row>
    <row r="4532" spans="1:1" x14ac:dyDescent="0.3">
      <c r="A4532" s="12"/>
    </row>
    <row r="4533" spans="1:1" x14ac:dyDescent="0.3">
      <c r="A4533" s="12"/>
    </row>
    <row r="4534" spans="1:1" x14ac:dyDescent="0.3">
      <c r="A4534" s="12"/>
    </row>
    <row r="4535" spans="1:1" x14ac:dyDescent="0.3">
      <c r="A4535" s="12"/>
    </row>
    <row r="4536" spans="1:1" x14ac:dyDescent="0.3">
      <c r="A4536" s="12"/>
    </row>
    <row r="4537" spans="1:1" x14ac:dyDescent="0.3">
      <c r="A4537" s="12"/>
    </row>
    <row r="4538" spans="1:1" x14ac:dyDescent="0.3">
      <c r="A4538" s="12"/>
    </row>
    <row r="4539" spans="1:1" x14ac:dyDescent="0.3">
      <c r="A4539" s="12"/>
    </row>
    <row r="4540" spans="1:1" x14ac:dyDescent="0.3">
      <c r="A4540" s="12"/>
    </row>
    <row r="4541" spans="1:1" x14ac:dyDescent="0.3">
      <c r="A4541" s="12"/>
    </row>
    <row r="4542" spans="1:1" x14ac:dyDescent="0.3">
      <c r="A4542" s="12"/>
    </row>
    <row r="4543" spans="1:1" x14ac:dyDescent="0.3">
      <c r="A4543" s="12"/>
    </row>
    <row r="4544" spans="1:1" x14ac:dyDescent="0.3">
      <c r="A4544" s="12"/>
    </row>
    <row r="4545" spans="1:1" x14ac:dyDescent="0.3">
      <c r="A4545" s="12"/>
    </row>
    <row r="4546" spans="1:1" x14ac:dyDescent="0.3">
      <c r="A4546" s="12"/>
    </row>
    <row r="4547" spans="1:1" x14ac:dyDescent="0.3">
      <c r="A4547" s="12"/>
    </row>
    <row r="4548" spans="1:1" x14ac:dyDescent="0.3">
      <c r="A4548" s="12"/>
    </row>
    <row r="4549" spans="1:1" x14ac:dyDescent="0.3">
      <c r="A4549" s="12"/>
    </row>
    <row r="4550" spans="1:1" x14ac:dyDescent="0.3">
      <c r="A4550" s="12"/>
    </row>
    <row r="4551" spans="1:1" x14ac:dyDescent="0.3">
      <c r="A4551" s="12"/>
    </row>
    <row r="4552" spans="1:1" x14ac:dyDescent="0.3">
      <c r="A4552" s="12"/>
    </row>
    <row r="4553" spans="1:1" x14ac:dyDescent="0.3">
      <c r="A4553" s="12"/>
    </row>
    <row r="4554" spans="1:1" x14ac:dyDescent="0.3">
      <c r="A4554" s="12"/>
    </row>
    <row r="4555" spans="1:1" x14ac:dyDescent="0.3">
      <c r="A4555" s="12"/>
    </row>
    <row r="4556" spans="1:1" x14ac:dyDescent="0.3">
      <c r="A4556" s="12"/>
    </row>
    <row r="4557" spans="1:1" x14ac:dyDescent="0.3">
      <c r="A4557" s="12"/>
    </row>
    <row r="4558" spans="1:1" x14ac:dyDescent="0.3">
      <c r="A4558" s="12"/>
    </row>
    <row r="4559" spans="1:1" x14ac:dyDescent="0.3">
      <c r="A4559" s="12"/>
    </row>
    <row r="4560" spans="1:1" x14ac:dyDescent="0.3">
      <c r="A4560" s="12"/>
    </row>
    <row r="4561" spans="1:1" x14ac:dyDescent="0.3">
      <c r="A4561" s="12"/>
    </row>
    <row r="4562" spans="1:1" x14ac:dyDescent="0.3">
      <c r="A4562" s="12"/>
    </row>
    <row r="4563" spans="1:1" x14ac:dyDescent="0.3">
      <c r="A4563" s="12"/>
    </row>
    <row r="4564" spans="1:1" x14ac:dyDescent="0.3">
      <c r="A4564" s="12"/>
    </row>
    <row r="4565" spans="1:1" x14ac:dyDescent="0.3">
      <c r="A4565" s="12"/>
    </row>
    <row r="4566" spans="1:1" x14ac:dyDescent="0.3">
      <c r="A4566" s="12"/>
    </row>
    <row r="4567" spans="1:1" x14ac:dyDescent="0.3">
      <c r="A4567" s="12"/>
    </row>
    <row r="4568" spans="1:1" x14ac:dyDescent="0.3">
      <c r="A4568" s="12"/>
    </row>
    <row r="4569" spans="1:1" x14ac:dyDescent="0.3">
      <c r="A4569" s="12"/>
    </row>
    <row r="4570" spans="1:1" x14ac:dyDescent="0.3">
      <c r="A4570" s="12"/>
    </row>
    <row r="4571" spans="1:1" x14ac:dyDescent="0.3">
      <c r="A4571" s="12"/>
    </row>
    <row r="4572" spans="1:1" x14ac:dyDescent="0.3">
      <c r="A4572" s="12"/>
    </row>
    <row r="4573" spans="1:1" x14ac:dyDescent="0.3">
      <c r="A4573" s="12"/>
    </row>
    <row r="4574" spans="1:1" x14ac:dyDescent="0.3">
      <c r="A4574" s="12"/>
    </row>
    <row r="4575" spans="1:1" x14ac:dyDescent="0.3">
      <c r="A4575" s="12"/>
    </row>
    <row r="4576" spans="1:1" x14ac:dyDescent="0.3">
      <c r="A4576" s="12"/>
    </row>
    <row r="4577" spans="1:1" x14ac:dyDescent="0.3">
      <c r="A4577" s="12"/>
    </row>
    <row r="4578" spans="1:1" x14ac:dyDescent="0.3">
      <c r="A4578" s="12"/>
    </row>
    <row r="4579" spans="1:1" x14ac:dyDescent="0.3">
      <c r="A4579" s="12"/>
    </row>
    <row r="4580" spans="1:1" x14ac:dyDescent="0.3">
      <c r="A4580" s="12"/>
    </row>
    <row r="4581" spans="1:1" x14ac:dyDescent="0.3">
      <c r="A4581" s="12"/>
    </row>
    <row r="4582" spans="1:1" x14ac:dyDescent="0.3">
      <c r="A4582" s="12"/>
    </row>
    <row r="4583" spans="1:1" x14ac:dyDescent="0.3">
      <c r="A4583" s="12"/>
    </row>
    <row r="4584" spans="1:1" x14ac:dyDescent="0.3">
      <c r="A4584" s="12"/>
    </row>
    <row r="4585" spans="1:1" x14ac:dyDescent="0.3">
      <c r="A4585" s="12"/>
    </row>
    <row r="4586" spans="1:1" x14ac:dyDescent="0.3">
      <c r="A4586" s="12"/>
    </row>
    <row r="4587" spans="1:1" x14ac:dyDescent="0.3">
      <c r="A4587" s="12"/>
    </row>
    <row r="4588" spans="1:1" x14ac:dyDescent="0.3">
      <c r="A4588" s="12"/>
    </row>
    <row r="4589" spans="1:1" x14ac:dyDescent="0.3">
      <c r="A4589" s="12"/>
    </row>
    <row r="4590" spans="1:1" x14ac:dyDescent="0.3">
      <c r="A4590" s="12"/>
    </row>
    <row r="4591" spans="1:1" x14ac:dyDescent="0.3">
      <c r="A4591" s="12"/>
    </row>
    <row r="4592" spans="1:1" x14ac:dyDescent="0.3">
      <c r="A4592" s="12"/>
    </row>
    <row r="4593" spans="1:1" x14ac:dyDescent="0.3">
      <c r="A4593" s="12"/>
    </row>
    <row r="4594" spans="1:1" x14ac:dyDescent="0.3">
      <c r="A4594" s="12"/>
    </row>
    <row r="4595" spans="1:1" x14ac:dyDescent="0.3">
      <c r="A4595" s="12"/>
    </row>
    <row r="4596" spans="1:1" x14ac:dyDescent="0.3">
      <c r="A4596" s="12"/>
    </row>
    <row r="4597" spans="1:1" x14ac:dyDescent="0.3">
      <c r="A4597" s="12"/>
    </row>
    <row r="4598" spans="1:1" x14ac:dyDescent="0.3">
      <c r="A4598" s="12"/>
    </row>
    <row r="4599" spans="1:1" x14ac:dyDescent="0.3">
      <c r="A4599" s="12"/>
    </row>
    <row r="4600" spans="1:1" x14ac:dyDescent="0.3">
      <c r="A4600" s="12"/>
    </row>
    <row r="4601" spans="1:1" x14ac:dyDescent="0.3">
      <c r="A4601" s="12"/>
    </row>
    <row r="4602" spans="1:1" x14ac:dyDescent="0.3">
      <c r="A4602" s="12"/>
    </row>
    <row r="4603" spans="1:1" x14ac:dyDescent="0.3">
      <c r="A4603" s="12"/>
    </row>
    <row r="4604" spans="1:1" x14ac:dyDescent="0.3">
      <c r="A4604" s="12"/>
    </row>
    <row r="4605" spans="1:1" x14ac:dyDescent="0.3">
      <c r="A4605" s="12"/>
    </row>
    <row r="4606" spans="1:1" x14ac:dyDescent="0.3">
      <c r="A4606" s="12"/>
    </row>
    <row r="4607" spans="1:1" x14ac:dyDescent="0.3">
      <c r="A4607" s="12"/>
    </row>
    <row r="4608" spans="1:1" x14ac:dyDescent="0.3">
      <c r="A4608" s="12"/>
    </row>
    <row r="4609" spans="1:1" x14ac:dyDescent="0.3">
      <c r="A4609" s="12"/>
    </row>
    <row r="4610" spans="1:1" x14ac:dyDescent="0.3">
      <c r="A4610" s="12"/>
    </row>
    <row r="4611" spans="1:1" x14ac:dyDescent="0.3">
      <c r="A4611" s="12"/>
    </row>
    <row r="4612" spans="1:1" x14ac:dyDescent="0.3">
      <c r="A4612" s="12"/>
    </row>
    <row r="4613" spans="1:1" x14ac:dyDescent="0.3">
      <c r="A4613" s="12"/>
    </row>
    <row r="4614" spans="1:1" x14ac:dyDescent="0.3">
      <c r="A4614" s="12"/>
    </row>
    <row r="4615" spans="1:1" x14ac:dyDescent="0.3">
      <c r="A4615" s="12"/>
    </row>
    <row r="4616" spans="1:1" x14ac:dyDescent="0.3">
      <c r="A4616" s="12"/>
    </row>
    <row r="4617" spans="1:1" x14ac:dyDescent="0.3">
      <c r="A4617" s="12"/>
    </row>
    <row r="4618" spans="1:1" x14ac:dyDescent="0.3">
      <c r="A4618" s="12"/>
    </row>
    <row r="4619" spans="1:1" x14ac:dyDescent="0.3">
      <c r="A4619" s="12"/>
    </row>
    <row r="4620" spans="1:1" x14ac:dyDescent="0.3">
      <c r="A4620" s="12"/>
    </row>
    <row r="4621" spans="1:1" x14ac:dyDescent="0.3">
      <c r="A4621" s="12"/>
    </row>
    <row r="4622" spans="1:1" x14ac:dyDescent="0.3">
      <c r="A4622" s="12"/>
    </row>
    <row r="4623" spans="1:1" x14ac:dyDescent="0.3">
      <c r="A4623" s="12"/>
    </row>
    <row r="4624" spans="1:1" x14ac:dyDescent="0.3">
      <c r="A4624" s="12"/>
    </row>
    <row r="4625" spans="1:1" x14ac:dyDescent="0.3">
      <c r="A4625" s="12"/>
    </row>
    <row r="4626" spans="1:1" x14ac:dyDescent="0.3">
      <c r="A4626" s="12"/>
    </row>
    <row r="4627" spans="1:1" x14ac:dyDescent="0.3">
      <c r="A4627" s="12"/>
    </row>
    <row r="4628" spans="1:1" x14ac:dyDescent="0.3">
      <c r="A4628" s="12"/>
    </row>
    <row r="4629" spans="1:1" x14ac:dyDescent="0.3">
      <c r="A4629" s="12"/>
    </row>
    <row r="4630" spans="1:1" x14ac:dyDescent="0.3">
      <c r="A4630" s="12"/>
    </row>
    <row r="4631" spans="1:1" x14ac:dyDescent="0.3">
      <c r="A4631" s="12"/>
    </row>
    <row r="4632" spans="1:1" x14ac:dyDescent="0.3">
      <c r="A4632" s="12"/>
    </row>
    <row r="4633" spans="1:1" x14ac:dyDescent="0.3">
      <c r="A4633" s="12"/>
    </row>
    <row r="4634" spans="1:1" x14ac:dyDescent="0.3">
      <c r="A4634" s="12"/>
    </row>
    <row r="4635" spans="1:1" x14ac:dyDescent="0.3">
      <c r="A4635" s="12"/>
    </row>
    <row r="4636" spans="1:1" x14ac:dyDescent="0.3">
      <c r="A4636" s="12"/>
    </row>
    <row r="4637" spans="1:1" x14ac:dyDescent="0.3">
      <c r="A4637" s="12"/>
    </row>
    <row r="4638" spans="1:1" x14ac:dyDescent="0.3">
      <c r="A4638" s="12"/>
    </row>
    <row r="4639" spans="1:1" x14ac:dyDescent="0.3">
      <c r="A4639" s="12"/>
    </row>
    <row r="4640" spans="1:1" x14ac:dyDescent="0.3">
      <c r="A4640" s="12"/>
    </row>
    <row r="4641" spans="1:1" x14ac:dyDescent="0.3">
      <c r="A4641" s="12"/>
    </row>
    <row r="4642" spans="1:1" x14ac:dyDescent="0.3">
      <c r="A4642" s="12"/>
    </row>
    <row r="4643" spans="1:1" x14ac:dyDescent="0.3">
      <c r="A4643" s="12"/>
    </row>
    <row r="4644" spans="1:1" x14ac:dyDescent="0.3">
      <c r="A4644" s="12"/>
    </row>
    <row r="4645" spans="1:1" x14ac:dyDescent="0.3">
      <c r="A4645" s="12"/>
    </row>
    <row r="4646" spans="1:1" x14ac:dyDescent="0.3">
      <c r="A4646" s="12"/>
    </row>
    <row r="4647" spans="1:1" x14ac:dyDescent="0.3">
      <c r="A4647" s="12"/>
    </row>
    <row r="4648" spans="1:1" x14ac:dyDescent="0.3">
      <c r="A4648" s="12"/>
    </row>
    <row r="4649" spans="1:1" x14ac:dyDescent="0.3">
      <c r="A4649" s="12"/>
    </row>
    <row r="4650" spans="1:1" x14ac:dyDescent="0.3">
      <c r="A4650" s="12"/>
    </row>
    <row r="4651" spans="1:1" x14ac:dyDescent="0.3">
      <c r="A4651" s="12"/>
    </row>
    <row r="4652" spans="1:1" x14ac:dyDescent="0.3">
      <c r="A4652" s="12"/>
    </row>
    <row r="4653" spans="1:1" x14ac:dyDescent="0.3">
      <c r="A4653" s="12"/>
    </row>
    <row r="4654" spans="1:1" x14ac:dyDescent="0.3">
      <c r="A4654" s="12"/>
    </row>
    <row r="4655" spans="1:1" x14ac:dyDescent="0.3">
      <c r="A4655" s="12"/>
    </row>
    <row r="4656" spans="1:1" x14ac:dyDescent="0.3">
      <c r="A4656" s="12"/>
    </row>
    <row r="4657" spans="1:1" x14ac:dyDescent="0.3">
      <c r="A4657" s="12"/>
    </row>
    <row r="4658" spans="1:1" x14ac:dyDescent="0.3">
      <c r="A4658" s="12"/>
    </row>
    <row r="4659" spans="1:1" x14ac:dyDescent="0.3">
      <c r="A4659" s="12"/>
    </row>
    <row r="4660" spans="1:1" x14ac:dyDescent="0.3">
      <c r="A4660" s="12"/>
    </row>
    <row r="4661" spans="1:1" x14ac:dyDescent="0.3">
      <c r="A4661" s="12"/>
    </row>
    <row r="4662" spans="1:1" x14ac:dyDescent="0.3">
      <c r="A4662" s="12"/>
    </row>
    <row r="4663" spans="1:1" x14ac:dyDescent="0.3">
      <c r="A4663" s="12"/>
    </row>
    <row r="4664" spans="1:1" x14ac:dyDescent="0.3">
      <c r="A4664" s="12"/>
    </row>
    <row r="4665" spans="1:1" x14ac:dyDescent="0.3">
      <c r="A4665" s="12"/>
    </row>
    <row r="4666" spans="1:1" x14ac:dyDescent="0.3">
      <c r="A4666" s="12"/>
    </row>
    <row r="4667" spans="1:1" x14ac:dyDescent="0.3">
      <c r="A4667" s="12"/>
    </row>
    <row r="4668" spans="1:1" x14ac:dyDescent="0.3">
      <c r="A4668" s="12"/>
    </row>
    <row r="4669" spans="1:1" x14ac:dyDescent="0.3">
      <c r="A4669" s="12"/>
    </row>
    <row r="4670" spans="1:1" x14ac:dyDescent="0.3">
      <c r="A4670" s="12"/>
    </row>
    <row r="4671" spans="1:1" x14ac:dyDescent="0.3">
      <c r="A4671" s="12"/>
    </row>
    <row r="4672" spans="1:1" x14ac:dyDescent="0.3">
      <c r="A4672" s="12"/>
    </row>
    <row r="4673" spans="1:1" x14ac:dyDescent="0.3">
      <c r="A4673" s="12"/>
    </row>
    <row r="4674" spans="1:1" x14ac:dyDescent="0.3">
      <c r="A4674" s="12"/>
    </row>
    <row r="4675" spans="1:1" x14ac:dyDescent="0.3">
      <c r="A4675" s="12"/>
    </row>
    <row r="4676" spans="1:1" x14ac:dyDescent="0.3">
      <c r="A4676" s="12"/>
    </row>
    <row r="4677" spans="1:1" x14ac:dyDescent="0.3">
      <c r="A4677" s="12"/>
    </row>
    <row r="4678" spans="1:1" x14ac:dyDescent="0.3">
      <c r="A4678" s="12"/>
    </row>
    <row r="4679" spans="1:1" x14ac:dyDescent="0.3">
      <c r="A4679" s="12"/>
    </row>
    <row r="4680" spans="1:1" x14ac:dyDescent="0.3">
      <c r="A4680" s="12"/>
    </row>
    <row r="4681" spans="1:1" x14ac:dyDescent="0.3">
      <c r="A4681" s="12"/>
    </row>
    <row r="4682" spans="1:1" x14ac:dyDescent="0.3">
      <c r="A4682" s="12"/>
    </row>
    <row r="4683" spans="1:1" x14ac:dyDescent="0.3">
      <c r="A4683" s="12"/>
    </row>
    <row r="4684" spans="1:1" x14ac:dyDescent="0.3">
      <c r="A4684" s="12"/>
    </row>
    <row r="4685" spans="1:1" x14ac:dyDescent="0.3">
      <c r="A4685" s="12"/>
    </row>
    <row r="4686" spans="1:1" x14ac:dyDescent="0.3">
      <c r="A4686" s="12"/>
    </row>
    <row r="4687" spans="1:1" x14ac:dyDescent="0.3">
      <c r="A4687" s="12"/>
    </row>
    <row r="4688" spans="1:1" x14ac:dyDescent="0.3">
      <c r="A4688" s="12"/>
    </row>
    <row r="4689" spans="1:1" x14ac:dyDescent="0.3">
      <c r="A4689" s="12"/>
    </row>
    <row r="4690" spans="1:1" x14ac:dyDescent="0.3">
      <c r="A4690" s="12"/>
    </row>
    <row r="4691" spans="1:1" x14ac:dyDescent="0.3">
      <c r="A4691" s="12"/>
    </row>
    <row r="4692" spans="1:1" x14ac:dyDescent="0.3">
      <c r="A4692" s="12"/>
    </row>
    <row r="4693" spans="1:1" x14ac:dyDescent="0.3">
      <c r="A4693" s="12"/>
    </row>
    <row r="4694" spans="1:1" x14ac:dyDescent="0.3">
      <c r="A4694" s="12"/>
    </row>
    <row r="4695" spans="1:1" x14ac:dyDescent="0.3">
      <c r="A4695" s="12"/>
    </row>
    <row r="4696" spans="1:1" x14ac:dyDescent="0.3">
      <c r="A4696" s="12"/>
    </row>
    <row r="4697" spans="1:1" x14ac:dyDescent="0.3">
      <c r="A4697" s="12"/>
    </row>
    <row r="4698" spans="1:1" x14ac:dyDescent="0.3">
      <c r="A4698" s="12"/>
    </row>
    <row r="4699" spans="1:1" x14ac:dyDescent="0.3">
      <c r="A4699" s="12"/>
    </row>
    <row r="4700" spans="1:1" x14ac:dyDescent="0.3">
      <c r="A4700" s="12"/>
    </row>
    <row r="4701" spans="1:1" x14ac:dyDescent="0.3">
      <c r="A4701" s="12"/>
    </row>
    <row r="4702" spans="1:1" x14ac:dyDescent="0.3">
      <c r="A4702" s="12"/>
    </row>
    <row r="4703" spans="1:1" x14ac:dyDescent="0.3">
      <c r="A4703" s="12"/>
    </row>
    <row r="4704" spans="1:1" x14ac:dyDescent="0.3">
      <c r="A4704" s="12"/>
    </row>
    <row r="4705" spans="1:1" x14ac:dyDescent="0.3">
      <c r="A4705" s="12"/>
    </row>
    <row r="4706" spans="1:1" x14ac:dyDescent="0.3">
      <c r="A4706" s="12"/>
    </row>
    <row r="4707" spans="1:1" x14ac:dyDescent="0.3">
      <c r="A4707" s="12"/>
    </row>
    <row r="4708" spans="1:1" x14ac:dyDescent="0.3">
      <c r="A4708" s="12"/>
    </row>
    <row r="4709" spans="1:1" x14ac:dyDescent="0.3">
      <c r="A4709" s="12"/>
    </row>
    <row r="4710" spans="1:1" x14ac:dyDescent="0.3">
      <c r="A4710" s="12"/>
    </row>
    <row r="4711" spans="1:1" x14ac:dyDescent="0.3">
      <c r="A4711" s="12"/>
    </row>
    <row r="4712" spans="1:1" x14ac:dyDescent="0.3">
      <c r="A4712" s="12"/>
    </row>
    <row r="4713" spans="1:1" x14ac:dyDescent="0.3">
      <c r="A4713" s="12"/>
    </row>
    <row r="4714" spans="1:1" x14ac:dyDescent="0.3">
      <c r="A4714" s="12"/>
    </row>
    <row r="4715" spans="1:1" x14ac:dyDescent="0.3">
      <c r="A4715" s="12"/>
    </row>
    <row r="4716" spans="1:1" x14ac:dyDescent="0.3">
      <c r="A4716" s="12"/>
    </row>
    <row r="4717" spans="1:1" x14ac:dyDescent="0.3">
      <c r="A4717" s="12"/>
    </row>
    <row r="4718" spans="1:1" x14ac:dyDescent="0.3">
      <c r="A4718" s="12"/>
    </row>
    <row r="4719" spans="1:1" x14ac:dyDescent="0.3">
      <c r="A4719" s="12"/>
    </row>
    <row r="4720" spans="1:1" x14ac:dyDescent="0.3">
      <c r="A4720" s="12"/>
    </row>
    <row r="4721" spans="1:1" x14ac:dyDescent="0.3">
      <c r="A4721" s="12"/>
    </row>
    <row r="4722" spans="1:1" x14ac:dyDescent="0.3">
      <c r="A4722" s="12"/>
    </row>
    <row r="4723" spans="1:1" x14ac:dyDescent="0.3">
      <c r="A4723" s="12"/>
    </row>
    <row r="4724" spans="1:1" x14ac:dyDescent="0.3">
      <c r="A4724" s="12"/>
    </row>
    <row r="4725" spans="1:1" x14ac:dyDescent="0.3">
      <c r="A4725" s="12"/>
    </row>
    <row r="4726" spans="1:1" x14ac:dyDescent="0.3">
      <c r="A4726" s="12"/>
    </row>
    <row r="4727" spans="1:1" x14ac:dyDescent="0.3">
      <c r="A4727" s="12"/>
    </row>
    <row r="4728" spans="1:1" x14ac:dyDescent="0.3">
      <c r="A4728" s="12"/>
    </row>
    <row r="4729" spans="1:1" x14ac:dyDescent="0.3">
      <c r="A4729" s="12"/>
    </row>
    <row r="4730" spans="1:1" x14ac:dyDescent="0.3">
      <c r="A4730" s="12"/>
    </row>
    <row r="4731" spans="1:1" x14ac:dyDescent="0.3">
      <c r="A4731" s="12"/>
    </row>
    <row r="4732" spans="1:1" x14ac:dyDescent="0.3">
      <c r="A4732" s="12"/>
    </row>
    <row r="4733" spans="1:1" x14ac:dyDescent="0.3">
      <c r="A4733" s="12"/>
    </row>
    <row r="4734" spans="1:1" x14ac:dyDescent="0.3">
      <c r="A4734" s="12"/>
    </row>
    <row r="4735" spans="1:1" x14ac:dyDescent="0.3">
      <c r="A4735" s="12"/>
    </row>
    <row r="4736" spans="1:1" x14ac:dyDescent="0.3">
      <c r="A4736" s="12"/>
    </row>
    <row r="4737" spans="1:1" x14ac:dyDescent="0.3">
      <c r="A4737" s="12"/>
    </row>
    <row r="4738" spans="1:1" x14ac:dyDescent="0.3">
      <c r="A4738" s="12"/>
    </row>
    <row r="4739" spans="1:1" x14ac:dyDescent="0.3">
      <c r="A4739" s="12"/>
    </row>
    <row r="4740" spans="1:1" x14ac:dyDescent="0.3">
      <c r="A4740" s="12"/>
    </row>
    <row r="4741" spans="1:1" x14ac:dyDescent="0.3">
      <c r="A4741" s="12"/>
    </row>
    <row r="4742" spans="1:1" x14ac:dyDescent="0.3">
      <c r="A4742" s="12"/>
    </row>
    <row r="4743" spans="1:1" x14ac:dyDescent="0.3">
      <c r="A4743" s="12"/>
    </row>
    <row r="4744" spans="1:1" x14ac:dyDescent="0.3">
      <c r="A4744" s="12"/>
    </row>
    <row r="4745" spans="1:1" x14ac:dyDescent="0.3">
      <c r="A4745" s="12"/>
    </row>
    <row r="4746" spans="1:1" x14ac:dyDescent="0.3">
      <c r="A4746" s="12"/>
    </row>
    <row r="4747" spans="1:1" x14ac:dyDescent="0.3">
      <c r="A4747" s="12"/>
    </row>
    <row r="4748" spans="1:1" x14ac:dyDescent="0.3">
      <c r="A4748" s="12"/>
    </row>
    <row r="4749" spans="1:1" x14ac:dyDescent="0.3">
      <c r="A4749" s="12"/>
    </row>
    <row r="4750" spans="1:1" x14ac:dyDescent="0.3">
      <c r="A4750" s="12"/>
    </row>
    <row r="4751" spans="1:1" x14ac:dyDescent="0.3">
      <c r="A4751" s="12"/>
    </row>
    <row r="4752" spans="1:1" x14ac:dyDescent="0.3">
      <c r="A4752" s="12"/>
    </row>
    <row r="4753" spans="1:1" x14ac:dyDescent="0.3">
      <c r="A4753" s="12"/>
    </row>
    <row r="4754" spans="1:1" x14ac:dyDescent="0.3">
      <c r="A4754" s="12"/>
    </row>
    <row r="4755" spans="1:1" x14ac:dyDescent="0.3">
      <c r="A4755" s="12"/>
    </row>
    <row r="4756" spans="1:1" x14ac:dyDescent="0.3">
      <c r="A4756" s="12"/>
    </row>
    <row r="4757" spans="1:1" x14ac:dyDescent="0.3">
      <c r="A4757" s="12"/>
    </row>
    <row r="4758" spans="1:1" x14ac:dyDescent="0.3">
      <c r="A4758" s="12"/>
    </row>
    <row r="4759" spans="1:1" x14ac:dyDescent="0.3">
      <c r="A4759" s="12"/>
    </row>
    <row r="4760" spans="1:1" x14ac:dyDescent="0.3">
      <c r="A4760" s="12"/>
    </row>
    <row r="4761" spans="1:1" x14ac:dyDescent="0.3">
      <c r="A4761" s="12"/>
    </row>
    <row r="4762" spans="1:1" x14ac:dyDescent="0.3">
      <c r="A4762" s="12"/>
    </row>
    <row r="4763" spans="1:1" x14ac:dyDescent="0.3">
      <c r="A4763" s="12"/>
    </row>
    <row r="4764" spans="1:1" x14ac:dyDescent="0.3">
      <c r="A4764" s="12"/>
    </row>
    <row r="4765" spans="1:1" x14ac:dyDescent="0.3">
      <c r="A4765" s="12"/>
    </row>
    <row r="4766" spans="1:1" x14ac:dyDescent="0.3">
      <c r="A4766" s="12"/>
    </row>
    <row r="4767" spans="1:1" x14ac:dyDescent="0.3">
      <c r="A4767" s="12"/>
    </row>
    <row r="4768" spans="1:1" x14ac:dyDescent="0.3">
      <c r="A4768" s="12"/>
    </row>
    <row r="4769" spans="1:1" x14ac:dyDescent="0.3">
      <c r="A4769" s="12"/>
    </row>
    <row r="4770" spans="1:1" x14ac:dyDescent="0.3">
      <c r="A4770" s="12"/>
    </row>
    <row r="4771" spans="1:1" x14ac:dyDescent="0.3">
      <c r="A4771" s="12"/>
    </row>
    <row r="4772" spans="1:1" x14ac:dyDescent="0.3">
      <c r="A4772" s="12"/>
    </row>
    <row r="4773" spans="1:1" x14ac:dyDescent="0.3">
      <c r="A4773" s="12"/>
    </row>
    <row r="4774" spans="1:1" x14ac:dyDescent="0.3">
      <c r="A4774" s="12"/>
    </row>
    <row r="4775" spans="1:1" x14ac:dyDescent="0.3">
      <c r="A4775" s="12"/>
    </row>
    <row r="4776" spans="1:1" x14ac:dyDescent="0.3">
      <c r="A4776" s="12"/>
    </row>
    <row r="4777" spans="1:1" x14ac:dyDescent="0.3">
      <c r="A4777" s="12"/>
    </row>
    <row r="4778" spans="1:1" x14ac:dyDescent="0.3">
      <c r="A4778" s="12"/>
    </row>
    <row r="4779" spans="1:1" x14ac:dyDescent="0.3">
      <c r="A4779" s="12"/>
    </row>
    <row r="4780" spans="1:1" x14ac:dyDescent="0.3">
      <c r="A4780" s="12"/>
    </row>
    <row r="4781" spans="1:1" x14ac:dyDescent="0.3">
      <c r="A4781" s="12"/>
    </row>
    <row r="4782" spans="1:1" x14ac:dyDescent="0.3">
      <c r="A4782" s="12"/>
    </row>
    <row r="4783" spans="1:1" x14ac:dyDescent="0.3">
      <c r="A4783" s="12"/>
    </row>
    <row r="4784" spans="1:1" x14ac:dyDescent="0.3">
      <c r="A4784" s="12"/>
    </row>
    <row r="4785" spans="1:1" x14ac:dyDescent="0.3">
      <c r="A4785" s="12"/>
    </row>
    <row r="4786" spans="1:1" x14ac:dyDescent="0.3">
      <c r="A4786" s="12"/>
    </row>
    <row r="4787" spans="1:1" x14ac:dyDescent="0.3">
      <c r="A4787" s="12"/>
    </row>
    <row r="4788" spans="1:1" x14ac:dyDescent="0.3">
      <c r="A4788" s="12"/>
    </row>
    <row r="4789" spans="1:1" x14ac:dyDescent="0.3">
      <c r="A4789" s="12"/>
    </row>
    <row r="4790" spans="1:1" x14ac:dyDescent="0.3">
      <c r="A4790" s="12"/>
    </row>
    <row r="4791" spans="1:1" x14ac:dyDescent="0.3">
      <c r="A4791" s="12"/>
    </row>
    <row r="4792" spans="1:1" x14ac:dyDescent="0.3">
      <c r="A4792" s="12"/>
    </row>
    <row r="4793" spans="1:1" x14ac:dyDescent="0.3">
      <c r="A4793" s="12"/>
    </row>
    <row r="4794" spans="1:1" x14ac:dyDescent="0.3">
      <c r="A4794" s="12"/>
    </row>
    <row r="4795" spans="1:1" x14ac:dyDescent="0.3">
      <c r="A4795" s="12"/>
    </row>
    <row r="4796" spans="1:1" x14ac:dyDescent="0.3">
      <c r="A4796" s="12"/>
    </row>
    <row r="4797" spans="1:1" x14ac:dyDescent="0.3">
      <c r="A4797" s="12"/>
    </row>
    <row r="4798" spans="1:1" x14ac:dyDescent="0.3">
      <c r="A4798" s="12"/>
    </row>
    <row r="4799" spans="1:1" x14ac:dyDescent="0.3">
      <c r="A4799" s="12"/>
    </row>
    <row r="4800" spans="1:1" x14ac:dyDescent="0.3">
      <c r="A4800" s="12"/>
    </row>
    <row r="4801" spans="1:1" x14ac:dyDescent="0.3">
      <c r="A4801" s="12"/>
    </row>
    <row r="4802" spans="1:1" x14ac:dyDescent="0.3">
      <c r="A4802" s="12"/>
    </row>
    <row r="4803" spans="1:1" x14ac:dyDescent="0.3">
      <c r="A4803" s="12"/>
    </row>
    <row r="4804" spans="1:1" x14ac:dyDescent="0.3">
      <c r="A4804" s="12"/>
    </row>
    <row r="4805" spans="1:1" x14ac:dyDescent="0.3">
      <c r="A4805" s="12"/>
    </row>
    <row r="4806" spans="1:1" x14ac:dyDescent="0.3">
      <c r="A4806" s="12"/>
    </row>
    <row r="4807" spans="1:1" x14ac:dyDescent="0.3">
      <c r="A4807" s="12"/>
    </row>
    <row r="4808" spans="1:1" x14ac:dyDescent="0.3">
      <c r="A4808" s="12"/>
    </row>
    <row r="4809" spans="1:1" x14ac:dyDescent="0.3">
      <c r="A4809" s="12"/>
    </row>
    <row r="4810" spans="1:1" x14ac:dyDescent="0.3">
      <c r="A4810" s="12"/>
    </row>
    <row r="4811" spans="1:1" x14ac:dyDescent="0.3">
      <c r="A4811" s="12"/>
    </row>
    <row r="4812" spans="1:1" x14ac:dyDescent="0.3">
      <c r="A4812" s="12"/>
    </row>
    <row r="4813" spans="1:1" x14ac:dyDescent="0.3">
      <c r="A4813" s="12"/>
    </row>
    <row r="4814" spans="1:1" x14ac:dyDescent="0.3">
      <c r="A4814" s="12"/>
    </row>
    <row r="4815" spans="1:1" x14ac:dyDescent="0.3">
      <c r="A4815" s="12"/>
    </row>
    <row r="4816" spans="1:1" x14ac:dyDescent="0.3">
      <c r="A4816" s="12"/>
    </row>
    <row r="4817" spans="1:1" x14ac:dyDescent="0.3">
      <c r="A4817" s="12"/>
    </row>
    <row r="4818" spans="1:1" x14ac:dyDescent="0.3">
      <c r="A4818" s="12"/>
    </row>
    <row r="4819" spans="1:1" x14ac:dyDescent="0.3">
      <c r="A4819" s="12"/>
    </row>
    <row r="4820" spans="1:1" x14ac:dyDescent="0.3">
      <c r="A4820" s="12"/>
    </row>
    <row r="4821" spans="1:1" x14ac:dyDescent="0.3">
      <c r="A4821" s="12"/>
    </row>
    <row r="4822" spans="1:1" x14ac:dyDescent="0.3">
      <c r="A4822" s="12"/>
    </row>
    <row r="4823" spans="1:1" x14ac:dyDescent="0.3">
      <c r="A4823" s="12"/>
    </row>
    <row r="4824" spans="1:1" x14ac:dyDescent="0.3">
      <c r="A4824" s="12"/>
    </row>
    <row r="4825" spans="1:1" x14ac:dyDescent="0.3">
      <c r="A4825" s="12"/>
    </row>
    <row r="4826" spans="1:1" x14ac:dyDescent="0.3">
      <c r="A4826" s="12"/>
    </row>
    <row r="4827" spans="1:1" x14ac:dyDescent="0.3">
      <c r="A4827" s="12"/>
    </row>
    <row r="4828" spans="1:1" x14ac:dyDescent="0.3">
      <c r="A4828" s="12"/>
    </row>
    <row r="4829" spans="1:1" x14ac:dyDescent="0.3">
      <c r="A4829" s="12"/>
    </row>
    <row r="4830" spans="1:1" x14ac:dyDescent="0.3">
      <c r="A4830" s="12"/>
    </row>
    <row r="4831" spans="1:1" x14ac:dyDescent="0.3">
      <c r="A4831" s="12"/>
    </row>
    <row r="4832" spans="1:1" x14ac:dyDescent="0.3">
      <c r="A4832" s="12"/>
    </row>
    <row r="4833" spans="1:1" x14ac:dyDescent="0.3">
      <c r="A4833" s="12"/>
    </row>
    <row r="4834" spans="1:1" x14ac:dyDescent="0.3">
      <c r="A4834" s="12"/>
    </row>
    <row r="4835" spans="1:1" x14ac:dyDescent="0.3">
      <c r="A4835" s="12"/>
    </row>
    <row r="4836" spans="1:1" x14ac:dyDescent="0.3">
      <c r="A4836" s="12"/>
    </row>
    <row r="4837" spans="1:1" x14ac:dyDescent="0.3">
      <c r="A4837" s="12"/>
    </row>
    <row r="4838" spans="1:1" x14ac:dyDescent="0.3">
      <c r="A4838" s="12"/>
    </row>
    <row r="4839" spans="1:1" x14ac:dyDescent="0.3">
      <c r="A4839" s="12"/>
    </row>
    <row r="4840" spans="1:1" x14ac:dyDescent="0.3">
      <c r="A4840" s="12"/>
    </row>
    <row r="4841" spans="1:1" x14ac:dyDescent="0.3">
      <c r="A4841" s="12"/>
    </row>
    <row r="4842" spans="1:1" x14ac:dyDescent="0.3">
      <c r="A4842" s="12"/>
    </row>
    <row r="4843" spans="1:1" x14ac:dyDescent="0.3">
      <c r="A4843" s="12"/>
    </row>
    <row r="4844" spans="1:1" x14ac:dyDescent="0.3">
      <c r="A4844" s="12"/>
    </row>
    <row r="4845" spans="1:1" x14ac:dyDescent="0.3">
      <c r="A4845" s="12"/>
    </row>
    <row r="4846" spans="1:1" x14ac:dyDescent="0.3">
      <c r="A4846" s="12"/>
    </row>
    <row r="4847" spans="1:1" x14ac:dyDescent="0.3">
      <c r="A4847" s="12"/>
    </row>
    <row r="4848" spans="1:1" x14ac:dyDescent="0.3">
      <c r="A4848" s="12"/>
    </row>
    <row r="4849" spans="1:1" x14ac:dyDescent="0.3">
      <c r="A4849" s="12"/>
    </row>
    <row r="4850" spans="1:1" x14ac:dyDescent="0.3">
      <c r="A4850" s="12"/>
    </row>
    <row r="4851" spans="1:1" x14ac:dyDescent="0.3">
      <c r="A4851" s="12"/>
    </row>
    <row r="4852" spans="1:1" x14ac:dyDescent="0.3">
      <c r="A4852" s="12"/>
    </row>
    <row r="4853" spans="1:1" x14ac:dyDescent="0.3">
      <c r="A4853" s="12"/>
    </row>
    <row r="4854" spans="1:1" x14ac:dyDescent="0.3">
      <c r="A4854" s="12"/>
    </row>
    <row r="4855" spans="1:1" x14ac:dyDescent="0.3">
      <c r="A4855" s="12"/>
    </row>
    <row r="4856" spans="1:1" x14ac:dyDescent="0.3">
      <c r="A4856" s="12"/>
    </row>
    <row r="4857" spans="1:1" x14ac:dyDescent="0.3">
      <c r="A4857" s="12"/>
    </row>
    <row r="4858" spans="1:1" x14ac:dyDescent="0.3">
      <c r="A4858" s="12"/>
    </row>
    <row r="4859" spans="1:1" x14ac:dyDescent="0.3">
      <c r="A4859" s="12"/>
    </row>
    <row r="4860" spans="1:1" x14ac:dyDescent="0.3">
      <c r="A4860" s="12"/>
    </row>
    <row r="4861" spans="1:1" x14ac:dyDescent="0.3">
      <c r="A4861" s="12"/>
    </row>
    <row r="4862" spans="1:1" x14ac:dyDescent="0.3">
      <c r="A4862" s="12"/>
    </row>
    <row r="4863" spans="1:1" x14ac:dyDescent="0.3">
      <c r="A4863" s="12"/>
    </row>
    <row r="4864" spans="1:1" x14ac:dyDescent="0.3">
      <c r="A4864" s="12"/>
    </row>
    <row r="4865" spans="1:1" x14ac:dyDescent="0.3">
      <c r="A4865" s="12"/>
    </row>
    <row r="4866" spans="1:1" x14ac:dyDescent="0.3">
      <c r="A4866" s="12"/>
    </row>
    <row r="4867" spans="1:1" x14ac:dyDescent="0.3">
      <c r="A4867" s="12"/>
    </row>
    <row r="4868" spans="1:1" x14ac:dyDescent="0.3">
      <c r="A4868" s="12"/>
    </row>
    <row r="4869" spans="1:1" x14ac:dyDescent="0.3">
      <c r="A4869" s="12"/>
    </row>
    <row r="4870" spans="1:1" x14ac:dyDescent="0.3">
      <c r="A4870" s="12"/>
    </row>
    <row r="4871" spans="1:1" x14ac:dyDescent="0.3">
      <c r="A4871" s="12"/>
    </row>
    <row r="4872" spans="1:1" x14ac:dyDescent="0.3">
      <c r="A4872" s="12"/>
    </row>
    <row r="4873" spans="1:1" x14ac:dyDescent="0.3">
      <c r="A4873" s="12"/>
    </row>
    <row r="4874" spans="1:1" x14ac:dyDescent="0.3">
      <c r="A4874" s="12"/>
    </row>
    <row r="4875" spans="1:1" x14ac:dyDescent="0.3">
      <c r="A4875" s="12"/>
    </row>
    <row r="4876" spans="1:1" x14ac:dyDescent="0.3">
      <c r="A4876" s="12"/>
    </row>
    <row r="4877" spans="1:1" x14ac:dyDescent="0.3">
      <c r="A4877" s="12"/>
    </row>
    <row r="4878" spans="1:1" x14ac:dyDescent="0.3">
      <c r="A4878" s="12"/>
    </row>
    <row r="4879" spans="1:1" x14ac:dyDescent="0.3">
      <c r="A4879" s="12"/>
    </row>
    <row r="4880" spans="1:1" x14ac:dyDescent="0.3">
      <c r="A4880" s="12"/>
    </row>
    <row r="4881" spans="1:1" x14ac:dyDescent="0.3">
      <c r="A4881" s="12"/>
    </row>
    <row r="4882" spans="1:1" x14ac:dyDescent="0.3">
      <c r="A4882" s="12"/>
    </row>
    <row r="4883" spans="1:1" x14ac:dyDescent="0.3">
      <c r="A4883" s="12"/>
    </row>
    <row r="4884" spans="1:1" x14ac:dyDescent="0.3">
      <c r="A4884" s="12"/>
    </row>
    <row r="4885" spans="1:1" x14ac:dyDescent="0.3">
      <c r="A4885" s="12"/>
    </row>
    <row r="4886" spans="1:1" x14ac:dyDescent="0.3">
      <c r="A4886" s="12"/>
    </row>
    <row r="4887" spans="1:1" x14ac:dyDescent="0.3">
      <c r="A4887" s="12"/>
    </row>
    <row r="4888" spans="1:1" x14ac:dyDescent="0.3">
      <c r="A4888" s="12"/>
    </row>
    <row r="4889" spans="1:1" x14ac:dyDescent="0.3">
      <c r="A4889" s="12"/>
    </row>
    <row r="4890" spans="1:1" x14ac:dyDescent="0.3">
      <c r="A4890" s="12"/>
    </row>
    <row r="4891" spans="1:1" x14ac:dyDescent="0.3">
      <c r="A4891" s="12"/>
    </row>
    <row r="4892" spans="1:1" x14ac:dyDescent="0.3">
      <c r="A4892" s="12"/>
    </row>
    <row r="4893" spans="1:1" x14ac:dyDescent="0.3">
      <c r="A4893" s="12"/>
    </row>
    <row r="4894" spans="1:1" x14ac:dyDescent="0.3">
      <c r="A4894" s="12"/>
    </row>
    <row r="4895" spans="1:1" x14ac:dyDescent="0.3">
      <c r="A4895" s="12"/>
    </row>
    <row r="4896" spans="1:1" x14ac:dyDescent="0.3">
      <c r="A4896" s="12"/>
    </row>
    <row r="4897" spans="1:1" x14ac:dyDescent="0.3">
      <c r="A4897" s="12"/>
    </row>
    <row r="4898" spans="1:1" x14ac:dyDescent="0.3">
      <c r="A4898" s="12"/>
    </row>
    <row r="4899" spans="1:1" x14ac:dyDescent="0.3">
      <c r="A4899" s="12"/>
    </row>
    <row r="4900" spans="1:1" x14ac:dyDescent="0.3">
      <c r="A4900" s="12"/>
    </row>
    <row r="4901" spans="1:1" x14ac:dyDescent="0.3">
      <c r="A4901" s="12"/>
    </row>
    <row r="4902" spans="1:1" x14ac:dyDescent="0.3">
      <c r="A4902" s="12"/>
    </row>
    <row r="4903" spans="1:1" x14ac:dyDescent="0.3">
      <c r="A4903" s="12"/>
    </row>
    <row r="4904" spans="1:1" x14ac:dyDescent="0.3">
      <c r="A4904" s="12"/>
    </row>
    <row r="4905" spans="1:1" x14ac:dyDescent="0.3">
      <c r="A4905" s="12"/>
    </row>
    <row r="4906" spans="1:1" x14ac:dyDescent="0.3">
      <c r="A4906" s="12"/>
    </row>
    <row r="4907" spans="1:1" x14ac:dyDescent="0.3">
      <c r="A4907" s="12"/>
    </row>
    <row r="4908" spans="1:1" x14ac:dyDescent="0.3">
      <c r="A4908" s="12"/>
    </row>
    <row r="4909" spans="1:1" x14ac:dyDescent="0.3">
      <c r="A4909" s="12"/>
    </row>
    <row r="4910" spans="1:1" x14ac:dyDescent="0.3">
      <c r="A4910" s="12"/>
    </row>
    <row r="4911" spans="1:1" x14ac:dyDescent="0.3">
      <c r="A4911" s="12"/>
    </row>
    <row r="4912" spans="1:1" x14ac:dyDescent="0.3">
      <c r="A4912" s="12"/>
    </row>
    <row r="4913" spans="1:1" x14ac:dyDescent="0.3">
      <c r="A4913" s="12"/>
    </row>
    <row r="4914" spans="1:1" x14ac:dyDescent="0.3">
      <c r="A4914" s="12"/>
    </row>
    <row r="4915" spans="1:1" x14ac:dyDescent="0.3">
      <c r="A4915" s="12"/>
    </row>
    <row r="4916" spans="1:1" x14ac:dyDescent="0.3">
      <c r="A4916" s="12"/>
    </row>
    <row r="4917" spans="1:1" x14ac:dyDescent="0.3">
      <c r="A4917" s="12"/>
    </row>
    <row r="4918" spans="1:1" x14ac:dyDescent="0.3">
      <c r="A4918" s="12"/>
    </row>
    <row r="4919" spans="1:1" x14ac:dyDescent="0.3">
      <c r="A4919" s="12"/>
    </row>
    <row r="4920" spans="1:1" x14ac:dyDescent="0.3">
      <c r="A4920" s="12"/>
    </row>
    <row r="4921" spans="1:1" x14ac:dyDescent="0.3">
      <c r="A4921" s="12"/>
    </row>
    <row r="4922" spans="1:1" x14ac:dyDescent="0.3">
      <c r="A4922" s="12"/>
    </row>
    <row r="4923" spans="1:1" x14ac:dyDescent="0.3">
      <c r="A4923" s="12"/>
    </row>
    <row r="4924" spans="1:1" x14ac:dyDescent="0.3">
      <c r="A4924" s="12"/>
    </row>
    <row r="4925" spans="1:1" x14ac:dyDescent="0.3">
      <c r="A4925" s="12"/>
    </row>
    <row r="4926" spans="1:1" x14ac:dyDescent="0.3">
      <c r="A4926" s="12"/>
    </row>
    <row r="4927" spans="1:1" x14ac:dyDescent="0.3">
      <c r="A4927" s="12"/>
    </row>
    <row r="4928" spans="1:1" x14ac:dyDescent="0.3">
      <c r="A4928" s="12"/>
    </row>
    <row r="4929" spans="1:1" x14ac:dyDescent="0.3">
      <c r="A4929" s="12"/>
    </row>
    <row r="4930" spans="1:1" x14ac:dyDescent="0.3">
      <c r="A4930" s="12"/>
    </row>
    <row r="4931" spans="1:1" x14ac:dyDescent="0.3">
      <c r="A4931" s="12"/>
    </row>
    <row r="4932" spans="1:1" x14ac:dyDescent="0.3">
      <c r="A4932" s="12"/>
    </row>
    <row r="4933" spans="1:1" x14ac:dyDescent="0.3">
      <c r="A4933" s="12"/>
    </row>
    <row r="4934" spans="1:1" x14ac:dyDescent="0.3">
      <c r="A4934" s="12"/>
    </row>
    <row r="4935" spans="1:1" x14ac:dyDescent="0.3">
      <c r="A4935" s="12"/>
    </row>
    <row r="4936" spans="1:1" x14ac:dyDescent="0.3">
      <c r="A4936" s="12"/>
    </row>
    <row r="4937" spans="1:1" x14ac:dyDescent="0.3">
      <c r="A4937" s="12"/>
    </row>
    <row r="4938" spans="1:1" x14ac:dyDescent="0.3">
      <c r="A4938" s="12"/>
    </row>
    <row r="4939" spans="1:1" x14ac:dyDescent="0.3">
      <c r="A4939" s="12"/>
    </row>
    <row r="4940" spans="1:1" x14ac:dyDescent="0.3">
      <c r="A4940" s="12"/>
    </row>
    <row r="4941" spans="1:1" x14ac:dyDescent="0.3">
      <c r="A4941" s="12"/>
    </row>
    <row r="4942" spans="1:1" x14ac:dyDescent="0.3">
      <c r="A4942" s="12"/>
    </row>
    <row r="4943" spans="1:1" x14ac:dyDescent="0.3">
      <c r="A4943" s="12"/>
    </row>
    <row r="4944" spans="1:1" x14ac:dyDescent="0.3">
      <c r="A4944" s="12"/>
    </row>
    <row r="4945" spans="1:1" x14ac:dyDescent="0.3">
      <c r="A4945" s="12"/>
    </row>
    <row r="4946" spans="1:1" x14ac:dyDescent="0.3">
      <c r="A4946" s="12"/>
    </row>
    <row r="4947" spans="1:1" x14ac:dyDescent="0.3">
      <c r="A4947" s="12"/>
    </row>
    <row r="4948" spans="1:1" x14ac:dyDescent="0.3">
      <c r="A4948" s="12"/>
    </row>
    <row r="4949" spans="1:1" x14ac:dyDescent="0.3">
      <c r="A4949" s="12"/>
    </row>
    <row r="4950" spans="1:1" x14ac:dyDescent="0.3">
      <c r="A4950" s="12"/>
    </row>
    <row r="4951" spans="1:1" x14ac:dyDescent="0.3">
      <c r="A4951" s="12"/>
    </row>
    <row r="4952" spans="1:1" x14ac:dyDescent="0.3">
      <c r="A4952" s="12"/>
    </row>
    <row r="4953" spans="1:1" x14ac:dyDescent="0.3">
      <c r="A4953" s="12"/>
    </row>
    <row r="4954" spans="1:1" x14ac:dyDescent="0.3">
      <c r="A4954" s="12"/>
    </row>
    <row r="4955" spans="1:1" x14ac:dyDescent="0.3">
      <c r="A4955" s="12"/>
    </row>
    <row r="4956" spans="1:1" x14ac:dyDescent="0.3">
      <c r="A4956" s="12"/>
    </row>
    <row r="4957" spans="1:1" x14ac:dyDescent="0.3">
      <c r="A4957" s="12"/>
    </row>
    <row r="4958" spans="1:1" x14ac:dyDescent="0.3">
      <c r="A4958" s="12"/>
    </row>
    <row r="4959" spans="1:1" x14ac:dyDescent="0.3">
      <c r="A4959" s="12"/>
    </row>
    <row r="4960" spans="1:1" x14ac:dyDescent="0.3">
      <c r="A4960" s="12"/>
    </row>
    <row r="4961" spans="1:1" x14ac:dyDescent="0.3">
      <c r="A4961" s="12"/>
    </row>
    <row r="4962" spans="1:1" x14ac:dyDescent="0.3">
      <c r="A4962" s="12"/>
    </row>
    <row r="4963" spans="1:1" x14ac:dyDescent="0.3">
      <c r="A4963" s="12"/>
    </row>
    <row r="4964" spans="1:1" x14ac:dyDescent="0.3">
      <c r="A4964" s="12"/>
    </row>
    <row r="4965" spans="1:1" x14ac:dyDescent="0.3">
      <c r="A4965" s="12"/>
    </row>
    <row r="4966" spans="1:1" x14ac:dyDescent="0.3">
      <c r="A4966" s="12"/>
    </row>
    <row r="4967" spans="1:1" x14ac:dyDescent="0.3">
      <c r="A4967" s="12"/>
    </row>
    <row r="4968" spans="1:1" x14ac:dyDescent="0.3">
      <c r="A4968" s="12"/>
    </row>
    <row r="4969" spans="1:1" x14ac:dyDescent="0.3">
      <c r="A4969" s="12"/>
    </row>
    <row r="4970" spans="1:1" x14ac:dyDescent="0.3">
      <c r="A4970" s="12"/>
    </row>
    <row r="4971" spans="1:1" x14ac:dyDescent="0.3">
      <c r="A4971" s="12"/>
    </row>
    <row r="4972" spans="1:1" x14ac:dyDescent="0.3">
      <c r="A4972" s="12"/>
    </row>
    <row r="4973" spans="1:1" x14ac:dyDescent="0.3">
      <c r="A4973" s="12"/>
    </row>
    <row r="4974" spans="1:1" x14ac:dyDescent="0.3">
      <c r="A4974" s="12"/>
    </row>
    <row r="4975" spans="1:1" x14ac:dyDescent="0.3">
      <c r="A4975" s="12"/>
    </row>
    <row r="4976" spans="1:1" x14ac:dyDescent="0.3">
      <c r="A4976" s="12"/>
    </row>
    <row r="4977" spans="1:1" x14ac:dyDescent="0.3">
      <c r="A4977" s="12"/>
    </row>
    <row r="4978" spans="1:1" x14ac:dyDescent="0.3">
      <c r="A4978" s="12"/>
    </row>
    <row r="4979" spans="1:1" x14ac:dyDescent="0.3">
      <c r="A4979" s="12"/>
    </row>
    <row r="4980" spans="1:1" x14ac:dyDescent="0.3">
      <c r="A4980" s="12"/>
    </row>
    <row r="4981" spans="1:1" x14ac:dyDescent="0.3">
      <c r="A4981" s="12"/>
    </row>
    <row r="4982" spans="1:1" x14ac:dyDescent="0.3">
      <c r="A4982" s="12"/>
    </row>
    <row r="4983" spans="1:1" x14ac:dyDescent="0.3">
      <c r="A4983" s="12"/>
    </row>
    <row r="4984" spans="1:1" x14ac:dyDescent="0.3">
      <c r="A4984" s="12"/>
    </row>
    <row r="4985" spans="1:1" x14ac:dyDescent="0.3">
      <c r="A4985" s="12"/>
    </row>
    <row r="4986" spans="1:1" x14ac:dyDescent="0.3">
      <c r="A4986" s="12"/>
    </row>
    <row r="4987" spans="1:1" x14ac:dyDescent="0.3">
      <c r="A4987" s="12"/>
    </row>
    <row r="4988" spans="1:1" x14ac:dyDescent="0.3">
      <c r="A4988" s="12"/>
    </row>
    <row r="4989" spans="1:1" x14ac:dyDescent="0.3">
      <c r="A4989" s="12"/>
    </row>
    <row r="4990" spans="1:1" x14ac:dyDescent="0.3">
      <c r="A4990" s="12"/>
    </row>
    <row r="4991" spans="1:1" x14ac:dyDescent="0.3">
      <c r="A4991" s="12"/>
    </row>
    <row r="4992" spans="1:1" x14ac:dyDescent="0.3">
      <c r="A4992" s="12"/>
    </row>
    <row r="4993" spans="1:1" x14ac:dyDescent="0.3">
      <c r="A4993" s="12"/>
    </row>
    <row r="4994" spans="1:1" x14ac:dyDescent="0.3">
      <c r="A4994" s="12"/>
    </row>
    <row r="4995" spans="1:1" x14ac:dyDescent="0.3">
      <c r="A4995" s="12"/>
    </row>
    <row r="4996" spans="1:1" x14ac:dyDescent="0.3">
      <c r="A4996" s="12"/>
    </row>
    <row r="4997" spans="1:1" x14ac:dyDescent="0.3">
      <c r="A4997" s="12"/>
    </row>
    <row r="4998" spans="1:1" x14ac:dyDescent="0.3">
      <c r="A4998" s="12"/>
    </row>
    <row r="4999" spans="1:1" x14ac:dyDescent="0.3">
      <c r="A4999" s="12"/>
    </row>
    <row r="5000" spans="1:1" x14ac:dyDescent="0.3">
      <c r="A5000" s="12"/>
    </row>
    <row r="5001" spans="1:1" x14ac:dyDescent="0.3">
      <c r="A5001" s="12"/>
    </row>
    <row r="5002" spans="1:1" x14ac:dyDescent="0.3">
      <c r="A5002" s="12"/>
    </row>
    <row r="5003" spans="1:1" x14ac:dyDescent="0.3">
      <c r="A5003" s="12"/>
    </row>
    <row r="5004" spans="1:1" x14ac:dyDescent="0.3">
      <c r="A5004" s="12"/>
    </row>
    <row r="5005" spans="1:1" x14ac:dyDescent="0.3">
      <c r="A5005" s="12"/>
    </row>
    <row r="5006" spans="1:1" x14ac:dyDescent="0.3">
      <c r="A5006" s="12"/>
    </row>
    <row r="5007" spans="1:1" x14ac:dyDescent="0.3">
      <c r="A5007" s="12"/>
    </row>
    <row r="5008" spans="1:1" x14ac:dyDescent="0.3">
      <c r="A5008" s="12"/>
    </row>
    <row r="5009" spans="1:1" x14ac:dyDescent="0.3">
      <c r="A5009" s="12"/>
    </row>
    <row r="5010" spans="1:1" x14ac:dyDescent="0.3">
      <c r="A5010" s="12"/>
    </row>
    <row r="5011" spans="1:1" x14ac:dyDescent="0.3">
      <c r="A5011" s="12"/>
    </row>
    <row r="5012" spans="1:1" x14ac:dyDescent="0.3">
      <c r="A5012" s="12"/>
    </row>
    <row r="5013" spans="1:1" x14ac:dyDescent="0.3">
      <c r="A5013" s="12"/>
    </row>
    <row r="5014" spans="1:1" x14ac:dyDescent="0.3">
      <c r="A5014" s="12"/>
    </row>
    <row r="5015" spans="1:1" x14ac:dyDescent="0.3">
      <c r="A5015" s="12"/>
    </row>
    <row r="5016" spans="1:1" x14ac:dyDescent="0.3">
      <c r="A5016" s="12"/>
    </row>
    <row r="5017" spans="1:1" x14ac:dyDescent="0.3">
      <c r="A5017" s="12"/>
    </row>
    <row r="5018" spans="1:1" x14ac:dyDescent="0.3">
      <c r="A5018" s="12"/>
    </row>
    <row r="5019" spans="1:1" x14ac:dyDescent="0.3">
      <c r="A5019" s="12"/>
    </row>
    <row r="5020" spans="1:1" x14ac:dyDescent="0.3">
      <c r="A5020" s="12"/>
    </row>
    <row r="5021" spans="1:1" x14ac:dyDescent="0.3">
      <c r="A5021" s="12"/>
    </row>
    <row r="5022" spans="1:1" x14ac:dyDescent="0.3">
      <c r="A5022" s="12"/>
    </row>
    <row r="5023" spans="1:1" x14ac:dyDescent="0.3">
      <c r="A5023" s="12"/>
    </row>
    <row r="5024" spans="1:1" x14ac:dyDescent="0.3">
      <c r="A5024" s="12"/>
    </row>
    <row r="5025" spans="1:1" x14ac:dyDescent="0.3">
      <c r="A5025" s="12"/>
    </row>
    <row r="5026" spans="1:1" x14ac:dyDescent="0.3">
      <c r="A5026" s="12"/>
    </row>
    <row r="5027" spans="1:1" x14ac:dyDescent="0.3">
      <c r="A5027" s="12"/>
    </row>
    <row r="5028" spans="1:1" x14ac:dyDescent="0.3">
      <c r="A5028" s="12"/>
    </row>
    <row r="5029" spans="1:1" x14ac:dyDescent="0.3">
      <c r="A5029" s="12"/>
    </row>
    <row r="5030" spans="1:1" x14ac:dyDescent="0.3">
      <c r="A5030" s="12"/>
    </row>
    <row r="5031" spans="1:1" x14ac:dyDescent="0.3">
      <c r="A5031" s="12"/>
    </row>
    <row r="5032" spans="1:1" x14ac:dyDescent="0.3">
      <c r="A5032" s="12"/>
    </row>
    <row r="5033" spans="1:1" x14ac:dyDescent="0.3">
      <c r="A5033" s="12"/>
    </row>
    <row r="5034" spans="1:1" x14ac:dyDescent="0.3">
      <c r="A5034" s="12"/>
    </row>
    <row r="5035" spans="1:1" x14ac:dyDescent="0.3">
      <c r="A5035" s="12"/>
    </row>
    <row r="5036" spans="1:1" x14ac:dyDescent="0.3">
      <c r="A5036" s="12"/>
    </row>
    <row r="5037" spans="1:1" x14ac:dyDescent="0.3">
      <c r="A5037" s="12"/>
    </row>
    <row r="5038" spans="1:1" x14ac:dyDescent="0.3">
      <c r="A5038" s="12"/>
    </row>
    <row r="5039" spans="1:1" x14ac:dyDescent="0.3">
      <c r="A5039" s="12"/>
    </row>
    <row r="5040" spans="1:1" x14ac:dyDescent="0.3">
      <c r="A5040" s="12"/>
    </row>
    <row r="5041" spans="1:1" x14ac:dyDescent="0.3">
      <c r="A5041" s="12"/>
    </row>
    <row r="5042" spans="1:1" x14ac:dyDescent="0.3">
      <c r="A5042" s="12"/>
    </row>
    <row r="5043" spans="1:1" x14ac:dyDescent="0.3">
      <c r="A5043" s="12"/>
    </row>
    <row r="5044" spans="1:1" x14ac:dyDescent="0.3">
      <c r="A5044" s="12"/>
    </row>
    <row r="5045" spans="1:1" x14ac:dyDescent="0.3">
      <c r="A5045" s="12"/>
    </row>
    <row r="5046" spans="1:1" x14ac:dyDescent="0.3">
      <c r="A5046" s="12"/>
    </row>
    <row r="5047" spans="1:1" x14ac:dyDescent="0.3">
      <c r="A5047" s="12"/>
    </row>
    <row r="5048" spans="1:1" x14ac:dyDescent="0.3">
      <c r="A5048" s="12"/>
    </row>
    <row r="5049" spans="1:1" x14ac:dyDescent="0.3">
      <c r="A5049" s="12"/>
    </row>
    <row r="5050" spans="1:1" x14ac:dyDescent="0.3">
      <c r="A5050" s="12"/>
    </row>
    <row r="5051" spans="1:1" x14ac:dyDescent="0.3">
      <c r="A5051" s="12"/>
    </row>
    <row r="5052" spans="1:1" x14ac:dyDescent="0.3">
      <c r="A5052" s="12"/>
    </row>
    <row r="5053" spans="1:1" x14ac:dyDescent="0.3">
      <c r="A5053" s="12"/>
    </row>
    <row r="5054" spans="1:1" x14ac:dyDescent="0.3">
      <c r="A5054" s="12"/>
    </row>
    <row r="5055" spans="1:1" x14ac:dyDescent="0.3">
      <c r="A5055" s="12"/>
    </row>
    <row r="5056" spans="1:1" x14ac:dyDescent="0.3">
      <c r="A5056" s="12"/>
    </row>
    <row r="5057" spans="1:1" x14ac:dyDescent="0.3">
      <c r="A5057" s="12"/>
    </row>
    <row r="5058" spans="1:1" x14ac:dyDescent="0.3">
      <c r="A5058" s="12"/>
    </row>
    <row r="5059" spans="1:1" x14ac:dyDescent="0.3">
      <c r="A5059" s="12"/>
    </row>
    <row r="5060" spans="1:1" x14ac:dyDescent="0.3">
      <c r="A5060" s="12"/>
    </row>
    <row r="5061" spans="1:1" x14ac:dyDescent="0.3">
      <c r="A5061" s="12"/>
    </row>
    <row r="5062" spans="1:1" x14ac:dyDescent="0.3">
      <c r="A5062" s="12"/>
    </row>
    <row r="5063" spans="1:1" x14ac:dyDescent="0.3">
      <c r="A5063" s="12"/>
    </row>
    <row r="5064" spans="1:1" x14ac:dyDescent="0.3">
      <c r="A5064" s="12"/>
    </row>
    <row r="5065" spans="1:1" x14ac:dyDescent="0.3">
      <c r="A5065" s="12"/>
    </row>
    <row r="5066" spans="1:1" x14ac:dyDescent="0.3">
      <c r="A5066" s="12"/>
    </row>
    <row r="5067" spans="1:1" x14ac:dyDescent="0.3">
      <c r="A5067" s="12"/>
    </row>
    <row r="5068" spans="1:1" x14ac:dyDescent="0.3">
      <c r="A5068" s="12"/>
    </row>
    <row r="5069" spans="1:1" x14ac:dyDescent="0.3">
      <c r="A5069" s="12"/>
    </row>
    <row r="5070" spans="1:1" x14ac:dyDescent="0.3">
      <c r="A5070" s="12"/>
    </row>
    <row r="5071" spans="1:1" x14ac:dyDescent="0.3">
      <c r="A5071" s="12"/>
    </row>
    <row r="5072" spans="1:1" x14ac:dyDescent="0.3">
      <c r="A5072" s="12"/>
    </row>
    <row r="5073" spans="1:1" x14ac:dyDescent="0.3">
      <c r="A5073" s="12"/>
    </row>
    <row r="5074" spans="1:1" x14ac:dyDescent="0.3">
      <c r="A5074" s="12"/>
    </row>
    <row r="5075" spans="1:1" x14ac:dyDescent="0.3">
      <c r="A5075" s="12"/>
    </row>
    <row r="5076" spans="1:1" x14ac:dyDescent="0.3">
      <c r="A5076" s="12"/>
    </row>
    <row r="5077" spans="1:1" x14ac:dyDescent="0.3">
      <c r="A5077" s="12"/>
    </row>
    <row r="5078" spans="1:1" x14ac:dyDescent="0.3">
      <c r="A5078" s="12"/>
    </row>
    <row r="5079" spans="1:1" x14ac:dyDescent="0.3">
      <c r="A5079" s="12"/>
    </row>
    <row r="5080" spans="1:1" x14ac:dyDescent="0.3">
      <c r="A5080" s="12"/>
    </row>
    <row r="5081" spans="1:1" x14ac:dyDescent="0.3">
      <c r="A5081" s="12"/>
    </row>
    <row r="5082" spans="1:1" x14ac:dyDescent="0.3">
      <c r="A5082" s="12"/>
    </row>
    <row r="5083" spans="1:1" x14ac:dyDescent="0.3">
      <c r="A5083" s="12"/>
    </row>
    <row r="5084" spans="1:1" x14ac:dyDescent="0.3">
      <c r="A5084" s="12"/>
    </row>
    <row r="5085" spans="1:1" x14ac:dyDescent="0.3">
      <c r="A5085" s="12"/>
    </row>
    <row r="5086" spans="1:1" x14ac:dyDescent="0.3">
      <c r="A5086" s="12"/>
    </row>
    <row r="5087" spans="1:1" x14ac:dyDescent="0.3">
      <c r="A5087" s="12"/>
    </row>
    <row r="5088" spans="1:1" x14ac:dyDescent="0.3">
      <c r="A5088" s="12"/>
    </row>
    <row r="5089" spans="1:1" x14ac:dyDescent="0.3">
      <c r="A5089" s="12"/>
    </row>
    <row r="5090" spans="1:1" x14ac:dyDescent="0.3">
      <c r="A5090" s="12"/>
    </row>
    <row r="5091" spans="1:1" x14ac:dyDescent="0.3">
      <c r="A5091" s="12"/>
    </row>
    <row r="5092" spans="1:1" x14ac:dyDescent="0.3">
      <c r="A5092" s="12"/>
    </row>
    <row r="5093" spans="1:1" x14ac:dyDescent="0.3">
      <c r="A5093" s="12"/>
    </row>
    <row r="5094" spans="1:1" x14ac:dyDescent="0.3">
      <c r="A5094" s="12"/>
    </row>
    <row r="5095" spans="1:1" x14ac:dyDescent="0.3">
      <c r="A5095" s="12"/>
    </row>
    <row r="5096" spans="1:1" x14ac:dyDescent="0.3">
      <c r="A5096" s="12"/>
    </row>
    <row r="5097" spans="1:1" x14ac:dyDescent="0.3">
      <c r="A5097" s="12"/>
    </row>
    <row r="5098" spans="1:1" x14ac:dyDescent="0.3">
      <c r="A5098" s="12"/>
    </row>
    <row r="5099" spans="1:1" x14ac:dyDescent="0.3">
      <c r="A5099" s="12"/>
    </row>
    <row r="5100" spans="1:1" x14ac:dyDescent="0.3">
      <c r="A5100" s="12"/>
    </row>
    <row r="5101" spans="1:1" x14ac:dyDescent="0.3">
      <c r="A5101" s="12"/>
    </row>
    <row r="5102" spans="1:1" x14ac:dyDescent="0.3">
      <c r="A5102" s="12"/>
    </row>
    <row r="5103" spans="1:1" x14ac:dyDescent="0.3">
      <c r="A5103" s="12"/>
    </row>
    <row r="5104" spans="1:1" x14ac:dyDescent="0.3">
      <c r="A5104" s="12"/>
    </row>
    <row r="5105" spans="1:1" x14ac:dyDescent="0.3">
      <c r="A5105" s="12"/>
    </row>
    <row r="5106" spans="1:1" x14ac:dyDescent="0.3">
      <c r="A5106" s="12"/>
    </row>
    <row r="5107" spans="1:1" x14ac:dyDescent="0.3">
      <c r="A5107" s="12"/>
    </row>
    <row r="5108" spans="1:1" x14ac:dyDescent="0.3">
      <c r="A5108" s="12"/>
    </row>
    <row r="5109" spans="1:1" x14ac:dyDescent="0.3">
      <c r="A5109" s="12"/>
    </row>
    <row r="5110" spans="1:1" x14ac:dyDescent="0.3">
      <c r="A5110" s="12"/>
    </row>
    <row r="5111" spans="1:1" x14ac:dyDescent="0.3">
      <c r="A5111" s="12"/>
    </row>
    <row r="5112" spans="1:1" x14ac:dyDescent="0.3">
      <c r="A5112" s="12"/>
    </row>
    <row r="5113" spans="1:1" x14ac:dyDescent="0.3">
      <c r="A5113" s="12"/>
    </row>
    <row r="5114" spans="1:1" x14ac:dyDescent="0.3">
      <c r="A5114" s="12"/>
    </row>
    <row r="5115" spans="1:1" x14ac:dyDescent="0.3">
      <c r="A5115" s="12"/>
    </row>
    <row r="5116" spans="1:1" x14ac:dyDescent="0.3">
      <c r="A5116" s="12"/>
    </row>
    <row r="5117" spans="1:1" x14ac:dyDescent="0.3">
      <c r="A5117" s="12"/>
    </row>
    <row r="5118" spans="1:1" x14ac:dyDescent="0.3">
      <c r="A5118" s="12"/>
    </row>
    <row r="5119" spans="1:1" x14ac:dyDescent="0.3">
      <c r="A5119" s="12"/>
    </row>
    <row r="5120" spans="1:1" x14ac:dyDescent="0.3">
      <c r="A5120" s="12"/>
    </row>
    <row r="5121" spans="1:1" x14ac:dyDescent="0.3">
      <c r="A5121" s="12"/>
    </row>
    <row r="5122" spans="1:1" x14ac:dyDescent="0.3">
      <c r="A5122" s="12"/>
    </row>
    <row r="5123" spans="1:1" x14ac:dyDescent="0.3">
      <c r="A5123" s="12"/>
    </row>
    <row r="5124" spans="1:1" x14ac:dyDescent="0.3">
      <c r="A5124" s="12"/>
    </row>
    <row r="5125" spans="1:1" x14ac:dyDescent="0.3">
      <c r="A5125" s="12"/>
    </row>
    <row r="5126" spans="1:1" x14ac:dyDescent="0.3">
      <c r="A5126" s="12"/>
    </row>
    <row r="5127" spans="1:1" x14ac:dyDescent="0.3">
      <c r="A5127" s="12"/>
    </row>
    <row r="5128" spans="1:1" x14ac:dyDescent="0.3">
      <c r="A5128" s="12"/>
    </row>
    <row r="5129" spans="1:1" x14ac:dyDescent="0.3">
      <c r="A5129" s="12"/>
    </row>
    <row r="5130" spans="1:1" x14ac:dyDescent="0.3">
      <c r="A5130" s="12"/>
    </row>
    <row r="5131" spans="1:1" x14ac:dyDescent="0.3">
      <c r="A5131" s="12"/>
    </row>
    <row r="5132" spans="1:1" x14ac:dyDescent="0.3">
      <c r="A5132" s="12"/>
    </row>
    <row r="5133" spans="1:1" x14ac:dyDescent="0.3">
      <c r="A5133" s="12"/>
    </row>
    <row r="5134" spans="1:1" x14ac:dyDescent="0.3">
      <c r="A5134" s="12"/>
    </row>
    <row r="5135" spans="1:1" x14ac:dyDescent="0.3">
      <c r="A5135" s="12"/>
    </row>
    <row r="5136" spans="1:1" x14ac:dyDescent="0.3">
      <c r="A5136" s="12"/>
    </row>
    <row r="5137" spans="1:1" x14ac:dyDescent="0.3">
      <c r="A5137" s="12"/>
    </row>
    <row r="5138" spans="1:1" x14ac:dyDescent="0.3">
      <c r="A5138" s="12"/>
    </row>
    <row r="5139" spans="1:1" x14ac:dyDescent="0.3">
      <c r="A5139" s="12"/>
    </row>
    <row r="5140" spans="1:1" x14ac:dyDescent="0.3">
      <c r="A5140" s="12"/>
    </row>
    <row r="5141" spans="1:1" x14ac:dyDescent="0.3">
      <c r="A5141" s="12"/>
    </row>
    <row r="5142" spans="1:1" x14ac:dyDescent="0.3">
      <c r="A5142" s="12"/>
    </row>
    <row r="5143" spans="1:1" x14ac:dyDescent="0.3">
      <c r="A5143" s="12"/>
    </row>
    <row r="5144" spans="1:1" x14ac:dyDescent="0.3">
      <c r="A5144" s="12"/>
    </row>
    <row r="5145" spans="1:1" x14ac:dyDescent="0.3">
      <c r="A5145" s="12"/>
    </row>
    <row r="5146" spans="1:1" x14ac:dyDescent="0.3">
      <c r="A5146" s="12"/>
    </row>
    <row r="5147" spans="1:1" x14ac:dyDescent="0.3">
      <c r="A5147" s="12"/>
    </row>
    <row r="5148" spans="1:1" x14ac:dyDescent="0.3">
      <c r="A5148" s="12"/>
    </row>
    <row r="5149" spans="1:1" x14ac:dyDescent="0.3">
      <c r="A5149" s="12"/>
    </row>
    <row r="5150" spans="1:1" x14ac:dyDescent="0.3">
      <c r="A5150" s="12"/>
    </row>
    <row r="5151" spans="1:1" x14ac:dyDescent="0.3">
      <c r="A5151" s="12"/>
    </row>
    <row r="5152" spans="1:1" x14ac:dyDescent="0.3">
      <c r="A5152" s="12"/>
    </row>
    <row r="5153" spans="1:1" x14ac:dyDescent="0.3">
      <c r="A5153" s="12"/>
    </row>
    <row r="5154" spans="1:1" x14ac:dyDescent="0.3">
      <c r="A5154" s="12"/>
    </row>
    <row r="5155" spans="1:1" x14ac:dyDescent="0.3">
      <c r="A5155" s="12"/>
    </row>
    <row r="5156" spans="1:1" x14ac:dyDescent="0.3">
      <c r="A5156" s="12"/>
    </row>
    <row r="5157" spans="1:1" x14ac:dyDescent="0.3">
      <c r="A5157" s="12"/>
    </row>
    <row r="5158" spans="1:1" x14ac:dyDescent="0.3">
      <c r="A5158" s="12"/>
    </row>
    <row r="5159" spans="1:1" x14ac:dyDescent="0.3">
      <c r="A5159" s="12"/>
    </row>
    <row r="5160" spans="1:1" x14ac:dyDescent="0.3">
      <c r="A5160" s="12"/>
    </row>
    <row r="5161" spans="1:1" x14ac:dyDescent="0.3">
      <c r="A5161" s="12"/>
    </row>
    <row r="5162" spans="1:1" x14ac:dyDescent="0.3">
      <c r="A5162" s="12"/>
    </row>
    <row r="5163" spans="1:1" x14ac:dyDescent="0.3">
      <c r="A5163" s="12"/>
    </row>
    <row r="5164" spans="1:1" x14ac:dyDescent="0.3">
      <c r="A5164" s="12"/>
    </row>
    <row r="5165" spans="1:1" x14ac:dyDescent="0.3">
      <c r="A5165" s="12"/>
    </row>
    <row r="5166" spans="1:1" x14ac:dyDescent="0.3">
      <c r="A5166" s="12"/>
    </row>
    <row r="5167" spans="1:1" x14ac:dyDescent="0.3">
      <c r="A5167" s="12"/>
    </row>
    <row r="5168" spans="1:1" x14ac:dyDescent="0.3">
      <c r="A5168" s="12"/>
    </row>
    <row r="5169" spans="1:1" x14ac:dyDescent="0.3">
      <c r="A5169" s="12"/>
    </row>
    <row r="5170" spans="1:1" x14ac:dyDescent="0.3">
      <c r="A5170" s="12"/>
    </row>
    <row r="5171" spans="1:1" x14ac:dyDescent="0.3">
      <c r="A5171" s="12"/>
    </row>
    <row r="5172" spans="1:1" x14ac:dyDescent="0.3">
      <c r="A5172" s="12"/>
    </row>
    <row r="5173" spans="1:1" x14ac:dyDescent="0.3">
      <c r="A5173" s="12"/>
    </row>
    <row r="5174" spans="1:1" x14ac:dyDescent="0.3">
      <c r="A5174" s="12"/>
    </row>
    <row r="5175" spans="1:1" x14ac:dyDescent="0.3">
      <c r="A5175" s="12"/>
    </row>
    <row r="5176" spans="1:1" x14ac:dyDescent="0.3">
      <c r="A5176" s="12"/>
    </row>
    <row r="5177" spans="1:1" x14ac:dyDescent="0.3">
      <c r="A5177" s="12"/>
    </row>
    <row r="5178" spans="1:1" x14ac:dyDescent="0.3">
      <c r="A5178" s="12"/>
    </row>
    <row r="5179" spans="1:1" x14ac:dyDescent="0.3">
      <c r="A5179" s="12"/>
    </row>
    <row r="5180" spans="1:1" x14ac:dyDescent="0.3">
      <c r="A5180" s="12"/>
    </row>
    <row r="5181" spans="1:1" x14ac:dyDescent="0.3">
      <c r="A5181" s="12"/>
    </row>
    <row r="5182" spans="1:1" x14ac:dyDescent="0.3">
      <c r="A5182" s="12"/>
    </row>
    <row r="5183" spans="1:1" x14ac:dyDescent="0.3">
      <c r="A5183" s="12"/>
    </row>
    <row r="5184" spans="1:1" x14ac:dyDescent="0.3">
      <c r="A5184" s="12"/>
    </row>
    <row r="5185" spans="1:1" x14ac:dyDescent="0.3">
      <c r="A5185" s="12"/>
    </row>
    <row r="5186" spans="1:1" x14ac:dyDescent="0.3">
      <c r="A5186" s="12"/>
    </row>
    <row r="5187" spans="1:1" x14ac:dyDescent="0.3">
      <c r="A5187" s="12"/>
    </row>
    <row r="5188" spans="1:1" x14ac:dyDescent="0.3">
      <c r="A5188" s="12"/>
    </row>
    <row r="5189" spans="1:1" x14ac:dyDescent="0.3">
      <c r="A5189" s="12"/>
    </row>
    <row r="5190" spans="1:1" x14ac:dyDescent="0.3">
      <c r="A5190" s="12"/>
    </row>
    <row r="5191" spans="1:1" x14ac:dyDescent="0.3">
      <c r="A5191" s="12"/>
    </row>
    <row r="5192" spans="1:1" x14ac:dyDescent="0.3">
      <c r="A5192" s="12"/>
    </row>
    <row r="5193" spans="1:1" x14ac:dyDescent="0.3">
      <c r="A5193" s="12"/>
    </row>
    <row r="5194" spans="1:1" x14ac:dyDescent="0.3">
      <c r="A5194" s="12"/>
    </row>
    <row r="5195" spans="1:1" x14ac:dyDescent="0.3">
      <c r="A5195" s="12"/>
    </row>
    <row r="5196" spans="1:1" x14ac:dyDescent="0.3">
      <c r="A5196" s="12"/>
    </row>
    <row r="5197" spans="1:1" x14ac:dyDescent="0.3">
      <c r="A5197" s="12"/>
    </row>
    <row r="5198" spans="1:1" x14ac:dyDescent="0.3">
      <c r="A5198" s="12"/>
    </row>
    <row r="5199" spans="1:1" x14ac:dyDescent="0.3">
      <c r="A5199" s="12"/>
    </row>
    <row r="5200" spans="1:1" x14ac:dyDescent="0.3">
      <c r="A5200" s="12"/>
    </row>
    <row r="5201" spans="1:1" x14ac:dyDescent="0.3">
      <c r="A5201" s="12"/>
    </row>
    <row r="5202" spans="1:1" x14ac:dyDescent="0.3">
      <c r="A5202" s="12"/>
    </row>
    <row r="5203" spans="1:1" x14ac:dyDescent="0.3">
      <c r="A5203" s="12"/>
    </row>
    <row r="5204" spans="1:1" x14ac:dyDescent="0.3">
      <c r="A5204" s="12"/>
    </row>
    <row r="5205" spans="1:1" x14ac:dyDescent="0.3">
      <c r="A5205" s="12"/>
    </row>
    <row r="5206" spans="1:1" x14ac:dyDescent="0.3">
      <c r="A5206" s="12"/>
    </row>
    <row r="5207" spans="1:1" x14ac:dyDescent="0.3">
      <c r="A5207" s="12"/>
    </row>
    <row r="5208" spans="1:1" x14ac:dyDescent="0.3">
      <c r="A5208" s="12"/>
    </row>
    <row r="5209" spans="1:1" x14ac:dyDescent="0.3">
      <c r="A5209" s="12"/>
    </row>
    <row r="5210" spans="1:1" x14ac:dyDescent="0.3">
      <c r="A5210" s="12"/>
    </row>
    <row r="5211" spans="1:1" x14ac:dyDescent="0.3">
      <c r="A5211" s="12"/>
    </row>
    <row r="5212" spans="1:1" x14ac:dyDescent="0.3">
      <c r="A5212" s="12"/>
    </row>
    <row r="5213" spans="1:1" x14ac:dyDescent="0.3">
      <c r="A5213" s="12"/>
    </row>
    <row r="5214" spans="1:1" x14ac:dyDescent="0.3">
      <c r="A5214" s="12"/>
    </row>
    <row r="5215" spans="1:1" x14ac:dyDescent="0.3">
      <c r="A5215" s="12"/>
    </row>
    <row r="5216" spans="1:1" x14ac:dyDescent="0.3">
      <c r="A5216" s="12"/>
    </row>
    <row r="5217" spans="1:1" x14ac:dyDescent="0.3">
      <c r="A5217" s="12"/>
    </row>
    <row r="5218" spans="1:1" x14ac:dyDescent="0.3">
      <c r="A5218" s="12"/>
    </row>
    <row r="5219" spans="1:1" x14ac:dyDescent="0.3">
      <c r="A5219" s="12"/>
    </row>
    <row r="5220" spans="1:1" x14ac:dyDescent="0.3">
      <c r="A5220" s="12"/>
    </row>
    <row r="5221" spans="1:1" x14ac:dyDescent="0.3">
      <c r="A5221" s="12"/>
    </row>
    <row r="5222" spans="1:1" x14ac:dyDescent="0.3">
      <c r="A5222" s="12"/>
    </row>
    <row r="5223" spans="1:1" x14ac:dyDescent="0.3">
      <c r="A5223" s="12"/>
    </row>
    <row r="5224" spans="1:1" x14ac:dyDescent="0.3">
      <c r="A5224" s="12"/>
    </row>
    <row r="5225" spans="1:1" x14ac:dyDescent="0.3">
      <c r="A5225" s="12"/>
    </row>
    <row r="5226" spans="1:1" x14ac:dyDescent="0.3">
      <c r="A5226" s="12"/>
    </row>
    <row r="5227" spans="1:1" x14ac:dyDescent="0.3">
      <c r="A5227" s="12"/>
    </row>
    <row r="5228" spans="1:1" x14ac:dyDescent="0.3">
      <c r="A5228" s="12"/>
    </row>
    <row r="5229" spans="1:1" x14ac:dyDescent="0.3">
      <c r="A5229" s="12"/>
    </row>
    <row r="5230" spans="1:1" x14ac:dyDescent="0.3">
      <c r="A5230" s="12"/>
    </row>
    <row r="5231" spans="1:1" x14ac:dyDescent="0.3">
      <c r="A5231" s="12"/>
    </row>
    <row r="5232" spans="1:1" x14ac:dyDescent="0.3">
      <c r="A5232" s="12"/>
    </row>
    <row r="5233" spans="1:1" x14ac:dyDescent="0.3">
      <c r="A5233" s="12"/>
    </row>
    <row r="5234" spans="1:1" x14ac:dyDescent="0.3">
      <c r="A5234" s="12"/>
    </row>
    <row r="5235" spans="1:1" x14ac:dyDescent="0.3">
      <c r="A5235" s="12"/>
    </row>
    <row r="5236" spans="1:1" x14ac:dyDescent="0.3">
      <c r="A5236" s="12"/>
    </row>
    <row r="5237" spans="1:1" x14ac:dyDescent="0.3">
      <c r="A5237" s="12"/>
    </row>
    <row r="5238" spans="1:1" x14ac:dyDescent="0.3">
      <c r="A5238" s="12"/>
    </row>
    <row r="5239" spans="1:1" x14ac:dyDescent="0.3">
      <c r="A5239" s="12"/>
    </row>
    <row r="5240" spans="1:1" x14ac:dyDescent="0.3">
      <c r="A5240" s="12"/>
    </row>
    <row r="5241" spans="1:1" x14ac:dyDescent="0.3">
      <c r="A5241" s="12"/>
    </row>
    <row r="5242" spans="1:1" x14ac:dyDescent="0.3">
      <c r="A5242" s="12"/>
    </row>
    <row r="5243" spans="1:1" x14ac:dyDescent="0.3">
      <c r="A5243" s="12"/>
    </row>
    <row r="5244" spans="1:1" x14ac:dyDescent="0.3">
      <c r="A5244" s="12"/>
    </row>
    <row r="5245" spans="1:1" x14ac:dyDescent="0.3">
      <c r="A5245" s="12"/>
    </row>
    <row r="5246" spans="1:1" x14ac:dyDescent="0.3">
      <c r="A5246" s="12"/>
    </row>
    <row r="5247" spans="1:1" x14ac:dyDescent="0.3">
      <c r="A5247" s="12"/>
    </row>
    <row r="5248" spans="1:1" x14ac:dyDescent="0.3">
      <c r="A5248" s="12"/>
    </row>
    <row r="5249" spans="1:1" x14ac:dyDescent="0.3">
      <c r="A5249" s="12"/>
    </row>
    <row r="5250" spans="1:1" x14ac:dyDescent="0.3">
      <c r="A5250" s="12"/>
    </row>
    <row r="5251" spans="1:1" x14ac:dyDescent="0.3">
      <c r="A5251" s="12"/>
    </row>
    <row r="5252" spans="1:1" x14ac:dyDescent="0.3">
      <c r="A5252" s="12"/>
    </row>
    <row r="5253" spans="1:1" x14ac:dyDescent="0.3">
      <c r="A5253" s="12"/>
    </row>
    <row r="5254" spans="1:1" x14ac:dyDescent="0.3">
      <c r="A5254" s="12"/>
    </row>
    <row r="5255" spans="1:1" x14ac:dyDescent="0.3">
      <c r="A5255" s="12"/>
    </row>
    <row r="5256" spans="1:1" x14ac:dyDescent="0.3">
      <c r="A5256" s="12"/>
    </row>
    <row r="5257" spans="1:1" x14ac:dyDescent="0.3">
      <c r="A5257" s="12"/>
    </row>
    <row r="5258" spans="1:1" x14ac:dyDescent="0.3">
      <c r="A5258" s="12"/>
    </row>
    <row r="5259" spans="1:1" x14ac:dyDescent="0.3">
      <c r="A5259" s="12"/>
    </row>
    <row r="5260" spans="1:1" x14ac:dyDescent="0.3">
      <c r="A5260" s="12"/>
    </row>
    <row r="5261" spans="1:1" x14ac:dyDescent="0.3">
      <c r="A5261" s="12"/>
    </row>
    <row r="5262" spans="1:1" x14ac:dyDescent="0.3">
      <c r="A5262" s="12"/>
    </row>
    <row r="5263" spans="1:1" x14ac:dyDescent="0.3">
      <c r="A5263" s="12"/>
    </row>
    <row r="5264" spans="1:1" x14ac:dyDescent="0.3">
      <c r="A5264" s="12"/>
    </row>
    <row r="5265" spans="1:1" x14ac:dyDescent="0.3">
      <c r="A5265" s="12"/>
    </row>
    <row r="5266" spans="1:1" x14ac:dyDescent="0.3">
      <c r="A5266" s="12"/>
    </row>
    <row r="5267" spans="1:1" x14ac:dyDescent="0.3">
      <c r="A5267" s="12"/>
    </row>
    <row r="5268" spans="1:1" x14ac:dyDescent="0.3">
      <c r="A5268" s="12"/>
    </row>
    <row r="5269" spans="1:1" x14ac:dyDescent="0.3">
      <c r="A5269" s="12"/>
    </row>
    <row r="5270" spans="1:1" x14ac:dyDescent="0.3">
      <c r="A5270" s="12"/>
    </row>
    <row r="5271" spans="1:1" x14ac:dyDescent="0.3">
      <c r="A5271" s="12"/>
    </row>
    <row r="5272" spans="1:1" x14ac:dyDescent="0.3">
      <c r="A5272" s="12"/>
    </row>
    <row r="5273" spans="1:1" x14ac:dyDescent="0.3">
      <c r="A5273" s="12"/>
    </row>
    <row r="5274" spans="1:1" x14ac:dyDescent="0.3">
      <c r="A5274" s="12"/>
    </row>
    <row r="5275" spans="1:1" x14ac:dyDescent="0.3">
      <c r="A5275" s="12"/>
    </row>
    <row r="5276" spans="1:1" x14ac:dyDescent="0.3">
      <c r="A5276" s="12"/>
    </row>
    <row r="5277" spans="1:1" x14ac:dyDescent="0.3">
      <c r="A5277" s="12"/>
    </row>
    <row r="5278" spans="1:1" x14ac:dyDescent="0.3">
      <c r="A5278" s="12"/>
    </row>
    <row r="5279" spans="1:1" x14ac:dyDescent="0.3">
      <c r="A5279" s="12"/>
    </row>
    <row r="5280" spans="1:1" x14ac:dyDescent="0.3">
      <c r="A5280" s="12"/>
    </row>
    <row r="5281" spans="1:1" x14ac:dyDescent="0.3">
      <c r="A5281" s="12"/>
    </row>
    <row r="5282" spans="1:1" x14ac:dyDescent="0.3">
      <c r="A5282" s="12"/>
    </row>
    <row r="5283" spans="1:1" x14ac:dyDescent="0.3">
      <c r="A5283" s="12"/>
    </row>
    <row r="5284" spans="1:1" x14ac:dyDescent="0.3">
      <c r="A5284" s="12"/>
    </row>
    <row r="5285" spans="1:1" x14ac:dyDescent="0.3">
      <c r="A5285" s="12"/>
    </row>
    <row r="5286" spans="1:1" x14ac:dyDescent="0.3">
      <c r="A5286" s="12"/>
    </row>
    <row r="5287" spans="1:1" x14ac:dyDescent="0.3">
      <c r="A5287" s="12"/>
    </row>
    <row r="5288" spans="1:1" x14ac:dyDescent="0.3">
      <c r="A5288" s="12"/>
    </row>
    <row r="5289" spans="1:1" x14ac:dyDescent="0.3">
      <c r="A5289" s="12"/>
    </row>
    <row r="5290" spans="1:1" x14ac:dyDescent="0.3">
      <c r="A5290" s="12"/>
    </row>
    <row r="5291" spans="1:1" x14ac:dyDescent="0.3">
      <c r="A5291" s="12"/>
    </row>
    <row r="5292" spans="1:1" x14ac:dyDescent="0.3">
      <c r="A5292" s="12"/>
    </row>
    <row r="5293" spans="1:1" x14ac:dyDescent="0.3">
      <c r="A5293" s="12"/>
    </row>
    <row r="5294" spans="1:1" x14ac:dyDescent="0.3">
      <c r="A5294" s="12"/>
    </row>
    <row r="5295" spans="1:1" x14ac:dyDescent="0.3">
      <c r="A5295" s="12"/>
    </row>
    <row r="5296" spans="1:1" x14ac:dyDescent="0.3">
      <c r="A5296" s="12"/>
    </row>
    <row r="5297" spans="1:1" x14ac:dyDescent="0.3">
      <c r="A5297" s="12"/>
    </row>
    <row r="5298" spans="1:1" x14ac:dyDescent="0.3">
      <c r="A5298" s="12"/>
    </row>
    <row r="5299" spans="1:1" x14ac:dyDescent="0.3">
      <c r="A5299" s="12"/>
    </row>
    <row r="5300" spans="1:1" x14ac:dyDescent="0.3">
      <c r="A5300" s="12"/>
    </row>
    <row r="5301" spans="1:1" x14ac:dyDescent="0.3">
      <c r="A5301" s="12"/>
    </row>
    <row r="5302" spans="1:1" x14ac:dyDescent="0.3">
      <c r="A5302" s="12"/>
    </row>
    <row r="5303" spans="1:1" x14ac:dyDescent="0.3">
      <c r="A5303" s="12"/>
    </row>
    <row r="5304" spans="1:1" x14ac:dyDescent="0.3">
      <c r="A5304" s="12"/>
    </row>
    <row r="5305" spans="1:1" x14ac:dyDescent="0.3">
      <c r="A5305" s="12"/>
    </row>
    <row r="5306" spans="1:1" x14ac:dyDescent="0.3">
      <c r="A5306" s="12"/>
    </row>
    <row r="5307" spans="1:1" x14ac:dyDescent="0.3">
      <c r="A5307" s="12"/>
    </row>
    <row r="5308" spans="1:1" x14ac:dyDescent="0.3">
      <c r="A5308" s="12"/>
    </row>
    <row r="5309" spans="1:1" x14ac:dyDescent="0.3">
      <c r="A5309" s="12"/>
    </row>
    <row r="5310" spans="1:1" x14ac:dyDescent="0.3">
      <c r="A5310" s="12"/>
    </row>
    <row r="5311" spans="1:1" x14ac:dyDescent="0.3">
      <c r="A5311" s="12"/>
    </row>
    <row r="5312" spans="1:1" x14ac:dyDescent="0.3">
      <c r="A5312" s="12"/>
    </row>
    <row r="5313" spans="1:1" x14ac:dyDescent="0.3">
      <c r="A5313" s="12"/>
    </row>
    <row r="5314" spans="1:1" x14ac:dyDescent="0.3">
      <c r="A5314" s="12"/>
    </row>
    <row r="5315" spans="1:1" x14ac:dyDescent="0.3">
      <c r="A5315" s="12"/>
    </row>
    <row r="5316" spans="1:1" x14ac:dyDescent="0.3">
      <c r="A5316" s="12"/>
    </row>
    <row r="5317" spans="1:1" x14ac:dyDescent="0.3">
      <c r="A5317" s="12"/>
    </row>
    <row r="5318" spans="1:1" x14ac:dyDescent="0.3">
      <c r="A5318" s="12"/>
    </row>
    <row r="5319" spans="1:1" x14ac:dyDescent="0.3">
      <c r="A5319" s="12"/>
    </row>
    <row r="5320" spans="1:1" x14ac:dyDescent="0.3">
      <c r="A5320" s="12"/>
    </row>
    <row r="5321" spans="1:1" x14ac:dyDescent="0.3">
      <c r="A5321" s="12"/>
    </row>
    <row r="5322" spans="1:1" x14ac:dyDescent="0.3">
      <c r="A5322" s="12"/>
    </row>
    <row r="5323" spans="1:1" x14ac:dyDescent="0.3">
      <c r="A5323" s="12"/>
    </row>
    <row r="5324" spans="1:1" x14ac:dyDescent="0.3">
      <c r="A5324" s="12"/>
    </row>
    <row r="5325" spans="1:1" x14ac:dyDescent="0.3">
      <c r="A5325" s="12"/>
    </row>
    <row r="5326" spans="1:1" x14ac:dyDescent="0.3">
      <c r="A5326" s="12"/>
    </row>
    <row r="5327" spans="1:1" x14ac:dyDescent="0.3">
      <c r="A5327" s="12"/>
    </row>
    <row r="5328" spans="1:1" x14ac:dyDescent="0.3">
      <c r="A5328" s="12"/>
    </row>
    <row r="5329" spans="1:1" x14ac:dyDescent="0.3">
      <c r="A5329" s="12"/>
    </row>
    <row r="5330" spans="1:1" x14ac:dyDescent="0.3">
      <c r="A5330" s="12"/>
    </row>
    <row r="5331" spans="1:1" x14ac:dyDescent="0.3">
      <c r="A5331" s="12"/>
    </row>
    <row r="5332" spans="1:1" x14ac:dyDescent="0.3">
      <c r="A5332" s="12"/>
    </row>
    <row r="5333" spans="1:1" x14ac:dyDescent="0.3">
      <c r="A5333" s="12"/>
    </row>
    <row r="5334" spans="1:1" x14ac:dyDescent="0.3">
      <c r="A5334" s="12"/>
    </row>
    <row r="5335" spans="1:1" x14ac:dyDescent="0.3">
      <c r="A5335" s="12"/>
    </row>
    <row r="5336" spans="1:1" x14ac:dyDescent="0.3">
      <c r="A5336" s="12"/>
    </row>
    <row r="5337" spans="1:1" x14ac:dyDescent="0.3">
      <c r="A5337" s="12"/>
    </row>
    <row r="5338" spans="1:1" x14ac:dyDescent="0.3">
      <c r="A5338" s="12"/>
    </row>
    <row r="5339" spans="1:1" x14ac:dyDescent="0.3">
      <c r="A5339" s="12"/>
    </row>
    <row r="5340" spans="1:1" x14ac:dyDescent="0.3">
      <c r="A5340" s="12"/>
    </row>
    <row r="5341" spans="1:1" x14ac:dyDescent="0.3">
      <c r="A5341" s="12"/>
    </row>
    <row r="5342" spans="1:1" x14ac:dyDescent="0.3">
      <c r="A5342" s="12"/>
    </row>
    <row r="5343" spans="1:1" x14ac:dyDescent="0.3">
      <c r="A5343" s="12"/>
    </row>
    <row r="5344" spans="1:1" x14ac:dyDescent="0.3">
      <c r="A5344" s="12"/>
    </row>
    <row r="5345" spans="1:1" x14ac:dyDescent="0.3">
      <c r="A5345" s="12"/>
    </row>
    <row r="5346" spans="1:1" x14ac:dyDescent="0.3">
      <c r="A5346" s="12"/>
    </row>
    <row r="5347" spans="1:1" x14ac:dyDescent="0.3">
      <c r="A5347" s="12"/>
    </row>
    <row r="5348" spans="1:1" x14ac:dyDescent="0.3">
      <c r="A5348" s="12"/>
    </row>
    <row r="5349" spans="1:1" x14ac:dyDescent="0.3">
      <c r="A5349" s="12"/>
    </row>
    <row r="5350" spans="1:1" x14ac:dyDescent="0.3">
      <c r="A5350" s="12"/>
    </row>
    <row r="5351" spans="1:1" x14ac:dyDescent="0.3">
      <c r="A5351" s="12"/>
    </row>
    <row r="5352" spans="1:1" x14ac:dyDescent="0.3">
      <c r="A5352" s="12"/>
    </row>
    <row r="5353" spans="1:1" x14ac:dyDescent="0.3">
      <c r="A5353" s="12"/>
    </row>
    <row r="5354" spans="1:1" x14ac:dyDescent="0.3">
      <c r="A5354" s="12"/>
    </row>
    <row r="5355" spans="1:1" x14ac:dyDescent="0.3">
      <c r="A5355" s="12"/>
    </row>
    <row r="5356" spans="1:1" x14ac:dyDescent="0.3">
      <c r="A5356" s="12"/>
    </row>
    <row r="5357" spans="1:1" x14ac:dyDescent="0.3">
      <c r="A5357" s="12"/>
    </row>
    <row r="5358" spans="1:1" x14ac:dyDescent="0.3">
      <c r="A5358" s="12"/>
    </row>
    <row r="5359" spans="1:1" x14ac:dyDescent="0.3">
      <c r="A5359" s="12"/>
    </row>
    <row r="5360" spans="1:1" x14ac:dyDescent="0.3">
      <c r="A5360" s="12"/>
    </row>
    <row r="5361" spans="1:1" x14ac:dyDescent="0.3">
      <c r="A5361" s="12"/>
    </row>
    <row r="5362" spans="1:1" x14ac:dyDescent="0.3">
      <c r="A5362" s="12"/>
    </row>
    <row r="5363" spans="1:1" x14ac:dyDescent="0.3">
      <c r="A5363" s="12"/>
    </row>
    <row r="5364" spans="1:1" x14ac:dyDescent="0.3">
      <c r="A5364" s="12"/>
    </row>
    <row r="5365" spans="1:1" x14ac:dyDescent="0.3">
      <c r="A5365" s="12"/>
    </row>
    <row r="5366" spans="1:1" x14ac:dyDescent="0.3">
      <c r="A5366" s="12"/>
    </row>
    <row r="5367" spans="1:1" x14ac:dyDescent="0.3">
      <c r="A5367" s="12"/>
    </row>
    <row r="5368" spans="1:1" x14ac:dyDescent="0.3">
      <c r="A5368" s="12"/>
    </row>
    <row r="5369" spans="1:1" x14ac:dyDescent="0.3">
      <c r="A5369" s="12"/>
    </row>
    <row r="5370" spans="1:1" x14ac:dyDescent="0.3">
      <c r="A5370" s="12"/>
    </row>
    <row r="5371" spans="1:1" x14ac:dyDescent="0.3">
      <c r="A5371" s="12"/>
    </row>
    <row r="5372" spans="1:1" x14ac:dyDescent="0.3">
      <c r="A5372" s="12"/>
    </row>
    <row r="5373" spans="1:1" x14ac:dyDescent="0.3">
      <c r="A5373" s="12"/>
    </row>
    <row r="5374" spans="1:1" x14ac:dyDescent="0.3">
      <c r="A5374" s="12"/>
    </row>
    <row r="5375" spans="1:1" x14ac:dyDescent="0.3">
      <c r="A5375" s="12"/>
    </row>
    <row r="5376" spans="1:1" x14ac:dyDescent="0.3">
      <c r="A5376" s="12"/>
    </row>
    <row r="5377" spans="1:1" x14ac:dyDescent="0.3">
      <c r="A5377" s="12"/>
    </row>
    <row r="5378" spans="1:1" x14ac:dyDescent="0.3">
      <c r="A5378" s="12"/>
    </row>
    <row r="5379" spans="1:1" x14ac:dyDescent="0.3">
      <c r="A5379" s="12"/>
    </row>
    <row r="5380" spans="1:1" x14ac:dyDescent="0.3">
      <c r="A5380" s="12"/>
    </row>
    <row r="5381" spans="1:1" x14ac:dyDescent="0.3">
      <c r="A5381" s="12"/>
    </row>
    <row r="5382" spans="1:1" x14ac:dyDescent="0.3">
      <c r="A5382" s="12"/>
    </row>
    <row r="5383" spans="1:1" x14ac:dyDescent="0.3">
      <c r="A5383" s="12"/>
    </row>
    <row r="5384" spans="1:1" x14ac:dyDescent="0.3">
      <c r="A5384" s="12"/>
    </row>
    <row r="5385" spans="1:1" x14ac:dyDescent="0.3">
      <c r="A5385" s="12"/>
    </row>
    <row r="5386" spans="1:1" x14ac:dyDescent="0.3">
      <c r="A5386" s="12"/>
    </row>
    <row r="5387" spans="1:1" x14ac:dyDescent="0.3">
      <c r="A5387" s="12"/>
    </row>
    <row r="5388" spans="1:1" x14ac:dyDescent="0.3">
      <c r="A5388" s="12"/>
    </row>
    <row r="5389" spans="1:1" x14ac:dyDescent="0.3">
      <c r="A5389" s="12"/>
    </row>
    <row r="5390" spans="1:1" x14ac:dyDescent="0.3">
      <c r="A5390" s="12"/>
    </row>
    <row r="5391" spans="1:1" x14ac:dyDescent="0.3">
      <c r="A5391" s="12"/>
    </row>
    <row r="5392" spans="1:1" x14ac:dyDescent="0.3">
      <c r="A5392" s="12"/>
    </row>
    <row r="5393" spans="1:1" x14ac:dyDescent="0.3">
      <c r="A5393" s="12"/>
    </row>
    <row r="5394" spans="1:1" x14ac:dyDescent="0.3">
      <c r="A5394" s="12"/>
    </row>
    <row r="5395" spans="1:1" x14ac:dyDescent="0.3">
      <c r="A5395" s="12"/>
    </row>
    <row r="5396" spans="1:1" x14ac:dyDescent="0.3">
      <c r="A5396" s="12"/>
    </row>
    <row r="5397" spans="1:1" x14ac:dyDescent="0.3">
      <c r="A5397" s="12"/>
    </row>
    <row r="5398" spans="1:1" x14ac:dyDescent="0.3">
      <c r="A5398" s="12"/>
    </row>
    <row r="5399" spans="1:1" x14ac:dyDescent="0.3">
      <c r="A5399" s="12"/>
    </row>
    <row r="5400" spans="1:1" x14ac:dyDescent="0.3">
      <c r="A5400" s="12"/>
    </row>
    <row r="5401" spans="1:1" x14ac:dyDescent="0.3">
      <c r="A5401" s="12"/>
    </row>
    <row r="5402" spans="1:1" x14ac:dyDescent="0.3">
      <c r="A5402" s="12"/>
    </row>
    <row r="5403" spans="1:1" x14ac:dyDescent="0.3">
      <c r="A5403" s="12"/>
    </row>
    <row r="5404" spans="1:1" x14ac:dyDescent="0.3">
      <c r="A5404" s="12"/>
    </row>
    <row r="5405" spans="1:1" x14ac:dyDescent="0.3">
      <c r="A5405" s="12"/>
    </row>
    <row r="5406" spans="1:1" x14ac:dyDescent="0.3">
      <c r="A5406" s="12"/>
    </row>
    <row r="5407" spans="1:1" x14ac:dyDescent="0.3">
      <c r="A5407" s="12"/>
    </row>
    <row r="5408" spans="1:1" x14ac:dyDescent="0.3">
      <c r="A5408" s="12"/>
    </row>
    <row r="5409" spans="1:1" x14ac:dyDescent="0.3">
      <c r="A5409" s="12"/>
    </row>
    <row r="5410" spans="1:1" x14ac:dyDescent="0.3">
      <c r="A5410" s="12"/>
    </row>
    <row r="5411" spans="1:1" x14ac:dyDescent="0.3">
      <c r="A5411" s="12"/>
    </row>
    <row r="5412" spans="1:1" x14ac:dyDescent="0.3">
      <c r="A5412" s="12"/>
    </row>
    <row r="5413" spans="1:1" x14ac:dyDescent="0.3">
      <c r="A5413" s="12"/>
    </row>
    <row r="5414" spans="1:1" x14ac:dyDescent="0.3">
      <c r="A5414" s="12"/>
    </row>
    <row r="5415" spans="1:1" x14ac:dyDescent="0.3">
      <c r="A5415" s="12"/>
    </row>
    <row r="5416" spans="1:1" x14ac:dyDescent="0.3">
      <c r="A5416" s="12"/>
    </row>
    <row r="5417" spans="1:1" x14ac:dyDescent="0.3">
      <c r="A5417" s="12"/>
    </row>
    <row r="5418" spans="1:1" x14ac:dyDescent="0.3">
      <c r="A5418" s="12"/>
    </row>
    <row r="5419" spans="1:1" x14ac:dyDescent="0.3">
      <c r="A5419" s="12"/>
    </row>
    <row r="5420" spans="1:1" x14ac:dyDescent="0.3">
      <c r="A5420" s="12"/>
    </row>
    <row r="5421" spans="1:1" x14ac:dyDescent="0.3">
      <c r="A5421" s="12"/>
    </row>
    <row r="5422" spans="1:1" x14ac:dyDescent="0.3">
      <c r="A5422" s="12"/>
    </row>
    <row r="5423" spans="1:1" x14ac:dyDescent="0.3">
      <c r="A5423" s="12"/>
    </row>
    <row r="5424" spans="1:1" x14ac:dyDescent="0.3">
      <c r="A5424" s="12"/>
    </row>
    <row r="5425" spans="1:1" x14ac:dyDescent="0.3">
      <c r="A5425" s="12"/>
    </row>
    <row r="5426" spans="1:1" x14ac:dyDescent="0.3">
      <c r="A5426" s="12"/>
    </row>
    <row r="5427" spans="1:1" x14ac:dyDescent="0.3">
      <c r="A5427" s="12"/>
    </row>
    <row r="5428" spans="1:1" x14ac:dyDescent="0.3">
      <c r="A5428" s="12"/>
    </row>
    <row r="5429" spans="1:1" x14ac:dyDescent="0.3">
      <c r="A5429" s="12"/>
    </row>
    <row r="5430" spans="1:1" x14ac:dyDescent="0.3">
      <c r="A5430" s="12"/>
    </row>
    <row r="5431" spans="1:1" x14ac:dyDescent="0.3">
      <c r="A5431" s="12"/>
    </row>
    <row r="5432" spans="1:1" x14ac:dyDescent="0.3">
      <c r="A5432" s="12"/>
    </row>
    <row r="5433" spans="1:1" x14ac:dyDescent="0.3">
      <c r="A5433" s="12"/>
    </row>
    <row r="5434" spans="1:1" x14ac:dyDescent="0.3">
      <c r="A5434" s="12"/>
    </row>
    <row r="5435" spans="1:1" x14ac:dyDescent="0.3">
      <c r="A5435" s="12"/>
    </row>
    <row r="5436" spans="1:1" x14ac:dyDescent="0.3">
      <c r="A5436" s="12"/>
    </row>
    <row r="5437" spans="1:1" x14ac:dyDescent="0.3">
      <c r="A5437" s="12"/>
    </row>
    <row r="5438" spans="1:1" x14ac:dyDescent="0.3">
      <c r="A5438" s="12"/>
    </row>
    <row r="5439" spans="1:1" x14ac:dyDescent="0.3">
      <c r="A5439" s="12"/>
    </row>
    <row r="5440" spans="1:1" x14ac:dyDescent="0.3">
      <c r="A5440" s="12"/>
    </row>
    <row r="5441" spans="1:1" x14ac:dyDescent="0.3">
      <c r="A5441" s="12"/>
    </row>
    <row r="5442" spans="1:1" x14ac:dyDescent="0.3">
      <c r="A5442" s="12"/>
    </row>
    <row r="5443" spans="1:1" x14ac:dyDescent="0.3">
      <c r="A5443" s="12"/>
    </row>
    <row r="5444" spans="1:1" x14ac:dyDescent="0.3">
      <c r="A5444" s="12"/>
    </row>
    <row r="5445" spans="1:1" x14ac:dyDescent="0.3">
      <c r="A5445" s="12"/>
    </row>
    <row r="5446" spans="1:1" x14ac:dyDescent="0.3">
      <c r="A5446" s="12"/>
    </row>
    <row r="5447" spans="1:1" x14ac:dyDescent="0.3">
      <c r="A5447" s="12"/>
    </row>
    <row r="5448" spans="1:1" x14ac:dyDescent="0.3">
      <c r="A5448" s="12"/>
    </row>
    <row r="5449" spans="1:1" x14ac:dyDescent="0.3">
      <c r="A5449" s="12"/>
    </row>
    <row r="5450" spans="1:1" x14ac:dyDescent="0.3">
      <c r="A5450" s="12"/>
    </row>
    <row r="5451" spans="1:1" x14ac:dyDescent="0.3">
      <c r="A5451" s="12"/>
    </row>
    <row r="5452" spans="1:1" x14ac:dyDescent="0.3">
      <c r="A5452" s="12"/>
    </row>
    <row r="5453" spans="1:1" x14ac:dyDescent="0.3">
      <c r="A5453" s="12"/>
    </row>
    <row r="5454" spans="1:1" x14ac:dyDescent="0.3">
      <c r="A5454" s="12"/>
    </row>
    <row r="5455" spans="1:1" x14ac:dyDescent="0.3">
      <c r="A5455" s="12"/>
    </row>
    <row r="5456" spans="1:1" x14ac:dyDescent="0.3">
      <c r="A5456" s="12"/>
    </row>
    <row r="5457" spans="1:1" x14ac:dyDescent="0.3">
      <c r="A5457" s="12"/>
    </row>
    <row r="5458" spans="1:1" x14ac:dyDescent="0.3">
      <c r="A5458" s="12"/>
    </row>
    <row r="5459" spans="1:1" x14ac:dyDescent="0.3">
      <c r="A5459" s="12"/>
    </row>
    <row r="5460" spans="1:1" x14ac:dyDescent="0.3">
      <c r="A5460" s="12"/>
    </row>
    <row r="5461" spans="1:1" x14ac:dyDescent="0.3">
      <c r="A5461" s="12"/>
    </row>
    <row r="5462" spans="1:1" x14ac:dyDescent="0.3">
      <c r="A5462" s="12"/>
    </row>
    <row r="5463" spans="1:1" x14ac:dyDescent="0.3">
      <c r="A5463" s="12"/>
    </row>
    <row r="5464" spans="1:1" x14ac:dyDescent="0.3">
      <c r="A5464" s="12"/>
    </row>
    <row r="5465" spans="1:1" x14ac:dyDescent="0.3">
      <c r="A5465" s="12"/>
    </row>
    <row r="5466" spans="1:1" x14ac:dyDescent="0.3">
      <c r="A5466" s="12"/>
    </row>
    <row r="5467" spans="1:1" x14ac:dyDescent="0.3">
      <c r="A5467" s="12"/>
    </row>
    <row r="5468" spans="1:1" x14ac:dyDescent="0.3">
      <c r="A5468" s="12"/>
    </row>
    <row r="5469" spans="1:1" x14ac:dyDescent="0.3">
      <c r="A5469" s="12"/>
    </row>
    <row r="5470" spans="1:1" x14ac:dyDescent="0.3">
      <c r="A5470" s="12"/>
    </row>
    <row r="5471" spans="1:1" x14ac:dyDescent="0.3">
      <c r="A5471" s="12"/>
    </row>
    <row r="5472" spans="1:1" x14ac:dyDescent="0.3">
      <c r="A5472" s="12"/>
    </row>
    <row r="5473" spans="1:1" x14ac:dyDescent="0.3">
      <c r="A5473" s="12"/>
    </row>
    <row r="5474" spans="1:1" x14ac:dyDescent="0.3">
      <c r="A5474" s="12"/>
    </row>
    <row r="5475" spans="1:1" x14ac:dyDescent="0.3">
      <c r="A5475" s="12"/>
    </row>
    <row r="5476" spans="1:1" x14ac:dyDescent="0.3">
      <c r="A5476" s="12"/>
    </row>
    <row r="5477" spans="1:1" x14ac:dyDescent="0.3">
      <c r="A5477" s="12"/>
    </row>
    <row r="5478" spans="1:1" x14ac:dyDescent="0.3">
      <c r="A5478" s="12"/>
    </row>
    <row r="5479" spans="1:1" x14ac:dyDescent="0.3">
      <c r="A5479" s="12"/>
    </row>
    <row r="5480" spans="1:1" x14ac:dyDescent="0.3">
      <c r="A5480" s="12"/>
    </row>
    <row r="5481" spans="1:1" x14ac:dyDescent="0.3">
      <c r="A5481" s="12"/>
    </row>
    <row r="5482" spans="1:1" x14ac:dyDescent="0.3">
      <c r="A5482" s="12"/>
    </row>
    <row r="5483" spans="1:1" x14ac:dyDescent="0.3">
      <c r="A5483" s="12"/>
    </row>
    <row r="5484" spans="1:1" x14ac:dyDescent="0.3">
      <c r="A5484" s="12"/>
    </row>
    <row r="5485" spans="1:1" x14ac:dyDescent="0.3">
      <c r="A5485" s="12"/>
    </row>
    <row r="5486" spans="1:1" x14ac:dyDescent="0.3">
      <c r="A5486" s="12"/>
    </row>
    <row r="5487" spans="1:1" x14ac:dyDescent="0.3">
      <c r="A5487" s="12"/>
    </row>
    <row r="5488" spans="1:1" x14ac:dyDescent="0.3">
      <c r="A5488" s="12"/>
    </row>
    <row r="5489" spans="1:1" x14ac:dyDescent="0.3">
      <c r="A5489" s="12"/>
    </row>
    <row r="5490" spans="1:1" x14ac:dyDescent="0.3">
      <c r="A5490" s="12"/>
    </row>
    <row r="5491" spans="1:1" x14ac:dyDescent="0.3">
      <c r="A5491" s="12"/>
    </row>
    <row r="5492" spans="1:1" x14ac:dyDescent="0.3">
      <c r="A5492" s="12"/>
    </row>
    <row r="5493" spans="1:1" x14ac:dyDescent="0.3">
      <c r="A5493" s="12"/>
    </row>
    <row r="5494" spans="1:1" x14ac:dyDescent="0.3">
      <c r="A5494" s="12"/>
    </row>
    <row r="5495" spans="1:1" x14ac:dyDescent="0.3">
      <c r="A5495" s="12"/>
    </row>
    <row r="5496" spans="1:1" x14ac:dyDescent="0.3">
      <c r="A5496" s="12"/>
    </row>
    <row r="5497" spans="1:1" x14ac:dyDescent="0.3">
      <c r="A5497" s="12"/>
    </row>
    <row r="5498" spans="1:1" x14ac:dyDescent="0.3">
      <c r="A5498" s="12"/>
    </row>
    <row r="5499" spans="1:1" x14ac:dyDescent="0.3">
      <c r="A5499" s="12"/>
    </row>
    <row r="5500" spans="1:1" x14ac:dyDescent="0.3">
      <c r="A5500" s="12"/>
    </row>
    <row r="5501" spans="1:1" x14ac:dyDescent="0.3">
      <c r="A5501" s="12"/>
    </row>
    <row r="5502" spans="1:1" x14ac:dyDescent="0.3">
      <c r="A5502" s="12"/>
    </row>
    <row r="5503" spans="1:1" x14ac:dyDescent="0.3">
      <c r="A5503" s="12"/>
    </row>
    <row r="5504" spans="1:1" x14ac:dyDescent="0.3">
      <c r="A5504" s="12"/>
    </row>
    <row r="5505" spans="1:1" x14ac:dyDescent="0.3">
      <c r="A5505" s="12"/>
    </row>
    <row r="5506" spans="1:1" x14ac:dyDescent="0.3">
      <c r="A5506" s="12"/>
    </row>
    <row r="5507" spans="1:1" x14ac:dyDescent="0.3">
      <c r="A5507" s="12"/>
    </row>
    <row r="5508" spans="1:1" x14ac:dyDescent="0.3">
      <c r="A5508" s="12"/>
    </row>
    <row r="5509" spans="1:1" x14ac:dyDescent="0.3">
      <c r="A5509" s="12"/>
    </row>
    <row r="5510" spans="1:1" x14ac:dyDescent="0.3">
      <c r="A5510" s="12"/>
    </row>
    <row r="5511" spans="1:1" x14ac:dyDescent="0.3">
      <c r="A5511" s="12"/>
    </row>
    <row r="5512" spans="1:1" x14ac:dyDescent="0.3">
      <c r="A5512" s="12"/>
    </row>
    <row r="5513" spans="1:1" x14ac:dyDescent="0.3">
      <c r="A5513" s="12"/>
    </row>
    <row r="5514" spans="1:1" x14ac:dyDescent="0.3">
      <c r="A5514" s="12"/>
    </row>
    <row r="5515" spans="1:1" x14ac:dyDescent="0.3">
      <c r="A5515" s="12"/>
    </row>
    <row r="5516" spans="1:1" x14ac:dyDescent="0.3">
      <c r="A5516" s="12"/>
    </row>
    <row r="5517" spans="1:1" x14ac:dyDescent="0.3">
      <c r="A5517" s="12"/>
    </row>
    <row r="5518" spans="1:1" x14ac:dyDescent="0.3">
      <c r="A5518" s="12"/>
    </row>
    <row r="5519" spans="1:1" x14ac:dyDescent="0.3">
      <c r="A5519" s="12"/>
    </row>
    <row r="5520" spans="1:1" x14ac:dyDescent="0.3">
      <c r="A5520" s="12"/>
    </row>
    <row r="5521" spans="1:1" x14ac:dyDescent="0.3">
      <c r="A5521" s="12"/>
    </row>
    <row r="5522" spans="1:1" x14ac:dyDescent="0.3">
      <c r="A5522" s="12"/>
    </row>
    <row r="5523" spans="1:1" x14ac:dyDescent="0.3">
      <c r="A5523" s="12"/>
    </row>
    <row r="5524" spans="1:1" x14ac:dyDescent="0.3">
      <c r="A5524" s="12"/>
    </row>
    <row r="5525" spans="1:1" x14ac:dyDescent="0.3">
      <c r="A5525" s="12"/>
    </row>
    <row r="5526" spans="1:1" x14ac:dyDescent="0.3">
      <c r="A5526" s="12"/>
    </row>
    <row r="5527" spans="1:1" x14ac:dyDescent="0.3">
      <c r="A5527" s="12"/>
    </row>
    <row r="5528" spans="1:1" x14ac:dyDescent="0.3">
      <c r="A5528" s="12"/>
    </row>
    <row r="5529" spans="1:1" x14ac:dyDescent="0.3">
      <c r="A5529" s="12"/>
    </row>
    <row r="5530" spans="1:1" x14ac:dyDescent="0.3">
      <c r="A5530" s="12"/>
    </row>
    <row r="5531" spans="1:1" x14ac:dyDescent="0.3">
      <c r="A5531" s="12"/>
    </row>
    <row r="5532" spans="1:1" x14ac:dyDescent="0.3">
      <c r="A5532" s="12"/>
    </row>
    <row r="5533" spans="1:1" x14ac:dyDescent="0.3">
      <c r="A5533" s="12"/>
    </row>
    <row r="5534" spans="1:1" x14ac:dyDescent="0.3">
      <c r="A5534" s="12"/>
    </row>
    <row r="5535" spans="1:1" x14ac:dyDescent="0.3">
      <c r="A5535" s="12"/>
    </row>
    <row r="5536" spans="1:1" x14ac:dyDescent="0.3">
      <c r="A5536" s="12"/>
    </row>
    <row r="5537" spans="1:1" x14ac:dyDescent="0.3">
      <c r="A5537" s="12"/>
    </row>
    <row r="5538" spans="1:1" x14ac:dyDescent="0.3">
      <c r="A5538" s="12"/>
    </row>
    <row r="5539" spans="1:1" x14ac:dyDescent="0.3">
      <c r="A5539" s="12"/>
    </row>
    <row r="5540" spans="1:1" x14ac:dyDescent="0.3">
      <c r="A5540" s="12"/>
    </row>
    <row r="5541" spans="1:1" x14ac:dyDescent="0.3">
      <c r="A5541" s="12"/>
    </row>
    <row r="5542" spans="1:1" x14ac:dyDescent="0.3">
      <c r="A5542" s="12"/>
    </row>
    <row r="5543" spans="1:1" x14ac:dyDescent="0.3">
      <c r="A5543" s="12"/>
    </row>
    <row r="5544" spans="1:1" x14ac:dyDescent="0.3">
      <c r="A5544" s="12"/>
    </row>
    <row r="5545" spans="1:1" x14ac:dyDescent="0.3">
      <c r="A5545" s="12"/>
    </row>
    <row r="5546" spans="1:1" x14ac:dyDescent="0.3">
      <c r="A5546" s="12"/>
    </row>
    <row r="5547" spans="1:1" x14ac:dyDescent="0.3">
      <c r="A5547" s="12"/>
    </row>
    <row r="5548" spans="1:1" x14ac:dyDescent="0.3">
      <c r="A5548" s="12"/>
    </row>
    <row r="5549" spans="1:1" x14ac:dyDescent="0.3">
      <c r="A5549" s="12"/>
    </row>
    <row r="5550" spans="1:1" x14ac:dyDescent="0.3">
      <c r="A5550" s="12"/>
    </row>
    <row r="5551" spans="1:1" x14ac:dyDescent="0.3">
      <c r="A5551" s="12"/>
    </row>
    <row r="5552" spans="1:1" x14ac:dyDescent="0.3">
      <c r="A5552" s="12"/>
    </row>
    <row r="5553" spans="1:1" x14ac:dyDescent="0.3">
      <c r="A5553" s="12"/>
    </row>
    <row r="5554" spans="1:1" x14ac:dyDescent="0.3">
      <c r="A5554" s="12"/>
    </row>
    <row r="5555" spans="1:1" x14ac:dyDescent="0.3">
      <c r="A5555" s="12"/>
    </row>
    <row r="5556" spans="1:1" x14ac:dyDescent="0.3">
      <c r="A5556" s="12"/>
    </row>
    <row r="5557" spans="1:1" x14ac:dyDescent="0.3">
      <c r="A5557" s="12"/>
    </row>
    <row r="5558" spans="1:1" x14ac:dyDescent="0.3">
      <c r="A5558" s="12"/>
    </row>
    <row r="5559" spans="1:1" x14ac:dyDescent="0.3">
      <c r="A5559" s="12"/>
    </row>
    <row r="5560" spans="1:1" x14ac:dyDescent="0.3">
      <c r="A5560" s="12"/>
    </row>
    <row r="5561" spans="1:1" x14ac:dyDescent="0.3">
      <c r="A5561" s="12"/>
    </row>
    <row r="5562" spans="1:1" x14ac:dyDescent="0.3">
      <c r="A5562" s="12"/>
    </row>
    <row r="5563" spans="1:1" x14ac:dyDescent="0.3">
      <c r="A5563" s="12"/>
    </row>
    <row r="5564" spans="1:1" x14ac:dyDescent="0.3">
      <c r="A5564" s="12"/>
    </row>
    <row r="5565" spans="1:1" x14ac:dyDescent="0.3">
      <c r="A5565" s="12"/>
    </row>
    <row r="5566" spans="1:1" x14ac:dyDescent="0.3">
      <c r="A5566" s="12"/>
    </row>
    <row r="5567" spans="1:1" x14ac:dyDescent="0.3">
      <c r="A5567" s="12"/>
    </row>
    <row r="5568" spans="1:1" x14ac:dyDescent="0.3">
      <c r="A5568" s="12"/>
    </row>
    <row r="5569" spans="1:1" x14ac:dyDescent="0.3">
      <c r="A5569" s="12"/>
    </row>
    <row r="5570" spans="1:1" x14ac:dyDescent="0.3">
      <c r="A5570" s="12"/>
    </row>
    <row r="5571" spans="1:1" x14ac:dyDescent="0.3">
      <c r="A5571" s="12"/>
    </row>
    <row r="5572" spans="1:1" x14ac:dyDescent="0.3">
      <c r="A5572" s="12"/>
    </row>
    <row r="5573" spans="1:1" x14ac:dyDescent="0.3">
      <c r="A5573" s="12"/>
    </row>
    <row r="5574" spans="1:1" x14ac:dyDescent="0.3">
      <c r="A5574" s="12"/>
    </row>
    <row r="5575" spans="1:1" x14ac:dyDescent="0.3">
      <c r="A5575" s="12"/>
    </row>
    <row r="5576" spans="1:1" x14ac:dyDescent="0.3">
      <c r="A5576" s="12"/>
    </row>
    <row r="5577" spans="1:1" x14ac:dyDescent="0.3">
      <c r="A5577" s="12"/>
    </row>
    <row r="5578" spans="1:1" x14ac:dyDescent="0.3">
      <c r="A5578" s="12"/>
    </row>
    <row r="5579" spans="1:1" x14ac:dyDescent="0.3">
      <c r="A5579" s="12"/>
    </row>
    <row r="5580" spans="1:1" x14ac:dyDescent="0.3">
      <c r="A5580" s="12"/>
    </row>
    <row r="5581" spans="1:1" x14ac:dyDescent="0.3">
      <c r="A5581" s="12"/>
    </row>
    <row r="5582" spans="1:1" x14ac:dyDescent="0.3">
      <c r="A5582" s="12"/>
    </row>
    <row r="5583" spans="1:1" x14ac:dyDescent="0.3">
      <c r="A5583" s="12"/>
    </row>
    <row r="5584" spans="1:1" x14ac:dyDescent="0.3">
      <c r="A5584" s="12"/>
    </row>
    <row r="5585" spans="1:1" x14ac:dyDescent="0.3">
      <c r="A5585" s="12"/>
    </row>
    <row r="5586" spans="1:1" x14ac:dyDescent="0.3">
      <c r="A5586" s="12"/>
    </row>
    <row r="5587" spans="1:1" x14ac:dyDescent="0.3">
      <c r="A5587" s="12"/>
    </row>
    <row r="5588" spans="1:1" x14ac:dyDescent="0.3">
      <c r="A5588" s="12"/>
    </row>
    <row r="5589" spans="1:1" x14ac:dyDescent="0.3">
      <c r="A5589" s="12"/>
    </row>
    <row r="5590" spans="1:1" x14ac:dyDescent="0.3">
      <c r="A5590" s="12"/>
    </row>
    <row r="5591" spans="1:1" x14ac:dyDescent="0.3">
      <c r="A5591" s="12"/>
    </row>
    <row r="5592" spans="1:1" x14ac:dyDescent="0.3">
      <c r="A5592" s="12"/>
    </row>
    <row r="5593" spans="1:1" x14ac:dyDescent="0.3">
      <c r="A5593" s="12"/>
    </row>
    <row r="5594" spans="1:1" x14ac:dyDescent="0.3">
      <c r="A5594" s="12"/>
    </row>
    <row r="5595" spans="1:1" x14ac:dyDescent="0.3">
      <c r="A5595" s="12"/>
    </row>
    <row r="5596" spans="1:1" x14ac:dyDescent="0.3">
      <c r="A5596" s="12"/>
    </row>
    <row r="5597" spans="1:1" x14ac:dyDescent="0.3">
      <c r="A5597" s="12"/>
    </row>
    <row r="5598" spans="1:1" x14ac:dyDescent="0.3">
      <c r="A5598" s="12"/>
    </row>
    <row r="5599" spans="1:1" x14ac:dyDescent="0.3">
      <c r="A5599" s="12"/>
    </row>
    <row r="5600" spans="1:1" x14ac:dyDescent="0.3">
      <c r="A5600" s="12"/>
    </row>
    <row r="5601" spans="1:1" x14ac:dyDescent="0.3">
      <c r="A5601" s="12"/>
    </row>
    <row r="5602" spans="1:1" x14ac:dyDescent="0.3">
      <c r="A5602" s="12"/>
    </row>
    <row r="5603" spans="1:1" x14ac:dyDescent="0.3">
      <c r="A5603" s="12"/>
    </row>
    <row r="5604" spans="1:1" x14ac:dyDescent="0.3">
      <c r="A5604" s="12"/>
    </row>
    <row r="5605" spans="1:1" x14ac:dyDescent="0.3">
      <c r="A5605" s="12"/>
    </row>
    <row r="5606" spans="1:1" x14ac:dyDescent="0.3">
      <c r="A5606" s="12"/>
    </row>
    <row r="5607" spans="1:1" x14ac:dyDescent="0.3">
      <c r="A5607" s="12"/>
    </row>
    <row r="5608" spans="1:1" x14ac:dyDescent="0.3">
      <c r="A5608" s="12"/>
    </row>
    <row r="5609" spans="1:1" x14ac:dyDescent="0.3">
      <c r="A5609" s="12"/>
    </row>
    <row r="5610" spans="1:1" x14ac:dyDescent="0.3">
      <c r="A5610" s="12"/>
    </row>
    <row r="5611" spans="1:1" x14ac:dyDescent="0.3">
      <c r="A5611" s="12"/>
    </row>
    <row r="5612" spans="1:1" x14ac:dyDescent="0.3">
      <c r="A5612" s="12"/>
    </row>
    <row r="5613" spans="1:1" x14ac:dyDescent="0.3">
      <c r="A5613" s="12"/>
    </row>
    <row r="5614" spans="1:1" x14ac:dyDescent="0.3">
      <c r="A5614" s="12"/>
    </row>
    <row r="5615" spans="1:1" x14ac:dyDescent="0.3">
      <c r="A5615" s="12"/>
    </row>
    <row r="5616" spans="1:1" x14ac:dyDescent="0.3">
      <c r="A5616" s="12"/>
    </row>
    <row r="5617" spans="1:1" x14ac:dyDescent="0.3">
      <c r="A5617" s="12"/>
    </row>
    <row r="5618" spans="1:1" x14ac:dyDescent="0.3">
      <c r="A5618" s="12"/>
    </row>
    <row r="5619" spans="1:1" x14ac:dyDescent="0.3">
      <c r="A5619" s="12"/>
    </row>
    <row r="5620" spans="1:1" x14ac:dyDescent="0.3">
      <c r="A5620" s="12"/>
    </row>
    <row r="5621" spans="1:1" x14ac:dyDescent="0.3">
      <c r="A5621" s="12"/>
    </row>
    <row r="5622" spans="1:1" x14ac:dyDescent="0.3">
      <c r="A5622" s="12"/>
    </row>
    <row r="5623" spans="1:1" x14ac:dyDescent="0.3">
      <c r="A5623" s="12"/>
    </row>
    <row r="5624" spans="1:1" x14ac:dyDescent="0.3">
      <c r="A5624" s="12"/>
    </row>
    <row r="5625" spans="1:1" x14ac:dyDescent="0.3">
      <c r="A5625" s="12"/>
    </row>
    <row r="5626" spans="1:1" x14ac:dyDescent="0.3">
      <c r="A5626" s="12"/>
    </row>
    <row r="5627" spans="1:1" x14ac:dyDescent="0.3">
      <c r="A5627" s="12"/>
    </row>
    <row r="5628" spans="1:1" x14ac:dyDescent="0.3">
      <c r="A5628" s="12"/>
    </row>
    <row r="5629" spans="1:1" x14ac:dyDescent="0.3">
      <c r="A5629" s="12"/>
    </row>
    <row r="5630" spans="1:1" x14ac:dyDescent="0.3">
      <c r="A5630" s="12"/>
    </row>
    <row r="5631" spans="1:1" x14ac:dyDescent="0.3">
      <c r="A5631" s="12"/>
    </row>
    <row r="5632" spans="1:1" x14ac:dyDescent="0.3">
      <c r="A5632" s="12"/>
    </row>
    <row r="5633" spans="1:1" x14ac:dyDescent="0.3">
      <c r="A5633" s="12"/>
    </row>
    <row r="5634" spans="1:1" x14ac:dyDescent="0.3">
      <c r="A5634" s="12"/>
    </row>
    <row r="5635" spans="1:1" x14ac:dyDescent="0.3">
      <c r="A5635" s="12"/>
    </row>
    <row r="5636" spans="1:1" x14ac:dyDescent="0.3">
      <c r="A5636" s="12"/>
    </row>
    <row r="5637" spans="1:1" x14ac:dyDescent="0.3">
      <c r="A5637" s="12"/>
    </row>
    <row r="5638" spans="1:1" x14ac:dyDescent="0.3">
      <c r="A5638" s="12"/>
    </row>
    <row r="5639" spans="1:1" x14ac:dyDescent="0.3">
      <c r="A5639" s="12"/>
    </row>
    <row r="5640" spans="1:1" x14ac:dyDescent="0.3">
      <c r="A5640" s="12"/>
    </row>
    <row r="5641" spans="1:1" x14ac:dyDescent="0.3">
      <c r="A5641" s="12"/>
    </row>
    <row r="5642" spans="1:1" x14ac:dyDescent="0.3">
      <c r="A5642" s="12"/>
    </row>
    <row r="5643" spans="1:1" x14ac:dyDescent="0.3">
      <c r="A5643" s="12"/>
    </row>
    <row r="5644" spans="1:1" x14ac:dyDescent="0.3">
      <c r="A5644" s="12"/>
    </row>
    <row r="5645" spans="1:1" x14ac:dyDescent="0.3">
      <c r="A5645" s="12"/>
    </row>
    <row r="5646" spans="1:1" x14ac:dyDescent="0.3">
      <c r="A5646" s="12"/>
    </row>
    <row r="5647" spans="1:1" x14ac:dyDescent="0.3">
      <c r="A5647" s="12"/>
    </row>
    <row r="5648" spans="1:1" x14ac:dyDescent="0.3">
      <c r="A5648" s="12"/>
    </row>
    <row r="5649" spans="1:1" x14ac:dyDescent="0.3">
      <c r="A5649" s="12"/>
    </row>
    <row r="5650" spans="1:1" x14ac:dyDescent="0.3">
      <c r="A5650" s="12"/>
    </row>
    <row r="5651" spans="1:1" x14ac:dyDescent="0.3">
      <c r="A5651" s="12"/>
    </row>
    <row r="5652" spans="1:1" x14ac:dyDescent="0.3">
      <c r="A5652" s="12"/>
    </row>
    <row r="5653" spans="1:1" x14ac:dyDescent="0.3">
      <c r="A5653" s="12"/>
    </row>
    <row r="5654" spans="1:1" x14ac:dyDescent="0.3">
      <c r="A5654" s="12"/>
    </row>
    <row r="5655" spans="1:1" x14ac:dyDescent="0.3">
      <c r="A5655" s="12"/>
    </row>
    <row r="5656" spans="1:1" x14ac:dyDescent="0.3">
      <c r="A5656" s="12"/>
    </row>
    <row r="5657" spans="1:1" x14ac:dyDescent="0.3">
      <c r="A5657" s="12"/>
    </row>
    <row r="5658" spans="1:1" x14ac:dyDescent="0.3">
      <c r="A5658" s="12"/>
    </row>
    <row r="5659" spans="1:1" x14ac:dyDescent="0.3">
      <c r="A5659" s="12"/>
    </row>
    <row r="5660" spans="1:1" x14ac:dyDescent="0.3">
      <c r="A5660" s="12"/>
    </row>
    <row r="5661" spans="1:1" x14ac:dyDescent="0.3">
      <c r="A5661" s="12"/>
    </row>
    <row r="5662" spans="1:1" x14ac:dyDescent="0.3">
      <c r="A5662" s="12"/>
    </row>
    <row r="5663" spans="1:1" x14ac:dyDescent="0.3">
      <c r="A5663" s="12"/>
    </row>
    <row r="5664" spans="1:1" x14ac:dyDescent="0.3">
      <c r="A5664" s="12"/>
    </row>
    <row r="5665" spans="1:1" x14ac:dyDescent="0.3">
      <c r="A5665" s="12"/>
    </row>
    <row r="5666" spans="1:1" x14ac:dyDescent="0.3">
      <c r="A5666" s="12"/>
    </row>
    <row r="5667" spans="1:1" x14ac:dyDescent="0.3">
      <c r="A5667" s="12"/>
    </row>
    <row r="5668" spans="1:1" x14ac:dyDescent="0.3">
      <c r="A5668" s="12"/>
    </row>
    <row r="5669" spans="1:1" x14ac:dyDescent="0.3">
      <c r="A5669" s="12"/>
    </row>
    <row r="5670" spans="1:1" x14ac:dyDescent="0.3">
      <c r="A5670" s="12"/>
    </row>
    <row r="5671" spans="1:1" x14ac:dyDescent="0.3">
      <c r="A5671" s="12"/>
    </row>
    <row r="5672" spans="1:1" x14ac:dyDescent="0.3">
      <c r="A5672" s="12"/>
    </row>
    <row r="5673" spans="1:1" x14ac:dyDescent="0.3">
      <c r="A5673" s="12"/>
    </row>
    <row r="5674" spans="1:1" x14ac:dyDescent="0.3">
      <c r="A5674" s="12"/>
    </row>
    <row r="5675" spans="1:1" x14ac:dyDescent="0.3">
      <c r="A5675" s="12"/>
    </row>
    <row r="5676" spans="1:1" x14ac:dyDescent="0.3">
      <c r="A5676" s="12"/>
    </row>
    <row r="5677" spans="1:1" x14ac:dyDescent="0.3">
      <c r="A5677" s="12"/>
    </row>
    <row r="5678" spans="1:1" x14ac:dyDescent="0.3">
      <c r="A5678" s="12"/>
    </row>
    <row r="5679" spans="1:1" x14ac:dyDescent="0.3">
      <c r="A5679" s="12"/>
    </row>
    <row r="5680" spans="1:1" x14ac:dyDescent="0.3">
      <c r="A5680" s="12"/>
    </row>
    <row r="5681" spans="1:1" x14ac:dyDescent="0.3">
      <c r="A5681" s="12"/>
    </row>
    <row r="5682" spans="1:1" x14ac:dyDescent="0.3">
      <c r="A5682" s="12"/>
    </row>
    <row r="5683" spans="1:1" x14ac:dyDescent="0.3">
      <c r="A5683" s="12"/>
    </row>
    <row r="5684" spans="1:1" x14ac:dyDescent="0.3">
      <c r="A5684" s="12"/>
    </row>
    <row r="5685" spans="1:1" x14ac:dyDescent="0.3">
      <c r="A5685" s="12"/>
    </row>
    <row r="5686" spans="1:1" x14ac:dyDescent="0.3">
      <c r="A5686" s="12"/>
    </row>
    <row r="5687" spans="1:1" x14ac:dyDescent="0.3">
      <c r="A5687" s="12"/>
    </row>
    <row r="5688" spans="1:1" x14ac:dyDescent="0.3">
      <c r="A5688" s="12"/>
    </row>
    <row r="5689" spans="1:1" x14ac:dyDescent="0.3">
      <c r="A5689" s="12"/>
    </row>
    <row r="5690" spans="1:1" x14ac:dyDescent="0.3">
      <c r="A5690" s="12"/>
    </row>
    <row r="5691" spans="1:1" x14ac:dyDescent="0.3">
      <c r="A5691" s="12"/>
    </row>
    <row r="5692" spans="1:1" x14ac:dyDescent="0.3">
      <c r="A5692" s="12"/>
    </row>
    <row r="5693" spans="1:1" x14ac:dyDescent="0.3">
      <c r="A5693" s="12"/>
    </row>
    <row r="5694" spans="1:1" x14ac:dyDescent="0.3">
      <c r="A5694" s="12"/>
    </row>
    <row r="5695" spans="1:1" x14ac:dyDescent="0.3">
      <c r="A5695" s="12"/>
    </row>
    <row r="5696" spans="1:1" x14ac:dyDescent="0.3">
      <c r="A5696" s="12"/>
    </row>
    <row r="5697" spans="1:1" x14ac:dyDescent="0.3">
      <c r="A5697" s="12"/>
    </row>
    <row r="5698" spans="1:1" x14ac:dyDescent="0.3">
      <c r="A5698" s="12"/>
    </row>
    <row r="5699" spans="1:1" x14ac:dyDescent="0.3">
      <c r="A5699" s="12"/>
    </row>
    <row r="5700" spans="1:1" x14ac:dyDescent="0.3">
      <c r="A5700" s="12"/>
    </row>
    <row r="5701" spans="1:1" x14ac:dyDescent="0.3">
      <c r="A5701" s="12"/>
    </row>
    <row r="5702" spans="1:1" x14ac:dyDescent="0.3">
      <c r="A5702" s="12"/>
    </row>
    <row r="5703" spans="1:1" x14ac:dyDescent="0.3">
      <c r="A5703" s="12"/>
    </row>
    <row r="5704" spans="1:1" x14ac:dyDescent="0.3">
      <c r="A5704" s="12"/>
    </row>
    <row r="5705" spans="1:1" x14ac:dyDescent="0.3">
      <c r="A5705" s="12"/>
    </row>
    <row r="5706" spans="1:1" x14ac:dyDescent="0.3">
      <c r="A5706" s="12"/>
    </row>
    <row r="5707" spans="1:1" x14ac:dyDescent="0.3">
      <c r="A5707" s="12"/>
    </row>
    <row r="5708" spans="1:1" x14ac:dyDescent="0.3">
      <c r="A5708" s="12"/>
    </row>
    <row r="5709" spans="1:1" x14ac:dyDescent="0.3">
      <c r="A5709" s="12"/>
    </row>
    <row r="5710" spans="1:1" x14ac:dyDescent="0.3">
      <c r="A5710" s="12"/>
    </row>
    <row r="5711" spans="1:1" x14ac:dyDescent="0.3">
      <c r="A5711" s="12"/>
    </row>
    <row r="5712" spans="1:1" x14ac:dyDescent="0.3">
      <c r="A5712" s="12"/>
    </row>
    <row r="5713" spans="1:1" x14ac:dyDescent="0.3">
      <c r="A5713" s="12"/>
    </row>
    <row r="5714" spans="1:1" x14ac:dyDescent="0.3">
      <c r="A5714" s="12"/>
    </row>
    <row r="5715" spans="1:1" x14ac:dyDescent="0.3">
      <c r="A5715" s="12"/>
    </row>
    <row r="5716" spans="1:1" x14ac:dyDescent="0.3">
      <c r="A5716" s="12"/>
    </row>
    <row r="5717" spans="1:1" x14ac:dyDescent="0.3">
      <c r="A5717" s="12"/>
    </row>
    <row r="5718" spans="1:1" x14ac:dyDescent="0.3">
      <c r="A5718" s="12"/>
    </row>
    <row r="5719" spans="1:1" x14ac:dyDescent="0.3">
      <c r="A5719" s="12"/>
    </row>
    <row r="5720" spans="1:1" x14ac:dyDescent="0.3">
      <c r="A5720" s="12"/>
    </row>
    <row r="5721" spans="1:1" x14ac:dyDescent="0.3">
      <c r="A5721" s="12"/>
    </row>
    <row r="5722" spans="1:1" x14ac:dyDescent="0.3">
      <c r="A5722" s="12"/>
    </row>
    <row r="5723" spans="1:1" x14ac:dyDescent="0.3">
      <c r="A5723" s="12"/>
    </row>
    <row r="5724" spans="1:1" x14ac:dyDescent="0.3">
      <c r="A5724" s="12"/>
    </row>
    <row r="5725" spans="1:1" x14ac:dyDescent="0.3">
      <c r="A5725" s="12"/>
    </row>
    <row r="5726" spans="1:1" x14ac:dyDescent="0.3">
      <c r="A5726" s="12"/>
    </row>
    <row r="5727" spans="1:1" x14ac:dyDescent="0.3">
      <c r="A5727" s="12"/>
    </row>
    <row r="5728" spans="1:1" x14ac:dyDescent="0.3">
      <c r="A5728" s="12"/>
    </row>
    <row r="5729" spans="1:1" x14ac:dyDescent="0.3">
      <c r="A5729" s="12"/>
    </row>
    <row r="5730" spans="1:1" x14ac:dyDescent="0.3">
      <c r="A5730" s="12"/>
    </row>
    <row r="5731" spans="1:1" x14ac:dyDescent="0.3">
      <c r="A5731" s="12"/>
    </row>
    <row r="5732" spans="1:1" x14ac:dyDescent="0.3">
      <c r="A5732" s="12"/>
    </row>
    <row r="5733" spans="1:1" x14ac:dyDescent="0.3">
      <c r="A5733" s="12"/>
    </row>
    <row r="5734" spans="1:1" x14ac:dyDescent="0.3">
      <c r="A5734" s="12"/>
    </row>
    <row r="5735" spans="1:1" x14ac:dyDescent="0.3">
      <c r="A5735" s="12"/>
    </row>
    <row r="5736" spans="1:1" x14ac:dyDescent="0.3">
      <c r="A5736" s="12"/>
    </row>
    <row r="5737" spans="1:1" x14ac:dyDescent="0.3">
      <c r="A5737" s="12"/>
    </row>
    <row r="5738" spans="1:1" x14ac:dyDescent="0.3">
      <c r="A5738" s="12"/>
    </row>
    <row r="5739" spans="1:1" x14ac:dyDescent="0.3">
      <c r="A5739" s="12"/>
    </row>
    <row r="5740" spans="1:1" x14ac:dyDescent="0.3">
      <c r="A5740" s="12"/>
    </row>
    <row r="5741" spans="1:1" x14ac:dyDescent="0.3">
      <c r="A5741" s="12"/>
    </row>
    <row r="5742" spans="1:1" x14ac:dyDescent="0.3">
      <c r="A5742" s="12"/>
    </row>
    <row r="5743" spans="1:1" x14ac:dyDescent="0.3">
      <c r="A5743" s="12"/>
    </row>
    <row r="5744" spans="1:1" x14ac:dyDescent="0.3">
      <c r="A5744" s="12"/>
    </row>
    <row r="5745" spans="1:1" x14ac:dyDescent="0.3">
      <c r="A5745" s="12"/>
    </row>
    <row r="5746" spans="1:1" x14ac:dyDescent="0.3">
      <c r="A5746" s="12"/>
    </row>
    <row r="5747" spans="1:1" x14ac:dyDescent="0.3">
      <c r="A5747" s="12"/>
    </row>
    <row r="5748" spans="1:1" x14ac:dyDescent="0.3">
      <c r="A5748" s="12"/>
    </row>
    <row r="5749" spans="1:1" x14ac:dyDescent="0.3">
      <c r="A5749" s="12"/>
    </row>
    <row r="5750" spans="1:1" x14ac:dyDescent="0.3">
      <c r="A5750" s="12"/>
    </row>
    <row r="5751" spans="1:1" x14ac:dyDescent="0.3">
      <c r="A5751" s="12"/>
    </row>
    <row r="5752" spans="1:1" x14ac:dyDescent="0.3">
      <c r="A5752" s="12"/>
    </row>
    <row r="5753" spans="1:1" x14ac:dyDescent="0.3">
      <c r="A5753" s="12"/>
    </row>
    <row r="5754" spans="1:1" x14ac:dyDescent="0.3">
      <c r="A5754" s="12"/>
    </row>
    <row r="5755" spans="1:1" x14ac:dyDescent="0.3">
      <c r="A5755" s="12"/>
    </row>
    <row r="5756" spans="1:1" x14ac:dyDescent="0.3">
      <c r="A5756" s="12"/>
    </row>
    <row r="5757" spans="1:1" x14ac:dyDescent="0.3">
      <c r="A5757" s="12"/>
    </row>
    <row r="5758" spans="1:1" x14ac:dyDescent="0.3">
      <c r="A5758" s="12"/>
    </row>
    <row r="5759" spans="1:1" x14ac:dyDescent="0.3">
      <c r="A5759" s="12"/>
    </row>
    <row r="5760" spans="1:1" x14ac:dyDescent="0.3">
      <c r="A5760" s="12"/>
    </row>
    <row r="5761" spans="1:1" x14ac:dyDescent="0.3">
      <c r="A5761" s="12"/>
    </row>
    <row r="5762" spans="1:1" x14ac:dyDescent="0.3">
      <c r="A5762" s="12"/>
    </row>
    <row r="5763" spans="1:1" x14ac:dyDescent="0.3">
      <c r="A5763" s="12"/>
    </row>
    <row r="5764" spans="1:1" x14ac:dyDescent="0.3">
      <c r="A5764" s="12"/>
    </row>
    <row r="5765" spans="1:1" x14ac:dyDescent="0.3">
      <c r="A5765" s="12"/>
    </row>
    <row r="5766" spans="1:1" x14ac:dyDescent="0.3">
      <c r="A5766" s="12"/>
    </row>
    <row r="5767" spans="1:1" x14ac:dyDescent="0.3">
      <c r="A5767" s="12"/>
    </row>
    <row r="5768" spans="1:1" x14ac:dyDescent="0.3">
      <c r="A5768" s="12"/>
    </row>
    <row r="5769" spans="1:1" x14ac:dyDescent="0.3">
      <c r="A5769" s="12"/>
    </row>
    <row r="5770" spans="1:1" x14ac:dyDescent="0.3">
      <c r="A5770" s="12"/>
    </row>
    <row r="5771" spans="1:1" x14ac:dyDescent="0.3">
      <c r="A5771" s="12"/>
    </row>
    <row r="5772" spans="1:1" x14ac:dyDescent="0.3">
      <c r="A5772" s="12"/>
    </row>
    <row r="5773" spans="1:1" x14ac:dyDescent="0.3">
      <c r="A5773" s="12"/>
    </row>
    <row r="5774" spans="1:1" x14ac:dyDescent="0.3">
      <c r="A5774" s="12"/>
    </row>
    <row r="5775" spans="1:1" x14ac:dyDescent="0.3">
      <c r="A5775" s="12"/>
    </row>
    <row r="5776" spans="1:1" x14ac:dyDescent="0.3">
      <c r="A5776" s="12"/>
    </row>
    <row r="5777" spans="1:1" x14ac:dyDescent="0.3">
      <c r="A5777" s="12"/>
    </row>
    <row r="5778" spans="1:1" x14ac:dyDescent="0.3">
      <c r="A5778" s="12"/>
    </row>
    <row r="5779" spans="1:1" x14ac:dyDescent="0.3">
      <c r="A5779" s="12"/>
    </row>
    <row r="5780" spans="1:1" x14ac:dyDescent="0.3">
      <c r="A5780" s="12"/>
    </row>
    <row r="5781" spans="1:1" x14ac:dyDescent="0.3">
      <c r="A5781" s="12"/>
    </row>
    <row r="5782" spans="1:1" x14ac:dyDescent="0.3">
      <c r="A5782" s="12"/>
    </row>
    <row r="5783" spans="1:1" x14ac:dyDescent="0.3">
      <c r="A5783" s="12"/>
    </row>
    <row r="5784" spans="1:1" x14ac:dyDescent="0.3">
      <c r="A5784" s="12"/>
    </row>
    <row r="5785" spans="1:1" x14ac:dyDescent="0.3">
      <c r="A5785" s="12"/>
    </row>
    <row r="5786" spans="1:1" x14ac:dyDescent="0.3">
      <c r="A5786" s="12"/>
    </row>
    <row r="5787" spans="1:1" x14ac:dyDescent="0.3">
      <c r="A5787" s="12"/>
    </row>
    <row r="5788" spans="1:1" x14ac:dyDescent="0.3">
      <c r="A5788" s="12"/>
    </row>
    <row r="5789" spans="1:1" x14ac:dyDescent="0.3">
      <c r="A5789" s="12"/>
    </row>
    <row r="5790" spans="1:1" x14ac:dyDescent="0.3">
      <c r="A5790" s="12"/>
    </row>
    <row r="5791" spans="1:1" x14ac:dyDescent="0.3">
      <c r="A5791" s="12"/>
    </row>
    <row r="5792" spans="1:1" x14ac:dyDescent="0.3">
      <c r="A5792" s="12"/>
    </row>
    <row r="5793" spans="1:1" x14ac:dyDescent="0.3">
      <c r="A5793" s="12"/>
    </row>
    <row r="5794" spans="1:1" x14ac:dyDescent="0.3">
      <c r="A5794" s="12"/>
    </row>
    <row r="5795" spans="1:1" x14ac:dyDescent="0.3">
      <c r="A5795" s="12"/>
    </row>
    <row r="5796" spans="1:1" x14ac:dyDescent="0.3">
      <c r="A5796" s="12"/>
    </row>
    <row r="5797" spans="1:1" x14ac:dyDescent="0.3">
      <c r="A5797" s="12"/>
    </row>
    <row r="5798" spans="1:1" x14ac:dyDescent="0.3">
      <c r="A5798" s="12"/>
    </row>
    <row r="5799" spans="1:1" x14ac:dyDescent="0.3">
      <c r="A5799" s="12"/>
    </row>
    <row r="5800" spans="1:1" x14ac:dyDescent="0.3">
      <c r="A5800" s="12"/>
    </row>
    <row r="5801" spans="1:1" x14ac:dyDescent="0.3">
      <c r="A5801" s="12"/>
    </row>
    <row r="5802" spans="1:1" x14ac:dyDescent="0.3">
      <c r="A5802" s="12"/>
    </row>
    <row r="5803" spans="1:1" x14ac:dyDescent="0.3">
      <c r="A5803" s="12"/>
    </row>
    <row r="5804" spans="1:1" x14ac:dyDescent="0.3">
      <c r="A5804" s="12"/>
    </row>
    <row r="5805" spans="1:1" x14ac:dyDescent="0.3">
      <c r="A5805" s="12"/>
    </row>
    <row r="5806" spans="1:1" x14ac:dyDescent="0.3">
      <c r="A5806" s="12"/>
    </row>
    <row r="5807" spans="1:1" x14ac:dyDescent="0.3">
      <c r="A5807" s="12"/>
    </row>
    <row r="5808" spans="1:1" x14ac:dyDescent="0.3">
      <c r="A5808" s="12"/>
    </row>
    <row r="5809" spans="1:1" x14ac:dyDescent="0.3">
      <c r="A5809" s="12"/>
    </row>
    <row r="5810" spans="1:1" x14ac:dyDescent="0.3">
      <c r="A5810" s="12"/>
    </row>
    <row r="5811" spans="1:1" x14ac:dyDescent="0.3">
      <c r="A5811" s="12"/>
    </row>
    <row r="5812" spans="1:1" x14ac:dyDescent="0.3">
      <c r="A5812" s="12"/>
    </row>
    <row r="5813" spans="1:1" x14ac:dyDescent="0.3">
      <c r="A5813" s="12"/>
    </row>
    <row r="5814" spans="1:1" x14ac:dyDescent="0.3">
      <c r="A5814" s="12"/>
    </row>
    <row r="5815" spans="1:1" x14ac:dyDescent="0.3">
      <c r="A5815" s="12"/>
    </row>
    <row r="5816" spans="1:1" x14ac:dyDescent="0.3">
      <c r="A5816" s="12"/>
    </row>
    <row r="5817" spans="1:1" x14ac:dyDescent="0.3">
      <c r="A5817" s="12"/>
    </row>
    <row r="5818" spans="1:1" x14ac:dyDescent="0.3">
      <c r="A5818" s="12"/>
    </row>
    <row r="5819" spans="1:1" x14ac:dyDescent="0.3">
      <c r="A5819" s="12"/>
    </row>
    <row r="5820" spans="1:1" x14ac:dyDescent="0.3">
      <c r="A5820" s="12"/>
    </row>
    <row r="5821" spans="1:1" x14ac:dyDescent="0.3">
      <c r="A5821" s="12"/>
    </row>
    <row r="5822" spans="1:1" x14ac:dyDescent="0.3">
      <c r="A5822" s="12"/>
    </row>
    <row r="5823" spans="1:1" x14ac:dyDescent="0.3">
      <c r="A5823" s="12"/>
    </row>
    <row r="5824" spans="1:1" x14ac:dyDescent="0.3">
      <c r="A5824" s="12"/>
    </row>
    <row r="5825" spans="1:1" x14ac:dyDescent="0.3">
      <c r="A5825" s="12"/>
    </row>
    <row r="5826" spans="1:1" x14ac:dyDescent="0.3">
      <c r="A5826" s="12"/>
    </row>
    <row r="5827" spans="1:1" x14ac:dyDescent="0.3">
      <c r="A5827" s="12"/>
    </row>
    <row r="5828" spans="1:1" x14ac:dyDescent="0.3">
      <c r="A5828" s="12"/>
    </row>
    <row r="5829" spans="1:1" x14ac:dyDescent="0.3">
      <c r="A5829" s="12"/>
    </row>
    <row r="5830" spans="1:1" x14ac:dyDescent="0.3">
      <c r="A5830" s="12"/>
    </row>
    <row r="5831" spans="1:1" x14ac:dyDescent="0.3">
      <c r="A5831" s="12"/>
    </row>
    <row r="5832" spans="1:1" x14ac:dyDescent="0.3">
      <c r="A5832" s="12"/>
    </row>
    <row r="5833" spans="1:1" x14ac:dyDescent="0.3">
      <c r="A5833" s="12"/>
    </row>
    <row r="5834" spans="1:1" x14ac:dyDescent="0.3">
      <c r="A5834" s="12"/>
    </row>
    <row r="5835" spans="1:1" x14ac:dyDescent="0.3">
      <c r="A5835" s="12"/>
    </row>
    <row r="5836" spans="1:1" x14ac:dyDescent="0.3">
      <c r="A5836" s="12"/>
    </row>
    <row r="5837" spans="1:1" x14ac:dyDescent="0.3">
      <c r="A5837" s="12"/>
    </row>
    <row r="5838" spans="1:1" x14ac:dyDescent="0.3">
      <c r="A5838" s="12"/>
    </row>
    <row r="5839" spans="1:1" x14ac:dyDescent="0.3">
      <c r="A5839" s="12"/>
    </row>
    <row r="5840" spans="1:1" x14ac:dyDescent="0.3">
      <c r="A5840" s="12"/>
    </row>
    <row r="5841" spans="1:1" x14ac:dyDescent="0.3">
      <c r="A5841" s="12"/>
    </row>
    <row r="5842" spans="1:1" x14ac:dyDescent="0.3">
      <c r="A5842" s="12"/>
    </row>
    <row r="5843" spans="1:1" x14ac:dyDescent="0.3">
      <c r="A5843" s="12"/>
    </row>
    <row r="5844" spans="1:1" x14ac:dyDescent="0.3">
      <c r="A5844" s="12"/>
    </row>
    <row r="5845" spans="1:1" x14ac:dyDescent="0.3">
      <c r="A5845" s="12"/>
    </row>
    <row r="5846" spans="1:1" x14ac:dyDescent="0.3">
      <c r="A5846" s="12"/>
    </row>
    <row r="5847" spans="1:1" x14ac:dyDescent="0.3">
      <c r="A5847" s="12"/>
    </row>
    <row r="5848" spans="1:1" x14ac:dyDescent="0.3">
      <c r="A5848" s="12"/>
    </row>
    <row r="5849" spans="1:1" x14ac:dyDescent="0.3">
      <c r="A5849" s="12"/>
    </row>
    <row r="5850" spans="1:1" x14ac:dyDescent="0.3">
      <c r="A5850" s="12"/>
    </row>
    <row r="5851" spans="1:1" x14ac:dyDescent="0.3">
      <c r="A5851" s="12"/>
    </row>
    <row r="5852" spans="1:1" x14ac:dyDescent="0.3">
      <c r="A5852" s="12"/>
    </row>
    <row r="5853" spans="1:1" x14ac:dyDescent="0.3">
      <c r="A5853" s="12"/>
    </row>
    <row r="5854" spans="1:1" x14ac:dyDescent="0.3">
      <c r="A5854" s="12"/>
    </row>
    <row r="5855" spans="1:1" x14ac:dyDescent="0.3">
      <c r="A5855" s="12"/>
    </row>
    <row r="5856" spans="1:1" x14ac:dyDescent="0.3">
      <c r="A5856" s="12"/>
    </row>
    <row r="5857" spans="1:1" x14ac:dyDescent="0.3">
      <c r="A5857" s="12"/>
    </row>
    <row r="5858" spans="1:1" x14ac:dyDescent="0.3">
      <c r="A5858" s="12"/>
    </row>
    <row r="5859" spans="1:1" x14ac:dyDescent="0.3">
      <c r="A5859" s="12"/>
    </row>
    <row r="5860" spans="1:1" x14ac:dyDescent="0.3">
      <c r="A5860" s="12"/>
    </row>
    <row r="5861" spans="1:1" x14ac:dyDescent="0.3">
      <c r="A5861" s="12"/>
    </row>
    <row r="5862" spans="1:1" x14ac:dyDescent="0.3">
      <c r="A5862" s="12"/>
    </row>
    <row r="5863" spans="1:1" x14ac:dyDescent="0.3">
      <c r="A5863" s="12"/>
    </row>
    <row r="5864" spans="1:1" x14ac:dyDescent="0.3">
      <c r="A5864" s="12"/>
    </row>
    <row r="5865" spans="1:1" x14ac:dyDescent="0.3">
      <c r="A5865" s="12"/>
    </row>
    <row r="5866" spans="1:1" x14ac:dyDescent="0.3">
      <c r="A5866" s="12"/>
    </row>
    <row r="5867" spans="1:1" x14ac:dyDescent="0.3">
      <c r="A5867" s="12"/>
    </row>
    <row r="5868" spans="1:1" x14ac:dyDescent="0.3">
      <c r="A5868" s="12"/>
    </row>
    <row r="5869" spans="1:1" x14ac:dyDescent="0.3">
      <c r="A5869" s="12"/>
    </row>
    <row r="5870" spans="1:1" x14ac:dyDescent="0.3">
      <c r="A5870" s="12"/>
    </row>
    <row r="5871" spans="1:1" x14ac:dyDescent="0.3">
      <c r="A5871" s="12"/>
    </row>
    <row r="5872" spans="1:1" x14ac:dyDescent="0.3">
      <c r="A5872" s="12"/>
    </row>
    <row r="5873" spans="1:1" x14ac:dyDescent="0.3">
      <c r="A5873" s="12"/>
    </row>
    <row r="5874" spans="1:1" x14ac:dyDescent="0.3">
      <c r="A5874" s="12"/>
    </row>
    <row r="5875" spans="1:1" x14ac:dyDescent="0.3">
      <c r="A5875" s="12"/>
    </row>
    <row r="5876" spans="1:1" x14ac:dyDescent="0.3">
      <c r="A5876" s="12"/>
    </row>
    <row r="5877" spans="1:1" x14ac:dyDescent="0.3">
      <c r="A5877" s="12"/>
    </row>
    <row r="5878" spans="1:1" x14ac:dyDescent="0.3">
      <c r="A5878" s="12"/>
    </row>
    <row r="5879" spans="1:1" x14ac:dyDescent="0.3">
      <c r="A5879" s="12"/>
    </row>
    <row r="5880" spans="1:1" x14ac:dyDescent="0.3">
      <c r="A5880" s="12"/>
    </row>
    <row r="5881" spans="1:1" x14ac:dyDescent="0.3">
      <c r="A5881" s="12"/>
    </row>
    <row r="5882" spans="1:1" x14ac:dyDescent="0.3">
      <c r="A5882" s="12"/>
    </row>
    <row r="5883" spans="1:1" x14ac:dyDescent="0.3">
      <c r="A5883" s="12"/>
    </row>
    <row r="5884" spans="1:1" x14ac:dyDescent="0.3">
      <c r="A5884" s="12"/>
    </row>
    <row r="5885" spans="1:1" x14ac:dyDescent="0.3">
      <c r="A5885" s="12"/>
    </row>
    <row r="5886" spans="1:1" x14ac:dyDescent="0.3">
      <c r="A5886" s="12"/>
    </row>
    <row r="5887" spans="1:1" x14ac:dyDescent="0.3">
      <c r="A5887" s="12"/>
    </row>
    <row r="5888" spans="1:1" x14ac:dyDescent="0.3">
      <c r="A5888" s="12"/>
    </row>
    <row r="5889" spans="1:1" x14ac:dyDescent="0.3">
      <c r="A5889" s="12"/>
    </row>
    <row r="5890" spans="1:1" x14ac:dyDescent="0.3">
      <c r="A5890" s="12"/>
    </row>
    <row r="5891" spans="1:1" x14ac:dyDescent="0.3">
      <c r="A5891" s="12"/>
    </row>
    <row r="5892" spans="1:1" x14ac:dyDescent="0.3">
      <c r="A5892" s="12"/>
    </row>
    <row r="5893" spans="1:1" x14ac:dyDescent="0.3">
      <c r="A5893" s="12"/>
    </row>
    <row r="5894" spans="1:1" x14ac:dyDescent="0.3">
      <c r="A5894" s="12"/>
    </row>
    <row r="5895" spans="1:1" x14ac:dyDescent="0.3">
      <c r="A5895" s="12"/>
    </row>
    <row r="5896" spans="1:1" x14ac:dyDescent="0.3">
      <c r="A5896" s="12"/>
    </row>
    <row r="5897" spans="1:1" x14ac:dyDescent="0.3">
      <c r="A5897" s="12"/>
    </row>
    <row r="5898" spans="1:1" x14ac:dyDescent="0.3">
      <c r="A5898" s="12"/>
    </row>
    <row r="5899" spans="1:1" x14ac:dyDescent="0.3">
      <c r="A5899" s="12"/>
    </row>
    <row r="5900" spans="1:1" x14ac:dyDescent="0.3">
      <c r="A5900" s="12"/>
    </row>
    <row r="5901" spans="1:1" x14ac:dyDescent="0.3">
      <c r="A5901" s="12"/>
    </row>
    <row r="5902" spans="1:1" x14ac:dyDescent="0.3">
      <c r="A5902" s="12"/>
    </row>
    <row r="5903" spans="1:1" x14ac:dyDescent="0.3">
      <c r="A5903" s="12"/>
    </row>
    <row r="5904" spans="1:1" x14ac:dyDescent="0.3">
      <c r="A5904" s="12"/>
    </row>
    <row r="5905" spans="1:1" x14ac:dyDescent="0.3">
      <c r="A5905" s="12"/>
    </row>
    <row r="5906" spans="1:1" x14ac:dyDescent="0.3">
      <c r="A5906" s="12"/>
    </row>
    <row r="5907" spans="1:1" x14ac:dyDescent="0.3">
      <c r="A5907" s="12"/>
    </row>
    <row r="5908" spans="1:1" x14ac:dyDescent="0.3">
      <c r="A5908" s="12"/>
    </row>
    <row r="5909" spans="1:1" x14ac:dyDescent="0.3">
      <c r="A5909" s="12"/>
    </row>
    <row r="5910" spans="1:1" x14ac:dyDescent="0.3">
      <c r="A5910" s="12"/>
    </row>
    <row r="5911" spans="1:1" x14ac:dyDescent="0.3">
      <c r="A5911" s="12"/>
    </row>
    <row r="5912" spans="1:1" x14ac:dyDescent="0.3">
      <c r="A5912" s="12"/>
    </row>
    <row r="5913" spans="1:1" x14ac:dyDescent="0.3">
      <c r="A5913" s="12"/>
    </row>
    <row r="5914" spans="1:1" x14ac:dyDescent="0.3">
      <c r="A5914" s="12"/>
    </row>
    <row r="5915" spans="1:1" x14ac:dyDescent="0.3">
      <c r="A5915" s="12"/>
    </row>
    <row r="5916" spans="1:1" x14ac:dyDescent="0.3">
      <c r="A5916" s="12"/>
    </row>
    <row r="5917" spans="1:1" x14ac:dyDescent="0.3">
      <c r="A5917" s="12"/>
    </row>
    <row r="5918" spans="1:1" x14ac:dyDescent="0.3">
      <c r="A5918" s="12"/>
    </row>
    <row r="5919" spans="1:1" x14ac:dyDescent="0.3">
      <c r="A5919" s="12"/>
    </row>
    <row r="5920" spans="1:1" x14ac:dyDescent="0.3">
      <c r="A5920" s="12"/>
    </row>
    <row r="5921" spans="1:1" x14ac:dyDescent="0.3">
      <c r="A5921" s="12"/>
    </row>
    <row r="5922" spans="1:1" x14ac:dyDescent="0.3">
      <c r="A5922" s="12"/>
    </row>
    <row r="5923" spans="1:1" x14ac:dyDescent="0.3">
      <c r="A5923" s="12"/>
    </row>
    <row r="5924" spans="1:1" x14ac:dyDescent="0.3">
      <c r="A5924" s="12"/>
    </row>
    <row r="5925" spans="1:1" x14ac:dyDescent="0.3">
      <c r="A5925" s="12"/>
    </row>
    <row r="5926" spans="1:1" x14ac:dyDescent="0.3">
      <c r="A5926" s="12"/>
    </row>
    <row r="5927" spans="1:1" x14ac:dyDescent="0.3">
      <c r="A5927" s="12"/>
    </row>
    <row r="5928" spans="1:1" x14ac:dyDescent="0.3">
      <c r="A5928" s="12"/>
    </row>
    <row r="5929" spans="1:1" x14ac:dyDescent="0.3">
      <c r="A5929" s="12"/>
    </row>
    <row r="5930" spans="1:1" x14ac:dyDescent="0.3">
      <c r="A5930" s="12"/>
    </row>
    <row r="5931" spans="1:1" x14ac:dyDescent="0.3">
      <c r="A5931" s="12"/>
    </row>
    <row r="5932" spans="1:1" x14ac:dyDescent="0.3">
      <c r="A5932" s="12"/>
    </row>
    <row r="5933" spans="1:1" x14ac:dyDescent="0.3">
      <c r="A5933" s="12"/>
    </row>
    <row r="5934" spans="1:1" x14ac:dyDescent="0.3">
      <c r="A5934" s="12"/>
    </row>
    <row r="5935" spans="1:1" x14ac:dyDescent="0.3">
      <c r="A5935" s="12"/>
    </row>
    <row r="5936" spans="1:1" x14ac:dyDescent="0.3">
      <c r="A5936" s="12"/>
    </row>
    <row r="5937" spans="1:1" x14ac:dyDescent="0.3">
      <c r="A5937" s="12"/>
    </row>
    <row r="5938" spans="1:1" x14ac:dyDescent="0.3">
      <c r="A5938" s="12"/>
    </row>
    <row r="5939" spans="1:1" x14ac:dyDescent="0.3">
      <c r="A5939" s="12"/>
    </row>
    <row r="5940" spans="1:1" x14ac:dyDescent="0.3">
      <c r="A5940" s="12"/>
    </row>
    <row r="5941" spans="1:1" x14ac:dyDescent="0.3">
      <c r="A5941" s="12"/>
    </row>
    <row r="5942" spans="1:1" x14ac:dyDescent="0.3">
      <c r="A5942" s="12"/>
    </row>
    <row r="5943" spans="1:1" x14ac:dyDescent="0.3">
      <c r="A5943" s="12"/>
    </row>
    <row r="5944" spans="1:1" x14ac:dyDescent="0.3">
      <c r="A5944" s="12"/>
    </row>
    <row r="5945" spans="1:1" x14ac:dyDescent="0.3">
      <c r="A5945" s="12"/>
    </row>
    <row r="5946" spans="1:1" x14ac:dyDescent="0.3">
      <c r="A5946" s="12"/>
    </row>
    <row r="5947" spans="1:1" x14ac:dyDescent="0.3">
      <c r="A5947" s="12"/>
    </row>
    <row r="5948" spans="1:1" x14ac:dyDescent="0.3">
      <c r="A5948" s="12"/>
    </row>
    <row r="5949" spans="1:1" x14ac:dyDescent="0.3">
      <c r="A5949" s="12"/>
    </row>
    <row r="5950" spans="1:1" x14ac:dyDescent="0.3">
      <c r="A5950" s="12"/>
    </row>
    <row r="5951" spans="1:1" x14ac:dyDescent="0.3">
      <c r="A5951" s="12"/>
    </row>
    <row r="5952" spans="1:1" x14ac:dyDescent="0.3">
      <c r="A5952" s="12"/>
    </row>
    <row r="5953" spans="1:1" x14ac:dyDescent="0.3">
      <c r="A5953" s="12"/>
    </row>
    <row r="5954" spans="1:1" x14ac:dyDescent="0.3">
      <c r="A5954" s="12"/>
    </row>
    <row r="5955" spans="1:1" x14ac:dyDescent="0.3">
      <c r="A5955" s="12"/>
    </row>
    <row r="5956" spans="1:1" x14ac:dyDescent="0.3">
      <c r="A5956" s="12"/>
    </row>
    <row r="5957" spans="1:1" x14ac:dyDescent="0.3">
      <c r="A5957" s="12"/>
    </row>
    <row r="5958" spans="1:1" x14ac:dyDescent="0.3">
      <c r="A5958" s="12"/>
    </row>
    <row r="5959" spans="1:1" x14ac:dyDescent="0.3">
      <c r="A5959" s="12"/>
    </row>
    <row r="5960" spans="1:1" x14ac:dyDescent="0.3">
      <c r="A5960" s="12"/>
    </row>
    <row r="5961" spans="1:1" x14ac:dyDescent="0.3">
      <c r="A5961" s="12"/>
    </row>
    <row r="5962" spans="1:1" x14ac:dyDescent="0.3">
      <c r="A5962" s="12"/>
    </row>
    <row r="5963" spans="1:1" x14ac:dyDescent="0.3">
      <c r="A5963" s="12"/>
    </row>
    <row r="5964" spans="1:1" x14ac:dyDescent="0.3">
      <c r="A5964" s="12"/>
    </row>
    <row r="5965" spans="1:1" x14ac:dyDescent="0.3">
      <c r="A5965" s="12"/>
    </row>
    <row r="5966" spans="1:1" x14ac:dyDescent="0.3">
      <c r="A5966" s="12"/>
    </row>
    <row r="5967" spans="1:1" x14ac:dyDescent="0.3">
      <c r="A5967" s="12"/>
    </row>
    <row r="5968" spans="1:1" x14ac:dyDescent="0.3">
      <c r="A5968" s="12"/>
    </row>
    <row r="5969" spans="1:1" x14ac:dyDescent="0.3">
      <c r="A5969" s="12"/>
    </row>
    <row r="5970" spans="1:1" x14ac:dyDescent="0.3">
      <c r="A5970" s="12"/>
    </row>
    <row r="5971" spans="1:1" x14ac:dyDescent="0.3">
      <c r="A5971" s="12"/>
    </row>
    <row r="5972" spans="1:1" x14ac:dyDescent="0.3">
      <c r="A5972" s="12"/>
    </row>
    <row r="5973" spans="1:1" x14ac:dyDescent="0.3">
      <c r="A5973" s="12"/>
    </row>
    <row r="5974" spans="1:1" x14ac:dyDescent="0.3">
      <c r="A5974" s="12"/>
    </row>
    <row r="5975" spans="1:1" x14ac:dyDescent="0.3">
      <c r="A5975" s="12"/>
    </row>
    <row r="5976" spans="1:1" x14ac:dyDescent="0.3">
      <c r="A5976" s="12"/>
    </row>
    <row r="5977" spans="1:1" x14ac:dyDescent="0.3">
      <c r="A5977" s="12"/>
    </row>
    <row r="5978" spans="1:1" x14ac:dyDescent="0.3">
      <c r="A5978" s="12"/>
    </row>
    <row r="5979" spans="1:1" x14ac:dyDescent="0.3">
      <c r="A5979" s="12"/>
    </row>
    <row r="5980" spans="1:1" x14ac:dyDescent="0.3">
      <c r="A5980" s="12"/>
    </row>
    <row r="5981" spans="1:1" x14ac:dyDescent="0.3">
      <c r="A5981" s="12"/>
    </row>
    <row r="5982" spans="1:1" x14ac:dyDescent="0.3">
      <c r="A5982" s="12"/>
    </row>
    <row r="5983" spans="1:1" x14ac:dyDescent="0.3">
      <c r="A5983" s="12"/>
    </row>
    <row r="5984" spans="1:1" x14ac:dyDescent="0.3">
      <c r="A5984" s="12"/>
    </row>
    <row r="5985" spans="1:1" x14ac:dyDescent="0.3">
      <c r="A5985" s="12"/>
    </row>
    <row r="5986" spans="1:1" x14ac:dyDescent="0.3">
      <c r="A5986" s="12"/>
    </row>
    <row r="5987" spans="1:1" x14ac:dyDescent="0.3">
      <c r="A5987" s="12"/>
    </row>
    <row r="5988" spans="1:1" x14ac:dyDescent="0.3">
      <c r="A5988" s="12"/>
    </row>
    <row r="5989" spans="1:1" x14ac:dyDescent="0.3">
      <c r="A5989" s="12"/>
    </row>
    <row r="5990" spans="1:1" x14ac:dyDescent="0.3">
      <c r="A5990" s="12"/>
    </row>
    <row r="5991" spans="1:1" x14ac:dyDescent="0.3">
      <c r="A5991" s="12"/>
    </row>
    <row r="5992" spans="1:1" x14ac:dyDescent="0.3">
      <c r="A5992" s="12"/>
    </row>
    <row r="5993" spans="1:1" x14ac:dyDescent="0.3">
      <c r="A5993" s="12"/>
    </row>
    <row r="5994" spans="1:1" x14ac:dyDescent="0.3">
      <c r="A5994" s="12"/>
    </row>
    <row r="5995" spans="1:1" x14ac:dyDescent="0.3">
      <c r="A5995" s="12"/>
    </row>
    <row r="5996" spans="1:1" x14ac:dyDescent="0.3">
      <c r="A5996" s="12"/>
    </row>
    <row r="5997" spans="1:1" x14ac:dyDescent="0.3">
      <c r="A5997" s="12"/>
    </row>
    <row r="5998" spans="1:1" x14ac:dyDescent="0.3">
      <c r="A5998" s="12"/>
    </row>
    <row r="5999" spans="1:1" x14ac:dyDescent="0.3">
      <c r="A5999" s="12"/>
    </row>
    <row r="6000" spans="1:1" x14ac:dyDescent="0.3">
      <c r="A6000" s="12"/>
    </row>
    <row r="6001" spans="1:1" x14ac:dyDescent="0.3">
      <c r="A6001" s="12"/>
    </row>
    <row r="6002" spans="1:1" x14ac:dyDescent="0.3">
      <c r="A6002" s="12"/>
    </row>
    <row r="6003" spans="1:1" x14ac:dyDescent="0.3">
      <c r="A6003" s="12"/>
    </row>
    <row r="6004" spans="1:1" x14ac:dyDescent="0.3">
      <c r="A6004" s="12"/>
    </row>
    <row r="6005" spans="1:1" x14ac:dyDescent="0.3">
      <c r="A6005" s="12"/>
    </row>
    <row r="6006" spans="1:1" x14ac:dyDescent="0.3">
      <c r="A6006" s="12"/>
    </row>
    <row r="6007" spans="1:1" x14ac:dyDescent="0.3">
      <c r="A6007" s="12"/>
    </row>
    <row r="6008" spans="1:1" x14ac:dyDescent="0.3">
      <c r="A6008" s="12"/>
    </row>
    <row r="6009" spans="1:1" x14ac:dyDescent="0.3">
      <c r="A6009" s="12"/>
    </row>
    <row r="6010" spans="1:1" x14ac:dyDescent="0.3">
      <c r="A6010" s="12"/>
    </row>
    <row r="6011" spans="1:1" x14ac:dyDescent="0.3">
      <c r="A6011" s="12"/>
    </row>
    <row r="6012" spans="1:1" x14ac:dyDescent="0.3">
      <c r="A6012" s="12"/>
    </row>
    <row r="6013" spans="1:1" x14ac:dyDescent="0.3">
      <c r="A6013" s="12"/>
    </row>
    <row r="6014" spans="1:1" x14ac:dyDescent="0.3">
      <c r="A6014" s="12"/>
    </row>
    <row r="6015" spans="1:1" x14ac:dyDescent="0.3">
      <c r="A6015" s="12"/>
    </row>
    <row r="6016" spans="1:1" x14ac:dyDescent="0.3">
      <c r="A6016" s="12"/>
    </row>
    <row r="6017" spans="1:1" x14ac:dyDescent="0.3">
      <c r="A6017" s="12"/>
    </row>
    <row r="6018" spans="1:1" x14ac:dyDescent="0.3">
      <c r="A6018" s="12"/>
    </row>
    <row r="6019" spans="1:1" x14ac:dyDescent="0.3">
      <c r="A6019" s="12"/>
    </row>
    <row r="6020" spans="1:1" x14ac:dyDescent="0.3">
      <c r="A6020" s="12"/>
    </row>
    <row r="6021" spans="1:1" x14ac:dyDescent="0.3">
      <c r="A6021" s="12"/>
    </row>
    <row r="6022" spans="1:1" x14ac:dyDescent="0.3">
      <c r="A6022" s="12"/>
    </row>
    <row r="6023" spans="1:1" x14ac:dyDescent="0.3">
      <c r="A6023" s="12"/>
    </row>
    <row r="6024" spans="1:1" x14ac:dyDescent="0.3">
      <c r="A6024" s="12"/>
    </row>
    <row r="6025" spans="1:1" x14ac:dyDescent="0.3">
      <c r="A6025" s="12"/>
    </row>
    <row r="6026" spans="1:1" x14ac:dyDescent="0.3">
      <c r="A6026" s="12"/>
    </row>
    <row r="6027" spans="1:1" x14ac:dyDescent="0.3">
      <c r="A6027" s="12"/>
    </row>
    <row r="6028" spans="1:1" x14ac:dyDescent="0.3">
      <c r="A6028" s="12"/>
    </row>
    <row r="6029" spans="1:1" x14ac:dyDescent="0.3">
      <c r="A6029" s="12"/>
    </row>
    <row r="6030" spans="1:1" x14ac:dyDescent="0.3">
      <c r="A6030" s="12"/>
    </row>
    <row r="6031" spans="1:1" x14ac:dyDescent="0.3">
      <c r="A6031" s="12"/>
    </row>
    <row r="6032" spans="1:1" x14ac:dyDescent="0.3">
      <c r="A6032" s="12"/>
    </row>
    <row r="6033" spans="1:1" x14ac:dyDescent="0.3">
      <c r="A6033" s="12"/>
    </row>
    <row r="6034" spans="1:1" x14ac:dyDescent="0.3">
      <c r="A6034" s="12"/>
    </row>
    <row r="6035" spans="1:1" x14ac:dyDescent="0.3">
      <c r="A6035" s="12"/>
    </row>
    <row r="6036" spans="1:1" x14ac:dyDescent="0.3">
      <c r="A6036" s="12"/>
    </row>
    <row r="6037" spans="1:1" x14ac:dyDescent="0.3">
      <c r="A6037" s="12"/>
    </row>
    <row r="6038" spans="1:1" x14ac:dyDescent="0.3">
      <c r="A6038" s="12"/>
    </row>
    <row r="6039" spans="1:1" x14ac:dyDescent="0.3">
      <c r="A6039" s="12"/>
    </row>
    <row r="6040" spans="1:1" x14ac:dyDescent="0.3">
      <c r="A6040" s="12"/>
    </row>
    <row r="6041" spans="1:1" x14ac:dyDescent="0.3">
      <c r="A6041" s="12"/>
    </row>
    <row r="6042" spans="1:1" x14ac:dyDescent="0.3">
      <c r="A6042" s="12"/>
    </row>
    <row r="6043" spans="1:1" x14ac:dyDescent="0.3">
      <c r="A6043" s="12"/>
    </row>
    <row r="6044" spans="1:1" x14ac:dyDescent="0.3">
      <c r="A6044" s="12"/>
    </row>
    <row r="6045" spans="1:1" x14ac:dyDescent="0.3">
      <c r="A6045" s="12"/>
    </row>
    <row r="6046" spans="1:1" x14ac:dyDescent="0.3">
      <c r="A6046" s="12"/>
    </row>
    <row r="6047" spans="1:1" x14ac:dyDescent="0.3">
      <c r="A6047" s="12"/>
    </row>
    <row r="6048" spans="1:1" x14ac:dyDescent="0.3">
      <c r="A6048" s="12"/>
    </row>
    <row r="6049" spans="1:1" x14ac:dyDescent="0.3">
      <c r="A6049" s="12"/>
    </row>
    <row r="6050" spans="1:1" x14ac:dyDescent="0.3">
      <c r="A6050" s="12"/>
    </row>
    <row r="6051" spans="1:1" x14ac:dyDescent="0.3">
      <c r="A6051" s="12"/>
    </row>
    <row r="6052" spans="1:1" x14ac:dyDescent="0.3">
      <c r="A6052" s="12"/>
    </row>
    <row r="6053" spans="1:1" x14ac:dyDescent="0.3">
      <c r="A6053" s="12"/>
    </row>
    <row r="6054" spans="1:1" x14ac:dyDescent="0.3">
      <c r="A6054" s="12"/>
    </row>
    <row r="6055" spans="1:1" x14ac:dyDescent="0.3">
      <c r="A6055" s="12"/>
    </row>
    <row r="6056" spans="1:1" x14ac:dyDescent="0.3">
      <c r="A6056" s="12"/>
    </row>
    <row r="6057" spans="1:1" x14ac:dyDescent="0.3">
      <c r="A6057" s="12"/>
    </row>
    <row r="6058" spans="1:1" x14ac:dyDescent="0.3">
      <c r="A6058" s="12"/>
    </row>
    <row r="6059" spans="1:1" x14ac:dyDescent="0.3">
      <c r="A6059" s="12"/>
    </row>
    <row r="6060" spans="1:1" x14ac:dyDescent="0.3">
      <c r="A6060" s="12"/>
    </row>
    <row r="6061" spans="1:1" x14ac:dyDescent="0.3">
      <c r="A6061" s="12"/>
    </row>
    <row r="6062" spans="1:1" x14ac:dyDescent="0.3">
      <c r="A6062" s="12"/>
    </row>
    <row r="6063" spans="1:1" x14ac:dyDescent="0.3">
      <c r="A6063" s="12"/>
    </row>
    <row r="6064" spans="1:1" x14ac:dyDescent="0.3">
      <c r="A6064" s="12"/>
    </row>
    <row r="6065" spans="1:1" x14ac:dyDescent="0.3">
      <c r="A6065" s="12"/>
    </row>
    <row r="6066" spans="1:1" x14ac:dyDescent="0.3">
      <c r="A6066" s="12"/>
    </row>
    <row r="6067" spans="1:1" x14ac:dyDescent="0.3">
      <c r="A6067" s="12"/>
    </row>
    <row r="6068" spans="1:1" x14ac:dyDescent="0.3">
      <c r="A6068" s="12"/>
    </row>
    <row r="6069" spans="1:1" x14ac:dyDescent="0.3">
      <c r="A6069" s="12"/>
    </row>
    <row r="6070" spans="1:1" x14ac:dyDescent="0.3">
      <c r="A6070" s="12"/>
    </row>
    <row r="6071" spans="1:1" x14ac:dyDescent="0.3">
      <c r="A6071" s="12"/>
    </row>
    <row r="6072" spans="1:1" x14ac:dyDescent="0.3">
      <c r="A6072" s="12"/>
    </row>
    <row r="6073" spans="1:1" x14ac:dyDescent="0.3">
      <c r="A6073" s="12"/>
    </row>
    <row r="6074" spans="1:1" x14ac:dyDescent="0.3">
      <c r="A6074" s="12"/>
    </row>
    <row r="6075" spans="1:1" x14ac:dyDescent="0.3">
      <c r="A6075" s="12"/>
    </row>
    <row r="6076" spans="1:1" x14ac:dyDescent="0.3">
      <c r="A6076" s="12"/>
    </row>
    <row r="6077" spans="1:1" x14ac:dyDescent="0.3">
      <c r="A6077" s="12"/>
    </row>
    <row r="6078" spans="1:1" x14ac:dyDescent="0.3">
      <c r="A6078" s="12"/>
    </row>
    <row r="6079" spans="1:1" x14ac:dyDescent="0.3">
      <c r="A6079" s="12"/>
    </row>
    <row r="6080" spans="1:1" x14ac:dyDescent="0.3">
      <c r="A6080" s="12"/>
    </row>
    <row r="6081" spans="1:1" x14ac:dyDescent="0.3">
      <c r="A6081" s="12"/>
    </row>
    <row r="6082" spans="1:1" x14ac:dyDescent="0.3">
      <c r="A6082" s="12"/>
    </row>
    <row r="6083" spans="1:1" x14ac:dyDescent="0.3">
      <c r="A6083" s="12"/>
    </row>
    <row r="6084" spans="1:1" x14ac:dyDescent="0.3">
      <c r="A6084" s="12"/>
    </row>
    <row r="6085" spans="1:1" x14ac:dyDescent="0.3">
      <c r="A6085" s="12"/>
    </row>
    <row r="6086" spans="1:1" x14ac:dyDescent="0.3">
      <c r="A6086" s="12"/>
    </row>
    <row r="6087" spans="1:1" x14ac:dyDescent="0.3">
      <c r="A6087" s="12"/>
    </row>
    <row r="6088" spans="1:1" x14ac:dyDescent="0.3">
      <c r="A6088" s="12"/>
    </row>
    <row r="6089" spans="1:1" x14ac:dyDescent="0.3">
      <c r="A6089" s="12"/>
    </row>
    <row r="6090" spans="1:1" x14ac:dyDescent="0.3">
      <c r="A6090" s="12"/>
    </row>
    <row r="6091" spans="1:1" x14ac:dyDescent="0.3">
      <c r="A6091" s="12"/>
    </row>
    <row r="6092" spans="1:1" x14ac:dyDescent="0.3">
      <c r="A6092" s="12"/>
    </row>
    <row r="6093" spans="1:1" x14ac:dyDescent="0.3">
      <c r="A6093" s="12"/>
    </row>
    <row r="6094" spans="1:1" x14ac:dyDescent="0.3">
      <c r="A6094" s="12"/>
    </row>
    <row r="6095" spans="1:1" x14ac:dyDescent="0.3">
      <c r="A6095" s="12"/>
    </row>
    <row r="6096" spans="1:1" x14ac:dyDescent="0.3">
      <c r="A6096" s="12"/>
    </row>
    <row r="6097" spans="1:1" x14ac:dyDescent="0.3">
      <c r="A6097" s="12"/>
    </row>
    <row r="6098" spans="1:1" x14ac:dyDescent="0.3">
      <c r="A6098" s="12"/>
    </row>
    <row r="6099" spans="1:1" x14ac:dyDescent="0.3">
      <c r="A6099" s="12"/>
    </row>
    <row r="6100" spans="1:1" x14ac:dyDescent="0.3">
      <c r="A6100" s="12"/>
    </row>
    <row r="6101" spans="1:1" x14ac:dyDescent="0.3">
      <c r="A6101" s="12"/>
    </row>
    <row r="6102" spans="1:1" x14ac:dyDescent="0.3">
      <c r="A6102" s="12"/>
    </row>
    <row r="6103" spans="1:1" x14ac:dyDescent="0.3">
      <c r="A6103" s="12"/>
    </row>
    <row r="6104" spans="1:1" x14ac:dyDescent="0.3">
      <c r="A6104" s="12"/>
    </row>
    <row r="6105" spans="1:1" x14ac:dyDescent="0.3">
      <c r="A6105" s="12"/>
    </row>
    <row r="6106" spans="1:1" x14ac:dyDescent="0.3">
      <c r="A6106" s="12"/>
    </row>
    <row r="6107" spans="1:1" x14ac:dyDescent="0.3">
      <c r="A6107" s="12"/>
    </row>
    <row r="6108" spans="1:1" x14ac:dyDescent="0.3">
      <c r="A6108" s="12"/>
    </row>
    <row r="6109" spans="1:1" x14ac:dyDescent="0.3">
      <c r="A6109" s="12"/>
    </row>
    <row r="6110" spans="1:1" x14ac:dyDescent="0.3">
      <c r="A6110" s="12"/>
    </row>
    <row r="6111" spans="1:1" x14ac:dyDescent="0.3">
      <c r="A6111" s="12"/>
    </row>
    <row r="6112" spans="1:1" x14ac:dyDescent="0.3">
      <c r="A6112" s="12"/>
    </row>
    <row r="6113" spans="1:1" x14ac:dyDescent="0.3">
      <c r="A6113" s="12"/>
    </row>
    <row r="6114" spans="1:1" x14ac:dyDescent="0.3">
      <c r="A6114" s="12"/>
    </row>
    <row r="6115" spans="1:1" x14ac:dyDescent="0.3">
      <c r="A6115" s="12"/>
    </row>
    <row r="6116" spans="1:1" x14ac:dyDescent="0.3">
      <c r="A6116" s="12"/>
    </row>
    <row r="6117" spans="1:1" x14ac:dyDescent="0.3">
      <c r="A6117" s="12"/>
    </row>
    <row r="6118" spans="1:1" x14ac:dyDescent="0.3">
      <c r="A6118" s="12"/>
    </row>
    <row r="6119" spans="1:1" x14ac:dyDescent="0.3">
      <c r="A6119" s="12"/>
    </row>
    <row r="6120" spans="1:1" x14ac:dyDescent="0.3">
      <c r="A6120" s="12"/>
    </row>
    <row r="6121" spans="1:1" x14ac:dyDescent="0.3">
      <c r="A6121" s="12"/>
    </row>
    <row r="6122" spans="1:1" x14ac:dyDescent="0.3">
      <c r="A6122" s="12"/>
    </row>
    <row r="6123" spans="1:1" x14ac:dyDescent="0.3">
      <c r="A6123" s="12"/>
    </row>
    <row r="6124" spans="1:1" x14ac:dyDescent="0.3">
      <c r="A6124" s="12"/>
    </row>
    <row r="6125" spans="1:1" x14ac:dyDescent="0.3">
      <c r="A6125" s="12"/>
    </row>
    <row r="6126" spans="1:1" x14ac:dyDescent="0.3">
      <c r="A6126" s="12"/>
    </row>
    <row r="6127" spans="1:1" x14ac:dyDescent="0.3">
      <c r="A6127" s="12"/>
    </row>
    <row r="6128" spans="1:1" x14ac:dyDescent="0.3">
      <c r="A6128" s="12"/>
    </row>
    <row r="6129" spans="1:1" x14ac:dyDescent="0.3">
      <c r="A6129" s="12"/>
    </row>
    <row r="6130" spans="1:1" x14ac:dyDescent="0.3">
      <c r="A6130" s="12"/>
    </row>
    <row r="6131" spans="1:1" x14ac:dyDescent="0.3">
      <c r="A6131" s="12"/>
    </row>
    <row r="6132" spans="1:1" x14ac:dyDescent="0.3">
      <c r="A6132" s="12"/>
    </row>
    <row r="6133" spans="1:1" x14ac:dyDescent="0.3">
      <c r="A6133" s="12"/>
    </row>
    <row r="6134" spans="1:1" x14ac:dyDescent="0.3">
      <c r="A6134" s="12"/>
    </row>
    <row r="6135" spans="1:1" x14ac:dyDescent="0.3">
      <c r="A6135" s="12"/>
    </row>
    <row r="6136" spans="1:1" x14ac:dyDescent="0.3">
      <c r="A6136" s="12"/>
    </row>
    <row r="6137" spans="1:1" x14ac:dyDescent="0.3">
      <c r="A6137" s="12"/>
    </row>
    <row r="6138" spans="1:1" x14ac:dyDescent="0.3">
      <c r="A6138" s="12"/>
    </row>
    <row r="6139" spans="1:1" x14ac:dyDescent="0.3">
      <c r="A6139" s="12"/>
    </row>
    <row r="6140" spans="1:1" x14ac:dyDescent="0.3">
      <c r="A6140" s="12"/>
    </row>
    <row r="6141" spans="1:1" x14ac:dyDescent="0.3">
      <c r="A6141" s="12"/>
    </row>
    <row r="6142" spans="1:1" x14ac:dyDescent="0.3">
      <c r="A6142" s="12"/>
    </row>
    <row r="6143" spans="1:1" x14ac:dyDescent="0.3">
      <c r="A6143" s="12"/>
    </row>
    <row r="6144" spans="1:1" x14ac:dyDescent="0.3">
      <c r="A6144" s="12"/>
    </row>
    <row r="6145" spans="1:1" x14ac:dyDescent="0.3">
      <c r="A6145" s="12"/>
    </row>
    <row r="6146" spans="1:1" x14ac:dyDescent="0.3">
      <c r="A6146" s="12"/>
    </row>
    <row r="6147" spans="1:1" x14ac:dyDescent="0.3">
      <c r="A6147" s="12"/>
    </row>
    <row r="6148" spans="1:1" x14ac:dyDescent="0.3">
      <c r="A6148" s="12"/>
    </row>
    <row r="6149" spans="1:1" x14ac:dyDescent="0.3">
      <c r="A6149" s="12"/>
    </row>
    <row r="6150" spans="1:1" x14ac:dyDescent="0.3">
      <c r="A6150" s="12"/>
    </row>
    <row r="6151" spans="1:1" x14ac:dyDescent="0.3">
      <c r="A6151" s="12"/>
    </row>
    <row r="6152" spans="1:1" x14ac:dyDescent="0.3">
      <c r="A6152" s="12"/>
    </row>
    <row r="6153" spans="1:1" x14ac:dyDescent="0.3">
      <c r="A6153" s="12"/>
    </row>
    <row r="6154" spans="1:1" x14ac:dyDescent="0.3">
      <c r="A6154" s="12"/>
    </row>
    <row r="6155" spans="1:1" x14ac:dyDescent="0.3">
      <c r="A6155" s="12"/>
    </row>
    <row r="6156" spans="1:1" x14ac:dyDescent="0.3">
      <c r="A6156" s="12"/>
    </row>
    <row r="6157" spans="1:1" x14ac:dyDescent="0.3">
      <c r="A6157" s="12"/>
    </row>
    <row r="6158" spans="1:1" x14ac:dyDescent="0.3">
      <c r="A6158" s="12"/>
    </row>
    <row r="6159" spans="1:1" x14ac:dyDescent="0.3">
      <c r="A6159" s="12"/>
    </row>
    <row r="6160" spans="1:1" x14ac:dyDescent="0.3">
      <c r="A6160" s="12"/>
    </row>
    <row r="6161" spans="1:1" x14ac:dyDescent="0.3">
      <c r="A6161" s="12"/>
    </row>
    <row r="6162" spans="1:1" x14ac:dyDescent="0.3">
      <c r="A6162" s="12"/>
    </row>
    <row r="6163" spans="1:1" x14ac:dyDescent="0.3">
      <c r="A6163" s="12"/>
    </row>
    <row r="6164" spans="1:1" x14ac:dyDescent="0.3">
      <c r="A6164" s="12"/>
    </row>
    <row r="6165" spans="1:1" x14ac:dyDescent="0.3">
      <c r="A6165" s="12"/>
    </row>
    <row r="6166" spans="1:1" x14ac:dyDescent="0.3">
      <c r="A6166" s="12"/>
    </row>
    <row r="6167" spans="1:1" x14ac:dyDescent="0.3">
      <c r="A6167" s="12"/>
    </row>
    <row r="6168" spans="1:1" x14ac:dyDescent="0.3">
      <c r="A6168" s="12"/>
    </row>
    <row r="6169" spans="1:1" x14ac:dyDescent="0.3">
      <c r="A6169" s="12"/>
    </row>
    <row r="6170" spans="1:1" x14ac:dyDescent="0.3">
      <c r="A6170" s="12"/>
    </row>
    <row r="6171" spans="1:1" x14ac:dyDescent="0.3">
      <c r="A6171" s="12"/>
    </row>
    <row r="6172" spans="1:1" x14ac:dyDescent="0.3">
      <c r="A6172" s="12"/>
    </row>
    <row r="6173" spans="1:1" x14ac:dyDescent="0.3">
      <c r="A6173" s="12"/>
    </row>
    <row r="6174" spans="1:1" x14ac:dyDescent="0.3">
      <c r="A6174" s="12"/>
    </row>
    <row r="6175" spans="1:1" x14ac:dyDescent="0.3">
      <c r="A6175" s="12"/>
    </row>
    <row r="6176" spans="1:1" x14ac:dyDescent="0.3">
      <c r="A6176" s="12"/>
    </row>
    <row r="6177" spans="1:1" x14ac:dyDescent="0.3">
      <c r="A6177" s="12"/>
    </row>
    <row r="6178" spans="1:1" x14ac:dyDescent="0.3">
      <c r="A6178" s="12"/>
    </row>
    <row r="6179" spans="1:1" x14ac:dyDescent="0.3">
      <c r="A6179" s="12"/>
    </row>
    <row r="6180" spans="1:1" x14ac:dyDescent="0.3">
      <c r="A6180" s="12"/>
    </row>
    <row r="6181" spans="1:1" x14ac:dyDescent="0.3">
      <c r="A6181" s="12"/>
    </row>
    <row r="6182" spans="1:1" x14ac:dyDescent="0.3">
      <c r="A6182" s="12"/>
    </row>
    <row r="6183" spans="1:1" x14ac:dyDescent="0.3">
      <c r="A6183" s="12"/>
    </row>
    <row r="6184" spans="1:1" x14ac:dyDescent="0.3">
      <c r="A6184" s="12"/>
    </row>
    <row r="6185" spans="1:1" x14ac:dyDescent="0.3">
      <c r="A6185" s="12"/>
    </row>
    <row r="6186" spans="1:1" x14ac:dyDescent="0.3">
      <c r="A6186" s="12"/>
    </row>
    <row r="6187" spans="1:1" x14ac:dyDescent="0.3">
      <c r="A6187" s="12"/>
    </row>
    <row r="6188" spans="1:1" x14ac:dyDescent="0.3">
      <c r="A6188" s="12"/>
    </row>
    <row r="6189" spans="1:1" x14ac:dyDescent="0.3">
      <c r="A6189" s="12"/>
    </row>
    <row r="6190" spans="1:1" x14ac:dyDescent="0.3">
      <c r="A6190" s="12"/>
    </row>
    <row r="6191" spans="1:1" x14ac:dyDescent="0.3">
      <c r="A6191" s="12"/>
    </row>
    <row r="6192" spans="1:1" x14ac:dyDescent="0.3">
      <c r="A6192" s="12"/>
    </row>
    <row r="6193" spans="1:1" x14ac:dyDescent="0.3">
      <c r="A6193" s="12"/>
    </row>
    <row r="6194" spans="1:1" x14ac:dyDescent="0.3">
      <c r="A6194" s="12"/>
    </row>
    <row r="6195" spans="1:1" x14ac:dyDescent="0.3">
      <c r="A6195" s="12"/>
    </row>
    <row r="6196" spans="1:1" x14ac:dyDescent="0.3">
      <c r="A6196" s="12"/>
    </row>
    <row r="6197" spans="1:1" x14ac:dyDescent="0.3">
      <c r="A6197" s="12"/>
    </row>
    <row r="6198" spans="1:1" x14ac:dyDescent="0.3">
      <c r="A6198" s="12"/>
    </row>
    <row r="6199" spans="1:1" x14ac:dyDescent="0.3">
      <c r="A6199" s="12"/>
    </row>
    <row r="6200" spans="1:1" x14ac:dyDescent="0.3">
      <c r="A6200" s="12"/>
    </row>
    <row r="6201" spans="1:1" x14ac:dyDescent="0.3">
      <c r="A6201" s="12"/>
    </row>
    <row r="6202" spans="1:1" x14ac:dyDescent="0.3">
      <c r="A6202" s="12"/>
    </row>
    <row r="6203" spans="1:1" x14ac:dyDescent="0.3">
      <c r="A6203" s="12"/>
    </row>
    <row r="6204" spans="1:1" x14ac:dyDescent="0.3">
      <c r="A6204" s="12"/>
    </row>
    <row r="6205" spans="1:1" x14ac:dyDescent="0.3">
      <c r="A6205" s="12"/>
    </row>
    <row r="6206" spans="1:1" x14ac:dyDescent="0.3">
      <c r="A6206" s="12"/>
    </row>
    <row r="6207" spans="1:1" x14ac:dyDescent="0.3">
      <c r="A6207" s="12"/>
    </row>
    <row r="6208" spans="1:1" x14ac:dyDescent="0.3">
      <c r="A6208" s="12"/>
    </row>
    <row r="6209" spans="1:1" x14ac:dyDescent="0.3">
      <c r="A6209" s="12"/>
    </row>
    <row r="6210" spans="1:1" x14ac:dyDescent="0.3">
      <c r="A6210" s="12"/>
    </row>
    <row r="6211" spans="1:1" x14ac:dyDescent="0.3">
      <c r="A6211" s="12"/>
    </row>
    <row r="6212" spans="1:1" x14ac:dyDescent="0.3">
      <c r="A6212" s="12"/>
    </row>
    <row r="6213" spans="1:1" x14ac:dyDescent="0.3">
      <c r="A6213" s="12"/>
    </row>
    <row r="6214" spans="1:1" x14ac:dyDescent="0.3">
      <c r="A6214" s="12"/>
    </row>
    <row r="6215" spans="1:1" x14ac:dyDescent="0.3">
      <c r="A6215" s="12"/>
    </row>
    <row r="6216" spans="1:1" x14ac:dyDescent="0.3">
      <c r="A6216" s="12"/>
    </row>
    <row r="6217" spans="1:1" x14ac:dyDescent="0.3">
      <c r="A6217" s="12"/>
    </row>
    <row r="6218" spans="1:1" x14ac:dyDescent="0.3">
      <c r="A6218" s="12"/>
    </row>
    <row r="6219" spans="1:1" x14ac:dyDescent="0.3">
      <c r="A6219" s="12"/>
    </row>
    <row r="6220" spans="1:1" x14ac:dyDescent="0.3">
      <c r="A6220" s="12"/>
    </row>
    <row r="6221" spans="1:1" x14ac:dyDescent="0.3">
      <c r="A6221" s="12"/>
    </row>
    <row r="6222" spans="1:1" x14ac:dyDescent="0.3">
      <c r="A6222" s="12"/>
    </row>
    <row r="6223" spans="1:1" x14ac:dyDescent="0.3">
      <c r="A6223" s="12"/>
    </row>
    <row r="6224" spans="1:1" x14ac:dyDescent="0.3">
      <c r="A6224" s="12"/>
    </row>
    <row r="6225" spans="1:1" x14ac:dyDescent="0.3">
      <c r="A6225" s="12"/>
    </row>
    <row r="6226" spans="1:1" x14ac:dyDescent="0.3">
      <c r="A6226" s="12"/>
    </row>
    <row r="6227" spans="1:1" x14ac:dyDescent="0.3">
      <c r="A6227" s="12"/>
    </row>
    <row r="6228" spans="1:1" x14ac:dyDescent="0.3">
      <c r="A6228" s="12"/>
    </row>
    <row r="6229" spans="1:1" x14ac:dyDescent="0.3">
      <c r="A6229" s="12"/>
    </row>
    <row r="6230" spans="1:1" x14ac:dyDescent="0.3">
      <c r="A6230" s="12"/>
    </row>
    <row r="6231" spans="1:1" x14ac:dyDescent="0.3">
      <c r="A6231" s="12"/>
    </row>
    <row r="6232" spans="1:1" x14ac:dyDescent="0.3">
      <c r="A6232" s="12"/>
    </row>
    <row r="6233" spans="1:1" x14ac:dyDescent="0.3">
      <c r="A6233" s="12"/>
    </row>
    <row r="6234" spans="1:1" x14ac:dyDescent="0.3">
      <c r="A6234" s="12"/>
    </row>
    <row r="6235" spans="1:1" x14ac:dyDescent="0.3">
      <c r="A6235" s="12"/>
    </row>
    <row r="6236" spans="1:1" x14ac:dyDescent="0.3">
      <c r="A6236" s="12"/>
    </row>
    <row r="6237" spans="1:1" x14ac:dyDescent="0.3">
      <c r="A6237" s="12"/>
    </row>
    <row r="6238" spans="1:1" x14ac:dyDescent="0.3">
      <c r="A6238" s="12"/>
    </row>
    <row r="6239" spans="1:1" x14ac:dyDescent="0.3">
      <c r="A6239" s="12"/>
    </row>
    <row r="6240" spans="1:1" x14ac:dyDescent="0.3">
      <c r="A6240" s="12"/>
    </row>
    <row r="6241" spans="1:1" x14ac:dyDescent="0.3">
      <c r="A6241" s="12"/>
    </row>
    <row r="6242" spans="1:1" x14ac:dyDescent="0.3">
      <c r="A6242" s="12"/>
    </row>
    <row r="6243" spans="1:1" x14ac:dyDescent="0.3">
      <c r="A6243" s="12"/>
    </row>
    <row r="6244" spans="1:1" x14ac:dyDescent="0.3">
      <c r="A6244" s="12"/>
    </row>
    <row r="6245" spans="1:1" x14ac:dyDescent="0.3">
      <c r="A6245" s="12"/>
    </row>
    <row r="6246" spans="1:1" x14ac:dyDescent="0.3">
      <c r="A6246" s="12"/>
    </row>
    <row r="6247" spans="1:1" x14ac:dyDescent="0.3">
      <c r="A6247" s="12"/>
    </row>
    <row r="6248" spans="1:1" x14ac:dyDescent="0.3">
      <c r="A6248" s="12"/>
    </row>
    <row r="6249" spans="1:1" x14ac:dyDescent="0.3">
      <c r="A6249" s="12"/>
    </row>
    <row r="6250" spans="1:1" x14ac:dyDescent="0.3">
      <c r="A6250" s="12"/>
    </row>
    <row r="6251" spans="1:1" x14ac:dyDescent="0.3">
      <c r="A6251" s="12"/>
    </row>
    <row r="6252" spans="1:1" x14ac:dyDescent="0.3">
      <c r="A6252" s="12"/>
    </row>
    <row r="6253" spans="1:1" x14ac:dyDescent="0.3">
      <c r="A6253" s="12"/>
    </row>
    <row r="6254" spans="1:1" x14ac:dyDescent="0.3">
      <c r="A6254" s="12"/>
    </row>
    <row r="6255" spans="1:1" x14ac:dyDescent="0.3">
      <c r="A6255" s="12"/>
    </row>
    <row r="6256" spans="1:1" x14ac:dyDescent="0.3">
      <c r="A6256" s="12"/>
    </row>
    <row r="6257" spans="1:1" x14ac:dyDescent="0.3">
      <c r="A6257" s="12"/>
    </row>
    <row r="6258" spans="1:1" x14ac:dyDescent="0.3">
      <c r="A6258" s="12"/>
    </row>
    <row r="6259" spans="1:1" x14ac:dyDescent="0.3">
      <c r="A6259" s="12"/>
    </row>
    <row r="6260" spans="1:1" x14ac:dyDescent="0.3">
      <c r="A6260" s="12"/>
    </row>
    <row r="6261" spans="1:1" x14ac:dyDescent="0.3">
      <c r="A6261" s="12"/>
    </row>
    <row r="6262" spans="1:1" x14ac:dyDescent="0.3">
      <c r="A6262" s="12"/>
    </row>
    <row r="6263" spans="1:1" x14ac:dyDescent="0.3">
      <c r="A6263" s="12"/>
    </row>
    <row r="6264" spans="1:1" x14ac:dyDescent="0.3">
      <c r="A6264" s="12"/>
    </row>
    <row r="6265" spans="1:1" x14ac:dyDescent="0.3">
      <c r="A6265" s="12"/>
    </row>
    <row r="6266" spans="1:1" x14ac:dyDescent="0.3">
      <c r="A6266" s="12"/>
    </row>
    <row r="6267" spans="1:1" x14ac:dyDescent="0.3">
      <c r="A6267" s="12"/>
    </row>
    <row r="6268" spans="1:1" x14ac:dyDescent="0.3">
      <c r="A6268" s="12"/>
    </row>
    <row r="6269" spans="1:1" x14ac:dyDescent="0.3">
      <c r="A6269" s="12"/>
    </row>
    <row r="6270" spans="1:1" x14ac:dyDescent="0.3">
      <c r="A6270" s="12"/>
    </row>
    <row r="6271" spans="1:1" x14ac:dyDescent="0.3">
      <c r="A6271" s="12"/>
    </row>
    <row r="6272" spans="1:1" x14ac:dyDescent="0.3">
      <c r="A6272" s="12"/>
    </row>
    <row r="6273" spans="1:1" x14ac:dyDescent="0.3">
      <c r="A6273" s="12"/>
    </row>
    <row r="6274" spans="1:1" x14ac:dyDescent="0.3">
      <c r="A6274" s="12"/>
    </row>
    <row r="6275" spans="1:1" x14ac:dyDescent="0.3">
      <c r="A6275" s="12"/>
    </row>
    <row r="6276" spans="1:1" x14ac:dyDescent="0.3">
      <c r="A6276" s="12"/>
    </row>
    <row r="6277" spans="1:1" x14ac:dyDescent="0.3">
      <c r="A6277" s="12"/>
    </row>
    <row r="6278" spans="1:1" x14ac:dyDescent="0.3">
      <c r="A6278" s="12"/>
    </row>
    <row r="6279" spans="1:1" x14ac:dyDescent="0.3">
      <c r="A6279" s="12"/>
    </row>
    <row r="6280" spans="1:1" x14ac:dyDescent="0.3">
      <c r="A6280" s="12"/>
    </row>
    <row r="6281" spans="1:1" x14ac:dyDescent="0.3">
      <c r="A6281" s="12"/>
    </row>
    <row r="6282" spans="1:1" x14ac:dyDescent="0.3">
      <c r="A6282" s="12"/>
    </row>
    <row r="6283" spans="1:1" x14ac:dyDescent="0.3">
      <c r="A6283" s="12"/>
    </row>
    <row r="6284" spans="1:1" x14ac:dyDescent="0.3">
      <c r="A6284" s="12"/>
    </row>
    <row r="6285" spans="1:1" x14ac:dyDescent="0.3">
      <c r="A6285" s="12"/>
    </row>
    <row r="6286" spans="1:1" x14ac:dyDescent="0.3">
      <c r="A6286" s="12"/>
    </row>
    <row r="6287" spans="1:1" x14ac:dyDescent="0.3">
      <c r="A6287" s="12"/>
    </row>
    <row r="6288" spans="1:1" x14ac:dyDescent="0.3">
      <c r="A6288" s="12"/>
    </row>
    <row r="6289" spans="1:1" x14ac:dyDescent="0.3">
      <c r="A6289" s="12"/>
    </row>
    <row r="6290" spans="1:1" x14ac:dyDescent="0.3">
      <c r="A6290" s="12"/>
    </row>
    <row r="6291" spans="1:1" x14ac:dyDescent="0.3">
      <c r="A6291" s="12"/>
    </row>
    <row r="6292" spans="1:1" x14ac:dyDescent="0.3">
      <c r="A6292" s="12"/>
    </row>
    <row r="6293" spans="1:1" x14ac:dyDescent="0.3">
      <c r="A6293" s="12"/>
    </row>
    <row r="6294" spans="1:1" x14ac:dyDescent="0.3">
      <c r="A6294" s="12"/>
    </row>
    <row r="6295" spans="1:1" x14ac:dyDescent="0.3">
      <c r="A6295" s="12"/>
    </row>
    <row r="6296" spans="1:1" x14ac:dyDescent="0.3">
      <c r="A6296" s="12"/>
    </row>
    <row r="6297" spans="1:1" x14ac:dyDescent="0.3">
      <c r="A6297" s="12"/>
    </row>
    <row r="6298" spans="1:1" x14ac:dyDescent="0.3">
      <c r="A6298" s="12"/>
    </row>
    <row r="6299" spans="1:1" x14ac:dyDescent="0.3">
      <c r="A6299" s="12"/>
    </row>
    <row r="6300" spans="1:1" x14ac:dyDescent="0.3">
      <c r="A6300" s="12"/>
    </row>
    <row r="6301" spans="1:1" x14ac:dyDescent="0.3">
      <c r="A6301" s="12"/>
    </row>
    <row r="6302" spans="1:1" x14ac:dyDescent="0.3">
      <c r="A6302" s="12"/>
    </row>
    <row r="6303" spans="1:1" x14ac:dyDescent="0.3">
      <c r="A6303" s="12"/>
    </row>
    <row r="6304" spans="1:1" x14ac:dyDescent="0.3">
      <c r="A6304" s="12"/>
    </row>
    <row r="6305" spans="1:1" x14ac:dyDescent="0.3">
      <c r="A6305" s="12"/>
    </row>
    <row r="6306" spans="1:1" x14ac:dyDescent="0.3">
      <c r="A6306" s="12"/>
    </row>
    <row r="6307" spans="1:1" x14ac:dyDescent="0.3">
      <c r="A6307" s="12"/>
    </row>
    <row r="6308" spans="1:1" x14ac:dyDescent="0.3">
      <c r="A6308" s="12"/>
    </row>
    <row r="6309" spans="1:1" x14ac:dyDescent="0.3">
      <c r="A6309" s="12"/>
    </row>
    <row r="6310" spans="1:1" x14ac:dyDescent="0.3">
      <c r="A6310" s="12"/>
    </row>
    <row r="6311" spans="1:1" x14ac:dyDescent="0.3">
      <c r="A6311" s="12"/>
    </row>
    <row r="6312" spans="1:1" x14ac:dyDescent="0.3">
      <c r="A6312" s="12"/>
    </row>
    <row r="6313" spans="1:1" x14ac:dyDescent="0.3">
      <c r="A6313" s="12"/>
    </row>
    <row r="6314" spans="1:1" x14ac:dyDescent="0.3">
      <c r="A6314" s="12"/>
    </row>
    <row r="6315" spans="1:1" x14ac:dyDescent="0.3">
      <c r="A6315" s="12"/>
    </row>
    <row r="6316" spans="1:1" x14ac:dyDescent="0.3">
      <c r="A6316" s="12"/>
    </row>
    <row r="6317" spans="1:1" x14ac:dyDescent="0.3">
      <c r="A6317" s="12"/>
    </row>
    <row r="6318" spans="1:1" x14ac:dyDescent="0.3">
      <c r="A6318" s="12"/>
    </row>
    <row r="6319" spans="1:1" x14ac:dyDescent="0.3">
      <c r="A6319" s="12"/>
    </row>
    <row r="6320" spans="1:1" x14ac:dyDescent="0.3">
      <c r="A6320" s="12"/>
    </row>
    <row r="6321" spans="1:1" x14ac:dyDescent="0.3">
      <c r="A6321" s="12"/>
    </row>
    <row r="6322" spans="1:1" x14ac:dyDescent="0.3">
      <c r="A6322" s="12"/>
    </row>
    <row r="6323" spans="1:1" x14ac:dyDescent="0.3">
      <c r="A6323" s="12"/>
    </row>
    <row r="6324" spans="1:1" x14ac:dyDescent="0.3">
      <c r="A6324" s="12"/>
    </row>
    <row r="6325" spans="1:1" x14ac:dyDescent="0.3">
      <c r="A6325" s="12"/>
    </row>
    <row r="6326" spans="1:1" x14ac:dyDescent="0.3">
      <c r="A6326" s="12"/>
    </row>
    <row r="6327" spans="1:1" x14ac:dyDescent="0.3">
      <c r="A6327" s="12"/>
    </row>
    <row r="6328" spans="1:1" x14ac:dyDescent="0.3">
      <c r="A6328" s="12"/>
    </row>
    <row r="6329" spans="1:1" x14ac:dyDescent="0.3">
      <c r="A6329" s="12"/>
    </row>
    <row r="6330" spans="1:1" x14ac:dyDescent="0.3">
      <c r="A6330" s="12"/>
    </row>
    <row r="6331" spans="1:1" x14ac:dyDescent="0.3">
      <c r="A6331" s="12"/>
    </row>
    <row r="6332" spans="1:1" x14ac:dyDescent="0.3">
      <c r="A6332" s="12"/>
    </row>
    <row r="6333" spans="1:1" x14ac:dyDescent="0.3">
      <c r="A6333" s="12"/>
    </row>
    <row r="6334" spans="1:1" x14ac:dyDescent="0.3">
      <c r="A6334" s="12"/>
    </row>
    <row r="6335" spans="1:1" x14ac:dyDescent="0.3">
      <c r="A6335" s="12"/>
    </row>
    <row r="6336" spans="1:1" x14ac:dyDescent="0.3">
      <c r="A6336" s="12"/>
    </row>
    <row r="6337" spans="1:1" x14ac:dyDescent="0.3">
      <c r="A6337" s="12"/>
    </row>
    <row r="6338" spans="1:1" x14ac:dyDescent="0.3">
      <c r="A6338" s="12"/>
    </row>
    <row r="6339" spans="1:1" x14ac:dyDescent="0.3">
      <c r="A6339" s="12"/>
    </row>
    <row r="6340" spans="1:1" x14ac:dyDescent="0.3">
      <c r="A6340" s="12"/>
    </row>
    <row r="6341" spans="1:1" x14ac:dyDescent="0.3">
      <c r="A6341" s="12"/>
    </row>
    <row r="6342" spans="1:1" x14ac:dyDescent="0.3">
      <c r="A6342" s="12"/>
    </row>
    <row r="6343" spans="1:1" x14ac:dyDescent="0.3">
      <c r="A6343" s="12"/>
    </row>
    <row r="6344" spans="1:1" x14ac:dyDescent="0.3">
      <c r="A6344" s="12"/>
    </row>
    <row r="6345" spans="1:1" x14ac:dyDescent="0.3">
      <c r="A6345" s="12"/>
    </row>
    <row r="6346" spans="1:1" x14ac:dyDescent="0.3">
      <c r="A6346" s="12"/>
    </row>
    <row r="6347" spans="1:1" x14ac:dyDescent="0.3">
      <c r="A6347" s="12"/>
    </row>
    <row r="6348" spans="1:1" x14ac:dyDescent="0.3">
      <c r="A6348" s="12"/>
    </row>
    <row r="6349" spans="1:1" x14ac:dyDescent="0.3">
      <c r="A6349" s="12"/>
    </row>
    <row r="6350" spans="1:1" x14ac:dyDescent="0.3">
      <c r="A6350" s="12"/>
    </row>
    <row r="6351" spans="1:1" x14ac:dyDescent="0.3">
      <c r="A6351" s="12"/>
    </row>
    <row r="6352" spans="1:1" x14ac:dyDescent="0.3">
      <c r="A6352" s="12"/>
    </row>
    <row r="6353" spans="1:1" x14ac:dyDescent="0.3">
      <c r="A6353" s="12"/>
    </row>
    <row r="6354" spans="1:1" x14ac:dyDescent="0.3">
      <c r="A6354" s="12"/>
    </row>
    <row r="6355" spans="1:1" x14ac:dyDescent="0.3">
      <c r="A6355" s="12"/>
    </row>
    <row r="6356" spans="1:1" x14ac:dyDescent="0.3">
      <c r="A6356" s="12"/>
    </row>
    <row r="6357" spans="1:1" x14ac:dyDescent="0.3">
      <c r="A6357" s="12"/>
    </row>
    <row r="6358" spans="1:1" x14ac:dyDescent="0.3">
      <c r="A6358" s="12"/>
    </row>
    <row r="6359" spans="1:1" x14ac:dyDescent="0.3">
      <c r="A6359" s="12"/>
    </row>
    <row r="6360" spans="1:1" x14ac:dyDescent="0.3">
      <c r="A6360" s="12"/>
    </row>
    <row r="6361" spans="1:1" x14ac:dyDescent="0.3">
      <c r="A6361" s="12"/>
    </row>
    <row r="6362" spans="1:1" x14ac:dyDescent="0.3">
      <c r="A6362" s="12"/>
    </row>
    <row r="6363" spans="1:1" x14ac:dyDescent="0.3">
      <c r="A6363" s="12"/>
    </row>
    <row r="6364" spans="1:1" x14ac:dyDescent="0.3">
      <c r="A6364" s="12"/>
    </row>
    <row r="6365" spans="1:1" x14ac:dyDescent="0.3">
      <c r="A6365" s="12"/>
    </row>
    <row r="6366" spans="1:1" x14ac:dyDescent="0.3">
      <c r="A6366" s="12"/>
    </row>
    <row r="6367" spans="1:1" x14ac:dyDescent="0.3">
      <c r="A6367" s="12"/>
    </row>
    <row r="6368" spans="1:1" x14ac:dyDescent="0.3">
      <c r="A6368" s="12"/>
    </row>
    <row r="6369" spans="1:1" x14ac:dyDescent="0.3">
      <c r="A6369" s="12"/>
    </row>
    <row r="6370" spans="1:1" x14ac:dyDescent="0.3">
      <c r="A6370" s="12"/>
    </row>
    <row r="6371" spans="1:1" x14ac:dyDescent="0.3">
      <c r="A6371" s="12"/>
    </row>
    <row r="6372" spans="1:1" x14ac:dyDescent="0.3">
      <c r="A6372" s="12"/>
    </row>
    <row r="6373" spans="1:1" x14ac:dyDescent="0.3">
      <c r="A6373" s="12"/>
    </row>
    <row r="6374" spans="1:1" x14ac:dyDescent="0.3">
      <c r="A6374" s="12"/>
    </row>
    <row r="6375" spans="1:1" x14ac:dyDescent="0.3">
      <c r="A6375" s="12"/>
    </row>
    <row r="6376" spans="1:1" x14ac:dyDescent="0.3">
      <c r="A6376" s="12"/>
    </row>
    <row r="6377" spans="1:1" x14ac:dyDescent="0.3">
      <c r="A6377" s="12"/>
    </row>
    <row r="6378" spans="1:1" x14ac:dyDescent="0.3">
      <c r="A6378" s="12"/>
    </row>
    <row r="6379" spans="1:1" x14ac:dyDescent="0.3">
      <c r="A6379" s="12"/>
    </row>
    <row r="6380" spans="1:1" x14ac:dyDescent="0.3">
      <c r="A6380" s="12"/>
    </row>
    <row r="6381" spans="1:1" x14ac:dyDescent="0.3">
      <c r="A6381" s="12"/>
    </row>
    <row r="6382" spans="1:1" x14ac:dyDescent="0.3">
      <c r="A6382" s="12"/>
    </row>
    <row r="6383" spans="1:1" x14ac:dyDescent="0.3">
      <c r="A6383" s="12"/>
    </row>
    <row r="6384" spans="1:1" x14ac:dyDescent="0.3">
      <c r="A6384" s="12"/>
    </row>
    <row r="6385" spans="1:1" x14ac:dyDescent="0.3">
      <c r="A6385" s="12"/>
    </row>
    <row r="6386" spans="1:1" x14ac:dyDescent="0.3">
      <c r="A6386" s="12"/>
    </row>
    <row r="6387" spans="1:1" x14ac:dyDescent="0.3">
      <c r="A6387" s="12"/>
    </row>
    <row r="6388" spans="1:1" x14ac:dyDescent="0.3">
      <c r="A6388" s="12"/>
    </row>
    <row r="6389" spans="1:1" x14ac:dyDescent="0.3">
      <c r="A6389" s="12"/>
    </row>
    <row r="6390" spans="1:1" x14ac:dyDescent="0.3">
      <c r="A6390" s="12"/>
    </row>
    <row r="6391" spans="1:1" x14ac:dyDescent="0.3">
      <c r="A6391" s="12"/>
    </row>
    <row r="6392" spans="1:1" x14ac:dyDescent="0.3">
      <c r="A6392" s="12"/>
    </row>
    <row r="6393" spans="1:1" x14ac:dyDescent="0.3">
      <c r="A6393" s="12"/>
    </row>
    <row r="6394" spans="1:1" x14ac:dyDescent="0.3">
      <c r="A6394" s="12"/>
    </row>
    <row r="6395" spans="1:1" x14ac:dyDescent="0.3">
      <c r="A6395" s="12"/>
    </row>
    <row r="6396" spans="1:1" x14ac:dyDescent="0.3">
      <c r="A6396" s="12"/>
    </row>
    <row r="6397" spans="1:1" x14ac:dyDescent="0.3">
      <c r="A6397" s="12"/>
    </row>
    <row r="6398" spans="1:1" x14ac:dyDescent="0.3">
      <c r="A6398" s="12"/>
    </row>
    <row r="6399" spans="1:1" x14ac:dyDescent="0.3">
      <c r="A6399" s="12"/>
    </row>
    <row r="6400" spans="1:1" x14ac:dyDescent="0.3">
      <c r="A6400" s="12"/>
    </row>
    <row r="6401" spans="1:1" x14ac:dyDescent="0.3">
      <c r="A6401" s="12"/>
    </row>
    <row r="6402" spans="1:1" x14ac:dyDescent="0.3">
      <c r="A6402" s="12"/>
    </row>
    <row r="6403" spans="1:1" x14ac:dyDescent="0.3">
      <c r="A6403" s="12"/>
    </row>
    <row r="6404" spans="1:1" x14ac:dyDescent="0.3">
      <c r="A6404" s="12"/>
    </row>
    <row r="6405" spans="1:1" x14ac:dyDescent="0.3">
      <c r="A6405" s="12"/>
    </row>
    <row r="6406" spans="1:1" x14ac:dyDescent="0.3">
      <c r="A6406" s="12"/>
    </row>
    <row r="6407" spans="1:1" x14ac:dyDescent="0.3">
      <c r="A6407" s="12"/>
    </row>
    <row r="6408" spans="1:1" x14ac:dyDescent="0.3">
      <c r="A6408" s="12"/>
    </row>
    <row r="6409" spans="1:1" x14ac:dyDescent="0.3">
      <c r="A6409" s="12"/>
    </row>
    <row r="6410" spans="1:1" x14ac:dyDescent="0.3">
      <c r="A6410" s="12"/>
    </row>
    <row r="6411" spans="1:1" x14ac:dyDescent="0.3">
      <c r="A6411" s="12"/>
    </row>
    <row r="6412" spans="1:1" x14ac:dyDescent="0.3">
      <c r="A6412" s="12"/>
    </row>
    <row r="6413" spans="1:1" x14ac:dyDescent="0.3">
      <c r="A6413" s="12"/>
    </row>
    <row r="6414" spans="1:1" x14ac:dyDescent="0.3">
      <c r="A6414" s="12"/>
    </row>
    <row r="6415" spans="1:1" x14ac:dyDescent="0.3">
      <c r="A6415" s="12"/>
    </row>
    <row r="6416" spans="1:1" x14ac:dyDescent="0.3">
      <c r="A6416" s="12"/>
    </row>
    <row r="6417" spans="1:1" x14ac:dyDescent="0.3">
      <c r="A6417" s="12"/>
    </row>
    <row r="6418" spans="1:1" x14ac:dyDescent="0.3">
      <c r="A6418" s="12"/>
    </row>
    <row r="6419" spans="1:1" x14ac:dyDescent="0.3">
      <c r="A6419" s="12"/>
    </row>
    <row r="6420" spans="1:1" x14ac:dyDescent="0.3">
      <c r="A6420" s="12"/>
    </row>
    <row r="6421" spans="1:1" x14ac:dyDescent="0.3">
      <c r="A6421" s="12"/>
    </row>
    <row r="6422" spans="1:1" x14ac:dyDescent="0.3">
      <c r="A6422" s="12"/>
    </row>
    <row r="6423" spans="1:1" x14ac:dyDescent="0.3">
      <c r="A6423" s="12"/>
    </row>
    <row r="6424" spans="1:1" x14ac:dyDescent="0.3">
      <c r="A6424" s="12"/>
    </row>
    <row r="6425" spans="1:1" x14ac:dyDescent="0.3">
      <c r="A6425" s="12"/>
    </row>
    <row r="6426" spans="1:1" x14ac:dyDescent="0.3">
      <c r="A6426" s="12"/>
    </row>
    <row r="6427" spans="1:1" x14ac:dyDescent="0.3">
      <c r="A6427" s="12"/>
    </row>
    <row r="6428" spans="1:1" x14ac:dyDescent="0.3">
      <c r="A6428" s="12"/>
    </row>
    <row r="6429" spans="1:1" x14ac:dyDescent="0.3">
      <c r="A6429" s="12"/>
    </row>
    <row r="6430" spans="1:1" x14ac:dyDescent="0.3">
      <c r="A6430" s="12"/>
    </row>
    <row r="6431" spans="1:1" x14ac:dyDescent="0.3">
      <c r="A6431" s="12"/>
    </row>
    <row r="6432" spans="1:1" x14ac:dyDescent="0.3">
      <c r="A6432" s="12"/>
    </row>
    <row r="6433" spans="1:1" x14ac:dyDescent="0.3">
      <c r="A6433" s="12"/>
    </row>
    <row r="6434" spans="1:1" x14ac:dyDescent="0.3">
      <c r="A6434" s="12"/>
    </row>
    <row r="6435" spans="1:1" x14ac:dyDescent="0.3">
      <c r="A6435" s="12"/>
    </row>
    <row r="6436" spans="1:1" x14ac:dyDescent="0.3">
      <c r="A6436" s="12"/>
    </row>
    <row r="6437" spans="1:1" x14ac:dyDescent="0.3">
      <c r="A6437" s="12"/>
    </row>
    <row r="6438" spans="1:1" x14ac:dyDescent="0.3">
      <c r="A6438" s="12"/>
    </row>
    <row r="6439" spans="1:1" x14ac:dyDescent="0.3">
      <c r="A6439" s="12"/>
    </row>
    <row r="6440" spans="1:1" x14ac:dyDescent="0.3">
      <c r="A6440" s="12"/>
    </row>
    <row r="6441" spans="1:1" x14ac:dyDescent="0.3">
      <c r="A6441" s="12"/>
    </row>
    <row r="6442" spans="1:1" x14ac:dyDescent="0.3">
      <c r="A6442" s="12"/>
    </row>
    <row r="6443" spans="1:1" x14ac:dyDescent="0.3">
      <c r="A6443" s="12"/>
    </row>
    <row r="6444" spans="1:1" x14ac:dyDescent="0.3">
      <c r="A6444" s="12"/>
    </row>
    <row r="6445" spans="1:1" x14ac:dyDescent="0.3">
      <c r="A6445" s="12"/>
    </row>
    <row r="6446" spans="1:1" x14ac:dyDescent="0.3">
      <c r="A6446" s="12"/>
    </row>
    <row r="6447" spans="1:1" x14ac:dyDescent="0.3">
      <c r="A6447" s="12"/>
    </row>
    <row r="6448" spans="1:1" x14ac:dyDescent="0.3">
      <c r="A6448" s="12"/>
    </row>
    <row r="6449" spans="1:1" x14ac:dyDescent="0.3">
      <c r="A6449" s="12"/>
    </row>
    <row r="6450" spans="1:1" x14ac:dyDescent="0.3">
      <c r="A6450" s="12"/>
    </row>
    <row r="6451" spans="1:1" x14ac:dyDescent="0.3">
      <c r="A6451" s="12"/>
    </row>
    <row r="6452" spans="1:1" x14ac:dyDescent="0.3">
      <c r="A6452" s="12"/>
    </row>
    <row r="6453" spans="1:1" x14ac:dyDescent="0.3">
      <c r="A6453" s="12"/>
    </row>
    <row r="6454" spans="1:1" x14ac:dyDescent="0.3">
      <c r="A6454" s="12"/>
    </row>
    <row r="6455" spans="1:1" x14ac:dyDescent="0.3">
      <c r="A6455" s="12"/>
    </row>
    <row r="6456" spans="1:1" x14ac:dyDescent="0.3">
      <c r="A6456" s="12"/>
    </row>
    <row r="6457" spans="1:1" x14ac:dyDescent="0.3">
      <c r="A6457" s="12"/>
    </row>
    <row r="6458" spans="1:1" x14ac:dyDescent="0.3">
      <c r="A6458" s="12"/>
    </row>
    <row r="6459" spans="1:1" x14ac:dyDescent="0.3">
      <c r="A6459" s="12"/>
    </row>
    <row r="6460" spans="1:1" x14ac:dyDescent="0.3">
      <c r="A6460" s="12"/>
    </row>
    <row r="6461" spans="1:1" x14ac:dyDescent="0.3">
      <c r="A6461" s="12"/>
    </row>
    <row r="6462" spans="1:1" x14ac:dyDescent="0.3">
      <c r="A6462" s="12"/>
    </row>
    <row r="6463" spans="1:1" x14ac:dyDescent="0.3">
      <c r="A6463" s="12"/>
    </row>
    <row r="6464" spans="1:1" x14ac:dyDescent="0.3">
      <c r="A6464" s="12"/>
    </row>
    <row r="6465" spans="1:1" x14ac:dyDescent="0.3">
      <c r="A6465" s="12"/>
    </row>
    <row r="6466" spans="1:1" x14ac:dyDescent="0.3">
      <c r="A6466" s="12"/>
    </row>
    <row r="6467" spans="1:1" x14ac:dyDescent="0.3">
      <c r="A6467" s="12"/>
    </row>
    <row r="6468" spans="1:1" x14ac:dyDescent="0.3">
      <c r="A6468" s="12"/>
    </row>
    <row r="6469" spans="1:1" x14ac:dyDescent="0.3">
      <c r="A6469" s="12"/>
    </row>
    <row r="6470" spans="1:1" x14ac:dyDescent="0.3">
      <c r="A6470" s="12"/>
    </row>
    <row r="6471" spans="1:1" x14ac:dyDescent="0.3">
      <c r="A6471" s="12"/>
    </row>
    <row r="6472" spans="1:1" x14ac:dyDescent="0.3">
      <c r="A6472" s="12"/>
    </row>
    <row r="6473" spans="1:1" x14ac:dyDescent="0.3">
      <c r="A6473" s="12"/>
    </row>
    <row r="6474" spans="1:1" x14ac:dyDescent="0.3">
      <c r="A6474" s="12"/>
    </row>
    <row r="6475" spans="1:1" x14ac:dyDescent="0.3">
      <c r="A6475" s="12"/>
    </row>
    <row r="6476" spans="1:1" x14ac:dyDescent="0.3">
      <c r="A6476" s="12"/>
    </row>
    <row r="6477" spans="1:1" x14ac:dyDescent="0.3">
      <c r="A6477" s="12"/>
    </row>
    <row r="6478" spans="1:1" x14ac:dyDescent="0.3">
      <c r="A6478" s="12"/>
    </row>
    <row r="6479" spans="1:1" x14ac:dyDescent="0.3">
      <c r="A6479" s="12"/>
    </row>
    <row r="6480" spans="1:1" x14ac:dyDescent="0.3">
      <c r="A6480" s="12"/>
    </row>
    <row r="6481" spans="1:1" x14ac:dyDescent="0.3">
      <c r="A6481" s="12"/>
    </row>
    <row r="6482" spans="1:1" x14ac:dyDescent="0.3">
      <c r="A6482" s="12"/>
    </row>
    <row r="6483" spans="1:1" x14ac:dyDescent="0.3">
      <c r="A6483" s="12"/>
    </row>
    <row r="6484" spans="1:1" x14ac:dyDescent="0.3">
      <c r="A6484" s="12"/>
    </row>
    <row r="6485" spans="1:1" x14ac:dyDescent="0.3">
      <c r="A6485" s="12"/>
    </row>
    <row r="6486" spans="1:1" x14ac:dyDescent="0.3">
      <c r="A6486" s="12"/>
    </row>
    <row r="6487" spans="1:1" x14ac:dyDescent="0.3">
      <c r="A6487" s="12"/>
    </row>
    <row r="6488" spans="1:1" x14ac:dyDescent="0.3">
      <c r="A6488" s="12"/>
    </row>
    <row r="6489" spans="1:1" x14ac:dyDescent="0.3">
      <c r="A6489" s="12"/>
    </row>
    <row r="6490" spans="1:1" x14ac:dyDescent="0.3">
      <c r="A6490" s="12"/>
    </row>
    <row r="6491" spans="1:1" x14ac:dyDescent="0.3">
      <c r="A6491" s="12"/>
    </row>
    <row r="6492" spans="1:1" x14ac:dyDescent="0.3">
      <c r="A6492" s="12"/>
    </row>
    <row r="6493" spans="1:1" x14ac:dyDescent="0.3">
      <c r="A6493" s="12"/>
    </row>
    <row r="6494" spans="1:1" x14ac:dyDescent="0.3">
      <c r="A6494" s="12"/>
    </row>
    <row r="6495" spans="1:1" x14ac:dyDescent="0.3">
      <c r="A6495" s="12"/>
    </row>
    <row r="6496" spans="1:1" x14ac:dyDescent="0.3">
      <c r="A6496" s="12"/>
    </row>
    <row r="6497" spans="1:1" x14ac:dyDescent="0.3">
      <c r="A6497" s="12"/>
    </row>
    <row r="6498" spans="1:1" x14ac:dyDescent="0.3">
      <c r="A6498" s="12"/>
    </row>
    <row r="6499" spans="1:1" x14ac:dyDescent="0.3">
      <c r="A6499" s="12"/>
    </row>
    <row r="6500" spans="1:1" x14ac:dyDescent="0.3">
      <c r="A6500" s="12"/>
    </row>
    <row r="6501" spans="1:1" x14ac:dyDescent="0.3">
      <c r="A6501" s="12"/>
    </row>
    <row r="6502" spans="1:1" x14ac:dyDescent="0.3">
      <c r="A6502" s="12"/>
    </row>
    <row r="6503" spans="1:1" x14ac:dyDescent="0.3">
      <c r="A6503" s="12"/>
    </row>
    <row r="6504" spans="1:1" x14ac:dyDescent="0.3">
      <c r="A6504" s="12"/>
    </row>
    <row r="6505" spans="1:1" x14ac:dyDescent="0.3">
      <c r="A6505" s="12"/>
    </row>
    <row r="6506" spans="1:1" x14ac:dyDescent="0.3">
      <c r="A6506" s="12"/>
    </row>
    <row r="6507" spans="1:1" x14ac:dyDescent="0.3">
      <c r="A6507" s="12"/>
    </row>
    <row r="6508" spans="1:1" x14ac:dyDescent="0.3">
      <c r="A6508" s="12"/>
    </row>
    <row r="6509" spans="1:1" x14ac:dyDescent="0.3">
      <c r="A6509" s="12"/>
    </row>
    <row r="6510" spans="1:1" x14ac:dyDescent="0.3">
      <c r="A6510" s="12"/>
    </row>
    <row r="6511" spans="1:1" x14ac:dyDescent="0.3">
      <c r="A6511" s="12"/>
    </row>
    <row r="6512" spans="1:1" x14ac:dyDescent="0.3">
      <c r="A6512" s="12"/>
    </row>
    <row r="6513" spans="1:1" x14ac:dyDescent="0.3">
      <c r="A6513" s="12"/>
    </row>
    <row r="6514" spans="1:1" x14ac:dyDescent="0.3">
      <c r="A6514" s="12"/>
    </row>
    <row r="6515" spans="1:1" x14ac:dyDescent="0.3">
      <c r="A6515" s="12"/>
    </row>
    <row r="6516" spans="1:1" x14ac:dyDescent="0.3">
      <c r="A6516" s="12"/>
    </row>
    <row r="6517" spans="1:1" x14ac:dyDescent="0.3">
      <c r="A6517" s="12"/>
    </row>
    <row r="6518" spans="1:1" x14ac:dyDescent="0.3">
      <c r="A6518" s="12"/>
    </row>
    <row r="6519" spans="1:1" x14ac:dyDescent="0.3">
      <c r="A6519" s="12"/>
    </row>
    <row r="6520" spans="1:1" x14ac:dyDescent="0.3">
      <c r="A6520" s="12"/>
    </row>
    <row r="6521" spans="1:1" x14ac:dyDescent="0.3">
      <c r="A6521" s="12"/>
    </row>
    <row r="6522" spans="1:1" x14ac:dyDescent="0.3">
      <c r="A6522" s="12"/>
    </row>
    <row r="6523" spans="1:1" x14ac:dyDescent="0.3">
      <c r="A6523" s="12"/>
    </row>
    <row r="6524" spans="1:1" x14ac:dyDescent="0.3">
      <c r="A6524" s="12"/>
    </row>
    <row r="6525" spans="1:1" x14ac:dyDescent="0.3">
      <c r="A6525" s="12"/>
    </row>
    <row r="6526" spans="1:1" x14ac:dyDescent="0.3">
      <c r="A6526" s="12"/>
    </row>
    <row r="6527" spans="1:1" x14ac:dyDescent="0.3">
      <c r="A6527" s="12"/>
    </row>
    <row r="6528" spans="1:1" x14ac:dyDescent="0.3">
      <c r="A6528" s="12"/>
    </row>
    <row r="6529" spans="1:1" x14ac:dyDescent="0.3">
      <c r="A6529" s="12"/>
    </row>
    <row r="6530" spans="1:1" x14ac:dyDescent="0.3">
      <c r="A6530" s="12"/>
    </row>
    <row r="6531" spans="1:1" x14ac:dyDescent="0.3">
      <c r="A6531" s="12"/>
    </row>
    <row r="6532" spans="1:1" x14ac:dyDescent="0.3">
      <c r="A6532" s="12"/>
    </row>
    <row r="6533" spans="1:1" x14ac:dyDescent="0.3">
      <c r="A6533" s="12"/>
    </row>
    <row r="6534" spans="1:1" x14ac:dyDescent="0.3">
      <c r="A6534" s="12"/>
    </row>
    <row r="6535" spans="1:1" x14ac:dyDescent="0.3">
      <c r="A6535" s="12"/>
    </row>
    <row r="6536" spans="1:1" x14ac:dyDescent="0.3">
      <c r="A6536" s="12"/>
    </row>
    <row r="6537" spans="1:1" x14ac:dyDescent="0.3">
      <c r="A6537" s="12"/>
    </row>
    <row r="6538" spans="1:1" x14ac:dyDescent="0.3">
      <c r="A6538" s="12"/>
    </row>
    <row r="6539" spans="1:1" x14ac:dyDescent="0.3">
      <c r="A6539" s="12"/>
    </row>
    <row r="6540" spans="1:1" x14ac:dyDescent="0.3">
      <c r="A6540" s="12"/>
    </row>
    <row r="6541" spans="1:1" x14ac:dyDescent="0.3">
      <c r="A6541" s="12"/>
    </row>
    <row r="6542" spans="1:1" x14ac:dyDescent="0.3">
      <c r="A6542" s="12"/>
    </row>
    <row r="6543" spans="1:1" x14ac:dyDescent="0.3">
      <c r="A6543" s="12"/>
    </row>
    <row r="6544" spans="1:1" x14ac:dyDescent="0.3">
      <c r="A6544" s="12"/>
    </row>
    <row r="6545" spans="1:1" x14ac:dyDescent="0.3">
      <c r="A6545" s="12"/>
    </row>
    <row r="6546" spans="1:1" x14ac:dyDescent="0.3">
      <c r="A6546" s="12"/>
    </row>
    <row r="6547" spans="1:1" x14ac:dyDescent="0.3">
      <c r="A6547" s="12"/>
    </row>
    <row r="6548" spans="1:1" x14ac:dyDescent="0.3">
      <c r="A6548" s="12"/>
    </row>
    <row r="6549" spans="1:1" x14ac:dyDescent="0.3">
      <c r="A6549" s="12"/>
    </row>
    <row r="6550" spans="1:1" x14ac:dyDescent="0.3">
      <c r="A6550" s="12"/>
    </row>
    <row r="6551" spans="1:1" x14ac:dyDescent="0.3">
      <c r="A6551" s="12"/>
    </row>
    <row r="6552" spans="1:1" x14ac:dyDescent="0.3">
      <c r="A6552" s="12"/>
    </row>
    <row r="6553" spans="1:1" x14ac:dyDescent="0.3">
      <c r="A6553" s="12"/>
    </row>
    <row r="6554" spans="1:1" x14ac:dyDescent="0.3">
      <c r="A6554" s="12"/>
    </row>
    <row r="6555" spans="1:1" x14ac:dyDescent="0.3">
      <c r="A6555" s="12"/>
    </row>
    <row r="6556" spans="1:1" x14ac:dyDescent="0.3">
      <c r="A6556" s="12"/>
    </row>
    <row r="6557" spans="1:1" x14ac:dyDescent="0.3">
      <c r="A6557" s="12"/>
    </row>
    <row r="6558" spans="1:1" x14ac:dyDescent="0.3">
      <c r="A6558" s="12"/>
    </row>
    <row r="6559" spans="1:1" x14ac:dyDescent="0.3">
      <c r="A6559" s="12"/>
    </row>
    <row r="6560" spans="1:1" x14ac:dyDescent="0.3">
      <c r="A6560" s="12"/>
    </row>
    <row r="6561" spans="1:1" x14ac:dyDescent="0.3">
      <c r="A6561" s="12"/>
    </row>
    <row r="6562" spans="1:1" x14ac:dyDescent="0.3">
      <c r="A6562" s="12"/>
    </row>
    <row r="6563" spans="1:1" x14ac:dyDescent="0.3">
      <c r="A6563" s="12"/>
    </row>
    <row r="6564" spans="1:1" x14ac:dyDescent="0.3">
      <c r="A6564" s="12"/>
    </row>
    <row r="6565" spans="1:1" x14ac:dyDescent="0.3">
      <c r="A6565" s="12"/>
    </row>
    <row r="6566" spans="1:1" x14ac:dyDescent="0.3">
      <c r="A6566" s="12"/>
    </row>
    <row r="6567" spans="1:1" x14ac:dyDescent="0.3">
      <c r="A6567" s="12"/>
    </row>
    <row r="6568" spans="1:1" x14ac:dyDescent="0.3">
      <c r="A6568" s="12"/>
    </row>
    <row r="6569" spans="1:1" x14ac:dyDescent="0.3">
      <c r="A6569" s="12"/>
    </row>
    <row r="6570" spans="1:1" x14ac:dyDescent="0.3">
      <c r="A6570" s="12"/>
    </row>
    <row r="6571" spans="1:1" x14ac:dyDescent="0.3">
      <c r="A6571" s="12"/>
    </row>
    <row r="6572" spans="1:1" x14ac:dyDescent="0.3">
      <c r="A6572" s="12"/>
    </row>
    <row r="6573" spans="1:1" x14ac:dyDescent="0.3">
      <c r="A6573" s="12"/>
    </row>
    <row r="6574" spans="1:1" x14ac:dyDescent="0.3">
      <c r="A6574" s="12"/>
    </row>
    <row r="6575" spans="1:1" x14ac:dyDescent="0.3">
      <c r="A6575" s="12"/>
    </row>
    <row r="6576" spans="1:1" x14ac:dyDescent="0.3">
      <c r="A6576" s="12"/>
    </row>
    <row r="6577" spans="1:1" x14ac:dyDescent="0.3">
      <c r="A6577" s="12"/>
    </row>
    <row r="6578" spans="1:1" x14ac:dyDescent="0.3">
      <c r="A6578" s="12"/>
    </row>
    <row r="6579" spans="1:1" x14ac:dyDescent="0.3">
      <c r="A6579" s="12"/>
    </row>
    <row r="6580" spans="1:1" x14ac:dyDescent="0.3">
      <c r="A6580" s="12"/>
    </row>
    <row r="6581" spans="1:1" x14ac:dyDescent="0.3">
      <c r="A6581" s="12"/>
    </row>
    <row r="6582" spans="1:1" x14ac:dyDescent="0.3">
      <c r="A6582" s="12"/>
    </row>
    <row r="6583" spans="1:1" x14ac:dyDescent="0.3">
      <c r="A6583" s="12"/>
    </row>
    <row r="6584" spans="1:1" x14ac:dyDescent="0.3">
      <c r="A6584" s="12"/>
    </row>
    <row r="6585" spans="1:1" x14ac:dyDescent="0.3">
      <c r="A6585" s="12"/>
    </row>
    <row r="6586" spans="1:1" x14ac:dyDescent="0.3">
      <c r="A6586" s="12"/>
    </row>
    <row r="6587" spans="1:1" x14ac:dyDescent="0.3">
      <c r="A6587" s="12"/>
    </row>
    <row r="6588" spans="1:1" x14ac:dyDescent="0.3">
      <c r="A6588" s="12"/>
    </row>
    <row r="6589" spans="1:1" x14ac:dyDescent="0.3">
      <c r="A6589" s="12"/>
    </row>
    <row r="6590" spans="1:1" x14ac:dyDescent="0.3">
      <c r="A6590" s="12"/>
    </row>
    <row r="6591" spans="1:1" x14ac:dyDescent="0.3">
      <c r="A6591" s="12"/>
    </row>
    <row r="6592" spans="1:1" x14ac:dyDescent="0.3">
      <c r="A6592" s="12"/>
    </row>
    <row r="6593" spans="1:1" x14ac:dyDescent="0.3">
      <c r="A6593" s="12"/>
    </row>
    <row r="6594" spans="1:1" x14ac:dyDescent="0.3">
      <c r="A6594" s="12"/>
    </row>
    <row r="6595" spans="1:1" x14ac:dyDescent="0.3">
      <c r="A6595" s="12"/>
    </row>
    <row r="6596" spans="1:1" x14ac:dyDescent="0.3">
      <c r="A6596" s="12"/>
    </row>
    <row r="6597" spans="1:1" x14ac:dyDescent="0.3">
      <c r="A6597" s="12"/>
    </row>
    <row r="6598" spans="1:1" x14ac:dyDescent="0.3">
      <c r="A6598" s="12"/>
    </row>
    <row r="6599" spans="1:1" x14ac:dyDescent="0.3">
      <c r="A6599" s="12"/>
    </row>
    <row r="6600" spans="1:1" x14ac:dyDescent="0.3">
      <c r="A6600" s="12"/>
    </row>
    <row r="6601" spans="1:1" x14ac:dyDescent="0.3">
      <c r="A6601" s="12"/>
    </row>
    <row r="6602" spans="1:1" x14ac:dyDescent="0.3">
      <c r="A6602" s="12"/>
    </row>
    <row r="6603" spans="1:1" x14ac:dyDescent="0.3">
      <c r="A6603" s="12"/>
    </row>
    <row r="6604" spans="1:1" x14ac:dyDescent="0.3">
      <c r="A6604" s="12"/>
    </row>
    <row r="6605" spans="1:1" x14ac:dyDescent="0.3">
      <c r="A6605" s="12"/>
    </row>
    <row r="6606" spans="1:1" x14ac:dyDescent="0.3">
      <c r="A6606" s="12"/>
    </row>
    <row r="6607" spans="1:1" x14ac:dyDescent="0.3">
      <c r="A6607" s="12"/>
    </row>
    <row r="6608" spans="1:1" x14ac:dyDescent="0.3">
      <c r="A6608" s="12"/>
    </row>
    <row r="6609" spans="1:1" x14ac:dyDescent="0.3">
      <c r="A6609" s="12"/>
    </row>
    <row r="6610" spans="1:1" x14ac:dyDescent="0.3">
      <c r="A6610" s="12"/>
    </row>
    <row r="6611" spans="1:1" x14ac:dyDescent="0.3">
      <c r="A6611" s="12"/>
    </row>
    <row r="6612" spans="1:1" x14ac:dyDescent="0.3">
      <c r="A6612" s="12"/>
    </row>
    <row r="6613" spans="1:1" x14ac:dyDescent="0.3">
      <c r="A6613" s="12"/>
    </row>
    <row r="6614" spans="1:1" x14ac:dyDescent="0.3">
      <c r="A6614" s="12"/>
    </row>
    <row r="6615" spans="1:1" x14ac:dyDescent="0.3">
      <c r="A6615" s="12"/>
    </row>
    <row r="6616" spans="1:1" x14ac:dyDescent="0.3">
      <c r="A6616" s="12"/>
    </row>
    <row r="6617" spans="1:1" x14ac:dyDescent="0.3">
      <c r="A6617" s="12"/>
    </row>
    <row r="6618" spans="1:1" x14ac:dyDescent="0.3">
      <c r="A6618" s="12"/>
    </row>
    <row r="6619" spans="1:1" x14ac:dyDescent="0.3">
      <c r="A6619" s="12"/>
    </row>
    <row r="6620" spans="1:1" x14ac:dyDescent="0.3">
      <c r="A6620" s="12"/>
    </row>
    <row r="6621" spans="1:1" x14ac:dyDescent="0.3">
      <c r="A6621" s="12"/>
    </row>
    <row r="6622" spans="1:1" x14ac:dyDescent="0.3">
      <c r="A6622" s="12"/>
    </row>
    <row r="6623" spans="1:1" x14ac:dyDescent="0.3">
      <c r="A6623" s="12"/>
    </row>
    <row r="6624" spans="1:1" x14ac:dyDescent="0.3">
      <c r="A6624" s="12"/>
    </row>
    <row r="6625" spans="1:1" x14ac:dyDescent="0.3">
      <c r="A6625" s="12"/>
    </row>
    <row r="6626" spans="1:1" x14ac:dyDescent="0.3">
      <c r="A6626" s="12"/>
    </row>
    <row r="6627" spans="1:1" x14ac:dyDescent="0.3">
      <c r="A6627" s="12"/>
    </row>
    <row r="6628" spans="1:1" x14ac:dyDescent="0.3">
      <c r="A6628" s="12"/>
    </row>
    <row r="6629" spans="1:1" x14ac:dyDescent="0.3">
      <c r="A6629" s="12"/>
    </row>
    <row r="6630" spans="1:1" x14ac:dyDescent="0.3">
      <c r="A6630" s="12"/>
    </row>
    <row r="6631" spans="1:1" x14ac:dyDescent="0.3">
      <c r="A6631" s="12"/>
    </row>
    <row r="6632" spans="1:1" x14ac:dyDescent="0.3">
      <c r="A6632" s="12"/>
    </row>
    <row r="6633" spans="1:1" x14ac:dyDescent="0.3">
      <c r="A6633" s="12"/>
    </row>
    <row r="6634" spans="1:1" x14ac:dyDescent="0.3">
      <c r="A6634" s="12"/>
    </row>
    <row r="6635" spans="1:1" x14ac:dyDescent="0.3">
      <c r="A6635" s="12"/>
    </row>
    <row r="6636" spans="1:1" x14ac:dyDescent="0.3">
      <c r="A6636" s="12"/>
    </row>
    <row r="6637" spans="1:1" x14ac:dyDescent="0.3">
      <c r="A6637" s="12"/>
    </row>
    <row r="6638" spans="1:1" x14ac:dyDescent="0.3">
      <c r="A6638" s="12"/>
    </row>
    <row r="6639" spans="1:1" x14ac:dyDescent="0.3">
      <c r="A6639" s="12"/>
    </row>
    <row r="6640" spans="1:1" x14ac:dyDescent="0.3">
      <c r="A6640" s="12"/>
    </row>
    <row r="6641" spans="1:1" x14ac:dyDescent="0.3">
      <c r="A6641" s="12"/>
    </row>
    <row r="6642" spans="1:1" x14ac:dyDescent="0.3">
      <c r="A6642" s="12"/>
    </row>
    <row r="6643" spans="1:1" x14ac:dyDescent="0.3">
      <c r="A6643" s="12"/>
    </row>
    <row r="6644" spans="1:1" x14ac:dyDescent="0.3">
      <c r="A6644" s="12"/>
    </row>
    <row r="6645" spans="1:1" x14ac:dyDescent="0.3">
      <c r="A6645" s="12"/>
    </row>
    <row r="6646" spans="1:1" x14ac:dyDescent="0.3">
      <c r="A6646" s="12"/>
    </row>
    <row r="6647" spans="1:1" x14ac:dyDescent="0.3">
      <c r="A6647" s="12"/>
    </row>
    <row r="6648" spans="1:1" x14ac:dyDescent="0.3">
      <c r="A6648" s="12"/>
    </row>
    <row r="6649" spans="1:1" x14ac:dyDescent="0.3">
      <c r="A6649" s="12"/>
    </row>
    <row r="6650" spans="1:1" x14ac:dyDescent="0.3">
      <c r="A6650" s="12"/>
    </row>
    <row r="6651" spans="1:1" x14ac:dyDescent="0.3">
      <c r="A6651" s="12"/>
    </row>
    <row r="6652" spans="1:1" x14ac:dyDescent="0.3">
      <c r="A6652" s="12"/>
    </row>
    <row r="6653" spans="1:1" x14ac:dyDescent="0.3">
      <c r="A6653" s="12"/>
    </row>
    <row r="6654" spans="1:1" x14ac:dyDescent="0.3">
      <c r="A6654" s="12"/>
    </row>
    <row r="6655" spans="1:1" x14ac:dyDescent="0.3">
      <c r="A6655" s="12"/>
    </row>
    <row r="6656" spans="1:1" x14ac:dyDescent="0.3">
      <c r="A6656" s="12"/>
    </row>
    <row r="6657" spans="1:1" x14ac:dyDescent="0.3">
      <c r="A6657" s="12"/>
    </row>
    <row r="6658" spans="1:1" x14ac:dyDescent="0.3">
      <c r="A6658" s="12"/>
    </row>
    <row r="6659" spans="1:1" x14ac:dyDescent="0.3">
      <c r="A6659" s="12"/>
    </row>
    <row r="6660" spans="1:1" x14ac:dyDescent="0.3">
      <c r="A6660" s="12"/>
    </row>
    <row r="6661" spans="1:1" x14ac:dyDescent="0.3">
      <c r="A6661" s="12"/>
    </row>
    <row r="6662" spans="1:1" x14ac:dyDescent="0.3">
      <c r="A6662" s="12"/>
    </row>
    <row r="6663" spans="1:1" x14ac:dyDescent="0.3">
      <c r="A6663" s="12"/>
    </row>
    <row r="6664" spans="1:1" x14ac:dyDescent="0.3">
      <c r="A6664" s="12"/>
    </row>
    <row r="6665" spans="1:1" x14ac:dyDescent="0.3">
      <c r="A6665" s="12"/>
    </row>
    <row r="6666" spans="1:1" x14ac:dyDescent="0.3">
      <c r="A6666" s="12"/>
    </row>
    <row r="6667" spans="1:1" x14ac:dyDescent="0.3">
      <c r="A6667" s="12"/>
    </row>
    <row r="6668" spans="1:1" x14ac:dyDescent="0.3">
      <c r="A6668" s="12"/>
    </row>
    <row r="6669" spans="1:1" x14ac:dyDescent="0.3">
      <c r="A6669" s="12"/>
    </row>
    <row r="6670" spans="1:1" x14ac:dyDescent="0.3">
      <c r="A6670" s="12"/>
    </row>
    <row r="6671" spans="1:1" x14ac:dyDescent="0.3">
      <c r="A6671" s="12"/>
    </row>
    <row r="6672" spans="1:1" x14ac:dyDescent="0.3">
      <c r="A6672" s="12"/>
    </row>
    <row r="6673" spans="1:1" x14ac:dyDescent="0.3">
      <c r="A6673" s="12"/>
    </row>
    <row r="6674" spans="1:1" x14ac:dyDescent="0.3">
      <c r="A6674" s="12"/>
    </row>
    <row r="6675" spans="1:1" x14ac:dyDescent="0.3">
      <c r="A6675" s="12"/>
    </row>
    <row r="6676" spans="1:1" x14ac:dyDescent="0.3">
      <c r="A6676" s="12"/>
    </row>
    <row r="6677" spans="1:1" x14ac:dyDescent="0.3">
      <c r="A6677" s="12"/>
    </row>
    <row r="6678" spans="1:1" x14ac:dyDescent="0.3">
      <c r="A6678" s="12"/>
    </row>
    <row r="6679" spans="1:1" x14ac:dyDescent="0.3">
      <c r="A6679" s="12"/>
    </row>
    <row r="6680" spans="1:1" x14ac:dyDescent="0.3">
      <c r="A6680" s="12"/>
    </row>
    <row r="6681" spans="1:1" x14ac:dyDescent="0.3">
      <c r="A6681" s="12"/>
    </row>
    <row r="6682" spans="1:1" x14ac:dyDescent="0.3">
      <c r="A6682" s="12"/>
    </row>
    <row r="6683" spans="1:1" x14ac:dyDescent="0.3">
      <c r="A6683" s="12"/>
    </row>
    <row r="6684" spans="1:1" x14ac:dyDescent="0.3">
      <c r="A6684" s="12"/>
    </row>
    <row r="6685" spans="1:1" x14ac:dyDescent="0.3">
      <c r="A6685" s="12"/>
    </row>
    <row r="6686" spans="1:1" x14ac:dyDescent="0.3">
      <c r="A6686" s="12"/>
    </row>
    <row r="6687" spans="1:1" x14ac:dyDescent="0.3">
      <c r="A6687" s="12"/>
    </row>
    <row r="6688" spans="1:1" x14ac:dyDescent="0.3">
      <c r="A6688" s="12"/>
    </row>
    <row r="6689" spans="1:1" x14ac:dyDescent="0.3">
      <c r="A6689" s="12"/>
    </row>
    <row r="6690" spans="1:1" x14ac:dyDescent="0.3">
      <c r="A6690" s="12"/>
    </row>
    <row r="6691" spans="1:1" x14ac:dyDescent="0.3">
      <c r="A6691" s="12"/>
    </row>
    <row r="6692" spans="1:1" x14ac:dyDescent="0.3">
      <c r="A6692" s="12"/>
    </row>
    <row r="6693" spans="1:1" x14ac:dyDescent="0.3">
      <c r="A6693" s="12"/>
    </row>
    <row r="6694" spans="1:1" x14ac:dyDescent="0.3">
      <c r="A6694" s="12"/>
    </row>
    <row r="6695" spans="1:1" x14ac:dyDescent="0.3">
      <c r="A6695" s="12"/>
    </row>
    <row r="6696" spans="1:1" x14ac:dyDescent="0.3">
      <c r="A6696" s="12"/>
    </row>
    <row r="6697" spans="1:1" x14ac:dyDescent="0.3">
      <c r="A6697" s="12"/>
    </row>
    <row r="6698" spans="1:1" x14ac:dyDescent="0.3">
      <c r="A6698" s="12"/>
    </row>
    <row r="6699" spans="1:1" x14ac:dyDescent="0.3">
      <c r="A6699" s="12"/>
    </row>
    <row r="6700" spans="1:1" x14ac:dyDescent="0.3">
      <c r="A6700" s="12"/>
    </row>
    <row r="6701" spans="1:1" x14ac:dyDescent="0.3">
      <c r="A6701" s="12"/>
    </row>
    <row r="6702" spans="1:1" x14ac:dyDescent="0.3">
      <c r="A6702" s="12"/>
    </row>
    <row r="6703" spans="1:1" x14ac:dyDescent="0.3">
      <c r="A6703" s="12"/>
    </row>
    <row r="6704" spans="1:1" x14ac:dyDescent="0.3">
      <c r="A6704" s="12"/>
    </row>
    <row r="6705" spans="1:1" x14ac:dyDescent="0.3">
      <c r="A6705" s="12"/>
    </row>
    <row r="6706" spans="1:1" x14ac:dyDescent="0.3">
      <c r="A6706" s="12"/>
    </row>
    <row r="6707" spans="1:1" x14ac:dyDescent="0.3">
      <c r="A6707" s="12"/>
    </row>
    <row r="6708" spans="1:1" x14ac:dyDescent="0.3">
      <c r="A6708" s="12"/>
    </row>
    <row r="6709" spans="1:1" x14ac:dyDescent="0.3">
      <c r="A6709" s="12"/>
    </row>
    <row r="6710" spans="1:1" x14ac:dyDescent="0.3">
      <c r="A6710" s="12"/>
    </row>
    <row r="6711" spans="1:1" x14ac:dyDescent="0.3">
      <c r="A6711" s="12"/>
    </row>
    <row r="6712" spans="1:1" x14ac:dyDescent="0.3">
      <c r="A6712" s="12"/>
    </row>
    <row r="6713" spans="1:1" x14ac:dyDescent="0.3">
      <c r="A6713" s="12"/>
    </row>
    <row r="6714" spans="1:1" x14ac:dyDescent="0.3">
      <c r="A6714" s="12"/>
    </row>
    <row r="6715" spans="1:1" x14ac:dyDescent="0.3">
      <c r="A6715" s="12"/>
    </row>
    <row r="6716" spans="1:1" x14ac:dyDescent="0.3">
      <c r="A6716" s="12"/>
    </row>
    <row r="6717" spans="1:1" x14ac:dyDescent="0.3">
      <c r="A6717" s="12"/>
    </row>
    <row r="6718" spans="1:1" x14ac:dyDescent="0.3">
      <c r="A6718" s="12"/>
    </row>
    <row r="6719" spans="1:1" x14ac:dyDescent="0.3">
      <c r="A6719" s="12"/>
    </row>
    <row r="6720" spans="1:1" x14ac:dyDescent="0.3">
      <c r="A6720" s="12"/>
    </row>
    <row r="6721" spans="1:1" x14ac:dyDescent="0.3">
      <c r="A6721" s="12"/>
    </row>
    <row r="6722" spans="1:1" x14ac:dyDescent="0.3">
      <c r="A6722" s="12"/>
    </row>
    <row r="6723" spans="1:1" x14ac:dyDescent="0.3">
      <c r="A6723" s="12"/>
    </row>
    <row r="6724" spans="1:1" x14ac:dyDescent="0.3">
      <c r="A6724" s="12"/>
    </row>
    <row r="6725" spans="1:1" x14ac:dyDescent="0.3">
      <c r="A6725" s="12"/>
    </row>
    <row r="6726" spans="1:1" x14ac:dyDescent="0.3">
      <c r="A6726" s="12"/>
    </row>
    <row r="6727" spans="1:1" x14ac:dyDescent="0.3">
      <c r="A6727" s="12"/>
    </row>
    <row r="6728" spans="1:1" x14ac:dyDescent="0.3">
      <c r="A6728" s="12"/>
    </row>
    <row r="6729" spans="1:1" x14ac:dyDescent="0.3">
      <c r="A6729" s="12"/>
    </row>
    <row r="6730" spans="1:1" x14ac:dyDescent="0.3">
      <c r="A6730" s="12"/>
    </row>
    <row r="6731" spans="1:1" x14ac:dyDescent="0.3">
      <c r="A6731" s="12"/>
    </row>
    <row r="6732" spans="1:1" x14ac:dyDescent="0.3">
      <c r="A6732" s="12"/>
    </row>
    <row r="6733" spans="1:1" x14ac:dyDescent="0.3">
      <c r="A6733" s="12"/>
    </row>
    <row r="6734" spans="1:1" x14ac:dyDescent="0.3">
      <c r="A6734" s="12"/>
    </row>
    <row r="6735" spans="1:1" x14ac:dyDescent="0.3">
      <c r="A6735" s="12"/>
    </row>
    <row r="6736" spans="1:1" x14ac:dyDescent="0.3">
      <c r="A6736" s="12"/>
    </row>
    <row r="6737" spans="1:1" x14ac:dyDescent="0.3">
      <c r="A6737" s="12"/>
    </row>
    <row r="6738" spans="1:1" x14ac:dyDescent="0.3">
      <c r="A6738" s="12"/>
    </row>
    <row r="6739" spans="1:1" x14ac:dyDescent="0.3">
      <c r="A6739" s="12"/>
    </row>
    <row r="6740" spans="1:1" x14ac:dyDescent="0.3">
      <c r="A6740" s="12"/>
    </row>
    <row r="6741" spans="1:1" x14ac:dyDescent="0.3">
      <c r="A6741" s="12"/>
    </row>
    <row r="6742" spans="1:1" x14ac:dyDescent="0.3">
      <c r="A6742" s="12"/>
    </row>
    <row r="6743" spans="1:1" x14ac:dyDescent="0.3">
      <c r="A6743" s="12"/>
    </row>
    <row r="6744" spans="1:1" x14ac:dyDescent="0.3">
      <c r="A6744" s="12"/>
    </row>
    <row r="6745" spans="1:1" x14ac:dyDescent="0.3">
      <c r="A6745" s="12"/>
    </row>
    <row r="6746" spans="1:1" x14ac:dyDescent="0.3">
      <c r="A6746" s="12"/>
    </row>
    <row r="6747" spans="1:1" x14ac:dyDescent="0.3">
      <c r="A6747" s="12"/>
    </row>
    <row r="6748" spans="1:1" x14ac:dyDescent="0.3">
      <c r="A6748" s="12"/>
    </row>
    <row r="6749" spans="1:1" x14ac:dyDescent="0.3">
      <c r="A6749" s="12"/>
    </row>
    <row r="6750" spans="1:1" x14ac:dyDescent="0.3">
      <c r="A6750" s="12"/>
    </row>
    <row r="6751" spans="1:1" x14ac:dyDescent="0.3">
      <c r="A6751" s="12"/>
    </row>
    <row r="6752" spans="1:1" x14ac:dyDescent="0.3">
      <c r="A6752" s="12"/>
    </row>
    <row r="6753" spans="1:1" x14ac:dyDescent="0.3">
      <c r="A6753" s="12"/>
    </row>
    <row r="6754" spans="1:1" x14ac:dyDescent="0.3">
      <c r="A6754" s="12"/>
    </row>
    <row r="6755" spans="1:1" x14ac:dyDescent="0.3">
      <c r="A6755" s="12"/>
    </row>
    <row r="6756" spans="1:1" x14ac:dyDescent="0.3">
      <c r="A6756" s="12"/>
    </row>
    <row r="6757" spans="1:1" x14ac:dyDescent="0.3">
      <c r="A6757" s="12"/>
    </row>
    <row r="6758" spans="1:1" x14ac:dyDescent="0.3">
      <c r="A6758" s="12"/>
    </row>
    <row r="6759" spans="1:1" x14ac:dyDescent="0.3">
      <c r="A6759" s="12"/>
    </row>
    <row r="6760" spans="1:1" x14ac:dyDescent="0.3">
      <c r="A6760" s="12"/>
    </row>
    <row r="6761" spans="1:1" x14ac:dyDescent="0.3">
      <c r="A6761" s="12"/>
    </row>
    <row r="6762" spans="1:1" x14ac:dyDescent="0.3">
      <c r="A6762" s="12"/>
    </row>
    <row r="6763" spans="1:1" x14ac:dyDescent="0.3">
      <c r="A6763" s="12"/>
    </row>
    <row r="6764" spans="1:1" x14ac:dyDescent="0.3">
      <c r="A6764" s="12"/>
    </row>
    <row r="6765" spans="1:1" x14ac:dyDescent="0.3">
      <c r="A6765" s="12"/>
    </row>
    <row r="6766" spans="1:1" x14ac:dyDescent="0.3">
      <c r="A6766" s="12"/>
    </row>
    <row r="6767" spans="1:1" x14ac:dyDescent="0.3">
      <c r="A6767" s="12"/>
    </row>
    <row r="6768" spans="1:1" x14ac:dyDescent="0.3">
      <c r="A6768" s="12"/>
    </row>
    <row r="6769" spans="1:1" x14ac:dyDescent="0.3">
      <c r="A6769" s="12"/>
    </row>
    <row r="6770" spans="1:1" x14ac:dyDescent="0.3">
      <c r="A6770" s="12"/>
    </row>
    <row r="6771" spans="1:1" x14ac:dyDescent="0.3">
      <c r="A6771" s="12"/>
    </row>
    <row r="6772" spans="1:1" x14ac:dyDescent="0.3">
      <c r="A6772" s="12"/>
    </row>
    <row r="6773" spans="1:1" x14ac:dyDescent="0.3">
      <c r="A6773" s="12"/>
    </row>
    <row r="6774" spans="1:1" x14ac:dyDescent="0.3">
      <c r="A6774" s="12"/>
    </row>
    <row r="6775" spans="1:1" x14ac:dyDescent="0.3">
      <c r="A6775" s="12"/>
    </row>
    <row r="6776" spans="1:1" x14ac:dyDescent="0.3">
      <c r="A6776" s="12"/>
    </row>
    <row r="6777" spans="1:1" x14ac:dyDescent="0.3">
      <c r="A6777" s="12"/>
    </row>
    <row r="6778" spans="1:1" x14ac:dyDescent="0.3">
      <c r="A6778" s="12"/>
    </row>
    <row r="6779" spans="1:1" x14ac:dyDescent="0.3">
      <c r="A6779" s="12"/>
    </row>
    <row r="6780" spans="1:1" x14ac:dyDescent="0.3">
      <c r="A6780" s="12"/>
    </row>
    <row r="6781" spans="1:1" x14ac:dyDescent="0.3">
      <c r="A6781" s="12"/>
    </row>
    <row r="6782" spans="1:1" x14ac:dyDescent="0.3">
      <c r="A6782" s="12"/>
    </row>
    <row r="6783" spans="1:1" x14ac:dyDescent="0.3">
      <c r="A6783" s="12"/>
    </row>
    <row r="6784" spans="1:1" x14ac:dyDescent="0.3">
      <c r="A6784" s="12"/>
    </row>
    <row r="6785" spans="1:1" x14ac:dyDescent="0.3">
      <c r="A6785" s="12"/>
    </row>
    <row r="6786" spans="1:1" x14ac:dyDescent="0.3">
      <c r="A6786" s="12"/>
    </row>
    <row r="6787" spans="1:1" x14ac:dyDescent="0.3">
      <c r="A6787" s="12"/>
    </row>
    <row r="6788" spans="1:1" x14ac:dyDescent="0.3">
      <c r="A6788" s="12"/>
    </row>
    <row r="6789" spans="1:1" x14ac:dyDescent="0.3">
      <c r="A6789" s="12"/>
    </row>
    <row r="6790" spans="1:1" x14ac:dyDescent="0.3">
      <c r="A6790" s="12"/>
    </row>
    <row r="6791" spans="1:1" x14ac:dyDescent="0.3">
      <c r="A6791" s="12"/>
    </row>
    <row r="6792" spans="1:1" x14ac:dyDescent="0.3">
      <c r="A6792" s="12"/>
    </row>
    <row r="6793" spans="1:1" x14ac:dyDescent="0.3">
      <c r="A6793" s="12"/>
    </row>
    <row r="6794" spans="1:1" x14ac:dyDescent="0.3">
      <c r="A6794" s="12"/>
    </row>
    <row r="6795" spans="1:1" x14ac:dyDescent="0.3">
      <c r="A6795" s="12"/>
    </row>
    <row r="6796" spans="1:1" x14ac:dyDescent="0.3">
      <c r="A6796" s="12"/>
    </row>
    <row r="6797" spans="1:1" x14ac:dyDescent="0.3">
      <c r="A6797" s="12"/>
    </row>
    <row r="6798" spans="1:1" x14ac:dyDescent="0.3">
      <c r="A6798" s="12"/>
    </row>
    <row r="6799" spans="1:1" x14ac:dyDescent="0.3">
      <c r="A6799" s="12"/>
    </row>
    <row r="6800" spans="1:1" x14ac:dyDescent="0.3">
      <c r="A6800" s="12"/>
    </row>
    <row r="6801" spans="1:1" x14ac:dyDescent="0.3">
      <c r="A6801" s="12"/>
    </row>
    <row r="6802" spans="1:1" x14ac:dyDescent="0.3">
      <c r="A6802" s="12"/>
    </row>
    <row r="6803" spans="1:1" x14ac:dyDescent="0.3">
      <c r="A6803" s="12"/>
    </row>
    <row r="6804" spans="1:1" x14ac:dyDescent="0.3">
      <c r="A6804" s="12"/>
    </row>
    <row r="6805" spans="1:1" x14ac:dyDescent="0.3">
      <c r="A6805" s="12"/>
    </row>
    <row r="6806" spans="1:1" x14ac:dyDescent="0.3">
      <c r="A6806" s="12"/>
    </row>
    <row r="6807" spans="1:1" x14ac:dyDescent="0.3">
      <c r="A6807" s="12"/>
    </row>
    <row r="6808" spans="1:1" x14ac:dyDescent="0.3">
      <c r="A6808" s="12"/>
    </row>
    <row r="6809" spans="1:1" x14ac:dyDescent="0.3">
      <c r="A6809" s="12"/>
    </row>
    <row r="6810" spans="1:1" x14ac:dyDescent="0.3">
      <c r="A6810" s="12"/>
    </row>
    <row r="6811" spans="1:1" x14ac:dyDescent="0.3">
      <c r="A6811" s="12"/>
    </row>
    <row r="6812" spans="1:1" x14ac:dyDescent="0.3">
      <c r="A6812" s="12"/>
    </row>
    <row r="6813" spans="1:1" x14ac:dyDescent="0.3">
      <c r="A6813" s="12"/>
    </row>
    <row r="6814" spans="1:1" x14ac:dyDescent="0.3">
      <c r="A6814" s="12"/>
    </row>
    <row r="6815" spans="1:1" x14ac:dyDescent="0.3">
      <c r="A6815" s="12"/>
    </row>
    <row r="6816" spans="1:1" x14ac:dyDescent="0.3">
      <c r="A6816" s="12"/>
    </row>
    <row r="6817" spans="1:1" x14ac:dyDescent="0.3">
      <c r="A6817" s="12"/>
    </row>
    <row r="6818" spans="1:1" x14ac:dyDescent="0.3">
      <c r="A6818" s="12"/>
    </row>
    <row r="6819" spans="1:1" x14ac:dyDescent="0.3">
      <c r="A6819" s="12"/>
    </row>
    <row r="6820" spans="1:1" x14ac:dyDescent="0.3">
      <c r="A6820" s="12"/>
    </row>
    <row r="6821" spans="1:1" x14ac:dyDescent="0.3">
      <c r="A6821" s="12"/>
    </row>
    <row r="6822" spans="1:1" x14ac:dyDescent="0.3">
      <c r="A6822" s="12"/>
    </row>
    <row r="6823" spans="1:1" x14ac:dyDescent="0.3">
      <c r="A6823" s="12"/>
    </row>
    <row r="6824" spans="1:1" x14ac:dyDescent="0.3">
      <c r="A6824" s="12"/>
    </row>
    <row r="6825" spans="1:1" x14ac:dyDescent="0.3">
      <c r="A6825" s="12"/>
    </row>
    <row r="6826" spans="1:1" x14ac:dyDescent="0.3">
      <c r="A6826" s="12"/>
    </row>
    <row r="6827" spans="1:1" x14ac:dyDescent="0.3">
      <c r="A6827" s="12"/>
    </row>
    <row r="6828" spans="1:1" x14ac:dyDescent="0.3">
      <c r="A6828" s="12"/>
    </row>
    <row r="6829" spans="1:1" x14ac:dyDescent="0.3">
      <c r="A6829" s="12"/>
    </row>
    <row r="6830" spans="1:1" x14ac:dyDescent="0.3">
      <c r="A6830" s="12"/>
    </row>
    <row r="6831" spans="1:1" x14ac:dyDescent="0.3">
      <c r="A6831" s="12"/>
    </row>
    <row r="6832" spans="1:1" x14ac:dyDescent="0.3">
      <c r="A6832" s="12"/>
    </row>
    <row r="6833" spans="1:1" x14ac:dyDescent="0.3">
      <c r="A6833" s="12"/>
    </row>
    <row r="6834" spans="1:1" x14ac:dyDescent="0.3">
      <c r="A6834" s="12"/>
    </row>
    <row r="6835" spans="1:1" x14ac:dyDescent="0.3">
      <c r="A6835" s="12"/>
    </row>
    <row r="6836" spans="1:1" x14ac:dyDescent="0.3">
      <c r="A6836" s="12"/>
    </row>
    <row r="6837" spans="1:1" x14ac:dyDescent="0.3">
      <c r="A6837" s="12"/>
    </row>
    <row r="6838" spans="1:1" x14ac:dyDescent="0.3">
      <c r="A6838" s="12"/>
    </row>
    <row r="6839" spans="1:1" x14ac:dyDescent="0.3">
      <c r="A6839" s="12"/>
    </row>
    <row r="6840" spans="1:1" x14ac:dyDescent="0.3">
      <c r="A6840" s="12"/>
    </row>
    <row r="6841" spans="1:1" x14ac:dyDescent="0.3">
      <c r="A6841" s="12"/>
    </row>
    <row r="6842" spans="1:1" x14ac:dyDescent="0.3">
      <c r="A6842" s="12"/>
    </row>
    <row r="6843" spans="1:1" x14ac:dyDescent="0.3">
      <c r="A6843" s="12"/>
    </row>
    <row r="6844" spans="1:1" x14ac:dyDescent="0.3">
      <c r="A6844" s="12"/>
    </row>
    <row r="6845" spans="1:1" x14ac:dyDescent="0.3">
      <c r="A6845" s="12"/>
    </row>
    <row r="6846" spans="1:1" x14ac:dyDescent="0.3">
      <c r="A6846" s="12"/>
    </row>
    <row r="6847" spans="1:1" x14ac:dyDescent="0.3">
      <c r="A6847" s="12"/>
    </row>
    <row r="6848" spans="1:1" x14ac:dyDescent="0.3">
      <c r="A6848" s="12"/>
    </row>
    <row r="6849" spans="1:1" x14ac:dyDescent="0.3">
      <c r="A6849" s="12"/>
    </row>
    <row r="6850" spans="1:1" x14ac:dyDescent="0.3">
      <c r="A6850" s="12"/>
    </row>
    <row r="6851" spans="1:1" x14ac:dyDescent="0.3">
      <c r="A6851" s="12"/>
    </row>
    <row r="6852" spans="1:1" x14ac:dyDescent="0.3">
      <c r="A6852" s="12"/>
    </row>
    <row r="6853" spans="1:1" x14ac:dyDescent="0.3">
      <c r="A6853" s="12"/>
    </row>
    <row r="6854" spans="1:1" x14ac:dyDescent="0.3">
      <c r="A6854" s="12"/>
    </row>
    <row r="6855" spans="1:1" x14ac:dyDescent="0.3">
      <c r="A6855" s="12"/>
    </row>
    <row r="6856" spans="1:1" x14ac:dyDescent="0.3">
      <c r="A6856" s="12"/>
    </row>
    <row r="6857" spans="1:1" x14ac:dyDescent="0.3">
      <c r="A6857" s="12"/>
    </row>
    <row r="6858" spans="1:1" x14ac:dyDescent="0.3">
      <c r="A6858" s="12"/>
    </row>
    <row r="6859" spans="1:1" x14ac:dyDescent="0.3">
      <c r="A6859" s="12"/>
    </row>
    <row r="6860" spans="1:1" x14ac:dyDescent="0.3">
      <c r="A6860" s="12"/>
    </row>
    <row r="6861" spans="1:1" x14ac:dyDescent="0.3">
      <c r="A6861" s="12"/>
    </row>
    <row r="6862" spans="1:1" x14ac:dyDescent="0.3">
      <c r="A6862" s="12"/>
    </row>
    <row r="6863" spans="1:1" x14ac:dyDescent="0.3">
      <c r="A6863" s="12"/>
    </row>
    <row r="6864" spans="1:1" x14ac:dyDescent="0.3">
      <c r="A6864" s="12"/>
    </row>
    <row r="6865" spans="1:1" x14ac:dyDescent="0.3">
      <c r="A6865" s="12"/>
    </row>
    <row r="6866" spans="1:1" x14ac:dyDescent="0.3">
      <c r="A6866" s="12"/>
    </row>
    <row r="6867" spans="1:1" x14ac:dyDescent="0.3">
      <c r="A6867" s="12"/>
    </row>
    <row r="6868" spans="1:1" x14ac:dyDescent="0.3">
      <c r="A6868" s="12"/>
    </row>
    <row r="6869" spans="1:1" x14ac:dyDescent="0.3">
      <c r="A6869" s="12"/>
    </row>
    <row r="6870" spans="1:1" x14ac:dyDescent="0.3">
      <c r="A6870" s="12"/>
    </row>
    <row r="6871" spans="1:1" x14ac:dyDescent="0.3">
      <c r="A6871" s="12"/>
    </row>
    <row r="6872" spans="1:1" x14ac:dyDescent="0.3">
      <c r="A6872" s="12"/>
    </row>
    <row r="6873" spans="1:1" x14ac:dyDescent="0.3">
      <c r="A6873" s="12"/>
    </row>
    <row r="6874" spans="1:1" x14ac:dyDescent="0.3">
      <c r="A6874" s="12"/>
    </row>
    <row r="6875" spans="1:1" x14ac:dyDescent="0.3">
      <c r="A6875" s="12"/>
    </row>
    <row r="6876" spans="1:1" x14ac:dyDescent="0.3">
      <c r="A6876" s="12"/>
    </row>
    <row r="6877" spans="1:1" x14ac:dyDescent="0.3">
      <c r="A6877" s="12"/>
    </row>
    <row r="6878" spans="1:1" x14ac:dyDescent="0.3">
      <c r="A6878" s="12"/>
    </row>
    <row r="6879" spans="1:1" x14ac:dyDescent="0.3">
      <c r="A6879" s="12"/>
    </row>
    <row r="6880" spans="1:1" x14ac:dyDescent="0.3">
      <c r="A6880" s="12"/>
    </row>
    <row r="6881" spans="1:1" x14ac:dyDescent="0.3">
      <c r="A6881" s="12"/>
    </row>
    <row r="6882" spans="1:1" x14ac:dyDescent="0.3">
      <c r="A6882" s="12"/>
    </row>
    <row r="6883" spans="1:1" x14ac:dyDescent="0.3">
      <c r="A6883" s="12"/>
    </row>
    <row r="6884" spans="1:1" x14ac:dyDescent="0.3">
      <c r="A6884" s="12"/>
    </row>
    <row r="6885" spans="1:1" x14ac:dyDescent="0.3">
      <c r="A6885" s="12"/>
    </row>
    <row r="6886" spans="1:1" x14ac:dyDescent="0.3">
      <c r="A6886" s="12"/>
    </row>
    <row r="6887" spans="1:1" x14ac:dyDescent="0.3">
      <c r="A6887" s="12"/>
    </row>
    <row r="6888" spans="1:1" x14ac:dyDescent="0.3">
      <c r="A6888" s="12"/>
    </row>
    <row r="6889" spans="1:1" x14ac:dyDescent="0.3">
      <c r="A6889" s="12"/>
    </row>
    <row r="6890" spans="1:1" x14ac:dyDescent="0.3">
      <c r="A6890" s="12"/>
    </row>
    <row r="6891" spans="1:1" x14ac:dyDescent="0.3">
      <c r="A6891" s="12"/>
    </row>
    <row r="6892" spans="1:1" x14ac:dyDescent="0.3">
      <c r="A6892" s="12"/>
    </row>
    <row r="6893" spans="1:1" x14ac:dyDescent="0.3">
      <c r="A6893" s="12"/>
    </row>
    <row r="6894" spans="1:1" x14ac:dyDescent="0.3">
      <c r="A6894" s="12"/>
    </row>
    <row r="6895" spans="1:1" x14ac:dyDescent="0.3">
      <c r="A6895" s="12"/>
    </row>
    <row r="6896" spans="1:1" x14ac:dyDescent="0.3">
      <c r="A6896" s="12"/>
    </row>
    <row r="6897" spans="1:1" x14ac:dyDescent="0.3">
      <c r="A6897" s="12"/>
    </row>
    <row r="6898" spans="1:1" x14ac:dyDescent="0.3">
      <c r="A6898" s="12"/>
    </row>
    <row r="6899" spans="1:1" x14ac:dyDescent="0.3">
      <c r="A6899" s="12"/>
    </row>
    <row r="6900" spans="1:1" x14ac:dyDescent="0.3">
      <c r="A6900" s="12"/>
    </row>
    <row r="6901" spans="1:1" x14ac:dyDescent="0.3">
      <c r="A6901" s="12"/>
    </row>
    <row r="6902" spans="1:1" x14ac:dyDescent="0.3">
      <c r="A6902" s="12"/>
    </row>
    <row r="6903" spans="1:1" x14ac:dyDescent="0.3">
      <c r="A6903" s="12"/>
    </row>
    <row r="6904" spans="1:1" x14ac:dyDescent="0.3">
      <c r="A6904" s="12"/>
    </row>
    <row r="6905" spans="1:1" x14ac:dyDescent="0.3">
      <c r="A6905" s="12"/>
    </row>
    <row r="6906" spans="1:1" x14ac:dyDescent="0.3">
      <c r="A6906" s="12"/>
    </row>
    <row r="6907" spans="1:1" x14ac:dyDescent="0.3">
      <c r="A6907" s="12"/>
    </row>
    <row r="6908" spans="1:1" x14ac:dyDescent="0.3">
      <c r="A6908" s="12"/>
    </row>
    <row r="6909" spans="1:1" x14ac:dyDescent="0.3">
      <c r="A6909" s="12"/>
    </row>
    <row r="6910" spans="1:1" x14ac:dyDescent="0.3">
      <c r="A6910" s="12"/>
    </row>
    <row r="6911" spans="1:1" x14ac:dyDescent="0.3">
      <c r="A6911" s="12"/>
    </row>
    <row r="6912" spans="1:1" x14ac:dyDescent="0.3">
      <c r="A6912" s="12"/>
    </row>
    <row r="6913" spans="1:1" x14ac:dyDescent="0.3">
      <c r="A6913" s="12"/>
    </row>
    <row r="6914" spans="1:1" x14ac:dyDescent="0.3">
      <c r="A6914" s="12"/>
    </row>
    <row r="6915" spans="1:1" x14ac:dyDescent="0.3">
      <c r="A6915" s="12"/>
    </row>
    <row r="6916" spans="1:1" x14ac:dyDescent="0.3">
      <c r="A6916" s="12"/>
    </row>
    <row r="6917" spans="1:1" x14ac:dyDescent="0.3">
      <c r="A6917" s="12"/>
    </row>
    <row r="6918" spans="1:1" x14ac:dyDescent="0.3">
      <c r="A6918" s="12"/>
    </row>
    <row r="6919" spans="1:1" x14ac:dyDescent="0.3">
      <c r="A6919" s="12"/>
    </row>
    <row r="6920" spans="1:1" x14ac:dyDescent="0.3">
      <c r="A6920" s="12"/>
    </row>
    <row r="6921" spans="1:1" x14ac:dyDescent="0.3">
      <c r="A6921" s="12"/>
    </row>
    <row r="6922" spans="1:1" x14ac:dyDescent="0.3">
      <c r="A6922" s="12"/>
    </row>
    <row r="6923" spans="1:1" x14ac:dyDescent="0.3">
      <c r="A6923" s="12"/>
    </row>
    <row r="6924" spans="1:1" x14ac:dyDescent="0.3">
      <c r="A6924" s="12"/>
    </row>
    <row r="6925" spans="1:1" x14ac:dyDescent="0.3">
      <c r="A6925" s="12"/>
    </row>
    <row r="6926" spans="1:1" x14ac:dyDescent="0.3">
      <c r="A6926" s="12"/>
    </row>
    <row r="6927" spans="1:1" x14ac:dyDescent="0.3">
      <c r="A6927" s="12"/>
    </row>
    <row r="6928" spans="1:1" x14ac:dyDescent="0.3">
      <c r="A6928" s="12"/>
    </row>
    <row r="6929" spans="1:1" x14ac:dyDescent="0.3">
      <c r="A6929" s="12"/>
    </row>
    <row r="6930" spans="1:1" x14ac:dyDescent="0.3">
      <c r="A6930" s="12"/>
    </row>
    <row r="6931" spans="1:1" x14ac:dyDescent="0.3">
      <c r="A6931" s="12"/>
    </row>
    <row r="6932" spans="1:1" x14ac:dyDescent="0.3">
      <c r="A6932" s="12"/>
    </row>
    <row r="6933" spans="1:1" x14ac:dyDescent="0.3">
      <c r="A6933" s="12"/>
    </row>
    <row r="6934" spans="1:1" x14ac:dyDescent="0.3">
      <c r="A6934" s="12"/>
    </row>
    <row r="6935" spans="1:1" x14ac:dyDescent="0.3">
      <c r="A6935" s="12"/>
    </row>
    <row r="6936" spans="1:1" x14ac:dyDescent="0.3">
      <c r="A6936" s="12"/>
    </row>
    <row r="6937" spans="1:1" x14ac:dyDescent="0.3">
      <c r="A6937" s="12"/>
    </row>
    <row r="6938" spans="1:1" x14ac:dyDescent="0.3">
      <c r="A6938" s="12"/>
    </row>
    <row r="6939" spans="1:1" x14ac:dyDescent="0.3">
      <c r="A6939" s="12"/>
    </row>
    <row r="6940" spans="1:1" x14ac:dyDescent="0.3">
      <c r="A6940" s="12"/>
    </row>
    <row r="6941" spans="1:1" x14ac:dyDescent="0.3">
      <c r="A6941" s="12"/>
    </row>
    <row r="6942" spans="1:1" x14ac:dyDescent="0.3">
      <c r="A6942" s="12"/>
    </row>
    <row r="6943" spans="1:1" x14ac:dyDescent="0.3">
      <c r="A6943" s="12"/>
    </row>
    <row r="6944" spans="1:1" x14ac:dyDescent="0.3">
      <c r="A6944" s="12"/>
    </row>
    <row r="6945" spans="1:1" x14ac:dyDescent="0.3">
      <c r="A6945" s="12"/>
    </row>
    <row r="6946" spans="1:1" x14ac:dyDescent="0.3">
      <c r="A6946" s="12"/>
    </row>
    <row r="6947" spans="1:1" x14ac:dyDescent="0.3">
      <c r="A6947" s="12"/>
    </row>
    <row r="6948" spans="1:1" x14ac:dyDescent="0.3">
      <c r="A6948" s="12"/>
    </row>
    <row r="6949" spans="1:1" x14ac:dyDescent="0.3">
      <c r="A6949" s="12"/>
    </row>
    <row r="6950" spans="1:1" x14ac:dyDescent="0.3">
      <c r="A6950" s="12"/>
    </row>
    <row r="6951" spans="1:1" x14ac:dyDescent="0.3">
      <c r="A6951" s="12"/>
    </row>
    <row r="6952" spans="1:1" x14ac:dyDescent="0.3">
      <c r="A6952" s="12"/>
    </row>
    <row r="6953" spans="1:1" x14ac:dyDescent="0.3">
      <c r="A6953" s="12"/>
    </row>
    <row r="6954" spans="1:1" x14ac:dyDescent="0.3">
      <c r="A6954" s="12"/>
    </row>
    <row r="6955" spans="1:1" x14ac:dyDescent="0.3">
      <c r="A6955" s="12"/>
    </row>
    <row r="6956" spans="1:1" x14ac:dyDescent="0.3">
      <c r="A6956" s="12"/>
    </row>
    <row r="6957" spans="1:1" x14ac:dyDescent="0.3">
      <c r="A6957" s="12"/>
    </row>
    <row r="6958" spans="1:1" x14ac:dyDescent="0.3">
      <c r="A6958" s="12"/>
    </row>
    <row r="6959" spans="1:1" x14ac:dyDescent="0.3">
      <c r="A6959" s="12"/>
    </row>
    <row r="6960" spans="1:1" x14ac:dyDescent="0.3">
      <c r="A6960" s="12"/>
    </row>
    <row r="6961" spans="1:1" x14ac:dyDescent="0.3">
      <c r="A6961" s="12"/>
    </row>
    <row r="6962" spans="1:1" x14ac:dyDescent="0.3">
      <c r="A6962" s="12"/>
    </row>
    <row r="6963" spans="1:1" x14ac:dyDescent="0.3">
      <c r="A6963" s="12"/>
    </row>
    <row r="6964" spans="1:1" x14ac:dyDescent="0.3">
      <c r="A6964" s="12"/>
    </row>
    <row r="6965" spans="1:1" x14ac:dyDescent="0.3">
      <c r="A6965" s="12"/>
    </row>
    <row r="6966" spans="1:1" x14ac:dyDescent="0.3">
      <c r="A6966" s="12"/>
    </row>
    <row r="6967" spans="1:1" x14ac:dyDescent="0.3">
      <c r="A6967" s="12"/>
    </row>
    <row r="6968" spans="1:1" x14ac:dyDescent="0.3">
      <c r="A6968" s="12"/>
    </row>
    <row r="6969" spans="1:1" x14ac:dyDescent="0.3">
      <c r="A6969" s="12"/>
    </row>
    <row r="6970" spans="1:1" x14ac:dyDescent="0.3">
      <c r="A6970" s="12"/>
    </row>
    <row r="6971" spans="1:1" x14ac:dyDescent="0.3">
      <c r="A6971" s="12"/>
    </row>
    <row r="6972" spans="1:1" x14ac:dyDescent="0.3">
      <c r="A6972" s="12"/>
    </row>
    <row r="6973" spans="1:1" x14ac:dyDescent="0.3">
      <c r="A6973" s="12"/>
    </row>
    <row r="6974" spans="1:1" x14ac:dyDescent="0.3">
      <c r="A6974" s="12"/>
    </row>
    <row r="6975" spans="1:1" x14ac:dyDescent="0.3">
      <c r="A6975" s="12"/>
    </row>
    <row r="6976" spans="1:1" x14ac:dyDescent="0.3">
      <c r="A6976" s="12"/>
    </row>
    <row r="6977" spans="1:1" x14ac:dyDescent="0.3">
      <c r="A6977" s="12"/>
    </row>
    <row r="6978" spans="1:1" x14ac:dyDescent="0.3">
      <c r="A6978" s="12"/>
    </row>
    <row r="6979" spans="1:1" x14ac:dyDescent="0.3">
      <c r="A6979" s="12"/>
    </row>
    <row r="6980" spans="1:1" x14ac:dyDescent="0.3">
      <c r="A6980" s="12"/>
    </row>
    <row r="6981" spans="1:1" x14ac:dyDescent="0.3">
      <c r="A6981" s="12"/>
    </row>
    <row r="6982" spans="1:1" x14ac:dyDescent="0.3">
      <c r="A6982" s="12"/>
    </row>
    <row r="6983" spans="1:1" x14ac:dyDescent="0.3">
      <c r="A6983" s="12"/>
    </row>
    <row r="6984" spans="1:1" x14ac:dyDescent="0.3">
      <c r="A6984" s="12"/>
    </row>
    <row r="6985" spans="1:1" x14ac:dyDescent="0.3">
      <c r="A6985" s="12"/>
    </row>
    <row r="6986" spans="1:1" x14ac:dyDescent="0.3">
      <c r="A6986" s="12"/>
    </row>
    <row r="6987" spans="1:1" x14ac:dyDescent="0.3">
      <c r="A6987" s="12"/>
    </row>
    <row r="6988" spans="1:1" x14ac:dyDescent="0.3">
      <c r="A6988" s="12"/>
    </row>
    <row r="6989" spans="1:1" x14ac:dyDescent="0.3">
      <c r="A6989" s="12"/>
    </row>
    <row r="6990" spans="1:1" x14ac:dyDescent="0.3">
      <c r="A6990" s="12"/>
    </row>
    <row r="6991" spans="1:1" x14ac:dyDescent="0.3">
      <c r="A6991" s="12"/>
    </row>
    <row r="6992" spans="1:1" x14ac:dyDescent="0.3">
      <c r="A6992" s="12"/>
    </row>
    <row r="6993" spans="1:1" x14ac:dyDescent="0.3">
      <c r="A6993" s="12"/>
    </row>
    <row r="6994" spans="1:1" x14ac:dyDescent="0.3">
      <c r="A6994" s="12"/>
    </row>
    <row r="6995" spans="1:1" x14ac:dyDescent="0.3">
      <c r="A6995" s="12"/>
    </row>
    <row r="6996" spans="1:1" x14ac:dyDescent="0.3">
      <c r="A6996" s="12"/>
    </row>
    <row r="6997" spans="1:1" x14ac:dyDescent="0.3">
      <c r="A6997" s="12"/>
    </row>
    <row r="6998" spans="1:1" x14ac:dyDescent="0.3">
      <c r="A6998" s="12"/>
    </row>
    <row r="6999" spans="1:1" x14ac:dyDescent="0.3">
      <c r="A6999" s="12"/>
    </row>
    <row r="7000" spans="1:1" x14ac:dyDescent="0.3">
      <c r="A7000" s="12"/>
    </row>
    <row r="7001" spans="1:1" x14ac:dyDescent="0.3">
      <c r="A7001" s="12"/>
    </row>
    <row r="7002" spans="1:1" x14ac:dyDescent="0.3">
      <c r="A7002" s="12"/>
    </row>
    <row r="7003" spans="1:1" x14ac:dyDescent="0.3">
      <c r="A7003" s="12"/>
    </row>
    <row r="7004" spans="1:1" x14ac:dyDescent="0.3">
      <c r="A7004" s="12"/>
    </row>
    <row r="7005" spans="1:1" x14ac:dyDescent="0.3">
      <c r="A7005" s="12"/>
    </row>
    <row r="7006" spans="1:1" x14ac:dyDescent="0.3">
      <c r="A7006" s="12"/>
    </row>
    <row r="7007" spans="1:1" x14ac:dyDescent="0.3">
      <c r="A7007" s="12"/>
    </row>
    <row r="7008" spans="1:1" x14ac:dyDescent="0.3">
      <c r="A7008" s="12"/>
    </row>
    <row r="7009" spans="1:1" x14ac:dyDescent="0.3">
      <c r="A7009" s="12"/>
    </row>
    <row r="7010" spans="1:1" x14ac:dyDescent="0.3">
      <c r="A7010" s="12"/>
    </row>
    <row r="7011" spans="1:1" x14ac:dyDescent="0.3">
      <c r="A7011" s="12"/>
    </row>
    <row r="7012" spans="1:1" x14ac:dyDescent="0.3">
      <c r="A7012" s="12"/>
    </row>
    <row r="7013" spans="1:1" x14ac:dyDescent="0.3">
      <c r="A7013" s="12"/>
    </row>
    <row r="7014" spans="1:1" x14ac:dyDescent="0.3">
      <c r="A7014" s="12"/>
    </row>
    <row r="7015" spans="1:1" x14ac:dyDescent="0.3">
      <c r="A7015" s="12"/>
    </row>
    <row r="7016" spans="1:1" x14ac:dyDescent="0.3">
      <c r="A7016" s="12"/>
    </row>
    <row r="7017" spans="1:1" x14ac:dyDescent="0.3">
      <c r="A7017" s="12"/>
    </row>
    <row r="7018" spans="1:1" x14ac:dyDescent="0.3">
      <c r="A7018" s="12"/>
    </row>
    <row r="7019" spans="1:1" x14ac:dyDescent="0.3">
      <c r="A7019" s="12"/>
    </row>
    <row r="7020" spans="1:1" x14ac:dyDescent="0.3">
      <c r="A7020" s="12"/>
    </row>
    <row r="7021" spans="1:1" x14ac:dyDescent="0.3">
      <c r="A7021" s="12"/>
    </row>
    <row r="7022" spans="1:1" x14ac:dyDescent="0.3">
      <c r="A7022" s="12"/>
    </row>
    <row r="7023" spans="1:1" x14ac:dyDescent="0.3">
      <c r="A7023" s="12"/>
    </row>
    <row r="7024" spans="1:1" x14ac:dyDescent="0.3">
      <c r="A7024" s="12"/>
    </row>
    <row r="7025" spans="1:1" x14ac:dyDescent="0.3">
      <c r="A7025" s="12"/>
    </row>
    <row r="7026" spans="1:1" x14ac:dyDescent="0.3">
      <c r="A7026" s="12"/>
    </row>
    <row r="7027" spans="1:1" x14ac:dyDescent="0.3">
      <c r="A7027" s="12"/>
    </row>
    <row r="7028" spans="1:1" x14ac:dyDescent="0.3">
      <c r="A7028" s="12"/>
    </row>
    <row r="7029" spans="1:1" x14ac:dyDescent="0.3">
      <c r="A7029" s="12"/>
    </row>
    <row r="7030" spans="1:1" x14ac:dyDescent="0.3">
      <c r="A7030" s="12"/>
    </row>
    <row r="7031" spans="1:1" x14ac:dyDescent="0.3">
      <c r="A7031" s="12"/>
    </row>
    <row r="7032" spans="1:1" x14ac:dyDescent="0.3">
      <c r="A7032" s="12"/>
    </row>
    <row r="7033" spans="1:1" x14ac:dyDescent="0.3">
      <c r="A7033" s="12"/>
    </row>
    <row r="7034" spans="1:1" x14ac:dyDescent="0.3">
      <c r="A7034" s="12"/>
    </row>
    <row r="7035" spans="1:1" x14ac:dyDescent="0.3">
      <c r="A7035" s="12"/>
    </row>
    <row r="7036" spans="1:1" x14ac:dyDescent="0.3">
      <c r="A7036" s="12"/>
    </row>
    <row r="7037" spans="1:1" x14ac:dyDescent="0.3">
      <c r="A7037" s="12"/>
    </row>
    <row r="7038" spans="1:1" x14ac:dyDescent="0.3">
      <c r="A7038" s="12"/>
    </row>
    <row r="7039" spans="1:1" x14ac:dyDescent="0.3">
      <c r="A7039" s="12"/>
    </row>
    <row r="7040" spans="1:1" x14ac:dyDescent="0.3">
      <c r="A7040" s="12"/>
    </row>
    <row r="7041" spans="1:1" x14ac:dyDescent="0.3">
      <c r="A7041" s="12"/>
    </row>
    <row r="7042" spans="1:1" x14ac:dyDescent="0.3">
      <c r="A7042" s="12"/>
    </row>
    <row r="7043" spans="1:1" x14ac:dyDescent="0.3">
      <c r="A7043" s="12"/>
    </row>
    <row r="7044" spans="1:1" x14ac:dyDescent="0.3">
      <c r="A7044" s="12"/>
    </row>
    <row r="7045" spans="1:1" x14ac:dyDescent="0.3">
      <c r="A7045" s="12"/>
    </row>
    <row r="7046" spans="1:1" x14ac:dyDescent="0.3">
      <c r="A7046" s="12"/>
    </row>
    <row r="7047" spans="1:1" x14ac:dyDescent="0.3">
      <c r="A7047" s="12"/>
    </row>
    <row r="7048" spans="1:1" x14ac:dyDescent="0.3">
      <c r="A7048" s="12"/>
    </row>
    <row r="7049" spans="1:1" x14ac:dyDescent="0.3">
      <c r="A7049" s="12"/>
    </row>
    <row r="7050" spans="1:1" x14ac:dyDescent="0.3">
      <c r="A7050" s="12"/>
    </row>
    <row r="7051" spans="1:1" x14ac:dyDescent="0.3">
      <c r="A7051" s="12"/>
    </row>
    <row r="7052" spans="1:1" x14ac:dyDescent="0.3">
      <c r="A7052" s="12"/>
    </row>
    <row r="7053" spans="1:1" x14ac:dyDescent="0.3">
      <c r="A7053" s="12"/>
    </row>
    <row r="7054" spans="1:1" x14ac:dyDescent="0.3">
      <c r="A7054" s="12"/>
    </row>
    <row r="7055" spans="1:1" x14ac:dyDescent="0.3">
      <c r="A7055" s="12"/>
    </row>
    <row r="7056" spans="1:1" x14ac:dyDescent="0.3">
      <c r="A7056" s="12"/>
    </row>
    <row r="7057" spans="1:1" x14ac:dyDescent="0.3">
      <c r="A7057" s="12"/>
    </row>
    <row r="7058" spans="1:1" x14ac:dyDescent="0.3">
      <c r="A7058" s="12"/>
    </row>
    <row r="7059" spans="1:1" x14ac:dyDescent="0.3">
      <c r="A7059" s="12"/>
    </row>
    <row r="7060" spans="1:1" x14ac:dyDescent="0.3">
      <c r="A7060" s="12"/>
    </row>
    <row r="7061" spans="1:1" x14ac:dyDescent="0.3">
      <c r="A7061" s="12"/>
    </row>
    <row r="7062" spans="1:1" x14ac:dyDescent="0.3">
      <c r="A7062" s="12"/>
    </row>
    <row r="7063" spans="1:1" x14ac:dyDescent="0.3">
      <c r="A7063" s="12"/>
    </row>
    <row r="7064" spans="1:1" x14ac:dyDescent="0.3">
      <c r="A7064" s="12"/>
    </row>
    <row r="7065" spans="1:1" x14ac:dyDescent="0.3">
      <c r="A7065" s="12"/>
    </row>
    <row r="7066" spans="1:1" x14ac:dyDescent="0.3">
      <c r="A7066" s="12"/>
    </row>
    <row r="7067" spans="1:1" x14ac:dyDescent="0.3">
      <c r="A7067" s="12"/>
    </row>
    <row r="7068" spans="1:1" x14ac:dyDescent="0.3">
      <c r="A7068" s="12"/>
    </row>
    <row r="7069" spans="1:1" x14ac:dyDescent="0.3">
      <c r="A7069" s="12"/>
    </row>
    <row r="7070" spans="1:1" x14ac:dyDescent="0.3">
      <c r="A7070" s="12"/>
    </row>
    <row r="7071" spans="1:1" x14ac:dyDescent="0.3">
      <c r="A7071" s="12"/>
    </row>
    <row r="7072" spans="1:1" x14ac:dyDescent="0.3">
      <c r="A7072" s="12"/>
    </row>
    <row r="7073" spans="1:1" x14ac:dyDescent="0.3">
      <c r="A7073" s="12"/>
    </row>
    <row r="7074" spans="1:1" x14ac:dyDescent="0.3">
      <c r="A7074" s="12"/>
    </row>
    <row r="7075" spans="1:1" x14ac:dyDescent="0.3">
      <c r="A7075" s="12"/>
    </row>
    <row r="7076" spans="1:1" x14ac:dyDescent="0.3">
      <c r="A7076" s="12"/>
    </row>
    <row r="7077" spans="1:1" x14ac:dyDescent="0.3">
      <c r="A7077" s="12"/>
    </row>
    <row r="7078" spans="1:1" x14ac:dyDescent="0.3">
      <c r="A7078" s="12"/>
    </row>
    <row r="7079" spans="1:1" x14ac:dyDescent="0.3">
      <c r="A7079" s="12"/>
    </row>
    <row r="7080" spans="1:1" x14ac:dyDescent="0.3">
      <c r="A7080" s="12"/>
    </row>
    <row r="7081" spans="1:1" x14ac:dyDescent="0.3">
      <c r="A7081" s="12"/>
    </row>
    <row r="7082" spans="1:1" x14ac:dyDescent="0.3">
      <c r="A7082" s="12"/>
    </row>
    <row r="7083" spans="1:1" x14ac:dyDescent="0.3">
      <c r="A7083" s="12"/>
    </row>
    <row r="7084" spans="1:1" x14ac:dyDescent="0.3">
      <c r="A7084" s="12"/>
    </row>
    <row r="7085" spans="1:1" x14ac:dyDescent="0.3">
      <c r="A7085" s="12"/>
    </row>
    <row r="7086" spans="1:1" x14ac:dyDescent="0.3">
      <c r="A7086" s="12"/>
    </row>
    <row r="7087" spans="1:1" x14ac:dyDescent="0.3">
      <c r="A7087" s="12"/>
    </row>
    <row r="7088" spans="1:1" x14ac:dyDescent="0.3">
      <c r="A7088" s="12"/>
    </row>
    <row r="7089" spans="1:1" x14ac:dyDescent="0.3">
      <c r="A7089" s="12"/>
    </row>
    <row r="7090" spans="1:1" x14ac:dyDescent="0.3">
      <c r="A7090" s="12"/>
    </row>
    <row r="7091" spans="1:1" x14ac:dyDescent="0.3">
      <c r="A7091" s="12"/>
    </row>
    <row r="7092" spans="1:1" x14ac:dyDescent="0.3">
      <c r="A7092" s="12"/>
    </row>
    <row r="7093" spans="1:1" x14ac:dyDescent="0.3">
      <c r="A7093" s="12"/>
    </row>
    <row r="7094" spans="1:1" x14ac:dyDescent="0.3">
      <c r="A7094" s="12"/>
    </row>
    <row r="7095" spans="1:1" x14ac:dyDescent="0.3">
      <c r="A7095" s="12"/>
    </row>
    <row r="7096" spans="1:1" x14ac:dyDescent="0.3">
      <c r="A7096" s="12"/>
    </row>
    <row r="7097" spans="1:1" x14ac:dyDescent="0.3">
      <c r="A7097" s="12"/>
    </row>
    <row r="7098" spans="1:1" x14ac:dyDescent="0.3">
      <c r="A7098" s="12"/>
    </row>
    <row r="7099" spans="1:1" x14ac:dyDescent="0.3">
      <c r="A7099" s="12"/>
    </row>
    <row r="7100" spans="1:1" x14ac:dyDescent="0.3">
      <c r="A7100" s="12"/>
    </row>
    <row r="7101" spans="1:1" x14ac:dyDescent="0.3">
      <c r="A7101" s="12"/>
    </row>
    <row r="7102" spans="1:1" x14ac:dyDescent="0.3">
      <c r="A7102" s="12"/>
    </row>
    <row r="7103" spans="1:1" x14ac:dyDescent="0.3">
      <c r="A7103" s="12"/>
    </row>
    <row r="7104" spans="1:1" x14ac:dyDescent="0.3">
      <c r="A7104" s="12"/>
    </row>
    <row r="7105" spans="1:1" x14ac:dyDescent="0.3">
      <c r="A7105" s="12"/>
    </row>
    <row r="7106" spans="1:1" x14ac:dyDescent="0.3">
      <c r="A7106" s="12"/>
    </row>
    <row r="7107" spans="1:1" x14ac:dyDescent="0.3">
      <c r="A7107" s="12"/>
    </row>
    <row r="7108" spans="1:1" x14ac:dyDescent="0.3">
      <c r="A7108" s="12"/>
    </row>
    <row r="7109" spans="1:1" x14ac:dyDescent="0.3">
      <c r="A7109" s="12"/>
    </row>
    <row r="7110" spans="1:1" x14ac:dyDescent="0.3">
      <c r="A7110" s="12"/>
    </row>
    <row r="7111" spans="1:1" x14ac:dyDescent="0.3">
      <c r="A7111" s="12"/>
    </row>
    <row r="7112" spans="1:1" x14ac:dyDescent="0.3">
      <c r="A7112" s="12"/>
    </row>
    <row r="7113" spans="1:1" x14ac:dyDescent="0.3">
      <c r="A7113" s="12"/>
    </row>
    <row r="7114" spans="1:1" x14ac:dyDescent="0.3">
      <c r="A7114" s="12"/>
    </row>
    <row r="7115" spans="1:1" x14ac:dyDescent="0.3">
      <c r="A7115" s="12"/>
    </row>
    <row r="7116" spans="1:1" x14ac:dyDescent="0.3">
      <c r="A7116" s="12"/>
    </row>
    <row r="7117" spans="1:1" x14ac:dyDescent="0.3">
      <c r="A7117" s="12"/>
    </row>
    <row r="7118" spans="1:1" x14ac:dyDescent="0.3">
      <c r="A7118" s="12"/>
    </row>
    <row r="7119" spans="1:1" x14ac:dyDescent="0.3">
      <c r="A7119" s="12"/>
    </row>
    <row r="7120" spans="1:1" x14ac:dyDescent="0.3">
      <c r="A7120" s="12"/>
    </row>
    <row r="7121" spans="1:1" x14ac:dyDescent="0.3">
      <c r="A7121" s="12"/>
    </row>
    <row r="7122" spans="1:1" x14ac:dyDescent="0.3">
      <c r="A7122" s="12"/>
    </row>
    <row r="7123" spans="1:1" x14ac:dyDescent="0.3">
      <c r="A7123" s="12"/>
    </row>
    <row r="7124" spans="1:1" x14ac:dyDescent="0.3">
      <c r="A7124" s="12"/>
    </row>
    <row r="7125" spans="1:1" x14ac:dyDescent="0.3">
      <c r="A7125" s="12"/>
    </row>
    <row r="7126" spans="1:1" x14ac:dyDescent="0.3">
      <c r="A7126" s="12"/>
    </row>
    <row r="7127" spans="1:1" x14ac:dyDescent="0.3">
      <c r="A7127" s="12"/>
    </row>
    <row r="7128" spans="1:1" x14ac:dyDescent="0.3">
      <c r="A7128" s="12"/>
    </row>
    <row r="7129" spans="1:1" x14ac:dyDescent="0.3">
      <c r="A7129" s="12"/>
    </row>
    <row r="7130" spans="1:1" x14ac:dyDescent="0.3">
      <c r="A7130" s="12"/>
    </row>
    <row r="7131" spans="1:1" x14ac:dyDescent="0.3">
      <c r="A7131" s="12"/>
    </row>
    <row r="7132" spans="1:1" x14ac:dyDescent="0.3">
      <c r="A7132" s="12"/>
    </row>
    <row r="7133" spans="1:1" x14ac:dyDescent="0.3">
      <c r="A7133" s="12"/>
    </row>
    <row r="7134" spans="1:1" x14ac:dyDescent="0.3">
      <c r="A7134" s="12"/>
    </row>
    <row r="7135" spans="1:1" x14ac:dyDescent="0.3">
      <c r="A7135" s="12"/>
    </row>
    <row r="7136" spans="1:1" x14ac:dyDescent="0.3">
      <c r="A7136" s="12"/>
    </row>
    <row r="7137" spans="1:1" x14ac:dyDescent="0.3">
      <c r="A7137" s="12"/>
    </row>
    <row r="7138" spans="1:1" x14ac:dyDescent="0.3">
      <c r="A7138" s="12"/>
    </row>
    <row r="7139" spans="1:1" x14ac:dyDescent="0.3">
      <c r="A7139" s="12"/>
    </row>
    <row r="7140" spans="1:1" x14ac:dyDescent="0.3">
      <c r="A7140" s="12"/>
    </row>
    <row r="7141" spans="1:1" x14ac:dyDescent="0.3">
      <c r="A7141" s="12"/>
    </row>
    <row r="7142" spans="1:1" x14ac:dyDescent="0.3">
      <c r="A7142" s="12"/>
    </row>
    <row r="7143" spans="1:1" x14ac:dyDescent="0.3">
      <c r="A7143" s="12"/>
    </row>
    <row r="7144" spans="1:1" x14ac:dyDescent="0.3">
      <c r="A7144" s="12"/>
    </row>
    <row r="7145" spans="1:1" x14ac:dyDescent="0.3">
      <c r="A7145" s="12"/>
    </row>
    <row r="7146" spans="1:1" x14ac:dyDescent="0.3">
      <c r="A7146" s="12"/>
    </row>
    <row r="7147" spans="1:1" x14ac:dyDescent="0.3">
      <c r="A7147" s="12"/>
    </row>
    <row r="7148" spans="1:1" x14ac:dyDescent="0.3">
      <c r="A7148" s="12"/>
    </row>
    <row r="7149" spans="1:1" x14ac:dyDescent="0.3">
      <c r="A7149" s="12"/>
    </row>
    <row r="7150" spans="1:1" x14ac:dyDescent="0.3">
      <c r="A7150" s="12"/>
    </row>
    <row r="7151" spans="1:1" x14ac:dyDescent="0.3">
      <c r="A7151" s="12"/>
    </row>
    <row r="7152" spans="1:1" x14ac:dyDescent="0.3">
      <c r="A7152" s="12"/>
    </row>
    <row r="7153" spans="1:1" x14ac:dyDescent="0.3">
      <c r="A7153" s="12"/>
    </row>
    <row r="7154" spans="1:1" x14ac:dyDescent="0.3">
      <c r="A7154" s="12"/>
    </row>
    <row r="7155" spans="1:1" x14ac:dyDescent="0.3">
      <c r="A7155" s="12"/>
    </row>
    <row r="7156" spans="1:1" x14ac:dyDescent="0.3">
      <c r="A7156" s="12"/>
    </row>
    <row r="7157" spans="1:1" x14ac:dyDescent="0.3">
      <c r="A7157" s="12"/>
    </row>
    <row r="7158" spans="1:1" x14ac:dyDescent="0.3">
      <c r="A7158" s="12"/>
    </row>
    <row r="7159" spans="1:1" x14ac:dyDescent="0.3">
      <c r="A7159" s="12"/>
    </row>
    <row r="7160" spans="1:1" x14ac:dyDescent="0.3">
      <c r="A7160" s="12"/>
    </row>
    <row r="7161" spans="1:1" x14ac:dyDescent="0.3">
      <c r="A7161" s="12"/>
    </row>
    <row r="7162" spans="1:1" x14ac:dyDescent="0.3">
      <c r="A7162" s="12"/>
    </row>
    <row r="7163" spans="1:1" x14ac:dyDescent="0.3">
      <c r="A7163" s="12"/>
    </row>
    <row r="7164" spans="1:1" x14ac:dyDescent="0.3">
      <c r="A7164" s="12"/>
    </row>
    <row r="7165" spans="1:1" x14ac:dyDescent="0.3">
      <c r="A7165" s="12"/>
    </row>
    <row r="7166" spans="1:1" x14ac:dyDescent="0.3">
      <c r="A7166" s="12"/>
    </row>
    <row r="7167" spans="1:1" x14ac:dyDescent="0.3">
      <c r="A7167" s="12"/>
    </row>
    <row r="7168" spans="1:1" x14ac:dyDescent="0.3">
      <c r="A7168" s="12"/>
    </row>
    <row r="7169" spans="1:1" x14ac:dyDescent="0.3">
      <c r="A7169" s="12"/>
    </row>
    <row r="7170" spans="1:1" x14ac:dyDescent="0.3">
      <c r="A7170" s="12"/>
    </row>
    <row r="7171" spans="1:1" x14ac:dyDescent="0.3">
      <c r="A7171" s="12"/>
    </row>
    <row r="7172" spans="1:1" x14ac:dyDescent="0.3">
      <c r="A7172" s="12"/>
    </row>
    <row r="7173" spans="1:1" x14ac:dyDescent="0.3">
      <c r="A7173" s="12"/>
    </row>
    <row r="7174" spans="1:1" x14ac:dyDescent="0.3">
      <c r="A7174" s="12"/>
    </row>
    <row r="7175" spans="1:1" x14ac:dyDescent="0.3">
      <c r="A7175" s="12"/>
    </row>
    <row r="7176" spans="1:1" x14ac:dyDescent="0.3">
      <c r="A7176" s="12"/>
    </row>
    <row r="7177" spans="1:1" x14ac:dyDescent="0.3">
      <c r="A7177" s="12"/>
    </row>
    <row r="7178" spans="1:1" x14ac:dyDescent="0.3">
      <c r="A7178" s="12"/>
    </row>
    <row r="7179" spans="1:1" x14ac:dyDescent="0.3">
      <c r="A7179" s="12"/>
    </row>
    <row r="7180" spans="1:1" x14ac:dyDescent="0.3">
      <c r="A7180" s="12"/>
    </row>
    <row r="7181" spans="1:1" x14ac:dyDescent="0.3">
      <c r="A7181" s="12"/>
    </row>
    <row r="7182" spans="1:1" x14ac:dyDescent="0.3">
      <c r="A7182" s="12"/>
    </row>
    <row r="7183" spans="1:1" x14ac:dyDescent="0.3">
      <c r="A7183" s="12"/>
    </row>
    <row r="7184" spans="1:1" x14ac:dyDescent="0.3">
      <c r="A7184" s="12"/>
    </row>
    <row r="7185" spans="1:1" x14ac:dyDescent="0.3">
      <c r="A7185" s="12"/>
    </row>
    <row r="7186" spans="1:1" x14ac:dyDescent="0.3">
      <c r="A7186" s="12"/>
    </row>
    <row r="7187" spans="1:1" x14ac:dyDescent="0.3">
      <c r="A7187" s="12"/>
    </row>
    <row r="7188" spans="1:1" x14ac:dyDescent="0.3">
      <c r="A7188" s="12"/>
    </row>
    <row r="7189" spans="1:1" x14ac:dyDescent="0.3">
      <c r="A7189" s="12"/>
    </row>
    <row r="7190" spans="1:1" x14ac:dyDescent="0.3">
      <c r="A7190" s="12"/>
    </row>
    <row r="7191" spans="1:1" x14ac:dyDescent="0.3">
      <c r="A7191" s="12"/>
    </row>
    <row r="7192" spans="1:1" x14ac:dyDescent="0.3">
      <c r="A7192" s="12"/>
    </row>
    <row r="7193" spans="1:1" x14ac:dyDescent="0.3">
      <c r="A7193" s="12"/>
    </row>
    <row r="7194" spans="1:1" x14ac:dyDescent="0.3">
      <c r="A7194" s="12"/>
    </row>
    <row r="7195" spans="1:1" x14ac:dyDescent="0.3">
      <c r="A7195" s="12"/>
    </row>
    <row r="7196" spans="1:1" x14ac:dyDescent="0.3">
      <c r="A7196" s="12"/>
    </row>
    <row r="7197" spans="1:1" x14ac:dyDescent="0.3">
      <c r="A7197" s="12"/>
    </row>
    <row r="7198" spans="1:1" x14ac:dyDescent="0.3">
      <c r="A7198" s="12"/>
    </row>
    <row r="7199" spans="1:1" x14ac:dyDescent="0.3">
      <c r="A7199" s="12"/>
    </row>
    <row r="7200" spans="1:1" x14ac:dyDescent="0.3">
      <c r="A7200" s="12"/>
    </row>
    <row r="7201" spans="1:1" x14ac:dyDescent="0.3">
      <c r="A7201" s="12"/>
    </row>
    <row r="7202" spans="1:1" x14ac:dyDescent="0.3">
      <c r="A7202" s="12"/>
    </row>
    <row r="7203" spans="1:1" x14ac:dyDescent="0.3">
      <c r="A7203" s="12"/>
    </row>
    <row r="7204" spans="1:1" x14ac:dyDescent="0.3">
      <c r="A7204" s="12"/>
    </row>
    <row r="7205" spans="1:1" x14ac:dyDescent="0.3">
      <c r="A7205" s="12"/>
    </row>
    <row r="7206" spans="1:1" x14ac:dyDescent="0.3">
      <c r="A7206" s="12"/>
    </row>
    <row r="7207" spans="1:1" x14ac:dyDescent="0.3">
      <c r="A7207" s="12"/>
    </row>
    <row r="7208" spans="1:1" x14ac:dyDescent="0.3">
      <c r="A7208" s="12"/>
    </row>
    <row r="7209" spans="1:1" x14ac:dyDescent="0.3">
      <c r="A7209" s="12"/>
    </row>
    <row r="7210" spans="1:1" x14ac:dyDescent="0.3">
      <c r="A7210" s="12"/>
    </row>
    <row r="7211" spans="1:1" x14ac:dyDescent="0.3">
      <c r="A7211" s="12"/>
    </row>
    <row r="7212" spans="1:1" x14ac:dyDescent="0.3">
      <c r="A7212" s="12"/>
    </row>
    <row r="7213" spans="1:1" x14ac:dyDescent="0.3">
      <c r="A7213" s="12"/>
    </row>
    <row r="7214" spans="1:1" x14ac:dyDescent="0.3">
      <c r="A7214" s="12"/>
    </row>
    <row r="7215" spans="1:1" x14ac:dyDescent="0.3">
      <c r="A7215" s="12"/>
    </row>
    <row r="7216" spans="1:1" x14ac:dyDescent="0.3">
      <c r="A7216" s="12"/>
    </row>
    <row r="7217" spans="1:1" x14ac:dyDescent="0.3">
      <c r="A7217" s="12"/>
    </row>
    <row r="7218" spans="1:1" x14ac:dyDescent="0.3">
      <c r="A7218" s="12"/>
    </row>
    <row r="7219" spans="1:1" x14ac:dyDescent="0.3">
      <c r="A7219" s="12"/>
    </row>
    <row r="7220" spans="1:1" x14ac:dyDescent="0.3">
      <c r="A7220" s="12"/>
    </row>
    <row r="7221" spans="1:1" x14ac:dyDescent="0.3">
      <c r="A7221" s="12"/>
    </row>
    <row r="7222" spans="1:1" x14ac:dyDescent="0.3">
      <c r="A7222" s="12"/>
    </row>
    <row r="7223" spans="1:1" x14ac:dyDescent="0.3">
      <c r="A7223" s="12"/>
    </row>
    <row r="7224" spans="1:1" x14ac:dyDescent="0.3">
      <c r="A7224" s="12"/>
    </row>
    <row r="7225" spans="1:1" x14ac:dyDescent="0.3">
      <c r="A7225" s="12"/>
    </row>
    <row r="7226" spans="1:1" x14ac:dyDescent="0.3">
      <c r="A7226" s="12"/>
    </row>
    <row r="7227" spans="1:1" x14ac:dyDescent="0.3">
      <c r="A7227" s="12"/>
    </row>
    <row r="7228" spans="1:1" x14ac:dyDescent="0.3">
      <c r="A7228" s="12"/>
    </row>
    <row r="7229" spans="1:1" x14ac:dyDescent="0.3">
      <c r="A7229" s="12"/>
    </row>
    <row r="7230" spans="1:1" x14ac:dyDescent="0.3">
      <c r="A7230" s="12"/>
    </row>
    <row r="7231" spans="1:1" x14ac:dyDescent="0.3">
      <c r="A7231" s="12"/>
    </row>
    <row r="7232" spans="1:1" x14ac:dyDescent="0.3">
      <c r="A7232" s="12"/>
    </row>
    <row r="7233" spans="1:1" x14ac:dyDescent="0.3">
      <c r="A7233" s="12"/>
    </row>
    <row r="7234" spans="1:1" x14ac:dyDescent="0.3">
      <c r="A7234" s="12"/>
    </row>
    <row r="7235" spans="1:1" x14ac:dyDescent="0.3">
      <c r="A7235" s="12"/>
    </row>
    <row r="7236" spans="1:1" x14ac:dyDescent="0.3">
      <c r="A7236" s="12"/>
    </row>
    <row r="7237" spans="1:1" x14ac:dyDescent="0.3">
      <c r="A7237" s="12"/>
    </row>
    <row r="7238" spans="1:1" x14ac:dyDescent="0.3">
      <c r="A7238" s="12"/>
    </row>
    <row r="7239" spans="1:1" x14ac:dyDescent="0.3">
      <c r="A7239" s="12"/>
    </row>
    <row r="7240" spans="1:1" x14ac:dyDescent="0.3">
      <c r="A7240" s="12"/>
    </row>
    <row r="7241" spans="1:1" x14ac:dyDescent="0.3">
      <c r="A7241" s="12"/>
    </row>
    <row r="7242" spans="1:1" x14ac:dyDescent="0.3">
      <c r="A7242" s="12"/>
    </row>
    <row r="7243" spans="1:1" x14ac:dyDescent="0.3">
      <c r="A7243" s="12"/>
    </row>
    <row r="7244" spans="1:1" x14ac:dyDescent="0.3">
      <c r="A7244" s="12"/>
    </row>
    <row r="7245" spans="1:1" x14ac:dyDescent="0.3">
      <c r="A7245" s="12"/>
    </row>
    <row r="7246" spans="1:1" x14ac:dyDescent="0.3">
      <c r="A7246" s="12"/>
    </row>
    <row r="7247" spans="1:1" x14ac:dyDescent="0.3">
      <c r="A7247" s="12"/>
    </row>
    <row r="7248" spans="1:1" x14ac:dyDescent="0.3">
      <c r="A7248" s="12"/>
    </row>
    <row r="7249" spans="1:1" x14ac:dyDescent="0.3">
      <c r="A7249" s="12"/>
    </row>
    <row r="7250" spans="1:1" x14ac:dyDescent="0.3">
      <c r="A7250" s="12"/>
    </row>
    <row r="7251" spans="1:1" x14ac:dyDescent="0.3">
      <c r="A7251" s="12"/>
    </row>
    <row r="7252" spans="1:1" x14ac:dyDescent="0.3">
      <c r="A7252" s="12"/>
    </row>
    <row r="7253" spans="1:1" x14ac:dyDescent="0.3">
      <c r="A7253" s="12"/>
    </row>
    <row r="7254" spans="1:1" x14ac:dyDescent="0.3">
      <c r="A7254" s="12"/>
    </row>
    <row r="7255" spans="1:1" x14ac:dyDescent="0.3">
      <c r="A7255" s="12"/>
    </row>
    <row r="7256" spans="1:1" x14ac:dyDescent="0.3">
      <c r="A7256" s="12"/>
    </row>
    <row r="7257" spans="1:1" x14ac:dyDescent="0.3">
      <c r="A7257" s="12"/>
    </row>
    <row r="7258" spans="1:1" x14ac:dyDescent="0.3">
      <c r="A7258" s="12"/>
    </row>
    <row r="7259" spans="1:1" x14ac:dyDescent="0.3">
      <c r="A7259" s="12"/>
    </row>
    <row r="7260" spans="1:1" x14ac:dyDescent="0.3">
      <c r="A7260" s="12"/>
    </row>
    <row r="7261" spans="1:1" x14ac:dyDescent="0.3">
      <c r="A7261" s="12"/>
    </row>
    <row r="7262" spans="1:1" x14ac:dyDescent="0.3">
      <c r="A7262" s="12"/>
    </row>
    <row r="7263" spans="1:1" x14ac:dyDescent="0.3">
      <c r="A7263" s="12"/>
    </row>
    <row r="7264" spans="1:1" x14ac:dyDescent="0.3">
      <c r="A7264" s="12"/>
    </row>
    <row r="7265" spans="1:1" x14ac:dyDescent="0.3">
      <c r="A7265" s="12"/>
    </row>
    <row r="7266" spans="1:1" x14ac:dyDescent="0.3">
      <c r="A7266" s="12"/>
    </row>
    <row r="7267" spans="1:1" x14ac:dyDescent="0.3">
      <c r="A7267" s="12"/>
    </row>
    <row r="7268" spans="1:1" x14ac:dyDescent="0.3">
      <c r="A7268" s="12"/>
    </row>
    <row r="7269" spans="1:1" x14ac:dyDescent="0.3">
      <c r="A7269" s="12"/>
    </row>
    <row r="7270" spans="1:1" x14ac:dyDescent="0.3">
      <c r="A7270" s="12"/>
    </row>
    <row r="7271" spans="1:1" x14ac:dyDescent="0.3">
      <c r="A7271" s="12"/>
    </row>
    <row r="7272" spans="1:1" x14ac:dyDescent="0.3">
      <c r="A7272" s="12"/>
    </row>
    <row r="7273" spans="1:1" x14ac:dyDescent="0.3">
      <c r="A7273" s="12"/>
    </row>
    <row r="7274" spans="1:1" x14ac:dyDescent="0.3">
      <c r="A7274" s="12"/>
    </row>
    <row r="7275" spans="1:1" x14ac:dyDescent="0.3">
      <c r="A7275" s="12"/>
    </row>
    <row r="7276" spans="1:1" x14ac:dyDescent="0.3">
      <c r="A7276" s="12"/>
    </row>
    <row r="7277" spans="1:1" x14ac:dyDescent="0.3">
      <c r="A7277" s="12"/>
    </row>
    <row r="7278" spans="1:1" x14ac:dyDescent="0.3">
      <c r="A7278" s="12"/>
    </row>
    <row r="7279" spans="1:1" x14ac:dyDescent="0.3">
      <c r="A7279" s="12"/>
    </row>
    <row r="7280" spans="1:1" x14ac:dyDescent="0.3">
      <c r="A7280" s="12"/>
    </row>
    <row r="7281" spans="1:1" x14ac:dyDescent="0.3">
      <c r="A7281" s="12"/>
    </row>
    <row r="7282" spans="1:1" x14ac:dyDescent="0.3">
      <c r="A7282" s="12"/>
    </row>
    <row r="7283" spans="1:1" x14ac:dyDescent="0.3">
      <c r="A7283" s="12"/>
    </row>
    <row r="7284" spans="1:1" x14ac:dyDescent="0.3">
      <c r="A7284" s="12"/>
    </row>
    <row r="7285" spans="1:1" x14ac:dyDescent="0.3">
      <c r="A7285" s="12"/>
    </row>
    <row r="7286" spans="1:1" x14ac:dyDescent="0.3">
      <c r="A7286" s="12"/>
    </row>
    <row r="7287" spans="1:1" x14ac:dyDescent="0.3">
      <c r="A7287" s="12"/>
    </row>
    <row r="7288" spans="1:1" x14ac:dyDescent="0.3">
      <c r="A7288" s="12"/>
    </row>
    <row r="7289" spans="1:1" x14ac:dyDescent="0.3">
      <c r="A7289" s="12"/>
    </row>
    <row r="7290" spans="1:1" x14ac:dyDescent="0.3">
      <c r="A7290" s="12"/>
    </row>
    <row r="7291" spans="1:1" x14ac:dyDescent="0.3">
      <c r="A7291" s="12"/>
    </row>
    <row r="7292" spans="1:1" x14ac:dyDescent="0.3">
      <c r="A7292" s="12"/>
    </row>
    <row r="7293" spans="1:1" x14ac:dyDescent="0.3">
      <c r="A7293" s="12"/>
    </row>
    <row r="7294" spans="1:1" x14ac:dyDescent="0.3">
      <c r="A7294" s="12"/>
    </row>
    <row r="7295" spans="1:1" x14ac:dyDescent="0.3">
      <c r="A7295" s="12"/>
    </row>
    <row r="7296" spans="1:1" x14ac:dyDescent="0.3">
      <c r="A7296" s="12"/>
    </row>
    <row r="7297" spans="1:1" x14ac:dyDescent="0.3">
      <c r="A7297" s="12"/>
    </row>
    <row r="7298" spans="1:1" x14ac:dyDescent="0.3">
      <c r="A7298" s="12"/>
    </row>
    <row r="7299" spans="1:1" x14ac:dyDescent="0.3">
      <c r="A7299" s="12"/>
    </row>
    <row r="7300" spans="1:1" x14ac:dyDescent="0.3">
      <c r="A7300" s="12"/>
    </row>
    <row r="7301" spans="1:1" x14ac:dyDescent="0.3">
      <c r="A7301" s="12"/>
    </row>
    <row r="7302" spans="1:1" x14ac:dyDescent="0.3">
      <c r="A7302" s="12"/>
    </row>
    <row r="7303" spans="1:1" x14ac:dyDescent="0.3">
      <c r="A7303" s="12"/>
    </row>
    <row r="7304" spans="1:1" x14ac:dyDescent="0.3">
      <c r="A7304" s="12"/>
    </row>
    <row r="7305" spans="1:1" x14ac:dyDescent="0.3">
      <c r="A7305" s="12"/>
    </row>
    <row r="7306" spans="1:1" x14ac:dyDescent="0.3">
      <c r="A7306" s="12"/>
    </row>
    <row r="7307" spans="1:1" x14ac:dyDescent="0.3">
      <c r="A7307" s="12"/>
    </row>
    <row r="7308" spans="1:1" x14ac:dyDescent="0.3">
      <c r="A7308" s="12"/>
    </row>
    <row r="7309" spans="1:1" x14ac:dyDescent="0.3">
      <c r="A7309" s="12"/>
    </row>
    <row r="7310" spans="1:1" x14ac:dyDescent="0.3">
      <c r="A7310" s="12"/>
    </row>
    <row r="7311" spans="1:1" x14ac:dyDescent="0.3">
      <c r="A7311" s="12"/>
    </row>
    <row r="7312" spans="1:1" x14ac:dyDescent="0.3">
      <c r="A7312" s="12"/>
    </row>
    <row r="7313" spans="1:1" x14ac:dyDescent="0.3">
      <c r="A7313" s="12"/>
    </row>
    <row r="7314" spans="1:1" x14ac:dyDescent="0.3">
      <c r="A7314" s="12"/>
    </row>
    <row r="7315" spans="1:1" x14ac:dyDescent="0.3">
      <c r="A7315" s="12"/>
    </row>
    <row r="7316" spans="1:1" x14ac:dyDescent="0.3">
      <c r="A7316" s="12"/>
    </row>
    <row r="7317" spans="1:1" x14ac:dyDescent="0.3">
      <c r="A7317" s="12"/>
    </row>
    <row r="7318" spans="1:1" x14ac:dyDescent="0.3">
      <c r="A7318" s="12"/>
    </row>
    <row r="7319" spans="1:1" x14ac:dyDescent="0.3">
      <c r="A7319" s="12"/>
    </row>
    <row r="7320" spans="1:1" x14ac:dyDescent="0.3">
      <c r="A7320" s="12"/>
    </row>
    <row r="7321" spans="1:1" x14ac:dyDescent="0.3">
      <c r="A7321" s="12"/>
    </row>
    <row r="7322" spans="1:1" x14ac:dyDescent="0.3">
      <c r="A7322" s="12"/>
    </row>
    <row r="7323" spans="1:1" x14ac:dyDescent="0.3">
      <c r="A7323" s="12"/>
    </row>
    <row r="7324" spans="1:1" x14ac:dyDescent="0.3">
      <c r="A7324" s="12"/>
    </row>
    <row r="7325" spans="1:1" x14ac:dyDescent="0.3">
      <c r="A7325" s="12"/>
    </row>
    <row r="7326" spans="1:1" x14ac:dyDescent="0.3">
      <c r="A7326" s="12"/>
    </row>
    <row r="7327" spans="1:1" x14ac:dyDescent="0.3">
      <c r="A7327" s="12"/>
    </row>
    <row r="7328" spans="1:1" x14ac:dyDescent="0.3">
      <c r="A7328" s="12"/>
    </row>
    <row r="7329" spans="1:1" x14ac:dyDescent="0.3">
      <c r="A7329" s="12"/>
    </row>
    <row r="7330" spans="1:1" x14ac:dyDescent="0.3">
      <c r="A7330" s="12"/>
    </row>
    <row r="7331" spans="1:1" x14ac:dyDescent="0.3">
      <c r="A7331" s="12"/>
    </row>
    <row r="7332" spans="1:1" x14ac:dyDescent="0.3">
      <c r="A7332" s="12"/>
    </row>
    <row r="7333" spans="1:1" x14ac:dyDescent="0.3">
      <c r="A7333" s="12"/>
    </row>
    <row r="7334" spans="1:1" x14ac:dyDescent="0.3">
      <c r="A7334" s="12"/>
    </row>
    <row r="7335" spans="1:1" x14ac:dyDescent="0.3">
      <c r="A7335" s="12"/>
    </row>
    <row r="7336" spans="1:1" x14ac:dyDescent="0.3">
      <c r="A7336" s="12"/>
    </row>
    <row r="7337" spans="1:1" x14ac:dyDescent="0.3">
      <c r="A7337" s="12"/>
    </row>
    <row r="7338" spans="1:1" x14ac:dyDescent="0.3">
      <c r="A7338" s="12"/>
    </row>
    <row r="7339" spans="1:1" x14ac:dyDescent="0.3">
      <c r="A7339" s="12"/>
    </row>
    <row r="7340" spans="1:1" x14ac:dyDescent="0.3">
      <c r="A7340" s="12"/>
    </row>
    <row r="7341" spans="1:1" x14ac:dyDescent="0.3">
      <c r="A7341" s="12"/>
    </row>
    <row r="7342" spans="1:1" x14ac:dyDescent="0.3">
      <c r="A7342" s="12"/>
    </row>
    <row r="7343" spans="1:1" x14ac:dyDescent="0.3">
      <c r="A7343" s="12"/>
    </row>
    <row r="7344" spans="1:1" x14ac:dyDescent="0.3">
      <c r="A7344" s="12"/>
    </row>
    <row r="7345" spans="1:1" x14ac:dyDescent="0.3">
      <c r="A7345" s="12"/>
    </row>
    <row r="7346" spans="1:1" x14ac:dyDescent="0.3">
      <c r="A7346" s="12"/>
    </row>
    <row r="7347" spans="1:1" x14ac:dyDescent="0.3">
      <c r="A7347" s="12"/>
    </row>
    <row r="7348" spans="1:1" x14ac:dyDescent="0.3">
      <c r="A7348" s="12"/>
    </row>
    <row r="7349" spans="1:1" x14ac:dyDescent="0.3">
      <c r="A7349" s="12"/>
    </row>
    <row r="7350" spans="1:1" x14ac:dyDescent="0.3">
      <c r="A7350" s="12"/>
    </row>
    <row r="7351" spans="1:1" x14ac:dyDescent="0.3">
      <c r="A7351" s="12"/>
    </row>
    <row r="7352" spans="1:1" x14ac:dyDescent="0.3">
      <c r="A7352" s="12"/>
    </row>
    <row r="7353" spans="1:1" x14ac:dyDescent="0.3">
      <c r="A7353" s="12"/>
    </row>
    <row r="7354" spans="1:1" x14ac:dyDescent="0.3">
      <c r="A7354" s="12"/>
    </row>
    <row r="7355" spans="1:1" x14ac:dyDescent="0.3">
      <c r="A7355" s="12"/>
    </row>
    <row r="7356" spans="1:1" x14ac:dyDescent="0.3">
      <c r="A7356" s="12"/>
    </row>
    <row r="7357" spans="1:1" x14ac:dyDescent="0.3">
      <c r="A7357" s="12"/>
    </row>
    <row r="7358" spans="1:1" x14ac:dyDescent="0.3">
      <c r="A7358" s="12"/>
    </row>
    <row r="7359" spans="1:1" x14ac:dyDescent="0.3">
      <c r="A7359" s="12"/>
    </row>
    <row r="7360" spans="1:1" x14ac:dyDescent="0.3">
      <c r="A7360" s="12"/>
    </row>
    <row r="7361" spans="1:1" x14ac:dyDescent="0.3">
      <c r="A7361" s="12"/>
    </row>
    <row r="7362" spans="1:1" x14ac:dyDescent="0.3">
      <c r="A7362" s="12"/>
    </row>
    <row r="7363" spans="1:1" x14ac:dyDescent="0.3">
      <c r="A7363" s="12"/>
    </row>
    <row r="7364" spans="1:1" x14ac:dyDescent="0.3">
      <c r="A7364" s="12"/>
    </row>
    <row r="7365" spans="1:1" x14ac:dyDescent="0.3">
      <c r="A7365" s="12"/>
    </row>
    <row r="7366" spans="1:1" x14ac:dyDescent="0.3">
      <c r="A7366" s="12"/>
    </row>
    <row r="7367" spans="1:1" x14ac:dyDescent="0.3">
      <c r="A7367" s="12"/>
    </row>
    <row r="7368" spans="1:1" x14ac:dyDescent="0.3">
      <c r="A7368" s="12"/>
    </row>
    <row r="7369" spans="1:1" x14ac:dyDescent="0.3">
      <c r="A7369" s="12"/>
    </row>
    <row r="7370" spans="1:1" x14ac:dyDescent="0.3">
      <c r="A7370" s="12"/>
    </row>
    <row r="7371" spans="1:1" x14ac:dyDescent="0.3">
      <c r="A7371" s="12"/>
    </row>
    <row r="7372" spans="1:1" x14ac:dyDescent="0.3">
      <c r="A7372" s="12"/>
    </row>
    <row r="7373" spans="1:1" x14ac:dyDescent="0.3">
      <c r="A7373" s="12"/>
    </row>
    <row r="7374" spans="1:1" x14ac:dyDescent="0.3">
      <c r="A7374" s="12"/>
    </row>
    <row r="7375" spans="1:1" x14ac:dyDescent="0.3">
      <c r="A7375" s="12"/>
    </row>
    <row r="7376" spans="1:1" x14ac:dyDescent="0.3">
      <c r="A7376" s="12"/>
    </row>
    <row r="7377" spans="1:1" x14ac:dyDescent="0.3">
      <c r="A7377" s="12"/>
    </row>
    <row r="7378" spans="1:1" x14ac:dyDescent="0.3">
      <c r="A7378" s="12"/>
    </row>
    <row r="7379" spans="1:1" x14ac:dyDescent="0.3">
      <c r="A7379" s="12"/>
    </row>
    <row r="7380" spans="1:1" x14ac:dyDescent="0.3">
      <c r="A7380" s="12"/>
    </row>
    <row r="7381" spans="1:1" x14ac:dyDescent="0.3">
      <c r="A7381" s="12"/>
    </row>
    <row r="7382" spans="1:1" x14ac:dyDescent="0.3">
      <c r="A7382" s="12"/>
    </row>
    <row r="7383" spans="1:1" x14ac:dyDescent="0.3">
      <c r="A7383" s="12"/>
    </row>
    <row r="7384" spans="1:1" x14ac:dyDescent="0.3">
      <c r="A7384" s="12"/>
    </row>
    <row r="7385" spans="1:1" x14ac:dyDescent="0.3">
      <c r="A7385" s="12"/>
    </row>
    <row r="7386" spans="1:1" x14ac:dyDescent="0.3">
      <c r="A7386" s="12"/>
    </row>
    <row r="7387" spans="1:1" x14ac:dyDescent="0.3">
      <c r="A7387" s="12"/>
    </row>
    <row r="7388" spans="1:1" x14ac:dyDescent="0.3">
      <c r="A7388" s="12"/>
    </row>
    <row r="7389" spans="1:1" x14ac:dyDescent="0.3">
      <c r="A7389" s="12"/>
    </row>
    <row r="7390" spans="1:1" x14ac:dyDescent="0.3">
      <c r="A7390" s="12"/>
    </row>
    <row r="7391" spans="1:1" x14ac:dyDescent="0.3">
      <c r="A7391" s="12"/>
    </row>
    <row r="7392" spans="1:1" x14ac:dyDescent="0.3">
      <c r="A7392" s="12"/>
    </row>
    <row r="7393" spans="1:1" x14ac:dyDescent="0.3">
      <c r="A7393" s="12"/>
    </row>
    <row r="7394" spans="1:1" x14ac:dyDescent="0.3">
      <c r="A7394" s="12"/>
    </row>
    <row r="7395" spans="1:1" x14ac:dyDescent="0.3">
      <c r="A7395" s="12"/>
    </row>
    <row r="7396" spans="1:1" x14ac:dyDescent="0.3">
      <c r="A7396" s="12"/>
    </row>
    <row r="7397" spans="1:1" x14ac:dyDescent="0.3">
      <c r="A7397" s="12"/>
    </row>
    <row r="7398" spans="1:1" x14ac:dyDescent="0.3">
      <c r="A7398" s="12"/>
    </row>
    <row r="7399" spans="1:1" x14ac:dyDescent="0.3">
      <c r="A7399" s="12"/>
    </row>
    <row r="7400" spans="1:1" x14ac:dyDescent="0.3">
      <c r="A7400" s="12"/>
    </row>
    <row r="7401" spans="1:1" x14ac:dyDescent="0.3">
      <c r="A7401" s="12"/>
    </row>
    <row r="7402" spans="1:1" x14ac:dyDescent="0.3">
      <c r="A7402" s="12"/>
    </row>
    <row r="7403" spans="1:1" x14ac:dyDescent="0.3">
      <c r="A7403" s="12"/>
    </row>
    <row r="7404" spans="1:1" x14ac:dyDescent="0.3">
      <c r="A7404" s="12"/>
    </row>
    <row r="7405" spans="1:1" x14ac:dyDescent="0.3">
      <c r="A7405" s="12"/>
    </row>
    <row r="7406" spans="1:1" x14ac:dyDescent="0.3">
      <c r="A7406" s="12"/>
    </row>
    <row r="7407" spans="1:1" x14ac:dyDescent="0.3">
      <c r="A7407" s="12"/>
    </row>
    <row r="7408" spans="1:1" x14ac:dyDescent="0.3">
      <c r="A7408" s="12"/>
    </row>
    <row r="7409" spans="1:1" x14ac:dyDescent="0.3">
      <c r="A7409" s="12"/>
    </row>
    <row r="7410" spans="1:1" x14ac:dyDescent="0.3">
      <c r="A7410" s="12"/>
    </row>
    <row r="7411" spans="1:1" x14ac:dyDescent="0.3">
      <c r="A7411" s="12"/>
    </row>
    <row r="7412" spans="1:1" x14ac:dyDescent="0.3">
      <c r="A7412" s="12"/>
    </row>
    <row r="7413" spans="1:1" x14ac:dyDescent="0.3">
      <c r="A7413" s="12"/>
    </row>
    <row r="7414" spans="1:1" x14ac:dyDescent="0.3">
      <c r="A7414" s="12"/>
    </row>
    <row r="7415" spans="1:1" x14ac:dyDescent="0.3">
      <c r="A7415" s="12"/>
    </row>
    <row r="7416" spans="1:1" x14ac:dyDescent="0.3">
      <c r="A7416" s="12"/>
    </row>
    <row r="7417" spans="1:1" x14ac:dyDescent="0.3">
      <c r="A7417" s="12"/>
    </row>
    <row r="7418" spans="1:1" x14ac:dyDescent="0.3">
      <c r="A7418" s="12"/>
    </row>
    <row r="7419" spans="1:1" x14ac:dyDescent="0.3">
      <c r="A7419" s="12"/>
    </row>
    <row r="7420" spans="1:1" x14ac:dyDescent="0.3">
      <c r="A7420" s="12"/>
    </row>
    <row r="7421" spans="1:1" x14ac:dyDescent="0.3">
      <c r="A7421" s="12"/>
    </row>
    <row r="7422" spans="1:1" x14ac:dyDescent="0.3">
      <c r="A7422" s="12"/>
    </row>
    <row r="7423" spans="1:1" x14ac:dyDescent="0.3">
      <c r="A7423" s="12"/>
    </row>
    <row r="7424" spans="1:1" x14ac:dyDescent="0.3">
      <c r="A7424" s="12"/>
    </row>
    <row r="7425" spans="1:1" x14ac:dyDescent="0.3">
      <c r="A7425" s="12"/>
    </row>
    <row r="7426" spans="1:1" x14ac:dyDescent="0.3">
      <c r="A7426" s="12"/>
    </row>
    <row r="7427" spans="1:1" x14ac:dyDescent="0.3">
      <c r="A7427" s="12"/>
    </row>
    <row r="7428" spans="1:1" x14ac:dyDescent="0.3">
      <c r="A7428" s="12"/>
    </row>
    <row r="7429" spans="1:1" x14ac:dyDescent="0.3">
      <c r="A7429" s="12"/>
    </row>
    <row r="7430" spans="1:1" x14ac:dyDescent="0.3">
      <c r="A7430" s="12"/>
    </row>
    <row r="7431" spans="1:1" x14ac:dyDescent="0.3">
      <c r="A7431" s="12"/>
    </row>
    <row r="7432" spans="1:1" x14ac:dyDescent="0.3">
      <c r="A7432" s="12"/>
    </row>
    <row r="7433" spans="1:1" x14ac:dyDescent="0.3">
      <c r="A7433" s="12"/>
    </row>
    <row r="7434" spans="1:1" x14ac:dyDescent="0.3">
      <c r="A7434" s="12"/>
    </row>
    <row r="7435" spans="1:1" x14ac:dyDescent="0.3">
      <c r="A7435" s="12"/>
    </row>
    <row r="7436" spans="1:1" x14ac:dyDescent="0.3">
      <c r="A7436" s="12"/>
    </row>
    <row r="7437" spans="1:1" x14ac:dyDescent="0.3">
      <c r="A7437" s="12"/>
    </row>
    <row r="7438" spans="1:1" x14ac:dyDescent="0.3">
      <c r="A7438" s="12"/>
    </row>
    <row r="7439" spans="1:1" x14ac:dyDescent="0.3">
      <c r="A7439" s="12"/>
    </row>
    <row r="7440" spans="1:1" x14ac:dyDescent="0.3">
      <c r="A7440" s="12"/>
    </row>
    <row r="7441" spans="1:1" x14ac:dyDescent="0.3">
      <c r="A7441" s="12"/>
    </row>
    <row r="7442" spans="1:1" x14ac:dyDescent="0.3">
      <c r="A7442" s="12"/>
    </row>
    <row r="7443" spans="1:1" x14ac:dyDescent="0.3">
      <c r="A7443" s="12"/>
    </row>
    <row r="7444" spans="1:1" x14ac:dyDescent="0.3">
      <c r="A7444" s="12"/>
    </row>
    <row r="7445" spans="1:1" x14ac:dyDescent="0.3">
      <c r="A7445" s="12"/>
    </row>
    <row r="7446" spans="1:1" x14ac:dyDescent="0.3">
      <c r="A7446" s="12"/>
    </row>
    <row r="7447" spans="1:1" x14ac:dyDescent="0.3">
      <c r="A7447" s="12"/>
    </row>
    <row r="7448" spans="1:1" x14ac:dyDescent="0.3">
      <c r="A7448" s="12"/>
    </row>
    <row r="7449" spans="1:1" x14ac:dyDescent="0.3">
      <c r="A7449" s="12"/>
    </row>
    <row r="7450" spans="1:1" x14ac:dyDescent="0.3">
      <c r="A7450" s="12"/>
    </row>
    <row r="7451" spans="1:1" x14ac:dyDescent="0.3">
      <c r="A7451" s="12"/>
    </row>
    <row r="7452" spans="1:1" x14ac:dyDescent="0.3">
      <c r="A7452" s="12"/>
    </row>
    <row r="7453" spans="1:1" x14ac:dyDescent="0.3">
      <c r="A7453" s="12"/>
    </row>
    <row r="7454" spans="1:1" x14ac:dyDescent="0.3">
      <c r="A7454" s="12"/>
    </row>
    <row r="7455" spans="1:1" x14ac:dyDescent="0.3">
      <c r="A7455" s="12"/>
    </row>
    <row r="7456" spans="1:1" x14ac:dyDescent="0.3">
      <c r="A7456" s="12"/>
    </row>
    <row r="7457" spans="1:1" x14ac:dyDescent="0.3">
      <c r="A7457" s="12"/>
    </row>
    <row r="7458" spans="1:1" x14ac:dyDescent="0.3">
      <c r="A7458" s="12"/>
    </row>
    <row r="7459" spans="1:1" x14ac:dyDescent="0.3">
      <c r="A7459" s="12"/>
    </row>
    <row r="7460" spans="1:1" x14ac:dyDescent="0.3">
      <c r="A7460" s="12"/>
    </row>
    <row r="7461" spans="1:1" x14ac:dyDescent="0.3">
      <c r="A7461" s="12"/>
    </row>
    <row r="7462" spans="1:1" x14ac:dyDescent="0.3">
      <c r="A7462" s="12"/>
    </row>
    <row r="7463" spans="1:1" x14ac:dyDescent="0.3">
      <c r="A7463" s="12"/>
    </row>
    <row r="7464" spans="1:1" x14ac:dyDescent="0.3">
      <c r="A7464" s="12"/>
    </row>
    <row r="7465" spans="1:1" x14ac:dyDescent="0.3">
      <c r="A7465" s="12"/>
    </row>
    <row r="7466" spans="1:1" x14ac:dyDescent="0.3">
      <c r="A7466" s="12"/>
    </row>
    <row r="7467" spans="1:1" x14ac:dyDescent="0.3">
      <c r="A7467" s="12"/>
    </row>
    <row r="7468" spans="1:1" x14ac:dyDescent="0.3">
      <c r="A7468" s="12"/>
    </row>
    <row r="7469" spans="1:1" x14ac:dyDescent="0.3">
      <c r="A7469" s="12"/>
    </row>
    <row r="7470" spans="1:1" x14ac:dyDescent="0.3">
      <c r="A7470" s="12"/>
    </row>
    <row r="7471" spans="1:1" x14ac:dyDescent="0.3">
      <c r="A7471" s="12"/>
    </row>
    <row r="7472" spans="1:1" x14ac:dyDescent="0.3">
      <c r="A7472" s="12"/>
    </row>
    <row r="7473" spans="1:1" x14ac:dyDescent="0.3">
      <c r="A7473" s="12"/>
    </row>
    <row r="7474" spans="1:1" x14ac:dyDescent="0.3">
      <c r="A7474" s="12"/>
    </row>
    <row r="7475" spans="1:1" x14ac:dyDescent="0.3">
      <c r="A7475" s="12"/>
    </row>
    <row r="7476" spans="1:1" x14ac:dyDescent="0.3">
      <c r="A7476" s="12"/>
    </row>
    <row r="7477" spans="1:1" x14ac:dyDescent="0.3">
      <c r="A7477" s="12"/>
    </row>
    <row r="7478" spans="1:1" x14ac:dyDescent="0.3">
      <c r="A7478" s="12"/>
    </row>
    <row r="7479" spans="1:1" x14ac:dyDescent="0.3">
      <c r="A7479" s="12"/>
    </row>
    <row r="7480" spans="1:1" x14ac:dyDescent="0.3">
      <c r="A7480" s="12"/>
    </row>
    <row r="7481" spans="1:1" x14ac:dyDescent="0.3">
      <c r="A7481" s="12"/>
    </row>
    <row r="7482" spans="1:1" x14ac:dyDescent="0.3">
      <c r="A7482" s="12"/>
    </row>
    <row r="7483" spans="1:1" x14ac:dyDescent="0.3">
      <c r="A7483" s="12"/>
    </row>
    <row r="7484" spans="1:1" x14ac:dyDescent="0.3">
      <c r="A7484" s="12"/>
    </row>
    <row r="7485" spans="1:1" x14ac:dyDescent="0.3">
      <c r="A7485" s="12"/>
    </row>
    <row r="7486" spans="1:1" x14ac:dyDescent="0.3">
      <c r="A7486" s="12"/>
    </row>
    <row r="7487" spans="1:1" x14ac:dyDescent="0.3">
      <c r="A7487" s="12"/>
    </row>
    <row r="7488" spans="1:1" x14ac:dyDescent="0.3">
      <c r="A7488" s="12"/>
    </row>
    <row r="7489" spans="1:1" x14ac:dyDescent="0.3">
      <c r="A7489" s="12"/>
    </row>
    <row r="7490" spans="1:1" x14ac:dyDescent="0.3">
      <c r="A7490" s="12"/>
    </row>
    <row r="7491" spans="1:1" x14ac:dyDescent="0.3">
      <c r="A7491" s="12"/>
    </row>
    <row r="7492" spans="1:1" x14ac:dyDescent="0.3">
      <c r="A7492" s="12"/>
    </row>
    <row r="7493" spans="1:1" x14ac:dyDescent="0.3">
      <c r="A7493" s="12"/>
    </row>
    <row r="7494" spans="1:1" x14ac:dyDescent="0.3">
      <c r="A7494" s="12"/>
    </row>
    <row r="7495" spans="1:1" x14ac:dyDescent="0.3">
      <c r="A7495" s="12"/>
    </row>
    <row r="7496" spans="1:1" x14ac:dyDescent="0.3">
      <c r="A7496" s="12"/>
    </row>
    <row r="7497" spans="1:1" x14ac:dyDescent="0.3">
      <c r="A7497" s="12"/>
    </row>
    <row r="7498" spans="1:1" x14ac:dyDescent="0.3">
      <c r="A7498" s="12"/>
    </row>
    <row r="7499" spans="1:1" x14ac:dyDescent="0.3">
      <c r="A7499" s="12"/>
    </row>
    <row r="7500" spans="1:1" x14ac:dyDescent="0.3">
      <c r="A7500" s="12"/>
    </row>
    <row r="7501" spans="1:1" x14ac:dyDescent="0.3">
      <c r="A7501" s="12"/>
    </row>
    <row r="7502" spans="1:1" x14ac:dyDescent="0.3">
      <c r="A7502" s="12"/>
    </row>
    <row r="7503" spans="1:1" x14ac:dyDescent="0.3">
      <c r="A7503" s="12"/>
    </row>
    <row r="7504" spans="1:1" x14ac:dyDescent="0.3">
      <c r="A7504" s="12"/>
    </row>
    <row r="7505" spans="1:1" x14ac:dyDescent="0.3">
      <c r="A7505" s="12"/>
    </row>
    <row r="7506" spans="1:1" x14ac:dyDescent="0.3">
      <c r="A7506" s="12"/>
    </row>
    <row r="7507" spans="1:1" x14ac:dyDescent="0.3">
      <c r="A7507" s="12"/>
    </row>
    <row r="7508" spans="1:1" x14ac:dyDescent="0.3">
      <c r="A7508" s="12"/>
    </row>
    <row r="7509" spans="1:1" x14ac:dyDescent="0.3">
      <c r="A7509" s="12"/>
    </row>
    <row r="7510" spans="1:1" x14ac:dyDescent="0.3">
      <c r="A7510" s="12"/>
    </row>
    <row r="7511" spans="1:1" x14ac:dyDescent="0.3">
      <c r="A7511" s="12"/>
    </row>
    <row r="7512" spans="1:1" x14ac:dyDescent="0.3">
      <c r="A7512" s="12"/>
    </row>
    <row r="7513" spans="1:1" x14ac:dyDescent="0.3">
      <c r="A7513" s="12"/>
    </row>
    <row r="7514" spans="1:1" x14ac:dyDescent="0.3">
      <c r="A7514" s="12"/>
    </row>
    <row r="7515" spans="1:1" x14ac:dyDescent="0.3">
      <c r="A7515" s="12"/>
    </row>
    <row r="7516" spans="1:1" x14ac:dyDescent="0.3">
      <c r="A7516" s="12"/>
    </row>
    <row r="7517" spans="1:1" x14ac:dyDescent="0.3">
      <c r="A7517" s="12"/>
    </row>
    <row r="7518" spans="1:1" x14ac:dyDescent="0.3">
      <c r="A7518" s="12"/>
    </row>
    <row r="7519" spans="1:1" x14ac:dyDescent="0.3">
      <c r="A7519" s="12"/>
    </row>
    <row r="7520" spans="1:1" x14ac:dyDescent="0.3">
      <c r="A7520" s="12"/>
    </row>
    <row r="7521" spans="1:1" x14ac:dyDescent="0.3">
      <c r="A7521" s="12"/>
    </row>
    <row r="7522" spans="1:1" x14ac:dyDescent="0.3">
      <c r="A7522" s="12"/>
    </row>
    <row r="7523" spans="1:1" x14ac:dyDescent="0.3">
      <c r="A7523" s="12"/>
    </row>
    <row r="7524" spans="1:1" x14ac:dyDescent="0.3">
      <c r="A7524" s="12"/>
    </row>
    <row r="7525" spans="1:1" x14ac:dyDescent="0.3">
      <c r="A7525" s="12"/>
    </row>
    <row r="7526" spans="1:1" x14ac:dyDescent="0.3">
      <c r="A7526" s="12"/>
    </row>
    <row r="7527" spans="1:1" x14ac:dyDescent="0.3">
      <c r="A7527" s="12"/>
    </row>
    <row r="7528" spans="1:1" x14ac:dyDescent="0.3">
      <c r="A7528" s="12"/>
    </row>
    <row r="7529" spans="1:1" x14ac:dyDescent="0.3">
      <c r="A7529" s="12"/>
    </row>
    <row r="7530" spans="1:1" x14ac:dyDescent="0.3">
      <c r="A7530" s="12"/>
    </row>
    <row r="7531" spans="1:1" x14ac:dyDescent="0.3">
      <c r="A7531" s="12"/>
    </row>
    <row r="7532" spans="1:1" x14ac:dyDescent="0.3">
      <c r="A7532" s="12"/>
    </row>
    <row r="7533" spans="1:1" x14ac:dyDescent="0.3">
      <c r="A7533" s="12"/>
    </row>
    <row r="7534" spans="1:1" x14ac:dyDescent="0.3">
      <c r="A7534" s="12"/>
    </row>
    <row r="7535" spans="1:1" x14ac:dyDescent="0.3">
      <c r="A7535" s="12"/>
    </row>
    <row r="7536" spans="1:1" x14ac:dyDescent="0.3">
      <c r="A7536" s="12"/>
    </row>
    <row r="7537" spans="1:1" x14ac:dyDescent="0.3">
      <c r="A7537" s="12"/>
    </row>
    <row r="7538" spans="1:1" x14ac:dyDescent="0.3">
      <c r="A7538" s="12"/>
    </row>
    <row r="7539" spans="1:1" x14ac:dyDescent="0.3">
      <c r="A7539" s="12"/>
    </row>
    <row r="7540" spans="1:1" x14ac:dyDescent="0.3">
      <c r="A7540" s="12"/>
    </row>
    <row r="7541" spans="1:1" x14ac:dyDescent="0.3">
      <c r="A7541" s="12"/>
    </row>
    <row r="7542" spans="1:1" x14ac:dyDescent="0.3">
      <c r="A7542" s="12"/>
    </row>
    <row r="7543" spans="1:1" x14ac:dyDescent="0.3">
      <c r="A7543" s="12"/>
    </row>
    <row r="7544" spans="1:1" x14ac:dyDescent="0.3">
      <c r="A7544" s="12"/>
    </row>
    <row r="7545" spans="1:1" x14ac:dyDescent="0.3">
      <c r="A7545" s="12"/>
    </row>
    <row r="7546" spans="1:1" x14ac:dyDescent="0.3">
      <c r="A7546" s="12"/>
    </row>
    <row r="7547" spans="1:1" x14ac:dyDescent="0.3">
      <c r="A7547" s="12"/>
    </row>
    <row r="7548" spans="1:1" x14ac:dyDescent="0.3">
      <c r="A7548" s="12"/>
    </row>
    <row r="7549" spans="1:1" x14ac:dyDescent="0.3">
      <c r="A7549" s="12"/>
    </row>
    <row r="7550" spans="1:1" x14ac:dyDescent="0.3">
      <c r="A7550" s="12"/>
    </row>
    <row r="7551" spans="1:1" x14ac:dyDescent="0.3">
      <c r="A7551" s="12"/>
    </row>
    <row r="7552" spans="1:1" x14ac:dyDescent="0.3">
      <c r="A7552" s="12"/>
    </row>
    <row r="7553" spans="1:1" x14ac:dyDescent="0.3">
      <c r="A7553" s="12"/>
    </row>
    <row r="7554" spans="1:1" x14ac:dyDescent="0.3">
      <c r="A7554" s="12"/>
    </row>
    <row r="7555" spans="1:1" x14ac:dyDescent="0.3">
      <c r="A7555" s="12"/>
    </row>
    <row r="7556" spans="1:1" x14ac:dyDescent="0.3">
      <c r="A7556" s="12"/>
    </row>
    <row r="7557" spans="1:1" x14ac:dyDescent="0.3">
      <c r="A7557" s="12"/>
    </row>
    <row r="7558" spans="1:1" x14ac:dyDescent="0.3">
      <c r="A7558" s="12"/>
    </row>
    <row r="7559" spans="1:1" x14ac:dyDescent="0.3">
      <c r="A7559" s="12"/>
    </row>
    <row r="7560" spans="1:1" x14ac:dyDescent="0.3">
      <c r="A7560" s="12"/>
    </row>
    <row r="7561" spans="1:1" x14ac:dyDescent="0.3">
      <c r="A7561" s="12"/>
    </row>
    <row r="7562" spans="1:1" x14ac:dyDescent="0.3">
      <c r="A7562" s="12"/>
    </row>
    <row r="7563" spans="1:1" x14ac:dyDescent="0.3">
      <c r="A7563" s="12"/>
    </row>
    <row r="7564" spans="1:1" x14ac:dyDescent="0.3">
      <c r="A7564" s="12"/>
    </row>
    <row r="7565" spans="1:1" x14ac:dyDescent="0.3">
      <c r="A7565" s="12"/>
    </row>
    <row r="7566" spans="1:1" x14ac:dyDescent="0.3">
      <c r="A7566" s="12"/>
    </row>
    <row r="7567" spans="1:1" x14ac:dyDescent="0.3">
      <c r="A7567" s="12"/>
    </row>
    <row r="7568" spans="1:1" x14ac:dyDescent="0.3">
      <c r="A7568" s="12"/>
    </row>
    <row r="7569" spans="1:1" x14ac:dyDescent="0.3">
      <c r="A7569" s="12"/>
    </row>
    <row r="7570" spans="1:1" x14ac:dyDescent="0.3">
      <c r="A7570" s="12"/>
    </row>
    <row r="7571" spans="1:1" x14ac:dyDescent="0.3">
      <c r="A7571" s="12"/>
    </row>
    <row r="7572" spans="1:1" x14ac:dyDescent="0.3">
      <c r="A7572" s="12"/>
    </row>
    <row r="7573" spans="1:1" x14ac:dyDescent="0.3">
      <c r="A7573" s="12"/>
    </row>
    <row r="7574" spans="1:1" x14ac:dyDescent="0.3">
      <c r="A7574" s="12"/>
    </row>
    <row r="7575" spans="1:1" x14ac:dyDescent="0.3">
      <c r="A7575" s="12"/>
    </row>
    <row r="7576" spans="1:1" x14ac:dyDescent="0.3">
      <c r="A7576" s="12"/>
    </row>
    <row r="7577" spans="1:1" x14ac:dyDescent="0.3">
      <c r="A7577" s="12"/>
    </row>
    <row r="7578" spans="1:1" x14ac:dyDescent="0.3">
      <c r="A7578" s="12"/>
    </row>
    <row r="7579" spans="1:1" x14ac:dyDescent="0.3">
      <c r="A7579" s="12"/>
    </row>
    <row r="7580" spans="1:1" x14ac:dyDescent="0.3">
      <c r="A7580" s="12"/>
    </row>
    <row r="7581" spans="1:1" x14ac:dyDescent="0.3">
      <c r="A7581" s="12"/>
    </row>
    <row r="7582" spans="1:1" x14ac:dyDescent="0.3">
      <c r="A7582" s="12"/>
    </row>
    <row r="7583" spans="1:1" x14ac:dyDescent="0.3">
      <c r="A7583" s="12"/>
    </row>
    <row r="7584" spans="1:1" x14ac:dyDescent="0.3">
      <c r="A7584" s="12"/>
    </row>
    <row r="7585" spans="1:1" x14ac:dyDescent="0.3">
      <c r="A7585" s="12"/>
    </row>
    <row r="7586" spans="1:1" x14ac:dyDescent="0.3">
      <c r="A7586" s="12"/>
    </row>
    <row r="7587" spans="1:1" x14ac:dyDescent="0.3">
      <c r="A7587" s="12"/>
    </row>
    <row r="7588" spans="1:1" x14ac:dyDescent="0.3">
      <c r="A7588" s="12"/>
    </row>
    <row r="7589" spans="1:1" x14ac:dyDescent="0.3">
      <c r="A7589" s="12"/>
    </row>
    <row r="7590" spans="1:1" x14ac:dyDescent="0.3">
      <c r="A7590" s="12"/>
    </row>
    <row r="7591" spans="1:1" x14ac:dyDescent="0.3">
      <c r="A7591" s="12"/>
    </row>
    <row r="7592" spans="1:1" x14ac:dyDescent="0.3">
      <c r="A7592" s="12"/>
    </row>
    <row r="7593" spans="1:1" x14ac:dyDescent="0.3">
      <c r="A7593" s="12"/>
    </row>
    <row r="7594" spans="1:1" x14ac:dyDescent="0.3">
      <c r="A7594" s="12"/>
    </row>
    <row r="7595" spans="1:1" x14ac:dyDescent="0.3">
      <c r="A7595" s="12"/>
    </row>
    <row r="7596" spans="1:1" x14ac:dyDescent="0.3">
      <c r="A7596" s="12"/>
    </row>
    <row r="7597" spans="1:1" x14ac:dyDescent="0.3">
      <c r="A7597" s="12"/>
    </row>
    <row r="7598" spans="1:1" x14ac:dyDescent="0.3">
      <c r="A7598" s="12"/>
    </row>
    <row r="7599" spans="1:1" x14ac:dyDescent="0.3">
      <c r="A7599" s="12"/>
    </row>
    <row r="7600" spans="1:1" x14ac:dyDescent="0.3">
      <c r="A7600" s="12"/>
    </row>
    <row r="7601" spans="1:1" x14ac:dyDescent="0.3">
      <c r="A7601" s="12"/>
    </row>
    <row r="7602" spans="1:1" x14ac:dyDescent="0.3">
      <c r="A7602" s="12"/>
    </row>
    <row r="7603" spans="1:1" x14ac:dyDescent="0.3">
      <c r="A7603" s="12"/>
    </row>
    <row r="7604" spans="1:1" x14ac:dyDescent="0.3">
      <c r="A7604" s="12"/>
    </row>
    <row r="7605" spans="1:1" x14ac:dyDescent="0.3">
      <c r="A7605" s="12"/>
    </row>
    <row r="7606" spans="1:1" x14ac:dyDescent="0.3">
      <c r="A7606" s="12"/>
    </row>
    <row r="7607" spans="1:1" x14ac:dyDescent="0.3">
      <c r="A7607" s="12"/>
    </row>
    <row r="7608" spans="1:1" x14ac:dyDescent="0.3">
      <c r="A7608" s="12"/>
    </row>
    <row r="7609" spans="1:1" x14ac:dyDescent="0.3">
      <c r="A7609" s="12"/>
    </row>
    <row r="7610" spans="1:1" x14ac:dyDescent="0.3">
      <c r="A7610" s="12"/>
    </row>
    <row r="7611" spans="1:1" x14ac:dyDescent="0.3">
      <c r="A7611" s="12"/>
    </row>
    <row r="7612" spans="1:1" x14ac:dyDescent="0.3">
      <c r="A7612" s="12"/>
    </row>
    <row r="7613" spans="1:1" x14ac:dyDescent="0.3">
      <c r="A7613" s="12"/>
    </row>
    <row r="7614" spans="1:1" x14ac:dyDescent="0.3">
      <c r="A7614" s="12"/>
    </row>
    <row r="7615" spans="1:1" x14ac:dyDescent="0.3">
      <c r="A7615" s="12"/>
    </row>
    <row r="7616" spans="1:1" x14ac:dyDescent="0.3">
      <c r="A7616" s="12"/>
    </row>
    <row r="7617" spans="1:1" x14ac:dyDescent="0.3">
      <c r="A7617" s="12"/>
    </row>
    <row r="7618" spans="1:1" x14ac:dyDescent="0.3">
      <c r="A7618" s="12"/>
    </row>
    <row r="7619" spans="1:1" x14ac:dyDescent="0.3">
      <c r="A7619" s="12"/>
    </row>
    <row r="7620" spans="1:1" x14ac:dyDescent="0.3">
      <c r="A7620" s="12"/>
    </row>
    <row r="7621" spans="1:1" x14ac:dyDescent="0.3">
      <c r="A7621" s="12"/>
    </row>
    <row r="7622" spans="1:1" x14ac:dyDescent="0.3">
      <c r="A7622" s="12"/>
    </row>
    <row r="7623" spans="1:1" x14ac:dyDescent="0.3">
      <c r="A7623" s="12"/>
    </row>
    <row r="7624" spans="1:1" x14ac:dyDescent="0.3">
      <c r="A7624" s="12"/>
    </row>
    <row r="7625" spans="1:1" x14ac:dyDescent="0.3">
      <c r="A7625" s="12"/>
    </row>
    <row r="7626" spans="1:1" x14ac:dyDescent="0.3">
      <c r="A7626" s="12"/>
    </row>
    <row r="7627" spans="1:1" x14ac:dyDescent="0.3">
      <c r="A7627" s="12"/>
    </row>
    <row r="7628" spans="1:1" x14ac:dyDescent="0.3">
      <c r="A7628" s="12"/>
    </row>
    <row r="7629" spans="1:1" x14ac:dyDescent="0.3">
      <c r="A7629" s="12"/>
    </row>
    <row r="7630" spans="1:1" x14ac:dyDescent="0.3">
      <c r="A7630" s="12"/>
    </row>
    <row r="7631" spans="1:1" x14ac:dyDescent="0.3">
      <c r="A7631" s="12"/>
    </row>
    <row r="7632" spans="1:1" x14ac:dyDescent="0.3">
      <c r="A7632" s="12"/>
    </row>
    <row r="7633" spans="1:1" x14ac:dyDescent="0.3">
      <c r="A7633" s="12"/>
    </row>
    <row r="7634" spans="1:1" x14ac:dyDescent="0.3">
      <c r="A7634" s="12"/>
    </row>
    <row r="7635" spans="1:1" x14ac:dyDescent="0.3">
      <c r="A7635" s="12"/>
    </row>
    <row r="7636" spans="1:1" x14ac:dyDescent="0.3">
      <c r="A7636" s="12"/>
    </row>
    <row r="7637" spans="1:1" x14ac:dyDescent="0.3">
      <c r="A7637" s="12"/>
    </row>
    <row r="7638" spans="1:1" x14ac:dyDescent="0.3">
      <c r="A7638" s="12"/>
    </row>
    <row r="7639" spans="1:1" x14ac:dyDescent="0.3">
      <c r="A7639" s="12"/>
    </row>
    <row r="7640" spans="1:1" x14ac:dyDescent="0.3">
      <c r="A7640" s="12"/>
    </row>
    <row r="7641" spans="1:1" x14ac:dyDescent="0.3">
      <c r="A7641" s="12"/>
    </row>
    <row r="7642" spans="1:1" x14ac:dyDescent="0.3">
      <c r="A7642" s="12"/>
    </row>
    <row r="7643" spans="1:1" x14ac:dyDescent="0.3">
      <c r="A7643" s="12"/>
    </row>
    <row r="7644" spans="1:1" x14ac:dyDescent="0.3">
      <c r="A7644" s="12"/>
    </row>
    <row r="7645" spans="1:1" x14ac:dyDescent="0.3">
      <c r="A7645" s="12"/>
    </row>
    <row r="7646" spans="1:1" x14ac:dyDescent="0.3">
      <c r="A7646" s="12"/>
    </row>
    <row r="7647" spans="1:1" x14ac:dyDescent="0.3">
      <c r="A7647" s="12"/>
    </row>
    <row r="7648" spans="1:1" x14ac:dyDescent="0.3">
      <c r="A7648" s="12"/>
    </row>
    <row r="7649" spans="1:1" x14ac:dyDescent="0.3">
      <c r="A7649" s="12"/>
    </row>
    <row r="7650" spans="1:1" x14ac:dyDescent="0.3">
      <c r="A7650" s="12"/>
    </row>
    <row r="7651" spans="1:1" x14ac:dyDescent="0.3">
      <c r="A7651" s="12"/>
    </row>
    <row r="7652" spans="1:1" x14ac:dyDescent="0.3">
      <c r="A7652" s="12"/>
    </row>
    <row r="7653" spans="1:1" x14ac:dyDescent="0.3">
      <c r="A7653" s="12"/>
    </row>
    <row r="7654" spans="1:1" x14ac:dyDescent="0.3">
      <c r="A7654" s="12"/>
    </row>
    <row r="7655" spans="1:1" x14ac:dyDescent="0.3">
      <c r="A7655" s="12"/>
    </row>
    <row r="7656" spans="1:1" x14ac:dyDescent="0.3">
      <c r="A7656" s="12"/>
    </row>
    <row r="7657" spans="1:1" x14ac:dyDescent="0.3">
      <c r="A7657" s="12"/>
    </row>
    <row r="7658" spans="1:1" x14ac:dyDescent="0.3">
      <c r="A7658" s="12"/>
    </row>
    <row r="7659" spans="1:1" x14ac:dyDescent="0.3">
      <c r="A7659" s="12"/>
    </row>
    <row r="7660" spans="1:1" x14ac:dyDescent="0.3">
      <c r="A7660" s="12"/>
    </row>
    <row r="7661" spans="1:1" x14ac:dyDescent="0.3">
      <c r="A7661" s="12"/>
    </row>
    <row r="7662" spans="1:1" x14ac:dyDescent="0.3">
      <c r="A7662" s="12"/>
    </row>
    <row r="7663" spans="1:1" x14ac:dyDescent="0.3">
      <c r="A7663" s="12"/>
    </row>
    <row r="7664" spans="1:1" x14ac:dyDescent="0.3">
      <c r="A7664" s="12"/>
    </row>
    <row r="7665" spans="1:1" x14ac:dyDescent="0.3">
      <c r="A7665" s="12"/>
    </row>
    <row r="7666" spans="1:1" x14ac:dyDescent="0.3">
      <c r="A7666" s="12"/>
    </row>
    <row r="7667" spans="1:1" x14ac:dyDescent="0.3">
      <c r="A7667" s="12"/>
    </row>
    <row r="7668" spans="1:1" x14ac:dyDescent="0.3">
      <c r="A7668" s="12"/>
    </row>
    <row r="7669" spans="1:1" x14ac:dyDescent="0.3">
      <c r="A7669" s="12"/>
    </row>
    <row r="7670" spans="1:1" x14ac:dyDescent="0.3">
      <c r="A7670" s="12"/>
    </row>
    <row r="7671" spans="1:1" x14ac:dyDescent="0.3">
      <c r="A7671" s="12"/>
    </row>
    <row r="7672" spans="1:1" x14ac:dyDescent="0.3">
      <c r="A7672" s="12"/>
    </row>
    <row r="7673" spans="1:1" x14ac:dyDescent="0.3">
      <c r="A7673" s="12"/>
    </row>
    <row r="7674" spans="1:1" x14ac:dyDescent="0.3">
      <c r="A7674" s="12"/>
    </row>
    <row r="7675" spans="1:1" x14ac:dyDescent="0.3">
      <c r="A7675" s="12"/>
    </row>
    <row r="7676" spans="1:1" x14ac:dyDescent="0.3">
      <c r="A7676" s="12"/>
    </row>
    <row r="7677" spans="1:1" x14ac:dyDescent="0.3">
      <c r="A7677" s="12"/>
    </row>
    <row r="7678" spans="1:1" x14ac:dyDescent="0.3">
      <c r="A7678" s="12"/>
    </row>
    <row r="7679" spans="1:1" x14ac:dyDescent="0.3">
      <c r="A7679" s="12"/>
    </row>
    <row r="7680" spans="1:1" x14ac:dyDescent="0.3">
      <c r="A7680" s="12"/>
    </row>
    <row r="7681" spans="1:1" x14ac:dyDescent="0.3">
      <c r="A7681" s="12"/>
    </row>
    <row r="7682" spans="1:1" x14ac:dyDescent="0.3">
      <c r="A7682" s="12"/>
    </row>
    <row r="7683" spans="1:1" x14ac:dyDescent="0.3">
      <c r="A7683" s="12"/>
    </row>
    <row r="7684" spans="1:1" x14ac:dyDescent="0.3">
      <c r="A7684" s="12"/>
    </row>
    <row r="7685" spans="1:1" x14ac:dyDescent="0.3">
      <c r="A7685" s="12"/>
    </row>
    <row r="7686" spans="1:1" x14ac:dyDescent="0.3">
      <c r="A7686" s="12"/>
    </row>
    <row r="7687" spans="1:1" x14ac:dyDescent="0.3">
      <c r="A7687" s="12"/>
    </row>
    <row r="7688" spans="1:1" x14ac:dyDescent="0.3">
      <c r="A7688" s="12"/>
    </row>
    <row r="7689" spans="1:1" x14ac:dyDescent="0.3">
      <c r="A7689" s="12"/>
    </row>
    <row r="7690" spans="1:1" x14ac:dyDescent="0.3">
      <c r="A7690" s="12"/>
    </row>
    <row r="7691" spans="1:1" x14ac:dyDescent="0.3">
      <c r="A7691" s="12"/>
    </row>
    <row r="7692" spans="1:1" x14ac:dyDescent="0.3">
      <c r="A7692" s="12"/>
    </row>
    <row r="7693" spans="1:1" x14ac:dyDescent="0.3">
      <c r="A7693" s="12"/>
    </row>
    <row r="7694" spans="1:1" x14ac:dyDescent="0.3">
      <c r="A7694" s="12"/>
    </row>
    <row r="7695" spans="1:1" x14ac:dyDescent="0.3">
      <c r="A7695" s="12"/>
    </row>
    <row r="7696" spans="1:1" x14ac:dyDescent="0.3">
      <c r="A7696" s="12"/>
    </row>
    <row r="7697" spans="1:1" x14ac:dyDescent="0.3">
      <c r="A7697" s="12"/>
    </row>
    <row r="7698" spans="1:1" x14ac:dyDescent="0.3">
      <c r="A7698" s="12"/>
    </row>
    <row r="7699" spans="1:1" x14ac:dyDescent="0.3">
      <c r="A7699" s="12"/>
    </row>
    <row r="7700" spans="1:1" x14ac:dyDescent="0.3">
      <c r="A7700" s="12"/>
    </row>
    <row r="7701" spans="1:1" x14ac:dyDescent="0.3">
      <c r="A7701" s="12"/>
    </row>
    <row r="7702" spans="1:1" x14ac:dyDescent="0.3">
      <c r="A7702" s="12"/>
    </row>
    <row r="7703" spans="1:1" x14ac:dyDescent="0.3">
      <c r="A7703" s="12"/>
    </row>
    <row r="7704" spans="1:1" x14ac:dyDescent="0.3">
      <c r="A7704" s="12"/>
    </row>
    <row r="7705" spans="1:1" x14ac:dyDescent="0.3">
      <c r="A7705" s="12"/>
    </row>
    <row r="7706" spans="1:1" x14ac:dyDescent="0.3">
      <c r="A7706" s="12"/>
    </row>
    <row r="7707" spans="1:1" x14ac:dyDescent="0.3">
      <c r="A7707" s="12"/>
    </row>
    <row r="7708" spans="1:1" x14ac:dyDescent="0.3">
      <c r="A7708" s="12"/>
    </row>
    <row r="7709" spans="1:1" x14ac:dyDescent="0.3">
      <c r="A7709" s="12"/>
    </row>
    <row r="7710" spans="1:1" x14ac:dyDescent="0.3">
      <c r="A7710" s="12"/>
    </row>
    <row r="7711" spans="1:1" x14ac:dyDescent="0.3">
      <c r="A7711" s="12"/>
    </row>
    <row r="7712" spans="1:1" x14ac:dyDescent="0.3">
      <c r="A7712" s="12"/>
    </row>
    <row r="7713" spans="1:1" x14ac:dyDescent="0.3">
      <c r="A7713" s="12"/>
    </row>
    <row r="7714" spans="1:1" x14ac:dyDescent="0.3">
      <c r="A7714" s="12"/>
    </row>
    <row r="7715" spans="1:1" x14ac:dyDescent="0.3">
      <c r="A7715" s="12"/>
    </row>
    <row r="7716" spans="1:1" x14ac:dyDescent="0.3">
      <c r="A7716" s="12"/>
    </row>
    <row r="7717" spans="1:1" x14ac:dyDescent="0.3">
      <c r="A7717" s="12"/>
    </row>
    <row r="7718" spans="1:1" x14ac:dyDescent="0.3">
      <c r="A7718" s="12"/>
    </row>
    <row r="7719" spans="1:1" x14ac:dyDescent="0.3">
      <c r="A7719" s="12"/>
    </row>
    <row r="7720" spans="1:1" x14ac:dyDescent="0.3">
      <c r="A7720" s="12"/>
    </row>
    <row r="7721" spans="1:1" x14ac:dyDescent="0.3">
      <c r="A7721" s="12"/>
    </row>
    <row r="7722" spans="1:1" x14ac:dyDescent="0.3">
      <c r="A7722" s="12"/>
    </row>
    <row r="7723" spans="1:1" x14ac:dyDescent="0.3">
      <c r="A7723" s="12"/>
    </row>
    <row r="7724" spans="1:1" x14ac:dyDescent="0.3">
      <c r="A7724" s="12"/>
    </row>
    <row r="7725" spans="1:1" x14ac:dyDescent="0.3">
      <c r="A7725" s="12"/>
    </row>
    <row r="7726" spans="1:1" x14ac:dyDescent="0.3">
      <c r="A7726" s="12"/>
    </row>
    <row r="7727" spans="1:1" x14ac:dyDescent="0.3">
      <c r="A7727" s="12"/>
    </row>
    <row r="7728" spans="1:1" x14ac:dyDescent="0.3">
      <c r="A7728" s="12"/>
    </row>
    <row r="7729" spans="1:1" x14ac:dyDescent="0.3">
      <c r="A7729" s="12"/>
    </row>
    <row r="7730" spans="1:1" x14ac:dyDescent="0.3">
      <c r="A7730" s="12"/>
    </row>
    <row r="7731" spans="1:1" x14ac:dyDescent="0.3">
      <c r="A7731" s="12"/>
    </row>
    <row r="7732" spans="1:1" x14ac:dyDescent="0.3">
      <c r="A7732" s="12"/>
    </row>
    <row r="7733" spans="1:1" x14ac:dyDescent="0.3">
      <c r="A7733" s="12"/>
    </row>
    <row r="7734" spans="1:1" x14ac:dyDescent="0.3">
      <c r="A7734" s="12"/>
    </row>
    <row r="7735" spans="1:1" x14ac:dyDescent="0.3">
      <c r="A7735" s="12"/>
    </row>
    <row r="7736" spans="1:1" x14ac:dyDescent="0.3">
      <c r="A7736" s="12"/>
    </row>
    <row r="7737" spans="1:1" x14ac:dyDescent="0.3">
      <c r="A7737" s="12"/>
    </row>
    <row r="7738" spans="1:1" x14ac:dyDescent="0.3">
      <c r="A7738" s="12"/>
    </row>
    <row r="7739" spans="1:1" x14ac:dyDescent="0.3">
      <c r="A7739" s="12"/>
    </row>
    <row r="7740" spans="1:1" x14ac:dyDescent="0.3">
      <c r="A7740" s="12"/>
    </row>
    <row r="7741" spans="1:1" x14ac:dyDescent="0.3">
      <c r="A7741" s="12"/>
    </row>
    <row r="7742" spans="1:1" x14ac:dyDescent="0.3">
      <c r="A7742" s="12"/>
    </row>
    <row r="7743" spans="1:1" x14ac:dyDescent="0.3">
      <c r="A7743" s="12"/>
    </row>
    <row r="7744" spans="1:1" x14ac:dyDescent="0.3">
      <c r="A7744" s="12"/>
    </row>
    <row r="7745" spans="1:1" x14ac:dyDescent="0.3">
      <c r="A7745" s="12"/>
    </row>
    <row r="7746" spans="1:1" x14ac:dyDescent="0.3">
      <c r="A7746" s="12"/>
    </row>
    <row r="7747" spans="1:1" x14ac:dyDescent="0.3">
      <c r="A7747" s="12"/>
    </row>
    <row r="7748" spans="1:1" x14ac:dyDescent="0.3">
      <c r="A7748" s="12"/>
    </row>
    <row r="7749" spans="1:1" x14ac:dyDescent="0.3">
      <c r="A7749" s="12"/>
    </row>
    <row r="7750" spans="1:1" x14ac:dyDescent="0.3">
      <c r="A7750" s="12"/>
    </row>
    <row r="7751" spans="1:1" x14ac:dyDescent="0.3">
      <c r="A7751" s="12"/>
    </row>
    <row r="7752" spans="1:1" x14ac:dyDescent="0.3">
      <c r="A7752" s="12"/>
    </row>
    <row r="7753" spans="1:1" x14ac:dyDescent="0.3">
      <c r="A7753" s="12"/>
    </row>
    <row r="7754" spans="1:1" x14ac:dyDescent="0.3">
      <c r="A7754" s="12"/>
    </row>
    <row r="7755" spans="1:1" x14ac:dyDescent="0.3">
      <c r="A7755" s="12"/>
    </row>
    <row r="7756" spans="1:1" x14ac:dyDescent="0.3">
      <c r="A7756" s="12"/>
    </row>
    <row r="7757" spans="1:1" x14ac:dyDescent="0.3">
      <c r="A7757" s="12"/>
    </row>
    <row r="7758" spans="1:1" x14ac:dyDescent="0.3">
      <c r="A7758" s="12"/>
    </row>
    <row r="7759" spans="1:1" x14ac:dyDescent="0.3">
      <c r="A7759" s="12"/>
    </row>
    <row r="7760" spans="1:1" x14ac:dyDescent="0.3">
      <c r="A7760" s="12"/>
    </row>
    <row r="7761" spans="1:1" x14ac:dyDescent="0.3">
      <c r="A7761" s="12"/>
    </row>
    <row r="7762" spans="1:1" x14ac:dyDescent="0.3">
      <c r="A7762" s="12"/>
    </row>
    <row r="7763" spans="1:1" x14ac:dyDescent="0.3">
      <c r="A7763" s="12"/>
    </row>
    <row r="7764" spans="1:1" x14ac:dyDescent="0.3">
      <c r="A7764" s="12"/>
    </row>
    <row r="7765" spans="1:1" x14ac:dyDescent="0.3">
      <c r="A7765" s="12"/>
    </row>
    <row r="7766" spans="1:1" x14ac:dyDescent="0.3">
      <c r="A7766" s="12"/>
    </row>
    <row r="7767" spans="1:1" x14ac:dyDescent="0.3">
      <c r="A7767" s="12"/>
    </row>
    <row r="7768" spans="1:1" x14ac:dyDescent="0.3">
      <c r="A7768" s="12"/>
    </row>
    <row r="7769" spans="1:1" x14ac:dyDescent="0.3">
      <c r="A7769" s="12"/>
    </row>
    <row r="7770" spans="1:1" x14ac:dyDescent="0.3">
      <c r="A7770" s="12"/>
    </row>
    <row r="7771" spans="1:1" x14ac:dyDescent="0.3">
      <c r="A7771" s="12"/>
    </row>
    <row r="7772" spans="1:1" x14ac:dyDescent="0.3">
      <c r="A7772" s="12"/>
    </row>
    <row r="7773" spans="1:1" x14ac:dyDescent="0.3">
      <c r="A7773" s="12"/>
    </row>
    <row r="7774" spans="1:1" x14ac:dyDescent="0.3">
      <c r="A7774" s="12"/>
    </row>
    <row r="7775" spans="1:1" x14ac:dyDescent="0.3">
      <c r="A7775" s="12"/>
    </row>
    <row r="7776" spans="1:1" x14ac:dyDescent="0.3">
      <c r="A7776" s="12"/>
    </row>
    <row r="7777" spans="1:1" x14ac:dyDescent="0.3">
      <c r="A7777" s="12"/>
    </row>
    <row r="7778" spans="1:1" x14ac:dyDescent="0.3">
      <c r="A7778" s="12"/>
    </row>
    <row r="7779" spans="1:1" x14ac:dyDescent="0.3">
      <c r="A7779" s="12"/>
    </row>
    <row r="7780" spans="1:1" x14ac:dyDescent="0.3">
      <c r="A7780" s="12"/>
    </row>
    <row r="7781" spans="1:1" x14ac:dyDescent="0.3">
      <c r="A7781" s="12"/>
    </row>
    <row r="7782" spans="1:1" x14ac:dyDescent="0.3">
      <c r="A7782" s="12"/>
    </row>
    <row r="7783" spans="1:1" x14ac:dyDescent="0.3">
      <c r="A7783" s="12"/>
    </row>
    <row r="7784" spans="1:1" x14ac:dyDescent="0.3">
      <c r="A7784" s="12"/>
    </row>
    <row r="7785" spans="1:1" x14ac:dyDescent="0.3">
      <c r="A7785" s="12"/>
    </row>
    <row r="7786" spans="1:1" x14ac:dyDescent="0.3">
      <c r="A7786" s="12"/>
    </row>
    <row r="7787" spans="1:1" x14ac:dyDescent="0.3">
      <c r="A7787" s="12"/>
    </row>
    <row r="7788" spans="1:1" x14ac:dyDescent="0.3">
      <c r="A7788" s="12"/>
    </row>
    <row r="7789" spans="1:1" x14ac:dyDescent="0.3">
      <c r="A7789" s="12"/>
    </row>
    <row r="7790" spans="1:1" x14ac:dyDescent="0.3">
      <c r="A7790" s="12"/>
    </row>
    <row r="7791" spans="1:1" x14ac:dyDescent="0.3">
      <c r="A7791" s="12"/>
    </row>
    <row r="7792" spans="1:1" x14ac:dyDescent="0.3">
      <c r="A7792" s="12"/>
    </row>
    <row r="7793" spans="1:1" x14ac:dyDescent="0.3">
      <c r="A7793" s="12"/>
    </row>
    <row r="7794" spans="1:1" x14ac:dyDescent="0.3">
      <c r="A7794" s="12"/>
    </row>
    <row r="7795" spans="1:1" x14ac:dyDescent="0.3">
      <c r="A7795" s="12"/>
    </row>
    <row r="7796" spans="1:1" x14ac:dyDescent="0.3">
      <c r="A7796" s="12"/>
    </row>
    <row r="7797" spans="1:1" x14ac:dyDescent="0.3">
      <c r="A7797" s="12"/>
    </row>
    <row r="7798" spans="1:1" x14ac:dyDescent="0.3">
      <c r="A7798" s="12"/>
    </row>
    <row r="7799" spans="1:1" x14ac:dyDescent="0.3">
      <c r="A7799" s="12"/>
    </row>
    <row r="7800" spans="1:1" x14ac:dyDescent="0.3">
      <c r="A7800" s="12"/>
    </row>
    <row r="7801" spans="1:1" x14ac:dyDescent="0.3">
      <c r="A7801" s="12"/>
    </row>
    <row r="7802" spans="1:1" x14ac:dyDescent="0.3">
      <c r="A7802" s="12"/>
    </row>
    <row r="7803" spans="1:1" x14ac:dyDescent="0.3">
      <c r="A7803" s="12"/>
    </row>
    <row r="7804" spans="1:1" x14ac:dyDescent="0.3">
      <c r="A7804" s="12"/>
    </row>
    <row r="7805" spans="1:1" x14ac:dyDescent="0.3">
      <c r="A7805" s="12"/>
    </row>
    <row r="7806" spans="1:1" x14ac:dyDescent="0.3">
      <c r="A7806" s="12"/>
    </row>
    <row r="7807" spans="1:1" x14ac:dyDescent="0.3">
      <c r="A7807" s="12"/>
    </row>
    <row r="7808" spans="1:1" x14ac:dyDescent="0.3">
      <c r="A7808" s="12"/>
    </row>
    <row r="7809" spans="1:1" x14ac:dyDescent="0.3">
      <c r="A7809" s="12"/>
    </row>
    <row r="7810" spans="1:1" x14ac:dyDescent="0.3">
      <c r="A7810" s="12"/>
    </row>
    <row r="7811" spans="1:1" x14ac:dyDescent="0.3">
      <c r="A7811" s="12"/>
    </row>
    <row r="7812" spans="1:1" x14ac:dyDescent="0.3">
      <c r="A7812" s="12"/>
    </row>
    <row r="7813" spans="1:1" x14ac:dyDescent="0.3">
      <c r="A7813" s="12"/>
    </row>
    <row r="7814" spans="1:1" x14ac:dyDescent="0.3">
      <c r="A7814" s="12"/>
    </row>
    <row r="7815" spans="1:1" x14ac:dyDescent="0.3">
      <c r="A7815" s="12"/>
    </row>
    <row r="7816" spans="1:1" x14ac:dyDescent="0.3">
      <c r="A7816" s="12"/>
    </row>
    <row r="7817" spans="1:1" x14ac:dyDescent="0.3">
      <c r="A7817" s="12"/>
    </row>
    <row r="7818" spans="1:1" x14ac:dyDescent="0.3">
      <c r="A7818" s="12"/>
    </row>
    <row r="7819" spans="1:1" x14ac:dyDescent="0.3">
      <c r="A7819" s="12"/>
    </row>
    <row r="7820" spans="1:1" x14ac:dyDescent="0.3">
      <c r="A7820" s="12"/>
    </row>
    <row r="7821" spans="1:1" x14ac:dyDescent="0.3">
      <c r="A7821" s="12"/>
    </row>
    <row r="7822" spans="1:1" x14ac:dyDescent="0.3">
      <c r="A7822" s="12"/>
    </row>
    <row r="7823" spans="1:1" x14ac:dyDescent="0.3">
      <c r="A7823" s="12"/>
    </row>
    <row r="7824" spans="1:1" x14ac:dyDescent="0.3">
      <c r="A7824" s="12"/>
    </row>
    <row r="7825" spans="1:1" x14ac:dyDescent="0.3">
      <c r="A7825" s="12"/>
    </row>
    <row r="7826" spans="1:1" x14ac:dyDescent="0.3">
      <c r="A7826" s="12"/>
    </row>
    <row r="7827" spans="1:1" x14ac:dyDescent="0.3">
      <c r="A7827" s="12"/>
    </row>
    <row r="7828" spans="1:1" x14ac:dyDescent="0.3">
      <c r="A7828" s="12"/>
    </row>
    <row r="7829" spans="1:1" x14ac:dyDescent="0.3">
      <c r="A7829" s="12"/>
    </row>
    <row r="7830" spans="1:1" x14ac:dyDescent="0.3">
      <c r="A7830" s="12"/>
    </row>
    <row r="7831" spans="1:1" x14ac:dyDescent="0.3">
      <c r="A7831" s="12"/>
    </row>
    <row r="7832" spans="1:1" x14ac:dyDescent="0.3">
      <c r="A7832" s="12"/>
    </row>
    <row r="7833" spans="1:1" x14ac:dyDescent="0.3">
      <c r="A7833" s="12"/>
    </row>
    <row r="7834" spans="1:1" x14ac:dyDescent="0.3">
      <c r="A7834" s="12"/>
    </row>
    <row r="7835" spans="1:1" x14ac:dyDescent="0.3">
      <c r="A7835" s="12"/>
    </row>
    <row r="7836" spans="1:1" x14ac:dyDescent="0.3">
      <c r="A7836" s="12"/>
    </row>
    <row r="7837" spans="1:1" x14ac:dyDescent="0.3">
      <c r="A7837" s="12"/>
    </row>
    <row r="7838" spans="1:1" x14ac:dyDescent="0.3">
      <c r="A7838" s="12"/>
    </row>
    <row r="7839" spans="1:1" x14ac:dyDescent="0.3">
      <c r="A7839" s="12"/>
    </row>
    <row r="7840" spans="1:1" x14ac:dyDescent="0.3">
      <c r="A7840" s="12"/>
    </row>
    <row r="7841" spans="1:1" x14ac:dyDescent="0.3">
      <c r="A7841" s="12"/>
    </row>
    <row r="7842" spans="1:1" x14ac:dyDescent="0.3">
      <c r="A7842" s="12"/>
    </row>
    <row r="7843" spans="1:1" x14ac:dyDescent="0.3">
      <c r="A7843" s="12"/>
    </row>
    <row r="7844" spans="1:1" x14ac:dyDescent="0.3">
      <c r="A7844" s="12"/>
    </row>
    <row r="7845" spans="1:1" x14ac:dyDescent="0.3">
      <c r="A7845" s="12"/>
    </row>
    <row r="7846" spans="1:1" x14ac:dyDescent="0.3">
      <c r="A7846" s="12"/>
    </row>
    <row r="7847" spans="1:1" x14ac:dyDescent="0.3">
      <c r="A7847" s="12"/>
    </row>
    <row r="7848" spans="1:1" x14ac:dyDescent="0.3">
      <c r="A7848" s="12"/>
    </row>
    <row r="7849" spans="1:1" x14ac:dyDescent="0.3">
      <c r="A7849" s="12"/>
    </row>
    <row r="7850" spans="1:1" x14ac:dyDescent="0.3">
      <c r="A7850" s="12"/>
    </row>
    <row r="7851" spans="1:1" x14ac:dyDescent="0.3">
      <c r="A7851" s="12"/>
    </row>
    <row r="7852" spans="1:1" x14ac:dyDescent="0.3">
      <c r="A7852" s="12"/>
    </row>
    <row r="7853" spans="1:1" x14ac:dyDescent="0.3">
      <c r="A7853" s="12"/>
    </row>
    <row r="7854" spans="1:1" x14ac:dyDescent="0.3">
      <c r="A7854" s="12"/>
    </row>
    <row r="7855" spans="1:1" x14ac:dyDescent="0.3">
      <c r="A7855" s="12"/>
    </row>
    <row r="7856" spans="1:1" x14ac:dyDescent="0.3">
      <c r="A7856" s="12"/>
    </row>
    <row r="7857" spans="1:1" x14ac:dyDescent="0.3">
      <c r="A7857" s="12"/>
    </row>
    <row r="7858" spans="1:1" x14ac:dyDescent="0.3">
      <c r="A7858" s="12"/>
    </row>
    <row r="7859" spans="1:1" x14ac:dyDescent="0.3">
      <c r="A7859" s="12"/>
    </row>
    <row r="7860" spans="1:1" x14ac:dyDescent="0.3">
      <c r="A7860" s="12"/>
    </row>
    <row r="7861" spans="1:1" x14ac:dyDescent="0.3">
      <c r="A7861" s="12"/>
    </row>
    <row r="7862" spans="1:1" x14ac:dyDescent="0.3">
      <c r="A7862" s="12"/>
    </row>
    <row r="7863" spans="1:1" x14ac:dyDescent="0.3">
      <c r="A7863" s="12"/>
    </row>
    <row r="7864" spans="1:1" x14ac:dyDescent="0.3">
      <c r="A7864" s="12"/>
    </row>
    <row r="7865" spans="1:1" x14ac:dyDescent="0.3">
      <c r="A7865" s="12"/>
    </row>
    <row r="7866" spans="1:1" x14ac:dyDescent="0.3">
      <c r="A7866" s="12"/>
    </row>
    <row r="7867" spans="1:1" x14ac:dyDescent="0.3">
      <c r="A7867" s="12"/>
    </row>
    <row r="7868" spans="1:1" x14ac:dyDescent="0.3">
      <c r="A7868" s="12"/>
    </row>
    <row r="7869" spans="1:1" x14ac:dyDescent="0.3">
      <c r="A7869" s="12"/>
    </row>
    <row r="7870" spans="1:1" x14ac:dyDescent="0.3">
      <c r="A7870" s="12"/>
    </row>
    <row r="7871" spans="1:1" x14ac:dyDescent="0.3">
      <c r="A7871" s="12"/>
    </row>
    <row r="7872" spans="1:1" x14ac:dyDescent="0.3">
      <c r="A7872" s="12"/>
    </row>
    <row r="7873" spans="1:1" x14ac:dyDescent="0.3">
      <c r="A7873" s="12"/>
    </row>
    <row r="7874" spans="1:1" x14ac:dyDescent="0.3">
      <c r="A7874" s="12"/>
    </row>
    <row r="7875" spans="1:1" x14ac:dyDescent="0.3">
      <c r="A7875" s="12"/>
    </row>
    <row r="7876" spans="1:1" x14ac:dyDescent="0.3">
      <c r="A7876" s="12"/>
    </row>
    <row r="7877" spans="1:1" x14ac:dyDescent="0.3">
      <c r="A7877" s="12"/>
    </row>
    <row r="7878" spans="1:1" x14ac:dyDescent="0.3">
      <c r="A7878" s="12"/>
    </row>
    <row r="7879" spans="1:1" x14ac:dyDescent="0.3">
      <c r="A7879" s="12"/>
    </row>
    <row r="7880" spans="1:1" x14ac:dyDescent="0.3">
      <c r="A7880" s="12"/>
    </row>
    <row r="7881" spans="1:1" x14ac:dyDescent="0.3">
      <c r="A7881" s="12"/>
    </row>
    <row r="7882" spans="1:1" x14ac:dyDescent="0.3">
      <c r="A7882" s="12"/>
    </row>
    <row r="7883" spans="1:1" x14ac:dyDescent="0.3">
      <c r="A7883" s="12"/>
    </row>
    <row r="7884" spans="1:1" x14ac:dyDescent="0.3">
      <c r="A7884" s="12"/>
    </row>
    <row r="7885" spans="1:1" x14ac:dyDescent="0.3">
      <c r="A7885" s="12"/>
    </row>
    <row r="7886" spans="1:1" x14ac:dyDescent="0.3">
      <c r="A7886" s="12"/>
    </row>
    <row r="7887" spans="1:1" x14ac:dyDescent="0.3">
      <c r="A7887" s="12"/>
    </row>
    <row r="7888" spans="1:1" x14ac:dyDescent="0.3">
      <c r="A7888" s="12"/>
    </row>
    <row r="7889" spans="1:1" x14ac:dyDescent="0.3">
      <c r="A7889" s="12"/>
    </row>
    <row r="7890" spans="1:1" x14ac:dyDescent="0.3">
      <c r="A7890" s="12"/>
    </row>
    <row r="7891" spans="1:1" x14ac:dyDescent="0.3">
      <c r="A7891" s="12"/>
    </row>
    <row r="7892" spans="1:1" x14ac:dyDescent="0.3">
      <c r="A7892" s="12"/>
    </row>
    <row r="7893" spans="1:1" x14ac:dyDescent="0.3">
      <c r="A7893" s="12"/>
    </row>
    <row r="7894" spans="1:1" x14ac:dyDescent="0.3">
      <c r="A7894" s="12"/>
    </row>
    <row r="7895" spans="1:1" x14ac:dyDescent="0.3">
      <c r="A7895" s="12"/>
    </row>
    <row r="7896" spans="1:1" x14ac:dyDescent="0.3">
      <c r="A7896" s="12"/>
    </row>
    <row r="7897" spans="1:1" x14ac:dyDescent="0.3">
      <c r="A7897" s="12"/>
    </row>
    <row r="7898" spans="1:1" x14ac:dyDescent="0.3">
      <c r="A7898" s="12"/>
    </row>
    <row r="7899" spans="1:1" x14ac:dyDescent="0.3">
      <c r="A7899" s="12"/>
    </row>
    <row r="7900" spans="1:1" x14ac:dyDescent="0.3">
      <c r="A7900" s="12"/>
    </row>
    <row r="7901" spans="1:1" x14ac:dyDescent="0.3">
      <c r="A7901" s="12"/>
    </row>
    <row r="7902" spans="1:1" x14ac:dyDescent="0.3">
      <c r="A7902" s="12"/>
    </row>
    <row r="7903" spans="1:1" x14ac:dyDescent="0.3">
      <c r="A7903" s="12"/>
    </row>
    <row r="7904" spans="1:1" x14ac:dyDescent="0.3">
      <c r="A7904" s="12"/>
    </row>
    <row r="7905" spans="1:1" x14ac:dyDescent="0.3">
      <c r="A7905" s="12"/>
    </row>
    <row r="7906" spans="1:1" x14ac:dyDescent="0.3">
      <c r="A7906" s="12"/>
    </row>
    <row r="7907" spans="1:1" x14ac:dyDescent="0.3">
      <c r="A7907" s="12"/>
    </row>
    <row r="7908" spans="1:1" x14ac:dyDescent="0.3">
      <c r="A7908" s="12"/>
    </row>
    <row r="7909" spans="1:1" x14ac:dyDescent="0.3">
      <c r="A7909" s="12"/>
    </row>
    <row r="7910" spans="1:1" x14ac:dyDescent="0.3">
      <c r="A7910" s="12"/>
    </row>
    <row r="7911" spans="1:1" x14ac:dyDescent="0.3">
      <c r="A7911" s="12"/>
    </row>
    <row r="7912" spans="1:1" x14ac:dyDescent="0.3">
      <c r="A7912" s="12"/>
    </row>
    <row r="7913" spans="1:1" x14ac:dyDescent="0.3">
      <c r="A7913" s="12"/>
    </row>
    <row r="7914" spans="1:1" x14ac:dyDescent="0.3">
      <c r="A7914" s="12"/>
    </row>
    <row r="7915" spans="1:1" x14ac:dyDescent="0.3">
      <c r="A7915" s="12"/>
    </row>
    <row r="7916" spans="1:1" x14ac:dyDescent="0.3">
      <c r="A7916" s="12"/>
    </row>
    <row r="7917" spans="1:1" x14ac:dyDescent="0.3">
      <c r="A7917" s="12"/>
    </row>
    <row r="7918" spans="1:1" x14ac:dyDescent="0.3">
      <c r="A7918" s="12"/>
    </row>
    <row r="7919" spans="1:1" x14ac:dyDescent="0.3">
      <c r="A7919" s="12"/>
    </row>
    <row r="7920" spans="1:1" x14ac:dyDescent="0.3">
      <c r="A7920" s="12"/>
    </row>
    <row r="7921" spans="1:1" x14ac:dyDescent="0.3">
      <c r="A7921" s="12"/>
    </row>
    <row r="7922" spans="1:1" x14ac:dyDescent="0.3">
      <c r="A7922" s="12"/>
    </row>
    <row r="7923" spans="1:1" x14ac:dyDescent="0.3">
      <c r="A7923" s="12"/>
    </row>
    <row r="7924" spans="1:1" x14ac:dyDescent="0.3">
      <c r="A7924" s="12"/>
    </row>
    <row r="7925" spans="1:1" x14ac:dyDescent="0.3">
      <c r="A7925" s="12"/>
    </row>
    <row r="7926" spans="1:1" x14ac:dyDescent="0.3">
      <c r="A7926" s="12"/>
    </row>
    <row r="7927" spans="1:1" x14ac:dyDescent="0.3">
      <c r="A7927" s="12"/>
    </row>
    <row r="7928" spans="1:1" x14ac:dyDescent="0.3">
      <c r="A7928" s="12"/>
    </row>
    <row r="7929" spans="1:1" x14ac:dyDescent="0.3">
      <c r="A7929" s="12"/>
    </row>
    <row r="7930" spans="1:1" x14ac:dyDescent="0.3">
      <c r="A7930" s="12"/>
    </row>
    <row r="7931" spans="1:1" x14ac:dyDescent="0.3">
      <c r="A7931" s="12"/>
    </row>
    <row r="7932" spans="1:1" x14ac:dyDescent="0.3">
      <c r="A7932" s="12"/>
    </row>
    <row r="7933" spans="1:1" x14ac:dyDescent="0.3">
      <c r="A7933" s="12"/>
    </row>
    <row r="7934" spans="1:1" x14ac:dyDescent="0.3">
      <c r="A7934" s="12"/>
    </row>
    <row r="7935" spans="1:1" x14ac:dyDescent="0.3">
      <c r="A7935" s="12"/>
    </row>
    <row r="7936" spans="1:1" x14ac:dyDescent="0.3">
      <c r="A7936" s="12"/>
    </row>
    <row r="7937" spans="1:1" x14ac:dyDescent="0.3">
      <c r="A7937" s="12"/>
    </row>
    <row r="7938" spans="1:1" x14ac:dyDescent="0.3">
      <c r="A7938" s="12"/>
    </row>
    <row r="7939" spans="1:1" x14ac:dyDescent="0.3">
      <c r="A7939" s="12"/>
    </row>
    <row r="7940" spans="1:1" x14ac:dyDescent="0.3">
      <c r="A7940" s="12"/>
    </row>
    <row r="7941" spans="1:1" x14ac:dyDescent="0.3">
      <c r="A7941" s="12"/>
    </row>
    <row r="7942" spans="1:1" x14ac:dyDescent="0.3">
      <c r="A7942" s="12"/>
    </row>
    <row r="7943" spans="1:1" x14ac:dyDescent="0.3">
      <c r="A7943" s="12"/>
    </row>
    <row r="7944" spans="1:1" x14ac:dyDescent="0.3">
      <c r="A7944" s="12"/>
    </row>
    <row r="7945" spans="1:1" x14ac:dyDescent="0.3">
      <c r="A7945" s="12"/>
    </row>
    <row r="7946" spans="1:1" x14ac:dyDescent="0.3">
      <c r="A7946" s="12"/>
    </row>
    <row r="7947" spans="1:1" x14ac:dyDescent="0.3">
      <c r="A7947" s="12"/>
    </row>
    <row r="7948" spans="1:1" x14ac:dyDescent="0.3">
      <c r="A7948" s="12"/>
    </row>
    <row r="7949" spans="1:1" x14ac:dyDescent="0.3">
      <c r="A7949" s="12"/>
    </row>
    <row r="7950" spans="1:1" x14ac:dyDescent="0.3">
      <c r="A7950" s="12"/>
    </row>
    <row r="7951" spans="1:1" x14ac:dyDescent="0.3">
      <c r="A7951" s="12"/>
    </row>
    <row r="7952" spans="1:1" x14ac:dyDescent="0.3">
      <c r="A7952" s="12"/>
    </row>
    <row r="7953" spans="1:1" x14ac:dyDescent="0.3">
      <c r="A7953" s="12"/>
    </row>
    <row r="7954" spans="1:1" x14ac:dyDescent="0.3">
      <c r="A7954" s="12"/>
    </row>
    <row r="7955" spans="1:1" x14ac:dyDescent="0.3">
      <c r="A7955" s="12"/>
    </row>
    <row r="7956" spans="1:1" x14ac:dyDescent="0.3">
      <c r="A7956" s="12"/>
    </row>
    <row r="7957" spans="1:1" x14ac:dyDescent="0.3">
      <c r="A7957" s="12"/>
    </row>
    <row r="7958" spans="1:1" x14ac:dyDescent="0.3">
      <c r="A7958" s="12"/>
    </row>
    <row r="7959" spans="1:1" x14ac:dyDescent="0.3">
      <c r="A7959" s="12"/>
    </row>
    <row r="7960" spans="1:1" x14ac:dyDescent="0.3">
      <c r="A7960" s="12"/>
    </row>
    <row r="7961" spans="1:1" x14ac:dyDescent="0.3">
      <c r="A7961" s="12"/>
    </row>
    <row r="7962" spans="1:1" x14ac:dyDescent="0.3">
      <c r="A7962" s="12"/>
    </row>
    <row r="7963" spans="1:1" x14ac:dyDescent="0.3">
      <c r="A7963" s="12"/>
    </row>
    <row r="7964" spans="1:1" x14ac:dyDescent="0.3">
      <c r="A7964" s="12"/>
    </row>
    <row r="7965" spans="1:1" x14ac:dyDescent="0.3">
      <c r="A7965" s="12"/>
    </row>
    <row r="7966" spans="1:1" x14ac:dyDescent="0.3">
      <c r="A7966" s="12"/>
    </row>
    <row r="7967" spans="1:1" x14ac:dyDescent="0.3">
      <c r="A7967" s="12"/>
    </row>
    <row r="7968" spans="1:1" x14ac:dyDescent="0.3">
      <c r="A7968" s="12"/>
    </row>
    <row r="7969" spans="1:1" x14ac:dyDescent="0.3">
      <c r="A7969" s="12"/>
    </row>
    <row r="7970" spans="1:1" x14ac:dyDescent="0.3">
      <c r="A7970" s="12"/>
    </row>
    <row r="7971" spans="1:1" x14ac:dyDescent="0.3">
      <c r="A7971" s="12"/>
    </row>
    <row r="7972" spans="1:1" x14ac:dyDescent="0.3">
      <c r="A7972" s="12"/>
    </row>
    <row r="7973" spans="1:1" x14ac:dyDescent="0.3">
      <c r="A7973" s="12"/>
    </row>
    <row r="7974" spans="1:1" x14ac:dyDescent="0.3">
      <c r="A7974" s="12"/>
    </row>
    <row r="7975" spans="1:1" x14ac:dyDescent="0.3">
      <c r="A7975" s="12"/>
    </row>
    <row r="7976" spans="1:1" x14ac:dyDescent="0.3">
      <c r="A7976" s="12"/>
    </row>
    <row r="7977" spans="1:1" x14ac:dyDescent="0.3">
      <c r="A7977" s="12"/>
    </row>
    <row r="7978" spans="1:1" x14ac:dyDescent="0.3">
      <c r="A7978" s="12"/>
    </row>
    <row r="7979" spans="1:1" x14ac:dyDescent="0.3">
      <c r="A7979" s="12"/>
    </row>
    <row r="7980" spans="1:1" x14ac:dyDescent="0.3">
      <c r="A7980" s="12"/>
    </row>
    <row r="7981" spans="1:1" x14ac:dyDescent="0.3">
      <c r="A7981" s="12"/>
    </row>
    <row r="7982" spans="1:1" x14ac:dyDescent="0.3">
      <c r="A7982" s="12"/>
    </row>
    <row r="7983" spans="1:1" x14ac:dyDescent="0.3">
      <c r="A7983" s="12"/>
    </row>
    <row r="7984" spans="1:1" x14ac:dyDescent="0.3">
      <c r="A7984" s="12"/>
    </row>
    <row r="7985" spans="1:1" x14ac:dyDescent="0.3">
      <c r="A7985" s="12"/>
    </row>
    <row r="7986" spans="1:1" x14ac:dyDescent="0.3">
      <c r="A7986" s="12"/>
    </row>
    <row r="7987" spans="1:1" x14ac:dyDescent="0.3">
      <c r="A7987" s="12"/>
    </row>
    <row r="7988" spans="1:1" x14ac:dyDescent="0.3">
      <c r="A7988" s="12"/>
    </row>
    <row r="7989" spans="1:1" x14ac:dyDescent="0.3">
      <c r="A7989" s="12"/>
    </row>
    <row r="7990" spans="1:1" x14ac:dyDescent="0.3">
      <c r="A7990" s="12"/>
    </row>
    <row r="7991" spans="1:1" x14ac:dyDescent="0.3">
      <c r="A7991" s="12"/>
    </row>
    <row r="7992" spans="1:1" x14ac:dyDescent="0.3">
      <c r="A7992" s="12"/>
    </row>
    <row r="7993" spans="1:1" x14ac:dyDescent="0.3">
      <c r="A7993" s="12"/>
    </row>
    <row r="7994" spans="1:1" x14ac:dyDescent="0.3">
      <c r="A7994" s="12"/>
    </row>
    <row r="7995" spans="1:1" x14ac:dyDescent="0.3">
      <c r="A7995" s="12"/>
    </row>
    <row r="7996" spans="1:1" x14ac:dyDescent="0.3">
      <c r="A7996" s="12"/>
    </row>
    <row r="7997" spans="1:1" x14ac:dyDescent="0.3">
      <c r="A7997" s="12"/>
    </row>
    <row r="7998" spans="1:1" x14ac:dyDescent="0.3">
      <c r="A7998" s="12"/>
    </row>
    <row r="7999" spans="1:1" x14ac:dyDescent="0.3">
      <c r="A7999" s="12"/>
    </row>
    <row r="8000" spans="1:1" x14ac:dyDescent="0.3">
      <c r="A8000" s="12"/>
    </row>
    <row r="8001" spans="1:1" x14ac:dyDescent="0.3">
      <c r="A8001" s="12"/>
    </row>
    <row r="8002" spans="1:1" x14ac:dyDescent="0.3">
      <c r="A8002" s="12"/>
    </row>
    <row r="8003" spans="1:1" x14ac:dyDescent="0.3">
      <c r="A8003" s="12"/>
    </row>
    <row r="8004" spans="1:1" x14ac:dyDescent="0.3">
      <c r="A8004" s="12"/>
    </row>
    <row r="8005" spans="1:1" x14ac:dyDescent="0.3">
      <c r="A8005" s="12"/>
    </row>
    <row r="8006" spans="1:1" x14ac:dyDescent="0.3">
      <c r="A8006" s="12"/>
    </row>
    <row r="8007" spans="1:1" x14ac:dyDescent="0.3">
      <c r="A8007" s="12"/>
    </row>
    <row r="8008" spans="1:1" x14ac:dyDescent="0.3">
      <c r="A8008" s="12"/>
    </row>
    <row r="8009" spans="1:1" x14ac:dyDescent="0.3">
      <c r="A8009" s="12"/>
    </row>
    <row r="8010" spans="1:1" x14ac:dyDescent="0.3">
      <c r="A8010" s="12"/>
    </row>
    <row r="8011" spans="1:1" x14ac:dyDescent="0.3">
      <c r="A8011" s="12"/>
    </row>
    <row r="8012" spans="1:1" x14ac:dyDescent="0.3">
      <c r="A8012" s="12"/>
    </row>
    <row r="8013" spans="1:1" x14ac:dyDescent="0.3">
      <c r="A8013" s="12"/>
    </row>
    <row r="8014" spans="1:1" x14ac:dyDescent="0.3">
      <c r="A8014" s="12"/>
    </row>
    <row r="8015" spans="1:1" x14ac:dyDescent="0.3">
      <c r="A8015" s="12"/>
    </row>
    <row r="8016" spans="1:1" x14ac:dyDescent="0.3">
      <c r="A8016" s="12"/>
    </row>
    <row r="8017" spans="1:1" x14ac:dyDescent="0.3">
      <c r="A8017" s="12"/>
    </row>
    <row r="8018" spans="1:1" x14ac:dyDescent="0.3">
      <c r="A8018" s="12"/>
    </row>
    <row r="8019" spans="1:1" x14ac:dyDescent="0.3">
      <c r="A8019" s="12"/>
    </row>
    <row r="8020" spans="1:1" x14ac:dyDescent="0.3">
      <c r="A8020" s="12"/>
    </row>
    <row r="8021" spans="1:1" x14ac:dyDescent="0.3">
      <c r="A8021" s="12"/>
    </row>
    <row r="8022" spans="1:1" x14ac:dyDescent="0.3">
      <c r="A8022" s="12"/>
    </row>
    <row r="8023" spans="1:1" x14ac:dyDescent="0.3">
      <c r="A8023" s="12"/>
    </row>
    <row r="8024" spans="1:1" x14ac:dyDescent="0.3">
      <c r="A8024" s="12"/>
    </row>
    <row r="8025" spans="1:1" x14ac:dyDescent="0.3">
      <c r="A8025" s="12"/>
    </row>
    <row r="8026" spans="1:1" x14ac:dyDescent="0.3">
      <c r="A8026" s="12"/>
    </row>
    <row r="8027" spans="1:1" x14ac:dyDescent="0.3">
      <c r="A8027" s="12"/>
    </row>
    <row r="8028" spans="1:1" x14ac:dyDescent="0.3">
      <c r="A8028" s="12"/>
    </row>
    <row r="8029" spans="1:1" x14ac:dyDescent="0.3">
      <c r="A8029" s="12"/>
    </row>
    <row r="8030" spans="1:1" x14ac:dyDescent="0.3">
      <c r="A8030" s="12"/>
    </row>
    <row r="8031" spans="1:1" x14ac:dyDescent="0.3">
      <c r="A8031" s="12"/>
    </row>
    <row r="8032" spans="1:1" x14ac:dyDescent="0.3">
      <c r="A8032" s="12"/>
    </row>
    <row r="8033" spans="1:1" x14ac:dyDescent="0.3">
      <c r="A8033" s="12"/>
    </row>
    <row r="8034" spans="1:1" x14ac:dyDescent="0.3">
      <c r="A8034" s="12"/>
    </row>
    <row r="8035" spans="1:1" x14ac:dyDescent="0.3">
      <c r="A8035" s="12"/>
    </row>
    <row r="8036" spans="1:1" x14ac:dyDescent="0.3">
      <c r="A8036" s="12"/>
    </row>
    <row r="8037" spans="1:1" x14ac:dyDescent="0.3">
      <c r="A8037" s="12"/>
    </row>
    <row r="8038" spans="1:1" x14ac:dyDescent="0.3">
      <c r="A8038" s="12"/>
    </row>
    <row r="8039" spans="1:1" x14ac:dyDescent="0.3">
      <c r="A8039" s="12"/>
    </row>
    <row r="8040" spans="1:1" x14ac:dyDescent="0.3">
      <c r="A8040" s="12"/>
    </row>
    <row r="8041" spans="1:1" x14ac:dyDescent="0.3">
      <c r="A8041" s="12"/>
    </row>
    <row r="8042" spans="1:1" x14ac:dyDescent="0.3">
      <c r="A8042" s="12"/>
    </row>
    <row r="8043" spans="1:1" x14ac:dyDescent="0.3">
      <c r="A8043" s="12"/>
    </row>
    <row r="8044" spans="1:1" x14ac:dyDescent="0.3">
      <c r="A8044" s="12"/>
    </row>
    <row r="8045" spans="1:1" x14ac:dyDescent="0.3">
      <c r="A8045" s="12"/>
    </row>
    <row r="8046" spans="1:1" x14ac:dyDescent="0.3">
      <c r="A8046" s="12"/>
    </row>
    <row r="8047" spans="1:1" x14ac:dyDescent="0.3">
      <c r="A8047" s="12"/>
    </row>
    <row r="8048" spans="1:1" x14ac:dyDescent="0.3">
      <c r="A8048" s="12"/>
    </row>
    <row r="8049" spans="1:1" x14ac:dyDescent="0.3">
      <c r="A8049" s="12"/>
    </row>
    <row r="8050" spans="1:1" x14ac:dyDescent="0.3">
      <c r="A8050" s="12"/>
    </row>
    <row r="8051" spans="1:1" x14ac:dyDescent="0.3">
      <c r="A8051" s="12"/>
    </row>
    <row r="8052" spans="1:1" x14ac:dyDescent="0.3">
      <c r="A8052" s="12"/>
    </row>
    <row r="8053" spans="1:1" x14ac:dyDescent="0.3">
      <c r="A8053" s="12"/>
    </row>
    <row r="8054" spans="1:1" x14ac:dyDescent="0.3">
      <c r="A8054" s="12"/>
    </row>
    <row r="8055" spans="1:1" x14ac:dyDescent="0.3">
      <c r="A8055" s="12"/>
    </row>
    <row r="8056" spans="1:1" x14ac:dyDescent="0.3">
      <c r="A8056" s="12"/>
    </row>
    <row r="8057" spans="1:1" x14ac:dyDescent="0.3">
      <c r="A8057" s="12"/>
    </row>
    <row r="8058" spans="1:1" x14ac:dyDescent="0.3">
      <c r="A8058" s="12"/>
    </row>
    <row r="8059" spans="1:1" x14ac:dyDescent="0.3">
      <c r="A8059" s="12"/>
    </row>
    <row r="8060" spans="1:1" x14ac:dyDescent="0.3">
      <c r="A8060" s="12"/>
    </row>
    <row r="8061" spans="1:1" x14ac:dyDescent="0.3">
      <c r="A8061" s="12"/>
    </row>
    <row r="8062" spans="1:1" x14ac:dyDescent="0.3">
      <c r="A8062" s="12"/>
    </row>
    <row r="8063" spans="1:1" x14ac:dyDescent="0.3">
      <c r="A8063" s="12"/>
    </row>
    <row r="8064" spans="1:1" x14ac:dyDescent="0.3">
      <c r="A8064" s="12"/>
    </row>
    <row r="8065" spans="1:1" x14ac:dyDescent="0.3">
      <c r="A8065" s="12"/>
    </row>
    <row r="8066" spans="1:1" x14ac:dyDescent="0.3">
      <c r="A8066" s="12"/>
    </row>
    <row r="8067" spans="1:1" x14ac:dyDescent="0.3">
      <c r="A8067" s="12"/>
    </row>
    <row r="8068" spans="1:1" x14ac:dyDescent="0.3">
      <c r="A8068" s="12"/>
    </row>
    <row r="8069" spans="1:1" x14ac:dyDescent="0.3">
      <c r="A8069" s="12"/>
    </row>
    <row r="8070" spans="1:1" x14ac:dyDescent="0.3">
      <c r="A8070" s="12"/>
    </row>
    <row r="8071" spans="1:1" x14ac:dyDescent="0.3">
      <c r="A8071" s="12"/>
    </row>
    <row r="8072" spans="1:1" x14ac:dyDescent="0.3">
      <c r="A8072" s="12"/>
    </row>
    <row r="8073" spans="1:1" x14ac:dyDescent="0.3">
      <c r="A8073" s="12"/>
    </row>
    <row r="8074" spans="1:1" x14ac:dyDescent="0.3">
      <c r="A8074" s="12"/>
    </row>
    <row r="8075" spans="1:1" x14ac:dyDescent="0.3">
      <c r="A8075" s="12"/>
    </row>
    <row r="8076" spans="1:1" x14ac:dyDescent="0.3">
      <c r="A8076" s="12"/>
    </row>
    <row r="8077" spans="1:1" x14ac:dyDescent="0.3">
      <c r="A8077" s="12"/>
    </row>
    <row r="8078" spans="1:1" x14ac:dyDescent="0.3">
      <c r="A8078" s="12"/>
    </row>
    <row r="8079" spans="1:1" x14ac:dyDescent="0.3">
      <c r="A8079" s="12"/>
    </row>
    <row r="8080" spans="1:1" x14ac:dyDescent="0.3">
      <c r="A8080" s="12"/>
    </row>
    <row r="8081" spans="1:1" x14ac:dyDescent="0.3">
      <c r="A8081" s="12"/>
    </row>
    <row r="8082" spans="1:1" x14ac:dyDescent="0.3">
      <c r="A8082" s="12"/>
    </row>
    <row r="8083" spans="1:1" x14ac:dyDescent="0.3">
      <c r="A8083" s="12"/>
    </row>
    <row r="8084" spans="1:1" x14ac:dyDescent="0.3">
      <c r="A8084" s="12"/>
    </row>
    <row r="8085" spans="1:1" x14ac:dyDescent="0.3">
      <c r="A8085" s="12"/>
    </row>
    <row r="8086" spans="1:1" x14ac:dyDescent="0.3">
      <c r="A8086" s="12"/>
    </row>
    <row r="8087" spans="1:1" x14ac:dyDescent="0.3">
      <c r="A8087" s="12"/>
    </row>
    <row r="8088" spans="1:1" x14ac:dyDescent="0.3">
      <c r="A8088" s="12"/>
    </row>
    <row r="8089" spans="1:1" x14ac:dyDescent="0.3">
      <c r="A8089" s="12"/>
    </row>
    <row r="8090" spans="1:1" x14ac:dyDescent="0.3">
      <c r="A8090" s="12"/>
    </row>
    <row r="8091" spans="1:1" x14ac:dyDescent="0.3">
      <c r="A8091" s="12"/>
    </row>
    <row r="8092" spans="1:1" x14ac:dyDescent="0.3">
      <c r="A8092" s="12"/>
    </row>
    <row r="8093" spans="1:1" x14ac:dyDescent="0.3">
      <c r="A8093" s="12"/>
    </row>
    <row r="8094" spans="1:1" x14ac:dyDescent="0.3">
      <c r="A8094" s="12"/>
    </row>
    <row r="8095" spans="1:1" x14ac:dyDescent="0.3">
      <c r="A8095" s="12"/>
    </row>
    <row r="8096" spans="1:1" x14ac:dyDescent="0.3">
      <c r="A8096" s="12"/>
    </row>
    <row r="8097" spans="1:1" x14ac:dyDescent="0.3">
      <c r="A8097" s="12"/>
    </row>
    <row r="8098" spans="1:1" x14ac:dyDescent="0.3">
      <c r="A8098" s="12"/>
    </row>
    <row r="8099" spans="1:1" x14ac:dyDescent="0.3">
      <c r="A8099" s="12"/>
    </row>
    <row r="8100" spans="1:1" x14ac:dyDescent="0.3">
      <c r="A8100" s="12"/>
    </row>
    <row r="8101" spans="1:1" x14ac:dyDescent="0.3">
      <c r="A8101" s="12"/>
    </row>
    <row r="8102" spans="1:1" x14ac:dyDescent="0.3">
      <c r="A8102" s="12"/>
    </row>
    <row r="8103" spans="1:1" x14ac:dyDescent="0.3">
      <c r="A8103" s="12"/>
    </row>
    <row r="8104" spans="1:1" x14ac:dyDescent="0.3">
      <c r="A8104" s="12"/>
    </row>
    <row r="8105" spans="1:1" x14ac:dyDescent="0.3">
      <c r="A8105" s="12"/>
    </row>
    <row r="8106" spans="1:1" x14ac:dyDescent="0.3">
      <c r="A8106" s="12"/>
    </row>
    <row r="8107" spans="1:1" x14ac:dyDescent="0.3">
      <c r="A8107" s="12"/>
    </row>
    <row r="8108" spans="1:1" x14ac:dyDescent="0.3">
      <c r="A8108" s="12"/>
    </row>
    <row r="8109" spans="1:1" x14ac:dyDescent="0.3">
      <c r="A8109" s="12"/>
    </row>
    <row r="8110" spans="1:1" x14ac:dyDescent="0.3">
      <c r="A8110" s="12"/>
    </row>
    <row r="8111" spans="1:1" x14ac:dyDescent="0.3">
      <c r="A8111" s="12"/>
    </row>
    <row r="8112" spans="1:1" x14ac:dyDescent="0.3">
      <c r="A8112" s="12"/>
    </row>
    <row r="8113" spans="1:1" x14ac:dyDescent="0.3">
      <c r="A8113" s="12"/>
    </row>
    <row r="8114" spans="1:1" x14ac:dyDescent="0.3">
      <c r="A8114" s="12"/>
    </row>
    <row r="8115" spans="1:1" x14ac:dyDescent="0.3">
      <c r="A8115" s="12"/>
    </row>
    <row r="8116" spans="1:1" x14ac:dyDescent="0.3">
      <c r="A8116" s="12"/>
    </row>
    <row r="8117" spans="1:1" x14ac:dyDescent="0.3">
      <c r="A8117" s="12"/>
    </row>
    <row r="8118" spans="1:1" x14ac:dyDescent="0.3">
      <c r="A8118" s="12"/>
    </row>
    <row r="8119" spans="1:1" x14ac:dyDescent="0.3">
      <c r="A8119" s="12"/>
    </row>
    <row r="8120" spans="1:1" x14ac:dyDescent="0.3">
      <c r="A8120" s="12"/>
    </row>
    <row r="8121" spans="1:1" x14ac:dyDescent="0.3">
      <c r="A8121" s="12"/>
    </row>
    <row r="8122" spans="1:1" x14ac:dyDescent="0.3">
      <c r="A8122" s="12"/>
    </row>
    <row r="8123" spans="1:1" x14ac:dyDescent="0.3">
      <c r="A8123" s="12"/>
    </row>
    <row r="8124" spans="1:1" x14ac:dyDescent="0.3">
      <c r="A8124" s="12"/>
    </row>
    <row r="8125" spans="1:1" x14ac:dyDescent="0.3">
      <c r="A8125" s="12"/>
    </row>
    <row r="8126" spans="1:1" x14ac:dyDescent="0.3">
      <c r="A8126" s="12"/>
    </row>
    <row r="8127" spans="1:1" x14ac:dyDescent="0.3">
      <c r="A8127" s="12"/>
    </row>
    <row r="8128" spans="1:1" x14ac:dyDescent="0.3">
      <c r="A8128" s="12"/>
    </row>
    <row r="8129" spans="1:1" x14ac:dyDescent="0.3">
      <c r="A8129" s="12"/>
    </row>
    <row r="8130" spans="1:1" x14ac:dyDescent="0.3">
      <c r="A8130" s="12"/>
    </row>
    <row r="8131" spans="1:1" x14ac:dyDescent="0.3">
      <c r="A8131" s="12"/>
    </row>
    <row r="8132" spans="1:1" x14ac:dyDescent="0.3">
      <c r="A8132" s="12"/>
    </row>
    <row r="8133" spans="1:1" x14ac:dyDescent="0.3">
      <c r="A8133" s="12"/>
    </row>
    <row r="8134" spans="1:1" x14ac:dyDescent="0.3">
      <c r="A8134" s="12"/>
    </row>
    <row r="8135" spans="1:1" x14ac:dyDescent="0.3">
      <c r="A8135" s="12"/>
    </row>
    <row r="8136" spans="1:1" x14ac:dyDescent="0.3">
      <c r="A8136" s="12"/>
    </row>
    <row r="8137" spans="1:1" x14ac:dyDescent="0.3">
      <c r="A8137" s="12"/>
    </row>
    <row r="8138" spans="1:1" x14ac:dyDescent="0.3">
      <c r="A8138" s="12"/>
    </row>
    <row r="8139" spans="1:1" x14ac:dyDescent="0.3">
      <c r="A8139" s="12"/>
    </row>
    <row r="8140" spans="1:1" x14ac:dyDescent="0.3">
      <c r="A8140" s="12"/>
    </row>
    <row r="8141" spans="1:1" x14ac:dyDescent="0.3">
      <c r="A8141" s="12"/>
    </row>
    <row r="8142" spans="1:1" x14ac:dyDescent="0.3">
      <c r="A8142" s="12"/>
    </row>
    <row r="8143" spans="1:1" x14ac:dyDescent="0.3">
      <c r="A8143" s="12"/>
    </row>
    <row r="8144" spans="1:1" x14ac:dyDescent="0.3">
      <c r="A8144" s="12"/>
    </row>
    <row r="8145" spans="1:1" x14ac:dyDescent="0.3">
      <c r="A8145" s="12"/>
    </row>
    <row r="8146" spans="1:1" x14ac:dyDescent="0.3">
      <c r="A8146" s="12"/>
    </row>
    <row r="8147" spans="1:1" x14ac:dyDescent="0.3">
      <c r="A8147" s="12"/>
    </row>
    <row r="8148" spans="1:1" x14ac:dyDescent="0.3">
      <c r="A8148" s="12"/>
    </row>
    <row r="8149" spans="1:1" x14ac:dyDescent="0.3">
      <c r="A8149" s="12"/>
    </row>
    <row r="8150" spans="1:1" x14ac:dyDescent="0.3">
      <c r="A8150" s="12"/>
    </row>
    <row r="8151" spans="1:1" x14ac:dyDescent="0.3">
      <c r="A8151" s="12"/>
    </row>
    <row r="8152" spans="1:1" x14ac:dyDescent="0.3">
      <c r="A8152" s="12"/>
    </row>
    <row r="8153" spans="1:1" x14ac:dyDescent="0.3">
      <c r="A8153" s="12"/>
    </row>
    <row r="8154" spans="1:1" x14ac:dyDescent="0.3">
      <c r="A8154" s="12"/>
    </row>
    <row r="8155" spans="1:1" x14ac:dyDescent="0.3">
      <c r="A8155" s="12"/>
    </row>
    <row r="8156" spans="1:1" x14ac:dyDescent="0.3">
      <c r="A8156" s="12"/>
    </row>
    <row r="8157" spans="1:1" x14ac:dyDescent="0.3">
      <c r="A8157" s="12"/>
    </row>
    <row r="8158" spans="1:1" x14ac:dyDescent="0.3">
      <c r="A8158" s="12"/>
    </row>
    <row r="8159" spans="1:1" x14ac:dyDescent="0.3">
      <c r="A8159" s="12"/>
    </row>
    <row r="8160" spans="1:1" x14ac:dyDescent="0.3">
      <c r="A8160" s="12"/>
    </row>
    <row r="8161" spans="1:1" x14ac:dyDescent="0.3">
      <c r="A8161" s="12"/>
    </row>
    <row r="8162" spans="1:1" x14ac:dyDescent="0.3">
      <c r="A8162" s="12"/>
    </row>
    <row r="8163" spans="1:1" x14ac:dyDescent="0.3">
      <c r="A8163" s="12"/>
    </row>
    <row r="8164" spans="1:1" x14ac:dyDescent="0.3">
      <c r="A8164" s="12"/>
    </row>
    <row r="8165" spans="1:1" x14ac:dyDescent="0.3">
      <c r="A8165" s="12"/>
    </row>
    <row r="8166" spans="1:1" x14ac:dyDescent="0.3">
      <c r="A8166" s="12"/>
    </row>
    <row r="8167" spans="1:1" x14ac:dyDescent="0.3">
      <c r="A8167" s="12"/>
    </row>
    <row r="8168" spans="1:1" x14ac:dyDescent="0.3">
      <c r="A8168" s="12"/>
    </row>
    <row r="8169" spans="1:1" x14ac:dyDescent="0.3">
      <c r="A8169" s="12"/>
    </row>
    <row r="8170" spans="1:1" x14ac:dyDescent="0.3">
      <c r="A8170" s="12"/>
    </row>
    <row r="8171" spans="1:1" x14ac:dyDescent="0.3">
      <c r="A8171" s="12"/>
    </row>
    <row r="8172" spans="1:1" x14ac:dyDescent="0.3">
      <c r="A8172" s="12"/>
    </row>
    <row r="8173" spans="1:1" x14ac:dyDescent="0.3">
      <c r="A8173" s="12"/>
    </row>
    <row r="8174" spans="1:1" x14ac:dyDescent="0.3">
      <c r="A8174" s="12"/>
    </row>
    <row r="8175" spans="1:1" x14ac:dyDescent="0.3">
      <c r="A8175" s="12"/>
    </row>
    <row r="8176" spans="1:1" x14ac:dyDescent="0.3">
      <c r="A8176" s="12"/>
    </row>
    <row r="8177" spans="1:1" x14ac:dyDescent="0.3">
      <c r="A8177" s="12"/>
    </row>
    <row r="8178" spans="1:1" x14ac:dyDescent="0.3">
      <c r="A8178" s="12"/>
    </row>
    <row r="8179" spans="1:1" x14ac:dyDescent="0.3">
      <c r="A8179" s="12"/>
    </row>
    <row r="8180" spans="1:1" x14ac:dyDescent="0.3">
      <c r="A8180" s="12"/>
    </row>
    <row r="8181" spans="1:1" x14ac:dyDescent="0.3">
      <c r="A8181" s="12"/>
    </row>
    <row r="8182" spans="1:1" x14ac:dyDescent="0.3">
      <c r="A8182" s="12"/>
    </row>
    <row r="8183" spans="1:1" x14ac:dyDescent="0.3">
      <c r="A8183" s="12"/>
    </row>
    <row r="8184" spans="1:1" x14ac:dyDescent="0.3">
      <c r="A8184" s="12"/>
    </row>
    <row r="8185" spans="1:1" x14ac:dyDescent="0.3">
      <c r="A8185" s="12"/>
    </row>
    <row r="8186" spans="1:1" x14ac:dyDescent="0.3">
      <c r="A8186" s="12"/>
    </row>
    <row r="8187" spans="1:1" x14ac:dyDescent="0.3">
      <c r="A8187" s="12"/>
    </row>
    <row r="8188" spans="1:1" x14ac:dyDescent="0.3">
      <c r="A8188" s="12"/>
    </row>
    <row r="8189" spans="1:1" x14ac:dyDescent="0.3">
      <c r="A8189" s="12"/>
    </row>
    <row r="8190" spans="1:1" x14ac:dyDescent="0.3">
      <c r="A8190" s="12"/>
    </row>
    <row r="8191" spans="1:1" x14ac:dyDescent="0.3">
      <c r="A8191" s="12"/>
    </row>
    <row r="8192" spans="1:1" x14ac:dyDescent="0.3">
      <c r="A8192" s="12"/>
    </row>
    <row r="8193" spans="1:1" x14ac:dyDescent="0.3">
      <c r="A8193" s="12"/>
    </row>
    <row r="8194" spans="1:1" x14ac:dyDescent="0.3">
      <c r="A8194" s="12"/>
    </row>
    <row r="8195" spans="1:1" x14ac:dyDescent="0.3">
      <c r="A8195" s="12"/>
    </row>
    <row r="8196" spans="1:1" x14ac:dyDescent="0.3">
      <c r="A8196" s="12"/>
    </row>
    <row r="8197" spans="1:1" x14ac:dyDescent="0.3">
      <c r="A8197" s="12"/>
    </row>
    <row r="8198" spans="1:1" x14ac:dyDescent="0.3">
      <c r="A8198" s="12"/>
    </row>
    <row r="8199" spans="1:1" x14ac:dyDescent="0.3">
      <c r="A8199" s="12"/>
    </row>
    <row r="8200" spans="1:1" x14ac:dyDescent="0.3">
      <c r="A8200" s="12"/>
    </row>
    <row r="8201" spans="1:1" x14ac:dyDescent="0.3">
      <c r="A8201" s="12"/>
    </row>
    <row r="8202" spans="1:1" x14ac:dyDescent="0.3">
      <c r="A8202" s="12"/>
    </row>
    <row r="8203" spans="1:1" x14ac:dyDescent="0.3">
      <c r="A8203" s="12"/>
    </row>
    <row r="8204" spans="1:1" x14ac:dyDescent="0.3">
      <c r="A8204" s="12"/>
    </row>
    <row r="8205" spans="1:1" x14ac:dyDescent="0.3">
      <c r="A8205" s="12"/>
    </row>
    <row r="8206" spans="1:1" x14ac:dyDescent="0.3">
      <c r="A8206" s="12"/>
    </row>
    <row r="8207" spans="1:1" x14ac:dyDescent="0.3">
      <c r="A8207" s="12"/>
    </row>
    <row r="8208" spans="1:1" x14ac:dyDescent="0.3">
      <c r="A8208" s="12"/>
    </row>
    <row r="8209" spans="1:1" x14ac:dyDescent="0.3">
      <c r="A8209" s="12"/>
    </row>
    <row r="8210" spans="1:1" x14ac:dyDescent="0.3">
      <c r="A8210" s="12"/>
    </row>
    <row r="8211" spans="1:1" x14ac:dyDescent="0.3">
      <c r="A8211" s="12"/>
    </row>
    <row r="8212" spans="1:1" x14ac:dyDescent="0.3">
      <c r="A8212" s="12"/>
    </row>
    <row r="8213" spans="1:1" x14ac:dyDescent="0.3">
      <c r="A8213" s="12"/>
    </row>
    <row r="8214" spans="1:1" x14ac:dyDescent="0.3">
      <c r="A8214" s="12"/>
    </row>
    <row r="8215" spans="1:1" x14ac:dyDescent="0.3">
      <c r="A8215" s="12"/>
    </row>
    <row r="8216" spans="1:1" x14ac:dyDescent="0.3">
      <c r="A8216" s="12"/>
    </row>
    <row r="8217" spans="1:1" x14ac:dyDescent="0.3">
      <c r="A8217" s="12"/>
    </row>
    <row r="8218" spans="1:1" x14ac:dyDescent="0.3">
      <c r="A8218" s="12"/>
    </row>
    <row r="8219" spans="1:1" x14ac:dyDescent="0.3">
      <c r="A8219" s="12"/>
    </row>
    <row r="8220" spans="1:1" x14ac:dyDescent="0.3">
      <c r="A8220" s="12"/>
    </row>
    <row r="8221" spans="1:1" x14ac:dyDescent="0.3">
      <c r="A8221" s="12"/>
    </row>
    <row r="8222" spans="1:1" x14ac:dyDescent="0.3">
      <c r="A8222" s="12"/>
    </row>
    <row r="8223" spans="1:1" x14ac:dyDescent="0.3">
      <c r="A8223" s="12"/>
    </row>
    <row r="8224" spans="1:1" x14ac:dyDescent="0.3">
      <c r="A8224" s="12"/>
    </row>
    <row r="8225" spans="1:1" x14ac:dyDescent="0.3">
      <c r="A8225" s="12"/>
    </row>
    <row r="8226" spans="1:1" x14ac:dyDescent="0.3">
      <c r="A8226" s="12"/>
    </row>
    <row r="8227" spans="1:1" x14ac:dyDescent="0.3">
      <c r="A8227" s="12"/>
    </row>
    <row r="8228" spans="1:1" x14ac:dyDescent="0.3">
      <c r="A8228" s="12"/>
    </row>
    <row r="8229" spans="1:1" x14ac:dyDescent="0.3">
      <c r="A8229" s="12"/>
    </row>
    <row r="8230" spans="1:1" x14ac:dyDescent="0.3">
      <c r="A8230" s="12"/>
    </row>
    <row r="8231" spans="1:1" x14ac:dyDescent="0.3">
      <c r="A8231" s="12"/>
    </row>
    <row r="8232" spans="1:1" x14ac:dyDescent="0.3">
      <c r="A8232" s="12"/>
    </row>
    <row r="8233" spans="1:1" x14ac:dyDescent="0.3">
      <c r="A8233" s="12"/>
    </row>
    <row r="8234" spans="1:1" x14ac:dyDescent="0.3">
      <c r="A8234" s="12"/>
    </row>
    <row r="8235" spans="1:1" x14ac:dyDescent="0.3">
      <c r="A8235" s="12"/>
    </row>
    <row r="8236" spans="1:1" x14ac:dyDescent="0.3">
      <c r="A8236" s="12"/>
    </row>
    <row r="8237" spans="1:1" x14ac:dyDescent="0.3">
      <c r="A8237" s="12"/>
    </row>
    <row r="8238" spans="1:1" x14ac:dyDescent="0.3">
      <c r="A8238" s="12"/>
    </row>
    <row r="8239" spans="1:1" x14ac:dyDescent="0.3">
      <c r="A8239" s="12"/>
    </row>
    <row r="8240" spans="1:1" x14ac:dyDescent="0.3">
      <c r="A8240" s="12"/>
    </row>
    <row r="8241" spans="1:1" x14ac:dyDescent="0.3">
      <c r="A8241" s="12"/>
    </row>
    <row r="8242" spans="1:1" x14ac:dyDescent="0.3">
      <c r="A8242" s="12"/>
    </row>
    <row r="8243" spans="1:1" x14ac:dyDescent="0.3">
      <c r="A8243" s="12"/>
    </row>
    <row r="8244" spans="1:1" x14ac:dyDescent="0.3">
      <c r="A8244" s="12"/>
    </row>
    <row r="8245" spans="1:1" x14ac:dyDescent="0.3">
      <c r="A8245" s="12"/>
    </row>
    <row r="8246" spans="1:1" x14ac:dyDescent="0.3">
      <c r="A8246" s="12"/>
    </row>
    <row r="8247" spans="1:1" x14ac:dyDescent="0.3">
      <c r="A8247" s="12"/>
    </row>
    <row r="8248" spans="1:1" x14ac:dyDescent="0.3">
      <c r="A8248" s="12"/>
    </row>
    <row r="8249" spans="1:1" x14ac:dyDescent="0.3">
      <c r="A8249" s="12"/>
    </row>
    <row r="8250" spans="1:1" x14ac:dyDescent="0.3">
      <c r="A8250" s="12"/>
    </row>
    <row r="8251" spans="1:1" x14ac:dyDescent="0.3">
      <c r="A8251" s="12"/>
    </row>
    <row r="8252" spans="1:1" x14ac:dyDescent="0.3">
      <c r="A8252" s="12"/>
    </row>
    <row r="8253" spans="1:1" x14ac:dyDescent="0.3">
      <c r="A8253" s="12"/>
    </row>
    <row r="8254" spans="1:1" x14ac:dyDescent="0.3">
      <c r="A8254" s="12"/>
    </row>
    <row r="8255" spans="1:1" x14ac:dyDescent="0.3">
      <c r="A8255" s="12"/>
    </row>
    <row r="8256" spans="1:1" x14ac:dyDescent="0.3">
      <c r="A8256" s="12"/>
    </row>
    <row r="8257" spans="1:1" x14ac:dyDescent="0.3">
      <c r="A8257" s="12"/>
    </row>
    <row r="8258" spans="1:1" x14ac:dyDescent="0.3">
      <c r="A8258" s="12"/>
    </row>
    <row r="8259" spans="1:1" x14ac:dyDescent="0.3">
      <c r="A8259" s="12"/>
    </row>
    <row r="8260" spans="1:1" x14ac:dyDescent="0.3">
      <c r="A8260" s="12"/>
    </row>
    <row r="8261" spans="1:1" x14ac:dyDescent="0.3">
      <c r="A8261" s="12"/>
    </row>
    <row r="8262" spans="1:1" x14ac:dyDescent="0.3">
      <c r="A8262" s="12"/>
    </row>
    <row r="8263" spans="1:1" x14ac:dyDescent="0.3">
      <c r="A8263" s="12"/>
    </row>
    <row r="8264" spans="1:1" x14ac:dyDescent="0.3">
      <c r="A8264" s="12"/>
    </row>
    <row r="8265" spans="1:1" x14ac:dyDescent="0.3">
      <c r="A8265" s="12"/>
    </row>
    <row r="8266" spans="1:1" x14ac:dyDescent="0.3">
      <c r="A8266" s="12"/>
    </row>
    <row r="8267" spans="1:1" x14ac:dyDescent="0.3">
      <c r="A8267" s="12"/>
    </row>
    <row r="8268" spans="1:1" x14ac:dyDescent="0.3">
      <c r="A8268" s="12"/>
    </row>
    <row r="8269" spans="1:1" x14ac:dyDescent="0.3">
      <c r="A8269" s="12"/>
    </row>
    <row r="8270" spans="1:1" x14ac:dyDescent="0.3">
      <c r="A8270" s="12"/>
    </row>
    <row r="8271" spans="1:1" x14ac:dyDescent="0.3">
      <c r="A8271" s="12"/>
    </row>
    <row r="8272" spans="1:1" x14ac:dyDescent="0.3">
      <c r="A8272" s="12"/>
    </row>
    <row r="8273" spans="1:1" x14ac:dyDescent="0.3">
      <c r="A8273" s="12"/>
    </row>
    <row r="8274" spans="1:1" x14ac:dyDescent="0.3">
      <c r="A8274" s="12"/>
    </row>
    <row r="8275" spans="1:1" x14ac:dyDescent="0.3">
      <c r="A8275" s="12"/>
    </row>
    <row r="8276" spans="1:1" x14ac:dyDescent="0.3">
      <c r="A8276" s="12"/>
    </row>
    <row r="8277" spans="1:1" x14ac:dyDescent="0.3">
      <c r="A8277" s="12"/>
    </row>
    <row r="8278" spans="1:1" x14ac:dyDescent="0.3">
      <c r="A8278" s="12"/>
    </row>
    <row r="8279" spans="1:1" x14ac:dyDescent="0.3">
      <c r="A8279" s="12"/>
    </row>
    <row r="8280" spans="1:1" x14ac:dyDescent="0.3">
      <c r="A8280" s="12"/>
    </row>
    <row r="8281" spans="1:1" x14ac:dyDescent="0.3">
      <c r="A8281" s="12"/>
    </row>
    <row r="8282" spans="1:1" x14ac:dyDescent="0.3">
      <c r="A8282" s="12"/>
    </row>
    <row r="8283" spans="1:1" x14ac:dyDescent="0.3">
      <c r="A8283" s="12"/>
    </row>
    <row r="8284" spans="1:1" x14ac:dyDescent="0.3">
      <c r="A8284" s="12"/>
    </row>
    <row r="8285" spans="1:1" x14ac:dyDescent="0.3">
      <c r="A8285" s="12"/>
    </row>
    <row r="8286" spans="1:1" x14ac:dyDescent="0.3">
      <c r="A8286" s="12"/>
    </row>
    <row r="8287" spans="1:1" x14ac:dyDescent="0.3">
      <c r="A8287" s="12"/>
    </row>
    <row r="8288" spans="1:1" x14ac:dyDescent="0.3">
      <c r="A8288" s="12"/>
    </row>
    <row r="8289" spans="1:1" x14ac:dyDescent="0.3">
      <c r="A8289" s="12"/>
    </row>
    <row r="8290" spans="1:1" x14ac:dyDescent="0.3">
      <c r="A8290" s="12"/>
    </row>
    <row r="8291" spans="1:1" x14ac:dyDescent="0.3">
      <c r="A8291" s="12"/>
    </row>
    <row r="8292" spans="1:1" x14ac:dyDescent="0.3">
      <c r="A8292" s="12"/>
    </row>
    <row r="8293" spans="1:1" x14ac:dyDescent="0.3">
      <c r="A8293" s="12"/>
    </row>
    <row r="8294" spans="1:1" x14ac:dyDescent="0.3">
      <c r="A8294" s="12"/>
    </row>
    <row r="8295" spans="1:1" x14ac:dyDescent="0.3">
      <c r="A8295" s="12"/>
    </row>
    <row r="8296" spans="1:1" x14ac:dyDescent="0.3">
      <c r="A8296" s="12"/>
    </row>
    <row r="8297" spans="1:1" x14ac:dyDescent="0.3">
      <c r="A8297" s="12"/>
    </row>
    <row r="8298" spans="1:1" x14ac:dyDescent="0.3">
      <c r="A8298" s="12"/>
    </row>
    <row r="8299" spans="1:1" x14ac:dyDescent="0.3">
      <c r="A8299" s="12"/>
    </row>
    <row r="8300" spans="1:1" x14ac:dyDescent="0.3">
      <c r="A8300" s="12"/>
    </row>
    <row r="8301" spans="1:1" x14ac:dyDescent="0.3">
      <c r="A8301" s="12"/>
    </row>
    <row r="8302" spans="1:1" x14ac:dyDescent="0.3">
      <c r="A8302" s="12"/>
    </row>
    <row r="8303" spans="1:1" x14ac:dyDescent="0.3">
      <c r="A8303" s="12"/>
    </row>
    <row r="8304" spans="1:1" x14ac:dyDescent="0.3">
      <c r="A8304" s="12"/>
    </row>
    <row r="8305" spans="1:1" x14ac:dyDescent="0.3">
      <c r="A8305" s="12"/>
    </row>
    <row r="8306" spans="1:1" x14ac:dyDescent="0.3">
      <c r="A8306" s="12"/>
    </row>
    <row r="8307" spans="1:1" x14ac:dyDescent="0.3">
      <c r="A8307" s="12"/>
    </row>
    <row r="8308" spans="1:1" x14ac:dyDescent="0.3">
      <c r="A8308" s="12"/>
    </row>
    <row r="8309" spans="1:1" x14ac:dyDescent="0.3">
      <c r="A8309" s="12"/>
    </row>
    <row r="8310" spans="1:1" x14ac:dyDescent="0.3">
      <c r="A8310" s="12"/>
    </row>
    <row r="8311" spans="1:1" x14ac:dyDescent="0.3">
      <c r="A8311" s="12"/>
    </row>
    <row r="8312" spans="1:1" x14ac:dyDescent="0.3">
      <c r="A8312" s="12"/>
    </row>
    <row r="8313" spans="1:1" x14ac:dyDescent="0.3">
      <c r="A8313" s="12"/>
    </row>
    <row r="8314" spans="1:1" x14ac:dyDescent="0.3">
      <c r="A8314" s="12"/>
    </row>
    <row r="8315" spans="1:1" x14ac:dyDescent="0.3">
      <c r="A8315" s="12"/>
    </row>
    <row r="8316" spans="1:1" x14ac:dyDescent="0.3">
      <c r="A8316" s="12"/>
    </row>
    <row r="8317" spans="1:1" x14ac:dyDescent="0.3">
      <c r="A8317" s="12"/>
    </row>
    <row r="8318" spans="1:1" x14ac:dyDescent="0.3">
      <c r="A8318" s="12"/>
    </row>
    <row r="8319" spans="1:1" x14ac:dyDescent="0.3">
      <c r="A8319" s="12"/>
    </row>
    <row r="8320" spans="1:1" x14ac:dyDescent="0.3">
      <c r="A8320" s="12"/>
    </row>
    <row r="8321" spans="1:1" x14ac:dyDescent="0.3">
      <c r="A8321" s="12"/>
    </row>
    <row r="8322" spans="1:1" x14ac:dyDescent="0.3">
      <c r="A8322" s="12"/>
    </row>
    <row r="8323" spans="1:1" x14ac:dyDescent="0.3">
      <c r="A8323" s="12"/>
    </row>
    <row r="8324" spans="1:1" x14ac:dyDescent="0.3">
      <c r="A8324" s="12"/>
    </row>
    <row r="8325" spans="1:1" x14ac:dyDescent="0.3">
      <c r="A8325" s="12"/>
    </row>
    <row r="8326" spans="1:1" x14ac:dyDescent="0.3">
      <c r="A8326" s="12"/>
    </row>
    <row r="8327" spans="1:1" x14ac:dyDescent="0.3">
      <c r="A8327" s="12"/>
    </row>
    <row r="8328" spans="1:1" x14ac:dyDescent="0.3">
      <c r="A8328" s="12"/>
    </row>
    <row r="8329" spans="1:1" x14ac:dyDescent="0.3">
      <c r="A8329" s="12"/>
    </row>
    <row r="8330" spans="1:1" x14ac:dyDescent="0.3">
      <c r="A8330" s="12"/>
    </row>
    <row r="8331" spans="1:1" x14ac:dyDescent="0.3">
      <c r="A8331" s="12"/>
    </row>
    <row r="8332" spans="1:1" x14ac:dyDescent="0.3">
      <c r="A8332" s="12"/>
    </row>
    <row r="8333" spans="1:1" x14ac:dyDescent="0.3">
      <c r="A8333" s="12"/>
    </row>
    <row r="8334" spans="1:1" x14ac:dyDescent="0.3">
      <c r="A8334" s="12"/>
    </row>
    <row r="8335" spans="1:1" x14ac:dyDescent="0.3">
      <c r="A8335" s="12"/>
    </row>
    <row r="8336" spans="1:1" x14ac:dyDescent="0.3">
      <c r="A8336" s="12"/>
    </row>
    <row r="8337" spans="1:1" x14ac:dyDescent="0.3">
      <c r="A8337" s="12"/>
    </row>
    <row r="8338" spans="1:1" x14ac:dyDescent="0.3">
      <c r="A8338" s="12"/>
    </row>
    <row r="8339" spans="1:1" x14ac:dyDescent="0.3">
      <c r="A8339" s="12"/>
    </row>
    <row r="8340" spans="1:1" x14ac:dyDescent="0.3">
      <c r="A8340" s="12"/>
    </row>
    <row r="8341" spans="1:1" x14ac:dyDescent="0.3">
      <c r="A8341" s="12"/>
    </row>
    <row r="8342" spans="1:1" x14ac:dyDescent="0.3">
      <c r="A8342" s="12"/>
    </row>
    <row r="8343" spans="1:1" x14ac:dyDescent="0.3">
      <c r="A8343" s="12"/>
    </row>
    <row r="8344" spans="1:1" x14ac:dyDescent="0.3">
      <c r="A8344" s="12"/>
    </row>
    <row r="8345" spans="1:1" x14ac:dyDescent="0.3">
      <c r="A8345" s="12"/>
    </row>
    <row r="8346" spans="1:1" x14ac:dyDescent="0.3">
      <c r="A8346" s="12"/>
    </row>
    <row r="8347" spans="1:1" x14ac:dyDescent="0.3">
      <c r="A8347" s="12"/>
    </row>
    <row r="8348" spans="1:1" x14ac:dyDescent="0.3">
      <c r="A8348" s="12"/>
    </row>
    <row r="8349" spans="1:1" x14ac:dyDescent="0.3">
      <c r="A8349" s="12"/>
    </row>
    <row r="8350" spans="1:1" x14ac:dyDescent="0.3">
      <c r="A8350" s="12"/>
    </row>
    <row r="8351" spans="1:1" x14ac:dyDescent="0.3">
      <c r="A8351" s="12"/>
    </row>
    <row r="8352" spans="1:1" x14ac:dyDescent="0.3">
      <c r="A8352" s="12"/>
    </row>
    <row r="8353" spans="1:1" x14ac:dyDescent="0.3">
      <c r="A8353" s="12"/>
    </row>
    <row r="8354" spans="1:1" x14ac:dyDescent="0.3">
      <c r="A8354" s="12"/>
    </row>
    <row r="8355" spans="1:1" x14ac:dyDescent="0.3">
      <c r="A8355" s="12"/>
    </row>
    <row r="8356" spans="1:1" x14ac:dyDescent="0.3">
      <c r="A8356" s="12"/>
    </row>
    <row r="8357" spans="1:1" x14ac:dyDescent="0.3">
      <c r="A8357" s="12"/>
    </row>
    <row r="8358" spans="1:1" x14ac:dyDescent="0.3">
      <c r="A8358" s="12"/>
    </row>
    <row r="8359" spans="1:1" x14ac:dyDescent="0.3">
      <c r="A8359" s="12"/>
    </row>
    <row r="8360" spans="1:1" x14ac:dyDescent="0.3">
      <c r="A8360" s="12"/>
    </row>
    <row r="8361" spans="1:1" x14ac:dyDescent="0.3">
      <c r="A8361" s="12"/>
    </row>
    <row r="8362" spans="1:1" x14ac:dyDescent="0.3">
      <c r="A8362" s="12"/>
    </row>
    <row r="8363" spans="1:1" x14ac:dyDescent="0.3">
      <c r="A8363" s="12"/>
    </row>
    <row r="8364" spans="1:1" x14ac:dyDescent="0.3">
      <c r="A8364" s="12"/>
    </row>
    <row r="8365" spans="1:1" x14ac:dyDescent="0.3">
      <c r="A8365" s="12"/>
    </row>
    <row r="8366" spans="1:1" x14ac:dyDescent="0.3">
      <c r="A8366" s="12"/>
    </row>
    <row r="8367" spans="1:1" x14ac:dyDescent="0.3">
      <c r="A8367" s="12"/>
    </row>
    <row r="8368" spans="1:1" x14ac:dyDescent="0.3">
      <c r="A8368" s="12"/>
    </row>
    <row r="8369" spans="1:1" x14ac:dyDescent="0.3">
      <c r="A8369" s="12"/>
    </row>
    <row r="8370" spans="1:1" x14ac:dyDescent="0.3">
      <c r="A8370" s="12"/>
    </row>
    <row r="8371" spans="1:1" x14ac:dyDescent="0.3">
      <c r="A8371" s="12"/>
    </row>
    <row r="8372" spans="1:1" x14ac:dyDescent="0.3">
      <c r="A8372" s="12"/>
    </row>
    <row r="8373" spans="1:1" x14ac:dyDescent="0.3">
      <c r="A8373" s="12"/>
    </row>
    <row r="8374" spans="1:1" x14ac:dyDescent="0.3">
      <c r="A8374" s="12"/>
    </row>
    <row r="8375" spans="1:1" x14ac:dyDescent="0.3">
      <c r="A8375" s="12"/>
    </row>
    <row r="8376" spans="1:1" x14ac:dyDescent="0.3">
      <c r="A8376" s="12"/>
    </row>
    <row r="8377" spans="1:1" x14ac:dyDescent="0.3">
      <c r="A8377" s="12"/>
    </row>
    <row r="8378" spans="1:1" x14ac:dyDescent="0.3">
      <c r="A8378" s="12"/>
    </row>
    <row r="8379" spans="1:1" x14ac:dyDescent="0.3">
      <c r="A8379" s="12"/>
    </row>
    <row r="8380" spans="1:1" x14ac:dyDescent="0.3">
      <c r="A8380" s="12"/>
    </row>
    <row r="8381" spans="1:1" x14ac:dyDescent="0.3">
      <c r="A8381" s="12"/>
    </row>
    <row r="8382" spans="1:1" x14ac:dyDescent="0.3">
      <c r="A8382" s="12"/>
    </row>
    <row r="8383" spans="1:1" x14ac:dyDescent="0.3">
      <c r="A8383" s="12"/>
    </row>
    <row r="8384" spans="1:1" x14ac:dyDescent="0.3">
      <c r="A8384" s="12"/>
    </row>
    <row r="8385" spans="1:1" x14ac:dyDescent="0.3">
      <c r="A8385" s="12"/>
    </row>
    <row r="8386" spans="1:1" x14ac:dyDescent="0.3">
      <c r="A8386" s="12"/>
    </row>
    <row r="8387" spans="1:1" x14ac:dyDescent="0.3">
      <c r="A8387" s="12"/>
    </row>
    <row r="8388" spans="1:1" x14ac:dyDescent="0.3">
      <c r="A8388" s="12"/>
    </row>
    <row r="8389" spans="1:1" x14ac:dyDescent="0.3">
      <c r="A8389" s="12"/>
    </row>
    <row r="8390" spans="1:1" x14ac:dyDescent="0.3">
      <c r="A8390" s="12"/>
    </row>
    <row r="8391" spans="1:1" x14ac:dyDescent="0.3">
      <c r="A8391" s="12"/>
    </row>
    <row r="8392" spans="1:1" x14ac:dyDescent="0.3">
      <c r="A8392" s="12"/>
    </row>
    <row r="8393" spans="1:1" x14ac:dyDescent="0.3">
      <c r="A8393" s="12"/>
    </row>
    <row r="8394" spans="1:1" x14ac:dyDescent="0.3">
      <c r="A8394" s="12"/>
    </row>
    <row r="8395" spans="1:1" x14ac:dyDescent="0.3">
      <c r="A8395" s="12"/>
    </row>
    <row r="8396" spans="1:1" x14ac:dyDescent="0.3">
      <c r="A8396" s="12"/>
    </row>
    <row r="8397" spans="1:1" x14ac:dyDescent="0.3">
      <c r="A8397" s="12"/>
    </row>
    <row r="8398" spans="1:1" x14ac:dyDescent="0.3">
      <c r="A8398" s="12"/>
    </row>
    <row r="8399" spans="1:1" x14ac:dyDescent="0.3">
      <c r="A8399" s="12"/>
    </row>
    <row r="8400" spans="1:1" x14ac:dyDescent="0.3">
      <c r="A8400" s="12"/>
    </row>
    <row r="8401" spans="1:1" x14ac:dyDescent="0.3">
      <c r="A8401" s="12"/>
    </row>
    <row r="8402" spans="1:1" x14ac:dyDescent="0.3">
      <c r="A8402" s="12"/>
    </row>
    <row r="8403" spans="1:1" x14ac:dyDescent="0.3">
      <c r="A8403" s="12"/>
    </row>
    <row r="8404" spans="1:1" x14ac:dyDescent="0.3">
      <c r="A8404" s="12"/>
    </row>
    <row r="8405" spans="1:1" x14ac:dyDescent="0.3">
      <c r="A8405" s="12"/>
    </row>
    <row r="8406" spans="1:1" x14ac:dyDescent="0.3">
      <c r="A8406" s="12"/>
    </row>
    <row r="8407" spans="1:1" x14ac:dyDescent="0.3">
      <c r="A8407" s="12"/>
    </row>
    <row r="8408" spans="1:1" x14ac:dyDescent="0.3">
      <c r="A8408" s="12"/>
    </row>
    <row r="8409" spans="1:1" x14ac:dyDescent="0.3">
      <c r="A8409" s="12"/>
    </row>
    <row r="8410" spans="1:1" x14ac:dyDescent="0.3">
      <c r="A8410" s="12"/>
    </row>
    <row r="8411" spans="1:1" x14ac:dyDescent="0.3">
      <c r="A8411" s="12"/>
    </row>
    <row r="8412" spans="1:1" x14ac:dyDescent="0.3">
      <c r="A8412" s="12"/>
    </row>
    <row r="8413" spans="1:1" x14ac:dyDescent="0.3">
      <c r="A8413" s="12"/>
    </row>
    <row r="8414" spans="1:1" x14ac:dyDescent="0.3">
      <c r="A8414" s="12"/>
    </row>
    <row r="8415" spans="1:1" x14ac:dyDescent="0.3">
      <c r="A8415" s="12"/>
    </row>
    <row r="8416" spans="1:1" x14ac:dyDescent="0.3">
      <c r="A8416" s="12"/>
    </row>
    <row r="8417" spans="1:1" x14ac:dyDescent="0.3">
      <c r="A8417" s="12"/>
    </row>
    <row r="8418" spans="1:1" x14ac:dyDescent="0.3">
      <c r="A8418" s="12"/>
    </row>
    <row r="8419" spans="1:1" x14ac:dyDescent="0.3">
      <c r="A8419" s="12"/>
    </row>
    <row r="8420" spans="1:1" x14ac:dyDescent="0.3">
      <c r="A8420" s="12"/>
    </row>
    <row r="8421" spans="1:1" x14ac:dyDescent="0.3">
      <c r="A8421" s="12"/>
    </row>
    <row r="8422" spans="1:1" x14ac:dyDescent="0.3">
      <c r="A8422" s="12"/>
    </row>
    <row r="8423" spans="1:1" x14ac:dyDescent="0.3">
      <c r="A8423" s="12"/>
    </row>
    <row r="8424" spans="1:1" x14ac:dyDescent="0.3">
      <c r="A8424" s="12"/>
    </row>
    <row r="8425" spans="1:1" x14ac:dyDescent="0.3">
      <c r="A8425" s="12"/>
    </row>
    <row r="8426" spans="1:1" x14ac:dyDescent="0.3">
      <c r="A8426" s="12"/>
    </row>
    <row r="8427" spans="1:1" x14ac:dyDescent="0.3">
      <c r="A8427" s="12"/>
    </row>
    <row r="8428" spans="1:1" x14ac:dyDescent="0.3">
      <c r="A8428" s="12"/>
    </row>
    <row r="8429" spans="1:1" x14ac:dyDescent="0.3">
      <c r="A8429" s="12"/>
    </row>
    <row r="8430" spans="1:1" x14ac:dyDescent="0.3">
      <c r="A8430" s="12"/>
    </row>
    <row r="8431" spans="1:1" x14ac:dyDescent="0.3">
      <c r="A8431" s="12"/>
    </row>
    <row r="8432" spans="1:1" x14ac:dyDescent="0.3">
      <c r="A8432" s="12"/>
    </row>
    <row r="8433" spans="1:1" x14ac:dyDescent="0.3">
      <c r="A8433" s="12"/>
    </row>
    <row r="8434" spans="1:1" x14ac:dyDescent="0.3">
      <c r="A8434" s="12"/>
    </row>
    <row r="8435" spans="1:1" x14ac:dyDescent="0.3">
      <c r="A8435" s="12"/>
    </row>
    <row r="8436" spans="1:1" x14ac:dyDescent="0.3">
      <c r="A8436" s="12"/>
    </row>
    <row r="8437" spans="1:1" x14ac:dyDescent="0.3">
      <c r="A8437" s="12"/>
    </row>
    <row r="8438" spans="1:1" x14ac:dyDescent="0.3">
      <c r="A8438" s="12"/>
    </row>
    <row r="8439" spans="1:1" x14ac:dyDescent="0.3">
      <c r="A8439" s="12"/>
    </row>
    <row r="8440" spans="1:1" x14ac:dyDescent="0.3">
      <c r="A8440" s="12"/>
    </row>
    <row r="8441" spans="1:1" x14ac:dyDescent="0.3">
      <c r="A8441" s="12"/>
    </row>
    <row r="8442" spans="1:1" x14ac:dyDescent="0.3">
      <c r="A8442" s="12"/>
    </row>
    <row r="8443" spans="1:1" x14ac:dyDescent="0.3">
      <c r="A8443" s="12"/>
    </row>
    <row r="8444" spans="1:1" x14ac:dyDescent="0.3">
      <c r="A8444" s="12"/>
    </row>
    <row r="8445" spans="1:1" x14ac:dyDescent="0.3">
      <c r="A8445" s="12"/>
    </row>
    <row r="8446" spans="1:1" x14ac:dyDescent="0.3">
      <c r="A8446" s="12"/>
    </row>
    <row r="8447" spans="1:1" x14ac:dyDescent="0.3">
      <c r="A8447" s="12"/>
    </row>
    <row r="8448" spans="1:1" x14ac:dyDescent="0.3">
      <c r="A8448" s="12"/>
    </row>
    <row r="8449" spans="1:1" x14ac:dyDescent="0.3">
      <c r="A8449" s="12"/>
    </row>
    <row r="8450" spans="1:1" x14ac:dyDescent="0.3">
      <c r="A8450" s="12"/>
    </row>
    <row r="8451" spans="1:1" x14ac:dyDescent="0.3">
      <c r="A8451" s="12"/>
    </row>
    <row r="8452" spans="1:1" x14ac:dyDescent="0.3">
      <c r="A8452" s="12"/>
    </row>
    <row r="8453" spans="1:1" x14ac:dyDescent="0.3">
      <c r="A8453" s="12"/>
    </row>
    <row r="8454" spans="1:1" x14ac:dyDescent="0.3">
      <c r="A8454" s="12"/>
    </row>
    <row r="8455" spans="1:1" x14ac:dyDescent="0.3">
      <c r="A8455" s="12"/>
    </row>
    <row r="8456" spans="1:1" x14ac:dyDescent="0.3">
      <c r="A8456" s="12"/>
    </row>
    <row r="8457" spans="1:1" x14ac:dyDescent="0.3">
      <c r="A8457" s="12"/>
    </row>
    <row r="8458" spans="1:1" x14ac:dyDescent="0.3">
      <c r="A8458" s="12"/>
    </row>
    <row r="8459" spans="1:1" x14ac:dyDescent="0.3">
      <c r="A8459" s="12"/>
    </row>
    <row r="8460" spans="1:1" x14ac:dyDescent="0.3">
      <c r="A8460" s="12"/>
    </row>
    <row r="8461" spans="1:1" x14ac:dyDescent="0.3">
      <c r="A8461" s="12"/>
    </row>
    <row r="8462" spans="1:1" x14ac:dyDescent="0.3">
      <c r="A8462" s="12"/>
    </row>
    <row r="8463" spans="1:1" x14ac:dyDescent="0.3">
      <c r="A8463" s="12"/>
    </row>
    <row r="8464" spans="1:1" x14ac:dyDescent="0.3">
      <c r="A8464" s="12"/>
    </row>
    <row r="8465" spans="1:1" x14ac:dyDescent="0.3">
      <c r="A8465" s="12"/>
    </row>
    <row r="8466" spans="1:1" x14ac:dyDescent="0.3">
      <c r="A8466" s="12"/>
    </row>
    <row r="8467" spans="1:1" x14ac:dyDescent="0.3">
      <c r="A8467" s="12"/>
    </row>
    <row r="8468" spans="1:1" x14ac:dyDescent="0.3">
      <c r="A8468" s="12"/>
    </row>
    <row r="8469" spans="1:1" x14ac:dyDescent="0.3">
      <c r="A8469" s="12"/>
    </row>
    <row r="8470" spans="1:1" x14ac:dyDescent="0.3">
      <c r="A8470" s="12"/>
    </row>
    <row r="8471" spans="1:1" x14ac:dyDescent="0.3">
      <c r="A8471" s="12"/>
    </row>
    <row r="8472" spans="1:1" x14ac:dyDescent="0.3">
      <c r="A8472" s="12"/>
    </row>
    <row r="8473" spans="1:1" x14ac:dyDescent="0.3">
      <c r="A8473" s="12"/>
    </row>
    <row r="8474" spans="1:1" x14ac:dyDescent="0.3">
      <c r="A8474" s="12"/>
    </row>
    <row r="8475" spans="1:1" x14ac:dyDescent="0.3">
      <c r="A8475" s="12"/>
    </row>
    <row r="8476" spans="1:1" x14ac:dyDescent="0.3">
      <c r="A8476" s="12"/>
    </row>
    <row r="8477" spans="1:1" x14ac:dyDescent="0.3">
      <c r="A8477" s="12"/>
    </row>
    <row r="8478" spans="1:1" x14ac:dyDescent="0.3">
      <c r="A8478" s="12"/>
    </row>
    <row r="8479" spans="1:1" x14ac:dyDescent="0.3">
      <c r="A8479" s="12"/>
    </row>
    <row r="8480" spans="1:1" x14ac:dyDescent="0.3">
      <c r="A8480" s="12"/>
    </row>
    <row r="8481" spans="1:1" x14ac:dyDescent="0.3">
      <c r="A8481" s="12"/>
    </row>
    <row r="8482" spans="1:1" x14ac:dyDescent="0.3">
      <c r="A8482" s="12"/>
    </row>
    <row r="8483" spans="1:1" x14ac:dyDescent="0.3">
      <c r="A8483" s="12"/>
    </row>
    <row r="8484" spans="1:1" x14ac:dyDescent="0.3">
      <c r="A8484" s="12"/>
    </row>
    <row r="8485" spans="1:1" x14ac:dyDescent="0.3">
      <c r="A8485" s="12"/>
    </row>
    <row r="8486" spans="1:1" x14ac:dyDescent="0.3">
      <c r="A8486" s="12"/>
    </row>
    <row r="8487" spans="1:1" x14ac:dyDescent="0.3">
      <c r="A8487" s="12"/>
    </row>
    <row r="8488" spans="1:1" x14ac:dyDescent="0.3">
      <c r="A8488" s="12"/>
    </row>
    <row r="8489" spans="1:1" x14ac:dyDescent="0.3">
      <c r="A8489" s="12"/>
    </row>
    <row r="8490" spans="1:1" x14ac:dyDescent="0.3">
      <c r="A8490" s="12"/>
    </row>
    <row r="8491" spans="1:1" x14ac:dyDescent="0.3">
      <c r="A8491" s="12"/>
    </row>
    <row r="8492" spans="1:1" x14ac:dyDescent="0.3">
      <c r="A8492" s="12"/>
    </row>
    <row r="8493" spans="1:1" x14ac:dyDescent="0.3">
      <c r="A8493" s="12"/>
    </row>
    <row r="8494" spans="1:1" x14ac:dyDescent="0.3">
      <c r="A8494" s="12"/>
    </row>
    <row r="8495" spans="1:1" x14ac:dyDescent="0.3">
      <c r="A8495" s="12"/>
    </row>
    <row r="8496" spans="1:1" x14ac:dyDescent="0.3">
      <c r="A8496" s="12"/>
    </row>
    <row r="8497" spans="1:1" x14ac:dyDescent="0.3">
      <c r="A8497" s="12"/>
    </row>
    <row r="8498" spans="1:1" x14ac:dyDescent="0.3">
      <c r="A8498" s="12"/>
    </row>
    <row r="8499" spans="1:1" x14ac:dyDescent="0.3">
      <c r="A8499" s="12"/>
    </row>
    <row r="8500" spans="1:1" x14ac:dyDescent="0.3">
      <c r="A8500" s="12"/>
    </row>
    <row r="8501" spans="1:1" x14ac:dyDescent="0.3">
      <c r="A8501" s="12"/>
    </row>
    <row r="8502" spans="1:1" x14ac:dyDescent="0.3">
      <c r="A8502" s="12"/>
    </row>
    <row r="8503" spans="1:1" x14ac:dyDescent="0.3">
      <c r="A8503" s="12"/>
    </row>
    <row r="8504" spans="1:1" x14ac:dyDescent="0.3">
      <c r="A8504" s="12"/>
    </row>
    <row r="8505" spans="1:1" x14ac:dyDescent="0.3">
      <c r="A8505" s="12"/>
    </row>
    <row r="8506" spans="1:1" x14ac:dyDescent="0.3">
      <c r="A8506" s="12"/>
    </row>
    <row r="8507" spans="1:1" x14ac:dyDescent="0.3">
      <c r="A8507" s="12"/>
    </row>
    <row r="8508" spans="1:1" x14ac:dyDescent="0.3">
      <c r="A8508" s="12"/>
    </row>
    <row r="8509" spans="1:1" x14ac:dyDescent="0.3">
      <c r="A8509" s="12"/>
    </row>
    <row r="8510" spans="1:1" x14ac:dyDescent="0.3">
      <c r="A8510" s="12"/>
    </row>
    <row r="8511" spans="1:1" x14ac:dyDescent="0.3">
      <c r="A8511" s="12"/>
    </row>
    <row r="8512" spans="1:1" x14ac:dyDescent="0.3">
      <c r="A8512" s="12"/>
    </row>
    <row r="8513" spans="1:1" x14ac:dyDescent="0.3">
      <c r="A8513" s="12"/>
    </row>
    <row r="8514" spans="1:1" x14ac:dyDescent="0.3">
      <c r="A8514" s="12"/>
    </row>
    <row r="8515" spans="1:1" x14ac:dyDescent="0.3">
      <c r="A8515" s="12"/>
    </row>
    <row r="8516" spans="1:1" x14ac:dyDescent="0.3">
      <c r="A8516" s="12"/>
    </row>
    <row r="8517" spans="1:1" x14ac:dyDescent="0.3">
      <c r="A8517" s="12"/>
    </row>
    <row r="8518" spans="1:1" x14ac:dyDescent="0.3">
      <c r="A8518" s="12"/>
    </row>
    <row r="8519" spans="1:1" x14ac:dyDescent="0.3">
      <c r="A8519" s="12"/>
    </row>
    <row r="8520" spans="1:1" x14ac:dyDescent="0.3">
      <c r="A8520" s="12"/>
    </row>
    <row r="8521" spans="1:1" x14ac:dyDescent="0.3">
      <c r="A8521" s="12"/>
    </row>
    <row r="8522" spans="1:1" x14ac:dyDescent="0.3">
      <c r="A8522" s="12"/>
    </row>
    <row r="8523" spans="1:1" x14ac:dyDescent="0.3">
      <c r="A8523" s="12"/>
    </row>
    <row r="8524" spans="1:1" x14ac:dyDescent="0.3">
      <c r="A8524" s="12"/>
    </row>
    <row r="8525" spans="1:1" x14ac:dyDescent="0.3">
      <c r="A8525" s="12"/>
    </row>
    <row r="8526" spans="1:1" x14ac:dyDescent="0.3">
      <c r="A8526" s="12"/>
    </row>
    <row r="8527" spans="1:1" x14ac:dyDescent="0.3">
      <c r="A8527" s="12"/>
    </row>
    <row r="8528" spans="1:1" x14ac:dyDescent="0.3">
      <c r="A8528" s="12"/>
    </row>
    <row r="8529" spans="1:1" x14ac:dyDescent="0.3">
      <c r="A8529" s="12"/>
    </row>
    <row r="8530" spans="1:1" x14ac:dyDescent="0.3">
      <c r="A8530" s="12"/>
    </row>
    <row r="8531" spans="1:1" x14ac:dyDescent="0.3">
      <c r="A8531" s="12"/>
    </row>
    <row r="8532" spans="1:1" x14ac:dyDescent="0.3">
      <c r="A8532" s="12"/>
    </row>
    <row r="8533" spans="1:1" x14ac:dyDescent="0.3">
      <c r="A8533" s="12"/>
    </row>
    <row r="8534" spans="1:1" x14ac:dyDescent="0.3">
      <c r="A8534" s="12"/>
    </row>
    <row r="8535" spans="1:1" x14ac:dyDescent="0.3">
      <c r="A8535" s="12"/>
    </row>
    <row r="8536" spans="1:1" x14ac:dyDescent="0.3">
      <c r="A8536" s="12"/>
    </row>
    <row r="8537" spans="1:1" x14ac:dyDescent="0.3">
      <c r="A8537" s="12"/>
    </row>
    <row r="8538" spans="1:1" x14ac:dyDescent="0.3">
      <c r="A8538" s="12"/>
    </row>
    <row r="8539" spans="1:1" x14ac:dyDescent="0.3">
      <c r="A8539" s="12"/>
    </row>
    <row r="8540" spans="1:1" x14ac:dyDescent="0.3">
      <c r="A8540" s="12"/>
    </row>
    <row r="8541" spans="1:1" x14ac:dyDescent="0.3">
      <c r="A8541" s="12"/>
    </row>
    <row r="8542" spans="1:1" x14ac:dyDescent="0.3">
      <c r="A8542" s="12"/>
    </row>
    <row r="8543" spans="1:1" x14ac:dyDescent="0.3">
      <c r="A8543" s="12"/>
    </row>
    <row r="8544" spans="1:1" x14ac:dyDescent="0.3">
      <c r="A8544" s="12"/>
    </row>
    <row r="8545" spans="1:1" x14ac:dyDescent="0.3">
      <c r="A8545" s="12"/>
    </row>
    <row r="8546" spans="1:1" x14ac:dyDescent="0.3">
      <c r="A8546" s="12"/>
    </row>
    <row r="8547" spans="1:1" x14ac:dyDescent="0.3">
      <c r="A8547" s="12"/>
    </row>
    <row r="8548" spans="1:1" x14ac:dyDescent="0.3">
      <c r="A8548" s="12"/>
    </row>
    <row r="8549" spans="1:1" x14ac:dyDescent="0.3">
      <c r="A8549" s="12"/>
    </row>
    <row r="8550" spans="1:1" x14ac:dyDescent="0.3">
      <c r="A8550" s="12"/>
    </row>
    <row r="8551" spans="1:1" x14ac:dyDescent="0.3">
      <c r="A8551" s="12"/>
    </row>
    <row r="8552" spans="1:1" x14ac:dyDescent="0.3">
      <c r="A8552" s="12"/>
    </row>
    <row r="8553" spans="1:1" x14ac:dyDescent="0.3">
      <c r="A8553" s="12"/>
    </row>
    <row r="8554" spans="1:1" x14ac:dyDescent="0.3">
      <c r="A8554" s="12"/>
    </row>
    <row r="8555" spans="1:1" x14ac:dyDescent="0.3">
      <c r="A8555" s="12"/>
    </row>
    <row r="8556" spans="1:1" x14ac:dyDescent="0.3">
      <c r="A8556" s="12"/>
    </row>
    <row r="8557" spans="1:1" x14ac:dyDescent="0.3">
      <c r="A8557" s="12"/>
    </row>
    <row r="8558" spans="1:1" x14ac:dyDescent="0.3">
      <c r="A8558" s="12"/>
    </row>
    <row r="8559" spans="1:1" x14ac:dyDescent="0.3">
      <c r="A8559" s="12"/>
    </row>
    <row r="8560" spans="1:1" x14ac:dyDescent="0.3">
      <c r="A8560" s="12"/>
    </row>
    <row r="8561" spans="1:1" x14ac:dyDescent="0.3">
      <c r="A8561" s="12"/>
    </row>
    <row r="8562" spans="1:1" x14ac:dyDescent="0.3">
      <c r="A8562" s="12"/>
    </row>
    <row r="8563" spans="1:1" x14ac:dyDescent="0.3">
      <c r="A8563" s="12"/>
    </row>
    <row r="8564" spans="1:1" x14ac:dyDescent="0.3">
      <c r="A8564" s="12"/>
    </row>
    <row r="8565" spans="1:1" x14ac:dyDescent="0.3">
      <c r="A8565" s="12"/>
    </row>
    <row r="8566" spans="1:1" x14ac:dyDescent="0.3">
      <c r="A8566" s="12"/>
    </row>
    <row r="8567" spans="1:1" x14ac:dyDescent="0.3">
      <c r="A8567" s="12"/>
    </row>
    <row r="8568" spans="1:1" x14ac:dyDescent="0.3">
      <c r="A8568" s="12"/>
    </row>
    <row r="8569" spans="1:1" x14ac:dyDescent="0.3">
      <c r="A8569" s="12"/>
    </row>
    <row r="8570" spans="1:1" x14ac:dyDescent="0.3">
      <c r="A8570" s="12"/>
    </row>
    <row r="8571" spans="1:1" x14ac:dyDescent="0.3">
      <c r="A8571" s="12"/>
    </row>
    <row r="8572" spans="1:1" x14ac:dyDescent="0.3">
      <c r="A8572" s="12"/>
    </row>
    <row r="8573" spans="1:1" x14ac:dyDescent="0.3">
      <c r="A8573" s="12"/>
    </row>
    <row r="8574" spans="1:1" x14ac:dyDescent="0.3">
      <c r="A8574" s="12"/>
    </row>
    <row r="8575" spans="1:1" x14ac:dyDescent="0.3">
      <c r="A8575" s="12"/>
    </row>
    <row r="8576" spans="1:1" x14ac:dyDescent="0.3">
      <c r="A8576" s="12"/>
    </row>
    <row r="8577" spans="1:1" x14ac:dyDescent="0.3">
      <c r="A8577" s="12"/>
    </row>
    <row r="8578" spans="1:1" x14ac:dyDescent="0.3">
      <c r="A8578" s="12"/>
    </row>
    <row r="8579" spans="1:1" x14ac:dyDescent="0.3">
      <c r="A8579" s="12"/>
    </row>
    <row r="8580" spans="1:1" x14ac:dyDescent="0.3">
      <c r="A8580" s="12"/>
    </row>
    <row r="8581" spans="1:1" x14ac:dyDescent="0.3">
      <c r="A8581" s="12"/>
    </row>
    <row r="8582" spans="1:1" x14ac:dyDescent="0.3">
      <c r="A8582" s="12"/>
    </row>
    <row r="8583" spans="1:1" x14ac:dyDescent="0.3">
      <c r="A8583" s="12"/>
    </row>
    <row r="8584" spans="1:1" x14ac:dyDescent="0.3">
      <c r="A8584" s="12"/>
    </row>
    <row r="8585" spans="1:1" x14ac:dyDescent="0.3">
      <c r="A8585" s="12"/>
    </row>
    <row r="8586" spans="1:1" x14ac:dyDescent="0.3">
      <c r="A8586" s="12"/>
    </row>
    <row r="8587" spans="1:1" x14ac:dyDescent="0.3">
      <c r="A8587" s="12"/>
    </row>
    <row r="8588" spans="1:1" x14ac:dyDescent="0.3">
      <c r="A8588" s="12"/>
    </row>
    <row r="8589" spans="1:1" x14ac:dyDescent="0.3">
      <c r="A8589" s="12"/>
    </row>
    <row r="8590" spans="1:1" x14ac:dyDescent="0.3">
      <c r="A8590" s="12"/>
    </row>
    <row r="8591" spans="1:1" x14ac:dyDescent="0.3">
      <c r="A8591" s="12"/>
    </row>
    <row r="8592" spans="1:1" x14ac:dyDescent="0.3">
      <c r="A8592" s="12"/>
    </row>
    <row r="8593" spans="1:1" x14ac:dyDescent="0.3">
      <c r="A8593" s="12"/>
    </row>
    <row r="8594" spans="1:1" x14ac:dyDescent="0.3">
      <c r="A8594" s="12"/>
    </row>
    <row r="8595" spans="1:1" x14ac:dyDescent="0.3">
      <c r="A8595" s="12"/>
    </row>
    <row r="8596" spans="1:1" x14ac:dyDescent="0.3">
      <c r="A8596" s="12"/>
    </row>
    <row r="8597" spans="1:1" x14ac:dyDescent="0.3">
      <c r="A8597" s="12"/>
    </row>
    <row r="8598" spans="1:1" x14ac:dyDescent="0.3">
      <c r="A8598" s="12"/>
    </row>
    <row r="8599" spans="1:1" x14ac:dyDescent="0.3">
      <c r="A8599" s="12"/>
    </row>
    <row r="8600" spans="1:1" x14ac:dyDescent="0.3">
      <c r="A8600" s="12"/>
    </row>
    <row r="8601" spans="1:1" x14ac:dyDescent="0.3">
      <c r="A8601" s="12"/>
    </row>
    <row r="8602" spans="1:1" x14ac:dyDescent="0.3">
      <c r="A8602" s="12"/>
    </row>
    <row r="8603" spans="1:1" x14ac:dyDescent="0.3">
      <c r="A8603" s="12"/>
    </row>
    <row r="8604" spans="1:1" x14ac:dyDescent="0.3">
      <c r="A8604" s="12"/>
    </row>
    <row r="8605" spans="1:1" x14ac:dyDescent="0.3">
      <c r="A8605" s="12"/>
    </row>
    <row r="8606" spans="1:1" x14ac:dyDescent="0.3">
      <c r="A8606" s="12"/>
    </row>
    <row r="8607" spans="1:1" x14ac:dyDescent="0.3">
      <c r="A8607" s="12"/>
    </row>
    <row r="8608" spans="1:1" x14ac:dyDescent="0.3">
      <c r="A8608" s="12"/>
    </row>
    <row r="8609" spans="1:1" x14ac:dyDescent="0.3">
      <c r="A8609" s="12"/>
    </row>
    <row r="8610" spans="1:1" x14ac:dyDescent="0.3">
      <c r="A8610" s="12"/>
    </row>
    <row r="8611" spans="1:1" x14ac:dyDescent="0.3">
      <c r="A8611" s="12"/>
    </row>
    <row r="8612" spans="1:1" x14ac:dyDescent="0.3">
      <c r="A8612" s="12"/>
    </row>
    <row r="8613" spans="1:1" x14ac:dyDescent="0.3">
      <c r="A8613" s="12"/>
    </row>
    <row r="8614" spans="1:1" x14ac:dyDescent="0.3">
      <c r="A8614" s="12"/>
    </row>
    <row r="8615" spans="1:1" x14ac:dyDescent="0.3">
      <c r="A8615" s="12"/>
    </row>
    <row r="8616" spans="1:1" x14ac:dyDescent="0.3">
      <c r="A8616" s="12"/>
    </row>
    <row r="8617" spans="1:1" x14ac:dyDescent="0.3">
      <c r="A8617" s="12"/>
    </row>
    <row r="8618" spans="1:1" x14ac:dyDescent="0.3">
      <c r="A8618" s="12"/>
    </row>
    <row r="8619" spans="1:1" x14ac:dyDescent="0.3">
      <c r="A8619" s="12"/>
    </row>
    <row r="8620" spans="1:1" x14ac:dyDescent="0.3">
      <c r="A8620" s="12"/>
    </row>
    <row r="8621" spans="1:1" x14ac:dyDescent="0.3">
      <c r="A8621" s="12"/>
    </row>
    <row r="8622" spans="1:1" x14ac:dyDescent="0.3">
      <c r="A8622" s="12"/>
    </row>
    <row r="8623" spans="1:1" x14ac:dyDescent="0.3">
      <c r="A8623" s="12"/>
    </row>
    <row r="8624" spans="1:1" x14ac:dyDescent="0.3">
      <c r="A8624" s="12"/>
    </row>
    <row r="8625" spans="1:1" x14ac:dyDescent="0.3">
      <c r="A8625" s="12"/>
    </row>
    <row r="8626" spans="1:1" x14ac:dyDescent="0.3">
      <c r="A8626" s="12"/>
    </row>
    <row r="8627" spans="1:1" x14ac:dyDescent="0.3">
      <c r="A8627" s="12"/>
    </row>
    <row r="8628" spans="1:1" x14ac:dyDescent="0.3">
      <c r="A8628" s="12"/>
    </row>
    <row r="8629" spans="1:1" x14ac:dyDescent="0.3">
      <c r="A8629" s="12"/>
    </row>
    <row r="8630" spans="1:1" x14ac:dyDescent="0.3">
      <c r="A8630" s="12"/>
    </row>
    <row r="8631" spans="1:1" x14ac:dyDescent="0.3">
      <c r="A8631" s="12"/>
    </row>
    <row r="8632" spans="1:1" x14ac:dyDescent="0.3">
      <c r="A8632" s="12"/>
    </row>
    <row r="8633" spans="1:1" x14ac:dyDescent="0.3">
      <c r="A8633" s="12"/>
    </row>
    <row r="8634" spans="1:1" x14ac:dyDescent="0.3">
      <c r="A8634" s="12"/>
    </row>
    <row r="8635" spans="1:1" x14ac:dyDescent="0.3">
      <c r="A8635" s="12"/>
    </row>
    <row r="8636" spans="1:1" x14ac:dyDescent="0.3">
      <c r="A8636" s="12"/>
    </row>
    <row r="8637" spans="1:1" x14ac:dyDescent="0.3">
      <c r="A8637" s="12"/>
    </row>
    <row r="8638" spans="1:1" x14ac:dyDescent="0.3">
      <c r="A8638" s="12"/>
    </row>
    <row r="8639" spans="1:1" x14ac:dyDescent="0.3">
      <c r="A8639" s="12"/>
    </row>
    <row r="8640" spans="1:1" x14ac:dyDescent="0.3">
      <c r="A8640" s="12"/>
    </row>
    <row r="8641" spans="1:1" x14ac:dyDescent="0.3">
      <c r="A8641" s="12"/>
    </row>
    <row r="8642" spans="1:1" x14ac:dyDescent="0.3">
      <c r="A8642" s="12"/>
    </row>
    <row r="8643" spans="1:1" x14ac:dyDescent="0.3">
      <c r="A8643" s="12"/>
    </row>
    <row r="8644" spans="1:1" x14ac:dyDescent="0.3">
      <c r="A8644" s="12"/>
    </row>
    <row r="8645" spans="1:1" x14ac:dyDescent="0.3">
      <c r="A8645" s="12"/>
    </row>
    <row r="8646" spans="1:1" x14ac:dyDescent="0.3">
      <c r="A8646" s="12"/>
    </row>
    <row r="8647" spans="1:1" x14ac:dyDescent="0.3">
      <c r="A8647" s="12"/>
    </row>
    <row r="8648" spans="1:1" x14ac:dyDescent="0.3">
      <c r="A8648" s="12"/>
    </row>
    <row r="8649" spans="1:1" x14ac:dyDescent="0.3">
      <c r="A8649" s="12"/>
    </row>
    <row r="8650" spans="1:1" x14ac:dyDescent="0.3">
      <c r="A8650" s="12"/>
    </row>
    <row r="8651" spans="1:1" x14ac:dyDescent="0.3">
      <c r="A8651" s="12"/>
    </row>
    <row r="8652" spans="1:1" x14ac:dyDescent="0.3">
      <c r="A8652" s="12"/>
    </row>
    <row r="8653" spans="1:1" x14ac:dyDescent="0.3">
      <c r="A8653" s="12"/>
    </row>
    <row r="8654" spans="1:1" x14ac:dyDescent="0.3">
      <c r="A8654" s="12"/>
    </row>
    <row r="8655" spans="1:1" x14ac:dyDescent="0.3">
      <c r="A8655" s="12"/>
    </row>
    <row r="8656" spans="1:1" x14ac:dyDescent="0.3">
      <c r="A8656" s="12"/>
    </row>
    <row r="8657" spans="1:1" x14ac:dyDescent="0.3">
      <c r="A8657" s="12"/>
    </row>
    <row r="8658" spans="1:1" x14ac:dyDescent="0.3">
      <c r="A8658" s="12"/>
    </row>
    <row r="8659" spans="1:1" x14ac:dyDescent="0.3">
      <c r="A8659" s="12"/>
    </row>
    <row r="8660" spans="1:1" x14ac:dyDescent="0.3">
      <c r="A8660" s="12"/>
    </row>
    <row r="8661" spans="1:1" x14ac:dyDescent="0.3">
      <c r="A8661" s="12"/>
    </row>
    <row r="8662" spans="1:1" x14ac:dyDescent="0.3">
      <c r="A8662" s="12"/>
    </row>
    <row r="8663" spans="1:1" x14ac:dyDescent="0.3">
      <c r="A8663" s="12"/>
    </row>
    <row r="8664" spans="1:1" x14ac:dyDescent="0.3">
      <c r="A8664" s="12"/>
    </row>
    <row r="8665" spans="1:1" x14ac:dyDescent="0.3">
      <c r="A8665" s="12"/>
    </row>
    <row r="8666" spans="1:1" x14ac:dyDescent="0.3">
      <c r="A8666" s="12"/>
    </row>
    <row r="8667" spans="1:1" x14ac:dyDescent="0.3">
      <c r="A8667" s="12"/>
    </row>
    <row r="8668" spans="1:1" x14ac:dyDescent="0.3">
      <c r="A8668" s="12"/>
    </row>
    <row r="8669" spans="1:1" x14ac:dyDescent="0.3">
      <c r="A8669" s="12"/>
    </row>
    <row r="8670" spans="1:1" x14ac:dyDescent="0.3">
      <c r="A8670" s="12"/>
    </row>
    <row r="8671" spans="1:1" x14ac:dyDescent="0.3">
      <c r="A8671" s="12"/>
    </row>
    <row r="8672" spans="1:1" x14ac:dyDescent="0.3">
      <c r="A8672" s="12"/>
    </row>
    <row r="8673" spans="1:1" x14ac:dyDescent="0.3">
      <c r="A8673" s="12"/>
    </row>
    <row r="8674" spans="1:1" x14ac:dyDescent="0.3">
      <c r="A8674" s="12"/>
    </row>
    <row r="8675" spans="1:1" x14ac:dyDescent="0.3">
      <c r="A8675" s="12"/>
    </row>
    <row r="8676" spans="1:1" x14ac:dyDescent="0.3">
      <c r="A8676" s="12"/>
    </row>
    <row r="8677" spans="1:1" x14ac:dyDescent="0.3">
      <c r="A8677" s="12"/>
    </row>
    <row r="8678" spans="1:1" x14ac:dyDescent="0.3">
      <c r="A8678" s="12"/>
    </row>
    <row r="8679" spans="1:1" x14ac:dyDescent="0.3">
      <c r="A8679" s="12"/>
    </row>
    <row r="8680" spans="1:1" x14ac:dyDescent="0.3">
      <c r="A8680" s="12"/>
    </row>
    <row r="8681" spans="1:1" x14ac:dyDescent="0.3">
      <c r="A8681" s="12"/>
    </row>
    <row r="8682" spans="1:1" x14ac:dyDescent="0.3">
      <c r="A8682" s="12"/>
    </row>
    <row r="8683" spans="1:1" x14ac:dyDescent="0.3">
      <c r="A8683" s="12"/>
    </row>
    <row r="8684" spans="1:1" x14ac:dyDescent="0.3">
      <c r="A8684" s="12"/>
    </row>
    <row r="8685" spans="1:1" x14ac:dyDescent="0.3">
      <c r="A8685" s="12"/>
    </row>
    <row r="8686" spans="1:1" x14ac:dyDescent="0.3">
      <c r="A8686" s="12"/>
    </row>
    <row r="8687" spans="1:1" x14ac:dyDescent="0.3">
      <c r="A8687" s="12"/>
    </row>
    <row r="8688" spans="1:1" x14ac:dyDescent="0.3">
      <c r="A8688" s="12"/>
    </row>
    <row r="8689" spans="1:1" x14ac:dyDescent="0.3">
      <c r="A8689" s="12"/>
    </row>
    <row r="8690" spans="1:1" x14ac:dyDescent="0.3">
      <c r="A8690" s="12"/>
    </row>
    <row r="8691" spans="1:1" x14ac:dyDescent="0.3">
      <c r="A8691" s="12"/>
    </row>
    <row r="8692" spans="1:1" x14ac:dyDescent="0.3">
      <c r="A8692" s="12"/>
    </row>
    <row r="8693" spans="1:1" x14ac:dyDescent="0.3">
      <c r="A8693" s="12"/>
    </row>
    <row r="8694" spans="1:1" x14ac:dyDescent="0.3">
      <c r="A8694" s="12"/>
    </row>
    <row r="8695" spans="1:1" x14ac:dyDescent="0.3">
      <c r="A8695" s="12"/>
    </row>
    <row r="8696" spans="1:1" x14ac:dyDescent="0.3">
      <c r="A8696" s="12"/>
    </row>
    <row r="8697" spans="1:1" x14ac:dyDescent="0.3">
      <c r="A8697" s="12"/>
    </row>
    <row r="8698" spans="1:1" x14ac:dyDescent="0.3">
      <c r="A8698" s="12"/>
    </row>
    <row r="8699" spans="1:1" x14ac:dyDescent="0.3">
      <c r="A8699" s="12"/>
    </row>
    <row r="8700" spans="1:1" x14ac:dyDescent="0.3">
      <c r="A8700" s="12"/>
    </row>
    <row r="8701" spans="1:1" x14ac:dyDescent="0.3">
      <c r="A8701" s="12"/>
    </row>
    <row r="8702" spans="1:1" x14ac:dyDescent="0.3">
      <c r="A8702" s="12"/>
    </row>
    <row r="8703" spans="1:1" x14ac:dyDescent="0.3">
      <c r="A8703" s="12"/>
    </row>
    <row r="8704" spans="1:1" x14ac:dyDescent="0.3">
      <c r="A8704" s="12"/>
    </row>
    <row r="8705" spans="1:1" x14ac:dyDescent="0.3">
      <c r="A8705" s="12"/>
    </row>
    <row r="8706" spans="1:1" x14ac:dyDescent="0.3">
      <c r="A8706" s="12"/>
    </row>
    <row r="8707" spans="1:1" x14ac:dyDescent="0.3">
      <c r="A8707" s="12"/>
    </row>
    <row r="8708" spans="1:1" x14ac:dyDescent="0.3">
      <c r="A8708" s="12"/>
    </row>
    <row r="8709" spans="1:1" x14ac:dyDescent="0.3">
      <c r="A8709" s="12"/>
    </row>
    <row r="8710" spans="1:1" x14ac:dyDescent="0.3">
      <c r="A8710" s="12"/>
    </row>
    <row r="8711" spans="1:1" x14ac:dyDescent="0.3">
      <c r="A8711" s="12"/>
    </row>
    <row r="8712" spans="1:1" x14ac:dyDescent="0.3">
      <c r="A8712" s="12"/>
    </row>
    <row r="8713" spans="1:1" x14ac:dyDescent="0.3">
      <c r="A8713" s="12"/>
    </row>
    <row r="8714" spans="1:1" x14ac:dyDescent="0.3">
      <c r="A8714" s="12"/>
    </row>
    <row r="8715" spans="1:1" x14ac:dyDescent="0.3">
      <c r="A8715" s="12"/>
    </row>
    <row r="8716" spans="1:1" x14ac:dyDescent="0.3">
      <c r="A8716" s="12"/>
    </row>
    <row r="8717" spans="1:1" x14ac:dyDescent="0.3">
      <c r="A8717" s="12"/>
    </row>
    <row r="8718" spans="1:1" x14ac:dyDescent="0.3">
      <c r="A8718" s="12"/>
    </row>
    <row r="8719" spans="1:1" x14ac:dyDescent="0.3">
      <c r="A8719" s="12"/>
    </row>
    <row r="8720" spans="1:1" x14ac:dyDescent="0.3">
      <c r="A8720" s="12"/>
    </row>
    <row r="8721" spans="1:1" x14ac:dyDescent="0.3">
      <c r="A8721" s="12"/>
    </row>
    <row r="8722" spans="1:1" x14ac:dyDescent="0.3">
      <c r="A8722" s="12"/>
    </row>
    <row r="8723" spans="1:1" x14ac:dyDescent="0.3">
      <c r="A8723" s="12"/>
    </row>
    <row r="8724" spans="1:1" x14ac:dyDescent="0.3">
      <c r="A8724" s="12"/>
    </row>
    <row r="8725" spans="1:1" x14ac:dyDescent="0.3">
      <c r="A8725" s="12"/>
    </row>
    <row r="8726" spans="1:1" x14ac:dyDescent="0.3">
      <c r="A8726" s="12"/>
    </row>
    <row r="8727" spans="1:1" x14ac:dyDescent="0.3">
      <c r="A8727" s="12"/>
    </row>
    <row r="8728" spans="1:1" x14ac:dyDescent="0.3">
      <c r="A8728" s="12"/>
    </row>
    <row r="8729" spans="1:1" x14ac:dyDescent="0.3">
      <c r="A8729" s="12"/>
    </row>
    <row r="8730" spans="1:1" x14ac:dyDescent="0.3">
      <c r="A8730" s="12"/>
    </row>
    <row r="8731" spans="1:1" x14ac:dyDescent="0.3">
      <c r="A8731" s="12"/>
    </row>
    <row r="8732" spans="1:1" x14ac:dyDescent="0.3">
      <c r="A8732" s="12"/>
    </row>
    <row r="8733" spans="1:1" x14ac:dyDescent="0.3">
      <c r="A8733" s="12"/>
    </row>
    <row r="8734" spans="1:1" x14ac:dyDescent="0.3">
      <c r="A8734" s="12"/>
    </row>
    <row r="8735" spans="1:1" x14ac:dyDescent="0.3">
      <c r="A8735" s="12"/>
    </row>
    <row r="8736" spans="1:1" x14ac:dyDescent="0.3">
      <c r="A8736" s="12"/>
    </row>
    <row r="8737" spans="1:1" x14ac:dyDescent="0.3">
      <c r="A8737" s="12"/>
    </row>
    <row r="8738" spans="1:1" x14ac:dyDescent="0.3">
      <c r="A8738" s="12"/>
    </row>
    <row r="8739" spans="1:1" x14ac:dyDescent="0.3">
      <c r="A8739" s="12"/>
    </row>
    <row r="8740" spans="1:1" x14ac:dyDescent="0.3">
      <c r="A8740" s="12"/>
    </row>
    <row r="8741" spans="1:1" x14ac:dyDescent="0.3">
      <c r="A8741" s="12"/>
    </row>
    <row r="8742" spans="1:1" x14ac:dyDescent="0.3">
      <c r="A8742" s="12"/>
    </row>
    <row r="8743" spans="1:1" x14ac:dyDescent="0.3">
      <c r="A8743" s="12"/>
    </row>
    <row r="8744" spans="1:1" x14ac:dyDescent="0.3">
      <c r="A8744" s="12"/>
    </row>
    <row r="8745" spans="1:1" x14ac:dyDescent="0.3">
      <c r="A8745" s="12"/>
    </row>
    <row r="8746" spans="1:1" x14ac:dyDescent="0.3">
      <c r="A8746" s="12"/>
    </row>
    <row r="8747" spans="1:1" x14ac:dyDescent="0.3">
      <c r="A8747" s="12"/>
    </row>
    <row r="8748" spans="1:1" x14ac:dyDescent="0.3">
      <c r="A8748" s="12"/>
    </row>
    <row r="8749" spans="1:1" x14ac:dyDescent="0.3">
      <c r="A8749" s="12"/>
    </row>
    <row r="8750" spans="1:1" x14ac:dyDescent="0.3">
      <c r="A8750" s="12"/>
    </row>
    <row r="8751" spans="1:1" x14ac:dyDescent="0.3">
      <c r="A8751" s="12"/>
    </row>
    <row r="8752" spans="1:1" x14ac:dyDescent="0.3">
      <c r="A8752" s="12"/>
    </row>
    <row r="8753" spans="1:1" x14ac:dyDescent="0.3">
      <c r="A8753" s="12"/>
    </row>
    <row r="8754" spans="1:1" x14ac:dyDescent="0.3">
      <c r="A8754" s="12"/>
    </row>
    <row r="8755" spans="1:1" x14ac:dyDescent="0.3">
      <c r="A8755" s="12"/>
    </row>
    <row r="8756" spans="1:1" x14ac:dyDescent="0.3">
      <c r="A8756" s="12"/>
    </row>
    <row r="8757" spans="1:1" x14ac:dyDescent="0.3">
      <c r="A8757" s="12"/>
    </row>
    <row r="8758" spans="1:1" x14ac:dyDescent="0.3">
      <c r="A8758" s="12"/>
    </row>
    <row r="8759" spans="1:1" x14ac:dyDescent="0.3">
      <c r="A8759" s="12"/>
    </row>
    <row r="8760" spans="1:1" x14ac:dyDescent="0.3">
      <c r="A8760" s="12"/>
    </row>
    <row r="8761" spans="1:1" x14ac:dyDescent="0.3">
      <c r="A8761" s="12"/>
    </row>
    <row r="8762" spans="1:1" x14ac:dyDescent="0.3">
      <c r="A8762" s="12"/>
    </row>
    <row r="8763" spans="1:1" x14ac:dyDescent="0.3">
      <c r="A8763" s="12"/>
    </row>
    <row r="8764" spans="1:1" x14ac:dyDescent="0.3">
      <c r="A8764" s="12"/>
    </row>
    <row r="8765" spans="1:1" x14ac:dyDescent="0.3">
      <c r="A8765" s="12"/>
    </row>
    <row r="8766" spans="1:1" x14ac:dyDescent="0.3">
      <c r="A8766" s="12"/>
    </row>
    <row r="8767" spans="1:1" x14ac:dyDescent="0.3">
      <c r="A8767" s="12"/>
    </row>
    <row r="8768" spans="1:1" x14ac:dyDescent="0.3">
      <c r="A8768" s="12"/>
    </row>
    <row r="8769" spans="1:1" x14ac:dyDescent="0.3">
      <c r="A8769" s="12"/>
    </row>
    <row r="8770" spans="1:1" x14ac:dyDescent="0.3">
      <c r="A8770" s="12"/>
    </row>
    <row r="8771" spans="1:1" x14ac:dyDescent="0.3">
      <c r="A8771" s="12"/>
    </row>
    <row r="8772" spans="1:1" x14ac:dyDescent="0.3">
      <c r="A8772" s="12"/>
    </row>
    <row r="8773" spans="1:1" x14ac:dyDescent="0.3">
      <c r="A8773" s="12"/>
    </row>
    <row r="8774" spans="1:1" x14ac:dyDescent="0.3">
      <c r="A8774" s="12"/>
    </row>
    <row r="8775" spans="1:1" x14ac:dyDescent="0.3">
      <c r="A8775" s="12"/>
    </row>
    <row r="8776" spans="1:1" x14ac:dyDescent="0.3">
      <c r="A8776" s="12"/>
    </row>
    <row r="8777" spans="1:1" x14ac:dyDescent="0.3">
      <c r="A8777" s="12"/>
    </row>
    <row r="8778" spans="1:1" x14ac:dyDescent="0.3">
      <c r="A8778" s="12"/>
    </row>
    <row r="8779" spans="1:1" x14ac:dyDescent="0.3">
      <c r="A8779" s="12"/>
    </row>
    <row r="8780" spans="1:1" x14ac:dyDescent="0.3">
      <c r="A8780" s="12"/>
    </row>
    <row r="8781" spans="1:1" x14ac:dyDescent="0.3">
      <c r="A8781" s="12"/>
    </row>
    <row r="8782" spans="1:1" x14ac:dyDescent="0.3">
      <c r="A8782" s="12"/>
    </row>
    <row r="8783" spans="1:1" x14ac:dyDescent="0.3">
      <c r="A8783" s="12"/>
    </row>
    <row r="8784" spans="1:1" x14ac:dyDescent="0.3">
      <c r="A8784" s="12"/>
    </row>
    <row r="8785" spans="1:1" x14ac:dyDescent="0.3">
      <c r="A8785" s="12"/>
    </row>
    <row r="8786" spans="1:1" x14ac:dyDescent="0.3">
      <c r="A8786" s="12"/>
    </row>
    <row r="8787" spans="1:1" x14ac:dyDescent="0.3">
      <c r="A8787" s="12"/>
    </row>
    <row r="8788" spans="1:1" x14ac:dyDescent="0.3">
      <c r="A8788" s="12"/>
    </row>
    <row r="8789" spans="1:1" x14ac:dyDescent="0.3">
      <c r="A8789" s="12"/>
    </row>
    <row r="8790" spans="1:1" x14ac:dyDescent="0.3">
      <c r="A8790" s="12"/>
    </row>
    <row r="8791" spans="1:1" x14ac:dyDescent="0.3">
      <c r="A8791" s="12"/>
    </row>
    <row r="8792" spans="1:1" x14ac:dyDescent="0.3">
      <c r="A8792" s="12"/>
    </row>
    <row r="8793" spans="1:1" x14ac:dyDescent="0.3">
      <c r="A8793" s="12"/>
    </row>
    <row r="8794" spans="1:1" x14ac:dyDescent="0.3">
      <c r="A8794" s="12"/>
    </row>
    <row r="8795" spans="1:1" x14ac:dyDescent="0.3">
      <c r="A8795" s="12"/>
    </row>
    <row r="8796" spans="1:1" x14ac:dyDescent="0.3">
      <c r="A8796" s="12"/>
    </row>
    <row r="8797" spans="1:1" x14ac:dyDescent="0.3">
      <c r="A8797" s="12"/>
    </row>
    <row r="8798" spans="1:1" x14ac:dyDescent="0.3">
      <c r="A8798" s="12"/>
    </row>
    <row r="8799" spans="1:1" x14ac:dyDescent="0.3">
      <c r="A8799" s="12"/>
    </row>
    <row r="8800" spans="1:1" x14ac:dyDescent="0.3">
      <c r="A8800" s="12"/>
    </row>
    <row r="8801" spans="1:1" x14ac:dyDescent="0.3">
      <c r="A8801" s="12"/>
    </row>
    <row r="8802" spans="1:1" x14ac:dyDescent="0.3">
      <c r="A8802" s="12"/>
    </row>
    <row r="8803" spans="1:1" x14ac:dyDescent="0.3">
      <c r="A8803" s="12"/>
    </row>
    <row r="8804" spans="1:1" x14ac:dyDescent="0.3">
      <c r="A8804" s="12"/>
    </row>
    <row r="8805" spans="1:1" x14ac:dyDescent="0.3">
      <c r="A8805" s="12"/>
    </row>
    <row r="8806" spans="1:1" x14ac:dyDescent="0.3">
      <c r="A8806" s="12"/>
    </row>
    <row r="8807" spans="1:1" x14ac:dyDescent="0.3">
      <c r="A8807" s="12"/>
    </row>
    <row r="8808" spans="1:1" x14ac:dyDescent="0.3">
      <c r="A8808" s="12"/>
    </row>
    <row r="8809" spans="1:1" x14ac:dyDescent="0.3">
      <c r="A8809" s="12"/>
    </row>
    <row r="8810" spans="1:1" x14ac:dyDescent="0.3">
      <c r="A8810" s="12"/>
    </row>
    <row r="8811" spans="1:1" x14ac:dyDescent="0.3">
      <c r="A8811" s="12"/>
    </row>
    <row r="8812" spans="1:1" x14ac:dyDescent="0.3">
      <c r="A8812" s="12"/>
    </row>
    <row r="8813" spans="1:1" x14ac:dyDescent="0.3">
      <c r="A8813" s="12"/>
    </row>
    <row r="8814" spans="1:1" x14ac:dyDescent="0.3">
      <c r="A8814" s="12"/>
    </row>
    <row r="8815" spans="1:1" x14ac:dyDescent="0.3">
      <c r="A8815" s="12"/>
    </row>
    <row r="8816" spans="1:1" x14ac:dyDescent="0.3">
      <c r="A8816" s="12"/>
    </row>
    <row r="8817" spans="1:1" x14ac:dyDescent="0.3">
      <c r="A8817" s="12"/>
    </row>
    <row r="8818" spans="1:1" x14ac:dyDescent="0.3">
      <c r="A8818" s="12"/>
    </row>
    <row r="8819" spans="1:1" x14ac:dyDescent="0.3">
      <c r="A8819" s="12"/>
    </row>
    <row r="8820" spans="1:1" x14ac:dyDescent="0.3">
      <c r="A8820" s="12"/>
    </row>
    <row r="8821" spans="1:1" x14ac:dyDescent="0.3">
      <c r="A8821" s="12"/>
    </row>
    <row r="8822" spans="1:1" x14ac:dyDescent="0.3">
      <c r="A8822" s="12"/>
    </row>
    <row r="8823" spans="1:1" x14ac:dyDescent="0.3">
      <c r="A8823" s="12"/>
    </row>
    <row r="8824" spans="1:1" x14ac:dyDescent="0.3">
      <c r="A8824" s="12"/>
    </row>
    <row r="8825" spans="1:1" x14ac:dyDescent="0.3">
      <c r="A8825" s="12"/>
    </row>
    <row r="8826" spans="1:1" x14ac:dyDescent="0.3">
      <c r="A8826" s="12"/>
    </row>
    <row r="8827" spans="1:1" x14ac:dyDescent="0.3">
      <c r="A8827" s="12"/>
    </row>
    <row r="8828" spans="1:1" x14ac:dyDescent="0.3">
      <c r="A8828" s="12"/>
    </row>
    <row r="8829" spans="1:1" x14ac:dyDescent="0.3">
      <c r="A8829" s="12"/>
    </row>
    <row r="8830" spans="1:1" x14ac:dyDescent="0.3">
      <c r="A8830" s="12"/>
    </row>
    <row r="8831" spans="1:1" x14ac:dyDescent="0.3">
      <c r="A8831" s="12"/>
    </row>
    <row r="8832" spans="1:1" x14ac:dyDescent="0.3">
      <c r="A8832" s="12"/>
    </row>
    <row r="8833" spans="1:1" x14ac:dyDescent="0.3">
      <c r="A8833" s="12"/>
    </row>
    <row r="8834" spans="1:1" x14ac:dyDescent="0.3">
      <c r="A8834" s="12"/>
    </row>
    <row r="8835" spans="1:1" x14ac:dyDescent="0.3">
      <c r="A8835" s="12"/>
    </row>
    <row r="8836" spans="1:1" x14ac:dyDescent="0.3">
      <c r="A8836" s="12"/>
    </row>
    <row r="8837" spans="1:1" x14ac:dyDescent="0.3">
      <c r="A8837" s="12"/>
    </row>
    <row r="8838" spans="1:1" x14ac:dyDescent="0.3">
      <c r="A8838" s="12"/>
    </row>
    <row r="8839" spans="1:1" x14ac:dyDescent="0.3">
      <c r="A8839" s="12"/>
    </row>
    <row r="8840" spans="1:1" x14ac:dyDescent="0.3">
      <c r="A8840" s="12"/>
    </row>
    <row r="8841" spans="1:1" x14ac:dyDescent="0.3">
      <c r="A8841" s="12"/>
    </row>
    <row r="8842" spans="1:1" x14ac:dyDescent="0.3">
      <c r="A8842" s="12"/>
    </row>
    <row r="8843" spans="1:1" x14ac:dyDescent="0.3">
      <c r="A8843" s="12"/>
    </row>
    <row r="8844" spans="1:1" x14ac:dyDescent="0.3">
      <c r="A8844" s="12"/>
    </row>
    <row r="8845" spans="1:1" x14ac:dyDescent="0.3">
      <c r="A8845" s="12"/>
    </row>
    <row r="8846" spans="1:1" x14ac:dyDescent="0.3">
      <c r="A8846" s="12"/>
    </row>
    <row r="8847" spans="1:1" x14ac:dyDescent="0.3">
      <c r="A8847" s="12"/>
    </row>
    <row r="8848" spans="1:1" x14ac:dyDescent="0.3">
      <c r="A8848" s="12"/>
    </row>
    <row r="8849" spans="1:1" x14ac:dyDescent="0.3">
      <c r="A8849" s="12"/>
    </row>
    <row r="8850" spans="1:1" x14ac:dyDescent="0.3">
      <c r="A8850" s="12"/>
    </row>
    <row r="8851" spans="1:1" x14ac:dyDescent="0.3">
      <c r="A8851" s="12"/>
    </row>
    <row r="8852" spans="1:1" x14ac:dyDescent="0.3">
      <c r="A8852" s="12"/>
    </row>
    <row r="8853" spans="1:1" x14ac:dyDescent="0.3">
      <c r="A8853" s="12"/>
    </row>
    <row r="8854" spans="1:1" x14ac:dyDescent="0.3">
      <c r="A8854" s="12"/>
    </row>
    <row r="8855" spans="1:1" x14ac:dyDescent="0.3">
      <c r="A8855" s="12"/>
    </row>
    <row r="8856" spans="1:1" x14ac:dyDescent="0.3">
      <c r="A8856" s="12"/>
    </row>
    <row r="8857" spans="1:1" x14ac:dyDescent="0.3">
      <c r="A8857" s="12"/>
    </row>
    <row r="8858" spans="1:1" x14ac:dyDescent="0.3">
      <c r="A8858" s="12"/>
    </row>
    <row r="8859" spans="1:1" x14ac:dyDescent="0.3">
      <c r="A8859" s="12"/>
    </row>
    <row r="8860" spans="1:1" x14ac:dyDescent="0.3">
      <c r="A8860" s="12"/>
    </row>
    <row r="8861" spans="1:1" x14ac:dyDescent="0.3">
      <c r="A8861" s="12"/>
    </row>
    <row r="8862" spans="1:1" x14ac:dyDescent="0.3">
      <c r="A8862" s="12"/>
    </row>
    <row r="8863" spans="1:1" x14ac:dyDescent="0.3">
      <c r="A8863" s="12"/>
    </row>
    <row r="8864" spans="1:1" x14ac:dyDescent="0.3">
      <c r="A8864" s="12"/>
    </row>
    <row r="8865" spans="1:1" x14ac:dyDescent="0.3">
      <c r="A8865" s="12"/>
    </row>
    <row r="8866" spans="1:1" x14ac:dyDescent="0.3">
      <c r="A8866" s="12"/>
    </row>
    <row r="8867" spans="1:1" x14ac:dyDescent="0.3">
      <c r="A8867" s="12"/>
    </row>
    <row r="8868" spans="1:1" x14ac:dyDescent="0.3">
      <c r="A8868" s="12"/>
    </row>
    <row r="8869" spans="1:1" x14ac:dyDescent="0.3">
      <c r="A8869" s="12"/>
    </row>
    <row r="8870" spans="1:1" x14ac:dyDescent="0.3">
      <c r="A8870" s="12"/>
    </row>
    <row r="8871" spans="1:1" x14ac:dyDescent="0.3">
      <c r="A8871" s="12"/>
    </row>
    <row r="8872" spans="1:1" x14ac:dyDescent="0.3">
      <c r="A8872" s="12"/>
    </row>
    <row r="8873" spans="1:1" x14ac:dyDescent="0.3">
      <c r="A8873" s="12"/>
    </row>
    <row r="8874" spans="1:1" x14ac:dyDescent="0.3">
      <c r="A8874" s="12"/>
    </row>
    <row r="8875" spans="1:1" x14ac:dyDescent="0.3">
      <c r="A8875" s="12"/>
    </row>
    <row r="8876" spans="1:1" x14ac:dyDescent="0.3">
      <c r="A8876" s="12"/>
    </row>
    <row r="8877" spans="1:1" x14ac:dyDescent="0.3">
      <c r="A8877" s="12"/>
    </row>
    <row r="8878" spans="1:1" x14ac:dyDescent="0.3">
      <c r="A8878" s="12"/>
    </row>
    <row r="8879" spans="1:1" x14ac:dyDescent="0.3">
      <c r="A8879" s="12"/>
    </row>
    <row r="8880" spans="1:1" x14ac:dyDescent="0.3">
      <c r="A8880" s="12"/>
    </row>
    <row r="8881" spans="1:1" x14ac:dyDescent="0.3">
      <c r="A8881" s="12"/>
    </row>
    <row r="8882" spans="1:1" x14ac:dyDescent="0.3">
      <c r="A8882" s="12"/>
    </row>
    <row r="8883" spans="1:1" x14ac:dyDescent="0.3">
      <c r="A8883" s="12"/>
    </row>
    <row r="8884" spans="1:1" x14ac:dyDescent="0.3">
      <c r="A8884" s="12"/>
    </row>
    <row r="8885" spans="1:1" x14ac:dyDescent="0.3">
      <c r="A8885" s="12"/>
    </row>
    <row r="8886" spans="1:1" x14ac:dyDescent="0.3">
      <c r="A8886" s="12"/>
    </row>
    <row r="8887" spans="1:1" x14ac:dyDescent="0.3">
      <c r="A8887" s="12"/>
    </row>
    <row r="8888" spans="1:1" x14ac:dyDescent="0.3">
      <c r="A8888" s="12"/>
    </row>
    <row r="8889" spans="1:1" x14ac:dyDescent="0.3">
      <c r="A8889" s="12"/>
    </row>
    <row r="8890" spans="1:1" x14ac:dyDescent="0.3">
      <c r="A8890" s="12"/>
    </row>
    <row r="8891" spans="1:1" x14ac:dyDescent="0.3">
      <c r="A8891" s="12"/>
    </row>
    <row r="8892" spans="1:1" x14ac:dyDescent="0.3">
      <c r="A8892" s="12"/>
    </row>
    <row r="8893" spans="1:1" x14ac:dyDescent="0.3">
      <c r="A8893" s="12"/>
    </row>
    <row r="8894" spans="1:1" x14ac:dyDescent="0.3">
      <c r="A8894" s="12"/>
    </row>
    <row r="8895" spans="1:1" x14ac:dyDescent="0.3">
      <c r="A8895" s="12"/>
    </row>
    <row r="8896" spans="1:1" x14ac:dyDescent="0.3">
      <c r="A8896" s="12"/>
    </row>
    <row r="8897" spans="1:1" x14ac:dyDescent="0.3">
      <c r="A8897" s="12"/>
    </row>
    <row r="8898" spans="1:1" x14ac:dyDescent="0.3">
      <c r="A8898" s="12"/>
    </row>
    <row r="8899" spans="1:1" x14ac:dyDescent="0.3">
      <c r="A8899" s="12"/>
    </row>
    <row r="8900" spans="1:1" x14ac:dyDescent="0.3">
      <c r="A8900" s="12"/>
    </row>
    <row r="8901" spans="1:1" x14ac:dyDescent="0.3">
      <c r="A8901" s="12"/>
    </row>
    <row r="8902" spans="1:1" x14ac:dyDescent="0.3">
      <c r="A8902" s="12"/>
    </row>
    <row r="8903" spans="1:1" x14ac:dyDescent="0.3">
      <c r="A8903" s="12"/>
    </row>
    <row r="8904" spans="1:1" x14ac:dyDescent="0.3">
      <c r="A8904" s="12"/>
    </row>
    <row r="8905" spans="1:1" x14ac:dyDescent="0.3">
      <c r="A8905" s="12"/>
    </row>
    <row r="8906" spans="1:1" x14ac:dyDescent="0.3">
      <c r="A8906" s="12"/>
    </row>
    <row r="8907" spans="1:1" x14ac:dyDescent="0.3">
      <c r="A8907" s="12"/>
    </row>
    <row r="8908" spans="1:1" x14ac:dyDescent="0.3">
      <c r="A8908" s="12"/>
    </row>
    <row r="8909" spans="1:1" x14ac:dyDescent="0.3">
      <c r="A8909" s="12"/>
    </row>
    <row r="8910" spans="1:1" x14ac:dyDescent="0.3">
      <c r="A8910" s="12"/>
    </row>
    <row r="8911" spans="1:1" x14ac:dyDescent="0.3">
      <c r="A8911" s="12"/>
    </row>
    <row r="8912" spans="1:1" x14ac:dyDescent="0.3">
      <c r="A8912" s="12"/>
    </row>
    <row r="8913" spans="1:1" x14ac:dyDescent="0.3">
      <c r="A8913" s="12"/>
    </row>
    <row r="8914" spans="1:1" x14ac:dyDescent="0.3">
      <c r="A8914" s="12"/>
    </row>
    <row r="8915" spans="1:1" x14ac:dyDescent="0.3">
      <c r="A8915" s="12"/>
    </row>
    <row r="8916" spans="1:1" x14ac:dyDescent="0.3">
      <c r="A8916" s="12"/>
    </row>
    <row r="8917" spans="1:1" x14ac:dyDescent="0.3">
      <c r="A8917" s="12"/>
    </row>
    <row r="8918" spans="1:1" x14ac:dyDescent="0.3">
      <c r="A8918" s="12"/>
    </row>
    <row r="8919" spans="1:1" x14ac:dyDescent="0.3">
      <c r="A8919" s="12"/>
    </row>
    <row r="8920" spans="1:1" x14ac:dyDescent="0.3">
      <c r="A8920" s="12"/>
    </row>
    <row r="8921" spans="1:1" x14ac:dyDescent="0.3">
      <c r="A8921" s="12"/>
    </row>
    <row r="8922" spans="1:1" x14ac:dyDescent="0.3">
      <c r="A8922" s="12"/>
    </row>
    <row r="8923" spans="1:1" x14ac:dyDescent="0.3">
      <c r="A8923" s="12"/>
    </row>
    <row r="8924" spans="1:1" x14ac:dyDescent="0.3">
      <c r="A8924" s="12"/>
    </row>
    <row r="8925" spans="1:1" x14ac:dyDescent="0.3">
      <c r="A8925" s="12"/>
    </row>
    <row r="8926" spans="1:1" x14ac:dyDescent="0.3">
      <c r="A8926" s="12"/>
    </row>
    <row r="8927" spans="1:1" x14ac:dyDescent="0.3">
      <c r="A8927" s="12"/>
    </row>
    <row r="8928" spans="1:1" x14ac:dyDescent="0.3">
      <c r="A8928" s="12"/>
    </row>
    <row r="8929" spans="1:1" x14ac:dyDescent="0.3">
      <c r="A8929" s="12"/>
    </row>
    <row r="8930" spans="1:1" x14ac:dyDescent="0.3">
      <c r="A8930" s="12"/>
    </row>
    <row r="8931" spans="1:1" x14ac:dyDescent="0.3">
      <c r="A8931" s="12"/>
    </row>
    <row r="8932" spans="1:1" x14ac:dyDescent="0.3">
      <c r="A8932" s="12"/>
    </row>
    <row r="8933" spans="1:1" x14ac:dyDescent="0.3">
      <c r="A8933" s="12"/>
    </row>
    <row r="8934" spans="1:1" x14ac:dyDescent="0.3">
      <c r="A8934" s="12"/>
    </row>
    <row r="8935" spans="1:1" x14ac:dyDescent="0.3">
      <c r="A8935" s="12"/>
    </row>
    <row r="8936" spans="1:1" x14ac:dyDescent="0.3">
      <c r="A8936" s="12"/>
    </row>
    <row r="8937" spans="1:1" x14ac:dyDescent="0.3">
      <c r="A8937" s="12"/>
    </row>
    <row r="8938" spans="1:1" x14ac:dyDescent="0.3">
      <c r="A8938" s="12"/>
    </row>
    <row r="8939" spans="1:1" x14ac:dyDescent="0.3">
      <c r="A8939" s="12"/>
    </row>
    <row r="8940" spans="1:1" x14ac:dyDescent="0.3">
      <c r="A8940" s="12"/>
    </row>
    <row r="8941" spans="1:1" x14ac:dyDescent="0.3">
      <c r="A8941" s="12"/>
    </row>
    <row r="8942" spans="1:1" x14ac:dyDescent="0.3">
      <c r="A8942" s="12"/>
    </row>
    <row r="8943" spans="1:1" x14ac:dyDescent="0.3">
      <c r="A8943" s="12"/>
    </row>
    <row r="8944" spans="1:1" x14ac:dyDescent="0.3">
      <c r="A8944" s="12"/>
    </row>
    <row r="8945" spans="1:1" x14ac:dyDescent="0.3">
      <c r="A8945" s="12"/>
    </row>
    <row r="8946" spans="1:1" x14ac:dyDescent="0.3">
      <c r="A8946" s="12"/>
    </row>
    <row r="8947" spans="1:1" x14ac:dyDescent="0.3">
      <c r="A8947" s="12"/>
    </row>
    <row r="8948" spans="1:1" x14ac:dyDescent="0.3">
      <c r="A8948" s="12"/>
    </row>
    <row r="8949" spans="1:1" x14ac:dyDescent="0.3">
      <c r="A8949" s="12"/>
    </row>
    <row r="8950" spans="1:1" x14ac:dyDescent="0.3">
      <c r="A8950" s="12"/>
    </row>
    <row r="8951" spans="1:1" x14ac:dyDescent="0.3">
      <c r="A8951" s="12"/>
    </row>
    <row r="8952" spans="1:1" x14ac:dyDescent="0.3">
      <c r="A8952" s="12"/>
    </row>
    <row r="8953" spans="1:1" x14ac:dyDescent="0.3">
      <c r="A8953" s="12"/>
    </row>
    <row r="8954" spans="1:1" x14ac:dyDescent="0.3">
      <c r="A8954" s="12"/>
    </row>
    <row r="8955" spans="1:1" x14ac:dyDescent="0.3">
      <c r="A8955" s="12"/>
    </row>
    <row r="8956" spans="1:1" x14ac:dyDescent="0.3">
      <c r="A8956" s="12"/>
    </row>
    <row r="8957" spans="1:1" x14ac:dyDescent="0.3">
      <c r="A8957" s="12"/>
    </row>
    <row r="8958" spans="1:1" x14ac:dyDescent="0.3">
      <c r="A8958" s="12"/>
    </row>
    <row r="8959" spans="1:1" x14ac:dyDescent="0.3">
      <c r="A8959" s="12"/>
    </row>
    <row r="8960" spans="1:1" x14ac:dyDescent="0.3">
      <c r="A8960" s="12"/>
    </row>
    <row r="8961" spans="1:1" x14ac:dyDescent="0.3">
      <c r="A8961" s="12"/>
    </row>
    <row r="8962" spans="1:1" x14ac:dyDescent="0.3">
      <c r="A8962" s="12"/>
    </row>
    <row r="8963" spans="1:1" x14ac:dyDescent="0.3">
      <c r="A8963" s="12"/>
    </row>
    <row r="8964" spans="1:1" x14ac:dyDescent="0.3">
      <c r="A8964" s="12"/>
    </row>
    <row r="8965" spans="1:1" x14ac:dyDescent="0.3">
      <c r="A8965" s="12"/>
    </row>
    <row r="8966" spans="1:1" x14ac:dyDescent="0.3">
      <c r="A8966" s="12"/>
    </row>
    <row r="8967" spans="1:1" x14ac:dyDescent="0.3">
      <c r="A8967" s="12"/>
    </row>
    <row r="8968" spans="1:1" x14ac:dyDescent="0.3">
      <c r="A8968" s="12"/>
    </row>
    <row r="8969" spans="1:1" x14ac:dyDescent="0.3">
      <c r="A8969" s="12"/>
    </row>
    <row r="8970" spans="1:1" x14ac:dyDescent="0.3">
      <c r="A8970" s="12"/>
    </row>
    <row r="8971" spans="1:1" x14ac:dyDescent="0.3">
      <c r="A8971" s="12"/>
    </row>
    <row r="8972" spans="1:1" x14ac:dyDescent="0.3">
      <c r="A8972" s="12"/>
    </row>
    <row r="8973" spans="1:1" x14ac:dyDescent="0.3">
      <c r="A8973" s="12"/>
    </row>
    <row r="8974" spans="1:1" x14ac:dyDescent="0.3">
      <c r="A8974" s="12"/>
    </row>
    <row r="8975" spans="1:1" x14ac:dyDescent="0.3">
      <c r="A8975" s="12"/>
    </row>
    <row r="8976" spans="1:1" x14ac:dyDescent="0.3">
      <c r="A8976" s="12"/>
    </row>
    <row r="8977" spans="1:1" x14ac:dyDescent="0.3">
      <c r="A8977" s="12"/>
    </row>
    <row r="8978" spans="1:1" x14ac:dyDescent="0.3">
      <c r="A8978" s="12"/>
    </row>
    <row r="8979" spans="1:1" x14ac:dyDescent="0.3">
      <c r="A8979" s="12"/>
    </row>
    <row r="8980" spans="1:1" x14ac:dyDescent="0.3">
      <c r="A8980" s="12"/>
    </row>
    <row r="8981" spans="1:1" x14ac:dyDescent="0.3">
      <c r="A8981" s="12"/>
    </row>
    <row r="8982" spans="1:1" x14ac:dyDescent="0.3">
      <c r="A8982" s="12"/>
    </row>
    <row r="8983" spans="1:1" x14ac:dyDescent="0.3">
      <c r="A8983" s="12"/>
    </row>
    <row r="8984" spans="1:1" x14ac:dyDescent="0.3">
      <c r="A8984" s="12"/>
    </row>
    <row r="8985" spans="1:1" x14ac:dyDescent="0.3">
      <c r="A8985" s="12"/>
    </row>
    <row r="8986" spans="1:1" x14ac:dyDescent="0.3">
      <c r="A8986" s="12"/>
    </row>
    <row r="8987" spans="1:1" x14ac:dyDescent="0.3">
      <c r="A8987" s="12"/>
    </row>
    <row r="8988" spans="1:1" x14ac:dyDescent="0.3">
      <c r="A8988" s="12"/>
    </row>
    <row r="8989" spans="1:1" x14ac:dyDescent="0.3">
      <c r="A8989" s="12"/>
    </row>
    <row r="8990" spans="1:1" x14ac:dyDescent="0.3">
      <c r="A8990" s="12"/>
    </row>
    <row r="8991" spans="1:1" x14ac:dyDescent="0.3">
      <c r="A8991" s="12"/>
    </row>
    <row r="8992" spans="1:1" x14ac:dyDescent="0.3">
      <c r="A8992" s="12"/>
    </row>
    <row r="8993" spans="1:1" x14ac:dyDescent="0.3">
      <c r="A8993" s="12"/>
    </row>
    <row r="8994" spans="1:1" x14ac:dyDescent="0.3">
      <c r="A8994" s="12"/>
    </row>
    <row r="8995" spans="1:1" x14ac:dyDescent="0.3">
      <c r="A8995" s="12"/>
    </row>
    <row r="8996" spans="1:1" x14ac:dyDescent="0.3">
      <c r="A8996" s="12"/>
    </row>
    <row r="8997" spans="1:1" x14ac:dyDescent="0.3">
      <c r="A8997" s="12"/>
    </row>
    <row r="8998" spans="1:1" x14ac:dyDescent="0.3">
      <c r="A8998" s="12"/>
    </row>
    <row r="8999" spans="1:1" x14ac:dyDescent="0.3">
      <c r="A8999" s="12"/>
    </row>
    <row r="9000" spans="1:1" x14ac:dyDescent="0.3">
      <c r="A9000" s="12"/>
    </row>
    <row r="9001" spans="1:1" x14ac:dyDescent="0.3">
      <c r="A9001" s="12"/>
    </row>
    <row r="9002" spans="1:1" x14ac:dyDescent="0.3">
      <c r="A9002" s="12"/>
    </row>
    <row r="9003" spans="1:1" x14ac:dyDescent="0.3">
      <c r="A9003" s="12"/>
    </row>
    <row r="9004" spans="1:1" x14ac:dyDescent="0.3">
      <c r="A9004" s="12"/>
    </row>
    <row r="9005" spans="1:1" x14ac:dyDescent="0.3">
      <c r="A9005" s="12"/>
    </row>
    <row r="9006" spans="1:1" x14ac:dyDescent="0.3">
      <c r="A9006" s="12"/>
    </row>
    <row r="9007" spans="1:1" x14ac:dyDescent="0.3">
      <c r="A9007" s="12"/>
    </row>
    <row r="9008" spans="1:1" x14ac:dyDescent="0.3">
      <c r="A9008" s="12"/>
    </row>
    <row r="9009" spans="1:1" x14ac:dyDescent="0.3">
      <c r="A9009" s="12"/>
    </row>
    <row r="9010" spans="1:1" x14ac:dyDescent="0.3">
      <c r="A9010" s="12"/>
    </row>
    <row r="9011" spans="1:1" x14ac:dyDescent="0.3">
      <c r="A9011" s="12"/>
    </row>
    <row r="9012" spans="1:1" x14ac:dyDescent="0.3">
      <c r="A9012" s="12"/>
    </row>
    <row r="9013" spans="1:1" x14ac:dyDescent="0.3">
      <c r="A9013" s="12"/>
    </row>
    <row r="9014" spans="1:1" x14ac:dyDescent="0.3">
      <c r="A9014" s="12"/>
    </row>
    <row r="9015" spans="1:1" x14ac:dyDescent="0.3">
      <c r="A9015" s="12"/>
    </row>
    <row r="9016" spans="1:1" x14ac:dyDescent="0.3">
      <c r="A9016" s="12"/>
    </row>
    <row r="9017" spans="1:1" x14ac:dyDescent="0.3">
      <c r="A9017" s="12"/>
    </row>
    <row r="9018" spans="1:1" x14ac:dyDescent="0.3">
      <c r="A9018" s="12"/>
    </row>
    <row r="9019" spans="1:1" x14ac:dyDescent="0.3">
      <c r="A9019" s="12"/>
    </row>
    <row r="9020" spans="1:1" x14ac:dyDescent="0.3">
      <c r="A9020" s="12"/>
    </row>
    <row r="9021" spans="1:1" x14ac:dyDescent="0.3">
      <c r="A9021" s="12"/>
    </row>
    <row r="9022" spans="1:1" x14ac:dyDescent="0.3">
      <c r="A9022" s="12"/>
    </row>
    <row r="9023" spans="1:1" x14ac:dyDescent="0.3">
      <c r="A9023" s="12"/>
    </row>
    <row r="9024" spans="1:1" x14ac:dyDescent="0.3">
      <c r="A9024" s="12"/>
    </row>
    <row r="9025" spans="1:1" x14ac:dyDescent="0.3">
      <c r="A9025" s="12"/>
    </row>
    <row r="9026" spans="1:1" x14ac:dyDescent="0.3">
      <c r="A9026" s="12"/>
    </row>
    <row r="9027" spans="1:1" x14ac:dyDescent="0.3">
      <c r="A9027" s="12"/>
    </row>
    <row r="9028" spans="1:1" x14ac:dyDescent="0.3">
      <c r="A9028" s="12"/>
    </row>
    <row r="9029" spans="1:1" x14ac:dyDescent="0.3">
      <c r="A9029" s="12"/>
    </row>
    <row r="9030" spans="1:1" x14ac:dyDescent="0.3">
      <c r="A9030" s="12"/>
    </row>
    <row r="9031" spans="1:1" x14ac:dyDescent="0.3">
      <c r="A9031" s="12"/>
    </row>
    <row r="9032" spans="1:1" x14ac:dyDescent="0.3">
      <c r="A9032" s="12"/>
    </row>
    <row r="9033" spans="1:1" x14ac:dyDescent="0.3">
      <c r="A9033" s="12"/>
    </row>
    <row r="9034" spans="1:1" x14ac:dyDescent="0.3">
      <c r="A9034" s="12"/>
    </row>
    <row r="9035" spans="1:1" x14ac:dyDescent="0.3">
      <c r="A9035" s="12"/>
    </row>
    <row r="9036" spans="1:1" x14ac:dyDescent="0.3">
      <c r="A9036" s="12"/>
    </row>
    <row r="9037" spans="1:1" x14ac:dyDescent="0.3">
      <c r="A9037" s="12"/>
    </row>
    <row r="9038" spans="1:1" x14ac:dyDescent="0.3">
      <c r="A9038" s="12"/>
    </row>
    <row r="9039" spans="1:1" x14ac:dyDescent="0.3">
      <c r="A9039" s="12"/>
    </row>
    <row r="9040" spans="1:1" x14ac:dyDescent="0.3">
      <c r="A9040" s="12"/>
    </row>
    <row r="9041" spans="1:1" x14ac:dyDescent="0.3">
      <c r="A9041" s="12"/>
    </row>
    <row r="9042" spans="1:1" x14ac:dyDescent="0.3">
      <c r="A9042" s="12"/>
    </row>
    <row r="9043" spans="1:1" x14ac:dyDescent="0.3">
      <c r="A9043" s="12"/>
    </row>
    <row r="9044" spans="1:1" x14ac:dyDescent="0.3">
      <c r="A9044" s="12"/>
    </row>
    <row r="9045" spans="1:1" x14ac:dyDescent="0.3">
      <c r="A9045" s="12"/>
    </row>
    <row r="9046" spans="1:1" x14ac:dyDescent="0.3">
      <c r="A9046" s="12"/>
    </row>
    <row r="9047" spans="1:1" x14ac:dyDescent="0.3">
      <c r="A9047" s="12"/>
    </row>
    <row r="9048" spans="1:1" x14ac:dyDescent="0.3">
      <c r="A9048" s="12"/>
    </row>
    <row r="9049" spans="1:1" x14ac:dyDescent="0.3">
      <c r="A9049" s="12"/>
    </row>
    <row r="9050" spans="1:1" x14ac:dyDescent="0.3">
      <c r="A9050" s="12"/>
    </row>
    <row r="9051" spans="1:1" x14ac:dyDescent="0.3">
      <c r="A9051" s="12"/>
    </row>
    <row r="9052" spans="1:1" x14ac:dyDescent="0.3">
      <c r="A9052" s="12"/>
    </row>
    <row r="9053" spans="1:1" x14ac:dyDescent="0.3">
      <c r="A9053" s="12"/>
    </row>
    <row r="9054" spans="1:1" x14ac:dyDescent="0.3">
      <c r="A9054" s="12"/>
    </row>
    <row r="9055" spans="1:1" x14ac:dyDescent="0.3">
      <c r="A9055" s="12"/>
    </row>
    <row r="9056" spans="1:1" x14ac:dyDescent="0.3">
      <c r="A9056" s="12"/>
    </row>
    <row r="9057" spans="1:1" x14ac:dyDescent="0.3">
      <c r="A9057" s="12"/>
    </row>
    <row r="9058" spans="1:1" x14ac:dyDescent="0.3">
      <c r="A9058" s="12"/>
    </row>
    <row r="9059" spans="1:1" x14ac:dyDescent="0.3">
      <c r="A9059" s="12"/>
    </row>
    <row r="9060" spans="1:1" x14ac:dyDescent="0.3">
      <c r="A9060" s="12"/>
    </row>
    <row r="9061" spans="1:1" x14ac:dyDescent="0.3">
      <c r="A9061" s="12"/>
    </row>
    <row r="9062" spans="1:1" x14ac:dyDescent="0.3">
      <c r="A9062" s="12"/>
    </row>
    <row r="9063" spans="1:1" x14ac:dyDescent="0.3">
      <c r="A9063" s="12"/>
    </row>
    <row r="9064" spans="1:1" x14ac:dyDescent="0.3">
      <c r="A9064" s="12"/>
    </row>
    <row r="9065" spans="1:1" x14ac:dyDescent="0.3">
      <c r="A9065" s="12"/>
    </row>
    <row r="9066" spans="1:1" x14ac:dyDescent="0.3">
      <c r="A9066" s="12"/>
    </row>
    <row r="9067" spans="1:1" x14ac:dyDescent="0.3">
      <c r="A9067" s="12"/>
    </row>
    <row r="9068" spans="1:1" x14ac:dyDescent="0.3">
      <c r="A9068" s="12"/>
    </row>
    <row r="9069" spans="1:1" x14ac:dyDescent="0.3">
      <c r="A9069" s="12"/>
    </row>
    <row r="9070" spans="1:1" x14ac:dyDescent="0.3">
      <c r="A9070" s="12"/>
    </row>
    <row r="9071" spans="1:1" x14ac:dyDescent="0.3">
      <c r="A9071" s="12"/>
    </row>
    <row r="9072" spans="1:1" x14ac:dyDescent="0.3">
      <c r="A9072" s="12"/>
    </row>
    <row r="9073" spans="1:1" x14ac:dyDescent="0.3">
      <c r="A9073" s="12"/>
    </row>
    <row r="9074" spans="1:1" x14ac:dyDescent="0.3">
      <c r="A9074" s="12"/>
    </row>
    <row r="9075" spans="1:1" x14ac:dyDescent="0.3">
      <c r="A9075" s="12"/>
    </row>
    <row r="9076" spans="1:1" x14ac:dyDescent="0.3">
      <c r="A9076" s="12"/>
    </row>
    <row r="9077" spans="1:1" x14ac:dyDescent="0.3">
      <c r="A9077" s="12"/>
    </row>
    <row r="9078" spans="1:1" x14ac:dyDescent="0.3">
      <c r="A9078" s="12"/>
    </row>
    <row r="9079" spans="1:1" x14ac:dyDescent="0.3">
      <c r="A9079" s="12"/>
    </row>
    <row r="9080" spans="1:1" x14ac:dyDescent="0.3">
      <c r="A9080" s="12"/>
    </row>
    <row r="9081" spans="1:1" x14ac:dyDescent="0.3">
      <c r="A9081" s="12"/>
    </row>
    <row r="9082" spans="1:1" x14ac:dyDescent="0.3">
      <c r="A9082" s="12"/>
    </row>
    <row r="9083" spans="1:1" x14ac:dyDescent="0.3">
      <c r="A9083" s="12"/>
    </row>
    <row r="9084" spans="1:1" x14ac:dyDescent="0.3">
      <c r="A9084" s="12"/>
    </row>
    <row r="9085" spans="1:1" x14ac:dyDescent="0.3">
      <c r="A9085" s="12"/>
    </row>
    <row r="9086" spans="1:1" x14ac:dyDescent="0.3">
      <c r="A9086" s="12"/>
    </row>
    <row r="9087" spans="1:1" x14ac:dyDescent="0.3">
      <c r="A9087" s="12"/>
    </row>
    <row r="9088" spans="1:1" x14ac:dyDescent="0.3">
      <c r="A9088" s="12"/>
    </row>
    <row r="9089" spans="1:1" x14ac:dyDescent="0.3">
      <c r="A9089" s="12"/>
    </row>
    <row r="9090" spans="1:1" x14ac:dyDescent="0.3">
      <c r="A9090" s="12"/>
    </row>
    <row r="9091" spans="1:1" x14ac:dyDescent="0.3">
      <c r="A9091" s="12"/>
    </row>
    <row r="9092" spans="1:1" x14ac:dyDescent="0.3">
      <c r="A9092" s="12"/>
    </row>
    <row r="9093" spans="1:1" x14ac:dyDescent="0.3">
      <c r="A9093" s="12"/>
    </row>
    <row r="9094" spans="1:1" x14ac:dyDescent="0.3">
      <c r="A9094" s="12"/>
    </row>
    <row r="9095" spans="1:1" x14ac:dyDescent="0.3">
      <c r="A9095" s="12"/>
    </row>
    <row r="9096" spans="1:1" x14ac:dyDescent="0.3">
      <c r="A9096" s="12"/>
    </row>
    <row r="9097" spans="1:1" x14ac:dyDescent="0.3">
      <c r="A9097" s="12"/>
    </row>
    <row r="9098" spans="1:1" x14ac:dyDescent="0.3">
      <c r="A9098" s="12"/>
    </row>
    <row r="9099" spans="1:1" x14ac:dyDescent="0.3">
      <c r="A9099" s="12"/>
    </row>
    <row r="9100" spans="1:1" x14ac:dyDescent="0.3">
      <c r="A9100" s="12"/>
    </row>
    <row r="9101" spans="1:1" x14ac:dyDescent="0.3">
      <c r="A9101" s="12"/>
    </row>
    <row r="9102" spans="1:1" x14ac:dyDescent="0.3">
      <c r="A9102" s="12"/>
    </row>
    <row r="9103" spans="1:1" x14ac:dyDescent="0.3">
      <c r="A9103" s="12"/>
    </row>
    <row r="9104" spans="1:1" x14ac:dyDescent="0.3">
      <c r="A9104" s="12"/>
    </row>
    <row r="9105" spans="1:1" x14ac:dyDescent="0.3">
      <c r="A9105" s="12"/>
    </row>
    <row r="9106" spans="1:1" x14ac:dyDescent="0.3">
      <c r="A9106" s="12"/>
    </row>
    <row r="9107" spans="1:1" x14ac:dyDescent="0.3">
      <c r="A9107" s="12"/>
    </row>
    <row r="9108" spans="1:1" x14ac:dyDescent="0.3">
      <c r="A9108" s="12"/>
    </row>
    <row r="9109" spans="1:1" x14ac:dyDescent="0.3">
      <c r="A9109" s="12"/>
    </row>
    <row r="9110" spans="1:1" x14ac:dyDescent="0.3">
      <c r="A9110" s="12"/>
    </row>
    <row r="9111" spans="1:1" x14ac:dyDescent="0.3">
      <c r="A9111" s="12"/>
    </row>
    <row r="9112" spans="1:1" x14ac:dyDescent="0.3">
      <c r="A9112" s="12"/>
    </row>
    <row r="9113" spans="1:1" x14ac:dyDescent="0.3">
      <c r="A9113" s="12"/>
    </row>
    <row r="9114" spans="1:1" x14ac:dyDescent="0.3">
      <c r="A9114" s="12"/>
    </row>
    <row r="9115" spans="1:1" x14ac:dyDescent="0.3">
      <c r="A9115" s="12"/>
    </row>
    <row r="9116" spans="1:1" x14ac:dyDescent="0.3">
      <c r="A9116" s="12"/>
    </row>
    <row r="9117" spans="1:1" x14ac:dyDescent="0.3">
      <c r="A9117" s="12"/>
    </row>
    <row r="9118" spans="1:1" x14ac:dyDescent="0.3">
      <c r="A9118" s="12"/>
    </row>
    <row r="9119" spans="1:1" x14ac:dyDescent="0.3">
      <c r="A9119" s="12"/>
    </row>
    <row r="9120" spans="1:1" x14ac:dyDescent="0.3">
      <c r="A9120" s="12"/>
    </row>
    <row r="9121" spans="1:1" x14ac:dyDescent="0.3">
      <c r="A9121" s="12"/>
    </row>
    <row r="9122" spans="1:1" x14ac:dyDescent="0.3">
      <c r="A9122" s="12"/>
    </row>
    <row r="9123" spans="1:1" x14ac:dyDescent="0.3">
      <c r="A9123" s="12"/>
    </row>
    <row r="9124" spans="1:1" x14ac:dyDescent="0.3">
      <c r="A9124" s="12"/>
    </row>
    <row r="9125" spans="1:1" x14ac:dyDescent="0.3">
      <c r="A9125" s="12"/>
    </row>
    <row r="9126" spans="1:1" x14ac:dyDescent="0.3">
      <c r="A9126" s="12"/>
    </row>
    <row r="9127" spans="1:1" x14ac:dyDescent="0.3">
      <c r="A9127" s="12"/>
    </row>
    <row r="9128" spans="1:1" x14ac:dyDescent="0.3">
      <c r="A9128" s="12"/>
    </row>
    <row r="9129" spans="1:1" x14ac:dyDescent="0.3">
      <c r="A9129" s="12"/>
    </row>
    <row r="9130" spans="1:1" x14ac:dyDescent="0.3">
      <c r="A9130" s="12"/>
    </row>
    <row r="9131" spans="1:1" x14ac:dyDescent="0.3">
      <c r="A9131" s="12"/>
    </row>
    <row r="9132" spans="1:1" x14ac:dyDescent="0.3">
      <c r="A9132" s="12"/>
    </row>
    <row r="9133" spans="1:1" x14ac:dyDescent="0.3">
      <c r="A9133" s="12"/>
    </row>
    <row r="9134" spans="1:1" x14ac:dyDescent="0.3">
      <c r="A9134" s="12"/>
    </row>
    <row r="9135" spans="1:1" x14ac:dyDescent="0.3">
      <c r="A9135" s="12"/>
    </row>
    <row r="9136" spans="1:1" x14ac:dyDescent="0.3">
      <c r="A9136" s="12"/>
    </row>
    <row r="9137" spans="1:1" x14ac:dyDescent="0.3">
      <c r="A9137" s="12"/>
    </row>
    <row r="9138" spans="1:1" x14ac:dyDescent="0.3">
      <c r="A9138" s="12"/>
    </row>
    <row r="9139" spans="1:1" x14ac:dyDescent="0.3">
      <c r="A9139" s="12"/>
    </row>
    <row r="9140" spans="1:1" x14ac:dyDescent="0.3">
      <c r="A9140" s="12"/>
    </row>
    <row r="9141" spans="1:1" x14ac:dyDescent="0.3">
      <c r="A9141" s="12"/>
    </row>
    <row r="9142" spans="1:1" x14ac:dyDescent="0.3">
      <c r="A9142" s="12"/>
    </row>
    <row r="9143" spans="1:1" x14ac:dyDescent="0.3">
      <c r="A9143" s="12"/>
    </row>
    <row r="9144" spans="1:1" x14ac:dyDescent="0.3">
      <c r="A9144" s="12"/>
    </row>
    <row r="9145" spans="1:1" x14ac:dyDescent="0.3">
      <c r="A9145" s="12"/>
    </row>
    <row r="9146" spans="1:1" x14ac:dyDescent="0.3">
      <c r="A9146" s="12"/>
    </row>
    <row r="9147" spans="1:1" x14ac:dyDescent="0.3">
      <c r="A9147" s="12"/>
    </row>
    <row r="9148" spans="1:1" x14ac:dyDescent="0.3">
      <c r="A9148" s="12"/>
    </row>
    <row r="9149" spans="1:1" x14ac:dyDescent="0.3">
      <c r="A9149" s="12"/>
    </row>
    <row r="9150" spans="1:1" x14ac:dyDescent="0.3">
      <c r="A9150" s="12"/>
    </row>
    <row r="9151" spans="1:1" x14ac:dyDescent="0.3">
      <c r="A9151" s="12"/>
    </row>
    <row r="9152" spans="1:1" x14ac:dyDescent="0.3">
      <c r="A9152" s="12"/>
    </row>
    <row r="9153" spans="1:1" x14ac:dyDescent="0.3">
      <c r="A9153" s="12"/>
    </row>
    <row r="9154" spans="1:1" x14ac:dyDescent="0.3">
      <c r="A9154" s="12"/>
    </row>
    <row r="9155" spans="1:1" x14ac:dyDescent="0.3">
      <c r="A9155" s="12"/>
    </row>
    <row r="9156" spans="1:1" x14ac:dyDescent="0.3">
      <c r="A9156" s="12"/>
    </row>
    <row r="9157" spans="1:1" x14ac:dyDescent="0.3">
      <c r="A9157" s="12"/>
    </row>
    <row r="9158" spans="1:1" x14ac:dyDescent="0.3">
      <c r="A9158" s="12"/>
    </row>
    <row r="9159" spans="1:1" x14ac:dyDescent="0.3">
      <c r="A9159" s="12"/>
    </row>
    <row r="9160" spans="1:1" x14ac:dyDescent="0.3">
      <c r="A9160" s="12"/>
    </row>
    <row r="9161" spans="1:1" x14ac:dyDescent="0.3">
      <c r="A9161" s="12"/>
    </row>
    <row r="9162" spans="1:1" x14ac:dyDescent="0.3">
      <c r="A9162" s="12"/>
    </row>
    <row r="9163" spans="1:1" x14ac:dyDescent="0.3">
      <c r="A9163" s="12"/>
    </row>
    <row r="9164" spans="1:1" x14ac:dyDescent="0.3">
      <c r="A9164" s="12"/>
    </row>
    <row r="9165" spans="1:1" x14ac:dyDescent="0.3">
      <c r="A9165" s="12"/>
    </row>
    <row r="9166" spans="1:1" x14ac:dyDescent="0.3">
      <c r="A9166" s="12"/>
    </row>
    <row r="9167" spans="1:1" x14ac:dyDescent="0.3">
      <c r="A9167" s="12"/>
    </row>
    <row r="9168" spans="1:1" x14ac:dyDescent="0.3">
      <c r="A9168" s="12"/>
    </row>
    <row r="9169" spans="1:1" x14ac:dyDescent="0.3">
      <c r="A9169" s="12"/>
    </row>
    <row r="9170" spans="1:1" x14ac:dyDescent="0.3">
      <c r="A9170" s="12"/>
    </row>
    <row r="9171" spans="1:1" x14ac:dyDescent="0.3">
      <c r="A9171" s="12"/>
    </row>
    <row r="9172" spans="1:1" x14ac:dyDescent="0.3">
      <c r="A9172" s="12"/>
    </row>
    <row r="9173" spans="1:1" x14ac:dyDescent="0.3">
      <c r="A9173" s="12"/>
    </row>
    <row r="9174" spans="1:1" x14ac:dyDescent="0.3">
      <c r="A9174" s="12"/>
    </row>
    <row r="9175" spans="1:1" x14ac:dyDescent="0.3">
      <c r="A9175" s="12"/>
    </row>
    <row r="9176" spans="1:1" x14ac:dyDescent="0.3">
      <c r="A9176" s="12"/>
    </row>
    <row r="9177" spans="1:1" x14ac:dyDescent="0.3">
      <c r="A9177" s="12"/>
    </row>
    <row r="9178" spans="1:1" x14ac:dyDescent="0.3">
      <c r="A9178" s="12"/>
    </row>
    <row r="9179" spans="1:1" x14ac:dyDescent="0.3">
      <c r="A9179" s="12"/>
    </row>
    <row r="9180" spans="1:1" x14ac:dyDescent="0.3">
      <c r="A9180" s="12"/>
    </row>
    <row r="9181" spans="1:1" x14ac:dyDescent="0.3">
      <c r="A9181" s="12"/>
    </row>
    <row r="9182" spans="1:1" x14ac:dyDescent="0.3">
      <c r="A9182" s="12"/>
    </row>
    <row r="9183" spans="1:1" x14ac:dyDescent="0.3">
      <c r="A9183" s="12"/>
    </row>
    <row r="9184" spans="1:1" x14ac:dyDescent="0.3">
      <c r="A9184" s="12"/>
    </row>
    <row r="9185" spans="1:1" x14ac:dyDescent="0.3">
      <c r="A9185" s="12"/>
    </row>
    <row r="9186" spans="1:1" x14ac:dyDescent="0.3">
      <c r="A9186" s="12"/>
    </row>
    <row r="9187" spans="1:1" x14ac:dyDescent="0.3">
      <c r="A9187" s="12"/>
    </row>
    <row r="9188" spans="1:1" x14ac:dyDescent="0.3">
      <c r="A9188" s="12"/>
    </row>
    <row r="9189" spans="1:1" x14ac:dyDescent="0.3">
      <c r="A9189" s="12"/>
    </row>
    <row r="9190" spans="1:1" x14ac:dyDescent="0.3">
      <c r="A9190" s="12"/>
    </row>
    <row r="9191" spans="1:1" x14ac:dyDescent="0.3">
      <c r="A9191" s="12"/>
    </row>
    <row r="9192" spans="1:1" x14ac:dyDescent="0.3">
      <c r="A9192" s="12"/>
    </row>
    <row r="9193" spans="1:1" x14ac:dyDescent="0.3">
      <c r="A9193" s="12"/>
    </row>
    <row r="9194" spans="1:1" x14ac:dyDescent="0.3">
      <c r="A9194" s="12"/>
    </row>
    <row r="9195" spans="1:1" x14ac:dyDescent="0.3">
      <c r="A9195" s="12"/>
    </row>
    <row r="9196" spans="1:1" x14ac:dyDescent="0.3">
      <c r="A9196" s="12"/>
    </row>
    <row r="9197" spans="1:1" x14ac:dyDescent="0.3">
      <c r="A9197" s="12"/>
    </row>
    <row r="9198" spans="1:1" x14ac:dyDescent="0.3">
      <c r="A9198" s="12"/>
    </row>
    <row r="9199" spans="1:1" x14ac:dyDescent="0.3">
      <c r="A9199" s="12"/>
    </row>
    <row r="9200" spans="1:1" x14ac:dyDescent="0.3">
      <c r="A9200" s="12"/>
    </row>
    <row r="9201" spans="1:1" x14ac:dyDescent="0.3">
      <c r="A9201" s="12"/>
    </row>
    <row r="9202" spans="1:1" x14ac:dyDescent="0.3">
      <c r="A9202" s="12"/>
    </row>
    <row r="9203" spans="1:1" x14ac:dyDescent="0.3">
      <c r="A9203" s="12"/>
    </row>
    <row r="9204" spans="1:1" x14ac:dyDescent="0.3">
      <c r="A9204" s="12"/>
    </row>
    <row r="9205" spans="1:1" x14ac:dyDescent="0.3">
      <c r="A9205" s="12"/>
    </row>
    <row r="9206" spans="1:1" x14ac:dyDescent="0.3">
      <c r="A9206" s="12"/>
    </row>
    <row r="9207" spans="1:1" x14ac:dyDescent="0.3">
      <c r="A9207" s="12"/>
    </row>
    <row r="9208" spans="1:1" x14ac:dyDescent="0.3">
      <c r="A9208" s="12"/>
    </row>
    <row r="9209" spans="1:1" x14ac:dyDescent="0.3">
      <c r="A9209" s="12"/>
    </row>
    <row r="9210" spans="1:1" x14ac:dyDescent="0.3">
      <c r="A9210" s="12"/>
    </row>
    <row r="9211" spans="1:1" x14ac:dyDescent="0.3">
      <c r="A9211" s="12"/>
    </row>
    <row r="9212" spans="1:1" x14ac:dyDescent="0.3">
      <c r="A9212" s="12"/>
    </row>
    <row r="9213" spans="1:1" x14ac:dyDescent="0.3">
      <c r="A9213" s="12"/>
    </row>
    <row r="9214" spans="1:1" x14ac:dyDescent="0.3">
      <c r="A9214" s="12"/>
    </row>
    <row r="9215" spans="1:1" x14ac:dyDescent="0.3">
      <c r="A9215" s="12"/>
    </row>
    <row r="9216" spans="1:1" x14ac:dyDescent="0.3">
      <c r="A9216" s="12"/>
    </row>
    <row r="9217" spans="1:1" x14ac:dyDescent="0.3">
      <c r="A9217" s="12"/>
    </row>
    <row r="9218" spans="1:1" x14ac:dyDescent="0.3">
      <c r="A9218" s="12"/>
    </row>
    <row r="9219" spans="1:1" x14ac:dyDescent="0.3">
      <c r="A9219" s="12"/>
    </row>
    <row r="9220" spans="1:1" x14ac:dyDescent="0.3">
      <c r="A9220" s="12"/>
    </row>
    <row r="9221" spans="1:1" x14ac:dyDescent="0.3">
      <c r="A9221" s="12"/>
    </row>
    <row r="9222" spans="1:1" x14ac:dyDescent="0.3">
      <c r="A9222" s="12"/>
    </row>
    <row r="9223" spans="1:1" x14ac:dyDescent="0.3">
      <c r="A9223" s="12"/>
    </row>
    <row r="9224" spans="1:1" x14ac:dyDescent="0.3">
      <c r="A9224" s="12"/>
    </row>
    <row r="9225" spans="1:1" x14ac:dyDescent="0.3">
      <c r="A9225" s="12"/>
    </row>
    <row r="9226" spans="1:1" x14ac:dyDescent="0.3">
      <c r="A9226" s="12"/>
    </row>
    <row r="9227" spans="1:1" x14ac:dyDescent="0.3">
      <c r="A9227" s="12"/>
    </row>
    <row r="9228" spans="1:1" x14ac:dyDescent="0.3">
      <c r="A9228" s="12"/>
    </row>
    <row r="9229" spans="1:1" x14ac:dyDescent="0.3">
      <c r="A9229" s="12"/>
    </row>
    <row r="9230" spans="1:1" x14ac:dyDescent="0.3">
      <c r="A9230" s="12"/>
    </row>
    <row r="9231" spans="1:1" x14ac:dyDescent="0.3">
      <c r="A9231" s="12"/>
    </row>
    <row r="9232" spans="1:1" x14ac:dyDescent="0.3">
      <c r="A9232" s="12"/>
    </row>
    <row r="9233" spans="1:1" x14ac:dyDescent="0.3">
      <c r="A9233" s="12"/>
    </row>
    <row r="9234" spans="1:1" x14ac:dyDescent="0.3">
      <c r="A9234" s="12"/>
    </row>
    <row r="9235" spans="1:1" x14ac:dyDescent="0.3">
      <c r="A9235" s="12"/>
    </row>
    <row r="9236" spans="1:1" x14ac:dyDescent="0.3">
      <c r="A9236" s="12"/>
    </row>
    <row r="9237" spans="1:1" x14ac:dyDescent="0.3">
      <c r="A9237" s="12"/>
    </row>
    <row r="9238" spans="1:1" x14ac:dyDescent="0.3">
      <c r="A9238" s="12"/>
    </row>
    <row r="9239" spans="1:1" x14ac:dyDescent="0.3">
      <c r="A9239" s="12"/>
    </row>
    <row r="9240" spans="1:1" x14ac:dyDescent="0.3">
      <c r="A9240" s="12"/>
    </row>
    <row r="9241" spans="1:1" x14ac:dyDescent="0.3">
      <c r="A9241" s="12"/>
    </row>
    <row r="9242" spans="1:1" x14ac:dyDescent="0.3">
      <c r="A9242" s="12"/>
    </row>
    <row r="9243" spans="1:1" x14ac:dyDescent="0.3">
      <c r="A9243" s="12"/>
    </row>
    <row r="9244" spans="1:1" x14ac:dyDescent="0.3">
      <c r="A9244" s="12"/>
    </row>
    <row r="9245" spans="1:1" x14ac:dyDescent="0.3">
      <c r="A9245" s="12"/>
    </row>
    <row r="9246" spans="1:1" x14ac:dyDescent="0.3">
      <c r="A9246" s="12"/>
    </row>
    <row r="9247" spans="1:1" x14ac:dyDescent="0.3">
      <c r="A9247" s="12"/>
    </row>
    <row r="9248" spans="1:1" x14ac:dyDescent="0.3">
      <c r="A9248" s="12"/>
    </row>
    <row r="9249" spans="1:1" x14ac:dyDescent="0.3">
      <c r="A9249" s="12"/>
    </row>
    <row r="9250" spans="1:1" x14ac:dyDescent="0.3">
      <c r="A9250" s="12"/>
    </row>
    <row r="9251" spans="1:1" x14ac:dyDescent="0.3">
      <c r="A9251" s="12"/>
    </row>
    <row r="9252" spans="1:1" x14ac:dyDescent="0.3">
      <c r="A9252" s="12"/>
    </row>
    <row r="9253" spans="1:1" x14ac:dyDescent="0.3">
      <c r="A9253" s="12"/>
    </row>
    <row r="9254" spans="1:1" x14ac:dyDescent="0.3">
      <c r="A9254" s="12"/>
    </row>
    <row r="9255" spans="1:1" x14ac:dyDescent="0.3">
      <c r="A9255" s="12"/>
    </row>
    <row r="9256" spans="1:1" x14ac:dyDescent="0.3">
      <c r="A9256" s="12"/>
    </row>
    <row r="9257" spans="1:1" x14ac:dyDescent="0.3">
      <c r="A9257" s="12"/>
    </row>
    <row r="9258" spans="1:1" x14ac:dyDescent="0.3">
      <c r="A9258" s="12"/>
    </row>
    <row r="9259" spans="1:1" x14ac:dyDescent="0.3">
      <c r="A9259" s="12"/>
    </row>
    <row r="9260" spans="1:1" x14ac:dyDescent="0.3">
      <c r="A9260" s="12"/>
    </row>
    <row r="9261" spans="1:1" x14ac:dyDescent="0.3">
      <c r="A9261" s="12"/>
    </row>
    <row r="9262" spans="1:1" x14ac:dyDescent="0.3">
      <c r="A9262" s="12"/>
    </row>
    <row r="9263" spans="1:1" x14ac:dyDescent="0.3">
      <c r="A9263" s="12"/>
    </row>
    <row r="9264" spans="1:1" x14ac:dyDescent="0.3">
      <c r="A9264" s="12"/>
    </row>
    <row r="9265" spans="1:1" x14ac:dyDescent="0.3">
      <c r="A9265" s="12"/>
    </row>
    <row r="9266" spans="1:1" x14ac:dyDescent="0.3">
      <c r="A9266" s="12"/>
    </row>
    <row r="9267" spans="1:1" x14ac:dyDescent="0.3">
      <c r="A9267" s="12"/>
    </row>
    <row r="9268" spans="1:1" x14ac:dyDescent="0.3">
      <c r="A9268" s="12"/>
    </row>
    <row r="9269" spans="1:1" x14ac:dyDescent="0.3">
      <c r="A9269" s="12"/>
    </row>
    <row r="9270" spans="1:1" x14ac:dyDescent="0.3">
      <c r="A9270" s="12"/>
    </row>
    <row r="9271" spans="1:1" x14ac:dyDescent="0.3">
      <c r="A9271" s="12"/>
    </row>
    <row r="9272" spans="1:1" x14ac:dyDescent="0.3">
      <c r="A9272" s="12"/>
    </row>
    <row r="9273" spans="1:1" x14ac:dyDescent="0.3">
      <c r="A9273" s="12"/>
    </row>
    <row r="9274" spans="1:1" x14ac:dyDescent="0.3">
      <c r="A9274" s="12"/>
    </row>
    <row r="9275" spans="1:1" x14ac:dyDescent="0.3">
      <c r="A9275" s="12"/>
    </row>
    <row r="9276" spans="1:1" x14ac:dyDescent="0.3">
      <c r="A9276" s="12"/>
    </row>
    <row r="9277" spans="1:1" x14ac:dyDescent="0.3">
      <c r="A9277" s="12"/>
    </row>
    <row r="9278" spans="1:1" x14ac:dyDescent="0.3">
      <c r="A9278" s="12"/>
    </row>
    <row r="9279" spans="1:1" x14ac:dyDescent="0.3">
      <c r="A9279" s="12"/>
    </row>
    <row r="9280" spans="1:1" x14ac:dyDescent="0.3">
      <c r="A9280" s="12"/>
    </row>
    <row r="9281" spans="1:1" x14ac:dyDescent="0.3">
      <c r="A9281" s="12"/>
    </row>
    <row r="9282" spans="1:1" x14ac:dyDescent="0.3">
      <c r="A9282" s="12"/>
    </row>
    <row r="9283" spans="1:1" x14ac:dyDescent="0.3">
      <c r="A9283" s="12"/>
    </row>
    <row r="9284" spans="1:1" x14ac:dyDescent="0.3">
      <c r="A9284" s="12"/>
    </row>
    <row r="9285" spans="1:1" x14ac:dyDescent="0.3">
      <c r="A9285" s="12"/>
    </row>
    <row r="9286" spans="1:1" x14ac:dyDescent="0.3">
      <c r="A9286" s="12"/>
    </row>
    <row r="9287" spans="1:1" x14ac:dyDescent="0.3">
      <c r="A9287" s="12"/>
    </row>
    <row r="9288" spans="1:1" x14ac:dyDescent="0.3">
      <c r="A9288" s="12"/>
    </row>
    <row r="9289" spans="1:1" x14ac:dyDescent="0.3">
      <c r="A9289" s="12"/>
    </row>
    <row r="9290" spans="1:1" x14ac:dyDescent="0.3">
      <c r="A9290" s="12"/>
    </row>
    <row r="9291" spans="1:1" x14ac:dyDescent="0.3">
      <c r="A9291" s="12"/>
    </row>
    <row r="9292" spans="1:1" x14ac:dyDescent="0.3">
      <c r="A9292" s="12"/>
    </row>
    <row r="9293" spans="1:1" x14ac:dyDescent="0.3">
      <c r="A9293" s="12"/>
    </row>
    <row r="9294" spans="1:1" x14ac:dyDescent="0.3">
      <c r="A9294" s="12"/>
    </row>
    <row r="9295" spans="1:1" x14ac:dyDescent="0.3">
      <c r="A9295" s="12"/>
    </row>
    <row r="9296" spans="1:1" x14ac:dyDescent="0.3">
      <c r="A9296" s="12"/>
    </row>
    <row r="9297" spans="1:1" x14ac:dyDescent="0.3">
      <c r="A9297" s="12"/>
    </row>
    <row r="9298" spans="1:1" x14ac:dyDescent="0.3">
      <c r="A9298" s="12"/>
    </row>
    <row r="9299" spans="1:1" x14ac:dyDescent="0.3">
      <c r="A9299" s="12"/>
    </row>
    <row r="9300" spans="1:1" x14ac:dyDescent="0.3">
      <c r="A9300" s="12"/>
    </row>
    <row r="9301" spans="1:1" x14ac:dyDescent="0.3">
      <c r="A9301" s="12"/>
    </row>
    <row r="9302" spans="1:1" x14ac:dyDescent="0.3">
      <c r="A9302" s="12"/>
    </row>
    <row r="9303" spans="1:1" x14ac:dyDescent="0.3">
      <c r="A9303" s="12"/>
    </row>
    <row r="9304" spans="1:1" x14ac:dyDescent="0.3">
      <c r="A9304" s="12"/>
    </row>
    <row r="9305" spans="1:1" x14ac:dyDescent="0.3">
      <c r="A9305" s="12"/>
    </row>
    <row r="9306" spans="1:1" x14ac:dyDescent="0.3">
      <c r="A9306" s="12"/>
    </row>
    <row r="9307" spans="1:1" x14ac:dyDescent="0.3">
      <c r="A9307" s="12"/>
    </row>
    <row r="9308" spans="1:1" x14ac:dyDescent="0.3">
      <c r="A9308" s="12"/>
    </row>
    <row r="9309" spans="1:1" x14ac:dyDescent="0.3">
      <c r="A9309" s="12"/>
    </row>
    <row r="9310" spans="1:1" x14ac:dyDescent="0.3">
      <c r="A9310" s="12"/>
    </row>
    <row r="9311" spans="1:1" x14ac:dyDescent="0.3">
      <c r="A9311" s="12"/>
    </row>
    <row r="9312" spans="1:1" x14ac:dyDescent="0.3">
      <c r="A9312" s="12"/>
    </row>
    <row r="9313" spans="1:1" x14ac:dyDescent="0.3">
      <c r="A9313" s="12"/>
    </row>
    <row r="9314" spans="1:1" x14ac:dyDescent="0.3">
      <c r="A9314" s="12"/>
    </row>
    <row r="9315" spans="1:1" x14ac:dyDescent="0.3">
      <c r="A9315" s="12"/>
    </row>
    <row r="9316" spans="1:1" x14ac:dyDescent="0.3">
      <c r="A9316" s="12"/>
    </row>
    <row r="9317" spans="1:1" x14ac:dyDescent="0.3">
      <c r="A9317" s="12"/>
    </row>
    <row r="9318" spans="1:1" x14ac:dyDescent="0.3">
      <c r="A9318" s="12"/>
    </row>
    <row r="9319" spans="1:1" x14ac:dyDescent="0.3">
      <c r="A9319" s="12"/>
    </row>
    <row r="9320" spans="1:1" x14ac:dyDescent="0.3">
      <c r="A9320" s="12"/>
    </row>
    <row r="9321" spans="1:1" x14ac:dyDescent="0.3">
      <c r="A9321" s="12"/>
    </row>
    <row r="9322" spans="1:1" x14ac:dyDescent="0.3">
      <c r="A9322" s="12"/>
    </row>
    <row r="9323" spans="1:1" x14ac:dyDescent="0.3">
      <c r="A9323" s="12"/>
    </row>
    <row r="9324" spans="1:1" x14ac:dyDescent="0.3">
      <c r="A9324" s="12"/>
    </row>
    <row r="9325" spans="1:1" x14ac:dyDescent="0.3">
      <c r="A9325" s="12"/>
    </row>
    <row r="9326" spans="1:1" x14ac:dyDescent="0.3">
      <c r="A9326" s="12"/>
    </row>
    <row r="9327" spans="1:1" x14ac:dyDescent="0.3">
      <c r="A9327" s="12"/>
    </row>
    <row r="9328" spans="1:1" x14ac:dyDescent="0.3">
      <c r="A9328" s="12"/>
    </row>
    <row r="9329" spans="1:1" x14ac:dyDescent="0.3">
      <c r="A9329" s="12"/>
    </row>
    <row r="9330" spans="1:1" x14ac:dyDescent="0.3">
      <c r="A9330" s="12"/>
    </row>
    <row r="9331" spans="1:1" x14ac:dyDescent="0.3">
      <c r="A9331" s="12"/>
    </row>
    <row r="9332" spans="1:1" x14ac:dyDescent="0.3">
      <c r="A9332" s="12"/>
    </row>
    <row r="9333" spans="1:1" x14ac:dyDescent="0.3">
      <c r="A9333" s="12"/>
    </row>
    <row r="9334" spans="1:1" x14ac:dyDescent="0.3">
      <c r="A9334" s="12"/>
    </row>
    <row r="9335" spans="1:1" x14ac:dyDescent="0.3">
      <c r="A9335" s="12"/>
    </row>
    <row r="9336" spans="1:1" x14ac:dyDescent="0.3">
      <c r="A9336" s="12"/>
    </row>
    <row r="9337" spans="1:1" x14ac:dyDescent="0.3">
      <c r="A9337" s="12"/>
    </row>
    <row r="9338" spans="1:1" x14ac:dyDescent="0.3">
      <c r="A9338" s="12"/>
    </row>
    <row r="9339" spans="1:1" x14ac:dyDescent="0.3">
      <c r="A9339" s="12"/>
    </row>
    <row r="9340" spans="1:1" x14ac:dyDescent="0.3">
      <c r="A9340" s="12"/>
    </row>
    <row r="9341" spans="1:1" x14ac:dyDescent="0.3">
      <c r="A9341" s="12"/>
    </row>
    <row r="9342" spans="1:1" x14ac:dyDescent="0.3">
      <c r="A9342" s="12"/>
    </row>
    <row r="9343" spans="1:1" x14ac:dyDescent="0.3">
      <c r="A9343" s="12"/>
    </row>
    <row r="9344" spans="1:1" x14ac:dyDescent="0.3">
      <c r="A9344" s="12"/>
    </row>
    <row r="9345" spans="1:1" x14ac:dyDescent="0.3">
      <c r="A9345" s="12"/>
    </row>
    <row r="9346" spans="1:1" x14ac:dyDescent="0.3">
      <c r="A9346" s="12"/>
    </row>
    <row r="9347" spans="1:1" x14ac:dyDescent="0.3">
      <c r="A9347" s="12"/>
    </row>
    <row r="9348" spans="1:1" x14ac:dyDescent="0.3">
      <c r="A9348" s="12"/>
    </row>
    <row r="9349" spans="1:1" x14ac:dyDescent="0.3">
      <c r="A9349" s="12"/>
    </row>
    <row r="9350" spans="1:1" x14ac:dyDescent="0.3">
      <c r="A9350" s="12"/>
    </row>
    <row r="9351" spans="1:1" x14ac:dyDescent="0.3">
      <c r="A9351" s="12"/>
    </row>
    <row r="9352" spans="1:1" x14ac:dyDescent="0.3">
      <c r="A9352" s="12"/>
    </row>
    <row r="9353" spans="1:1" x14ac:dyDescent="0.3">
      <c r="A9353" s="12"/>
    </row>
    <row r="9354" spans="1:1" x14ac:dyDescent="0.3">
      <c r="A9354" s="12"/>
    </row>
    <row r="9355" spans="1:1" x14ac:dyDescent="0.3">
      <c r="A9355" s="12"/>
    </row>
    <row r="9356" spans="1:1" x14ac:dyDescent="0.3">
      <c r="A9356" s="12"/>
    </row>
    <row r="9357" spans="1:1" x14ac:dyDescent="0.3">
      <c r="A9357" s="12"/>
    </row>
    <row r="9358" spans="1:1" x14ac:dyDescent="0.3">
      <c r="A9358" s="12"/>
    </row>
    <row r="9359" spans="1:1" x14ac:dyDescent="0.3">
      <c r="A9359" s="12"/>
    </row>
    <row r="9360" spans="1:1" x14ac:dyDescent="0.3">
      <c r="A9360" s="12"/>
    </row>
    <row r="9361" spans="1:1" x14ac:dyDescent="0.3">
      <c r="A9361" s="12"/>
    </row>
    <row r="9362" spans="1:1" x14ac:dyDescent="0.3">
      <c r="A9362" s="12"/>
    </row>
    <row r="9363" spans="1:1" x14ac:dyDescent="0.3">
      <c r="A9363" s="12"/>
    </row>
    <row r="9364" spans="1:1" x14ac:dyDescent="0.3">
      <c r="A9364" s="12"/>
    </row>
    <row r="9365" spans="1:1" x14ac:dyDescent="0.3">
      <c r="A9365" s="12"/>
    </row>
    <row r="9366" spans="1:1" x14ac:dyDescent="0.3">
      <c r="A9366" s="12"/>
    </row>
    <row r="9367" spans="1:1" x14ac:dyDescent="0.3">
      <c r="A9367" s="12"/>
    </row>
    <row r="9368" spans="1:1" x14ac:dyDescent="0.3">
      <c r="A9368" s="12"/>
    </row>
    <row r="9369" spans="1:1" x14ac:dyDescent="0.3">
      <c r="A9369" s="12"/>
    </row>
    <row r="9370" spans="1:1" x14ac:dyDescent="0.3">
      <c r="A9370" s="12"/>
    </row>
    <row r="9371" spans="1:1" x14ac:dyDescent="0.3">
      <c r="A9371" s="12"/>
    </row>
    <row r="9372" spans="1:1" x14ac:dyDescent="0.3">
      <c r="A9372" s="12"/>
    </row>
    <row r="9373" spans="1:1" x14ac:dyDescent="0.3">
      <c r="A9373" s="12"/>
    </row>
    <row r="9374" spans="1:1" x14ac:dyDescent="0.3">
      <c r="A9374" s="12"/>
    </row>
    <row r="9375" spans="1:1" x14ac:dyDescent="0.3">
      <c r="A9375" s="12"/>
    </row>
    <row r="9376" spans="1:1" x14ac:dyDescent="0.3">
      <c r="A9376" s="12"/>
    </row>
    <row r="9377" spans="1:1" x14ac:dyDescent="0.3">
      <c r="A9377" s="12"/>
    </row>
    <row r="9378" spans="1:1" x14ac:dyDescent="0.3">
      <c r="A9378" s="12"/>
    </row>
    <row r="9379" spans="1:1" x14ac:dyDescent="0.3">
      <c r="A9379" s="12"/>
    </row>
    <row r="9380" spans="1:1" x14ac:dyDescent="0.3">
      <c r="A9380" s="12"/>
    </row>
    <row r="9381" spans="1:1" x14ac:dyDescent="0.3">
      <c r="A9381" s="12"/>
    </row>
    <row r="9382" spans="1:1" x14ac:dyDescent="0.3">
      <c r="A9382" s="12"/>
    </row>
    <row r="9383" spans="1:1" x14ac:dyDescent="0.3">
      <c r="A9383" s="12"/>
    </row>
    <row r="9384" spans="1:1" x14ac:dyDescent="0.3">
      <c r="A9384" s="12"/>
    </row>
    <row r="9385" spans="1:1" x14ac:dyDescent="0.3">
      <c r="A9385" s="12"/>
    </row>
    <row r="9386" spans="1:1" x14ac:dyDescent="0.3">
      <c r="A9386" s="12"/>
    </row>
    <row r="9387" spans="1:1" x14ac:dyDescent="0.3">
      <c r="A9387" s="12"/>
    </row>
    <row r="9388" spans="1:1" x14ac:dyDescent="0.3">
      <c r="A9388" s="12"/>
    </row>
    <row r="9389" spans="1:1" x14ac:dyDescent="0.3">
      <c r="A9389" s="12"/>
    </row>
    <row r="9390" spans="1:1" x14ac:dyDescent="0.3">
      <c r="A9390" s="12"/>
    </row>
    <row r="9391" spans="1:1" x14ac:dyDescent="0.3">
      <c r="A9391" s="12"/>
    </row>
    <row r="9392" spans="1:1" x14ac:dyDescent="0.3">
      <c r="A9392" s="12"/>
    </row>
    <row r="9393" spans="1:1" x14ac:dyDescent="0.3">
      <c r="A9393" s="12"/>
    </row>
    <row r="9394" spans="1:1" x14ac:dyDescent="0.3">
      <c r="A9394" s="12"/>
    </row>
    <row r="9395" spans="1:1" x14ac:dyDescent="0.3">
      <c r="A9395" s="12"/>
    </row>
    <row r="9396" spans="1:1" x14ac:dyDescent="0.3">
      <c r="A9396" s="12"/>
    </row>
    <row r="9397" spans="1:1" x14ac:dyDescent="0.3">
      <c r="A9397" s="12"/>
    </row>
    <row r="9398" spans="1:1" x14ac:dyDescent="0.3">
      <c r="A9398" s="12"/>
    </row>
    <row r="9399" spans="1:1" x14ac:dyDescent="0.3">
      <c r="A9399" s="12"/>
    </row>
    <row r="9400" spans="1:1" x14ac:dyDescent="0.3">
      <c r="A9400" s="12"/>
    </row>
    <row r="9401" spans="1:1" x14ac:dyDescent="0.3">
      <c r="A9401" s="12"/>
    </row>
    <row r="9402" spans="1:1" x14ac:dyDescent="0.3">
      <c r="A9402" s="12"/>
    </row>
    <row r="9403" spans="1:1" x14ac:dyDescent="0.3">
      <c r="A9403" s="12"/>
    </row>
    <row r="9404" spans="1:1" x14ac:dyDescent="0.3">
      <c r="A9404" s="12"/>
    </row>
    <row r="9405" spans="1:1" x14ac:dyDescent="0.3">
      <c r="A9405" s="12"/>
    </row>
    <row r="9406" spans="1:1" x14ac:dyDescent="0.3">
      <c r="A9406" s="12"/>
    </row>
    <row r="9407" spans="1:1" x14ac:dyDescent="0.3">
      <c r="A9407" s="12"/>
    </row>
    <row r="9408" spans="1:1" x14ac:dyDescent="0.3">
      <c r="A9408" s="12"/>
    </row>
    <row r="9409" spans="1:1" x14ac:dyDescent="0.3">
      <c r="A9409" s="12"/>
    </row>
    <row r="9410" spans="1:1" x14ac:dyDescent="0.3">
      <c r="A9410" s="12"/>
    </row>
    <row r="9411" spans="1:1" x14ac:dyDescent="0.3">
      <c r="A9411" s="12"/>
    </row>
    <row r="9412" spans="1:1" x14ac:dyDescent="0.3">
      <c r="A9412" s="12"/>
    </row>
    <row r="9413" spans="1:1" x14ac:dyDescent="0.3">
      <c r="A9413" s="12"/>
    </row>
    <row r="9414" spans="1:1" x14ac:dyDescent="0.3">
      <c r="A9414" s="12"/>
    </row>
    <row r="9415" spans="1:1" x14ac:dyDescent="0.3">
      <c r="A9415" s="12"/>
    </row>
    <row r="9416" spans="1:1" x14ac:dyDescent="0.3">
      <c r="A9416" s="12"/>
    </row>
    <row r="9417" spans="1:1" x14ac:dyDescent="0.3">
      <c r="A9417" s="12"/>
    </row>
    <row r="9418" spans="1:1" x14ac:dyDescent="0.3">
      <c r="A9418" s="12"/>
    </row>
    <row r="9419" spans="1:1" x14ac:dyDescent="0.3">
      <c r="A9419" s="12"/>
    </row>
    <row r="9420" spans="1:1" x14ac:dyDescent="0.3">
      <c r="A9420" s="12"/>
    </row>
    <row r="9421" spans="1:1" x14ac:dyDescent="0.3">
      <c r="A9421" s="12"/>
    </row>
    <row r="9422" spans="1:1" x14ac:dyDescent="0.3">
      <c r="A9422" s="12"/>
    </row>
    <row r="9423" spans="1:1" x14ac:dyDescent="0.3">
      <c r="A9423" s="12"/>
    </row>
    <row r="9424" spans="1:1" x14ac:dyDescent="0.3">
      <c r="A9424" s="12"/>
    </row>
    <row r="9425" spans="1:1" x14ac:dyDescent="0.3">
      <c r="A9425" s="12"/>
    </row>
    <row r="9426" spans="1:1" x14ac:dyDescent="0.3">
      <c r="A9426" s="12"/>
    </row>
    <row r="9427" spans="1:1" x14ac:dyDescent="0.3">
      <c r="A9427" s="12"/>
    </row>
    <row r="9428" spans="1:1" x14ac:dyDescent="0.3">
      <c r="A9428" s="12"/>
    </row>
    <row r="9429" spans="1:1" x14ac:dyDescent="0.3">
      <c r="A9429" s="12"/>
    </row>
    <row r="9430" spans="1:1" x14ac:dyDescent="0.3">
      <c r="A9430" s="12"/>
    </row>
    <row r="9431" spans="1:1" x14ac:dyDescent="0.3">
      <c r="A9431" s="12"/>
    </row>
    <row r="9432" spans="1:1" x14ac:dyDescent="0.3">
      <c r="A9432" s="12"/>
    </row>
    <row r="9433" spans="1:1" x14ac:dyDescent="0.3">
      <c r="A9433" s="12"/>
    </row>
    <row r="9434" spans="1:1" x14ac:dyDescent="0.3">
      <c r="A9434" s="12"/>
    </row>
    <row r="9435" spans="1:1" x14ac:dyDescent="0.3">
      <c r="A9435" s="12"/>
    </row>
    <row r="9436" spans="1:1" x14ac:dyDescent="0.3">
      <c r="A9436" s="12"/>
    </row>
    <row r="9437" spans="1:1" x14ac:dyDescent="0.3">
      <c r="A9437" s="12"/>
    </row>
    <row r="9438" spans="1:1" x14ac:dyDescent="0.3">
      <c r="A9438" s="12"/>
    </row>
    <row r="9439" spans="1:1" x14ac:dyDescent="0.3">
      <c r="A9439" s="12"/>
    </row>
    <row r="9440" spans="1:1" x14ac:dyDescent="0.3">
      <c r="A9440" s="12"/>
    </row>
    <row r="9441" spans="1:1" x14ac:dyDescent="0.3">
      <c r="A9441" s="12"/>
    </row>
    <row r="9442" spans="1:1" x14ac:dyDescent="0.3">
      <c r="A9442" s="12"/>
    </row>
    <row r="9443" spans="1:1" x14ac:dyDescent="0.3">
      <c r="A9443" s="12"/>
    </row>
    <row r="9444" spans="1:1" x14ac:dyDescent="0.3">
      <c r="A9444" s="12"/>
    </row>
    <row r="9445" spans="1:1" x14ac:dyDescent="0.3">
      <c r="A9445" s="12"/>
    </row>
    <row r="9446" spans="1:1" x14ac:dyDescent="0.3">
      <c r="A9446" s="12"/>
    </row>
    <row r="9447" spans="1:1" x14ac:dyDescent="0.3">
      <c r="A9447" s="12"/>
    </row>
    <row r="9448" spans="1:1" x14ac:dyDescent="0.3">
      <c r="A9448" s="12"/>
    </row>
    <row r="9449" spans="1:1" x14ac:dyDescent="0.3">
      <c r="A9449" s="12"/>
    </row>
    <row r="9450" spans="1:1" x14ac:dyDescent="0.3">
      <c r="A9450" s="12"/>
    </row>
    <row r="9451" spans="1:1" x14ac:dyDescent="0.3">
      <c r="A9451" s="12"/>
    </row>
    <row r="9452" spans="1:1" x14ac:dyDescent="0.3">
      <c r="A9452" s="12"/>
    </row>
    <row r="9453" spans="1:1" x14ac:dyDescent="0.3">
      <c r="A9453" s="12"/>
    </row>
    <row r="9454" spans="1:1" x14ac:dyDescent="0.3">
      <c r="A9454" s="12"/>
    </row>
    <row r="9455" spans="1:1" x14ac:dyDescent="0.3">
      <c r="A9455" s="12"/>
    </row>
    <row r="9456" spans="1:1" x14ac:dyDescent="0.3">
      <c r="A9456" s="12"/>
    </row>
    <row r="9457" spans="1:1" x14ac:dyDescent="0.3">
      <c r="A9457" s="12"/>
    </row>
    <row r="9458" spans="1:1" x14ac:dyDescent="0.3">
      <c r="A9458" s="12"/>
    </row>
    <row r="9459" spans="1:1" x14ac:dyDescent="0.3">
      <c r="A9459" s="12"/>
    </row>
    <row r="9460" spans="1:1" x14ac:dyDescent="0.3">
      <c r="A9460" s="12"/>
    </row>
    <row r="9461" spans="1:1" x14ac:dyDescent="0.3">
      <c r="A9461" s="12"/>
    </row>
    <row r="9462" spans="1:1" x14ac:dyDescent="0.3">
      <c r="A9462" s="12"/>
    </row>
    <row r="9463" spans="1:1" x14ac:dyDescent="0.3">
      <c r="A9463" s="12"/>
    </row>
    <row r="9464" spans="1:1" x14ac:dyDescent="0.3">
      <c r="A9464" s="12"/>
    </row>
    <row r="9465" spans="1:1" x14ac:dyDescent="0.3">
      <c r="A9465" s="12"/>
    </row>
    <row r="9466" spans="1:1" x14ac:dyDescent="0.3">
      <c r="A9466" s="12"/>
    </row>
    <row r="9467" spans="1:1" x14ac:dyDescent="0.3">
      <c r="A9467" s="12"/>
    </row>
    <row r="9468" spans="1:1" x14ac:dyDescent="0.3">
      <c r="A9468" s="12"/>
    </row>
    <row r="9469" spans="1:1" x14ac:dyDescent="0.3">
      <c r="A9469" s="12"/>
    </row>
    <row r="9470" spans="1:1" x14ac:dyDescent="0.3">
      <c r="A9470" s="12"/>
    </row>
    <row r="9471" spans="1:1" x14ac:dyDescent="0.3">
      <c r="A9471" s="12"/>
    </row>
    <row r="9472" spans="1:1" x14ac:dyDescent="0.3">
      <c r="A9472" s="12"/>
    </row>
    <row r="9473" spans="1:1" x14ac:dyDescent="0.3">
      <c r="A9473" s="12"/>
    </row>
    <row r="9474" spans="1:1" x14ac:dyDescent="0.3">
      <c r="A9474" s="12"/>
    </row>
    <row r="9475" spans="1:1" x14ac:dyDescent="0.3">
      <c r="A9475" s="12"/>
    </row>
    <row r="9476" spans="1:1" x14ac:dyDescent="0.3">
      <c r="A9476" s="12"/>
    </row>
    <row r="9477" spans="1:1" x14ac:dyDescent="0.3">
      <c r="A9477" s="12"/>
    </row>
    <row r="9478" spans="1:1" x14ac:dyDescent="0.3">
      <c r="A9478" s="12"/>
    </row>
    <row r="9479" spans="1:1" x14ac:dyDescent="0.3">
      <c r="A9479" s="12"/>
    </row>
    <row r="9480" spans="1:1" x14ac:dyDescent="0.3">
      <c r="A9480" s="12"/>
    </row>
    <row r="9481" spans="1:1" x14ac:dyDescent="0.3">
      <c r="A9481" s="12"/>
    </row>
    <row r="9482" spans="1:1" x14ac:dyDescent="0.3">
      <c r="A9482" s="12"/>
    </row>
    <row r="9483" spans="1:1" x14ac:dyDescent="0.3">
      <c r="A9483" s="12"/>
    </row>
    <row r="9484" spans="1:1" x14ac:dyDescent="0.3">
      <c r="A9484" s="12"/>
    </row>
    <row r="9485" spans="1:1" x14ac:dyDescent="0.3">
      <c r="A9485" s="12"/>
    </row>
    <row r="9486" spans="1:1" x14ac:dyDescent="0.3">
      <c r="A9486" s="12"/>
    </row>
    <row r="9487" spans="1:1" x14ac:dyDescent="0.3">
      <c r="A9487" s="12"/>
    </row>
    <row r="9488" spans="1:1" x14ac:dyDescent="0.3">
      <c r="A9488" s="12"/>
    </row>
    <row r="9489" spans="1:1" x14ac:dyDescent="0.3">
      <c r="A9489" s="12"/>
    </row>
    <row r="9490" spans="1:1" x14ac:dyDescent="0.3">
      <c r="A9490" s="12"/>
    </row>
    <row r="9491" spans="1:1" x14ac:dyDescent="0.3">
      <c r="A9491" s="12"/>
    </row>
    <row r="9492" spans="1:1" x14ac:dyDescent="0.3">
      <c r="A9492" s="12"/>
    </row>
    <row r="9493" spans="1:1" x14ac:dyDescent="0.3">
      <c r="A9493" s="12"/>
    </row>
    <row r="9494" spans="1:1" x14ac:dyDescent="0.3">
      <c r="A9494" s="12"/>
    </row>
    <row r="9495" spans="1:1" x14ac:dyDescent="0.3">
      <c r="A9495" s="12"/>
    </row>
    <row r="9496" spans="1:1" x14ac:dyDescent="0.3">
      <c r="A9496" s="12"/>
    </row>
    <row r="9497" spans="1:1" x14ac:dyDescent="0.3">
      <c r="A9497" s="12"/>
    </row>
    <row r="9498" spans="1:1" x14ac:dyDescent="0.3">
      <c r="A9498" s="12"/>
    </row>
    <row r="9499" spans="1:1" x14ac:dyDescent="0.3">
      <c r="A9499" s="12"/>
    </row>
    <row r="9500" spans="1:1" x14ac:dyDescent="0.3">
      <c r="A9500" s="12"/>
    </row>
    <row r="9501" spans="1:1" x14ac:dyDescent="0.3">
      <c r="A9501" s="12"/>
    </row>
    <row r="9502" spans="1:1" x14ac:dyDescent="0.3">
      <c r="A9502" s="12"/>
    </row>
    <row r="9503" spans="1:1" x14ac:dyDescent="0.3">
      <c r="A9503" s="12"/>
    </row>
    <row r="9504" spans="1:1" x14ac:dyDescent="0.3">
      <c r="A9504" s="12"/>
    </row>
    <row r="9505" spans="1:1" x14ac:dyDescent="0.3">
      <c r="A9505" s="12"/>
    </row>
    <row r="9506" spans="1:1" x14ac:dyDescent="0.3">
      <c r="A9506" s="12"/>
    </row>
    <row r="9507" spans="1:1" x14ac:dyDescent="0.3">
      <c r="A9507" s="12"/>
    </row>
    <row r="9508" spans="1:1" x14ac:dyDescent="0.3">
      <c r="A9508" s="12"/>
    </row>
    <row r="9509" spans="1:1" x14ac:dyDescent="0.3">
      <c r="A9509" s="12"/>
    </row>
    <row r="9510" spans="1:1" x14ac:dyDescent="0.3">
      <c r="A9510" s="12"/>
    </row>
    <row r="9511" spans="1:1" x14ac:dyDescent="0.3">
      <c r="A9511" s="12"/>
    </row>
    <row r="9512" spans="1:1" x14ac:dyDescent="0.3">
      <c r="A9512" s="12"/>
    </row>
    <row r="9513" spans="1:1" x14ac:dyDescent="0.3">
      <c r="A9513" s="12"/>
    </row>
    <row r="9514" spans="1:1" x14ac:dyDescent="0.3">
      <c r="A9514" s="12"/>
    </row>
    <row r="9515" spans="1:1" x14ac:dyDescent="0.3">
      <c r="A9515" s="12"/>
    </row>
    <row r="9516" spans="1:1" x14ac:dyDescent="0.3">
      <c r="A9516" s="12"/>
    </row>
    <row r="9517" spans="1:1" x14ac:dyDescent="0.3">
      <c r="A9517" s="12"/>
    </row>
    <row r="9518" spans="1:1" x14ac:dyDescent="0.3">
      <c r="A9518" s="12"/>
    </row>
    <row r="9519" spans="1:1" x14ac:dyDescent="0.3">
      <c r="A9519" s="12"/>
    </row>
    <row r="9520" spans="1:1" x14ac:dyDescent="0.3">
      <c r="A9520" s="12"/>
    </row>
    <row r="9521" spans="1:1" x14ac:dyDescent="0.3">
      <c r="A9521" s="12"/>
    </row>
    <row r="9522" spans="1:1" x14ac:dyDescent="0.3">
      <c r="A9522" s="12"/>
    </row>
    <row r="9523" spans="1:1" x14ac:dyDescent="0.3">
      <c r="A9523" s="12"/>
    </row>
    <row r="9524" spans="1:1" x14ac:dyDescent="0.3">
      <c r="A9524" s="12"/>
    </row>
    <row r="9525" spans="1:1" x14ac:dyDescent="0.3">
      <c r="A9525" s="12"/>
    </row>
    <row r="9526" spans="1:1" x14ac:dyDescent="0.3">
      <c r="A9526" s="12"/>
    </row>
    <row r="9527" spans="1:1" x14ac:dyDescent="0.3">
      <c r="A9527" s="12"/>
    </row>
    <row r="9528" spans="1:1" x14ac:dyDescent="0.3">
      <c r="A9528" s="12"/>
    </row>
    <row r="9529" spans="1:1" x14ac:dyDescent="0.3">
      <c r="A9529" s="12"/>
    </row>
    <row r="9530" spans="1:1" x14ac:dyDescent="0.3">
      <c r="A9530" s="12"/>
    </row>
    <row r="9531" spans="1:1" x14ac:dyDescent="0.3">
      <c r="A9531" s="12"/>
    </row>
    <row r="9532" spans="1:1" x14ac:dyDescent="0.3">
      <c r="A9532" s="12"/>
    </row>
    <row r="9533" spans="1:1" x14ac:dyDescent="0.3">
      <c r="A9533" s="12"/>
    </row>
    <row r="9534" spans="1:1" x14ac:dyDescent="0.3">
      <c r="A9534" s="12"/>
    </row>
    <row r="9535" spans="1:1" x14ac:dyDescent="0.3">
      <c r="A9535" s="12"/>
    </row>
    <row r="9536" spans="1:1" x14ac:dyDescent="0.3">
      <c r="A9536" s="12"/>
    </row>
    <row r="9537" spans="1:1" x14ac:dyDescent="0.3">
      <c r="A9537" s="12"/>
    </row>
    <row r="9538" spans="1:1" x14ac:dyDescent="0.3">
      <c r="A9538" s="12"/>
    </row>
    <row r="9539" spans="1:1" x14ac:dyDescent="0.3">
      <c r="A9539" s="12"/>
    </row>
    <row r="9540" spans="1:1" x14ac:dyDescent="0.3">
      <c r="A9540" s="12"/>
    </row>
    <row r="9541" spans="1:1" x14ac:dyDescent="0.3">
      <c r="A9541" s="12"/>
    </row>
    <row r="9542" spans="1:1" x14ac:dyDescent="0.3">
      <c r="A9542" s="12"/>
    </row>
    <row r="9543" spans="1:1" x14ac:dyDescent="0.3">
      <c r="A9543" s="12"/>
    </row>
    <row r="9544" spans="1:1" x14ac:dyDescent="0.3">
      <c r="A9544" s="12"/>
    </row>
    <row r="9545" spans="1:1" x14ac:dyDescent="0.3">
      <c r="A9545" s="12"/>
    </row>
    <row r="9546" spans="1:1" x14ac:dyDescent="0.3">
      <c r="A9546" s="12"/>
    </row>
    <row r="9547" spans="1:1" x14ac:dyDescent="0.3">
      <c r="A9547" s="12"/>
    </row>
    <row r="9548" spans="1:1" x14ac:dyDescent="0.3">
      <c r="A9548" s="12"/>
    </row>
    <row r="9549" spans="1:1" x14ac:dyDescent="0.3">
      <c r="A9549" s="12"/>
    </row>
    <row r="9550" spans="1:1" x14ac:dyDescent="0.3">
      <c r="A9550" s="12"/>
    </row>
    <row r="9551" spans="1:1" x14ac:dyDescent="0.3">
      <c r="A9551" s="12"/>
    </row>
    <row r="9552" spans="1:1" x14ac:dyDescent="0.3">
      <c r="A9552" s="12"/>
    </row>
    <row r="9553" spans="1:1" x14ac:dyDescent="0.3">
      <c r="A9553" s="12"/>
    </row>
    <row r="9554" spans="1:1" x14ac:dyDescent="0.3">
      <c r="A9554" s="12"/>
    </row>
    <row r="9555" spans="1:1" x14ac:dyDescent="0.3">
      <c r="A9555" s="12"/>
    </row>
    <row r="9556" spans="1:1" x14ac:dyDescent="0.3">
      <c r="A9556" s="12"/>
    </row>
    <row r="9557" spans="1:1" x14ac:dyDescent="0.3">
      <c r="A9557" s="12"/>
    </row>
    <row r="9558" spans="1:1" x14ac:dyDescent="0.3">
      <c r="A9558" s="12"/>
    </row>
    <row r="9559" spans="1:1" x14ac:dyDescent="0.3">
      <c r="A9559" s="12"/>
    </row>
    <row r="9560" spans="1:1" x14ac:dyDescent="0.3">
      <c r="A9560" s="12"/>
    </row>
    <row r="9561" spans="1:1" x14ac:dyDescent="0.3">
      <c r="A9561" s="12"/>
    </row>
    <row r="9562" spans="1:1" x14ac:dyDescent="0.3">
      <c r="A9562" s="12"/>
    </row>
    <row r="9563" spans="1:1" x14ac:dyDescent="0.3">
      <c r="A9563" s="12"/>
    </row>
    <row r="9564" spans="1:1" x14ac:dyDescent="0.3">
      <c r="A9564" s="12"/>
    </row>
    <row r="9565" spans="1:1" x14ac:dyDescent="0.3">
      <c r="A9565" s="12"/>
    </row>
    <row r="9566" spans="1:1" x14ac:dyDescent="0.3">
      <c r="A9566" s="12"/>
    </row>
    <row r="9567" spans="1:1" x14ac:dyDescent="0.3">
      <c r="A9567" s="12"/>
    </row>
    <row r="9568" spans="1:1" x14ac:dyDescent="0.3">
      <c r="A9568" s="12"/>
    </row>
    <row r="9569" spans="1:1" x14ac:dyDescent="0.3">
      <c r="A9569" s="12"/>
    </row>
    <row r="9570" spans="1:1" x14ac:dyDescent="0.3">
      <c r="A9570" s="12"/>
    </row>
    <row r="9571" spans="1:1" x14ac:dyDescent="0.3">
      <c r="A9571" s="12"/>
    </row>
    <row r="9572" spans="1:1" x14ac:dyDescent="0.3">
      <c r="A9572" s="12"/>
    </row>
    <row r="9573" spans="1:1" x14ac:dyDescent="0.3">
      <c r="A9573" s="12"/>
    </row>
    <row r="9574" spans="1:1" x14ac:dyDescent="0.3">
      <c r="A9574" s="12"/>
    </row>
    <row r="9575" spans="1:1" x14ac:dyDescent="0.3">
      <c r="A9575" s="12"/>
    </row>
    <row r="9576" spans="1:1" x14ac:dyDescent="0.3">
      <c r="A9576" s="12"/>
    </row>
    <row r="9577" spans="1:1" x14ac:dyDescent="0.3">
      <c r="A9577" s="12"/>
    </row>
    <row r="9578" spans="1:1" x14ac:dyDescent="0.3">
      <c r="A9578" s="12"/>
    </row>
    <row r="9579" spans="1:1" x14ac:dyDescent="0.3">
      <c r="A9579" s="12"/>
    </row>
    <row r="9580" spans="1:1" x14ac:dyDescent="0.3">
      <c r="A9580" s="12"/>
    </row>
    <row r="9581" spans="1:1" x14ac:dyDescent="0.3">
      <c r="A9581" s="12"/>
    </row>
    <row r="9582" spans="1:1" x14ac:dyDescent="0.3">
      <c r="A9582" s="12"/>
    </row>
    <row r="9583" spans="1:1" x14ac:dyDescent="0.3">
      <c r="A9583" s="12"/>
    </row>
    <row r="9584" spans="1:1" x14ac:dyDescent="0.3">
      <c r="A9584" s="12"/>
    </row>
    <row r="9585" spans="1:1" x14ac:dyDescent="0.3">
      <c r="A9585" s="12"/>
    </row>
    <row r="9586" spans="1:1" x14ac:dyDescent="0.3">
      <c r="A9586" s="12"/>
    </row>
    <row r="9587" spans="1:1" x14ac:dyDescent="0.3">
      <c r="A9587" s="12"/>
    </row>
    <row r="9588" spans="1:1" x14ac:dyDescent="0.3">
      <c r="A9588" s="12"/>
    </row>
    <row r="9589" spans="1:1" x14ac:dyDescent="0.3">
      <c r="A9589" s="12"/>
    </row>
    <row r="9590" spans="1:1" x14ac:dyDescent="0.3">
      <c r="A9590" s="12"/>
    </row>
    <row r="9591" spans="1:1" x14ac:dyDescent="0.3">
      <c r="A9591" s="12"/>
    </row>
    <row r="9592" spans="1:1" x14ac:dyDescent="0.3">
      <c r="A9592" s="12"/>
    </row>
    <row r="9593" spans="1:1" x14ac:dyDescent="0.3">
      <c r="A9593" s="12"/>
    </row>
    <row r="9594" spans="1:1" x14ac:dyDescent="0.3">
      <c r="A9594" s="12"/>
    </row>
    <row r="9595" spans="1:1" x14ac:dyDescent="0.3">
      <c r="A9595" s="12"/>
    </row>
    <row r="9596" spans="1:1" x14ac:dyDescent="0.3">
      <c r="A9596" s="12"/>
    </row>
    <row r="9597" spans="1:1" x14ac:dyDescent="0.3">
      <c r="A9597" s="12"/>
    </row>
    <row r="9598" spans="1:1" x14ac:dyDescent="0.3">
      <c r="A9598" s="12"/>
    </row>
    <row r="9599" spans="1:1" x14ac:dyDescent="0.3">
      <c r="A9599" s="12"/>
    </row>
    <row r="9600" spans="1:1" x14ac:dyDescent="0.3">
      <c r="A9600" s="12"/>
    </row>
    <row r="9601" spans="1:1" x14ac:dyDescent="0.3">
      <c r="A9601" s="12"/>
    </row>
    <row r="9602" spans="1:1" x14ac:dyDescent="0.3">
      <c r="A9602" s="12"/>
    </row>
    <row r="9603" spans="1:1" x14ac:dyDescent="0.3">
      <c r="A9603" s="12"/>
    </row>
    <row r="9604" spans="1:1" x14ac:dyDescent="0.3">
      <c r="A9604" s="12"/>
    </row>
    <row r="9605" spans="1:1" x14ac:dyDescent="0.3">
      <c r="A9605" s="12"/>
    </row>
    <row r="9606" spans="1:1" x14ac:dyDescent="0.3">
      <c r="A9606" s="12"/>
    </row>
    <row r="9607" spans="1:1" x14ac:dyDescent="0.3">
      <c r="A9607" s="12"/>
    </row>
    <row r="9608" spans="1:1" x14ac:dyDescent="0.3">
      <c r="A9608" s="12"/>
    </row>
    <row r="9609" spans="1:1" x14ac:dyDescent="0.3">
      <c r="A9609" s="12"/>
    </row>
    <row r="9610" spans="1:1" x14ac:dyDescent="0.3">
      <c r="A9610" s="12"/>
    </row>
    <row r="9611" spans="1:1" x14ac:dyDescent="0.3">
      <c r="A9611" s="12"/>
    </row>
    <row r="9612" spans="1:1" x14ac:dyDescent="0.3">
      <c r="A9612" s="12"/>
    </row>
    <row r="9613" spans="1:1" x14ac:dyDescent="0.3">
      <c r="A9613" s="12"/>
    </row>
    <row r="9614" spans="1:1" x14ac:dyDescent="0.3">
      <c r="A9614" s="12"/>
    </row>
    <row r="9615" spans="1:1" x14ac:dyDescent="0.3">
      <c r="A9615" s="12"/>
    </row>
    <row r="9616" spans="1:1" x14ac:dyDescent="0.3">
      <c r="A9616" s="12"/>
    </row>
    <row r="9617" spans="1:1" x14ac:dyDescent="0.3">
      <c r="A9617" s="12"/>
    </row>
    <row r="9618" spans="1:1" x14ac:dyDescent="0.3">
      <c r="A9618" s="12"/>
    </row>
    <row r="9619" spans="1:1" x14ac:dyDescent="0.3">
      <c r="A9619" s="12"/>
    </row>
    <row r="9620" spans="1:1" x14ac:dyDescent="0.3">
      <c r="A9620" s="12"/>
    </row>
    <row r="9621" spans="1:1" x14ac:dyDescent="0.3">
      <c r="A9621" s="12"/>
    </row>
    <row r="9622" spans="1:1" x14ac:dyDescent="0.3">
      <c r="A9622" s="12"/>
    </row>
    <row r="9623" spans="1:1" x14ac:dyDescent="0.3">
      <c r="A9623" s="12"/>
    </row>
    <row r="9624" spans="1:1" x14ac:dyDescent="0.3">
      <c r="A9624" s="12"/>
    </row>
    <row r="9625" spans="1:1" x14ac:dyDescent="0.3">
      <c r="A9625" s="12"/>
    </row>
    <row r="9626" spans="1:1" x14ac:dyDescent="0.3">
      <c r="A9626" s="12"/>
    </row>
    <row r="9627" spans="1:1" x14ac:dyDescent="0.3">
      <c r="A9627" s="12"/>
    </row>
    <row r="9628" spans="1:1" x14ac:dyDescent="0.3">
      <c r="A9628" s="12"/>
    </row>
    <row r="9629" spans="1:1" x14ac:dyDescent="0.3">
      <c r="A9629" s="12"/>
    </row>
    <row r="9630" spans="1:1" x14ac:dyDescent="0.3">
      <c r="A9630" s="12"/>
    </row>
    <row r="9631" spans="1:1" x14ac:dyDescent="0.3">
      <c r="A9631" s="12"/>
    </row>
    <row r="9632" spans="1:1" x14ac:dyDescent="0.3">
      <c r="A9632" s="12"/>
    </row>
    <row r="9633" spans="1:1" x14ac:dyDescent="0.3">
      <c r="A9633" s="12"/>
    </row>
    <row r="9634" spans="1:1" x14ac:dyDescent="0.3">
      <c r="A9634" s="12"/>
    </row>
    <row r="9635" spans="1:1" x14ac:dyDescent="0.3">
      <c r="A9635" s="12"/>
    </row>
    <row r="9636" spans="1:1" x14ac:dyDescent="0.3">
      <c r="A9636" s="12"/>
    </row>
    <row r="9637" spans="1:1" x14ac:dyDescent="0.3">
      <c r="A9637" s="12"/>
    </row>
    <row r="9638" spans="1:1" x14ac:dyDescent="0.3">
      <c r="A9638" s="12"/>
    </row>
    <row r="9639" spans="1:1" x14ac:dyDescent="0.3">
      <c r="A9639" s="12"/>
    </row>
    <row r="9640" spans="1:1" x14ac:dyDescent="0.3">
      <c r="A9640" s="12"/>
    </row>
    <row r="9641" spans="1:1" x14ac:dyDescent="0.3">
      <c r="A9641" s="12"/>
    </row>
    <row r="9642" spans="1:1" x14ac:dyDescent="0.3">
      <c r="A9642" s="12"/>
    </row>
    <row r="9643" spans="1:1" x14ac:dyDescent="0.3">
      <c r="A9643" s="12"/>
    </row>
    <row r="9644" spans="1:1" x14ac:dyDescent="0.3">
      <c r="A9644" s="12"/>
    </row>
    <row r="9645" spans="1:1" x14ac:dyDescent="0.3">
      <c r="A9645" s="12"/>
    </row>
    <row r="9646" spans="1:1" x14ac:dyDescent="0.3">
      <c r="A9646" s="12"/>
    </row>
    <row r="9647" spans="1:1" x14ac:dyDescent="0.3">
      <c r="A9647" s="12"/>
    </row>
    <row r="9648" spans="1:1" x14ac:dyDescent="0.3">
      <c r="A9648" s="12"/>
    </row>
    <row r="9649" spans="1:1" x14ac:dyDescent="0.3">
      <c r="A9649" s="12"/>
    </row>
    <row r="9650" spans="1:1" x14ac:dyDescent="0.3">
      <c r="A9650" s="12"/>
    </row>
    <row r="9651" spans="1:1" x14ac:dyDescent="0.3">
      <c r="A9651" s="12"/>
    </row>
    <row r="9652" spans="1:1" x14ac:dyDescent="0.3">
      <c r="A9652" s="12"/>
    </row>
    <row r="9653" spans="1:1" x14ac:dyDescent="0.3">
      <c r="A9653" s="12"/>
    </row>
    <row r="9654" spans="1:1" x14ac:dyDescent="0.3">
      <c r="A9654" s="12"/>
    </row>
    <row r="9655" spans="1:1" x14ac:dyDescent="0.3">
      <c r="A9655" s="12"/>
    </row>
    <row r="9656" spans="1:1" x14ac:dyDescent="0.3">
      <c r="A9656" s="12"/>
    </row>
    <row r="9657" spans="1:1" x14ac:dyDescent="0.3">
      <c r="A9657" s="12"/>
    </row>
    <row r="9658" spans="1:1" x14ac:dyDescent="0.3">
      <c r="A9658" s="12"/>
    </row>
    <row r="9659" spans="1:1" x14ac:dyDescent="0.3">
      <c r="A9659" s="12"/>
    </row>
    <row r="9660" spans="1:1" x14ac:dyDescent="0.3">
      <c r="A9660" s="12"/>
    </row>
    <row r="9661" spans="1:1" x14ac:dyDescent="0.3">
      <c r="A9661" s="12"/>
    </row>
    <row r="9662" spans="1:1" x14ac:dyDescent="0.3">
      <c r="A9662" s="12"/>
    </row>
    <row r="9663" spans="1:1" x14ac:dyDescent="0.3">
      <c r="A9663" s="12"/>
    </row>
    <row r="9664" spans="1:1" x14ac:dyDescent="0.3">
      <c r="A9664" s="12"/>
    </row>
    <row r="9665" spans="1:1" x14ac:dyDescent="0.3">
      <c r="A9665" s="12"/>
    </row>
    <row r="9666" spans="1:1" x14ac:dyDescent="0.3">
      <c r="A9666" s="12"/>
    </row>
    <row r="9667" spans="1:1" x14ac:dyDescent="0.3">
      <c r="A9667" s="12"/>
    </row>
    <row r="9668" spans="1:1" x14ac:dyDescent="0.3">
      <c r="A9668" s="12"/>
    </row>
    <row r="9669" spans="1:1" x14ac:dyDescent="0.3">
      <c r="A9669" s="12"/>
    </row>
    <row r="9670" spans="1:1" x14ac:dyDescent="0.3">
      <c r="A9670" s="12"/>
    </row>
    <row r="9671" spans="1:1" x14ac:dyDescent="0.3">
      <c r="A9671" s="12"/>
    </row>
    <row r="9672" spans="1:1" x14ac:dyDescent="0.3">
      <c r="A9672" s="12"/>
    </row>
    <row r="9673" spans="1:1" x14ac:dyDescent="0.3">
      <c r="A9673" s="12"/>
    </row>
    <row r="9674" spans="1:1" x14ac:dyDescent="0.3">
      <c r="A9674" s="12"/>
    </row>
    <row r="9675" spans="1:1" x14ac:dyDescent="0.3">
      <c r="A9675" s="12"/>
    </row>
    <row r="9676" spans="1:1" x14ac:dyDescent="0.3">
      <c r="A9676" s="12"/>
    </row>
    <row r="9677" spans="1:1" x14ac:dyDescent="0.3">
      <c r="A9677" s="12"/>
    </row>
    <row r="9678" spans="1:1" x14ac:dyDescent="0.3">
      <c r="A9678" s="12"/>
    </row>
    <row r="9679" spans="1:1" x14ac:dyDescent="0.3">
      <c r="A9679" s="12"/>
    </row>
    <row r="9680" spans="1:1" x14ac:dyDescent="0.3">
      <c r="A9680" s="12"/>
    </row>
    <row r="9681" spans="1:1" x14ac:dyDescent="0.3">
      <c r="A9681" s="12"/>
    </row>
    <row r="9682" spans="1:1" x14ac:dyDescent="0.3">
      <c r="A9682" s="12"/>
    </row>
    <row r="9683" spans="1:1" x14ac:dyDescent="0.3">
      <c r="A9683" s="12"/>
    </row>
    <row r="9684" spans="1:1" x14ac:dyDescent="0.3">
      <c r="A9684" s="12"/>
    </row>
    <row r="9685" spans="1:1" x14ac:dyDescent="0.3">
      <c r="A9685" s="12"/>
    </row>
    <row r="9686" spans="1:1" x14ac:dyDescent="0.3">
      <c r="A9686" s="12"/>
    </row>
    <row r="9687" spans="1:1" x14ac:dyDescent="0.3">
      <c r="A9687" s="12"/>
    </row>
    <row r="9688" spans="1:1" x14ac:dyDescent="0.3">
      <c r="A9688" s="12"/>
    </row>
    <row r="9689" spans="1:1" x14ac:dyDescent="0.3">
      <c r="A9689" s="12"/>
    </row>
    <row r="9690" spans="1:1" x14ac:dyDescent="0.3">
      <c r="A9690" s="12"/>
    </row>
    <row r="9691" spans="1:1" x14ac:dyDescent="0.3">
      <c r="A9691" s="12"/>
    </row>
    <row r="9692" spans="1:1" x14ac:dyDescent="0.3">
      <c r="A9692" s="12"/>
    </row>
    <row r="9693" spans="1:1" x14ac:dyDescent="0.3">
      <c r="A9693" s="12"/>
    </row>
    <row r="9694" spans="1:1" x14ac:dyDescent="0.3">
      <c r="A9694" s="12"/>
    </row>
    <row r="9695" spans="1:1" x14ac:dyDescent="0.3">
      <c r="A9695" s="12"/>
    </row>
    <row r="9696" spans="1:1" x14ac:dyDescent="0.3">
      <c r="A9696" s="12"/>
    </row>
    <row r="9697" spans="1:1" x14ac:dyDescent="0.3">
      <c r="A9697" s="12"/>
    </row>
    <row r="9698" spans="1:1" x14ac:dyDescent="0.3">
      <c r="A9698" s="12"/>
    </row>
    <row r="9699" spans="1:1" x14ac:dyDescent="0.3">
      <c r="A9699" s="12"/>
    </row>
    <row r="9700" spans="1:1" x14ac:dyDescent="0.3">
      <c r="A9700" s="12"/>
    </row>
    <row r="9701" spans="1:1" x14ac:dyDescent="0.3">
      <c r="A9701" s="12"/>
    </row>
    <row r="9702" spans="1:1" x14ac:dyDescent="0.3">
      <c r="A9702" s="12"/>
    </row>
    <row r="9703" spans="1:1" x14ac:dyDescent="0.3">
      <c r="A9703" s="12"/>
    </row>
    <row r="9704" spans="1:1" x14ac:dyDescent="0.3">
      <c r="A9704" s="12"/>
    </row>
    <row r="9705" spans="1:1" x14ac:dyDescent="0.3">
      <c r="A9705" s="12"/>
    </row>
    <row r="9706" spans="1:1" x14ac:dyDescent="0.3">
      <c r="A9706" s="12"/>
    </row>
    <row r="9707" spans="1:1" x14ac:dyDescent="0.3">
      <c r="A9707" s="12"/>
    </row>
    <row r="9708" spans="1:1" x14ac:dyDescent="0.3">
      <c r="A9708" s="12"/>
    </row>
    <row r="9709" spans="1:1" x14ac:dyDescent="0.3">
      <c r="A9709" s="12"/>
    </row>
    <row r="9710" spans="1:1" x14ac:dyDescent="0.3">
      <c r="A9710" s="12"/>
    </row>
    <row r="9711" spans="1:1" x14ac:dyDescent="0.3">
      <c r="A9711" s="12"/>
    </row>
    <row r="9712" spans="1:1" x14ac:dyDescent="0.3">
      <c r="A9712" s="12"/>
    </row>
    <row r="9713" spans="1:1" x14ac:dyDescent="0.3">
      <c r="A9713" s="12"/>
    </row>
    <row r="9714" spans="1:1" x14ac:dyDescent="0.3">
      <c r="A9714" s="12"/>
    </row>
    <row r="9715" spans="1:1" x14ac:dyDescent="0.3">
      <c r="A9715" s="12"/>
    </row>
    <row r="9716" spans="1:1" x14ac:dyDescent="0.3">
      <c r="A9716" s="12"/>
    </row>
    <row r="9717" spans="1:1" x14ac:dyDescent="0.3">
      <c r="A9717" s="12"/>
    </row>
    <row r="9718" spans="1:1" x14ac:dyDescent="0.3">
      <c r="A9718" s="12"/>
    </row>
    <row r="9719" spans="1:1" x14ac:dyDescent="0.3">
      <c r="A9719" s="12"/>
    </row>
    <row r="9720" spans="1:1" x14ac:dyDescent="0.3">
      <c r="A9720" s="12"/>
    </row>
    <row r="9721" spans="1:1" x14ac:dyDescent="0.3">
      <c r="A9721" s="12"/>
    </row>
    <row r="9722" spans="1:1" x14ac:dyDescent="0.3">
      <c r="A9722" s="12"/>
    </row>
    <row r="9723" spans="1:1" x14ac:dyDescent="0.3">
      <c r="A9723" s="12"/>
    </row>
    <row r="9724" spans="1:1" x14ac:dyDescent="0.3">
      <c r="A9724" s="12"/>
    </row>
    <row r="9725" spans="1:1" x14ac:dyDescent="0.3">
      <c r="A9725" s="12"/>
    </row>
    <row r="9726" spans="1:1" x14ac:dyDescent="0.3">
      <c r="A9726" s="12"/>
    </row>
    <row r="9727" spans="1:1" x14ac:dyDescent="0.3">
      <c r="A9727" s="12"/>
    </row>
    <row r="9728" spans="1:1" x14ac:dyDescent="0.3">
      <c r="A9728" s="12"/>
    </row>
    <row r="9729" spans="1:1" x14ac:dyDescent="0.3">
      <c r="A9729" s="12"/>
    </row>
    <row r="9730" spans="1:1" x14ac:dyDescent="0.3">
      <c r="A9730" s="12"/>
    </row>
    <row r="9731" spans="1:1" x14ac:dyDescent="0.3">
      <c r="A9731" s="12"/>
    </row>
    <row r="9732" spans="1:1" x14ac:dyDescent="0.3">
      <c r="A9732" s="12"/>
    </row>
    <row r="9733" spans="1:1" x14ac:dyDescent="0.3">
      <c r="A9733" s="12"/>
    </row>
    <row r="9734" spans="1:1" x14ac:dyDescent="0.3">
      <c r="A9734" s="12"/>
    </row>
    <row r="9735" spans="1:1" x14ac:dyDescent="0.3">
      <c r="A9735" s="12"/>
    </row>
    <row r="9736" spans="1:1" x14ac:dyDescent="0.3">
      <c r="A9736" s="12"/>
    </row>
    <row r="9737" spans="1:1" x14ac:dyDescent="0.3">
      <c r="A9737" s="12"/>
    </row>
    <row r="9738" spans="1:1" x14ac:dyDescent="0.3">
      <c r="A9738" s="12"/>
    </row>
    <row r="9739" spans="1:1" x14ac:dyDescent="0.3">
      <c r="A9739" s="12"/>
    </row>
    <row r="9740" spans="1:1" x14ac:dyDescent="0.3">
      <c r="A9740" s="12"/>
    </row>
    <row r="9741" spans="1:1" x14ac:dyDescent="0.3">
      <c r="A9741" s="12"/>
    </row>
    <row r="9742" spans="1:1" x14ac:dyDescent="0.3">
      <c r="A9742" s="12"/>
    </row>
    <row r="9743" spans="1:1" x14ac:dyDescent="0.3">
      <c r="A9743" s="12"/>
    </row>
    <row r="9744" spans="1:1" x14ac:dyDescent="0.3">
      <c r="A9744" s="12"/>
    </row>
    <row r="9745" spans="1:1" x14ac:dyDescent="0.3">
      <c r="A9745" s="12"/>
    </row>
    <row r="9746" spans="1:1" x14ac:dyDescent="0.3">
      <c r="A9746" s="12"/>
    </row>
    <row r="9747" spans="1:1" x14ac:dyDescent="0.3">
      <c r="A9747" s="12"/>
    </row>
    <row r="9748" spans="1:1" x14ac:dyDescent="0.3">
      <c r="A9748" s="12"/>
    </row>
    <row r="9749" spans="1:1" x14ac:dyDescent="0.3">
      <c r="A9749" s="12"/>
    </row>
    <row r="9750" spans="1:1" x14ac:dyDescent="0.3">
      <c r="A9750" s="12"/>
    </row>
    <row r="9751" spans="1:1" x14ac:dyDescent="0.3">
      <c r="A9751" s="12"/>
    </row>
    <row r="9752" spans="1:1" x14ac:dyDescent="0.3">
      <c r="A9752" s="12"/>
    </row>
    <row r="9753" spans="1:1" x14ac:dyDescent="0.3">
      <c r="A9753" s="12"/>
    </row>
    <row r="9754" spans="1:1" x14ac:dyDescent="0.3">
      <c r="A9754" s="12"/>
    </row>
    <row r="9755" spans="1:1" x14ac:dyDescent="0.3">
      <c r="A9755" s="12"/>
    </row>
    <row r="9756" spans="1:1" x14ac:dyDescent="0.3">
      <c r="A9756" s="12"/>
    </row>
    <row r="9757" spans="1:1" x14ac:dyDescent="0.3">
      <c r="A9757" s="12"/>
    </row>
    <row r="9758" spans="1:1" x14ac:dyDescent="0.3">
      <c r="A9758" s="12"/>
    </row>
    <row r="9759" spans="1:1" x14ac:dyDescent="0.3">
      <c r="A9759" s="12"/>
    </row>
    <row r="9760" spans="1:1" x14ac:dyDescent="0.3">
      <c r="A9760" s="12"/>
    </row>
    <row r="9761" spans="1:1" x14ac:dyDescent="0.3">
      <c r="A9761" s="12"/>
    </row>
    <row r="9762" spans="1:1" x14ac:dyDescent="0.3">
      <c r="A9762" s="12"/>
    </row>
    <row r="9763" spans="1:1" x14ac:dyDescent="0.3">
      <c r="A9763" s="12"/>
    </row>
    <row r="9764" spans="1:1" x14ac:dyDescent="0.3">
      <c r="A9764" s="12"/>
    </row>
    <row r="9765" spans="1:1" x14ac:dyDescent="0.3">
      <c r="A9765" s="12"/>
    </row>
    <row r="9766" spans="1:1" x14ac:dyDescent="0.3">
      <c r="A9766" s="12"/>
    </row>
    <row r="9767" spans="1:1" x14ac:dyDescent="0.3">
      <c r="A9767" s="12"/>
    </row>
    <row r="9768" spans="1:1" x14ac:dyDescent="0.3">
      <c r="A9768" s="12"/>
    </row>
    <row r="9769" spans="1:1" x14ac:dyDescent="0.3">
      <c r="A9769" s="12"/>
    </row>
    <row r="9770" spans="1:1" x14ac:dyDescent="0.3">
      <c r="A9770" s="12"/>
    </row>
    <row r="9771" spans="1:1" x14ac:dyDescent="0.3">
      <c r="A9771" s="12"/>
    </row>
    <row r="9772" spans="1:1" x14ac:dyDescent="0.3">
      <c r="A9772" s="12"/>
    </row>
    <row r="9773" spans="1:1" x14ac:dyDescent="0.3">
      <c r="A9773" s="12"/>
    </row>
    <row r="9774" spans="1:1" x14ac:dyDescent="0.3">
      <c r="A9774" s="12"/>
    </row>
    <row r="9775" spans="1:1" x14ac:dyDescent="0.3">
      <c r="A9775" s="12"/>
    </row>
    <row r="9776" spans="1:1" x14ac:dyDescent="0.3">
      <c r="A9776" s="12"/>
    </row>
    <row r="9777" spans="1:1" x14ac:dyDescent="0.3">
      <c r="A9777" s="12"/>
    </row>
    <row r="9778" spans="1:1" x14ac:dyDescent="0.3">
      <c r="A9778" s="12"/>
    </row>
    <row r="9779" spans="1:1" x14ac:dyDescent="0.3">
      <c r="A9779" s="12"/>
    </row>
    <row r="9780" spans="1:1" x14ac:dyDescent="0.3">
      <c r="A9780" s="12"/>
    </row>
    <row r="9781" spans="1:1" x14ac:dyDescent="0.3">
      <c r="A9781" s="12"/>
    </row>
    <row r="9782" spans="1:1" x14ac:dyDescent="0.3">
      <c r="A9782" s="12"/>
    </row>
    <row r="9783" spans="1:1" x14ac:dyDescent="0.3">
      <c r="A9783" s="12"/>
    </row>
    <row r="9784" spans="1:1" x14ac:dyDescent="0.3">
      <c r="A9784" s="12"/>
    </row>
    <row r="9785" spans="1:1" x14ac:dyDescent="0.3">
      <c r="A9785" s="12"/>
    </row>
    <row r="9786" spans="1:1" x14ac:dyDescent="0.3">
      <c r="A9786" s="12"/>
    </row>
    <row r="9787" spans="1:1" x14ac:dyDescent="0.3">
      <c r="A9787" s="12"/>
    </row>
    <row r="9788" spans="1:1" x14ac:dyDescent="0.3">
      <c r="A9788" s="12"/>
    </row>
    <row r="9789" spans="1:1" x14ac:dyDescent="0.3">
      <c r="A9789" s="12"/>
    </row>
    <row r="9790" spans="1:1" x14ac:dyDescent="0.3">
      <c r="A9790" s="12"/>
    </row>
    <row r="9791" spans="1:1" x14ac:dyDescent="0.3">
      <c r="A9791" s="12"/>
    </row>
    <row r="9792" spans="1:1" x14ac:dyDescent="0.3">
      <c r="A9792" s="12"/>
    </row>
    <row r="9793" spans="1:1" x14ac:dyDescent="0.3">
      <c r="A9793" s="12"/>
    </row>
    <row r="9794" spans="1:1" x14ac:dyDescent="0.3">
      <c r="A9794" s="12"/>
    </row>
    <row r="9795" spans="1:1" x14ac:dyDescent="0.3">
      <c r="A9795" s="12"/>
    </row>
    <row r="9796" spans="1:1" x14ac:dyDescent="0.3">
      <c r="A9796" s="12"/>
    </row>
    <row r="9797" spans="1:1" x14ac:dyDescent="0.3">
      <c r="A9797" s="12"/>
    </row>
    <row r="9798" spans="1:1" x14ac:dyDescent="0.3">
      <c r="A9798" s="12"/>
    </row>
    <row r="9799" spans="1:1" x14ac:dyDescent="0.3">
      <c r="A9799" s="12"/>
    </row>
    <row r="9800" spans="1:1" x14ac:dyDescent="0.3">
      <c r="A9800" s="12"/>
    </row>
    <row r="9801" spans="1:1" x14ac:dyDescent="0.3">
      <c r="A9801" s="12"/>
    </row>
    <row r="9802" spans="1:1" x14ac:dyDescent="0.3">
      <c r="A9802" s="12"/>
    </row>
    <row r="9803" spans="1:1" x14ac:dyDescent="0.3">
      <c r="A9803" s="12"/>
    </row>
    <row r="9804" spans="1:1" x14ac:dyDescent="0.3">
      <c r="A9804" s="12"/>
    </row>
    <row r="9805" spans="1:1" x14ac:dyDescent="0.3">
      <c r="A9805" s="12"/>
    </row>
    <row r="9806" spans="1:1" x14ac:dyDescent="0.3">
      <c r="A9806" s="12"/>
    </row>
    <row r="9807" spans="1:1" x14ac:dyDescent="0.3">
      <c r="A9807" s="12"/>
    </row>
    <row r="9808" spans="1:1" x14ac:dyDescent="0.3">
      <c r="A9808" s="12"/>
    </row>
    <row r="9809" spans="1:1" x14ac:dyDescent="0.3">
      <c r="A9809" s="12"/>
    </row>
    <row r="9810" spans="1:1" x14ac:dyDescent="0.3">
      <c r="A9810" s="12"/>
    </row>
    <row r="9811" spans="1:1" x14ac:dyDescent="0.3">
      <c r="A9811" s="12"/>
    </row>
    <row r="9812" spans="1:1" x14ac:dyDescent="0.3">
      <c r="A9812" s="12"/>
    </row>
    <row r="9813" spans="1:1" x14ac:dyDescent="0.3">
      <c r="A9813" s="12"/>
    </row>
    <row r="9814" spans="1:1" x14ac:dyDescent="0.3">
      <c r="A9814" s="12"/>
    </row>
    <row r="9815" spans="1:1" x14ac:dyDescent="0.3">
      <c r="A9815" s="12"/>
    </row>
    <row r="9816" spans="1:1" x14ac:dyDescent="0.3">
      <c r="A9816" s="12"/>
    </row>
    <row r="9817" spans="1:1" x14ac:dyDescent="0.3">
      <c r="A9817" s="12"/>
    </row>
    <row r="9818" spans="1:1" x14ac:dyDescent="0.3">
      <c r="A9818" s="12"/>
    </row>
    <row r="9819" spans="1:1" x14ac:dyDescent="0.3">
      <c r="A9819" s="12"/>
    </row>
    <row r="9820" spans="1:1" x14ac:dyDescent="0.3">
      <c r="A9820" s="12"/>
    </row>
    <row r="9821" spans="1:1" x14ac:dyDescent="0.3">
      <c r="A9821" s="12"/>
    </row>
    <row r="9822" spans="1:1" x14ac:dyDescent="0.3">
      <c r="A9822" s="12"/>
    </row>
    <row r="9823" spans="1:1" x14ac:dyDescent="0.3">
      <c r="A9823" s="12"/>
    </row>
    <row r="9824" spans="1:1" x14ac:dyDescent="0.3">
      <c r="A9824" s="12"/>
    </row>
    <row r="9825" spans="1:1" x14ac:dyDescent="0.3">
      <c r="A9825" s="12"/>
    </row>
    <row r="9826" spans="1:1" x14ac:dyDescent="0.3">
      <c r="A9826" s="12"/>
    </row>
    <row r="9827" spans="1:1" x14ac:dyDescent="0.3">
      <c r="A9827" s="12"/>
    </row>
    <row r="9828" spans="1:1" x14ac:dyDescent="0.3">
      <c r="A9828" s="12"/>
    </row>
    <row r="9829" spans="1:1" x14ac:dyDescent="0.3">
      <c r="A9829" s="12"/>
    </row>
    <row r="9830" spans="1:1" x14ac:dyDescent="0.3">
      <c r="A9830" s="12"/>
    </row>
    <row r="9831" spans="1:1" x14ac:dyDescent="0.3">
      <c r="A9831" s="12"/>
    </row>
    <row r="9832" spans="1:1" x14ac:dyDescent="0.3">
      <c r="A9832" s="12"/>
    </row>
    <row r="9833" spans="1:1" x14ac:dyDescent="0.3">
      <c r="A9833" s="12"/>
    </row>
    <row r="9834" spans="1:1" x14ac:dyDescent="0.3">
      <c r="A9834" s="12"/>
    </row>
    <row r="9835" spans="1:1" x14ac:dyDescent="0.3">
      <c r="A9835" s="12"/>
    </row>
    <row r="9836" spans="1:1" x14ac:dyDescent="0.3">
      <c r="A9836" s="12"/>
    </row>
    <row r="9837" spans="1:1" x14ac:dyDescent="0.3">
      <c r="A9837" s="12"/>
    </row>
    <row r="9838" spans="1:1" x14ac:dyDescent="0.3">
      <c r="A9838" s="12"/>
    </row>
    <row r="9839" spans="1:1" x14ac:dyDescent="0.3">
      <c r="A9839" s="12"/>
    </row>
    <row r="9840" spans="1:1" x14ac:dyDescent="0.3">
      <c r="A9840" s="12"/>
    </row>
    <row r="9841" spans="1:1" x14ac:dyDescent="0.3">
      <c r="A9841" s="12"/>
    </row>
    <row r="9842" spans="1:1" x14ac:dyDescent="0.3">
      <c r="A9842" s="12"/>
    </row>
    <row r="9843" spans="1:1" x14ac:dyDescent="0.3">
      <c r="A9843" s="12"/>
    </row>
    <row r="9844" spans="1:1" x14ac:dyDescent="0.3">
      <c r="A9844" s="12"/>
    </row>
    <row r="9845" spans="1:1" x14ac:dyDescent="0.3">
      <c r="A9845" s="12"/>
    </row>
    <row r="9846" spans="1:1" x14ac:dyDescent="0.3">
      <c r="A9846" s="12"/>
    </row>
    <row r="9847" spans="1:1" x14ac:dyDescent="0.3">
      <c r="A9847" s="12"/>
    </row>
    <row r="9848" spans="1:1" x14ac:dyDescent="0.3">
      <c r="A9848" s="12"/>
    </row>
    <row r="9849" spans="1:1" x14ac:dyDescent="0.3">
      <c r="A9849" s="12"/>
    </row>
    <row r="9850" spans="1:1" x14ac:dyDescent="0.3">
      <c r="A9850" s="12"/>
    </row>
    <row r="9851" spans="1:1" x14ac:dyDescent="0.3">
      <c r="A9851" s="12"/>
    </row>
    <row r="9852" spans="1:1" x14ac:dyDescent="0.3">
      <c r="A9852" s="12"/>
    </row>
    <row r="9853" spans="1:1" x14ac:dyDescent="0.3">
      <c r="A9853" s="12"/>
    </row>
    <row r="9854" spans="1:1" x14ac:dyDescent="0.3">
      <c r="A9854" s="12"/>
    </row>
    <row r="9855" spans="1:1" x14ac:dyDescent="0.3">
      <c r="A9855" s="12"/>
    </row>
    <row r="9856" spans="1:1" x14ac:dyDescent="0.3">
      <c r="A9856" s="12"/>
    </row>
    <row r="9857" spans="1:1" x14ac:dyDescent="0.3">
      <c r="A9857" s="12"/>
    </row>
    <row r="9858" spans="1:1" x14ac:dyDescent="0.3">
      <c r="A9858" s="12"/>
    </row>
    <row r="9859" spans="1:1" x14ac:dyDescent="0.3">
      <c r="A9859" s="12"/>
    </row>
    <row r="9860" spans="1:1" x14ac:dyDescent="0.3">
      <c r="A9860" s="12"/>
    </row>
    <row r="9861" spans="1:1" x14ac:dyDescent="0.3">
      <c r="A9861" s="12"/>
    </row>
    <row r="9862" spans="1:1" x14ac:dyDescent="0.3">
      <c r="A9862" s="12"/>
    </row>
    <row r="9863" spans="1:1" x14ac:dyDescent="0.3">
      <c r="A9863" s="12"/>
    </row>
    <row r="9864" spans="1:1" x14ac:dyDescent="0.3">
      <c r="A9864" s="12"/>
    </row>
    <row r="9865" spans="1:1" x14ac:dyDescent="0.3">
      <c r="A9865" s="12"/>
    </row>
    <row r="9866" spans="1:1" x14ac:dyDescent="0.3">
      <c r="A9866" s="12"/>
    </row>
    <row r="9867" spans="1:1" x14ac:dyDescent="0.3">
      <c r="A9867" s="12"/>
    </row>
    <row r="9868" spans="1:1" x14ac:dyDescent="0.3">
      <c r="A9868" s="12"/>
    </row>
    <row r="9869" spans="1:1" x14ac:dyDescent="0.3">
      <c r="A9869" s="12"/>
    </row>
    <row r="9870" spans="1:1" x14ac:dyDescent="0.3">
      <c r="A9870" s="12"/>
    </row>
    <row r="9871" spans="1:1" x14ac:dyDescent="0.3">
      <c r="A9871" s="12"/>
    </row>
    <row r="9872" spans="1:1" x14ac:dyDescent="0.3">
      <c r="A9872" s="12"/>
    </row>
    <row r="9873" spans="1:1" x14ac:dyDescent="0.3">
      <c r="A9873" s="12"/>
    </row>
    <row r="9874" spans="1:1" x14ac:dyDescent="0.3">
      <c r="A9874" s="12"/>
    </row>
    <row r="9875" spans="1:1" x14ac:dyDescent="0.3">
      <c r="A9875" s="12"/>
    </row>
    <row r="9876" spans="1:1" x14ac:dyDescent="0.3">
      <c r="A9876" s="12"/>
    </row>
    <row r="9877" spans="1:1" x14ac:dyDescent="0.3">
      <c r="A9877" s="12"/>
    </row>
    <row r="9878" spans="1:1" x14ac:dyDescent="0.3">
      <c r="A9878" s="12"/>
    </row>
    <row r="9879" spans="1:1" x14ac:dyDescent="0.3">
      <c r="A9879" s="12"/>
    </row>
    <row r="9880" spans="1:1" x14ac:dyDescent="0.3">
      <c r="A9880" s="12"/>
    </row>
    <row r="9881" spans="1:1" x14ac:dyDescent="0.3">
      <c r="A9881" s="12"/>
    </row>
    <row r="9882" spans="1:1" x14ac:dyDescent="0.3">
      <c r="A9882" s="12"/>
    </row>
    <row r="9883" spans="1:1" x14ac:dyDescent="0.3">
      <c r="A9883" s="12"/>
    </row>
    <row r="9884" spans="1:1" x14ac:dyDescent="0.3">
      <c r="A9884" s="12"/>
    </row>
    <row r="9885" spans="1:1" x14ac:dyDescent="0.3">
      <c r="A9885" s="12"/>
    </row>
    <row r="9886" spans="1:1" x14ac:dyDescent="0.3">
      <c r="A9886" s="12"/>
    </row>
    <row r="9887" spans="1:1" x14ac:dyDescent="0.3">
      <c r="A9887" s="12"/>
    </row>
    <row r="9888" spans="1:1" x14ac:dyDescent="0.3">
      <c r="A9888" s="12"/>
    </row>
    <row r="9889" spans="1:1" x14ac:dyDescent="0.3">
      <c r="A9889" s="12"/>
    </row>
    <row r="9890" spans="1:1" x14ac:dyDescent="0.3">
      <c r="A9890" s="12"/>
    </row>
    <row r="9891" spans="1:1" x14ac:dyDescent="0.3">
      <c r="A9891" s="12"/>
    </row>
    <row r="9892" spans="1:1" x14ac:dyDescent="0.3">
      <c r="A9892" s="12"/>
    </row>
    <row r="9893" spans="1:1" x14ac:dyDescent="0.3">
      <c r="A9893" s="12"/>
    </row>
    <row r="9894" spans="1:1" x14ac:dyDescent="0.3">
      <c r="A9894" s="12"/>
    </row>
    <row r="9895" spans="1:1" x14ac:dyDescent="0.3">
      <c r="A9895" s="12"/>
    </row>
    <row r="9896" spans="1:1" x14ac:dyDescent="0.3">
      <c r="A9896" s="12"/>
    </row>
    <row r="9897" spans="1:1" x14ac:dyDescent="0.3">
      <c r="A9897" s="12"/>
    </row>
    <row r="9898" spans="1:1" x14ac:dyDescent="0.3">
      <c r="A9898" s="12"/>
    </row>
    <row r="9899" spans="1:1" x14ac:dyDescent="0.3">
      <c r="A9899" s="12"/>
    </row>
    <row r="9900" spans="1:1" x14ac:dyDescent="0.3">
      <c r="A9900" s="12"/>
    </row>
    <row r="9901" spans="1:1" x14ac:dyDescent="0.3">
      <c r="A9901" s="12"/>
    </row>
    <row r="9902" spans="1:1" x14ac:dyDescent="0.3">
      <c r="A9902" s="12"/>
    </row>
    <row r="9903" spans="1:1" x14ac:dyDescent="0.3">
      <c r="A9903" s="12"/>
    </row>
    <row r="9904" spans="1:1" x14ac:dyDescent="0.3">
      <c r="A9904" s="12"/>
    </row>
    <row r="9905" spans="1:1" x14ac:dyDescent="0.3">
      <c r="A9905" s="12"/>
    </row>
    <row r="9906" spans="1:1" x14ac:dyDescent="0.3">
      <c r="A9906" s="12"/>
    </row>
    <row r="9907" spans="1:1" x14ac:dyDescent="0.3">
      <c r="A9907" s="12"/>
    </row>
    <row r="9908" spans="1:1" x14ac:dyDescent="0.3">
      <c r="A9908" s="12"/>
    </row>
    <row r="9909" spans="1:1" x14ac:dyDescent="0.3">
      <c r="A9909" s="12"/>
    </row>
    <row r="9910" spans="1:1" x14ac:dyDescent="0.3">
      <c r="A9910" s="12"/>
    </row>
    <row r="9911" spans="1:1" x14ac:dyDescent="0.3">
      <c r="A9911" s="12"/>
    </row>
    <row r="9912" spans="1:1" x14ac:dyDescent="0.3">
      <c r="A9912" s="12"/>
    </row>
    <row r="9913" spans="1:1" x14ac:dyDescent="0.3">
      <c r="A9913" s="12"/>
    </row>
    <row r="9914" spans="1:1" x14ac:dyDescent="0.3">
      <c r="A9914" s="12"/>
    </row>
    <row r="9915" spans="1:1" x14ac:dyDescent="0.3">
      <c r="A9915" s="12"/>
    </row>
    <row r="9916" spans="1:1" x14ac:dyDescent="0.3">
      <c r="A9916" s="12"/>
    </row>
    <row r="9917" spans="1:1" x14ac:dyDescent="0.3">
      <c r="A9917" s="12"/>
    </row>
    <row r="9918" spans="1:1" x14ac:dyDescent="0.3">
      <c r="A9918" s="12"/>
    </row>
    <row r="9919" spans="1:1" x14ac:dyDescent="0.3">
      <c r="A9919" s="12"/>
    </row>
    <row r="9920" spans="1:1" x14ac:dyDescent="0.3">
      <c r="A9920" s="12"/>
    </row>
    <row r="9921" spans="1:1" x14ac:dyDescent="0.3">
      <c r="A9921" s="12"/>
    </row>
    <row r="9922" spans="1:1" x14ac:dyDescent="0.3">
      <c r="A9922" s="12"/>
    </row>
    <row r="9923" spans="1:1" x14ac:dyDescent="0.3">
      <c r="A9923" s="12"/>
    </row>
    <row r="9924" spans="1:1" x14ac:dyDescent="0.3">
      <c r="A9924" s="12"/>
    </row>
    <row r="9925" spans="1:1" x14ac:dyDescent="0.3">
      <c r="A9925" s="12"/>
    </row>
    <row r="9926" spans="1:1" x14ac:dyDescent="0.3">
      <c r="A9926" s="12"/>
    </row>
    <row r="9927" spans="1:1" x14ac:dyDescent="0.3">
      <c r="A9927" s="12"/>
    </row>
    <row r="9928" spans="1:1" x14ac:dyDescent="0.3">
      <c r="A9928" s="12"/>
    </row>
    <row r="9929" spans="1:1" x14ac:dyDescent="0.3">
      <c r="A9929" s="12"/>
    </row>
    <row r="9930" spans="1:1" x14ac:dyDescent="0.3">
      <c r="A9930" s="12"/>
    </row>
    <row r="9931" spans="1:1" x14ac:dyDescent="0.3">
      <c r="A9931" s="12"/>
    </row>
    <row r="9932" spans="1:1" x14ac:dyDescent="0.3">
      <c r="A9932" s="12"/>
    </row>
    <row r="9933" spans="1:1" x14ac:dyDescent="0.3">
      <c r="A9933" s="12"/>
    </row>
    <row r="9934" spans="1:1" x14ac:dyDescent="0.3">
      <c r="A9934" s="12"/>
    </row>
    <row r="9935" spans="1:1" x14ac:dyDescent="0.3">
      <c r="A9935" s="12"/>
    </row>
    <row r="9936" spans="1:1" x14ac:dyDescent="0.3">
      <c r="A9936" s="12"/>
    </row>
    <row r="9937" spans="1:1" x14ac:dyDescent="0.3">
      <c r="A9937" s="12"/>
    </row>
    <row r="9938" spans="1:1" x14ac:dyDescent="0.3">
      <c r="A9938" s="12"/>
    </row>
    <row r="9939" spans="1:1" x14ac:dyDescent="0.3">
      <c r="A9939" s="12"/>
    </row>
    <row r="9940" spans="1:1" x14ac:dyDescent="0.3">
      <c r="A9940" s="12"/>
    </row>
    <row r="9941" spans="1:1" x14ac:dyDescent="0.3">
      <c r="A9941" s="12"/>
    </row>
    <row r="9942" spans="1:1" x14ac:dyDescent="0.3">
      <c r="A9942" s="12"/>
    </row>
    <row r="9943" spans="1:1" x14ac:dyDescent="0.3">
      <c r="A9943" s="12"/>
    </row>
    <row r="9944" spans="1:1" x14ac:dyDescent="0.3">
      <c r="A9944" s="12"/>
    </row>
    <row r="9945" spans="1:1" x14ac:dyDescent="0.3">
      <c r="A9945" s="12"/>
    </row>
    <row r="9946" spans="1:1" x14ac:dyDescent="0.3">
      <c r="A9946" s="12"/>
    </row>
    <row r="9947" spans="1:1" x14ac:dyDescent="0.3">
      <c r="A9947" s="12"/>
    </row>
    <row r="9948" spans="1:1" x14ac:dyDescent="0.3">
      <c r="A9948" s="12"/>
    </row>
    <row r="9949" spans="1:1" x14ac:dyDescent="0.3">
      <c r="A9949" s="12"/>
    </row>
    <row r="9950" spans="1:1" x14ac:dyDescent="0.3">
      <c r="A9950" s="12"/>
    </row>
    <row r="9951" spans="1:1" x14ac:dyDescent="0.3">
      <c r="A9951" s="12"/>
    </row>
    <row r="9952" spans="1:1" x14ac:dyDescent="0.3">
      <c r="A9952" s="12"/>
    </row>
    <row r="9953" spans="1:1" x14ac:dyDescent="0.3">
      <c r="A9953" s="12"/>
    </row>
    <row r="9954" spans="1:1" x14ac:dyDescent="0.3">
      <c r="A9954" s="12"/>
    </row>
    <row r="9955" spans="1:1" x14ac:dyDescent="0.3">
      <c r="A9955" s="12"/>
    </row>
    <row r="9956" spans="1:1" x14ac:dyDescent="0.3">
      <c r="A9956" s="12"/>
    </row>
    <row r="9957" spans="1:1" x14ac:dyDescent="0.3">
      <c r="A9957" s="12"/>
    </row>
    <row r="9958" spans="1:1" x14ac:dyDescent="0.3">
      <c r="A9958" s="12"/>
    </row>
    <row r="9959" spans="1:1" x14ac:dyDescent="0.3">
      <c r="A9959" s="12"/>
    </row>
    <row r="9960" spans="1:1" x14ac:dyDescent="0.3">
      <c r="A9960" s="12"/>
    </row>
    <row r="9961" spans="1:1" x14ac:dyDescent="0.3">
      <c r="A9961" s="12"/>
    </row>
    <row r="9962" spans="1:1" x14ac:dyDescent="0.3">
      <c r="A9962" s="12"/>
    </row>
    <row r="9963" spans="1:1" x14ac:dyDescent="0.3">
      <c r="A9963" s="12"/>
    </row>
    <row r="9964" spans="1:1" x14ac:dyDescent="0.3">
      <c r="A9964" s="12"/>
    </row>
    <row r="9965" spans="1:1" x14ac:dyDescent="0.3">
      <c r="A9965" s="12"/>
    </row>
    <row r="9966" spans="1:1" x14ac:dyDescent="0.3">
      <c r="A9966" s="12"/>
    </row>
    <row r="9967" spans="1:1" x14ac:dyDescent="0.3">
      <c r="A9967" s="12"/>
    </row>
    <row r="9968" spans="1:1" x14ac:dyDescent="0.3">
      <c r="A9968" s="12"/>
    </row>
    <row r="9969" spans="1:1" x14ac:dyDescent="0.3">
      <c r="A9969" s="12"/>
    </row>
    <row r="9970" spans="1:1" x14ac:dyDescent="0.3">
      <c r="A9970" s="12"/>
    </row>
    <row r="9971" spans="1:1" x14ac:dyDescent="0.3">
      <c r="A9971" s="12"/>
    </row>
    <row r="9972" spans="1:1" x14ac:dyDescent="0.3">
      <c r="A9972" s="12"/>
    </row>
    <row r="9973" spans="1:1" x14ac:dyDescent="0.3">
      <c r="A9973" s="12"/>
    </row>
    <row r="9974" spans="1:1" x14ac:dyDescent="0.3">
      <c r="A9974" s="12"/>
    </row>
    <row r="9975" spans="1:1" x14ac:dyDescent="0.3">
      <c r="A9975" s="12"/>
    </row>
    <row r="9976" spans="1:1" x14ac:dyDescent="0.3">
      <c r="A9976" s="12"/>
    </row>
    <row r="9977" spans="1:1" x14ac:dyDescent="0.3">
      <c r="A9977" s="12"/>
    </row>
    <row r="9978" spans="1:1" x14ac:dyDescent="0.3">
      <c r="A9978" s="12"/>
    </row>
    <row r="9979" spans="1:1" x14ac:dyDescent="0.3">
      <c r="A9979" s="12"/>
    </row>
    <row r="9980" spans="1:1" x14ac:dyDescent="0.3">
      <c r="A9980" s="12"/>
    </row>
    <row r="9981" spans="1:1" x14ac:dyDescent="0.3">
      <c r="A9981" s="12"/>
    </row>
    <row r="9982" spans="1:1" x14ac:dyDescent="0.3">
      <c r="A9982" s="12"/>
    </row>
    <row r="9983" spans="1:1" x14ac:dyDescent="0.3">
      <c r="A9983" s="12"/>
    </row>
    <row r="9984" spans="1:1" x14ac:dyDescent="0.3">
      <c r="A9984" s="12"/>
    </row>
    <row r="9985" spans="1:1" x14ac:dyDescent="0.3">
      <c r="A9985" s="12"/>
    </row>
    <row r="9986" spans="1:1" x14ac:dyDescent="0.3">
      <c r="A9986" s="12"/>
    </row>
    <row r="9987" spans="1:1" x14ac:dyDescent="0.3">
      <c r="A9987" s="12"/>
    </row>
    <row r="9988" spans="1:1" x14ac:dyDescent="0.3">
      <c r="A9988" s="12"/>
    </row>
    <row r="9989" spans="1:1" x14ac:dyDescent="0.3">
      <c r="A9989" s="12"/>
    </row>
    <row r="9990" spans="1:1" x14ac:dyDescent="0.3">
      <c r="A9990" s="12"/>
    </row>
    <row r="9991" spans="1:1" x14ac:dyDescent="0.3">
      <c r="A9991" s="12"/>
    </row>
    <row r="9992" spans="1:1" x14ac:dyDescent="0.3">
      <c r="A9992" s="12"/>
    </row>
    <row r="9993" spans="1:1" x14ac:dyDescent="0.3">
      <c r="A9993" s="12"/>
    </row>
    <row r="9994" spans="1:1" x14ac:dyDescent="0.3">
      <c r="A9994" s="12"/>
    </row>
    <row r="9995" spans="1:1" x14ac:dyDescent="0.3">
      <c r="A9995" s="12"/>
    </row>
    <row r="9996" spans="1:1" x14ac:dyDescent="0.3">
      <c r="A9996" s="12"/>
    </row>
    <row r="9997" spans="1:1" x14ac:dyDescent="0.3">
      <c r="A9997" s="12"/>
    </row>
    <row r="9998" spans="1:1" x14ac:dyDescent="0.3">
      <c r="A9998" s="12"/>
    </row>
    <row r="9999" spans="1:1" x14ac:dyDescent="0.3">
      <c r="A9999" s="12"/>
    </row>
    <row r="10000" spans="1:1" x14ac:dyDescent="0.3">
      <c r="A10000" s="12"/>
    </row>
    <row r="10001" spans="1:1" x14ac:dyDescent="0.3">
      <c r="A10001" s="12"/>
    </row>
    <row r="10002" spans="1:1" x14ac:dyDescent="0.3">
      <c r="A10002" s="12"/>
    </row>
    <row r="10003" spans="1:1" x14ac:dyDescent="0.3">
      <c r="A10003" s="12"/>
    </row>
    <row r="10004" spans="1:1" x14ac:dyDescent="0.3">
      <c r="A10004" s="12"/>
    </row>
    <row r="10005" spans="1:1" x14ac:dyDescent="0.3">
      <c r="A10005" s="12"/>
    </row>
    <row r="10006" spans="1:1" x14ac:dyDescent="0.3">
      <c r="A10006" s="12"/>
    </row>
    <row r="10007" spans="1:1" x14ac:dyDescent="0.3">
      <c r="A10007" s="12"/>
    </row>
    <row r="10008" spans="1:1" x14ac:dyDescent="0.3">
      <c r="A10008" s="12"/>
    </row>
    <row r="10009" spans="1:1" x14ac:dyDescent="0.3">
      <c r="A10009" s="12"/>
    </row>
    <row r="10010" spans="1:1" x14ac:dyDescent="0.3">
      <c r="A10010" s="12"/>
    </row>
    <row r="10011" spans="1:1" x14ac:dyDescent="0.3">
      <c r="A10011" s="12"/>
    </row>
    <row r="10012" spans="1:1" x14ac:dyDescent="0.3">
      <c r="A10012" s="12"/>
    </row>
    <row r="10013" spans="1:1" x14ac:dyDescent="0.3">
      <c r="A10013" s="12"/>
    </row>
    <row r="10014" spans="1:1" x14ac:dyDescent="0.3">
      <c r="A10014" s="12"/>
    </row>
    <row r="10015" spans="1:1" x14ac:dyDescent="0.3">
      <c r="A10015" s="12"/>
    </row>
    <row r="10016" spans="1:1" x14ac:dyDescent="0.3">
      <c r="A10016" s="12"/>
    </row>
    <row r="10017" spans="1:1" x14ac:dyDescent="0.3">
      <c r="A10017" s="12"/>
    </row>
    <row r="10018" spans="1:1" x14ac:dyDescent="0.3">
      <c r="A10018" s="12"/>
    </row>
    <row r="10019" spans="1:1" x14ac:dyDescent="0.3">
      <c r="A10019" s="12"/>
    </row>
    <row r="10020" spans="1:1" x14ac:dyDescent="0.3">
      <c r="A10020" s="12"/>
    </row>
    <row r="10021" spans="1:1" x14ac:dyDescent="0.3">
      <c r="A10021" s="12"/>
    </row>
    <row r="10022" spans="1:1" x14ac:dyDescent="0.3">
      <c r="A10022" s="12"/>
    </row>
    <row r="10023" spans="1:1" x14ac:dyDescent="0.3">
      <c r="A10023" s="12"/>
    </row>
    <row r="10024" spans="1:1" x14ac:dyDescent="0.3">
      <c r="A10024" s="12"/>
    </row>
    <row r="10025" spans="1:1" x14ac:dyDescent="0.3">
      <c r="A10025" s="12"/>
    </row>
    <row r="10026" spans="1:1" x14ac:dyDescent="0.3">
      <c r="A10026" s="12"/>
    </row>
    <row r="10027" spans="1:1" x14ac:dyDescent="0.3">
      <c r="A10027" s="12"/>
    </row>
    <row r="10028" spans="1:1" x14ac:dyDescent="0.3">
      <c r="A10028" s="12"/>
    </row>
    <row r="10029" spans="1:1" x14ac:dyDescent="0.3">
      <c r="A10029" s="12"/>
    </row>
    <row r="10030" spans="1:1" x14ac:dyDescent="0.3">
      <c r="A10030" s="12"/>
    </row>
    <row r="10031" spans="1:1" x14ac:dyDescent="0.3">
      <c r="A10031" s="12"/>
    </row>
    <row r="10032" spans="1:1" x14ac:dyDescent="0.3">
      <c r="A10032" s="12"/>
    </row>
    <row r="10033" spans="1:1" x14ac:dyDescent="0.3">
      <c r="A10033" s="12"/>
    </row>
    <row r="10034" spans="1:1" x14ac:dyDescent="0.3">
      <c r="A10034" s="12"/>
    </row>
    <row r="10035" spans="1:1" x14ac:dyDescent="0.3">
      <c r="A10035" s="12"/>
    </row>
    <row r="10036" spans="1:1" x14ac:dyDescent="0.3">
      <c r="A10036" s="12"/>
    </row>
    <row r="10037" spans="1:1" x14ac:dyDescent="0.3">
      <c r="A10037" s="12"/>
    </row>
    <row r="10038" spans="1:1" x14ac:dyDescent="0.3">
      <c r="A10038" s="12"/>
    </row>
    <row r="10039" spans="1:1" x14ac:dyDescent="0.3">
      <c r="A10039" s="12"/>
    </row>
    <row r="10040" spans="1:1" x14ac:dyDescent="0.3">
      <c r="A10040" s="12"/>
    </row>
    <row r="10041" spans="1:1" x14ac:dyDescent="0.3">
      <c r="A10041" s="12"/>
    </row>
    <row r="10042" spans="1:1" x14ac:dyDescent="0.3">
      <c r="A10042" s="12"/>
    </row>
    <row r="10043" spans="1:1" x14ac:dyDescent="0.3">
      <c r="A10043" s="12"/>
    </row>
    <row r="10044" spans="1:1" x14ac:dyDescent="0.3">
      <c r="A10044" s="12"/>
    </row>
    <row r="10045" spans="1:1" x14ac:dyDescent="0.3">
      <c r="A10045" s="12"/>
    </row>
    <row r="10046" spans="1:1" x14ac:dyDescent="0.3">
      <c r="A10046" s="12"/>
    </row>
    <row r="10047" spans="1:1" x14ac:dyDescent="0.3">
      <c r="A10047" s="12"/>
    </row>
    <row r="10048" spans="1:1" x14ac:dyDescent="0.3">
      <c r="A10048" s="12"/>
    </row>
    <row r="10049" spans="1:1" x14ac:dyDescent="0.3">
      <c r="A10049" s="12"/>
    </row>
    <row r="10050" spans="1:1" x14ac:dyDescent="0.3">
      <c r="A10050" s="12"/>
    </row>
    <row r="10051" spans="1:1" x14ac:dyDescent="0.3">
      <c r="A10051" s="12"/>
    </row>
    <row r="10052" spans="1:1" x14ac:dyDescent="0.3">
      <c r="A10052" s="12"/>
    </row>
    <row r="10053" spans="1:1" x14ac:dyDescent="0.3">
      <c r="A10053" s="12"/>
    </row>
    <row r="10054" spans="1:1" x14ac:dyDescent="0.3">
      <c r="A10054" s="12"/>
    </row>
    <row r="10055" spans="1:1" x14ac:dyDescent="0.3">
      <c r="A10055" s="12"/>
    </row>
    <row r="10056" spans="1:1" x14ac:dyDescent="0.3">
      <c r="A10056" s="12"/>
    </row>
    <row r="10057" spans="1:1" x14ac:dyDescent="0.3">
      <c r="A10057" s="12"/>
    </row>
    <row r="10058" spans="1:1" x14ac:dyDescent="0.3">
      <c r="A10058" s="12"/>
    </row>
    <row r="10059" spans="1:1" x14ac:dyDescent="0.3">
      <c r="A10059" s="12"/>
    </row>
    <row r="10060" spans="1:1" x14ac:dyDescent="0.3">
      <c r="A10060" s="12"/>
    </row>
    <row r="10061" spans="1:1" x14ac:dyDescent="0.3">
      <c r="A10061" s="12"/>
    </row>
    <row r="10062" spans="1:1" x14ac:dyDescent="0.3">
      <c r="A10062" s="12"/>
    </row>
    <row r="10063" spans="1:1" x14ac:dyDescent="0.3">
      <c r="A10063" s="12"/>
    </row>
    <row r="10064" spans="1:1" x14ac:dyDescent="0.3">
      <c r="A10064" s="12"/>
    </row>
    <row r="10065" spans="1:1" x14ac:dyDescent="0.3">
      <c r="A10065" s="12"/>
    </row>
    <row r="10066" spans="1:1" x14ac:dyDescent="0.3">
      <c r="A10066" s="12"/>
    </row>
    <row r="10067" spans="1:1" x14ac:dyDescent="0.3">
      <c r="A10067" s="12"/>
    </row>
    <row r="10068" spans="1:1" x14ac:dyDescent="0.3">
      <c r="A10068" s="12"/>
    </row>
    <row r="10069" spans="1:1" x14ac:dyDescent="0.3">
      <c r="A10069" s="12"/>
    </row>
    <row r="10070" spans="1:1" x14ac:dyDescent="0.3">
      <c r="A10070" s="12"/>
    </row>
    <row r="10071" spans="1:1" x14ac:dyDescent="0.3">
      <c r="A10071" s="12"/>
    </row>
    <row r="10072" spans="1:1" x14ac:dyDescent="0.3">
      <c r="A10072" s="12"/>
    </row>
    <row r="10073" spans="1:1" x14ac:dyDescent="0.3">
      <c r="A10073" s="12"/>
    </row>
    <row r="10074" spans="1:1" x14ac:dyDescent="0.3">
      <c r="A10074" s="12"/>
    </row>
    <row r="10075" spans="1:1" x14ac:dyDescent="0.3">
      <c r="A10075" s="12"/>
    </row>
    <row r="10076" spans="1:1" x14ac:dyDescent="0.3">
      <c r="A10076" s="12"/>
    </row>
    <row r="10077" spans="1:1" x14ac:dyDescent="0.3">
      <c r="A10077" s="12"/>
    </row>
    <row r="10078" spans="1:1" x14ac:dyDescent="0.3">
      <c r="A10078" s="12"/>
    </row>
    <row r="10079" spans="1:1" x14ac:dyDescent="0.3">
      <c r="A10079" s="12"/>
    </row>
    <row r="10080" spans="1:1" x14ac:dyDescent="0.3">
      <c r="A10080" s="12"/>
    </row>
    <row r="10081" spans="1:1" x14ac:dyDescent="0.3">
      <c r="A10081" s="12"/>
    </row>
    <row r="10082" spans="1:1" x14ac:dyDescent="0.3">
      <c r="A10082" s="12"/>
    </row>
    <row r="10083" spans="1:1" x14ac:dyDescent="0.3">
      <c r="A10083" s="12"/>
    </row>
    <row r="10084" spans="1:1" x14ac:dyDescent="0.3">
      <c r="A10084" s="12"/>
    </row>
    <row r="10085" spans="1:1" x14ac:dyDescent="0.3">
      <c r="A10085" s="12"/>
    </row>
    <row r="10086" spans="1:1" x14ac:dyDescent="0.3">
      <c r="A10086" s="12"/>
    </row>
    <row r="10087" spans="1:1" x14ac:dyDescent="0.3">
      <c r="A10087" s="12"/>
    </row>
    <row r="10088" spans="1:1" x14ac:dyDescent="0.3">
      <c r="A10088" s="12"/>
    </row>
    <row r="10089" spans="1:1" x14ac:dyDescent="0.3">
      <c r="A10089" s="12"/>
    </row>
    <row r="10090" spans="1:1" x14ac:dyDescent="0.3">
      <c r="A10090" s="12"/>
    </row>
    <row r="10091" spans="1:1" x14ac:dyDescent="0.3">
      <c r="A10091" s="12"/>
    </row>
    <row r="10092" spans="1:1" x14ac:dyDescent="0.3">
      <c r="A10092" s="12"/>
    </row>
    <row r="10093" spans="1:1" x14ac:dyDescent="0.3">
      <c r="A10093" s="12"/>
    </row>
    <row r="10094" spans="1:1" x14ac:dyDescent="0.3">
      <c r="A10094" s="12"/>
    </row>
    <row r="10095" spans="1:1" x14ac:dyDescent="0.3">
      <c r="A10095" s="12"/>
    </row>
    <row r="10096" spans="1:1" x14ac:dyDescent="0.3">
      <c r="A10096" s="12"/>
    </row>
    <row r="10097" spans="1:1" x14ac:dyDescent="0.3">
      <c r="A10097" s="12"/>
    </row>
    <row r="10098" spans="1:1" x14ac:dyDescent="0.3">
      <c r="A10098" s="12"/>
    </row>
    <row r="10099" spans="1:1" x14ac:dyDescent="0.3">
      <c r="A10099" s="12"/>
    </row>
    <row r="10100" spans="1:1" x14ac:dyDescent="0.3">
      <c r="A10100" s="12"/>
    </row>
    <row r="10101" spans="1:1" x14ac:dyDescent="0.3">
      <c r="A10101" s="12"/>
    </row>
    <row r="10102" spans="1:1" x14ac:dyDescent="0.3">
      <c r="A10102" s="12"/>
    </row>
    <row r="10103" spans="1:1" x14ac:dyDescent="0.3">
      <c r="A10103" s="12"/>
    </row>
    <row r="10104" spans="1:1" x14ac:dyDescent="0.3">
      <c r="A10104" s="12"/>
    </row>
    <row r="10105" spans="1:1" x14ac:dyDescent="0.3">
      <c r="A10105" s="12"/>
    </row>
    <row r="10106" spans="1:1" x14ac:dyDescent="0.3">
      <c r="A10106" s="12"/>
    </row>
    <row r="10107" spans="1:1" x14ac:dyDescent="0.3">
      <c r="A10107" s="12"/>
    </row>
    <row r="10108" spans="1:1" x14ac:dyDescent="0.3">
      <c r="A10108" s="12"/>
    </row>
    <row r="10109" spans="1:1" x14ac:dyDescent="0.3">
      <c r="A10109" s="12"/>
    </row>
    <row r="10110" spans="1:1" x14ac:dyDescent="0.3">
      <c r="A10110" s="12"/>
    </row>
    <row r="10111" spans="1:1" x14ac:dyDescent="0.3">
      <c r="A10111" s="12"/>
    </row>
    <row r="10112" spans="1:1" x14ac:dyDescent="0.3">
      <c r="A10112" s="12"/>
    </row>
    <row r="10113" spans="1:1" x14ac:dyDescent="0.3">
      <c r="A10113" s="12"/>
    </row>
    <row r="10114" spans="1:1" x14ac:dyDescent="0.3">
      <c r="A10114" s="12"/>
    </row>
    <row r="10115" spans="1:1" x14ac:dyDescent="0.3">
      <c r="A10115" s="12"/>
    </row>
    <row r="10116" spans="1:1" x14ac:dyDescent="0.3">
      <c r="A10116" s="12"/>
    </row>
    <row r="10117" spans="1:1" x14ac:dyDescent="0.3">
      <c r="A10117" s="12"/>
    </row>
    <row r="10118" spans="1:1" x14ac:dyDescent="0.3">
      <c r="A10118" s="12"/>
    </row>
    <row r="10119" spans="1:1" x14ac:dyDescent="0.3">
      <c r="A10119" s="12"/>
    </row>
    <row r="10120" spans="1:1" x14ac:dyDescent="0.3">
      <c r="A10120" s="12"/>
    </row>
    <row r="10121" spans="1:1" x14ac:dyDescent="0.3">
      <c r="A10121" s="12"/>
    </row>
    <row r="10122" spans="1:1" x14ac:dyDescent="0.3">
      <c r="A10122" s="12"/>
    </row>
    <row r="10123" spans="1:1" x14ac:dyDescent="0.3">
      <c r="A10123" s="12"/>
    </row>
    <row r="10124" spans="1:1" x14ac:dyDescent="0.3">
      <c r="A10124" s="12"/>
    </row>
    <row r="10125" spans="1:1" x14ac:dyDescent="0.3">
      <c r="A10125" s="12"/>
    </row>
    <row r="10126" spans="1:1" x14ac:dyDescent="0.3">
      <c r="A10126" s="12"/>
    </row>
    <row r="10127" spans="1:1" x14ac:dyDescent="0.3">
      <c r="A10127" s="12"/>
    </row>
    <row r="10128" spans="1:1" x14ac:dyDescent="0.3">
      <c r="A10128" s="12"/>
    </row>
    <row r="10129" spans="1:1" x14ac:dyDescent="0.3">
      <c r="A10129" s="12"/>
    </row>
    <row r="10130" spans="1:1" x14ac:dyDescent="0.3">
      <c r="A10130" s="12"/>
    </row>
    <row r="10131" spans="1:1" x14ac:dyDescent="0.3">
      <c r="A10131" s="12"/>
    </row>
    <row r="10132" spans="1:1" x14ac:dyDescent="0.3">
      <c r="A10132" s="12"/>
    </row>
    <row r="10133" spans="1:1" x14ac:dyDescent="0.3">
      <c r="A10133" s="12"/>
    </row>
    <row r="10134" spans="1:1" x14ac:dyDescent="0.3">
      <c r="A10134" s="12"/>
    </row>
    <row r="10135" spans="1:1" x14ac:dyDescent="0.3">
      <c r="A10135" s="12"/>
    </row>
    <row r="10136" spans="1:1" x14ac:dyDescent="0.3">
      <c r="A10136" s="12"/>
    </row>
    <row r="10137" spans="1:1" x14ac:dyDescent="0.3">
      <c r="A10137" s="12"/>
    </row>
    <row r="10138" spans="1:1" x14ac:dyDescent="0.3">
      <c r="A10138" s="12"/>
    </row>
    <row r="10139" spans="1:1" x14ac:dyDescent="0.3">
      <c r="A10139" s="12"/>
    </row>
    <row r="10140" spans="1:1" x14ac:dyDescent="0.3">
      <c r="A10140" s="12"/>
    </row>
    <row r="10141" spans="1:1" x14ac:dyDescent="0.3">
      <c r="A10141" s="12"/>
    </row>
    <row r="10142" spans="1:1" x14ac:dyDescent="0.3">
      <c r="A10142" s="12"/>
    </row>
    <row r="10143" spans="1:1" x14ac:dyDescent="0.3">
      <c r="A10143" s="12"/>
    </row>
    <row r="10144" spans="1:1" x14ac:dyDescent="0.3">
      <c r="A10144" s="12"/>
    </row>
    <row r="10145" spans="1:1" x14ac:dyDescent="0.3">
      <c r="A10145" s="12"/>
    </row>
    <row r="10146" spans="1:1" x14ac:dyDescent="0.3">
      <c r="A10146" s="12"/>
    </row>
    <row r="10147" spans="1:1" x14ac:dyDescent="0.3">
      <c r="A10147" s="12"/>
    </row>
    <row r="10148" spans="1:1" x14ac:dyDescent="0.3">
      <c r="A10148" s="12"/>
    </row>
    <row r="10149" spans="1:1" x14ac:dyDescent="0.3">
      <c r="A10149" s="12"/>
    </row>
    <row r="10150" spans="1:1" x14ac:dyDescent="0.3">
      <c r="A10150" s="12"/>
    </row>
    <row r="10151" spans="1:1" x14ac:dyDescent="0.3">
      <c r="A10151" s="12"/>
    </row>
    <row r="10152" spans="1:1" x14ac:dyDescent="0.3">
      <c r="A10152" s="12"/>
    </row>
    <row r="10153" spans="1:1" x14ac:dyDescent="0.3">
      <c r="A10153" s="12"/>
    </row>
    <row r="10154" spans="1:1" x14ac:dyDescent="0.3">
      <c r="A10154" s="12"/>
    </row>
    <row r="10155" spans="1:1" x14ac:dyDescent="0.3">
      <c r="A10155" s="12"/>
    </row>
    <row r="10156" spans="1:1" x14ac:dyDescent="0.3">
      <c r="A10156" s="12"/>
    </row>
    <row r="10157" spans="1:1" x14ac:dyDescent="0.3">
      <c r="A10157" s="12"/>
    </row>
    <row r="10158" spans="1:1" x14ac:dyDescent="0.3">
      <c r="A10158" s="12"/>
    </row>
    <row r="10159" spans="1:1" x14ac:dyDescent="0.3">
      <c r="A10159" s="12"/>
    </row>
    <row r="10160" spans="1:1" x14ac:dyDescent="0.3">
      <c r="A10160" s="12"/>
    </row>
    <row r="10161" spans="1:1" x14ac:dyDescent="0.3">
      <c r="A10161" s="12"/>
    </row>
    <row r="10162" spans="1:1" x14ac:dyDescent="0.3">
      <c r="A10162" s="12"/>
    </row>
    <row r="10163" spans="1:1" x14ac:dyDescent="0.3">
      <c r="A10163" s="12"/>
    </row>
    <row r="10164" spans="1:1" x14ac:dyDescent="0.3">
      <c r="A10164" s="12"/>
    </row>
    <row r="10165" spans="1:1" x14ac:dyDescent="0.3">
      <c r="A10165" s="12"/>
    </row>
    <row r="10166" spans="1:1" x14ac:dyDescent="0.3">
      <c r="A10166" s="12"/>
    </row>
    <row r="10167" spans="1:1" x14ac:dyDescent="0.3">
      <c r="A10167" s="12"/>
    </row>
    <row r="10168" spans="1:1" x14ac:dyDescent="0.3">
      <c r="A10168" s="12"/>
    </row>
    <row r="10169" spans="1:1" x14ac:dyDescent="0.3">
      <c r="A10169" s="12"/>
    </row>
    <row r="10170" spans="1:1" x14ac:dyDescent="0.3">
      <c r="A10170" s="12"/>
    </row>
    <row r="10171" spans="1:1" x14ac:dyDescent="0.3">
      <c r="A10171" s="12"/>
    </row>
    <row r="10172" spans="1:1" x14ac:dyDescent="0.3">
      <c r="A10172" s="12"/>
    </row>
    <row r="10173" spans="1:1" x14ac:dyDescent="0.3">
      <c r="A10173" s="12"/>
    </row>
    <row r="10174" spans="1:1" x14ac:dyDescent="0.3">
      <c r="A10174" s="12"/>
    </row>
    <row r="10175" spans="1:1" x14ac:dyDescent="0.3">
      <c r="A10175" s="12"/>
    </row>
    <row r="10176" spans="1:1" x14ac:dyDescent="0.3">
      <c r="A10176" s="12"/>
    </row>
    <row r="10177" spans="1:1" x14ac:dyDescent="0.3">
      <c r="A10177" s="12"/>
    </row>
    <row r="10178" spans="1:1" x14ac:dyDescent="0.3">
      <c r="A10178" s="12"/>
    </row>
    <row r="10179" spans="1:1" x14ac:dyDescent="0.3">
      <c r="A10179" s="12"/>
    </row>
    <row r="10180" spans="1:1" x14ac:dyDescent="0.3">
      <c r="A10180" s="12"/>
    </row>
    <row r="10181" spans="1:1" x14ac:dyDescent="0.3">
      <c r="A10181" s="12"/>
    </row>
    <row r="10182" spans="1:1" x14ac:dyDescent="0.3">
      <c r="A10182" s="12"/>
    </row>
    <row r="10183" spans="1:1" x14ac:dyDescent="0.3">
      <c r="A10183" s="12"/>
    </row>
    <row r="10184" spans="1:1" x14ac:dyDescent="0.3">
      <c r="A10184" s="12"/>
    </row>
    <row r="10185" spans="1:1" x14ac:dyDescent="0.3">
      <c r="A10185" s="12"/>
    </row>
    <row r="10186" spans="1:1" x14ac:dyDescent="0.3">
      <c r="A10186" s="12"/>
    </row>
    <row r="10187" spans="1:1" x14ac:dyDescent="0.3">
      <c r="A10187" s="12"/>
    </row>
    <row r="10188" spans="1:1" x14ac:dyDescent="0.3">
      <c r="A10188" s="12"/>
    </row>
    <row r="10189" spans="1:1" x14ac:dyDescent="0.3">
      <c r="A10189" s="12"/>
    </row>
    <row r="10190" spans="1:1" x14ac:dyDescent="0.3">
      <c r="A10190" s="12"/>
    </row>
    <row r="10191" spans="1:1" x14ac:dyDescent="0.3">
      <c r="A10191" s="12"/>
    </row>
    <row r="10192" spans="1:1" x14ac:dyDescent="0.3">
      <c r="A10192" s="12"/>
    </row>
    <row r="10193" spans="1:1" x14ac:dyDescent="0.3">
      <c r="A10193" s="12"/>
    </row>
    <row r="10194" spans="1:1" x14ac:dyDescent="0.3">
      <c r="A10194" s="12"/>
    </row>
    <row r="10195" spans="1:1" x14ac:dyDescent="0.3">
      <c r="A10195" s="12"/>
    </row>
    <row r="10196" spans="1:1" x14ac:dyDescent="0.3">
      <c r="A10196" s="12"/>
    </row>
    <row r="10197" spans="1:1" x14ac:dyDescent="0.3">
      <c r="A10197" s="12"/>
    </row>
    <row r="10198" spans="1:1" x14ac:dyDescent="0.3">
      <c r="A10198" s="12"/>
    </row>
    <row r="10199" spans="1:1" x14ac:dyDescent="0.3">
      <c r="A10199" s="12"/>
    </row>
    <row r="10200" spans="1:1" x14ac:dyDescent="0.3">
      <c r="A10200" s="12"/>
    </row>
    <row r="10201" spans="1:1" x14ac:dyDescent="0.3">
      <c r="A10201" s="12"/>
    </row>
    <row r="10202" spans="1:1" x14ac:dyDescent="0.3">
      <c r="A10202" s="12"/>
    </row>
    <row r="10203" spans="1:1" x14ac:dyDescent="0.3">
      <c r="A10203" s="12"/>
    </row>
    <row r="10204" spans="1:1" x14ac:dyDescent="0.3">
      <c r="A10204" s="12"/>
    </row>
    <row r="10205" spans="1:1" x14ac:dyDescent="0.3">
      <c r="A10205" s="12"/>
    </row>
    <row r="10206" spans="1:1" x14ac:dyDescent="0.3">
      <c r="A10206" s="12"/>
    </row>
    <row r="10207" spans="1:1" x14ac:dyDescent="0.3">
      <c r="A10207" s="12"/>
    </row>
    <row r="10208" spans="1:1" x14ac:dyDescent="0.3">
      <c r="A10208" s="12"/>
    </row>
    <row r="10209" spans="1:1" x14ac:dyDescent="0.3">
      <c r="A10209" s="12"/>
    </row>
    <row r="10210" spans="1:1" x14ac:dyDescent="0.3">
      <c r="A10210" s="12"/>
    </row>
    <row r="10211" spans="1:1" x14ac:dyDescent="0.3">
      <c r="A10211" s="12"/>
    </row>
    <row r="10212" spans="1:1" x14ac:dyDescent="0.3">
      <c r="A10212" s="12"/>
    </row>
    <row r="10213" spans="1:1" x14ac:dyDescent="0.3">
      <c r="A10213" s="12"/>
    </row>
    <row r="10214" spans="1:1" x14ac:dyDescent="0.3">
      <c r="A10214" s="12"/>
    </row>
    <row r="10215" spans="1:1" x14ac:dyDescent="0.3">
      <c r="A10215" s="12"/>
    </row>
    <row r="10216" spans="1:1" x14ac:dyDescent="0.3">
      <c r="A10216" s="12"/>
    </row>
    <row r="10217" spans="1:1" x14ac:dyDescent="0.3">
      <c r="A10217" s="12"/>
    </row>
    <row r="10218" spans="1:1" x14ac:dyDescent="0.3">
      <c r="A10218" s="12"/>
    </row>
    <row r="10219" spans="1:1" x14ac:dyDescent="0.3">
      <c r="A10219" s="12"/>
    </row>
    <row r="10220" spans="1:1" x14ac:dyDescent="0.3">
      <c r="A10220" s="12"/>
    </row>
    <row r="10221" spans="1:1" x14ac:dyDescent="0.3">
      <c r="A10221" s="12"/>
    </row>
    <row r="10222" spans="1:1" x14ac:dyDescent="0.3">
      <c r="A10222" s="12"/>
    </row>
    <row r="10223" spans="1:1" x14ac:dyDescent="0.3">
      <c r="A10223" s="12"/>
    </row>
    <row r="10224" spans="1:1" x14ac:dyDescent="0.3">
      <c r="A10224" s="12"/>
    </row>
    <row r="10225" spans="1:1" x14ac:dyDescent="0.3">
      <c r="A10225" s="12"/>
    </row>
    <row r="10226" spans="1:1" x14ac:dyDescent="0.3">
      <c r="A10226" s="12"/>
    </row>
    <row r="10227" spans="1:1" x14ac:dyDescent="0.3">
      <c r="A10227" s="12"/>
    </row>
    <row r="10228" spans="1:1" x14ac:dyDescent="0.3">
      <c r="A10228" s="12"/>
    </row>
    <row r="10229" spans="1:1" x14ac:dyDescent="0.3">
      <c r="A10229" s="12"/>
    </row>
    <row r="10230" spans="1:1" x14ac:dyDescent="0.3">
      <c r="A10230" s="12"/>
    </row>
    <row r="10231" spans="1:1" x14ac:dyDescent="0.3">
      <c r="A10231" s="12"/>
    </row>
    <row r="10232" spans="1:1" x14ac:dyDescent="0.3">
      <c r="A10232" s="12"/>
    </row>
    <row r="10233" spans="1:1" x14ac:dyDescent="0.3">
      <c r="A10233" s="12"/>
    </row>
    <row r="10234" spans="1:1" x14ac:dyDescent="0.3">
      <c r="A10234" s="12"/>
    </row>
    <row r="10235" spans="1:1" x14ac:dyDescent="0.3">
      <c r="A10235" s="12"/>
    </row>
    <row r="10236" spans="1:1" x14ac:dyDescent="0.3">
      <c r="A10236" s="12"/>
    </row>
    <row r="10237" spans="1:1" x14ac:dyDescent="0.3">
      <c r="A10237" s="12"/>
    </row>
    <row r="10238" spans="1:1" x14ac:dyDescent="0.3">
      <c r="A10238" s="12"/>
    </row>
    <row r="10239" spans="1:1" x14ac:dyDescent="0.3">
      <c r="A10239" s="12"/>
    </row>
    <row r="10240" spans="1:1" x14ac:dyDescent="0.3">
      <c r="A10240" s="12"/>
    </row>
    <row r="10241" spans="1:1" x14ac:dyDescent="0.3">
      <c r="A10241" s="12"/>
    </row>
    <row r="10242" spans="1:1" x14ac:dyDescent="0.3">
      <c r="A10242" s="12"/>
    </row>
    <row r="10243" spans="1:1" x14ac:dyDescent="0.3">
      <c r="A10243" s="12"/>
    </row>
    <row r="10244" spans="1:1" x14ac:dyDescent="0.3">
      <c r="A10244" s="12"/>
    </row>
    <row r="10245" spans="1:1" x14ac:dyDescent="0.3">
      <c r="A10245" s="12"/>
    </row>
    <row r="10246" spans="1:1" x14ac:dyDescent="0.3">
      <c r="A10246" s="12"/>
    </row>
    <row r="10247" spans="1:1" x14ac:dyDescent="0.3">
      <c r="A10247" s="12"/>
    </row>
    <row r="10248" spans="1:1" x14ac:dyDescent="0.3">
      <c r="A10248" s="12"/>
    </row>
    <row r="10249" spans="1:1" x14ac:dyDescent="0.3">
      <c r="A10249" s="12"/>
    </row>
    <row r="10250" spans="1:1" x14ac:dyDescent="0.3">
      <c r="A10250" s="12"/>
    </row>
    <row r="10251" spans="1:1" x14ac:dyDescent="0.3">
      <c r="A10251" s="12"/>
    </row>
    <row r="10252" spans="1:1" x14ac:dyDescent="0.3">
      <c r="A10252" s="12"/>
    </row>
    <row r="10253" spans="1:1" x14ac:dyDescent="0.3">
      <c r="A10253" s="12"/>
    </row>
    <row r="10254" spans="1:1" x14ac:dyDescent="0.3">
      <c r="A10254" s="12"/>
    </row>
    <row r="10255" spans="1:1" x14ac:dyDescent="0.3">
      <c r="A10255" s="12"/>
    </row>
    <row r="10256" spans="1:1" x14ac:dyDescent="0.3">
      <c r="A10256" s="12"/>
    </row>
    <row r="10257" spans="1:1" x14ac:dyDescent="0.3">
      <c r="A10257" s="12"/>
    </row>
    <row r="10258" spans="1:1" x14ac:dyDescent="0.3">
      <c r="A10258" s="12"/>
    </row>
    <row r="10259" spans="1:1" x14ac:dyDescent="0.3">
      <c r="A10259" s="12"/>
    </row>
    <row r="10260" spans="1:1" x14ac:dyDescent="0.3">
      <c r="A10260" s="12"/>
    </row>
    <row r="10261" spans="1:1" x14ac:dyDescent="0.3">
      <c r="A10261" s="12"/>
    </row>
    <row r="10262" spans="1:1" x14ac:dyDescent="0.3">
      <c r="A10262" s="12"/>
    </row>
    <row r="10263" spans="1:1" x14ac:dyDescent="0.3">
      <c r="A10263" s="12"/>
    </row>
    <row r="10264" spans="1:1" x14ac:dyDescent="0.3">
      <c r="A10264" s="12"/>
    </row>
    <row r="10265" spans="1:1" x14ac:dyDescent="0.3">
      <c r="A10265" s="12"/>
    </row>
    <row r="10266" spans="1:1" x14ac:dyDescent="0.3">
      <c r="A10266" s="12"/>
    </row>
    <row r="10267" spans="1:1" x14ac:dyDescent="0.3">
      <c r="A10267" s="12"/>
    </row>
    <row r="10268" spans="1:1" x14ac:dyDescent="0.3">
      <c r="A10268" s="12"/>
    </row>
    <row r="10269" spans="1:1" x14ac:dyDescent="0.3">
      <c r="A10269" s="12"/>
    </row>
    <row r="10270" spans="1:1" x14ac:dyDescent="0.3">
      <c r="A10270" s="12"/>
    </row>
    <row r="10271" spans="1:1" x14ac:dyDescent="0.3">
      <c r="A10271" s="12"/>
    </row>
    <row r="10272" spans="1:1" x14ac:dyDescent="0.3">
      <c r="A10272" s="12"/>
    </row>
    <row r="10273" spans="1:1" x14ac:dyDescent="0.3">
      <c r="A10273" s="12"/>
    </row>
    <row r="10274" spans="1:1" x14ac:dyDescent="0.3">
      <c r="A10274" s="12"/>
    </row>
    <row r="10275" spans="1:1" x14ac:dyDescent="0.3">
      <c r="A10275" s="12"/>
    </row>
    <row r="10276" spans="1:1" x14ac:dyDescent="0.3">
      <c r="A10276" s="12"/>
    </row>
    <row r="10277" spans="1:1" x14ac:dyDescent="0.3">
      <c r="A10277" s="12"/>
    </row>
    <row r="10278" spans="1:1" x14ac:dyDescent="0.3">
      <c r="A10278" s="12"/>
    </row>
    <row r="10279" spans="1:1" x14ac:dyDescent="0.3">
      <c r="A10279" s="12"/>
    </row>
    <row r="10280" spans="1:1" x14ac:dyDescent="0.3">
      <c r="A10280" s="12"/>
    </row>
    <row r="10281" spans="1:1" x14ac:dyDescent="0.3">
      <c r="A10281" s="12"/>
    </row>
    <row r="10282" spans="1:1" x14ac:dyDescent="0.3">
      <c r="A10282" s="12"/>
    </row>
    <row r="10283" spans="1:1" x14ac:dyDescent="0.3">
      <c r="A10283" s="12"/>
    </row>
    <row r="10284" spans="1:1" x14ac:dyDescent="0.3">
      <c r="A10284" s="12"/>
    </row>
    <row r="10285" spans="1:1" x14ac:dyDescent="0.3">
      <c r="A10285" s="12"/>
    </row>
    <row r="10286" spans="1:1" x14ac:dyDescent="0.3">
      <c r="A10286" s="12"/>
    </row>
    <row r="10287" spans="1:1" x14ac:dyDescent="0.3">
      <c r="A10287" s="12"/>
    </row>
    <row r="10288" spans="1:1" x14ac:dyDescent="0.3">
      <c r="A10288" s="12"/>
    </row>
    <row r="10289" spans="1:1" x14ac:dyDescent="0.3">
      <c r="A10289" s="12"/>
    </row>
    <row r="10290" spans="1:1" x14ac:dyDescent="0.3">
      <c r="A10290" s="12"/>
    </row>
    <row r="10291" spans="1:1" x14ac:dyDescent="0.3">
      <c r="A10291" s="12"/>
    </row>
    <row r="10292" spans="1:1" x14ac:dyDescent="0.3">
      <c r="A10292" s="12"/>
    </row>
    <row r="10293" spans="1:1" x14ac:dyDescent="0.3">
      <c r="A10293" s="12"/>
    </row>
    <row r="10294" spans="1:1" x14ac:dyDescent="0.3">
      <c r="A10294" s="12"/>
    </row>
    <row r="10295" spans="1:1" x14ac:dyDescent="0.3">
      <c r="A10295" s="12"/>
    </row>
    <row r="10296" spans="1:1" x14ac:dyDescent="0.3">
      <c r="A10296" s="12"/>
    </row>
    <row r="10297" spans="1:1" x14ac:dyDescent="0.3">
      <c r="A10297" s="12"/>
    </row>
    <row r="10298" spans="1:1" x14ac:dyDescent="0.3">
      <c r="A10298" s="12"/>
    </row>
    <row r="10299" spans="1:1" x14ac:dyDescent="0.3">
      <c r="A10299" s="12"/>
    </row>
    <row r="10300" spans="1:1" x14ac:dyDescent="0.3">
      <c r="A10300" s="12"/>
    </row>
    <row r="10301" spans="1:1" x14ac:dyDescent="0.3">
      <c r="A10301" s="12"/>
    </row>
    <row r="10302" spans="1:1" x14ac:dyDescent="0.3">
      <c r="A10302" s="12"/>
    </row>
    <row r="10303" spans="1:1" x14ac:dyDescent="0.3">
      <c r="A10303" s="12"/>
    </row>
    <row r="10304" spans="1:1" x14ac:dyDescent="0.3">
      <c r="A10304" s="12"/>
    </row>
    <row r="10305" spans="1:1" x14ac:dyDescent="0.3">
      <c r="A10305" s="12"/>
    </row>
    <row r="10306" spans="1:1" x14ac:dyDescent="0.3">
      <c r="A10306" s="12"/>
    </row>
    <row r="10307" spans="1:1" x14ac:dyDescent="0.3">
      <c r="A10307" s="12"/>
    </row>
    <row r="10308" spans="1:1" x14ac:dyDescent="0.3">
      <c r="A10308" s="12"/>
    </row>
    <row r="10309" spans="1:1" x14ac:dyDescent="0.3">
      <c r="A10309" s="12"/>
    </row>
    <row r="10310" spans="1:1" x14ac:dyDescent="0.3">
      <c r="A10310" s="12"/>
    </row>
    <row r="10311" spans="1:1" x14ac:dyDescent="0.3">
      <c r="A10311" s="12"/>
    </row>
    <row r="10312" spans="1:1" x14ac:dyDescent="0.3">
      <c r="A10312" s="12"/>
    </row>
    <row r="10313" spans="1:1" x14ac:dyDescent="0.3">
      <c r="A10313" s="12"/>
    </row>
    <row r="10314" spans="1:1" x14ac:dyDescent="0.3">
      <c r="A10314" s="12"/>
    </row>
    <row r="10315" spans="1:1" x14ac:dyDescent="0.3">
      <c r="A10315" s="12"/>
    </row>
    <row r="10316" spans="1:1" x14ac:dyDescent="0.3">
      <c r="A10316" s="12"/>
    </row>
    <row r="10317" spans="1:1" x14ac:dyDescent="0.3">
      <c r="A10317" s="12"/>
    </row>
    <row r="10318" spans="1:1" x14ac:dyDescent="0.3">
      <c r="A10318" s="12"/>
    </row>
    <row r="10319" spans="1:1" x14ac:dyDescent="0.3">
      <c r="A10319" s="12"/>
    </row>
    <row r="10320" spans="1:1" x14ac:dyDescent="0.3">
      <c r="A10320" s="12"/>
    </row>
    <row r="10321" spans="1:1" x14ac:dyDescent="0.3">
      <c r="A10321" s="12"/>
    </row>
    <row r="10322" spans="1:1" x14ac:dyDescent="0.3">
      <c r="A10322" s="12"/>
    </row>
    <row r="10323" spans="1:1" x14ac:dyDescent="0.3">
      <c r="A10323" s="12"/>
    </row>
    <row r="10324" spans="1:1" x14ac:dyDescent="0.3">
      <c r="A10324" s="12"/>
    </row>
    <row r="10325" spans="1:1" x14ac:dyDescent="0.3">
      <c r="A10325" s="12"/>
    </row>
    <row r="10326" spans="1:1" x14ac:dyDescent="0.3">
      <c r="A10326" s="12"/>
    </row>
    <row r="10327" spans="1:1" x14ac:dyDescent="0.3">
      <c r="A10327" s="12"/>
    </row>
    <row r="10328" spans="1:1" x14ac:dyDescent="0.3">
      <c r="A10328" s="12"/>
    </row>
    <row r="10329" spans="1:1" x14ac:dyDescent="0.3">
      <c r="A10329" s="12"/>
    </row>
    <row r="10330" spans="1:1" x14ac:dyDescent="0.3">
      <c r="A10330" s="12"/>
    </row>
    <row r="10331" spans="1:1" x14ac:dyDescent="0.3">
      <c r="A10331" s="12"/>
    </row>
    <row r="10332" spans="1:1" x14ac:dyDescent="0.3">
      <c r="A10332" s="12"/>
    </row>
    <row r="10333" spans="1:1" x14ac:dyDescent="0.3">
      <c r="A10333" s="12"/>
    </row>
    <row r="10334" spans="1:1" x14ac:dyDescent="0.3">
      <c r="A10334" s="12"/>
    </row>
    <row r="10335" spans="1:1" x14ac:dyDescent="0.3">
      <c r="A10335" s="12"/>
    </row>
    <row r="10336" spans="1:1" x14ac:dyDescent="0.3">
      <c r="A10336" s="12"/>
    </row>
    <row r="10337" spans="1:1" x14ac:dyDescent="0.3">
      <c r="A10337" s="12"/>
    </row>
    <row r="10338" spans="1:1" x14ac:dyDescent="0.3">
      <c r="A10338" s="12"/>
    </row>
    <row r="10339" spans="1:1" x14ac:dyDescent="0.3">
      <c r="A10339" s="12"/>
    </row>
    <row r="10340" spans="1:1" x14ac:dyDescent="0.3">
      <c r="A10340" s="12"/>
    </row>
    <row r="10341" spans="1:1" x14ac:dyDescent="0.3">
      <c r="A10341" s="12"/>
    </row>
    <row r="10342" spans="1:1" x14ac:dyDescent="0.3">
      <c r="A10342" s="12"/>
    </row>
    <row r="10343" spans="1:1" x14ac:dyDescent="0.3">
      <c r="A10343" s="12"/>
    </row>
    <row r="10344" spans="1:1" x14ac:dyDescent="0.3">
      <c r="A10344" s="12"/>
    </row>
    <row r="10345" spans="1:1" x14ac:dyDescent="0.3">
      <c r="A10345" s="12"/>
    </row>
    <row r="10346" spans="1:1" x14ac:dyDescent="0.3">
      <c r="A10346" s="12"/>
    </row>
    <row r="10347" spans="1:1" x14ac:dyDescent="0.3">
      <c r="A10347" s="12"/>
    </row>
    <row r="10348" spans="1:1" x14ac:dyDescent="0.3">
      <c r="A10348" s="12"/>
    </row>
    <row r="10349" spans="1:1" x14ac:dyDescent="0.3">
      <c r="A10349" s="12"/>
    </row>
    <row r="10350" spans="1:1" x14ac:dyDescent="0.3">
      <c r="A10350" s="12"/>
    </row>
    <row r="10351" spans="1:1" x14ac:dyDescent="0.3">
      <c r="A10351" s="12"/>
    </row>
    <row r="10352" spans="1:1" x14ac:dyDescent="0.3">
      <c r="A10352" s="12"/>
    </row>
    <row r="10353" spans="1:1" x14ac:dyDescent="0.3">
      <c r="A10353" s="12"/>
    </row>
    <row r="10354" spans="1:1" x14ac:dyDescent="0.3">
      <c r="A10354" s="12"/>
    </row>
    <row r="10355" spans="1:1" x14ac:dyDescent="0.3">
      <c r="A10355" s="12"/>
    </row>
    <row r="10356" spans="1:1" x14ac:dyDescent="0.3">
      <c r="A10356" s="12"/>
    </row>
    <row r="10357" spans="1:1" x14ac:dyDescent="0.3">
      <c r="A10357" s="12"/>
    </row>
    <row r="10358" spans="1:1" x14ac:dyDescent="0.3">
      <c r="A10358" s="12"/>
    </row>
    <row r="10359" spans="1:1" x14ac:dyDescent="0.3">
      <c r="A10359" s="12"/>
    </row>
    <row r="10360" spans="1:1" x14ac:dyDescent="0.3">
      <c r="A10360" s="12"/>
    </row>
    <row r="10361" spans="1:1" x14ac:dyDescent="0.3">
      <c r="A10361" s="12"/>
    </row>
    <row r="10362" spans="1:1" x14ac:dyDescent="0.3">
      <c r="A10362" s="12"/>
    </row>
    <row r="10363" spans="1:1" x14ac:dyDescent="0.3">
      <c r="A10363" s="12"/>
    </row>
    <row r="10364" spans="1:1" x14ac:dyDescent="0.3">
      <c r="A10364" s="12"/>
    </row>
    <row r="10365" spans="1:1" x14ac:dyDescent="0.3">
      <c r="A10365" s="12"/>
    </row>
    <row r="10366" spans="1:1" x14ac:dyDescent="0.3">
      <c r="A10366" s="12"/>
    </row>
    <row r="10367" spans="1:1" x14ac:dyDescent="0.3">
      <c r="A10367" s="12"/>
    </row>
    <row r="10368" spans="1:1" x14ac:dyDescent="0.3">
      <c r="A10368" s="12"/>
    </row>
    <row r="10369" spans="1:1" x14ac:dyDescent="0.3">
      <c r="A10369" s="12"/>
    </row>
    <row r="10370" spans="1:1" x14ac:dyDescent="0.3">
      <c r="A10370" s="12"/>
    </row>
    <row r="10371" spans="1:1" x14ac:dyDescent="0.3">
      <c r="A10371" s="12"/>
    </row>
    <row r="10372" spans="1:1" x14ac:dyDescent="0.3">
      <c r="A10372" s="12"/>
    </row>
    <row r="10373" spans="1:1" x14ac:dyDescent="0.3">
      <c r="A10373" s="12"/>
    </row>
    <row r="10374" spans="1:1" x14ac:dyDescent="0.3">
      <c r="A10374" s="12"/>
    </row>
    <row r="10375" spans="1:1" x14ac:dyDescent="0.3">
      <c r="A10375" s="12"/>
    </row>
    <row r="10376" spans="1:1" x14ac:dyDescent="0.3">
      <c r="A10376" s="12"/>
    </row>
    <row r="10377" spans="1:1" x14ac:dyDescent="0.3">
      <c r="A10377" s="12"/>
    </row>
    <row r="10378" spans="1:1" x14ac:dyDescent="0.3">
      <c r="A10378" s="12"/>
    </row>
    <row r="10379" spans="1:1" x14ac:dyDescent="0.3">
      <c r="A10379" s="12"/>
    </row>
    <row r="10380" spans="1:1" x14ac:dyDescent="0.3">
      <c r="A10380" s="12"/>
    </row>
    <row r="10381" spans="1:1" x14ac:dyDescent="0.3">
      <c r="A10381" s="12"/>
    </row>
    <row r="10382" spans="1:1" x14ac:dyDescent="0.3">
      <c r="A10382" s="12"/>
    </row>
    <row r="10383" spans="1:1" x14ac:dyDescent="0.3">
      <c r="A10383" s="12"/>
    </row>
    <row r="10384" spans="1:1" x14ac:dyDescent="0.3">
      <c r="A10384" s="12"/>
    </row>
    <row r="10385" spans="1:1" x14ac:dyDescent="0.3">
      <c r="A10385" s="12"/>
    </row>
    <row r="10386" spans="1:1" x14ac:dyDescent="0.3">
      <c r="A10386" s="12"/>
    </row>
    <row r="10387" spans="1:1" x14ac:dyDescent="0.3">
      <c r="A10387" s="12"/>
    </row>
    <row r="10388" spans="1:1" x14ac:dyDescent="0.3">
      <c r="A10388" s="12"/>
    </row>
    <row r="10389" spans="1:1" x14ac:dyDescent="0.3">
      <c r="A10389" s="12"/>
    </row>
    <row r="10390" spans="1:1" x14ac:dyDescent="0.3">
      <c r="A10390" s="12"/>
    </row>
    <row r="10391" spans="1:1" x14ac:dyDescent="0.3">
      <c r="A10391" s="12"/>
    </row>
    <row r="10392" spans="1:1" x14ac:dyDescent="0.3">
      <c r="A10392" s="12"/>
    </row>
    <row r="10393" spans="1:1" x14ac:dyDescent="0.3">
      <c r="A10393" s="12"/>
    </row>
    <row r="10394" spans="1:1" x14ac:dyDescent="0.3">
      <c r="A10394" s="12"/>
    </row>
    <row r="10395" spans="1:1" x14ac:dyDescent="0.3">
      <c r="A10395" s="12"/>
    </row>
    <row r="10396" spans="1:1" x14ac:dyDescent="0.3">
      <c r="A10396" s="12"/>
    </row>
    <row r="10397" spans="1:1" x14ac:dyDescent="0.3">
      <c r="A10397" s="12"/>
    </row>
    <row r="10398" spans="1:1" x14ac:dyDescent="0.3">
      <c r="A10398" s="12"/>
    </row>
    <row r="10399" spans="1:1" x14ac:dyDescent="0.3">
      <c r="A10399" s="12"/>
    </row>
    <row r="10400" spans="1:1" x14ac:dyDescent="0.3">
      <c r="A10400" s="12"/>
    </row>
    <row r="10401" spans="1:1" x14ac:dyDescent="0.3">
      <c r="A10401" s="12"/>
    </row>
    <row r="10402" spans="1:1" x14ac:dyDescent="0.3">
      <c r="A10402" s="12"/>
    </row>
    <row r="10403" spans="1:1" x14ac:dyDescent="0.3">
      <c r="A10403" s="12"/>
    </row>
    <row r="10404" spans="1:1" x14ac:dyDescent="0.3">
      <c r="A10404" s="12"/>
    </row>
    <row r="10405" spans="1:1" x14ac:dyDescent="0.3">
      <c r="A10405" s="12"/>
    </row>
    <row r="10406" spans="1:1" x14ac:dyDescent="0.3">
      <c r="A10406" s="12"/>
    </row>
    <row r="10407" spans="1:1" x14ac:dyDescent="0.3">
      <c r="A10407" s="12"/>
    </row>
    <row r="10408" spans="1:1" x14ac:dyDescent="0.3">
      <c r="A10408" s="12"/>
    </row>
    <row r="10409" spans="1:1" x14ac:dyDescent="0.3">
      <c r="A10409" s="12"/>
    </row>
    <row r="10410" spans="1:1" x14ac:dyDescent="0.3">
      <c r="A10410" s="12"/>
    </row>
    <row r="10411" spans="1:1" x14ac:dyDescent="0.3">
      <c r="A10411" s="12"/>
    </row>
    <row r="10412" spans="1:1" x14ac:dyDescent="0.3">
      <c r="A10412" s="12"/>
    </row>
    <row r="10413" spans="1:1" x14ac:dyDescent="0.3">
      <c r="A10413" s="12"/>
    </row>
    <row r="10414" spans="1:1" x14ac:dyDescent="0.3">
      <c r="A10414" s="12"/>
    </row>
    <row r="10415" spans="1:1" x14ac:dyDescent="0.3">
      <c r="A10415" s="12"/>
    </row>
    <row r="10416" spans="1:1" x14ac:dyDescent="0.3">
      <c r="A10416" s="12"/>
    </row>
    <row r="10417" spans="1:1" x14ac:dyDescent="0.3">
      <c r="A10417" s="12"/>
    </row>
    <row r="10418" spans="1:1" x14ac:dyDescent="0.3">
      <c r="A10418" s="12"/>
    </row>
    <row r="10419" spans="1:1" x14ac:dyDescent="0.3">
      <c r="A10419" s="12"/>
    </row>
    <row r="10420" spans="1:1" x14ac:dyDescent="0.3">
      <c r="A10420" s="12"/>
    </row>
    <row r="10421" spans="1:1" x14ac:dyDescent="0.3">
      <c r="A10421" s="12"/>
    </row>
    <row r="10422" spans="1:1" x14ac:dyDescent="0.3">
      <c r="A10422" s="12"/>
    </row>
    <row r="10423" spans="1:1" x14ac:dyDescent="0.3">
      <c r="A10423" s="12"/>
    </row>
    <row r="10424" spans="1:1" x14ac:dyDescent="0.3">
      <c r="A10424" s="12"/>
    </row>
    <row r="10425" spans="1:1" x14ac:dyDescent="0.3">
      <c r="A10425" s="12"/>
    </row>
    <row r="10426" spans="1:1" x14ac:dyDescent="0.3">
      <c r="A10426" s="12"/>
    </row>
    <row r="10427" spans="1:1" x14ac:dyDescent="0.3">
      <c r="A10427" s="12"/>
    </row>
    <row r="10428" spans="1:1" x14ac:dyDescent="0.3">
      <c r="A10428" s="12"/>
    </row>
    <row r="10429" spans="1:1" x14ac:dyDescent="0.3">
      <c r="A10429" s="12"/>
    </row>
    <row r="10430" spans="1:1" x14ac:dyDescent="0.3">
      <c r="A10430" s="12"/>
    </row>
    <row r="10431" spans="1:1" x14ac:dyDescent="0.3">
      <c r="A10431" s="12"/>
    </row>
    <row r="10432" spans="1:1" x14ac:dyDescent="0.3">
      <c r="A10432" s="12"/>
    </row>
    <row r="10433" spans="1:1" x14ac:dyDescent="0.3">
      <c r="A10433" s="12"/>
    </row>
    <row r="10434" spans="1:1" x14ac:dyDescent="0.3">
      <c r="A10434" s="12"/>
    </row>
    <row r="10435" spans="1:1" x14ac:dyDescent="0.3">
      <c r="A10435" s="12"/>
    </row>
    <row r="10436" spans="1:1" x14ac:dyDescent="0.3">
      <c r="A10436" s="12"/>
    </row>
    <row r="10437" spans="1:1" x14ac:dyDescent="0.3">
      <c r="A10437" s="12"/>
    </row>
    <row r="10438" spans="1:1" x14ac:dyDescent="0.3">
      <c r="A10438" s="12"/>
    </row>
    <row r="10439" spans="1:1" x14ac:dyDescent="0.3">
      <c r="A10439" s="12"/>
    </row>
    <row r="10440" spans="1:1" x14ac:dyDescent="0.3">
      <c r="A10440" s="12"/>
    </row>
    <row r="10441" spans="1:1" x14ac:dyDescent="0.3">
      <c r="A10441" s="12"/>
    </row>
    <row r="10442" spans="1:1" x14ac:dyDescent="0.3">
      <c r="A10442" s="12"/>
    </row>
    <row r="10443" spans="1:1" x14ac:dyDescent="0.3">
      <c r="A10443" s="12"/>
    </row>
    <row r="10444" spans="1:1" x14ac:dyDescent="0.3">
      <c r="A10444" s="12"/>
    </row>
    <row r="10445" spans="1:1" x14ac:dyDescent="0.3">
      <c r="A10445" s="12"/>
    </row>
    <row r="10446" spans="1:1" x14ac:dyDescent="0.3">
      <c r="A10446" s="12"/>
    </row>
    <row r="10447" spans="1:1" x14ac:dyDescent="0.3">
      <c r="A10447" s="12"/>
    </row>
    <row r="10448" spans="1:1" x14ac:dyDescent="0.3">
      <c r="A10448" s="12"/>
    </row>
    <row r="10449" spans="1:1" x14ac:dyDescent="0.3">
      <c r="A10449" s="12"/>
    </row>
    <row r="10450" spans="1:1" x14ac:dyDescent="0.3">
      <c r="A10450" s="12"/>
    </row>
    <row r="10451" spans="1:1" x14ac:dyDescent="0.3">
      <c r="A10451" s="12"/>
    </row>
    <row r="10452" spans="1:1" x14ac:dyDescent="0.3">
      <c r="A10452" s="12"/>
    </row>
    <row r="10453" spans="1:1" x14ac:dyDescent="0.3">
      <c r="A10453" s="12"/>
    </row>
    <row r="10454" spans="1:1" x14ac:dyDescent="0.3">
      <c r="A10454" s="12"/>
    </row>
    <row r="10455" spans="1:1" x14ac:dyDescent="0.3">
      <c r="A10455" s="12"/>
    </row>
    <row r="10456" spans="1:1" x14ac:dyDescent="0.3">
      <c r="A10456" s="12"/>
    </row>
    <row r="10457" spans="1:1" x14ac:dyDescent="0.3">
      <c r="A10457" s="12"/>
    </row>
    <row r="10458" spans="1:1" x14ac:dyDescent="0.3">
      <c r="A10458" s="12"/>
    </row>
    <row r="10459" spans="1:1" x14ac:dyDescent="0.3">
      <c r="A10459" s="12"/>
    </row>
    <row r="10460" spans="1:1" x14ac:dyDescent="0.3">
      <c r="A10460" s="12"/>
    </row>
    <row r="10461" spans="1:1" x14ac:dyDescent="0.3">
      <c r="A10461" s="12"/>
    </row>
    <row r="10462" spans="1:1" x14ac:dyDescent="0.3">
      <c r="A10462" s="12"/>
    </row>
    <row r="10463" spans="1:1" x14ac:dyDescent="0.3">
      <c r="A10463" s="12"/>
    </row>
    <row r="10464" spans="1:1" x14ac:dyDescent="0.3">
      <c r="A10464" s="12"/>
    </row>
    <row r="10465" spans="1:1" x14ac:dyDescent="0.3">
      <c r="A10465" s="12"/>
    </row>
    <row r="10466" spans="1:1" x14ac:dyDescent="0.3">
      <c r="A10466" s="12"/>
    </row>
    <row r="10467" spans="1:1" x14ac:dyDescent="0.3">
      <c r="A10467" s="12"/>
    </row>
    <row r="10468" spans="1:1" x14ac:dyDescent="0.3">
      <c r="A10468" s="12"/>
    </row>
    <row r="10469" spans="1:1" x14ac:dyDescent="0.3">
      <c r="A10469" s="12"/>
    </row>
    <row r="10470" spans="1:1" x14ac:dyDescent="0.3">
      <c r="A10470" s="12"/>
    </row>
    <row r="10471" spans="1:1" x14ac:dyDescent="0.3">
      <c r="A10471" s="12"/>
    </row>
    <row r="10472" spans="1:1" x14ac:dyDescent="0.3">
      <c r="A10472" s="12"/>
    </row>
    <row r="10473" spans="1:1" x14ac:dyDescent="0.3">
      <c r="A10473" s="12"/>
    </row>
    <row r="10474" spans="1:1" x14ac:dyDescent="0.3">
      <c r="A10474" s="12"/>
    </row>
    <row r="10475" spans="1:1" x14ac:dyDescent="0.3">
      <c r="A10475" s="12"/>
    </row>
    <row r="10476" spans="1:1" x14ac:dyDescent="0.3">
      <c r="A10476" s="12"/>
    </row>
    <row r="10477" spans="1:1" x14ac:dyDescent="0.3">
      <c r="A10477" s="12"/>
    </row>
    <row r="10478" spans="1:1" x14ac:dyDescent="0.3">
      <c r="A10478" s="12"/>
    </row>
    <row r="10479" spans="1:1" x14ac:dyDescent="0.3">
      <c r="A10479" s="12"/>
    </row>
    <row r="10480" spans="1:1" x14ac:dyDescent="0.3">
      <c r="A10480" s="12"/>
    </row>
    <row r="10481" spans="1:1" x14ac:dyDescent="0.3">
      <c r="A10481" s="12"/>
    </row>
    <row r="10482" spans="1:1" x14ac:dyDescent="0.3">
      <c r="A10482" s="12"/>
    </row>
    <row r="10483" spans="1:1" x14ac:dyDescent="0.3">
      <c r="A10483" s="12"/>
    </row>
    <row r="10484" spans="1:1" x14ac:dyDescent="0.3">
      <c r="A10484" s="12"/>
    </row>
    <row r="10485" spans="1:1" x14ac:dyDescent="0.3">
      <c r="A10485" s="12"/>
    </row>
    <row r="10486" spans="1:1" x14ac:dyDescent="0.3">
      <c r="A10486" s="12"/>
    </row>
    <row r="10487" spans="1:1" x14ac:dyDescent="0.3">
      <c r="A10487" s="12"/>
    </row>
    <row r="10488" spans="1:1" x14ac:dyDescent="0.3">
      <c r="A10488" s="12"/>
    </row>
    <row r="10489" spans="1:1" x14ac:dyDescent="0.3">
      <c r="A10489" s="12"/>
    </row>
    <row r="10490" spans="1:1" x14ac:dyDescent="0.3">
      <c r="A10490" s="12"/>
    </row>
    <row r="10491" spans="1:1" x14ac:dyDescent="0.3">
      <c r="A10491" s="12"/>
    </row>
    <row r="10492" spans="1:1" x14ac:dyDescent="0.3">
      <c r="A10492" s="12"/>
    </row>
    <row r="10493" spans="1:1" x14ac:dyDescent="0.3">
      <c r="A10493" s="12"/>
    </row>
    <row r="10494" spans="1:1" x14ac:dyDescent="0.3">
      <c r="A10494" s="12"/>
    </row>
    <row r="10495" spans="1:1" x14ac:dyDescent="0.3">
      <c r="A10495" s="12"/>
    </row>
    <row r="10496" spans="1:1" x14ac:dyDescent="0.3">
      <c r="A10496" s="12"/>
    </row>
    <row r="10497" spans="1:1" x14ac:dyDescent="0.3">
      <c r="A10497" s="12"/>
    </row>
    <row r="10498" spans="1:1" x14ac:dyDescent="0.3">
      <c r="A10498" s="12"/>
    </row>
    <row r="10499" spans="1:1" x14ac:dyDescent="0.3">
      <c r="A10499" s="12"/>
    </row>
    <row r="10500" spans="1:1" x14ac:dyDescent="0.3">
      <c r="A10500" s="12"/>
    </row>
    <row r="10501" spans="1:1" x14ac:dyDescent="0.3">
      <c r="A10501" s="12"/>
    </row>
    <row r="10502" spans="1:1" x14ac:dyDescent="0.3">
      <c r="A10502" s="12"/>
    </row>
    <row r="10503" spans="1:1" x14ac:dyDescent="0.3">
      <c r="A10503" s="12"/>
    </row>
    <row r="10504" spans="1:1" x14ac:dyDescent="0.3">
      <c r="A10504" s="12"/>
    </row>
    <row r="10505" spans="1:1" x14ac:dyDescent="0.3">
      <c r="A10505" s="12"/>
    </row>
    <row r="10506" spans="1:1" x14ac:dyDescent="0.3">
      <c r="A10506" s="12"/>
    </row>
    <row r="10507" spans="1:1" x14ac:dyDescent="0.3">
      <c r="A10507" s="12"/>
    </row>
    <row r="10508" spans="1:1" x14ac:dyDescent="0.3">
      <c r="A10508" s="12"/>
    </row>
    <row r="10509" spans="1:1" x14ac:dyDescent="0.3">
      <c r="A10509" s="12"/>
    </row>
    <row r="10510" spans="1:1" x14ac:dyDescent="0.3">
      <c r="A10510" s="12"/>
    </row>
    <row r="10511" spans="1:1" x14ac:dyDescent="0.3">
      <c r="A10511" s="12"/>
    </row>
    <row r="10512" spans="1:1" x14ac:dyDescent="0.3">
      <c r="A10512" s="12"/>
    </row>
    <row r="10513" spans="1:1" x14ac:dyDescent="0.3">
      <c r="A10513" s="12"/>
    </row>
    <row r="10514" spans="1:1" x14ac:dyDescent="0.3">
      <c r="A10514" s="12"/>
    </row>
    <row r="10515" spans="1:1" x14ac:dyDescent="0.3">
      <c r="A10515" s="12"/>
    </row>
    <row r="10516" spans="1:1" x14ac:dyDescent="0.3">
      <c r="A10516" s="12"/>
    </row>
    <row r="10517" spans="1:1" x14ac:dyDescent="0.3">
      <c r="A10517" s="12"/>
    </row>
    <row r="10518" spans="1:1" x14ac:dyDescent="0.3">
      <c r="A10518" s="12"/>
    </row>
    <row r="10519" spans="1:1" x14ac:dyDescent="0.3">
      <c r="A10519" s="12"/>
    </row>
    <row r="10520" spans="1:1" x14ac:dyDescent="0.3">
      <c r="A10520" s="12"/>
    </row>
    <row r="10521" spans="1:1" x14ac:dyDescent="0.3">
      <c r="A10521" s="12"/>
    </row>
    <row r="10522" spans="1:1" x14ac:dyDescent="0.3">
      <c r="A10522" s="12"/>
    </row>
    <row r="10523" spans="1:1" x14ac:dyDescent="0.3">
      <c r="A10523" s="12"/>
    </row>
    <row r="10524" spans="1:1" x14ac:dyDescent="0.3">
      <c r="A10524" s="12"/>
    </row>
    <row r="10525" spans="1:1" x14ac:dyDescent="0.3">
      <c r="A10525" s="12"/>
    </row>
    <row r="10526" spans="1:1" x14ac:dyDescent="0.3">
      <c r="A10526" s="12"/>
    </row>
    <row r="10527" spans="1:1" x14ac:dyDescent="0.3">
      <c r="A10527" s="12"/>
    </row>
    <row r="10528" spans="1:1" x14ac:dyDescent="0.3">
      <c r="A10528" s="12"/>
    </row>
    <row r="10529" spans="1:1" x14ac:dyDescent="0.3">
      <c r="A10529" s="12"/>
    </row>
    <row r="10530" spans="1:1" x14ac:dyDescent="0.3">
      <c r="A10530" s="12"/>
    </row>
    <row r="10531" spans="1:1" x14ac:dyDescent="0.3">
      <c r="A10531" s="12"/>
    </row>
    <row r="10532" spans="1:1" x14ac:dyDescent="0.3">
      <c r="A10532" s="12"/>
    </row>
    <row r="10533" spans="1:1" x14ac:dyDescent="0.3">
      <c r="A10533" s="12"/>
    </row>
    <row r="10534" spans="1:1" x14ac:dyDescent="0.3">
      <c r="A10534" s="12"/>
    </row>
    <row r="10535" spans="1:1" x14ac:dyDescent="0.3">
      <c r="A10535" s="12"/>
    </row>
    <row r="10536" spans="1:1" x14ac:dyDescent="0.3">
      <c r="A10536" s="12"/>
    </row>
    <row r="10537" spans="1:1" x14ac:dyDescent="0.3">
      <c r="A10537" s="12"/>
    </row>
    <row r="10538" spans="1:1" x14ac:dyDescent="0.3">
      <c r="A10538" s="12"/>
    </row>
    <row r="10539" spans="1:1" x14ac:dyDescent="0.3">
      <c r="A10539" s="12"/>
    </row>
    <row r="10540" spans="1:1" x14ac:dyDescent="0.3">
      <c r="A10540" s="12"/>
    </row>
    <row r="10541" spans="1:1" x14ac:dyDescent="0.3">
      <c r="A10541" s="12"/>
    </row>
    <row r="10542" spans="1:1" x14ac:dyDescent="0.3">
      <c r="A10542" s="12"/>
    </row>
    <row r="10543" spans="1:1" x14ac:dyDescent="0.3">
      <c r="A10543" s="12"/>
    </row>
    <row r="10544" spans="1:1" x14ac:dyDescent="0.3">
      <c r="A10544" s="12"/>
    </row>
    <row r="10545" spans="1:1" x14ac:dyDescent="0.3">
      <c r="A10545" s="12"/>
    </row>
    <row r="10546" spans="1:1" x14ac:dyDescent="0.3">
      <c r="A10546" s="12"/>
    </row>
    <row r="10547" spans="1:1" x14ac:dyDescent="0.3">
      <c r="A10547" s="12"/>
    </row>
    <row r="10548" spans="1:1" x14ac:dyDescent="0.3">
      <c r="A10548" s="12"/>
    </row>
    <row r="10549" spans="1:1" x14ac:dyDescent="0.3">
      <c r="A10549" s="12"/>
    </row>
    <row r="10550" spans="1:1" x14ac:dyDescent="0.3">
      <c r="A10550" s="12"/>
    </row>
    <row r="10551" spans="1:1" x14ac:dyDescent="0.3">
      <c r="A10551" s="12"/>
    </row>
    <row r="10552" spans="1:1" x14ac:dyDescent="0.3">
      <c r="A10552" s="12"/>
    </row>
    <row r="10553" spans="1:1" x14ac:dyDescent="0.3">
      <c r="A10553" s="12"/>
    </row>
    <row r="10554" spans="1:1" x14ac:dyDescent="0.3">
      <c r="A10554" s="12"/>
    </row>
    <row r="10555" spans="1:1" x14ac:dyDescent="0.3">
      <c r="A10555" s="12"/>
    </row>
    <row r="10556" spans="1:1" x14ac:dyDescent="0.3">
      <c r="A10556" s="12"/>
    </row>
    <row r="10557" spans="1:1" x14ac:dyDescent="0.3">
      <c r="A10557" s="12"/>
    </row>
    <row r="10558" spans="1:1" x14ac:dyDescent="0.3">
      <c r="A10558" s="12"/>
    </row>
    <row r="10559" spans="1:1" x14ac:dyDescent="0.3">
      <c r="A10559" s="12"/>
    </row>
    <row r="10560" spans="1:1" x14ac:dyDescent="0.3">
      <c r="A10560" s="12"/>
    </row>
    <row r="10561" spans="1:1" x14ac:dyDescent="0.3">
      <c r="A10561" s="12"/>
    </row>
    <row r="10562" spans="1:1" x14ac:dyDescent="0.3">
      <c r="A10562" s="12"/>
    </row>
    <row r="10563" spans="1:1" x14ac:dyDescent="0.3">
      <c r="A10563" s="12"/>
    </row>
    <row r="10564" spans="1:1" x14ac:dyDescent="0.3">
      <c r="A10564" s="12"/>
    </row>
    <row r="10565" spans="1:1" x14ac:dyDescent="0.3">
      <c r="A10565" s="12"/>
    </row>
    <row r="10566" spans="1:1" x14ac:dyDescent="0.3">
      <c r="A10566" s="12"/>
    </row>
    <row r="10567" spans="1:1" x14ac:dyDescent="0.3">
      <c r="A10567" s="12"/>
    </row>
    <row r="10568" spans="1:1" x14ac:dyDescent="0.3">
      <c r="A10568" s="12"/>
    </row>
    <row r="10569" spans="1:1" x14ac:dyDescent="0.3">
      <c r="A10569" s="12"/>
    </row>
    <row r="10570" spans="1:1" x14ac:dyDescent="0.3">
      <c r="A10570" s="12"/>
    </row>
    <row r="10571" spans="1:1" x14ac:dyDescent="0.3">
      <c r="A10571" s="12"/>
    </row>
    <row r="10572" spans="1:1" x14ac:dyDescent="0.3">
      <c r="A10572" s="12"/>
    </row>
    <row r="10573" spans="1:1" x14ac:dyDescent="0.3">
      <c r="A10573" s="12"/>
    </row>
    <row r="10574" spans="1:1" x14ac:dyDescent="0.3">
      <c r="A10574" s="12"/>
    </row>
    <row r="10575" spans="1:1" x14ac:dyDescent="0.3">
      <c r="A10575" s="12"/>
    </row>
    <row r="10576" spans="1:1" x14ac:dyDescent="0.3">
      <c r="A10576" s="12"/>
    </row>
    <row r="10577" spans="1:1" x14ac:dyDescent="0.3">
      <c r="A10577" s="12"/>
    </row>
    <row r="10578" spans="1:1" x14ac:dyDescent="0.3">
      <c r="A10578" s="12"/>
    </row>
    <row r="10579" spans="1:1" x14ac:dyDescent="0.3">
      <c r="A10579" s="12"/>
    </row>
    <row r="10580" spans="1:1" x14ac:dyDescent="0.3">
      <c r="A10580" s="12"/>
    </row>
    <row r="10581" spans="1:1" x14ac:dyDescent="0.3">
      <c r="A10581" s="12"/>
    </row>
    <row r="10582" spans="1:1" x14ac:dyDescent="0.3">
      <c r="A10582" s="12"/>
    </row>
    <row r="10583" spans="1:1" x14ac:dyDescent="0.3">
      <c r="A10583" s="12"/>
    </row>
    <row r="10584" spans="1:1" x14ac:dyDescent="0.3">
      <c r="A10584" s="12"/>
    </row>
    <row r="10585" spans="1:1" x14ac:dyDescent="0.3">
      <c r="A10585" s="12"/>
    </row>
    <row r="10586" spans="1:1" x14ac:dyDescent="0.3">
      <c r="A10586" s="12"/>
    </row>
    <row r="10587" spans="1:1" x14ac:dyDescent="0.3">
      <c r="A10587" s="12"/>
    </row>
    <row r="10588" spans="1:1" x14ac:dyDescent="0.3">
      <c r="A10588" s="12"/>
    </row>
    <row r="10589" spans="1:1" x14ac:dyDescent="0.3">
      <c r="A10589" s="12"/>
    </row>
    <row r="10590" spans="1:1" x14ac:dyDescent="0.3">
      <c r="A10590" s="12"/>
    </row>
    <row r="10591" spans="1:1" x14ac:dyDescent="0.3">
      <c r="A10591" s="12"/>
    </row>
    <row r="10592" spans="1:1" x14ac:dyDescent="0.3">
      <c r="A10592" s="12"/>
    </row>
    <row r="10593" spans="1:1" x14ac:dyDescent="0.3">
      <c r="A10593" s="12"/>
    </row>
    <row r="10594" spans="1:1" x14ac:dyDescent="0.3">
      <c r="A10594" s="12"/>
    </row>
    <row r="10595" spans="1:1" x14ac:dyDescent="0.3">
      <c r="A10595" s="12"/>
    </row>
    <row r="10596" spans="1:1" x14ac:dyDescent="0.3">
      <c r="A10596" s="12"/>
    </row>
    <row r="10597" spans="1:1" x14ac:dyDescent="0.3">
      <c r="A10597" s="12"/>
    </row>
    <row r="10598" spans="1:1" x14ac:dyDescent="0.3">
      <c r="A10598" s="12"/>
    </row>
    <row r="10599" spans="1:1" x14ac:dyDescent="0.3">
      <c r="A10599" s="12"/>
    </row>
    <row r="10600" spans="1:1" x14ac:dyDescent="0.3">
      <c r="A10600" s="12"/>
    </row>
    <row r="10601" spans="1:1" x14ac:dyDescent="0.3">
      <c r="A10601" s="12"/>
    </row>
    <row r="10602" spans="1:1" x14ac:dyDescent="0.3">
      <c r="A10602" s="12"/>
    </row>
    <row r="10603" spans="1:1" x14ac:dyDescent="0.3">
      <c r="A10603" s="12"/>
    </row>
    <row r="10604" spans="1:1" x14ac:dyDescent="0.3">
      <c r="A10604" s="12"/>
    </row>
    <row r="10605" spans="1:1" x14ac:dyDescent="0.3">
      <c r="A10605" s="12"/>
    </row>
    <row r="10606" spans="1:1" x14ac:dyDescent="0.3">
      <c r="A10606" s="12"/>
    </row>
    <row r="10607" spans="1:1" x14ac:dyDescent="0.3">
      <c r="A10607" s="12"/>
    </row>
    <row r="10608" spans="1:1" x14ac:dyDescent="0.3">
      <c r="A10608" s="12"/>
    </row>
    <row r="10609" spans="1:1" x14ac:dyDescent="0.3">
      <c r="A10609" s="12"/>
    </row>
    <row r="10610" spans="1:1" x14ac:dyDescent="0.3">
      <c r="A10610" s="12"/>
    </row>
    <row r="10611" spans="1:1" x14ac:dyDescent="0.3">
      <c r="A10611" s="12"/>
    </row>
    <row r="10612" spans="1:1" x14ac:dyDescent="0.3">
      <c r="A10612" s="12"/>
    </row>
    <row r="10613" spans="1:1" x14ac:dyDescent="0.3">
      <c r="A10613" s="12"/>
    </row>
    <row r="10614" spans="1:1" x14ac:dyDescent="0.3">
      <c r="A10614" s="12"/>
    </row>
    <row r="10615" spans="1:1" x14ac:dyDescent="0.3">
      <c r="A10615" s="12"/>
    </row>
    <row r="10616" spans="1:1" x14ac:dyDescent="0.3">
      <c r="A10616" s="12"/>
    </row>
    <row r="10617" spans="1:1" x14ac:dyDescent="0.3">
      <c r="A10617" s="12"/>
    </row>
    <row r="10618" spans="1:1" x14ac:dyDescent="0.3">
      <c r="A10618" s="12"/>
    </row>
    <row r="10619" spans="1:1" x14ac:dyDescent="0.3">
      <c r="A10619" s="12"/>
    </row>
    <row r="10620" spans="1:1" x14ac:dyDescent="0.3">
      <c r="A10620" s="12"/>
    </row>
    <row r="10621" spans="1:1" x14ac:dyDescent="0.3">
      <c r="A10621" s="12"/>
    </row>
    <row r="10622" spans="1:1" x14ac:dyDescent="0.3">
      <c r="A10622" s="12"/>
    </row>
    <row r="10623" spans="1:1" x14ac:dyDescent="0.3">
      <c r="A10623" s="12"/>
    </row>
    <row r="10624" spans="1:1" x14ac:dyDescent="0.3">
      <c r="A10624" s="12"/>
    </row>
    <row r="10625" spans="1:1" x14ac:dyDescent="0.3">
      <c r="A10625" s="12"/>
    </row>
    <row r="10626" spans="1:1" x14ac:dyDescent="0.3">
      <c r="A10626" s="12"/>
    </row>
    <row r="10627" spans="1:1" x14ac:dyDescent="0.3">
      <c r="A10627" s="12"/>
    </row>
    <row r="10628" spans="1:1" x14ac:dyDescent="0.3">
      <c r="A10628" s="12"/>
    </row>
    <row r="10629" spans="1:1" x14ac:dyDescent="0.3">
      <c r="A10629" s="12"/>
    </row>
    <row r="10630" spans="1:1" x14ac:dyDescent="0.3">
      <c r="A10630" s="12"/>
    </row>
    <row r="10631" spans="1:1" x14ac:dyDescent="0.3">
      <c r="A10631" s="12"/>
    </row>
    <row r="10632" spans="1:1" x14ac:dyDescent="0.3">
      <c r="A10632" s="12"/>
    </row>
    <row r="10633" spans="1:1" x14ac:dyDescent="0.3">
      <c r="A10633" s="12"/>
    </row>
    <row r="10634" spans="1:1" x14ac:dyDescent="0.3">
      <c r="A10634" s="12"/>
    </row>
    <row r="10635" spans="1:1" x14ac:dyDescent="0.3">
      <c r="A10635" s="12"/>
    </row>
    <row r="10636" spans="1:1" x14ac:dyDescent="0.3">
      <c r="A10636" s="12"/>
    </row>
    <row r="10637" spans="1:1" x14ac:dyDescent="0.3">
      <c r="A10637" s="12"/>
    </row>
    <row r="10638" spans="1:1" x14ac:dyDescent="0.3">
      <c r="A10638" s="12"/>
    </row>
    <row r="10639" spans="1:1" x14ac:dyDescent="0.3">
      <c r="A10639" s="12"/>
    </row>
    <row r="10640" spans="1:1" x14ac:dyDescent="0.3">
      <c r="A10640" s="12"/>
    </row>
    <row r="10641" spans="1:1" x14ac:dyDescent="0.3">
      <c r="A10641" s="12"/>
    </row>
    <row r="10642" spans="1:1" x14ac:dyDescent="0.3">
      <c r="A10642" s="12"/>
    </row>
    <row r="10643" spans="1:1" x14ac:dyDescent="0.3">
      <c r="A10643" s="12"/>
    </row>
    <row r="10644" spans="1:1" x14ac:dyDescent="0.3">
      <c r="A10644" s="12"/>
    </row>
    <row r="10645" spans="1:1" x14ac:dyDescent="0.3">
      <c r="A10645" s="12"/>
    </row>
    <row r="10646" spans="1:1" x14ac:dyDescent="0.3">
      <c r="A10646" s="12"/>
    </row>
    <row r="10647" spans="1:1" x14ac:dyDescent="0.3">
      <c r="A10647" s="12"/>
    </row>
    <row r="10648" spans="1:1" x14ac:dyDescent="0.3">
      <c r="A10648" s="12"/>
    </row>
    <row r="10649" spans="1:1" x14ac:dyDescent="0.3">
      <c r="A10649" s="12"/>
    </row>
    <row r="10650" spans="1:1" x14ac:dyDescent="0.3">
      <c r="A10650" s="12"/>
    </row>
    <row r="10651" spans="1:1" x14ac:dyDescent="0.3">
      <c r="A10651" s="12"/>
    </row>
    <row r="10652" spans="1:1" x14ac:dyDescent="0.3">
      <c r="A10652" s="12"/>
    </row>
    <row r="10653" spans="1:1" x14ac:dyDescent="0.3">
      <c r="A10653" s="12"/>
    </row>
    <row r="10654" spans="1:1" x14ac:dyDescent="0.3">
      <c r="A10654" s="12"/>
    </row>
    <row r="10655" spans="1:1" x14ac:dyDescent="0.3">
      <c r="A10655" s="12"/>
    </row>
    <row r="10656" spans="1:1" x14ac:dyDescent="0.3">
      <c r="A10656" s="12"/>
    </row>
    <row r="10657" spans="1:1" x14ac:dyDescent="0.3">
      <c r="A10657" s="12"/>
    </row>
    <row r="10658" spans="1:1" x14ac:dyDescent="0.3">
      <c r="A10658" s="12"/>
    </row>
    <row r="10659" spans="1:1" x14ac:dyDescent="0.3">
      <c r="A10659" s="12"/>
    </row>
    <row r="10660" spans="1:1" x14ac:dyDescent="0.3">
      <c r="A10660" s="12"/>
    </row>
    <row r="10661" spans="1:1" x14ac:dyDescent="0.3">
      <c r="A10661" s="12"/>
    </row>
    <row r="10662" spans="1:1" x14ac:dyDescent="0.3">
      <c r="A10662" s="12"/>
    </row>
    <row r="10663" spans="1:1" x14ac:dyDescent="0.3">
      <c r="A10663" s="12"/>
    </row>
    <row r="10664" spans="1:1" x14ac:dyDescent="0.3">
      <c r="A10664" s="12"/>
    </row>
    <row r="10665" spans="1:1" x14ac:dyDescent="0.3">
      <c r="A10665" s="12"/>
    </row>
    <row r="10666" spans="1:1" x14ac:dyDescent="0.3">
      <c r="A10666" s="12"/>
    </row>
    <row r="10667" spans="1:1" x14ac:dyDescent="0.3">
      <c r="A10667" s="12"/>
    </row>
    <row r="10668" spans="1:1" x14ac:dyDescent="0.3">
      <c r="A10668" s="12"/>
    </row>
    <row r="10669" spans="1:1" x14ac:dyDescent="0.3">
      <c r="A10669" s="12"/>
    </row>
    <row r="10670" spans="1:1" x14ac:dyDescent="0.3">
      <c r="A10670" s="12"/>
    </row>
    <row r="10671" spans="1:1" x14ac:dyDescent="0.3">
      <c r="A10671" s="12"/>
    </row>
    <row r="10672" spans="1:1" x14ac:dyDescent="0.3">
      <c r="A10672" s="12"/>
    </row>
    <row r="10673" spans="1:1" x14ac:dyDescent="0.3">
      <c r="A10673" s="12"/>
    </row>
    <row r="10674" spans="1:1" x14ac:dyDescent="0.3">
      <c r="A10674" s="12"/>
    </row>
    <row r="10675" spans="1:1" x14ac:dyDescent="0.3">
      <c r="A10675" s="12"/>
    </row>
    <row r="10676" spans="1:1" x14ac:dyDescent="0.3">
      <c r="A10676" s="12"/>
    </row>
    <row r="10677" spans="1:1" x14ac:dyDescent="0.3">
      <c r="A10677" s="12"/>
    </row>
    <row r="10678" spans="1:1" x14ac:dyDescent="0.3">
      <c r="A10678" s="12"/>
    </row>
    <row r="10679" spans="1:1" x14ac:dyDescent="0.3">
      <c r="A10679" s="12"/>
    </row>
    <row r="10680" spans="1:1" x14ac:dyDescent="0.3">
      <c r="A10680" s="12"/>
    </row>
    <row r="10681" spans="1:1" x14ac:dyDescent="0.3">
      <c r="A10681" s="12"/>
    </row>
    <row r="10682" spans="1:1" x14ac:dyDescent="0.3">
      <c r="A10682" s="12"/>
    </row>
    <row r="10683" spans="1:1" x14ac:dyDescent="0.3">
      <c r="A10683" s="12"/>
    </row>
    <row r="10684" spans="1:1" x14ac:dyDescent="0.3">
      <c r="A10684" s="12"/>
    </row>
    <row r="10685" spans="1:1" x14ac:dyDescent="0.3">
      <c r="A10685" s="12"/>
    </row>
    <row r="10686" spans="1:1" x14ac:dyDescent="0.3">
      <c r="A10686" s="12"/>
    </row>
    <row r="10687" spans="1:1" x14ac:dyDescent="0.3">
      <c r="A10687" s="12"/>
    </row>
    <row r="10688" spans="1:1" x14ac:dyDescent="0.3">
      <c r="A10688" s="12"/>
    </row>
    <row r="10689" spans="1:1" x14ac:dyDescent="0.3">
      <c r="A10689" s="12"/>
    </row>
    <row r="10690" spans="1:1" x14ac:dyDescent="0.3">
      <c r="A10690" s="12"/>
    </row>
    <row r="10691" spans="1:1" x14ac:dyDescent="0.3">
      <c r="A10691" s="12"/>
    </row>
    <row r="10692" spans="1:1" x14ac:dyDescent="0.3">
      <c r="A10692" s="12"/>
    </row>
    <row r="10693" spans="1:1" x14ac:dyDescent="0.3">
      <c r="A10693" s="12"/>
    </row>
    <row r="10694" spans="1:1" x14ac:dyDescent="0.3">
      <c r="A10694" s="12"/>
    </row>
    <row r="10695" spans="1:1" x14ac:dyDescent="0.3">
      <c r="A10695" s="12"/>
    </row>
    <row r="10696" spans="1:1" x14ac:dyDescent="0.3">
      <c r="A10696" s="12"/>
    </row>
    <row r="10697" spans="1:1" x14ac:dyDescent="0.3">
      <c r="A10697" s="12"/>
    </row>
    <row r="10698" spans="1:1" x14ac:dyDescent="0.3">
      <c r="A10698" s="12"/>
    </row>
    <row r="10699" spans="1:1" x14ac:dyDescent="0.3">
      <c r="A10699" s="12"/>
    </row>
    <row r="10700" spans="1:1" x14ac:dyDescent="0.3">
      <c r="A10700" s="12"/>
    </row>
    <row r="10701" spans="1:1" x14ac:dyDescent="0.3">
      <c r="A10701" s="12"/>
    </row>
    <row r="10702" spans="1:1" x14ac:dyDescent="0.3">
      <c r="A10702" s="12"/>
    </row>
    <row r="10703" spans="1:1" x14ac:dyDescent="0.3">
      <c r="A10703" s="12"/>
    </row>
    <row r="10704" spans="1:1" x14ac:dyDescent="0.3">
      <c r="A10704" s="12"/>
    </row>
    <row r="10705" spans="1:1" x14ac:dyDescent="0.3">
      <c r="A10705" s="12"/>
    </row>
    <row r="10706" spans="1:1" x14ac:dyDescent="0.3">
      <c r="A10706" s="12"/>
    </row>
    <row r="10707" spans="1:1" x14ac:dyDescent="0.3">
      <c r="A10707" s="12"/>
    </row>
    <row r="10708" spans="1:1" x14ac:dyDescent="0.3">
      <c r="A10708" s="12"/>
    </row>
    <row r="10709" spans="1:1" x14ac:dyDescent="0.3">
      <c r="A10709" s="12"/>
    </row>
    <row r="10710" spans="1:1" x14ac:dyDescent="0.3">
      <c r="A10710" s="12"/>
    </row>
    <row r="10711" spans="1:1" x14ac:dyDescent="0.3">
      <c r="A10711" s="12"/>
    </row>
    <row r="10712" spans="1:1" x14ac:dyDescent="0.3">
      <c r="A10712" s="12"/>
    </row>
    <row r="10713" spans="1:1" x14ac:dyDescent="0.3">
      <c r="A10713" s="12"/>
    </row>
    <row r="10714" spans="1:1" x14ac:dyDescent="0.3">
      <c r="A10714" s="12"/>
    </row>
    <row r="10715" spans="1:1" x14ac:dyDescent="0.3">
      <c r="A10715" s="12"/>
    </row>
    <row r="10716" spans="1:1" x14ac:dyDescent="0.3">
      <c r="A10716" s="12"/>
    </row>
    <row r="10717" spans="1:1" x14ac:dyDescent="0.3">
      <c r="A10717" s="12"/>
    </row>
    <row r="10718" spans="1:1" x14ac:dyDescent="0.3">
      <c r="A10718" s="12"/>
    </row>
    <row r="10719" spans="1:1" x14ac:dyDescent="0.3">
      <c r="A10719" s="12"/>
    </row>
    <row r="10720" spans="1:1" x14ac:dyDescent="0.3">
      <c r="A10720" s="12"/>
    </row>
    <row r="10721" spans="1:1" x14ac:dyDescent="0.3">
      <c r="A10721" s="12"/>
    </row>
    <row r="10722" spans="1:1" x14ac:dyDescent="0.3">
      <c r="A10722" s="12"/>
    </row>
    <row r="10723" spans="1:1" x14ac:dyDescent="0.3">
      <c r="A10723" s="12"/>
    </row>
    <row r="10724" spans="1:1" x14ac:dyDescent="0.3">
      <c r="A10724" s="12"/>
    </row>
    <row r="10725" spans="1:1" x14ac:dyDescent="0.3">
      <c r="A10725" s="12"/>
    </row>
    <row r="10726" spans="1:1" x14ac:dyDescent="0.3">
      <c r="A10726" s="12"/>
    </row>
    <row r="10727" spans="1:1" x14ac:dyDescent="0.3">
      <c r="A10727" s="12"/>
    </row>
    <row r="10728" spans="1:1" x14ac:dyDescent="0.3">
      <c r="A10728" s="12"/>
    </row>
    <row r="10729" spans="1:1" x14ac:dyDescent="0.3">
      <c r="A10729" s="12"/>
    </row>
    <row r="10730" spans="1:1" x14ac:dyDescent="0.3">
      <c r="A10730" s="12"/>
    </row>
    <row r="10731" spans="1:1" x14ac:dyDescent="0.3">
      <c r="A10731" s="12"/>
    </row>
    <row r="10732" spans="1:1" x14ac:dyDescent="0.3">
      <c r="A10732" s="12"/>
    </row>
    <row r="10733" spans="1:1" x14ac:dyDescent="0.3">
      <c r="A10733" s="12"/>
    </row>
    <row r="10734" spans="1:1" x14ac:dyDescent="0.3">
      <c r="A10734" s="12"/>
    </row>
    <row r="10735" spans="1:1" x14ac:dyDescent="0.3">
      <c r="A10735" s="12"/>
    </row>
    <row r="10736" spans="1:1" x14ac:dyDescent="0.3">
      <c r="A10736" s="12"/>
    </row>
    <row r="10737" spans="1:1" x14ac:dyDescent="0.3">
      <c r="A10737" s="12"/>
    </row>
    <row r="10738" spans="1:1" x14ac:dyDescent="0.3">
      <c r="A10738" s="12"/>
    </row>
    <row r="10739" spans="1:1" x14ac:dyDescent="0.3">
      <c r="A10739" s="12"/>
    </row>
    <row r="10740" spans="1:1" x14ac:dyDescent="0.3">
      <c r="A10740" s="12"/>
    </row>
    <row r="10741" spans="1:1" x14ac:dyDescent="0.3">
      <c r="A10741" s="12"/>
    </row>
    <row r="10742" spans="1:1" x14ac:dyDescent="0.3">
      <c r="A10742" s="12"/>
    </row>
    <row r="10743" spans="1:1" x14ac:dyDescent="0.3">
      <c r="A10743" s="12"/>
    </row>
    <row r="10744" spans="1:1" x14ac:dyDescent="0.3">
      <c r="A10744" s="12"/>
    </row>
    <row r="10745" spans="1:1" x14ac:dyDescent="0.3">
      <c r="A10745" s="12"/>
    </row>
    <row r="10746" spans="1:1" x14ac:dyDescent="0.3">
      <c r="A10746" s="12"/>
    </row>
    <row r="10747" spans="1:1" x14ac:dyDescent="0.3">
      <c r="A10747" s="12"/>
    </row>
    <row r="10748" spans="1:1" x14ac:dyDescent="0.3">
      <c r="A10748" s="12"/>
    </row>
    <row r="10749" spans="1:1" x14ac:dyDescent="0.3">
      <c r="A10749" s="12"/>
    </row>
    <row r="10750" spans="1:1" x14ac:dyDescent="0.3">
      <c r="A10750" s="12"/>
    </row>
    <row r="10751" spans="1:1" x14ac:dyDescent="0.3">
      <c r="A10751" s="12"/>
    </row>
    <row r="10752" spans="1:1" x14ac:dyDescent="0.3">
      <c r="A10752" s="12"/>
    </row>
    <row r="10753" spans="1:1" x14ac:dyDescent="0.3">
      <c r="A10753" s="12"/>
    </row>
    <row r="10754" spans="1:1" x14ac:dyDescent="0.3">
      <c r="A10754" s="12"/>
    </row>
    <row r="10755" spans="1:1" x14ac:dyDescent="0.3">
      <c r="A10755" s="12"/>
    </row>
    <row r="10756" spans="1:1" x14ac:dyDescent="0.3">
      <c r="A10756" s="12"/>
    </row>
    <row r="10757" spans="1:1" x14ac:dyDescent="0.3">
      <c r="A10757" s="12"/>
    </row>
    <row r="10758" spans="1:1" x14ac:dyDescent="0.3">
      <c r="A10758" s="12"/>
    </row>
    <row r="10759" spans="1:1" x14ac:dyDescent="0.3">
      <c r="A10759" s="12"/>
    </row>
    <row r="10760" spans="1:1" x14ac:dyDescent="0.3">
      <c r="A10760" s="12"/>
    </row>
    <row r="10761" spans="1:1" x14ac:dyDescent="0.3">
      <c r="A10761" s="12"/>
    </row>
    <row r="10762" spans="1:1" x14ac:dyDescent="0.3">
      <c r="A10762" s="12"/>
    </row>
    <row r="10763" spans="1:1" x14ac:dyDescent="0.3">
      <c r="A10763" s="12"/>
    </row>
    <row r="10764" spans="1:1" x14ac:dyDescent="0.3">
      <c r="A10764" s="12"/>
    </row>
    <row r="10765" spans="1:1" x14ac:dyDescent="0.3">
      <c r="A10765" s="12"/>
    </row>
    <row r="10766" spans="1:1" x14ac:dyDescent="0.3">
      <c r="A10766" s="12"/>
    </row>
    <row r="10767" spans="1:1" x14ac:dyDescent="0.3">
      <c r="A10767" s="12"/>
    </row>
    <row r="10768" spans="1:1" x14ac:dyDescent="0.3">
      <c r="A10768" s="12"/>
    </row>
    <row r="10769" spans="1:1" x14ac:dyDescent="0.3">
      <c r="A10769" s="12"/>
    </row>
    <row r="10770" spans="1:1" x14ac:dyDescent="0.3">
      <c r="A10770" s="12"/>
    </row>
    <row r="10771" spans="1:1" x14ac:dyDescent="0.3">
      <c r="A10771" s="12"/>
    </row>
    <row r="10772" spans="1:1" x14ac:dyDescent="0.3">
      <c r="A10772" s="12"/>
    </row>
    <row r="10773" spans="1:1" x14ac:dyDescent="0.3">
      <c r="A10773" s="12"/>
    </row>
    <row r="10774" spans="1:1" x14ac:dyDescent="0.3">
      <c r="A10774" s="12"/>
    </row>
    <row r="10775" spans="1:1" x14ac:dyDescent="0.3">
      <c r="A10775" s="12"/>
    </row>
    <row r="10776" spans="1:1" x14ac:dyDescent="0.3">
      <c r="A10776" s="12"/>
    </row>
    <row r="10777" spans="1:1" x14ac:dyDescent="0.3">
      <c r="A10777" s="12"/>
    </row>
    <row r="10778" spans="1:1" x14ac:dyDescent="0.3">
      <c r="A10778" s="12"/>
    </row>
    <row r="10779" spans="1:1" x14ac:dyDescent="0.3">
      <c r="A10779" s="12"/>
    </row>
    <row r="10780" spans="1:1" x14ac:dyDescent="0.3">
      <c r="A10780" s="12"/>
    </row>
    <row r="10781" spans="1:1" x14ac:dyDescent="0.3">
      <c r="A10781" s="12"/>
    </row>
    <row r="10782" spans="1:1" x14ac:dyDescent="0.3">
      <c r="A10782" s="12"/>
    </row>
    <row r="10783" spans="1:1" x14ac:dyDescent="0.3">
      <c r="A10783" s="12"/>
    </row>
    <row r="10784" spans="1:1" x14ac:dyDescent="0.3">
      <c r="A10784" s="12"/>
    </row>
    <row r="10785" spans="1:1" x14ac:dyDescent="0.3">
      <c r="A10785" s="12"/>
    </row>
    <row r="10786" spans="1:1" x14ac:dyDescent="0.3">
      <c r="A10786" s="12"/>
    </row>
    <row r="10787" spans="1:1" x14ac:dyDescent="0.3">
      <c r="A10787" s="12"/>
    </row>
    <row r="10788" spans="1:1" x14ac:dyDescent="0.3">
      <c r="A10788" s="12"/>
    </row>
    <row r="10789" spans="1:1" x14ac:dyDescent="0.3">
      <c r="A10789" s="12"/>
    </row>
    <row r="10790" spans="1:1" x14ac:dyDescent="0.3">
      <c r="A10790" s="12"/>
    </row>
    <row r="10791" spans="1:1" x14ac:dyDescent="0.3">
      <c r="A10791" s="12"/>
    </row>
    <row r="10792" spans="1:1" x14ac:dyDescent="0.3">
      <c r="A10792" s="12"/>
    </row>
    <row r="10793" spans="1:1" x14ac:dyDescent="0.3">
      <c r="A10793" s="12"/>
    </row>
    <row r="10794" spans="1:1" x14ac:dyDescent="0.3">
      <c r="A10794" s="12"/>
    </row>
    <row r="10795" spans="1:1" x14ac:dyDescent="0.3">
      <c r="A10795" s="12"/>
    </row>
    <row r="10796" spans="1:1" x14ac:dyDescent="0.3">
      <c r="A10796" s="12"/>
    </row>
    <row r="10797" spans="1:1" x14ac:dyDescent="0.3">
      <c r="A10797" s="12"/>
    </row>
    <row r="10798" spans="1:1" x14ac:dyDescent="0.3">
      <c r="A10798" s="12"/>
    </row>
    <row r="10799" spans="1:1" x14ac:dyDescent="0.3">
      <c r="A10799" s="12"/>
    </row>
    <row r="10800" spans="1:1" x14ac:dyDescent="0.3">
      <c r="A10800" s="12"/>
    </row>
    <row r="10801" spans="1:1" x14ac:dyDescent="0.3">
      <c r="A10801" s="12"/>
    </row>
    <row r="10802" spans="1:1" x14ac:dyDescent="0.3">
      <c r="A10802" s="12"/>
    </row>
    <row r="10803" spans="1:1" x14ac:dyDescent="0.3">
      <c r="A10803" s="12"/>
    </row>
    <row r="10804" spans="1:1" x14ac:dyDescent="0.3">
      <c r="A10804" s="12"/>
    </row>
    <row r="10805" spans="1:1" x14ac:dyDescent="0.3">
      <c r="A10805" s="12"/>
    </row>
    <row r="10806" spans="1:1" x14ac:dyDescent="0.3">
      <c r="A10806" s="12"/>
    </row>
    <row r="10807" spans="1:1" x14ac:dyDescent="0.3">
      <c r="A10807" s="12"/>
    </row>
    <row r="10808" spans="1:1" x14ac:dyDescent="0.3">
      <c r="A10808" s="12"/>
    </row>
    <row r="10809" spans="1:1" x14ac:dyDescent="0.3">
      <c r="A10809" s="12"/>
    </row>
    <row r="10810" spans="1:1" x14ac:dyDescent="0.3">
      <c r="A10810" s="12"/>
    </row>
    <row r="10811" spans="1:1" x14ac:dyDescent="0.3">
      <c r="A10811" s="12"/>
    </row>
    <row r="10812" spans="1:1" x14ac:dyDescent="0.3">
      <c r="A10812" s="12"/>
    </row>
    <row r="10813" spans="1:1" x14ac:dyDescent="0.3">
      <c r="A10813" s="12"/>
    </row>
    <row r="10814" spans="1:1" x14ac:dyDescent="0.3">
      <c r="A10814" s="12"/>
    </row>
    <row r="10815" spans="1:1" x14ac:dyDescent="0.3">
      <c r="A10815" s="12"/>
    </row>
    <row r="10816" spans="1:1" x14ac:dyDescent="0.3">
      <c r="A10816" s="12"/>
    </row>
    <row r="10817" spans="1:1" x14ac:dyDescent="0.3">
      <c r="A10817" s="12"/>
    </row>
    <row r="10818" spans="1:1" x14ac:dyDescent="0.3">
      <c r="A10818" s="12"/>
    </row>
    <row r="10819" spans="1:1" x14ac:dyDescent="0.3">
      <c r="A10819" s="12"/>
    </row>
    <row r="10820" spans="1:1" x14ac:dyDescent="0.3">
      <c r="A10820" s="12"/>
    </row>
    <row r="10821" spans="1:1" x14ac:dyDescent="0.3">
      <c r="A10821" s="12"/>
    </row>
    <row r="10822" spans="1:1" x14ac:dyDescent="0.3">
      <c r="A10822" s="12"/>
    </row>
    <row r="10823" spans="1:1" x14ac:dyDescent="0.3">
      <c r="A10823" s="12"/>
    </row>
    <row r="10824" spans="1:1" x14ac:dyDescent="0.3">
      <c r="A10824" s="12"/>
    </row>
    <row r="10825" spans="1:1" x14ac:dyDescent="0.3">
      <c r="A10825" s="12"/>
    </row>
    <row r="10826" spans="1:1" x14ac:dyDescent="0.3">
      <c r="A10826" s="12"/>
    </row>
    <row r="10827" spans="1:1" x14ac:dyDescent="0.3">
      <c r="A10827" s="12"/>
    </row>
    <row r="10828" spans="1:1" x14ac:dyDescent="0.3">
      <c r="A10828" s="12"/>
    </row>
    <row r="10829" spans="1:1" x14ac:dyDescent="0.3">
      <c r="A10829" s="12"/>
    </row>
    <row r="10830" spans="1:1" x14ac:dyDescent="0.3">
      <c r="A10830" s="12"/>
    </row>
    <row r="10831" spans="1:1" x14ac:dyDescent="0.3">
      <c r="A10831" s="12"/>
    </row>
    <row r="10832" spans="1:1" x14ac:dyDescent="0.3">
      <c r="A10832" s="12"/>
    </row>
    <row r="10833" spans="1:1" x14ac:dyDescent="0.3">
      <c r="A10833" s="12"/>
    </row>
    <row r="10834" spans="1:1" x14ac:dyDescent="0.3">
      <c r="A10834" s="12"/>
    </row>
    <row r="10835" spans="1:1" x14ac:dyDescent="0.3">
      <c r="A10835" s="12"/>
    </row>
    <row r="10836" spans="1:1" x14ac:dyDescent="0.3">
      <c r="A10836" s="12"/>
    </row>
    <row r="10837" spans="1:1" x14ac:dyDescent="0.3">
      <c r="A10837" s="12"/>
    </row>
    <row r="10838" spans="1:1" x14ac:dyDescent="0.3">
      <c r="A10838" s="12"/>
    </row>
    <row r="10839" spans="1:1" x14ac:dyDescent="0.3">
      <c r="A10839" s="12"/>
    </row>
    <row r="10840" spans="1:1" x14ac:dyDescent="0.3">
      <c r="A10840" s="12"/>
    </row>
    <row r="10841" spans="1:1" x14ac:dyDescent="0.3">
      <c r="A10841" s="12"/>
    </row>
    <row r="10842" spans="1:1" x14ac:dyDescent="0.3">
      <c r="A10842" s="12"/>
    </row>
    <row r="10843" spans="1:1" x14ac:dyDescent="0.3">
      <c r="A10843" s="12"/>
    </row>
    <row r="10844" spans="1:1" x14ac:dyDescent="0.3">
      <c r="A10844" s="12"/>
    </row>
    <row r="10845" spans="1:1" x14ac:dyDescent="0.3">
      <c r="A10845" s="12"/>
    </row>
    <row r="10846" spans="1:1" x14ac:dyDescent="0.3">
      <c r="A10846" s="12"/>
    </row>
    <row r="10847" spans="1:1" x14ac:dyDescent="0.3">
      <c r="A10847" s="12"/>
    </row>
    <row r="10848" spans="1:1" x14ac:dyDescent="0.3">
      <c r="A10848" s="12"/>
    </row>
    <row r="10849" spans="1:1" x14ac:dyDescent="0.3">
      <c r="A10849" s="12"/>
    </row>
    <row r="10850" spans="1:1" x14ac:dyDescent="0.3">
      <c r="A10850" s="12"/>
    </row>
    <row r="10851" spans="1:1" x14ac:dyDescent="0.3">
      <c r="A10851" s="12"/>
    </row>
    <row r="10852" spans="1:1" x14ac:dyDescent="0.3">
      <c r="A10852" s="12"/>
    </row>
    <row r="10853" spans="1:1" x14ac:dyDescent="0.3">
      <c r="A10853" s="12"/>
    </row>
    <row r="10854" spans="1:1" x14ac:dyDescent="0.3">
      <c r="A10854" s="12"/>
    </row>
    <row r="10855" spans="1:1" x14ac:dyDescent="0.3">
      <c r="A10855" s="12"/>
    </row>
    <row r="10856" spans="1:1" x14ac:dyDescent="0.3">
      <c r="A10856" s="12"/>
    </row>
    <row r="10857" spans="1:1" x14ac:dyDescent="0.3">
      <c r="A10857" s="12"/>
    </row>
    <row r="10858" spans="1:1" x14ac:dyDescent="0.3">
      <c r="A10858" s="12"/>
    </row>
    <row r="10859" spans="1:1" x14ac:dyDescent="0.3">
      <c r="A10859" s="12"/>
    </row>
    <row r="10860" spans="1:1" x14ac:dyDescent="0.3">
      <c r="A10860" s="12"/>
    </row>
    <row r="10861" spans="1:1" x14ac:dyDescent="0.3">
      <c r="A10861" s="12"/>
    </row>
    <row r="10862" spans="1:1" x14ac:dyDescent="0.3">
      <c r="A10862" s="12"/>
    </row>
    <row r="10863" spans="1:1" x14ac:dyDescent="0.3">
      <c r="A10863" s="12"/>
    </row>
    <row r="10864" spans="1:1" x14ac:dyDescent="0.3">
      <c r="A10864" s="12"/>
    </row>
    <row r="10865" spans="1:1" x14ac:dyDescent="0.3">
      <c r="A10865" s="12"/>
    </row>
    <row r="10866" spans="1:1" x14ac:dyDescent="0.3">
      <c r="A10866" s="12"/>
    </row>
    <row r="10867" spans="1:1" x14ac:dyDescent="0.3">
      <c r="A10867" s="12"/>
    </row>
    <row r="10868" spans="1:1" x14ac:dyDescent="0.3">
      <c r="A10868" s="12"/>
    </row>
    <row r="10869" spans="1:1" x14ac:dyDescent="0.3">
      <c r="A10869" s="12"/>
    </row>
    <row r="10870" spans="1:1" x14ac:dyDescent="0.3">
      <c r="A10870" s="12"/>
    </row>
    <row r="10871" spans="1:1" x14ac:dyDescent="0.3">
      <c r="A10871" s="12"/>
    </row>
    <row r="10872" spans="1:1" x14ac:dyDescent="0.3">
      <c r="A10872" s="12"/>
    </row>
    <row r="10873" spans="1:1" x14ac:dyDescent="0.3">
      <c r="A10873" s="12"/>
    </row>
    <row r="10874" spans="1:1" x14ac:dyDescent="0.3">
      <c r="A10874" s="12"/>
    </row>
    <row r="10875" spans="1:1" x14ac:dyDescent="0.3">
      <c r="A10875" s="12"/>
    </row>
    <row r="10876" spans="1:1" x14ac:dyDescent="0.3">
      <c r="A10876" s="12"/>
    </row>
    <row r="10877" spans="1:1" x14ac:dyDescent="0.3">
      <c r="A10877" s="12"/>
    </row>
    <row r="10878" spans="1:1" x14ac:dyDescent="0.3">
      <c r="A10878" s="12"/>
    </row>
    <row r="10879" spans="1:1" x14ac:dyDescent="0.3">
      <c r="A10879" s="12"/>
    </row>
    <row r="10880" spans="1:1" x14ac:dyDescent="0.3">
      <c r="A10880" s="12"/>
    </row>
    <row r="10881" spans="1:1" x14ac:dyDescent="0.3">
      <c r="A10881" s="12"/>
    </row>
    <row r="10882" spans="1:1" x14ac:dyDescent="0.3">
      <c r="A10882" s="12"/>
    </row>
    <row r="10883" spans="1:1" x14ac:dyDescent="0.3">
      <c r="A10883" s="12"/>
    </row>
    <row r="10884" spans="1:1" x14ac:dyDescent="0.3">
      <c r="A10884" s="12"/>
    </row>
    <row r="10885" spans="1:1" x14ac:dyDescent="0.3">
      <c r="A10885" s="12"/>
    </row>
    <row r="10886" spans="1:1" x14ac:dyDescent="0.3">
      <c r="A10886" s="12"/>
    </row>
    <row r="10887" spans="1:1" x14ac:dyDescent="0.3">
      <c r="A10887" s="12"/>
    </row>
    <row r="10888" spans="1:1" x14ac:dyDescent="0.3">
      <c r="A10888" s="12"/>
    </row>
    <row r="10889" spans="1:1" x14ac:dyDescent="0.3">
      <c r="A10889" s="12"/>
    </row>
    <row r="10890" spans="1:1" x14ac:dyDescent="0.3">
      <c r="A10890" s="12"/>
    </row>
    <row r="10891" spans="1:1" x14ac:dyDescent="0.3">
      <c r="A10891" s="12"/>
    </row>
    <row r="10892" spans="1:1" x14ac:dyDescent="0.3">
      <c r="A10892" s="12"/>
    </row>
    <row r="10893" spans="1:1" x14ac:dyDescent="0.3">
      <c r="A10893" s="12"/>
    </row>
    <row r="10894" spans="1:1" x14ac:dyDescent="0.3">
      <c r="A10894" s="12"/>
    </row>
    <row r="10895" spans="1:1" x14ac:dyDescent="0.3">
      <c r="A10895" s="12"/>
    </row>
    <row r="10896" spans="1:1" x14ac:dyDescent="0.3">
      <c r="A10896" s="12"/>
    </row>
    <row r="10897" spans="1:1" x14ac:dyDescent="0.3">
      <c r="A10897" s="12"/>
    </row>
    <row r="10898" spans="1:1" x14ac:dyDescent="0.3">
      <c r="A10898" s="12"/>
    </row>
    <row r="10899" spans="1:1" x14ac:dyDescent="0.3">
      <c r="A10899" s="12"/>
    </row>
    <row r="10900" spans="1:1" x14ac:dyDescent="0.3">
      <c r="A10900" s="12"/>
    </row>
    <row r="10901" spans="1:1" x14ac:dyDescent="0.3">
      <c r="A10901" s="12"/>
    </row>
    <row r="10902" spans="1:1" x14ac:dyDescent="0.3">
      <c r="A10902" s="12"/>
    </row>
    <row r="10903" spans="1:1" x14ac:dyDescent="0.3">
      <c r="A10903" s="12"/>
    </row>
    <row r="10904" spans="1:1" x14ac:dyDescent="0.3">
      <c r="A10904" s="12"/>
    </row>
    <row r="10905" spans="1:1" x14ac:dyDescent="0.3">
      <c r="A10905" s="12"/>
    </row>
    <row r="10906" spans="1:1" x14ac:dyDescent="0.3">
      <c r="A10906" s="12"/>
    </row>
    <row r="10907" spans="1:1" x14ac:dyDescent="0.3">
      <c r="A10907" s="12"/>
    </row>
    <row r="10908" spans="1:1" x14ac:dyDescent="0.3">
      <c r="A10908" s="12"/>
    </row>
    <row r="10909" spans="1:1" x14ac:dyDescent="0.3">
      <c r="A10909" s="12"/>
    </row>
    <row r="10910" spans="1:1" x14ac:dyDescent="0.3">
      <c r="A10910" s="12"/>
    </row>
    <row r="10911" spans="1:1" x14ac:dyDescent="0.3">
      <c r="A10911" s="12"/>
    </row>
    <row r="10912" spans="1:1" x14ac:dyDescent="0.3">
      <c r="A10912" s="12"/>
    </row>
    <row r="10913" spans="1:1" x14ac:dyDescent="0.3">
      <c r="A10913" s="12"/>
    </row>
    <row r="10914" spans="1:1" x14ac:dyDescent="0.3">
      <c r="A10914" s="12"/>
    </row>
    <row r="10915" spans="1:1" x14ac:dyDescent="0.3">
      <c r="A10915" s="12"/>
    </row>
    <row r="10916" spans="1:1" x14ac:dyDescent="0.3">
      <c r="A10916" s="12"/>
    </row>
    <row r="10917" spans="1:1" x14ac:dyDescent="0.3">
      <c r="A10917" s="12"/>
    </row>
    <row r="10918" spans="1:1" x14ac:dyDescent="0.3">
      <c r="A10918" s="12"/>
    </row>
    <row r="10919" spans="1:1" x14ac:dyDescent="0.3">
      <c r="A10919" s="12"/>
    </row>
    <row r="10920" spans="1:1" x14ac:dyDescent="0.3">
      <c r="A10920" s="12"/>
    </row>
    <row r="10921" spans="1:1" x14ac:dyDescent="0.3">
      <c r="A10921" s="12"/>
    </row>
    <row r="10922" spans="1:1" x14ac:dyDescent="0.3">
      <c r="A10922" s="12"/>
    </row>
    <row r="10923" spans="1:1" x14ac:dyDescent="0.3">
      <c r="A10923" s="12"/>
    </row>
    <row r="10924" spans="1:1" x14ac:dyDescent="0.3">
      <c r="A10924" s="12"/>
    </row>
    <row r="10925" spans="1:1" x14ac:dyDescent="0.3">
      <c r="A10925" s="12"/>
    </row>
    <row r="10926" spans="1:1" x14ac:dyDescent="0.3">
      <c r="A10926" s="12"/>
    </row>
    <row r="10927" spans="1:1" x14ac:dyDescent="0.3">
      <c r="A10927" s="12"/>
    </row>
    <row r="10928" spans="1:1" x14ac:dyDescent="0.3">
      <c r="A10928" s="12"/>
    </row>
    <row r="10929" spans="1:1" x14ac:dyDescent="0.3">
      <c r="A10929" s="12"/>
    </row>
    <row r="10930" spans="1:1" x14ac:dyDescent="0.3">
      <c r="A10930" s="12"/>
    </row>
    <row r="10931" spans="1:1" x14ac:dyDescent="0.3">
      <c r="A10931" s="12"/>
    </row>
    <row r="10932" spans="1:1" x14ac:dyDescent="0.3">
      <c r="A10932" s="12"/>
    </row>
    <row r="10933" spans="1:1" x14ac:dyDescent="0.3">
      <c r="A10933" s="12"/>
    </row>
    <row r="10934" spans="1:1" x14ac:dyDescent="0.3">
      <c r="A10934" s="12"/>
    </row>
    <row r="10935" spans="1:1" x14ac:dyDescent="0.3">
      <c r="A10935" s="12"/>
    </row>
    <row r="10936" spans="1:1" x14ac:dyDescent="0.3">
      <c r="A10936" s="12"/>
    </row>
    <row r="10937" spans="1:1" x14ac:dyDescent="0.3">
      <c r="A10937" s="12"/>
    </row>
    <row r="10938" spans="1:1" x14ac:dyDescent="0.3">
      <c r="A10938" s="12"/>
    </row>
    <row r="10939" spans="1:1" x14ac:dyDescent="0.3">
      <c r="A10939" s="12"/>
    </row>
    <row r="10940" spans="1:1" x14ac:dyDescent="0.3">
      <c r="A10940" s="12"/>
    </row>
    <row r="10941" spans="1:1" x14ac:dyDescent="0.3">
      <c r="A10941" s="12"/>
    </row>
    <row r="10942" spans="1:1" x14ac:dyDescent="0.3">
      <c r="A10942" s="12"/>
    </row>
    <row r="10943" spans="1:1" x14ac:dyDescent="0.3">
      <c r="A10943" s="12"/>
    </row>
    <row r="10944" spans="1:1" x14ac:dyDescent="0.3">
      <c r="A10944" s="12"/>
    </row>
    <row r="10945" spans="1:1" x14ac:dyDescent="0.3">
      <c r="A10945" s="12"/>
    </row>
    <row r="10946" spans="1:1" x14ac:dyDescent="0.3">
      <c r="A10946" s="12"/>
    </row>
    <row r="10947" spans="1:1" x14ac:dyDescent="0.3">
      <c r="A10947" s="12"/>
    </row>
    <row r="10948" spans="1:1" x14ac:dyDescent="0.3">
      <c r="A10948" s="12"/>
    </row>
    <row r="10949" spans="1:1" x14ac:dyDescent="0.3">
      <c r="A10949" s="12"/>
    </row>
    <row r="10950" spans="1:1" x14ac:dyDescent="0.3">
      <c r="A10950" s="12"/>
    </row>
    <row r="10951" spans="1:1" x14ac:dyDescent="0.3">
      <c r="A10951" s="12"/>
    </row>
    <row r="10952" spans="1:1" x14ac:dyDescent="0.3">
      <c r="A10952" s="12"/>
    </row>
    <row r="10953" spans="1:1" x14ac:dyDescent="0.3">
      <c r="A10953" s="12"/>
    </row>
    <row r="10954" spans="1:1" x14ac:dyDescent="0.3">
      <c r="A10954" s="12"/>
    </row>
    <row r="10955" spans="1:1" x14ac:dyDescent="0.3">
      <c r="A10955" s="12"/>
    </row>
    <row r="10956" spans="1:1" x14ac:dyDescent="0.3">
      <c r="A10956" s="12"/>
    </row>
    <row r="10957" spans="1:1" x14ac:dyDescent="0.3">
      <c r="A10957" s="12"/>
    </row>
    <row r="10958" spans="1:1" x14ac:dyDescent="0.3">
      <c r="A10958" s="12"/>
    </row>
    <row r="10959" spans="1:1" x14ac:dyDescent="0.3">
      <c r="A10959" s="12"/>
    </row>
    <row r="10960" spans="1:1" x14ac:dyDescent="0.3">
      <c r="A10960" s="12"/>
    </row>
    <row r="10961" spans="1:1" x14ac:dyDescent="0.3">
      <c r="A10961" s="12"/>
    </row>
    <row r="10962" spans="1:1" x14ac:dyDescent="0.3">
      <c r="A10962" s="12"/>
    </row>
    <row r="10963" spans="1:1" x14ac:dyDescent="0.3">
      <c r="A10963" s="12"/>
    </row>
    <row r="10964" spans="1:1" x14ac:dyDescent="0.3">
      <c r="A10964" s="12"/>
    </row>
    <row r="10965" spans="1:1" x14ac:dyDescent="0.3">
      <c r="A10965" s="12"/>
    </row>
    <row r="10966" spans="1:1" x14ac:dyDescent="0.3">
      <c r="A10966" s="12"/>
    </row>
    <row r="10967" spans="1:1" x14ac:dyDescent="0.3">
      <c r="A10967" s="12"/>
    </row>
    <row r="10968" spans="1:1" x14ac:dyDescent="0.3">
      <c r="A10968" s="12"/>
    </row>
    <row r="10969" spans="1:1" x14ac:dyDescent="0.3">
      <c r="A10969" s="12"/>
    </row>
    <row r="10970" spans="1:1" x14ac:dyDescent="0.3">
      <c r="A10970" s="12"/>
    </row>
    <row r="10971" spans="1:1" x14ac:dyDescent="0.3">
      <c r="A10971" s="12"/>
    </row>
    <row r="10972" spans="1:1" x14ac:dyDescent="0.3">
      <c r="A10972" s="12"/>
    </row>
    <row r="10973" spans="1:1" x14ac:dyDescent="0.3">
      <c r="A10973" s="12"/>
    </row>
    <row r="10974" spans="1:1" x14ac:dyDescent="0.3">
      <c r="A10974" s="12"/>
    </row>
    <row r="10975" spans="1:1" x14ac:dyDescent="0.3">
      <c r="A10975" s="12"/>
    </row>
    <row r="10976" spans="1:1" x14ac:dyDescent="0.3">
      <c r="A10976" s="12"/>
    </row>
    <row r="10977" spans="1:1" x14ac:dyDescent="0.3">
      <c r="A10977" s="12"/>
    </row>
    <row r="10978" spans="1:1" x14ac:dyDescent="0.3">
      <c r="A10978" s="12"/>
    </row>
    <row r="10979" spans="1:1" x14ac:dyDescent="0.3">
      <c r="A10979" s="12"/>
    </row>
    <row r="10980" spans="1:1" x14ac:dyDescent="0.3">
      <c r="A10980" s="12"/>
    </row>
    <row r="10981" spans="1:1" x14ac:dyDescent="0.3">
      <c r="A10981" s="12"/>
    </row>
    <row r="10982" spans="1:1" x14ac:dyDescent="0.3">
      <c r="A10982" s="12"/>
    </row>
    <row r="10983" spans="1:1" x14ac:dyDescent="0.3">
      <c r="A10983" s="12"/>
    </row>
    <row r="10984" spans="1:1" x14ac:dyDescent="0.3">
      <c r="A10984" s="12"/>
    </row>
    <row r="10985" spans="1:1" x14ac:dyDescent="0.3">
      <c r="A10985" s="12"/>
    </row>
    <row r="10986" spans="1:1" x14ac:dyDescent="0.3">
      <c r="A10986" s="12"/>
    </row>
    <row r="10987" spans="1:1" x14ac:dyDescent="0.3">
      <c r="A10987" s="12"/>
    </row>
    <row r="10988" spans="1:1" x14ac:dyDescent="0.3">
      <c r="A10988" s="12"/>
    </row>
    <row r="10989" spans="1:1" x14ac:dyDescent="0.3">
      <c r="A10989" s="12"/>
    </row>
    <row r="10990" spans="1:1" x14ac:dyDescent="0.3">
      <c r="A10990" s="12"/>
    </row>
    <row r="10991" spans="1:1" x14ac:dyDescent="0.3">
      <c r="A10991" s="12"/>
    </row>
    <row r="10992" spans="1:1" x14ac:dyDescent="0.3">
      <c r="A10992" s="12"/>
    </row>
    <row r="10993" spans="1:1" x14ac:dyDescent="0.3">
      <c r="A10993" s="12"/>
    </row>
    <row r="10994" spans="1:1" x14ac:dyDescent="0.3">
      <c r="A10994" s="12"/>
    </row>
    <row r="10995" spans="1:1" x14ac:dyDescent="0.3">
      <c r="A10995" s="12"/>
    </row>
    <row r="10996" spans="1:1" x14ac:dyDescent="0.3">
      <c r="A10996" s="12"/>
    </row>
    <row r="10997" spans="1:1" x14ac:dyDescent="0.3">
      <c r="A10997" s="12"/>
    </row>
    <row r="10998" spans="1:1" x14ac:dyDescent="0.3">
      <c r="A10998" s="12"/>
    </row>
    <row r="10999" spans="1:1" x14ac:dyDescent="0.3">
      <c r="A10999" s="12"/>
    </row>
    <row r="11000" spans="1:1" x14ac:dyDescent="0.3">
      <c r="A11000" s="12"/>
    </row>
    <row r="11001" spans="1:1" x14ac:dyDescent="0.3">
      <c r="A11001" s="12"/>
    </row>
    <row r="11002" spans="1:1" x14ac:dyDescent="0.3">
      <c r="A11002" s="12"/>
    </row>
    <row r="11003" spans="1:1" x14ac:dyDescent="0.3">
      <c r="A11003" s="12"/>
    </row>
    <row r="11004" spans="1:1" x14ac:dyDescent="0.3">
      <c r="A11004" s="12"/>
    </row>
    <row r="11005" spans="1:1" x14ac:dyDescent="0.3">
      <c r="A11005" s="12"/>
    </row>
    <row r="11006" spans="1:1" x14ac:dyDescent="0.3">
      <c r="A11006" s="12"/>
    </row>
    <row r="11007" spans="1:1" x14ac:dyDescent="0.3">
      <c r="A11007" s="12"/>
    </row>
    <row r="11008" spans="1:1" x14ac:dyDescent="0.3">
      <c r="A11008" s="12"/>
    </row>
    <row r="11009" spans="1:1" x14ac:dyDescent="0.3">
      <c r="A11009" s="12"/>
    </row>
    <row r="11010" spans="1:1" x14ac:dyDescent="0.3">
      <c r="A11010" s="12"/>
    </row>
    <row r="11011" spans="1:1" x14ac:dyDescent="0.3">
      <c r="A11011" s="12"/>
    </row>
    <row r="11012" spans="1:1" x14ac:dyDescent="0.3">
      <c r="A11012" s="12"/>
    </row>
    <row r="11013" spans="1:1" x14ac:dyDescent="0.3">
      <c r="A11013" s="12"/>
    </row>
    <row r="11014" spans="1:1" x14ac:dyDescent="0.3">
      <c r="A11014" s="12"/>
    </row>
    <row r="11015" spans="1:1" x14ac:dyDescent="0.3">
      <c r="A11015" s="12"/>
    </row>
    <row r="11016" spans="1:1" x14ac:dyDescent="0.3">
      <c r="A11016" s="12"/>
    </row>
    <row r="11017" spans="1:1" x14ac:dyDescent="0.3">
      <c r="A11017" s="12"/>
    </row>
    <row r="11018" spans="1:1" x14ac:dyDescent="0.3">
      <c r="A11018" s="12"/>
    </row>
    <row r="11019" spans="1:1" x14ac:dyDescent="0.3">
      <c r="A11019" s="12"/>
    </row>
    <row r="11020" spans="1:1" x14ac:dyDescent="0.3">
      <c r="A11020" s="12"/>
    </row>
    <row r="11021" spans="1:1" x14ac:dyDescent="0.3">
      <c r="A11021" s="12"/>
    </row>
    <row r="11022" spans="1:1" x14ac:dyDescent="0.3">
      <c r="A11022" s="12"/>
    </row>
    <row r="11023" spans="1:1" x14ac:dyDescent="0.3">
      <c r="A11023" s="12"/>
    </row>
    <row r="11024" spans="1:1" x14ac:dyDescent="0.3">
      <c r="A11024" s="12"/>
    </row>
    <row r="11025" spans="1:1" x14ac:dyDescent="0.3">
      <c r="A11025" s="12"/>
    </row>
    <row r="11026" spans="1:1" x14ac:dyDescent="0.3">
      <c r="A11026" s="12"/>
    </row>
    <row r="11027" spans="1:1" x14ac:dyDescent="0.3">
      <c r="A11027" s="12"/>
    </row>
    <row r="11028" spans="1:1" x14ac:dyDescent="0.3">
      <c r="A11028" s="12"/>
    </row>
    <row r="11029" spans="1:1" x14ac:dyDescent="0.3">
      <c r="A11029" s="12"/>
    </row>
    <row r="11030" spans="1:1" x14ac:dyDescent="0.3">
      <c r="A11030" s="12"/>
    </row>
    <row r="11031" spans="1:1" x14ac:dyDescent="0.3">
      <c r="A11031" s="12"/>
    </row>
    <row r="11032" spans="1:1" x14ac:dyDescent="0.3">
      <c r="A11032" s="12"/>
    </row>
    <row r="11033" spans="1:1" x14ac:dyDescent="0.3">
      <c r="A11033" s="12"/>
    </row>
    <row r="11034" spans="1:1" x14ac:dyDescent="0.3">
      <c r="A11034" s="12"/>
    </row>
    <row r="11035" spans="1:1" x14ac:dyDescent="0.3">
      <c r="A11035" s="12"/>
    </row>
    <row r="11036" spans="1:1" x14ac:dyDescent="0.3">
      <c r="A11036" s="12"/>
    </row>
    <row r="11037" spans="1:1" x14ac:dyDescent="0.3">
      <c r="A11037" s="12"/>
    </row>
    <row r="11038" spans="1:1" x14ac:dyDescent="0.3">
      <c r="A11038" s="12"/>
    </row>
    <row r="11039" spans="1:1" x14ac:dyDescent="0.3">
      <c r="A11039" s="12"/>
    </row>
    <row r="11040" spans="1:1" x14ac:dyDescent="0.3">
      <c r="A11040" s="12"/>
    </row>
    <row r="11041" spans="1:1" x14ac:dyDescent="0.3">
      <c r="A11041" s="12"/>
    </row>
    <row r="11042" spans="1:1" x14ac:dyDescent="0.3">
      <c r="A11042" s="12"/>
    </row>
    <row r="11043" spans="1:1" x14ac:dyDescent="0.3">
      <c r="A11043" s="12"/>
    </row>
    <row r="11044" spans="1:1" x14ac:dyDescent="0.3">
      <c r="A11044" s="12"/>
    </row>
    <row r="11045" spans="1:1" x14ac:dyDescent="0.3">
      <c r="A11045" s="12"/>
    </row>
    <row r="11046" spans="1:1" x14ac:dyDescent="0.3">
      <c r="A11046" s="12"/>
    </row>
    <row r="11047" spans="1:1" x14ac:dyDescent="0.3">
      <c r="A11047" s="12"/>
    </row>
    <row r="11048" spans="1:1" x14ac:dyDescent="0.3">
      <c r="A11048" s="12"/>
    </row>
    <row r="11049" spans="1:1" x14ac:dyDescent="0.3">
      <c r="A11049" s="12"/>
    </row>
    <row r="11050" spans="1:1" x14ac:dyDescent="0.3">
      <c r="A11050" s="12"/>
    </row>
    <row r="11051" spans="1:1" x14ac:dyDescent="0.3">
      <c r="A11051" s="12"/>
    </row>
    <row r="11052" spans="1:1" x14ac:dyDescent="0.3">
      <c r="A11052" s="12"/>
    </row>
    <row r="11053" spans="1:1" x14ac:dyDescent="0.3">
      <c r="A11053" s="12"/>
    </row>
    <row r="11054" spans="1:1" x14ac:dyDescent="0.3">
      <c r="A11054" s="12"/>
    </row>
    <row r="11055" spans="1:1" x14ac:dyDescent="0.3">
      <c r="A11055" s="12"/>
    </row>
    <row r="11056" spans="1:1" x14ac:dyDescent="0.3">
      <c r="A11056" s="12"/>
    </row>
    <row r="11057" spans="1:1" x14ac:dyDescent="0.3">
      <c r="A11057" s="12"/>
    </row>
    <row r="11058" spans="1:1" x14ac:dyDescent="0.3">
      <c r="A11058" s="12"/>
    </row>
    <row r="11059" spans="1:1" x14ac:dyDescent="0.3">
      <c r="A11059" s="12"/>
    </row>
    <row r="11060" spans="1:1" x14ac:dyDescent="0.3">
      <c r="A11060" s="12"/>
    </row>
    <row r="11061" spans="1:1" x14ac:dyDescent="0.3">
      <c r="A11061" s="12"/>
    </row>
    <row r="11062" spans="1:1" x14ac:dyDescent="0.3">
      <c r="A11062" s="12"/>
    </row>
    <row r="11063" spans="1:1" x14ac:dyDescent="0.3">
      <c r="A11063" s="12"/>
    </row>
    <row r="11064" spans="1:1" x14ac:dyDescent="0.3">
      <c r="A11064" s="12"/>
    </row>
    <row r="11065" spans="1:1" x14ac:dyDescent="0.3">
      <c r="A11065" s="12"/>
    </row>
    <row r="11066" spans="1:1" x14ac:dyDescent="0.3">
      <c r="A11066" s="12"/>
    </row>
    <row r="11067" spans="1:1" x14ac:dyDescent="0.3">
      <c r="A11067" s="12"/>
    </row>
    <row r="11068" spans="1:1" x14ac:dyDescent="0.3">
      <c r="A11068" s="12"/>
    </row>
    <row r="11069" spans="1:1" x14ac:dyDescent="0.3">
      <c r="A11069" s="12"/>
    </row>
    <row r="11070" spans="1:1" x14ac:dyDescent="0.3">
      <c r="A11070" s="12"/>
    </row>
    <row r="11071" spans="1:1" x14ac:dyDescent="0.3">
      <c r="A11071" s="12"/>
    </row>
    <row r="11072" spans="1:1" x14ac:dyDescent="0.3">
      <c r="A11072" s="12"/>
    </row>
    <row r="11073" spans="1:1" x14ac:dyDescent="0.3">
      <c r="A11073" s="12"/>
    </row>
    <row r="11074" spans="1:1" x14ac:dyDescent="0.3">
      <c r="A11074" s="12"/>
    </row>
    <row r="11075" spans="1:1" x14ac:dyDescent="0.3">
      <c r="A11075" s="12"/>
    </row>
    <row r="11076" spans="1:1" x14ac:dyDescent="0.3">
      <c r="A11076" s="12"/>
    </row>
    <row r="11077" spans="1:1" x14ac:dyDescent="0.3">
      <c r="A11077" s="12"/>
    </row>
    <row r="11078" spans="1:1" x14ac:dyDescent="0.3">
      <c r="A11078" s="12"/>
    </row>
    <row r="11079" spans="1:1" x14ac:dyDescent="0.3">
      <c r="A11079" s="12"/>
    </row>
    <row r="11080" spans="1:1" x14ac:dyDescent="0.3">
      <c r="A11080" s="12"/>
    </row>
    <row r="11081" spans="1:1" x14ac:dyDescent="0.3">
      <c r="A11081" s="12"/>
    </row>
    <row r="11082" spans="1:1" x14ac:dyDescent="0.3">
      <c r="A11082" s="12"/>
    </row>
    <row r="11083" spans="1:1" x14ac:dyDescent="0.3">
      <c r="A11083" s="12"/>
    </row>
    <row r="11084" spans="1:1" x14ac:dyDescent="0.3">
      <c r="A11084" s="12"/>
    </row>
    <row r="11085" spans="1:1" x14ac:dyDescent="0.3">
      <c r="A11085" s="12"/>
    </row>
    <row r="11086" spans="1:1" x14ac:dyDescent="0.3">
      <c r="A11086" s="12"/>
    </row>
    <row r="11087" spans="1:1" x14ac:dyDescent="0.3">
      <c r="A11087" s="12"/>
    </row>
    <row r="11088" spans="1:1" x14ac:dyDescent="0.3">
      <c r="A11088" s="12"/>
    </row>
    <row r="11089" spans="1:1" x14ac:dyDescent="0.3">
      <c r="A11089" s="12"/>
    </row>
    <row r="11090" spans="1:1" x14ac:dyDescent="0.3">
      <c r="A11090" s="12"/>
    </row>
    <row r="11091" spans="1:1" x14ac:dyDescent="0.3">
      <c r="A11091" s="12"/>
    </row>
    <row r="11092" spans="1:1" x14ac:dyDescent="0.3">
      <c r="A11092" s="12"/>
    </row>
    <row r="11093" spans="1:1" x14ac:dyDescent="0.3">
      <c r="A11093" s="12"/>
    </row>
    <row r="11094" spans="1:1" x14ac:dyDescent="0.3">
      <c r="A11094" s="12"/>
    </row>
    <row r="11095" spans="1:1" x14ac:dyDescent="0.3">
      <c r="A11095" s="12"/>
    </row>
    <row r="11096" spans="1:1" x14ac:dyDescent="0.3">
      <c r="A11096" s="12"/>
    </row>
    <row r="11097" spans="1:1" x14ac:dyDescent="0.3">
      <c r="A11097" s="12"/>
    </row>
    <row r="11098" spans="1:1" x14ac:dyDescent="0.3">
      <c r="A11098" s="12"/>
    </row>
    <row r="11099" spans="1:1" x14ac:dyDescent="0.3">
      <c r="A11099" s="12"/>
    </row>
    <row r="11100" spans="1:1" x14ac:dyDescent="0.3">
      <c r="A11100" s="12"/>
    </row>
    <row r="11101" spans="1:1" x14ac:dyDescent="0.3">
      <c r="A11101" s="12"/>
    </row>
    <row r="11102" spans="1:1" x14ac:dyDescent="0.3">
      <c r="A11102" s="12"/>
    </row>
    <row r="11103" spans="1:1" x14ac:dyDescent="0.3">
      <c r="A11103" s="12"/>
    </row>
    <row r="11104" spans="1:1" x14ac:dyDescent="0.3">
      <c r="A11104" s="12"/>
    </row>
    <row r="11105" spans="1:1" x14ac:dyDescent="0.3">
      <c r="A11105" s="12"/>
    </row>
    <row r="11106" spans="1:1" x14ac:dyDescent="0.3">
      <c r="A11106" s="12"/>
    </row>
    <row r="11107" spans="1:1" x14ac:dyDescent="0.3">
      <c r="A11107" s="12"/>
    </row>
    <row r="11108" spans="1:1" x14ac:dyDescent="0.3">
      <c r="A11108" s="12"/>
    </row>
    <row r="11109" spans="1:1" x14ac:dyDescent="0.3">
      <c r="A11109" s="12"/>
    </row>
    <row r="11110" spans="1:1" x14ac:dyDescent="0.3">
      <c r="A11110" s="12"/>
    </row>
    <row r="11111" spans="1:1" x14ac:dyDescent="0.3">
      <c r="A11111" s="12"/>
    </row>
    <row r="11112" spans="1:1" x14ac:dyDescent="0.3">
      <c r="A11112" s="12"/>
    </row>
    <row r="11113" spans="1:1" x14ac:dyDescent="0.3">
      <c r="A11113" s="12"/>
    </row>
    <row r="11114" spans="1:1" x14ac:dyDescent="0.3">
      <c r="A11114" s="12"/>
    </row>
    <row r="11115" spans="1:1" x14ac:dyDescent="0.3">
      <c r="A11115" s="12"/>
    </row>
    <row r="11116" spans="1:1" x14ac:dyDescent="0.3">
      <c r="A11116" s="12"/>
    </row>
    <row r="11117" spans="1:1" x14ac:dyDescent="0.3">
      <c r="A11117" s="12"/>
    </row>
    <row r="11118" spans="1:1" x14ac:dyDescent="0.3">
      <c r="A11118" s="12"/>
    </row>
    <row r="11119" spans="1:1" x14ac:dyDescent="0.3">
      <c r="A11119" s="12"/>
    </row>
    <row r="11120" spans="1:1" x14ac:dyDescent="0.3">
      <c r="A11120" s="12"/>
    </row>
    <row r="11121" spans="1:1" x14ac:dyDescent="0.3">
      <c r="A11121" s="12"/>
    </row>
    <row r="11122" spans="1:1" x14ac:dyDescent="0.3">
      <c r="A11122" s="12"/>
    </row>
    <row r="11123" spans="1:1" x14ac:dyDescent="0.3">
      <c r="A11123" s="12"/>
    </row>
    <row r="11124" spans="1:1" x14ac:dyDescent="0.3">
      <c r="A11124" s="12"/>
    </row>
    <row r="11125" spans="1:1" x14ac:dyDescent="0.3">
      <c r="A11125" s="12"/>
    </row>
    <row r="11126" spans="1:1" x14ac:dyDescent="0.3">
      <c r="A11126" s="12"/>
    </row>
    <row r="11127" spans="1:1" x14ac:dyDescent="0.3">
      <c r="A11127" s="12"/>
    </row>
    <row r="11128" spans="1:1" x14ac:dyDescent="0.3">
      <c r="A11128" s="12"/>
    </row>
    <row r="11129" spans="1:1" x14ac:dyDescent="0.3">
      <c r="A11129" s="12"/>
    </row>
    <row r="11130" spans="1:1" x14ac:dyDescent="0.3">
      <c r="A11130" s="12"/>
    </row>
    <row r="11131" spans="1:1" x14ac:dyDescent="0.3">
      <c r="A11131" s="12"/>
    </row>
    <row r="11132" spans="1:1" x14ac:dyDescent="0.3">
      <c r="A11132" s="12"/>
    </row>
    <row r="11133" spans="1:1" x14ac:dyDescent="0.3">
      <c r="A11133" s="12"/>
    </row>
    <row r="11134" spans="1:1" x14ac:dyDescent="0.3">
      <c r="A11134" s="12"/>
    </row>
    <row r="11135" spans="1:1" x14ac:dyDescent="0.3">
      <c r="A11135" s="12"/>
    </row>
    <row r="11136" spans="1:1" x14ac:dyDescent="0.3">
      <c r="A11136" s="12"/>
    </row>
    <row r="11137" spans="1:1" x14ac:dyDescent="0.3">
      <c r="A11137" s="12"/>
    </row>
    <row r="11138" spans="1:1" x14ac:dyDescent="0.3">
      <c r="A11138" s="12"/>
    </row>
    <row r="11139" spans="1:1" x14ac:dyDescent="0.3">
      <c r="A11139" s="12"/>
    </row>
    <row r="11140" spans="1:1" x14ac:dyDescent="0.3">
      <c r="A11140" s="12"/>
    </row>
    <row r="11141" spans="1:1" x14ac:dyDescent="0.3">
      <c r="A11141" s="12"/>
    </row>
    <row r="11142" spans="1:1" x14ac:dyDescent="0.3">
      <c r="A11142" s="12"/>
    </row>
    <row r="11143" spans="1:1" x14ac:dyDescent="0.3">
      <c r="A11143" s="12"/>
    </row>
    <row r="11144" spans="1:1" x14ac:dyDescent="0.3">
      <c r="A11144" s="12"/>
    </row>
    <row r="11145" spans="1:1" x14ac:dyDescent="0.3">
      <c r="A11145" s="12"/>
    </row>
    <row r="11146" spans="1:1" x14ac:dyDescent="0.3">
      <c r="A11146" s="12"/>
    </row>
    <row r="11147" spans="1:1" x14ac:dyDescent="0.3">
      <c r="A11147" s="12"/>
    </row>
    <row r="11148" spans="1:1" x14ac:dyDescent="0.3">
      <c r="A11148" s="12"/>
    </row>
    <row r="11149" spans="1:1" x14ac:dyDescent="0.3">
      <c r="A11149" s="12"/>
    </row>
    <row r="11150" spans="1:1" x14ac:dyDescent="0.3">
      <c r="A11150" s="12"/>
    </row>
    <row r="11151" spans="1:1" x14ac:dyDescent="0.3">
      <c r="A11151" s="12"/>
    </row>
    <row r="11152" spans="1:1" x14ac:dyDescent="0.3">
      <c r="A11152" s="12"/>
    </row>
    <row r="11153" spans="1:1" x14ac:dyDescent="0.3">
      <c r="A11153" s="12"/>
    </row>
    <row r="11154" spans="1:1" x14ac:dyDescent="0.3">
      <c r="A11154" s="12"/>
    </row>
    <row r="11155" spans="1:1" x14ac:dyDescent="0.3">
      <c r="A11155" s="12"/>
    </row>
    <row r="11156" spans="1:1" x14ac:dyDescent="0.3">
      <c r="A11156" s="12"/>
    </row>
    <row r="11157" spans="1:1" x14ac:dyDescent="0.3">
      <c r="A11157" s="12"/>
    </row>
    <row r="11158" spans="1:1" x14ac:dyDescent="0.3">
      <c r="A11158" s="12"/>
    </row>
    <row r="11159" spans="1:1" x14ac:dyDescent="0.3">
      <c r="A11159" s="12"/>
    </row>
    <row r="11160" spans="1:1" x14ac:dyDescent="0.3">
      <c r="A11160" s="12"/>
    </row>
    <row r="11161" spans="1:1" x14ac:dyDescent="0.3">
      <c r="A11161" s="12"/>
    </row>
    <row r="11162" spans="1:1" x14ac:dyDescent="0.3">
      <c r="A11162" s="12"/>
    </row>
    <row r="11163" spans="1:1" x14ac:dyDescent="0.3">
      <c r="A11163" s="12"/>
    </row>
    <row r="11164" spans="1:1" x14ac:dyDescent="0.3">
      <c r="A11164" s="12"/>
    </row>
    <row r="11165" spans="1:1" x14ac:dyDescent="0.3">
      <c r="A11165" s="12"/>
    </row>
    <row r="11166" spans="1:1" x14ac:dyDescent="0.3">
      <c r="A11166" s="12"/>
    </row>
    <row r="11167" spans="1:1" x14ac:dyDescent="0.3">
      <c r="A11167" s="12"/>
    </row>
    <row r="11168" spans="1:1" x14ac:dyDescent="0.3">
      <c r="A11168" s="12"/>
    </row>
    <row r="11169" spans="1:1" x14ac:dyDescent="0.3">
      <c r="A11169" s="12"/>
    </row>
    <row r="11170" spans="1:1" x14ac:dyDescent="0.3">
      <c r="A11170" s="12"/>
    </row>
    <row r="11171" spans="1:1" x14ac:dyDescent="0.3">
      <c r="A11171" s="12"/>
    </row>
    <row r="11172" spans="1:1" x14ac:dyDescent="0.3">
      <c r="A11172" s="12"/>
    </row>
    <row r="11173" spans="1:1" x14ac:dyDescent="0.3">
      <c r="A11173" s="12"/>
    </row>
    <row r="11174" spans="1:1" x14ac:dyDescent="0.3">
      <c r="A11174" s="12"/>
    </row>
    <row r="11175" spans="1:1" x14ac:dyDescent="0.3">
      <c r="A11175" s="12"/>
    </row>
    <row r="11176" spans="1:1" x14ac:dyDescent="0.3">
      <c r="A11176" s="12"/>
    </row>
    <row r="11177" spans="1:1" x14ac:dyDescent="0.3">
      <c r="A11177" s="12"/>
    </row>
    <row r="11178" spans="1:1" x14ac:dyDescent="0.3">
      <c r="A11178" s="12"/>
    </row>
    <row r="11179" spans="1:1" x14ac:dyDescent="0.3">
      <c r="A11179" s="12"/>
    </row>
    <row r="11180" spans="1:1" x14ac:dyDescent="0.3">
      <c r="A11180" s="12"/>
    </row>
    <row r="11181" spans="1:1" x14ac:dyDescent="0.3">
      <c r="A11181" s="12"/>
    </row>
    <row r="11182" spans="1:1" x14ac:dyDescent="0.3">
      <c r="A11182" s="12"/>
    </row>
    <row r="11183" spans="1:1" x14ac:dyDescent="0.3">
      <c r="A11183" s="12"/>
    </row>
    <row r="11184" spans="1:1" x14ac:dyDescent="0.3">
      <c r="A11184" s="12"/>
    </row>
    <row r="11185" spans="1:1" x14ac:dyDescent="0.3">
      <c r="A11185" s="12"/>
    </row>
    <row r="11186" spans="1:1" x14ac:dyDescent="0.3">
      <c r="A11186" s="12"/>
    </row>
    <row r="11187" spans="1:1" x14ac:dyDescent="0.3">
      <c r="A11187" s="12"/>
    </row>
    <row r="11188" spans="1:1" x14ac:dyDescent="0.3">
      <c r="A11188" s="12"/>
    </row>
    <row r="11189" spans="1:1" x14ac:dyDescent="0.3">
      <c r="A11189" s="12"/>
    </row>
    <row r="11190" spans="1:1" x14ac:dyDescent="0.3">
      <c r="A11190" s="12"/>
    </row>
    <row r="11191" spans="1:1" x14ac:dyDescent="0.3">
      <c r="A11191" s="12"/>
    </row>
    <row r="11192" spans="1:1" x14ac:dyDescent="0.3">
      <c r="A11192" s="12"/>
    </row>
    <row r="11193" spans="1:1" x14ac:dyDescent="0.3">
      <c r="A11193" s="12"/>
    </row>
    <row r="11194" spans="1:1" x14ac:dyDescent="0.3">
      <c r="A11194" s="12"/>
    </row>
    <row r="11195" spans="1:1" x14ac:dyDescent="0.3">
      <c r="A11195" s="12"/>
    </row>
    <row r="11196" spans="1:1" x14ac:dyDescent="0.3">
      <c r="A11196" s="12"/>
    </row>
    <row r="11197" spans="1:1" x14ac:dyDescent="0.3">
      <c r="A11197" s="12"/>
    </row>
    <row r="11198" spans="1:1" x14ac:dyDescent="0.3">
      <c r="A11198" s="12"/>
    </row>
    <row r="11199" spans="1:1" x14ac:dyDescent="0.3">
      <c r="A11199" s="12"/>
    </row>
    <row r="11200" spans="1:1" x14ac:dyDescent="0.3">
      <c r="A11200" s="12"/>
    </row>
    <row r="11201" spans="1:1" x14ac:dyDescent="0.3">
      <c r="A11201" s="12"/>
    </row>
    <row r="11202" spans="1:1" x14ac:dyDescent="0.3">
      <c r="A11202" s="12"/>
    </row>
    <row r="11203" spans="1:1" x14ac:dyDescent="0.3">
      <c r="A11203" s="12"/>
    </row>
    <row r="11204" spans="1:1" x14ac:dyDescent="0.3">
      <c r="A11204" s="12"/>
    </row>
    <row r="11205" spans="1:1" x14ac:dyDescent="0.3">
      <c r="A11205" s="12"/>
    </row>
    <row r="11206" spans="1:1" x14ac:dyDescent="0.3">
      <c r="A11206" s="12"/>
    </row>
    <row r="11207" spans="1:1" x14ac:dyDescent="0.3">
      <c r="A11207" s="12"/>
    </row>
    <row r="11208" spans="1:1" x14ac:dyDescent="0.3">
      <c r="A11208" s="12"/>
    </row>
    <row r="11209" spans="1:1" x14ac:dyDescent="0.3">
      <c r="A11209" s="12"/>
    </row>
    <row r="11210" spans="1:1" x14ac:dyDescent="0.3">
      <c r="A11210" s="12"/>
    </row>
    <row r="11211" spans="1:1" x14ac:dyDescent="0.3">
      <c r="A11211" s="12"/>
    </row>
    <row r="11212" spans="1:1" x14ac:dyDescent="0.3">
      <c r="A11212" s="12"/>
    </row>
    <row r="11213" spans="1:1" x14ac:dyDescent="0.3">
      <c r="A11213" s="12"/>
    </row>
    <row r="11214" spans="1:1" x14ac:dyDescent="0.3">
      <c r="A11214" s="12"/>
    </row>
    <row r="11215" spans="1:1" x14ac:dyDescent="0.3">
      <c r="A11215" s="12"/>
    </row>
    <row r="11216" spans="1:1" x14ac:dyDescent="0.3">
      <c r="A11216" s="12"/>
    </row>
    <row r="11217" spans="1:1" x14ac:dyDescent="0.3">
      <c r="A11217" s="12"/>
    </row>
    <row r="11218" spans="1:1" x14ac:dyDescent="0.3">
      <c r="A11218" s="12"/>
    </row>
    <row r="11219" spans="1:1" x14ac:dyDescent="0.3">
      <c r="A11219" s="12"/>
    </row>
    <row r="11220" spans="1:1" x14ac:dyDescent="0.3">
      <c r="A11220" s="12"/>
    </row>
    <row r="11221" spans="1:1" x14ac:dyDescent="0.3">
      <c r="A11221" s="12"/>
    </row>
    <row r="11222" spans="1:1" x14ac:dyDescent="0.3">
      <c r="A11222" s="12"/>
    </row>
    <row r="11223" spans="1:1" x14ac:dyDescent="0.3">
      <c r="A11223" s="12"/>
    </row>
    <row r="11224" spans="1:1" x14ac:dyDescent="0.3">
      <c r="A11224" s="12"/>
    </row>
    <row r="11225" spans="1:1" x14ac:dyDescent="0.3">
      <c r="A11225" s="12"/>
    </row>
    <row r="11226" spans="1:1" x14ac:dyDescent="0.3">
      <c r="A11226" s="12"/>
    </row>
    <row r="11227" spans="1:1" x14ac:dyDescent="0.3">
      <c r="A11227" s="12"/>
    </row>
    <row r="11228" spans="1:1" x14ac:dyDescent="0.3">
      <c r="A11228" s="12"/>
    </row>
    <row r="11229" spans="1:1" x14ac:dyDescent="0.3">
      <c r="A11229" s="12"/>
    </row>
    <row r="11230" spans="1:1" x14ac:dyDescent="0.3">
      <c r="A11230" s="12"/>
    </row>
    <row r="11231" spans="1:1" x14ac:dyDescent="0.3">
      <c r="A11231" s="12"/>
    </row>
    <row r="11232" spans="1:1" x14ac:dyDescent="0.3">
      <c r="A11232" s="12"/>
    </row>
    <row r="11233" spans="1:1" x14ac:dyDescent="0.3">
      <c r="A11233" s="12"/>
    </row>
    <row r="11234" spans="1:1" x14ac:dyDescent="0.3">
      <c r="A11234" s="12"/>
    </row>
    <row r="11235" spans="1:1" x14ac:dyDescent="0.3">
      <c r="A11235" s="12"/>
    </row>
    <row r="11236" spans="1:1" x14ac:dyDescent="0.3">
      <c r="A11236" s="12"/>
    </row>
    <row r="11237" spans="1:1" x14ac:dyDescent="0.3">
      <c r="A11237" s="12"/>
    </row>
    <row r="11238" spans="1:1" x14ac:dyDescent="0.3">
      <c r="A11238" s="12"/>
    </row>
    <row r="11239" spans="1:1" x14ac:dyDescent="0.3">
      <c r="A11239" s="12"/>
    </row>
    <row r="11240" spans="1:1" x14ac:dyDescent="0.3">
      <c r="A11240" s="12"/>
    </row>
    <row r="11241" spans="1:1" x14ac:dyDescent="0.3">
      <c r="A11241" s="12"/>
    </row>
    <row r="11242" spans="1:1" x14ac:dyDescent="0.3">
      <c r="A11242" s="12"/>
    </row>
    <row r="11243" spans="1:1" x14ac:dyDescent="0.3">
      <c r="A11243" s="12"/>
    </row>
    <row r="11244" spans="1:1" x14ac:dyDescent="0.3">
      <c r="A11244" s="12"/>
    </row>
    <row r="11245" spans="1:1" x14ac:dyDescent="0.3">
      <c r="A11245" s="12"/>
    </row>
    <row r="11246" spans="1:1" x14ac:dyDescent="0.3">
      <c r="A11246" s="12"/>
    </row>
    <row r="11247" spans="1:1" x14ac:dyDescent="0.3">
      <c r="A11247" s="12"/>
    </row>
    <row r="11248" spans="1:1" x14ac:dyDescent="0.3">
      <c r="A11248" s="12"/>
    </row>
    <row r="11249" spans="1:1" x14ac:dyDescent="0.3">
      <c r="A11249" s="12"/>
    </row>
    <row r="11250" spans="1:1" x14ac:dyDescent="0.3">
      <c r="A11250" s="12"/>
    </row>
    <row r="11251" spans="1:1" x14ac:dyDescent="0.3">
      <c r="A11251" s="12"/>
    </row>
    <row r="11252" spans="1:1" x14ac:dyDescent="0.3">
      <c r="A11252" s="12"/>
    </row>
    <row r="11253" spans="1:1" x14ac:dyDescent="0.3">
      <c r="A11253" s="12"/>
    </row>
    <row r="11254" spans="1:1" x14ac:dyDescent="0.3">
      <c r="A11254" s="12"/>
    </row>
    <row r="11255" spans="1:1" x14ac:dyDescent="0.3">
      <c r="A11255" s="12"/>
    </row>
    <row r="11256" spans="1:1" x14ac:dyDescent="0.3">
      <c r="A11256" s="12"/>
    </row>
    <row r="11257" spans="1:1" x14ac:dyDescent="0.3">
      <c r="A11257" s="12"/>
    </row>
    <row r="11258" spans="1:1" x14ac:dyDescent="0.3">
      <c r="A11258" s="12"/>
    </row>
    <row r="11259" spans="1:1" x14ac:dyDescent="0.3">
      <c r="A11259" s="12"/>
    </row>
    <row r="11260" spans="1:1" x14ac:dyDescent="0.3">
      <c r="A11260" s="12"/>
    </row>
    <row r="11261" spans="1:1" x14ac:dyDescent="0.3">
      <c r="A11261" s="12"/>
    </row>
    <row r="11262" spans="1:1" x14ac:dyDescent="0.3">
      <c r="A11262" s="12"/>
    </row>
    <row r="11263" spans="1:1" x14ac:dyDescent="0.3">
      <c r="A11263" s="12"/>
    </row>
    <row r="11264" spans="1:1" x14ac:dyDescent="0.3">
      <c r="A11264" s="12"/>
    </row>
    <row r="11265" spans="1:1" x14ac:dyDescent="0.3">
      <c r="A11265" s="12"/>
    </row>
    <row r="11266" spans="1:1" x14ac:dyDescent="0.3">
      <c r="A11266" s="12"/>
    </row>
    <row r="11267" spans="1:1" x14ac:dyDescent="0.3">
      <c r="A11267" s="12"/>
    </row>
    <row r="11268" spans="1:1" x14ac:dyDescent="0.3">
      <c r="A11268" s="12"/>
    </row>
    <row r="11269" spans="1:1" x14ac:dyDescent="0.3">
      <c r="A11269" s="12"/>
    </row>
    <row r="11270" spans="1:1" x14ac:dyDescent="0.3">
      <c r="A11270" s="12"/>
    </row>
    <row r="11271" spans="1:1" x14ac:dyDescent="0.3">
      <c r="A11271" s="12"/>
    </row>
    <row r="11272" spans="1:1" x14ac:dyDescent="0.3">
      <c r="A11272" s="12"/>
    </row>
    <row r="11273" spans="1:1" x14ac:dyDescent="0.3">
      <c r="A11273" s="12"/>
    </row>
    <row r="11274" spans="1:1" x14ac:dyDescent="0.3">
      <c r="A11274" s="12"/>
    </row>
    <row r="11275" spans="1:1" x14ac:dyDescent="0.3">
      <c r="A11275" s="12"/>
    </row>
    <row r="11276" spans="1:1" x14ac:dyDescent="0.3">
      <c r="A11276" s="12"/>
    </row>
    <row r="11277" spans="1:1" x14ac:dyDescent="0.3">
      <c r="A11277" s="12"/>
    </row>
    <row r="11278" spans="1:1" x14ac:dyDescent="0.3">
      <c r="A11278" s="12"/>
    </row>
    <row r="11279" spans="1:1" x14ac:dyDescent="0.3">
      <c r="A11279" s="12"/>
    </row>
    <row r="11280" spans="1:1" x14ac:dyDescent="0.3">
      <c r="A11280" s="12"/>
    </row>
    <row r="11281" spans="1:1" x14ac:dyDescent="0.3">
      <c r="A11281" s="12"/>
    </row>
    <row r="11282" spans="1:1" x14ac:dyDescent="0.3">
      <c r="A11282" s="12"/>
    </row>
    <row r="11283" spans="1:1" x14ac:dyDescent="0.3">
      <c r="A11283" s="12"/>
    </row>
    <row r="11284" spans="1:1" x14ac:dyDescent="0.3">
      <c r="A11284" s="12"/>
    </row>
    <row r="11285" spans="1:1" x14ac:dyDescent="0.3">
      <c r="A11285" s="12"/>
    </row>
    <row r="11286" spans="1:1" x14ac:dyDescent="0.3">
      <c r="A11286" s="12"/>
    </row>
    <row r="11287" spans="1:1" x14ac:dyDescent="0.3">
      <c r="A11287" s="12"/>
    </row>
    <row r="11288" spans="1:1" x14ac:dyDescent="0.3">
      <c r="A11288" s="12"/>
    </row>
    <row r="11289" spans="1:1" x14ac:dyDescent="0.3">
      <c r="A11289" s="12"/>
    </row>
    <row r="11290" spans="1:1" x14ac:dyDescent="0.3">
      <c r="A11290" s="12"/>
    </row>
    <row r="11291" spans="1:1" x14ac:dyDescent="0.3">
      <c r="A11291" s="12"/>
    </row>
    <row r="11292" spans="1:1" x14ac:dyDescent="0.3">
      <c r="A11292" s="12"/>
    </row>
    <row r="11293" spans="1:1" x14ac:dyDescent="0.3">
      <c r="A11293" s="12"/>
    </row>
    <row r="11294" spans="1:1" x14ac:dyDescent="0.3">
      <c r="A11294" s="12"/>
    </row>
    <row r="11295" spans="1:1" x14ac:dyDescent="0.3">
      <c r="A11295" s="12"/>
    </row>
    <row r="11296" spans="1:1" x14ac:dyDescent="0.3">
      <c r="A11296" s="12"/>
    </row>
    <row r="11297" spans="1:1" x14ac:dyDescent="0.3">
      <c r="A11297" s="12"/>
    </row>
    <row r="11298" spans="1:1" x14ac:dyDescent="0.3">
      <c r="A11298" s="12"/>
    </row>
    <row r="11299" spans="1:1" x14ac:dyDescent="0.3">
      <c r="A11299" s="12"/>
    </row>
    <row r="11300" spans="1:1" x14ac:dyDescent="0.3">
      <c r="A11300" s="12"/>
    </row>
    <row r="11301" spans="1:1" x14ac:dyDescent="0.3">
      <c r="A11301" s="12"/>
    </row>
    <row r="11302" spans="1:1" x14ac:dyDescent="0.3">
      <c r="A11302" s="12"/>
    </row>
    <row r="11303" spans="1:1" x14ac:dyDescent="0.3">
      <c r="A11303" s="12"/>
    </row>
    <row r="11304" spans="1:1" x14ac:dyDescent="0.3">
      <c r="A11304" s="12"/>
    </row>
    <row r="11305" spans="1:1" x14ac:dyDescent="0.3">
      <c r="A11305" s="12"/>
    </row>
    <row r="11306" spans="1:1" x14ac:dyDescent="0.3">
      <c r="A11306" s="12"/>
    </row>
    <row r="11307" spans="1:1" x14ac:dyDescent="0.3">
      <c r="A11307" s="12"/>
    </row>
    <row r="11308" spans="1:1" x14ac:dyDescent="0.3">
      <c r="A11308" s="12"/>
    </row>
    <row r="11309" spans="1:1" x14ac:dyDescent="0.3">
      <c r="A11309" s="12"/>
    </row>
    <row r="11310" spans="1:1" x14ac:dyDescent="0.3">
      <c r="A11310" s="12"/>
    </row>
    <row r="11311" spans="1:1" x14ac:dyDescent="0.3">
      <c r="A11311" s="12"/>
    </row>
    <row r="11312" spans="1:1" x14ac:dyDescent="0.3">
      <c r="A11312" s="12"/>
    </row>
    <row r="11313" spans="1:1" x14ac:dyDescent="0.3">
      <c r="A11313" s="12"/>
    </row>
    <row r="11314" spans="1:1" x14ac:dyDescent="0.3">
      <c r="A11314" s="12"/>
    </row>
    <row r="11315" spans="1:1" x14ac:dyDescent="0.3">
      <c r="A11315" s="12"/>
    </row>
    <row r="11316" spans="1:1" x14ac:dyDescent="0.3">
      <c r="A11316" s="12"/>
    </row>
    <row r="11317" spans="1:1" x14ac:dyDescent="0.3">
      <c r="A11317" s="12"/>
    </row>
    <row r="11318" spans="1:1" x14ac:dyDescent="0.3">
      <c r="A11318" s="12"/>
    </row>
    <row r="11319" spans="1:1" x14ac:dyDescent="0.3">
      <c r="A11319" s="12"/>
    </row>
    <row r="11320" spans="1:1" x14ac:dyDescent="0.3">
      <c r="A11320" s="12"/>
    </row>
    <row r="11321" spans="1:1" x14ac:dyDescent="0.3">
      <c r="A11321" s="12"/>
    </row>
    <row r="11322" spans="1:1" x14ac:dyDescent="0.3">
      <c r="A11322" s="12"/>
    </row>
    <row r="11323" spans="1:1" x14ac:dyDescent="0.3">
      <c r="A11323" s="12"/>
    </row>
    <row r="11324" spans="1:1" x14ac:dyDescent="0.3">
      <c r="A11324" s="12"/>
    </row>
    <row r="11325" spans="1:1" x14ac:dyDescent="0.3">
      <c r="A11325" s="12"/>
    </row>
    <row r="11326" spans="1:1" x14ac:dyDescent="0.3">
      <c r="A11326" s="12"/>
    </row>
    <row r="11327" spans="1:1" x14ac:dyDescent="0.3">
      <c r="A11327" s="12"/>
    </row>
    <row r="11328" spans="1:1" x14ac:dyDescent="0.3">
      <c r="A11328" s="12"/>
    </row>
    <row r="11329" spans="1:1" x14ac:dyDescent="0.3">
      <c r="A11329" s="12"/>
    </row>
    <row r="11330" spans="1:1" x14ac:dyDescent="0.3">
      <c r="A11330" s="12"/>
    </row>
    <row r="11331" spans="1:1" x14ac:dyDescent="0.3">
      <c r="A11331" s="12"/>
    </row>
    <row r="11332" spans="1:1" x14ac:dyDescent="0.3">
      <c r="A11332" s="12"/>
    </row>
    <row r="11333" spans="1:1" x14ac:dyDescent="0.3">
      <c r="A11333" s="12"/>
    </row>
    <row r="11334" spans="1:1" x14ac:dyDescent="0.3">
      <c r="A11334" s="12"/>
    </row>
    <row r="11335" spans="1:1" x14ac:dyDescent="0.3">
      <c r="A11335" s="12"/>
    </row>
    <row r="11336" spans="1:1" x14ac:dyDescent="0.3">
      <c r="A11336" s="12"/>
    </row>
    <row r="11337" spans="1:1" x14ac:dyDescent="0.3">
      <c r="A11337" s="12"/>
    </row>
    <row r="11338" spans="1:1" x14ac:dyDescent="0.3">
      <c r="A11338" s="12"/>
    </row>
    <row r="11339" spans="1:1" x14ac:dyDescent="0.3">
      <c r="A11339" s="12"/>
    </row>
    <row r="11340" spans="1:1" x14ac:dyDescent="0.3">
      <c r="A11340" s="12"/>
    </row>
    <row r="11341" spans="1:1" x14ac:dyDescent="0.3">
      <c r="A11341" s="12"/>
    </row>
    <row r="11342" spans="1:1" x14ac:dyDescent="0.3">
      <c r="A11342" s="12"/>
    </row>
    <row r="11343" spans="1:1" x14ac:dyDescent="0.3">
      <c r="A11343" s="12"/>
    </row>
    <row r="11344" spans="1:1" x14ac:dyDescent="0.3">
      <c r="A11344" s="12"/>
    </row>
    <row r="11345" spans="1:1" x14ac:dyDescent="0.3">
      <c r="A11345" s="12"/>
    </row>
    <row r="11346" spans="1:1" x14ac:dyDescent="0.3">
      <c r="A11346" s="12"/>
    </row>
    <row r="11347" spans="1:1" x14ac:dyDescent="0.3">
      <c r="A11347" s="12"/>
    </row>
    <row r="11348" spans="1:1" x14ac:dyDescent="0.3">
      <c r="A11348" s="12"/>
    </row>
    <row r="11349" spans="1:1" x14ac:dyDescent="0.3">
      <c r="A11349" s="12"/>
    </row>
    <row r="11350" spans="1:1" x14ac:dyDescent="0.3">
      <c r="A11350" s="12"/>
    </row>
    <row r="11351" spans="1:1" x14ac:dyDescent="0.3">
      <c r="A11351" s="12"/>
    </row>
    <row r="11352" spans="1:1" x14ac:dyDescent="0.3">
      <c r="A11352" s="12"/>
    </row>
    <row r="11353" spans="1:1" x14ac:dyDescent="0.3">
      <c r="A11353" s="12"/>
    </row>
    <row r="11354" spans="1:1" x14ac:dyDescent="0.3">
      <c r="A11354" s="12"/>
    </row>
    <row r="11355" spans="1:1" x14ac:dyDescent="0.3">
      <c r="A11355" s="12"/>
    </row>
    <row r="11356" spans="1:1" x14ac:dyDescent="0.3">
      <c r="A11356" s="12"/>
    </row>
    <row r="11357" spans="1:1" x14ac:dyDescent="0.3">
      <c r="A11357" s="12"/>
    </row>
    <row r="11358" spans="1:1" x14ac:dyDescent="0.3">
      <c r="A11358" s="12"/>
    </row>
    <row r="11359" spans="1:1" x14ac:dyDescent="0.3">
      <c r="A11359" s="12"/>
    </row>
    <row r="11360" spans="1:1" x14ac:dyDescent="0.3">
      <c r="A11360" s="12"/>
    </row>
    <row r="11361" spans="1:1" x14ac:dyDescent="0.3">
      <c r="A11361" s="12"/>
    </row>
    <row r="11362" spans="1:1" x14ac:dyDescent="0.3">
      <c r="A11362" s="12"/>
    </row>
    <row r="11363" spans="1:1" x14ac:dyDescent="0.3">
      <c r="A11363" s="12"/>
    </row>
    <row r="11364" spans="1:1" x14ac:dyDescent="0.3">
      <c r="A11364" s="12"/>
    </row>
    <row r="11365" spans="1:1" x14ac:dyDescent="0.3">
      <c r="A11365" s="12"/>
    </row>
    <row r="11366" spans="1:1" x14ac:dyDescent="0.3">
      <c r="A11366" s="12"/>
    </row>
    <row r="11367" spans="1:1" x14ac:dyDescent="0.3">
      <c r="A11367" s="12"/>
    </row>
    <row r="11368" spans="1:1" x14ac:dyDescent="0.3">
      <c r="A11368" s="12"/>
    </row>
    <row r="11369" spans="1:1" x14ac:dyDescent="0.3">
      <c r="A11369" s="12"/>
    </row>
    <row r="11370" spans="1:1" x14ac:dyDescent="0.3">
      <c r="A11370" s="12"/>
    </row>
    <row r="11371" spans="1:1" x14ac:dyDescent="0.3">
      <c r="A11371" s="12"/>
    </row>
    <row r="11372" spans="1:1" x14ac:dyDescent="0.3">
      <c r="A11372" s="12"/>
    </row>
    <row r="11373" spans="1:1" x14ac:dyDescent="0.3">
      <c r="A11373" s="12"/>
    </row>
    <row r="11374" spans="1:1" x14ac:dyDescent="0.3">
      <c r="A11374" s="12"/>
    </row>
    <row r="11375" spans="1:1" x14ac:dyDescent="0.3">
      <c r="A11375" s="12"/>
    </row>
    <row r="11376" spans="1:1" x14ac:dyDescent="0.3">
      <c r="A11376" s="12"/>
    </row>
    <row r="11377" spans="1:1" x14ac:dyDescent="0.3">
      <c r="A11377" s="12"/>
    </row>
    <row r="11378" spans="1:1" x14ac:dyDescent="0.3">
      <c r="A11378" s="12"/>
    </row>
    <row r="11379" spans="1:1" x14ac:dyDescent="0.3">
      <c r="A11379" s="12"/>
    </row>
    <row r="11380" spans="1:1" x14ac:dyDescent="0.3">
      <c r="A11380" s="12"/>
    </row>
    <row r="11381" spans="1:1" x14ac:dyDescent="0.3">
      <c r="A11381" s="12"/>
    </row>
    <row r="11382" spans="1:1" x14ac:dyDescent="0.3">
      <c r="A11382" s="12"/>
    </row>
    <row r="11383" spans="1:1" x14ac:dyDescent="0.3">
      <c r="A11383" s="12"/>
    </row>
    <row r="11384" spans="1:1" x14ac:dyDescent="0.3">
      <c r="A11384" s="12"/>
    </row>
    <row r="11385" spans="1:1" x14ac:dyDescent="0.3">
      <c r="A11385" s="12"/>
    </row>
    <row r="11386" spans="1:1" x14ac:dyDescent="0.3">
      <c r="A11386" s="12"/>
    </row>
    <row r="11387" spans="1:1" x14ac:dyDescent="0.3">
      <c r="A11387" s="12"/>
    </row>
    <row r="11388" spans="1:1" x14ac:dyDescent="0.3">
      <c r="A11388" s="12"/>
    </row>
    <row r="11389" spans="1:1" x14ac:dyDescent="0.3">
      <c r="A11389" s="12"/>
    </row>
    <row r="11390" spans="1:1" x14ac:dyDescent="0.3">
      <c r="A11390" s="12"/>
    </row>
    <row r="11391" spans="1:1" x14ac:dyDescent="0.3">
      <c r="A11391" s="12"/>
    </row>
    <row r="11392" spans="1:1" x14ac:dyDescent="0.3">
      <c r="A11392" s="12"/>
    </row>
    <row r="11393" spans="1:1" x14ac:dyDescent="0.3">
      <c r="A11393" s="12"/>
    </row>
    <row r="11394" spans="1:1" x14ac:dyDescent="0.3">
      <c r="A11394" s="12"/>
    </row>
    <row r="11395" spans="1:1" x14ac:dyDescent="0.3">
      <c r="A11395" s="12"/>
    </row>
    <row r="11396" spans="1:1" x14ac:dyDescent="0.3">
      <c r="A11396" s="12"/>
    </row>
    <row r="11397" spans="1:1" x14ac:dyDescent="0.3">
      <c r="A11397" s="12"/>
    </row>
    <row r="11398" spans="1:1" x14ac:dyDescent="0.3">
      <c r="A11398" s="12"/>
    </row>
    <row r="11399" spans="1:1" x14ac:dyDescent="0.3">
      <c r="A11399" s="12"/>
    </row>
    <row r="11400" spans="1:1" x14ac:dyDescent="0.3">
      <c r="A11400" s="12"/>
    </row>
    <row r="11401" spans="1:1" x14ac:dyDescent="0.3">
      <c r="A11401" s="12"/>
    </row>
    <row r="11402" spans="1:1" x14ac:dyDescent="0.3">
      <c r="A11402" s="12"/>
    </row>
    <row r="11403" spans="1:1" x14ac:dyDescent="0.3">
      <c r="A11403" s="12"/>
    </row>
    <row r="11404" spans="1:1" x14ac:dyDescent="0.3">
      <c r="A11404" s="12"/>
    </row>
    <row r="11405" spans="1:1" x14ac:dyDescent="0.3">
      <c r="A11405" s="12"/>
    </row>
    <row r="11406" spans="1:1" x14ac:dyDescent="0.3">
      <c r="A11406" s="12"/>
    </row>
    <row r="11407" spans="1:1" x14ac:dyDescent="0.3">
      <c r="A11407" s="12"/>
    </row>
    <row r="11408" spans="1:1" x14ac:dyDescent="0.3">
      <c r="A11408" s="12"/>
    </row>
    <row r="11409" spans="1:1" x14ac:dyDescent="0.3">
      <c r="A11409" s="12"/>
    </row>
    <row r="11410" spans="1:1" x14ac:dyDescent="0.3">
      <c r="A11410" s="12"/>
    </row>
    <row r="11411" spans="1:1" x14ac:dyDescent="0.3">
      <c r="A11411" s="12"/>
    </row>
    <row r="11412" spans="1:1" x14ac:dyDescent="0.3">
      <c r="A11412" s="12"/>
    </row>
    <row r="11413" spans="1:1" x14ac:dyDescent="0.3">
      <c r="A11413" s="12"/>
    </row>
    <row r="11414" spans="1:1" x14ac:dyDescent="0.3">
      <c r="A11414" s="12"/>
    </row>
    <row r="11415" spans="1:1" x14ac:dyDescent="0.3">
      <c r="A11415" s="12"/>
    </row>
    <row r="11416" spans="1:1" x14ac:dyDescent="0.3">
      <c r="A11416" s="12"/>
    </row>
    <row r="11417" spans="1:1" x14ac:dyDescent="0.3">
      <c r="A11417" s="12"/>
    </row>
    <row r="11418" spans="1:1" x14ac:dyDescent="0.3">
      <c r="A11418" s="12"/>
    </row>
    <row r="11419" spans="1:1" x14ac:dyDescent="0.3">
      <c r="A11419" s="12"/>
    </row>
    <row r="11420" spans="1:1" x14ac:dyDescent="0.3">
      <c r="A11420" s="12"/>
    </row>
    <row r="11421" spans="1:1" x14ac:dyDescent="0.3">
      <c r="A11421" s="12"/>
    </row>
    <row r="11422" spans="1:1" x14ac:dyDescent="0.3">
      <c r="A11422" s="12"/>
    </row>
    <row r="11423" spans="1:1" x14ac:dyDescent="0.3">
      <c r="A11423" s="12"/>
    </row>
    <row r="11424" spans="1:1" x14ac:dyDescent="0.3">
      <c r="A11424" s="12"/>
    </row>
    <row r="11425" spans="1:1" x14ac:dyDescent="0.3">
      <c r="A11425" s="12"/>
    </row>
    <row r="11426" spans="1:1" x14ac:dyDescent="0.3">
      <c r="A11426" s="12"/>
    </row>
    <row r="11427" spans="1:1" x14ac:dyDescent="0.3">
      <c r="A11427" s="12"/>
    </row>
    <row r="11428" spans="1:1" x14ac:dyDescent="0.3">
      <c r="A11428" s="12"/>
    </row>
    <row r="11429" spans="1:1" x14ac:dyDescent="0.3">
      <c r="A11429" s="12"/>
    </row>
    <row r="11430" spans="1:1" x14ac:dyDescent="0.3">
      <c r="A11430" s="12"/>
    </row>
    <row r="11431" spans="1:1" x14ac:dyDescent="0.3">
      <c r="A11431" s="12"/>
    </row>
    <row r="11432" spans="1:1" x14ac:dyDescent="0.3">
      <c r="A11432" s="12"/>
    </row>
    <row r="11433" spans="1:1" x14ac:dyDescent="0.3">
      <c r="A11433" s="12"/>
    </row>
    <row r="11434" spans="1:1" x14ac:dyDescent="0.3">
      <c r="A11434" s="12"/>
    </row>
    <row r="11435" spans="1:1" x14ac:dyDescent="0.3">
      <c r="A11435" s="12"/>
    </row>
    <row r="11436" spans="1:1" x14ac:dyDescent="0.3">
      <c r="A11436" s="12"/>
    </row>
    <row r="11437" spans="1:1" x14ac:dyDescent="0.3">
      <c r="A11437" s="12"/>
    </row>
    <row r="11438" spans="1:1" x14ac:dyDescent="0.3">
      <c r="A11438" s="12"/>
    </row>
    <row r="11439" spans="1:1" x14ac:dyDescent="0.3">
      <c r="A11439" s="12"/>
    </row>
    <row r="11440" spans="1:1" x14ac:dyDescent="0.3">
      <c r="A11440" s="12"/>
    </row>
    <row r="11441" spans="1:1" x14ac:dyDescent="0.3">
      <c r="A11441" s="12"/>
    </row>
    <row r="11442" spans="1:1" x14ac:dyDescent="0.3">
      <c r="A11442" s="12"/>
    </row>
    <row r="11443" spans="1:1" x14ac:dyDescent="0.3">
      <c r="A11443" s="12"/>
    </row>
    <row r="11444" spans="1:1" x14ac:dyDescent="0.3">
      <c r="A11444" s="12"/>
    </row>
    <row r="11445" spans="1:1" x14ac:dyDescent="0.3">
      <c r="A11445" s="12"/>
    </row>
    <row r="11446" spans="1:1" x14ac:dyDescent="0.3">
      <c r="A11446" s="12"/>
    </row>
    <row r="11447" spans="1:1" x14ac:dyDescent="0.3">
      <c r="A11447" s="12"/>
    </row>
    <row r="11448" spans="1:1" x14ac:dyDescent="0.3">
      <c r="A11448" s="12"/>
    </row>
    <row r="11449" spans="1:1" x14ac:dyDescent="0.3">
      <c r="A11449" s="12"/>
    </row>
    <row r="11450" spans="1:1" x14ac:dyDescent="0.3">
      <c r="A11450" s="12"/>
    </row>
    <row r="11451" spans="1:1" x14ac:dyDescent="0.3">
      <c r="A11451" s="12"/>
    </row>
    <row r="11452" spans="1:1" x14ac:dyDescent="0.3">
      <c r="A11452" s="12"/>
    </row>
    <row r="11453" spans="1:1" x14ac:dyDescent="0.3">
      <c r="A11453" s="12"/>
    </row>
    <row r="11454" spans="1:1" x14ac:dyDescent="0.3">
      <c r="A11454" s="12"/>
    </row>
    <row r="11455" spans="1:1" x14ac:dyDescent="0.3">
      <c r="A11455" s="12"/>
    </row>
    <row r="11456" spans="1:1" x14ac:dyDescent="0.3">
      <c r="A11456" s="12"/>
    </row>
    <row r="11457" spans="1:1" x14ac:dyDescent="0.3">
      <c r="A11457" s="12"/>
    </row>
    <row r="11458" spans="1:1" x14ac:dyDescent="0.3">
      <c r="A11458" s="12"/>
    </row>
    <row r="11459" spans="1:1" x14ac:dyDescent="0.3">
      <c r="A11459" s="12"/>
    </row>
    <row r="11460" spans="1:1" x14ac:dyDescent="0.3">
      <c r="A11460" s="12"/>
    </row>
    <row r="11461" spans="1:1" x14ac:dyDescent="0.3">
      <c r="A11461" s="12"/>
    </row>
    <row r="11462" spans="1:1" x14ac:dyDescent="0.3">
      <c r="A11462" s="12"/>
    </row>
    <row r="11463" spans="1:1" x14ac:dyDescent="0.3">
      <c r="A11463" s="12"/>
    </row>
    <row r="11464" spans="1:1" x14ac:dyDescent="0.3">
      <c r="A11464" s="12"/>
    </row>
    <row r="11465" spans="1:1" x14ac:dyDescent="0.3">
      <c r="A11465" s="12"/>
    </row>
    <row r="11466" spans="1:1" x14ac:dyDescent="0.3">
      <c r="A11466" s="12"/>
    </row>
    <row r="11467" spans="1:1" x14ac:dyDescent="0.3">
      <c r="A11467" s="12"/>
    </row>
    <row r="11468" spans="1:1" x14ac:dyDescent="0.3">
      <c r="A11468" s="12"/>
    </row>
    <row r="11469" spans="1:1" x14ac:dyDescent="0.3">
      <c r="A11469" s="12"/>
    </row>
    <row r="11470" spans="1:1" x14ac:dyDescent="0.3">
      <c r="A11470" s="12"/>
    </row>
    <row r="11471" spans="1:1" x14ac:dyDescent="0.3">
      <c r="A11471" s="12"/>
    </row>
    <row r="11472" spans="1:1" x14ac:dyDescent="0.3">
      <c r="A11472" s="12"/>
    </row>
    <row r="11473" spans="1:1" x14ac:dyDescent="0.3">
      <c r="A11473" s="12"/>
    </row>
    <row r="11474" spans="1:1" x14ac:dyDescent="0.3">
      <c r="A11474" s="12"/>
    </row>
    <row r="11475" spans="1:1" x14ac:dyDescent="0.3">
      <c r="A11475" s="12"/>
    </row>
    <row r="11476" spans="1:1" x14ac:dyDescent="0.3">
      <c r="A11476" s="12"/>
    </row>
    <row r="11477" spans="1:1" x14ac:dyDescent="0.3">
      <c r="A11477" s="12"/>
    </row>
    <row r="11478" spans="1:1" x14ac:dyDescent="0.3">
      <c r="A11478" s="12"/>
    </row>
    <row r="11479" spans="1:1" x14ac:dyDescent="0.3">
      <c r="A11479" s="12"/>
    </row>
    <row r="11480" spans="1:1" x14ac:dyDescent="0.3">
      <c r="A11480" s="12"/>
    </row>
    <row r="11481" spans="1:1" x14ac:dyDescent="0.3">
      <c r="A11481" s="12"/>
    </row>
    <row r="11482" spans="1:1" x14ac:dyDescent="0.3">
      <c r="A11482" s="12"/>
    </row>
    <row r="11483" spans="1:1" x14ac:dyDescent="0.3">
      <c r="A11483" s="12"/>
    </row>
    <row r="11484" spans="1:1" x14ac:dyDescent="0.3">
      <c r="A11484" s="12"/>
    </row>
    <row r="11485" spans="1:1" x14ac:dyDescent="0.3">
      <c r="A11485" s="12"/>
    </row>
    <row r="11486" spans="1:1" x14ac:dyDescent="0.3">
      <c r="A11486" s="12"/>
    </row>
    <row r="11487" spans="1:1" x14ac:dyDescent="0.3">
      <c r="A11487" s="12"/>
    </row>
    <row r="11488" spans="1:1" x14ac:dyDescent="0.3">
      <c r="A11488" s="12"/>
    </row>
    <row r="11489" spans="1:1" x14ac:dyDescent="0.3">
      <c r="A11489" s="12"/>
    </row>
    <row r="11490" spans="1:1" x14ac:dyDescent="0.3">
      <c r="A11490" s="12"/>
    </row>
    <row r="11491" spans="1:1" x14ac:dyDescent="0.3">
      <c r="A11491" s="12"/>
    </row>
    <row r="11492" spans="1:1" x14ac:dyDescent="0.3">
      <c r="A11492" s="12"/>
    </row>
    <row r="11493" spans="1:1" x14ac:dyDescent="0.3">
      <c r="A11493" s="12"/>
    </row>
    <row r="11494" spans="1:1" x14ac:dyDescent="0.3">
      <c r="A11494" s="12"/>
    </row>
    <row r="11495" spans="1:1" x14ac:dyDescent="0.3">
      <c r="A11495" s="12"/>
    </row>
    <row r="11496" spans="1:1" x14ac:dyDescent="0.3">
      <c r="A11496" s="12"/>
    </row>
    <row r="11497" spans="1:1" x14ac:dyDescent="0.3">
      <c r="A11497" s="12"/>
    </row>
    <row r="11498" spans="1:1" x14ac:dyDescent="0.3">
      <c r="A11498" s="12"/>
    </row>
    <row r="11499" spans="1:1" x14ac:dyDescent="0.3">
      <c r="A11499" s="12"/>
    </row>
    <row r="11500" spans="1:1" x14ac:dyDescent="0.3">
      <c r="A11500" s="12"/>
    </row>
    <row r="11501" spans="1:1" x14ac:dyDescent="0.3">
      <c r="A11501" s="12"/>
    </row>
    <row r="11502" spans="1:1" x14ac:dyDescent="0.3">
      <c r="A11502" s="12"/>
    </row>
    <row r="11503" spans="1:1" x14ac:dyDescent="0.3">
      <c r="A11503" s="12"/>
    </row>
    <row r="11504" spans="1:1" x14ac:dyDescent="0.3">
      <c r="A11504" s="12"/>
    </row>
    <row r="11505" spans="1:1" x14ac:dyDescent="0.3">
      <c r="A11505" s="12"/>
    </row>
    <row r="11506" spans="1:1" x14ac:dyDescent="0.3">
      <c r="A11506" s="12"/>
    </row>
    <row r="11507" spans="1:1" x14ac:dyDescent="0.3">
      <c r="A11507" s="12"/>
    </row>
    <row r="11508" spans="1:1" x14ac:dyDescent="0.3">
      <c r="A11508" s="12"/>
    </row>
    <row r="11509" spans="1:1" x14ac:dyDescent="0.3">
      <c r="A11509" s="12"/>
    </row>
    <row r="11510" spans="1:1" x14ac:dyDescent="0.3">
      <c r="A11510" s="12"/>
    </row>
    <row r="11511" spans="1:1" x14ac:dyDescent="0.3">
      <c r="A11511" s="12"/>
    </row>
    <row r="11512" spans="1:1" x14ac:dyDescent="0.3">
      <c r="A11512" s="12"/>
    </row>
    <row r="11513" spans="1:1" x14ac:dyDescent="0.3">
      <c r="A11513" s="12"/>
    </row>
    <row r="11514" spans="1:1" x14ac:dyDescent="0.3">
      <c r="A11514" s="12"/>
    </row>
    <row r="11515" spans="1:1" x14ac:dyDescent="0.3">
      <c r="A11515" s="12"/>
    </row>
    <row r="11516" spans="1:1" x14ac:dyDescent="0.3">
      <c r="A11516" s="12"/>
    </row>
    <row r="11517" spans="1:1" x14ac:dyDescent="0.3">
      <c r="A11517" s="12"/>
    </row>
    <row r="11518" spans="1:1" x14ac:dyDescent="0.3">
      <c r="A11518" s="12"/>
    </row>
    <row r="11519" spans="1:1" x14ac:dyDescent="0.3">
      <c r="A11519" s="12"/>
    </row>
    <row r="11520" spans="1:1" x14ac:dyDescent="0.3">
      <c r="A11520" s="12"/>
    </row>
    <row r="11521" spans="1:1" x14ac:dyDescent="0.3">
      <c r="A11521" s="12"/>
    </row>
    <row r="11522" spans="1:1" x14ac:dyDescent="0.3">
      <c r="A11522" s="12"/>
    </row>
    <row r="11523" spans="1:1" x14ac:dyDescent="0.3">
      <c r="A11523" s="12"/>
    </row>
    <row r="11524" spans="1:1" x14ac:dyDescent="0.3">
      <c r="A11524" s="12"/>
    </row>
    <row r="11525" spans="1:1" x14ac:dyDescent="0.3">
      <c r="A11525" s="12"/>
    </row>
    <row r="11526" spans="1:1" x14ac:dyDescent="0.3">
      <c r="A11526" s="12"/>
    </row>
    <row r="11527" spans="1:1" x14ac:dyDescent="0.3">
      <c r="A11527" s="12"/>
    </row>
    <row r="11528" spans="1:1" x14ac:dyDescent="0.3">
      <c r="A11528" s="12"/>
    </row>
    <row r="11529" spans="1:1" x14ac:dyDescent="0.3">
      <c r="A11529" s="12"/>
    </row>
    <row r="11530" spans="1:1" x14ac:dyDescent="0.3">
      <c r="A11530" s="12"/>
    </row>
    <row r="11531" spans="1:1" x14ac:dyDescent="0.3">
      <c r="A11531" s="12"/>
    </row>
    <row r="11532" spans="1:1" x14ac:dyDescent="0.3">
      <c r="A11532" s="12"/>
    </row>
    <row r="11533" spans="1:1" x14ac:dyDescent="0.3">
      <c r="A11533" s="12"/>
    </row>
    <row r="11534" spans="1:1" x14ac:dyDescent="0.3">
      <c r="A11534" s="12"/>
    </row>
    <row r="11535" spans="1:1" x14ac:dyDescent="0.3">
      <c r="A11535" s="12"/>
    </row>
    <row r="11536" spans="1:1" x14ac:dyDescent="0.3">
      <c r="A11536" s="12"/>
    </row>
    <row r="11537" spans="1:1" x14ac:dyDescent="0.3">
      <c r="A11537" s="12"/>
    </row>
    <row r="11538" spans="1:1" x14ac:dyDescent="0.3">
      <c r="A11538" s="12"/>
    </row>
    <row r="11539" spans="1:1" x14ac:dyDescent="0.3">
      <c r="A11539" s="12"/>
    </row>
    <row r="11540" spans="1:1" x14ac:dyDescent="0.3">
      <c r="A11540" s="12"/>
    </row>
    <row r="11541" spans="1:1" x14ac:dyDescent="0.3">
      <c r="A11541" s="12"/>
    </row>
    <row r="11542" spans="1:1" x14ac:dyDescent="0.3">
      <c r="A11542" s="12"/>
    </row>
    <row r="11543" spans="1:1" x14ac:dyDescent="0.3">
      <c r="A11543" s="12"/>
    </row>
    <row r="11544" spans="1:1" x14ac:dyDescent="0.3">
      <c r="A11544" s="12"/>
    </row>
    <row r="11545" spans="1:1" x14ac:dyDescent="0.3">
      <c r="A11545" s="12"/>
    </row>
    <row r="11546" spans="1:1" x14ac:dyDescent="0.3">
      <c r="A11546" s="12"/>
    </row>
    <row r="11547" spans="1:1" x14ac:dyDescent="0.3">
      <c r="A11547" s="12"/>
    </row>
    <row r="11548" spans="1:1" x14ac:dyDescent="0.3">
      <c r="A11548" s="12"/>
    </row>
    <row r="11549" spans="1:1" x14ac:dyDescent="0.3">
      <c r="A11549" s="12"/>
    </row>
    <row r="11550" spans="1:1" x14ac:dyDescent="0.3">
      <c r="A11550" s="12"/>
    </row>
    <row r="11551" spans="1:1" x14ac:dyDescent="0.3">
      <c r="A11551" s="12"/>
    </row>
    <row r="11552" spans="1:1" x14ac:dyDescent="0.3">
      <c r="A11552" s="12"/>
    </row>
    <row r="11553" spans="1:1" x14ac:dyDescent="0.3">
      <c r="A11553" s="12"/>
    </row>
    <row r="11554" spans="1:1" x14ac:dyDescent="0.3">
      <c r="A11554" s="12"/>
    </row>
    <row r="11555" spans="1:1" x14ac:dyDescent="0.3">
      <c r="A11555" s="12"/>
    </row>
    <row r="11556" spans="1:1" x14ac:dyDescent="0.3">
      <c r="A11556" s="12"/>
    </row>
    <row r="11557" spans="1:1" x14ac:dyDescent="0.3">
      <c r="A11557" s="12"/>
    </row>
    <row r="11558" spans="1:1" x14ac:dyDescent="0.3">
      <c r="A11558" s="12"/>
    </row>
    <row r="11559" spans="1:1" x14ac:dyDescent="0.3">
      <c r="A11559" s="12"/>
    </row>
    <row r="11560" spans="1:1" x14ac:dyDescent="0.3">
      <c r="A11560" s="12"/>
    </row>
    <row r="11561" spans="1:1" x14ac:dyDescent="0.3">
      <c r="A11561" s="12"/>
    </row>
    <row r="11562" spans="1:1" x14ac:dyDescent="0.3">
      <c r="A11562" s="12"/>
    </row>
    <row r="11563" spans="1:1" x14ac:dyDescent="0.3">
      <c r="A11563" s="12"/>
    </row>
    <row r="11564" spans="1:1" x14ac:dyDescent="0.3">
      <c r="A11564" s="12"/>
    </row>
    <row r="11565" spans="1:1" x14ac:dyDescent="0.3">
      <c r="A11565" s="12"/>
    </row>
    <row r="11566" spans="1:1" x14ac:dyDescent="0.3">
      <c r="A11566" s="12"/>
    </row>
    <row r="11567" spans="1:1" x14ac:dyDescent="0.3">
      <c r="A11567" s="12"/>
    </row>
    <row r="11568" spans="1:1" x14ac:dyDescent="0.3">
      <c r="A11568" s="12"/>
    </row>
    <row r="11569" spans="1:1" x14ac:dyDescent="0.3">
      <c r="A11569" s="12"/>
    </row>
    <row r="11570" spans="1:1" x14ac:dyDescent="0.3">
      <c r="A11570" s="12"/>
    </row>
    <row r="11571" spans="1:1" x14ac:dyDescent="0.3">
      <c r="A11571" s="12"/>
    </row>
    <row r="11572" spans="1:1" x14ac:dyDescent="0.3">
      <c r="A11572" s="12"/>
    </row>
    <row r="11573" spans="1:1" x14ac:dyDescent="0.3">
      <c r="A11573" s="12"/>
    </row>
    <row r="11574" spans="1:1" x14ac:dyDescent="0.3">
      <c r="A11574" s="12"/>
    </row>
    <row r="11575" spans="1:1" x14ac:dyDescent="0.3">
      <c r="A11575" s="12"/>
    </row>
    <row r="11576" spans="1:1" x14ac:dyDescent="0.3">
      <c r="A11576" s="12"/>
    </row>
    <row r="11577" spans="1:1" x14ac:dyDescent="0.3">
      <c r="A11577" s="12"/>
    </row>
    <row r="11578" spans="1:1" x14ac:dyDescent="0.3">
      <c r="A11578" s="12"/>
    </row>
    <row r="11579" spans="1:1" x14ac:dyDescent="0.3">
      <c r="A11579" s="12"/>
    </row>
    <row r="11580" spans="1:1" x14ac:dyDescent="0.3">
      <c r="A11580" s="12"/>
    </row>
    <row r="11581" spans="1:1" x14ac:dyDescent="0.3">
      <c r="A11581" s="12"/>
    </row>
    <row r="11582" spans="1:1" x14ac:dyDescent="0.3">
      <c r="A11582" s="12"/>
    </row>
    <row r="11583" spans="1:1" x14ac:dyDescent="0.3">
      <c r="A11583" s="12"/>
    </row>
    <row r="11584" spans="1:1" x14ac:dyDescent="0.3">
      <c r="A11584" s="12"/>
    </row>
    <row r="11585" spans="1:1" x14ac:dyDescent="0.3">
      <c r="A11585" s="12"/>
    </row>
    <row r="11586" spans="1:1" x14ac:dyDescent="0.3">
      <c r="A11586" s="12"/>
    </row>
    <row r="11587" spans="1:1" x14ac:dyDescent="0.3">
      <c r="A11587" s="12"/>
    </row>
    <row r="11588" spans="1:1" x14ac:dyDescent="0.3">
      <c r="A11588" s="12"/>
    </row>
    <row r="11589" spans="1:1" x14ac:dyDescent="0.3">
      <c r="A11589" s="12"/>
    </row>
    <row r="11590" spans="1:1" x14ac:dyDescent="0.3">
      <c r="A11590" s="12"/>
    </row>
    <row r="11591" spans="1:1" x14ac:dyDescent="0.3">
      <c r="A11591" s="12"/>
    </row>
    <row r="11592" spans="1:1" x14ac:dyDescent="0.3">
      <c r="A11592" s="12"/>
    </row>
    <row r="11593" spans="1:1" x14ac:dyDescent="0.3">
      <c r="A11593" s="12"/>
    </row>
    <row r="11594" spans="1:1" x14ac:dyDescent="0.3">
      <c r="A11594" s="12"/>
    </row>
    <row r="11595" spans="1:1" x14ac:dyDescent="0.3">
      <c r="A11595" s="12"/>
    </row>
    <row r="11596" spans="1:1" x14ac:dyDescent="0.3">
      <c r="A11596" s="12"/>
    </row>
    <row r="11597" spans="1:1" x14ac:dyDescent="0.3">
      <c r="A11597" s="12"/>
    </row>
    <row r="11598" spans="1:1" x14ac:dyDescent="0.3">
      <c r="A11598" s="12"/>
    </row>
    <row r="11599" spans="1:1" x14ac:dyDescent="0.3">
      <c r="A11599" s="12"/>
    </row>
    <row r="11600" spans="1:1" x14ac:dyDescent="0.3">
      <c r="A11600" s="12"/>
    </row>
    <row r="11601" spans="1:1" x14ac:dyDescent="0.3">
      <c r="A11601" s="12"/>
    </row>
    <row r="11602" spans="1:1" x14ac:dyDescent="0.3">
      <c r="A11602" s="12"/>
    </row>
    <row r="11603" spans="1:1" x14ac:dyDescent="0.3">
      <c r="A11603" s="12"/>
    </row>
    <row r="11604" spans="1:1" x14ac:dyDescent="0.3">
      <c r="A11604" s="12"/>
    </row>
    <row r="11605" spans="1:1" x14ac:dyDescent="0.3">
      <c r="A11605" s="12"/>
    </row>
    <row r="11606" spans="1:1" x14ac:dyDescent="0.3">
      <c r="A11606" s="12"/>
    </row>
    <row r="11607" spans="1:1" x14ac:dyDescent="0.3">
      <c r="A11607" s="12"/>
    </row>
    <row r="11608" spans="1:1" x14ac:dyDescent="0.3">
      <c r="A11608" s="12"/>
    </row>
    <row r="11609" spans="1:1" x14ac:dyDescent="0.3">
      <c r="A11609" s="12"/>
    </row>
    <row r="11610" spans="1:1" x14ac:dyDescent="0.3">
      <c r="A11610" s="12"/>
    </row>
    <row r="11611" spans="1:1" x14ac:dyDescent="0.3">
      <c r="A11611" s="12"/>
    </row>
    <row r="11612" spans="1:1" x14ac:dyDescent="0.3">
      <c r="A11612" s="12"/>
    </row>
    <row r="11613" spans="1:1" x14ac:dyDescent="0.3">
      <c r="A11613" s="12"/>
    </row>
    <row r="11614" spans="1:1" x14ac:dyDescent="0.3">
      <c r="A11614" s="12"/>
    </row>
    <row r="11615" spans="1:1" x14ac:dyDescent="0.3">
      <c r="A11615" s="12"/>
    </row>
    <row r="11616" spans="1:1" x14ac:dyDescent="0.3">
      <c r="A11616" s="12"/>
    </row>
    <row r="11617" spans="1:1" x14ac:dyDescent="0.3">
      <c r="A11617" s="12"/>
    </row>
    <row r="11618" spans="1:1" x14ac:dyDescent="0.3">
      <c r="A11618" s="12"/>
    </row>
    <row r="11619" spans="1:1" x14ac:dyDescent="0.3">
      <c r="A11619" s="12"/>
    </row>
    <row r="11620" spans="1:1" x14ac:dyDescent="0.3">
      <c r="A11620" s="12"/>
    </row>
    <row r="11621" spans="1:1" x14ac:dyDescent="0.3">
      <c r="A11621" s="12"/>
    </row>
    <row r="11622" spans="1:1" x14ac:dyDescent="0.3">
      <c r="A11622" s="12"/>
    </row>
    <row r="11623" spans="1:1" x14ac:dyDescent="0.3">
      <c r="A11623" s="12"/>
    </row>
    <row r="11624" spans="1:1" x14ac:dyDescent="0.3">
      <c r="A11624" s="12"/>
    </row>
    <row r="11625" spans="1:1" x14ac:dyDescent="0.3">
      <c r="A11625" s="12"/>
    </row>
    <row r="11626" spans="1:1" x14ac:dyDescent="0.3">
      <c r="A11626" s="12"/>
    </row>
    <row r="11627" spans="1:1" x14ac:dyDescent="0.3">
      <c r="A11627" s="12"/>
    </row>
    <row r="11628" spans="1:1" x14ac:dyDescent="0.3">
      <c r="A11628" s="12"/>
    </row>
    <row r="11629" spans="1:1" x14ac:dyDescent="0.3">
      <c r="A11629" s="12"/>
    </row>
    <row r="11630" spans="1:1" x14ac:dyDescent="0.3">
      <c r="A11630" s="12"/>
    </row>
    <row r="11631" spans="1:1" x14ac:dyDescent="0.3">
      <c r="A11631" s="12"/>
    </row>
    <row r="11632" spans="1:1" x14ac:dyDescent="0.3">
      <c r="A11632" s="12"/>
    </row>
    <row r="11633" spans="1:1" x14ac:dyDescent="0.3">
      <c r="A11633" s="12"/>
    </row>
    <row r="11634" spans="1:1" x14ac:dyDescent="0.3">
      <c r="A11634" s="12"/>
    </row>
    <row r="11635" spans="1:1" x14ac:dyDescent="0.3">
      <c r="A11635" s="12"/>
    </row>
    <row r="11636" spans="1:1" x14ac:dyDescent="0.3">
      <c r="A11636" s="12"/>
    </row>
    <row r="11637" spans="1:1" x14ac:dyDescent="0.3">
      <c r="A11637" s="12"/>
    </row>
    <row r="11638" spans="1:1" x14ac:dyDescent="0.3">
      <c r="A11638" s="12"/>
    </row>
    <row r="11639" spans="1:1" x14ac:dyDescent="0.3">
      <c r="A11639" s="12"/>
    </row>
    <row r="11640" spans="1:1" x14ac:dyDescent="0.3">
      <c r="A11640" s="12"/>
    </row>
    <row r="11641" spans="1:1" x14ac:dyDescent="0.3">
      <c r="A11641" s="12"/>
    </row>
    <row r="11642" spans="1:1" x14ac:dyDescent="0.3">
      <c r="A11642" s="12"/>
    </row>
    <row r="11643" spans="1:1" x14ac:dyDescent="0.3">
      <c r="A11643" s="12"/>
    </row>
    <row r="11644" spans="1:1" x14ac:dyDescent="0.3">
      <c r="A11644" s="12"/>
    </row>
    <row r="11645" spans="1:1" x14ac:dyDescent="0.3">
      <c r="A11645" s="12"/>
    </row>
    <row r="11646" spans="1:1" x14ac:dyDescent="0.3">
      <c r="A11646" s="12"/>
    </row>
    <row r="11647" spans="1:1" x14ac:dyDescent="0.3">
      <c r="A11647" s="12"/>
    </row>
    <row r="11648" spans="1:1" x14ac:dyDescent="0.3">
      <c r="A11648" s="12"/>
    </row>
    <row r="11649" spans="1:1" x14ac:dyDescent="0.3">
      <c r="A11649" s="12"/>
    </row>
    <row r="11650" spans="1:1" x14ac:dyDescent="0.3">
      <c r="A11650" s="12"/>
    </row>
    <row r="11651" spans="1:1" x14ac:dyDescent="0.3">
      <c r="A11651" s="12"/>
    </row>
    <row r="11652" spans="1:1" x14ac:dyDescent="0.3">
      <c r="A11652" s="12"/>
    </row>
    <row r="11653" spans="1:1" x14ac:dyDescent="0.3">
      <c r="A11653" s="12"/>
    </row>
    <row r="11654" spans="1:1" x14ac:dyDescent="0.3">
      <c r="A11654" s="12"/>
    </row>
    <row r="11655" spans="1:1" x14ac:dyDescent="0.3">
      <c r="A11655" s="12"/>
    </row>
    <row r="11656" spans="1:1" x14ac:dyDescent="0.3">
      <c r="A11656" s="12"/>
    </row>
    <row r="11657" spans="1:1" x14ac:dyDescent="0.3">
      <c r="A11657" s="12"/>
    </row>
    <row r="11658" spans="1:1" x14ac:dyDescent="0.3">
      <c r="A11658" s="12"/>
    </row>
    <row r="11659" spans="1:1" x14ac:dyDescent="0.3">
      <c r="A11659" s="12"/>
    </row>
    <row r="11660" spans="1:1" x14ac:dyDescent="0.3">
      <c r="A11660" s="12"/>
    </row>
    <row r="11661" spans="1:1" x14ac:dyDescent="0.3">
      <c r="A11661" s="12"/>
    </row>
    <row r="11662" spans="1:1" x14ac:dyDescent="0.3">
      <c r="A11662" s="12"/>
    </row>
    <row r="11663" spans="1:1" x14ac:dyDescent="0.3">
      <c r="A11663" s="12"/>
    </row>
    <row r="11664" spans="1:1" x14ac:dyDescent="0.3">
      <c r="A11664" s="12"/>
    </row>
    <row r="11665" spans="1:1" x14ac:dyDescent="0.3">
      <c r="A11665" s="12"/>
    </row>
    <row r="11666" spans="1:1" x14ac:dyDescent="0.3">
      <c r="A11666" s="12"/>
    </row>
    <row r="11667" spans="1:1" x14ac:dyDescent="0.3">
      <c r="A11667" s="12"/>
    </row>
    <row r="11668" spans="1:1" x14ac:dyDescent="0.3">
      <c r="A11668" s="12"/>
    </row>
    <row r="11669" spans="1:1" x14ac:dyDescent="0.3">
      <c r="A11669" s="12"/>
    </row>
    <row r="11670" spans="1:1" x14ac:dyDescent="0.3">
      <c r="A11670" s="12"/>
    </row>
    <row r="11671" spans="1:1" x14ac:dyDescent="0.3">
      <c r="A11671" s="12"/>
    </row>
    <row r="11672" spans="1:1" x14ac:dyDescent="0.3">
      <c r="A11672" s="12"/>
    </row>
    <row r="11673" spans="1:1" x14ac:dyDescent="0.3">
      <c r="A11673" s="12"/>
    </row>
    <row r="11674" spans="1:1" x14ac:dyDescent="0.3">
      <c r="A11674" s="12"/>
    </row>
    <row r="11675" spans="1:1" x14ac:dyDescent="0.3">
      <c r="A11675" s="12"/>
    </row>
    <row r="11676" spans="1:1" x14ac:dyDescent="0.3">
      <c r="A11676" s="12"/>
    </row>
    <row r="11677" spans="1:1" x14ac:dyDescent="0.3">
      <c r="A11677" s="12"/>
    </row>
    <row r="11678" spans="1:1" x14ac:dyDescent="0.3">
      <c r="A11678" s="12"/>
    </row>
    <row r="11679" spans="1:1" x14ac:dyDescent="0.3">
      <c r="A11679" s="12"/>
    </row>
    <row r="11680" spans="1:1" x14ac:dyDescent="0.3">
      <c r="A11680" s="12"/>
    </row>
    <row r="11681" spans="1:1" x14ac:dyDescent="0.3">
      <c r="A11681" s="12"/>
    </row>
    <row r="11682" spans="1:1" x14ac:dyDescent="0.3">
      <c r="A11682" s="12"/>
    </row>
    <row r="11683" spans="1:1" x14ac:dyDescent="0.3">
      <c r="A11683" s="12"/>
    </row>
    <row r="11684" spans="1:1" x14ac:dyDescent="0.3">
      <c r="A11684" s="12"/>
    </row>
    <row r="11685" spans="1:1" x14ac:dyDescent="0.3">
      <c r="A11685" s="12"/>
    </row>
    <row r="11686" spans="1:1" x14ac:dyDescent="0.3">
      <c r="A11686" s="12"/>
    </row>
    <row r="11687" spans="1:1" x14ac:dyDescent="0.3">
      <c r="A11687" s="12"/>
    </row>
    <row r="11688" spans="1:1" x14ac:dyDescent="0.3">
      <c r="A11688" s="12"/>
    </row>
    <row r="11689" spans="1:1" x14ac:dyDescent="0.3">
      <c r="A11689" s="12"/>
    </row>
    <row r="11690" spans="1:1" x14ac:dyDescent="0.3">
      <c r="A11690" s="12"/>
    </row>
    <row r="11691" spans="1:1" x14ac:dyDescent="0.3">
      <c r="A11691" s="12"/>
    </row>
    <row r="11692" spans="1:1" x14ac:dyDescent="0.3">
      <c r="A11692" s="12"/>
    </row>
    <row r="11693" spans="1:1" x14ac:dyDescent="0.3">
      <c r="A11693" s="12"/>
    </row>
    <row r="11694" spans="1:1" x14ac:dyDescent="0.3">
      <c r="A11694" s="12"/>
    </row>
    <row r="11695" spans="1:1" x14ac:dyDescent="0.3">
      <c r="A11695" s="12"/>
    </row>
    <row r="11696" spans="1:1" x14ac:dyDescent="0.3">
      <c r="A11696" s="12"/>
    </row>
    <row r="11697" spans="1:1" x14ac:dyDescent="0.3">
      <c r="A11697" s="12"/>
    </row>
    <row r="11698" spans="1:1" x14ac:dyDescent="0.3">
      <c r="A11698" s="12"/>
    </row>
    <row r="11699" spans="1:1" x14ac:dyDescent="0.3">
      <c r="A11699" s="12"/>
    </row>
    <row r="11700" spans="1:1" x14ac:dyDescent="0.3">
      <c r="A11700" s="12"/>
    </row>
    <row r="11701" spans="1:1" x14ac:dyDescent="0.3">
      <c r="A11701" s="12"/>
    </row>
    <row r="11702" spans="1:1" x14ac:dyDescent="0.3">
      <c r="A11702" s="12"/>
    </row>
    <row r="11703" spans="1:1" x14ac:dyDescent="0.3">
      <c r="A11703" s="12"/>
    </row>
    <row r="11704" spans="1:1" x14ac:dyDescent="0.3">
      <c r="A11704" s="12"/>
    </row>
    <row r="11705" spans="1:1" x14ac:dyDescent="0.3">
      <c r="A11705" s="12"/>
    </row>
    <row r="11706" spans="1:1" x14ac:dyDescent="0.3">
      <c r="A11706" s="12"/>
    </row>
    <row r="11707" spans="1:1" x14ac:dyDescent="0.3">
      <c r="A11707" s="12"/>
    </row>
    <row r="11708" spans="1:1" x14ac:dyDescent="0.3">
      <c r="A11708" s="12"/>
    </row>
    <row r="11709" spans="1:1" x14ac:dyDescent="0.3">
      <c r="A11709" s="12"/>
    </row>
    <row r="11710" spans="1:1" x14ac:dyDescent="0.3">
      <c r="A11710" s="12"/>
    </row>
    <row r="11711" spans="1:1" x14ac:dyDescent="0.3">
      <c r="A11711" s="12"/>
    </row>
    <row r="11712" spans="1:1" x14ac:dyDescent="0.3">
      <c r="A11712" s="12"/>
    </row>
    <row r="11713" spans="1:1" x14ac:dyDescent="0.3">
      <c r="A11713" s="12"/>
    </row>
    <row r="11714" spans="1:1" x14ac:dyDescent="0.3">
      <c r="A11714" s="12"/>
    </row>
    <row r="11715" spans="1:1" x14ac:dyDescent="0.3">
      <c r="A11715" s="12"/>
    </row>
    <row r="11716" spans="1:1" x14ac:dyDescent="0.3">
      <c r="A11716" s="12"/>
    </row>
    <row r="11717" spans="1:1" x14ac:dyDescent="0.3">
      <c r="A11717" s="12"/>
    </row>
    <row r="11718" spans="1:1" x14ac:dyDescent="0.3">
      <c r="A11718" s="12"/>
    </row>
    <row r="11719" spans="1:1" x14ac:dyDescent="0.3">
      <c r="A11719" s="12"/>
    </row>
    <row r="11720" spans="1:1" x14ac:dyDescent="0.3">
      <c r="A11720" s="12"/>
    </row>
    <row r="11721" spans="1:1" x14ac:dyDescent="0.3">
      <c r="A11721" s="12"/>
    </row>
    <row r="11722" spans="1:1" x14ac:dyDescent="0.3">
      <c r="A11722" s="12"/>
    </row>
    <row r="11723" spans="1:1" x14ac:dyDescent="0.3">
      <c r="A11723" s="12"/>
    </row>
    <row r="11724" spans="1:1" x14ac:dyDescent="0.3">
      <c r="A11724" s="12"/>
    </row>
    <row r="11725" spans="1:1" x14ac:dyDescent="0.3">
      <c r="A11725" s="12"/>
    </row>
    <row r="11726" spans="1:1" x14ac:dyDescent="0.3">
      <c r="A11726" s="12"/>
    </row>
    <row r="11727" spans="1:1" x14ac:dyDescent="0.3">
      <c r="A11727" s="12"/>
    </row>
    <row r="11728" spans="1:1" x14ac:dyDescent="0.3">
      <c r="A11728" s="12"/>
    </row>
    <row r="11729" spans="1:1" x14ac:dyDescent="0.3">
      <c r="A11729" s="12"/>
    </row>
    <row r="11730" spans="1:1" x14ac:dyDescent="0.3">
      <c r="A11730" s="12"/>
    </row>
    <row r="11731" spans="1:1" x14ac:dyDescent="0.3">
      <c r="A11731" s="12"/>
    </row>
    <row r="11732" spans="1:1" x14ac:dyDescent="0.3">
      <c r="A11732" s="12"/>
    </row>
    <row r="11733" spans="1:1" x14ac:dyDescent="0.3">
      <c r="A11733" s="12"/>
    </row>
    <row r="11734" spans="1:1" x14ac:dyDescent="0.3">
      <c r="A11734" s="12"/>
    </row>
    <row r="11735" spans="1:1" x14ac:dyDescent="0.3">
      <c r="A11735" s="12"/>
    </row>
    <row r="11736" spans="1:1" x14ac:dyDescent="0.3">
      <c r="A11736" s="12"/>
    </row>
    <row r="11737" spans="1:1" x14ac:dyDescent="0.3">
      <c r="A11737" s="12"/>
    </row>
    <row r="11738" spans="1:1" x14ac:dyDescent="0.3">
      <c r="A11738" s="12"/>
    </row>
    <row r="11739" spans="1:1" x14ac:dyDescent="0.3">
      <c r="A11739" s="12"/>
    </row>
    <row r="11740" spans="1:1" x14ac:dyDescent="0.3">
      <c r="A11740" s="12"/>
    </row>
    <row r="11741" spans="1:1" x14ac:dyDescent="0.3">
      <c r="A11741" s="12"/>
    </row>
    <row r="11742" spans="1:1" x14ac:dyDescent="0.3">
      <c r="A11742" s="12"/>
    </row>
    <row r="11743" spans="1:1" x14ac:dyDescent="0.3">
      <c r="A11743" s="12"/>
    </row>
    <row r="11744" spans="1:1" x14ac:dyDescent="0.3">
      <c r="A11744" s="12"/>
    </row>
    <row r="11745" spans="1:1" x14ac:dyDescent="0.3">
      <c r="A11745" s="12"/>
    </row>
    <row r="11746" spans="1:1" x14ac:dyDescent="0.3">
      <c r="A11746" s="12"/>
    </row>
    <row r="11747" spans="1:1" x14ac:dyDescent="0.3">
      <c r="A11747" s="12"/>
    </row>
    <row r="11748" spans="1:1" x14ac:dyDescent="0.3">
      <c r="A11748" s="12"/>
    </row>
    <row r="11749" spans="1:1" x14ac:dyDescent="0.3">
      <c r="A11749" s="12"/>
    </row>
    <row r="11750" spans="1:1" x14ac:dyDescent="0.3">
      <c r="A11750" s="12"/>
    </row>
    <row r="11751" spans="1:1" x14ac:dyDescent="0.3">
      <c r="A11751" s="12"/>
    </row>
    <row r="11752" spans="1:1" x14ac:dyDescent="0.3">
      <c r="A11752" s="12"/>
    </row>
    <row r="11753" spans="1:1" x14ac:dyDescent="0.3">
      <c r="A11753" s="12"/>
    </row>
    <row r="11754" spans="1:1" x14ac:dyDescent="0.3">
      <c r="A11754" s="12"/>
    </row>
    <row r="11755" spans="1:1" x14ac:dyDescent="0.3">
      <c r="A11755" s="12"/>
    </row>
    <row r="11756" spans="1:1" x14ac:dyDescent="0.3">
      <c r="A11756" s="12"/>
    </row>
    <row r="11757" spans="1:1" x14ac:dyDescent="0.3">
      <c r="A11757" s="12"/>
    </row>
    <row r="11758" spans="1:1" x14ac:dyDescent="0.3">
      <c r="A11758" s="12"/>
    </row>
    <row r="11759" spans="1:1" x14ac:dyDescent="0.3">
      <c r="A11759" s="12"/>
    </row>
    <row r="11760" spans="1:1" x14ac:dyDescent="0.3">
      <c r="A11760" s="12"/>
    </row>
    <row r="11761" spans="1:1" x14ac:dyDescent="0.3">
      <c r="A11761" s="12"/>
    </row>
    <row r="11762" spans="1:1" x14ac:dyDescent="0.3">
      <c r="A11762" s="12"/>
    </row>
    <row r="11763" spans="1:1" x14ac:dyDescent="0.3">
      <c r="A11763" s="12"/>
    </row>
    <row r="11764" spans="1:1" x14ac:dyDescent="0.3">
      <c r="A11764" s="12"/>
    </row>
    <row r="11765" spans="1:1" x14ac:dyDescent="0.3">
      <c r="A11765" s="12"/>
    </row>
    <row r="11766" spans="1:1" x14ac:dyDescent="0.3">
      <c r="A11766" s="12"/>
    </row>
    <row r="11767" spans="1:1" x14ac:dyDescent="0.3">
      <c r="A11767" s="12"/>
    </row>
    <row r="11768" spans="1:1" x14ac:dyDescent="0.3">
      <c r="A11768" s="12"/>
    </row>
    <row r="11769" spans="1:1" x14ac:dyDescent="0.3">
      <c r="A11769" s="12"/>
    </row>
    <row r="11770" spans="1:1" x14ac:dyDescent="0.3">
      <c r="A11770" s="12"/>
    </row>
    <row r="11771" spans="1:1" x14ac:dyDescent="0.3">
      <c r="A11771" s="12"/>
    </row>
    <row r="11772" spans="1:1" x14ac:dyDescent="0.3">
      <c r="A11772" s="12"/>
    </row>
    <row r="11773" spans="1:1" x14ac:dyDescent="0.3">
      <c r="A11773" s="12"/>
    </row>
    <row r="11774" spans="1:1" x14ac:dyDescent="0.3">
      <c r="A11774" s="12"/>
    </row>
    <row r="11775" spans="1:1" x14ac:dyDescent="0.3">
      <c r="A11775" s="12"/>
    </row>
    <row r="11776" spans="1:1" x14ac:dyDescent="0.3">
      <c r="A11776" s="12"/>
    </row>
    <row r="11777" spans="1:1" x14ac:dyDescent="0.3">
      <c r="A11777" s="12"/>
    </row>
    <row r="11778" spans="1:1" x14ac:dyDescent="0.3">
      <c r="A11778" s="12"/>
    </row>
    <row r="11779" spans="1:1" x14ac:dyDescent="0.3">
      <c r="A11779" s="12"/>
    </row>
    <row r="11780" spans="1:1" x14ac:dyDescent="0.3">
      <c r="A11780" s="12"/>
    </row>
    <row r="11781" spans="1:1" x14ac:dyDescent="0.3">
      <c r="A11781" s="12"/>
    </row>
    <row r="11782" spans="1:1" x14ac:dyDescent="0.3">
      <c r="A11782" s="12"/>
    </row>
    <row r="11783" spans="1:1" x14ac:dyDescent="0.3">
      <c r="A11783" s="12"/>
    </row>
    <row r="11784" spans="1:1" x14ac:dyDescent="0.3">
      <c r="A11784" s="12"/>
    </row>
    <row r="11785" spans="1:1" x14ac:dyDescent="0.3">
      <c r="A11785" s="12"/>
    </row>
    <row r="11786" spans="1:1" x14ac:dyDescent="0.3">
      <c r="A11786" s="12"/>
    </row>
    <row r="11787" spans="1:1" x14ac:dyDescent="0.3">
      <c r="A11787" s="12"/>
    </row>
    <row r="11788" spans="1:1" x14ac:dyDescent="0.3">
      <c r="A11788" s="12"/>
    </row>
    <row r="11789" spans="1:1" x14ac:dyDescent="0.3">
      <c r="A11789" s="12"/>
    </row>
    <row r="11790" spans="1:1" x14ac:dyDescent="0.3">
      <c r="A11790" s="12"/>
    </row>
    <row r="11791" spans="1:1" x14ac:dyDescent="0.3">
      <c r="A11791" s="12"/>
    </row>
    <row r="11792" spans="1:1" x14ac:dyDescent="0.3">
      <c r="A11792" s="12"/>
    </row>
    <row r="11793" spans="1:1" x14ac:dyDescent="0.3">
      <c r="A11793" s="12"/>
    </row>
    <row r="11794" spans="1:1" x14ac:dyDescent="0.3">
      <c r="A11794" s="12"/>
    </row>
    <row r="11795" spans="1:1" x14ac:dyDescent="0.3">
      <c r="A11795" s="12"/>
    </row>
    <row r="11796" spans="1:1" x14ac:dyDescent="0.3">
      <c r="A11796" s="12"/>
    </row>
    <row r="11797" spans="1:1" x14ac:dyDescent="0.3">
      <c r="A11797" s="12"/>
    </row>
    <row r="11798" spans="1:1" x14ac:dyDescent="0.3">
      <c r="A11798" s="12"/>
    </row>
    <row r="11799" spans="1:1" x14ac:dyDescent="0.3">
      <c r="A11799" s="12"/>
    </row>
    <row r="11800" spans="1:1" x14ac:dyDescent="0.3">
      <c r="A11800" s="12"/>
    </row>
    <row r="11801" spans="1:1" x14ac:dyDescent="0.3">
      <c r="A11801" s="12"/>
    </row>
    <row r="11802" spans="1:1" x14ac:dyDescent="0.3">
      <c r="A11802" s="12"/>
    </row>
    <row r="11803" spans="1:1" x14ac:dyDescent="0.3">
      <c r="A11803" s="12"/>
    </row>
    <row r="11804" spans="1:1" x14ac:dyDescent="0.3">
      <c r="A11804" s="12"/>
    </row>
    <row r="11805" spans="1:1" x14ac:dyDescent="0.3">
      <c r="A11805" s="12"/>
    </row>
    <row r="11806" spans="1:1" x14ac:dyDescent="0.3">
      <c r="A11806" s="12"/>
    </row>
    <row r="11807" spans="1:1" x14ac:dyDescent="0.3">
      <c r="A11807" s="12"/>
    </row>
    <row r="11808" spans="1:1" x14ac:dyDescent="0.3">
      <c r="A11808" s="12"/>
    </row>
    <row r="11809" spans="1:1" x14ac:dyDescent="0.3">
      <c r="A11809" s="12"/>
    </row>
    <row r="11810" spans="1:1" x14ac:dyDescent="0.3">
      <c r="A11810" s="12"/>
    </row>
    <row r="11811" spans="1:1" x14ac:dyDescent="0.3">
      <c r="A11811" s="12"/>
    </row>
    <row r="11812" spans="1:1" x14ac:dyDescent="0.3">
      <c r="A11812" s="12"/>
    </row>
    <row r="11813" spans="1:1" x14ac:dyDescent="0.3">
      <c r="A11813" s="12"/>
    </row>
    <row r="11814" spans="1:1" x14ac:dyDescent="0.3">
      <c r="A11814" s="12"/>
    </row>
    <row r="11815" spans="1:1" x14ac:dyDescent="0.3">
      <c r="A11815" s="12"/>
    </row>
    <row r="11816" spans="1:1" x14ac:dyDescent="0.3">
      <c r="A11816" s="12"/>
    </row>
    <row r="11817" spans="1:1" x14ac:dyDescent="0.3">
      <c r="A11817" s="12"/>
    </row>
    <row r="11818" spans="1:1" x14ac:dyDescent="0.3">
      <c r="A11818" s="12"/>
    </row>
    <row r="11819" spans="1:1" x14ac:dyDescent="0.3">
      <c r="A11819" s="12"/>
    </row>
    <row r="11820" spans="1:1" x14ac:dyDescent="0.3">
      <c r="A11820" s="12"/>
    </row>
    <row r="11821" spans="1:1" x14ac:dyDescent="0.3">
      <c r="A11821" s="12"/>
    </row>
    <row r="11822" spans="1:1" x14ac:dyDescent="0.3">
      <c r="A11822" s="12"/>
    </row>
    <row r="11823" spans="1:1" x14ac:dyDescent="0.3">
      <c r="A11823" s="12"/>
    </row>
    <row r="11824" spans="1:1" x14ac:dyDescent="0.3">
      <c r="A11824" s="12"/>
    </row>
    <row r="11825" spans="1:1" x14ac:dyDescent="0.3">
      <c r="A11825" s="12"/>
    </row>
    <row r="11826" spans="1:1" x14ac:dyDescent="0.3">
      <c r="A11826" s="12"/>
    </row>
    <row r="11827" spans="1:1" x14ac:dyDescent="0.3">
      <c r="A11827" s="12"/>
    </row>
    <row r="11828" spans="1:1" x14ac:dyDescent="0.3">
      <c r="A11828" s="12"/>
    </row>
    <row r="11829" spans="1:1" x14ac:dyDescent="0.3">
      <c r="A11829" s="12"/>
    </row>
    <row r="11830" spans="1:1" x14ac:dyDescent="0.3">
      <c r="A11830" s="12"/>
    </row>
    <row r="11831" spans="1:1" x14ac:dyDescent="0.3">
      <c r="A11831" s="12"/>
    </row>
    <row r="11832" spans="1:1" x14ac:dyDescent="0.3">
      <c r="A11832" s="12"/>
    </row>
    <row r="11833" spans="1:1" x14ac:dyDescent="0.3">
      <c r="A11833" s="12"/>
    </row>
    <row r="11834" spans="1:1" x14ac:dyDescent="0.3">
      <c r="A11834" s="12"/>
    </row>
    <row r="11835" spans="1:1" x14ac:dyDescent="0.3">
      <c r="A11835" s="12"/>
    </row>
    <row r="11836" spans="1:1" x14ac:dyDescent="0.3">
      <c r="A11836" s="12"/>
    </row>
    <row r="11837" spans="1:1" x14ac:dyDescent="0.3">
      <c r="A11837" s="12"/>
    </row>
    <row r="11838" spans="1:1" x14ac:dyDescent="0.3">
      <c r="A11838" s="12"/>
    </row>
    <row r="11839" spans="1:1" x14ac:dyDescent="0.3">
      <c r="A11839" s="12"/>
    </row>
    <row r="11840" spans="1:1" x14ac:dyDescent="0.3">
      <c r="A11840" s="12"/>
    </row>
    <row r="11841" spans="1:1" x14ac:dyDescent="0.3">
      <c r="A11841" s="12"/>
    </row>
    <row r="11842" spans="1:1" x14ac:dyDescent="0.3">
      <c r="A11842" s="12"/>
    </row>
    <row r="11843" spans="1:1" x14ac:dyDescent="0.3">
      <c r="A11843" s="12"/>
    </row>
    <row r="11844" spans="1:1" x14ac:dyDescent="0.3">
      <c r="A11844" s="12"/>
    </row>
    <row r="11845" spans="1:1" x14ac:dyDescent="0.3">
      <c r="A11845" s="12"/>
    </row>
    <row r="11846" spans="1:1" x14ac:dyDescent="0.3">
      <c r="A11846" s="12"/>
    </row>
    <row r="11847" spans="1:1" x14ac:dyDescent="0.3">
      <c r="A11847" s="12"/>
    </row>
    <row r="11848" spans="1:1" x14ac:dyDescent="0.3">
      <c r="A11848" s="12"/>
    </row>
    <row r="11849" spans="1:1" x14ac:dyDescent="0.3">
      <c r="A11849" s="12"/>
    </row>
    <row r="11850" spans="1:1" x14ac:dyDescent="0.3">
      <c r="A11850" s="12"/>
    </row>
    <row r="11851" spans="1:1" x14ac:dyDescent="0.3">
      <c r="A11851" s="12"/>
    </row>
    <row r="11852" spans="1:1" x14ac:dyDescent="0.3">
      <c r="A11852" s="12"/>
    </row>
    <row r="11853" spans="1:1" x14ac:dyDescent="0.3">
      <c r="A11853" s="12"/>
    </row>
    <row r="11854" spans="1:1" x14ac:dyDescent="0.3">
      <c r="A11854" s="12"/>
    </row>
    <row r="11855" spans="1:1" x14ac:dyDescent="0.3">
      <c r="A11855" s="12"/>
    </row>
    <row r="11856" spans="1:1" x14ac:dyDescent="0.3">
      <c r="A11856" s="12"/>
    </row>
    <row r="11857" spans="1:1" x14ac:dyDescent="0.3">
      <c r="A11857" s="12"/>
    </row>
    <row r="11858" spans="1:1" x14ac:dyDescent="0.3">
      <c r="A11858" s="12"/>
    </row>
    <row r="11859" spans="1:1" x14ac:dyDescent="0.3">
      <c r="A11859" s="12"/>
    </row>
    <row r="11860" spans="1:1" x14ac:dyDescent="0.3">
      <c r="A11860" s="12"/>
    </row>
    <row r="11861" spans="1:1" x14ac:dyDescent="0.3">
      <c r="A11861" s="12"/>
    </row>
    <row r="11862" spans="1:1" x14ac:dyDescent="0.3">
      <c r="A11862" s="12"/>
    </row>
    <row r="11863" spans="1:1" x14ac:dyDescent="0.3">
      <c r="A11863" s="12"/>
    </row>
    <row r="11864" spans="1:1" x14ac:dyDescent="0.3">
      <c r="A11864" s="12"/>
    </row>
    <row r="11865" spans="1:1" x14ac:dyDescent="0.3">
      <c r="A11865" s="12"/>
    </row>
    <row r="11866" spans="1:1" x14ac:dyDescent="0.3">
      <c r="A11866" s="12"/>
    </row>
    <row r="11867" spans="1:1" x14ac:dyDescent="0.3">
      <c r="A11867" s="12"/>
    </row>
    <row r="11868" spans="1:1" x14ac:dyDescent="0.3">
      <c r="A11868" s="12"/>
    </row>
    <row r="11869" spans="1:1" x14ac:dyDescent="0.3">
      <c r="A11869" s="12"/>
    </row>
    <row r="11870" spans="1:1" x14ac:dyDescent="0.3">
      <c r="A11870" s="12"/>
    </row>
    <row r="11871" spans="1:1" x14ac:dyDescent="0.3">
      <c r="A11871" s="12"/>
    </row>
    <row r="11872" spans="1:1" x14ac:dyDescent="0.3">
      <c r="A11872" s="12"/>
    </row>
    <row r="11873" spans="1:1" x14ac:dyDescent="0.3">
      <c r="A11873" s="12"/>
    </row>
    <row r="11874" spans="1:1" x14ac:dyDescent="0.3">
      <c r="A11874" s="12"/>
    </row>
    <row r="11875" spans="1:1" x14ac:dyDescent="0.3">
      <c r="A11875" s="12"/>
    </row>
    <row r="11876" spans="1:1" x14ac:dyDescent="0.3">
      <c r="A11876" s="12"/>
    </row>
    <row r="11877" spans="1:1" x14ac:dyDescent="0.3">
      <c r="A11877" s="12"/>
    </row>
    <row r="11878" spans="1:1" x14ac:dyDescent="0.3">
      <c r="A11878" s="12"/>
    </row>
    <row r="11879" spans="1:1" x14ac:dyDescent="0.3">
      <c r="A11879" s="12"/>
    </row>
    <row r="11880" spans="1:1" x14ac:dyDescent="0.3">
      <c r="A11880" s="12"/>
    </row>
    <row r="11881" spans="1:1" x14ac:dyDescent="0.3">
      <c r="A11881" s="12"/>
    </row>
    <row r="11882" spans="1:1" x14ac:dyDescent="0.3">
      <c r="A11882" s="12"/>
    </row>
    <row r="11883" spans="1:1" x14ac:dyDescent="0.3">
      <c r="A11883" s="12"/>
    </row>
    <row r="11884" spans="1:1" x14ac:dyDescent="0.3">
      <c r="A11884" s="12"/>
    </row>
    <row r="11885" spans="1:1" x14ac:dyDescent="0.3">
      <c r="A11885" s="12"/>
    </row>
    <row r="11886" spans="1:1" x14ac:dyDescent="0.3">
      <c r="A11886" s="12"/>
    </row>
    <row r="11887" spans="1:1" x14ac:dyDescent="0.3">
      <c r="A11887" s="12"/>
    </row>
    <row r="11888" spans="1:1" x14ac:dyDescent="0.3">
      <c r="A11888" s="12"/>
    </row>
    <row r="11889" spans="1:1" x14ac:dyDescent="0.3">
      <c r="A11889" s="12"/>
    </row>
    <row r="11890" spans="1:1" x14ac:dyDescent="0.3">
      <c r="A11890" s="12"/>
    </row>
    <row r="11891" spans="1:1" x14ac:dyDescent="0.3">
      <c r="A11891" s="12"/>
    </row>
    <row r="11892" spans="1:1" x14ac:dyDescent="0.3">
      <c r="A11892" s="12"/>
    </row>
    <row r="11893" spans="1:1" x14ac:dyDescent="0.3">
      <c r="A11893" s="12"/>
    </row>
    <row r="11894" spans="1:1" x14ac:dyDescent="0.3">
      <c r="A11894" s="12"/>
    </row>
    <row r="11895" spans="1:1" x14ac:dyDescent="0.3">
      <c r="A11895" s="12"/>
    </row>
    <row r="11896" spans="1:1" x14ac:dyDescent="0.3">
      <c r="A11896" s="12"/>
    </row>
    <row r="11897" spans="1:1" x14ac:dyDescent="0.3">
      <c r="A11897" s="12"/>
    </row>
    <row r="11898" spans="1:1" x14ac:dyDescent="0.3">
      <c r="A11898" s="12"/>
    </row>
    <row r="11899" spans="1:1" x14ac:dyDescent="0.3">
      <c r="A11899" s="12"/>
    </row>
    <row r="11900" spans="1:1" x14ac:dyDescent="0.3">
      <c r="A11900" s="12"/>
    </row>
    <row r="11901" spans="1:1" x14ac:dyDescent="0.3">
      <c r="A11901" s="12"/>
    </row>
    <row r="11902" spans="1:1" x14ac:dyDescent="0.3">
      <c r="A11902" s="12"/>
    </row>
    <row r="11903" spans="1:1" x14ac:dyDescent="0.3">
      <c r="A11903" s="12"/>
    </row>
    <row r="11904" spans="1:1" x14ac:dyDescent="0.3">
      <c r="A11904" s="12"/>
    </row>
    <row r="11905" spans="1:1" x14ac:dyDescent="0.3">
      <c r="A11905" s="12"/>
    </row>
    <row r="11906" spans="1:1" x14ac:dyDescent="0.3">
      <c r="A11906" s="12"/>
    </row>
    <row r="11907" spans="1:1" x14ac:dyDescent="0.3">
      <c r="A11907" s="12"/>
    </row>
    <row r="11908" spans="1:1" x14ac:dyDescent="0.3">
      <c r="A11908" s="12"/>
    </row>
    <row r="11909" spans="1:1" x14ac:dyDescent="0.3">
      <c r="A11909" s="12"/>
    </row>
    <row r="11910" spans="1:1" x14ac:dyDescent="0.3">
      <c r="A11910" s="12"/>
    </row>
    <row r="11911" spans="1:1" x14ac:dyDescent="0.3">
      <c r="A11911" s="12"/>
    </row>
    <row r="11912" spans="1:1" x14ac:dyDescent="0.3">
      <c r="A11912" s="12"/>
    </row>
    <row r="11913" spans="1:1" x14ac:dyDescent="0.3">
      <c r="A11913" s="12"/>
    </row>
    <row r="11914" spans="1:1" x14ac:dyDescent="0.3">
      <c r="A11914" s="12"/>
    </row>
    <row r="11915" spans="1:1" x14ac:dyDescent="0.3">
      <c r="A11915" s="12"/>
    </row>
    <row r="11916" spans="1:1" x14ac:dyDescent="0.3">
      <c r="A11916" s="12"/>
    </row>
    <row r="11917" spans="1:1" x14ac:dyDescent="0.3">
      <c r="A11917" s="12"/>
    </row>
    <row r="11918" spans="1:1" x14ac:dyDescent="0.3">
      <c r="A11918" s="12"/>
    </row>
    <row r="11919" spans="1:1" x14ac:dyDescent="0.3">
      <c r="A11919" s="12"/>
    </row>
    <row r="11920" spans="1:1" x14ac:dyDescent="0.3">
      <c r="A11920" s="12"/>
    </row>
    <row r="11921" spans="1:1" x14ac:dyDescent="0.3">
      <c r="A11921" s="12"/>
    </row>
    <row r="11922" spans="1:1" x14ac:dyDescent="0.3">
      <c r="A11922" s="12"/>
    </row>
    <row r="11923" spans="1:1" x14ac:dyDescent="0.3">
      <c r="A11923" s="12"/>
    </row>
    <row r="11924" spans="1:1" x14ac:dyDescent="0.3">
      <c r="A11924" s="12"/>
    </row>
    <row r="11925" spans="1:1" x14ac:dyDescent="0.3">
      <c r="A11925" s="12"/>
    </row>
    <row r="11926" spans="1:1" x14ac:dyDescent="0.3">
      <c r="A11926" s="12"/>
    </row>
    <row r="11927" spans="1:1" x14ac:dyDescent="0.3">
      <c r="A11927" s="12"/>
    </row>
    <row r="11928" spans="1:1" x14ac:dyDescent="0.3">
      <c r="A11928" s="12"/>
    </row>
    <row r="11929" spans="1:1" x14ac:dyDescent="0.3">
      <c r="A11929" s="12"/>
    </row>
    <row r="11930" spans="1:1" x14ac:dyDescent="0.3">
      <c r="A11930" s="12"/>
    </row>
    <row r="11931" spans="1:1" x14ac:dyDescent="0.3">
      <c r="A11931" s="12"/>
    </row>
    <row r="11932" spans="1:1" x14ac:dyDescent="0.3">
      <c r="A11932" s="12"/>
    </row>
    <row r="11933" spans="1:1" x14ac:dyDescent="0.3">
      <c r="A11933" s="12"/>
    </row>
    <row r="11934" spans="1:1" x14ac:dyDescent="0.3">
      <c r="A11934" s="12"/>
    </row>
    <row r="11935" spans="1:1" x14ac:dyDescent="0.3">
      <c r="A11935" s="12"/>
    </row>
    <row r="11936" spans="1:1" x14ac:dyDescent="0.3">
      <c r="A11936" s="12"/>
    </row>
    <row r="11937" spans="1:1" x14ac:dyDescent="0.3">
      <c r="A11937" s="12"/>
    </row>
    <row r="11938" spans="1:1" x14ac:dyDescent="0.3">
      <c r="A11938" s="12"/>
    </row>
    <row r="11939" spans="1:1" x14ac:dyDescent="0.3">
      <c r="A11939" s="12"/>
    </row>
    <row r="11940" spans="1:1" x14ac:dyDescent="0.3">
      <c r="A11940" s="12"/>
    </row>
    <row r="11941" spans="1:1" x14ac:dyDescent="0.3">
      <c r="A11941" s="12"/>
    </row>
    <row r="11942" spans="1:1" x14ac:dyDescent="0.3">
      <c r="A11942" s="12"/>
    </row>
    <row r="11943" spans="1:1" x14ac:dyDescent="0.3">
      <c r="A11943" s="12"/>
    </row>
    <row r="11944" spans="1:1" x14ac:dyDescent="0.3">
      <c r="A11944" s="12"/>
    </row>
    <row r="11945" spans="1:1" x14ac:dyDescent="0.3">
      <c r="A11945" s="12"/>
    </row>
    <row r="11946" spans="1:1" x14ac:dyDescent="0.3">
      <c r="A11946" s="12"/>
    </row>
    <row r="11947" spans="1:1" x14ac:dyDescent="0.3">
      <c r="A11947" s="12"/>
    </row>
    <row r="11948" spans="1:1" x14ac:dyDescent="0.3">
      <c r="A11948" s="12"/>
    </row>
    <row r="11949" spans="1:1" x14ac:dyDescent="0.3">
      <c r="A11949" s="12"/>
    </row>
    <row r="11950" spans="1:1" x14ac:dyDescent="0.3">
      <c r="A11950" s="12"/>
    </row>
    <row r="11951" spans="1:1" x14ac:dyDescent="0.3">
      <c r="A11951" s="12"/>
    </row>
    <row r="11952" spans="1:1" x14ac:dyDescent="0.3">
      <c r="A11952" s="12"/>
    </row>
    <row r="11953" spans="1:1" x14ac:dyDescent="0.3">
      <c r="A11953" s="12"/>
    </row>
    <row r="11954" spans="1:1" x14ac:dyDescent="0.3">
      <c r="A11954" s="12"/>
    </row>
    <row r="11955" spans="1:1" x14ac:dyDescent="0.3">
      <c r="A11955" s="12"/>
    </row>
    <row r="11956" spans="1:1" x14ac:dyDescent="0.3">
      <c r="A11956" s="12"/>
    </row>
    <row r="11957" spans="1:1" x14ac:dyDescent="0.3">
      <c r="A11957" s="12"/>
    </row>
    <row r="11958" spans="1:1" x14ac:dyDescent="0.3">
      <c r="A11958" s="12"/>
    </row>
    <row r="11959" spans="1:1" x14ac:dyDescent="0.3">
      <c r="A11959" s="12"/>
    </row>
    <row r="11960" spans="1:1" x14ac:dyDescent="0.3">
      <c r="A11960" s="12"/>
    </row>
    <row r="11961" spans="1:1" x14ac:dyDescent="0.3">
      <c r="A11961" s="12"/>
    </row>
    <row r="11962" spans="1:1" x14ac:dyDescent="0.3">
      <c r="A11962" s="12"/>
    </row>
    <row r="11963" spans="1:1" x14ac:dyDescent="0.3">
      <c r="A11963" s="12"/>
    </row>
    <row r="11964" spans="1:1" x14ac:dyDescent="0.3">
      <c r="A11964" s="12"/>
    </row>
    <row r="11965" spans="1:1" x14ac:dyDescent="0.3">
      <c r="A11965" s="12"/>
    </row>
    <row r="11966" spans="1:1" x14ac:dyDescent="0.3">
      <c r="A11966" s="12"/>
    </row>
    <row r="11967" spans="1:1" x14ac:dyDescent="0.3">
      <c r="A11967" s="12"/>
    </row>
    <row r="11968" spans="1:1" x14ac:dyDescent="0.3">
      <c r="A11968" s="12"/>
    </row>
    <row r="11969" spans="1:1" x14ac:dyDescent="0.3">
      <c r="A11969" s="12"/>
    </row>
    <row r="11970" spans="1:1" x14ac:dyDescent="0.3">
      <c r="A11970" s="12"/>
    </row>
    <row r="11971" spans="1:1" x14ac:dyDescent="0.3">
      <c r="A11971" s="12"/>
    </row>
    <row r="11972" spans="1:1" x14ac:dyDescent="0.3">
      <c r="A11972" s="12"/>
    </row>
    <row r="11973" spans="1:1" x14ac:dyDescent="0.3">
      <c r="A11973" s="12"/>
    </row>
    <row r="11974" spans="1:1" x14ac:dyDescent="0.3">
      <c r="A11974" s="12"/>
    </row>
    <row r="11975" spans="1:1" x14ac:dyDescent="0.3">
      <c r="A11975" s="12"/>
    </row>
    <row r="11976" spans="1:1" x14ac:dyDescent="0.3">
      <c r="A11976" s="12"/>
    </row>
    <row r="11977" spans="1:1" x14ac:dyDescent="0.3">
      <c r="A11977" s="12"/>
    </row>
    <row r="11978" spans="1:1" x14ac:dyDescent="0.3">
      <c r="A11978" s="12"/>
    </row>
    <row r="11979" spans="1:1" x14ac:dyDescent="0.3">
      <c r="A11979" s="12"/>
    </row>
    <row r="11980" spans="1:1" x14ac:dyDescent="0.3">
      <c r="A11980" s="12"/>
    </row>
    <row r="11981" spans="1:1" x14ac:dyDescent="0.3">
      <c r="A11981" s="12"/>
    </row>
    <row r="11982" spans="1:1" x14ac:dyDescent="0.3">
      <c r="A11982" s="12"/>
    </row>
    <row r="11983" spans="1:1" x14ac:dyDescent="0.3">
      <c r="A11983" s="12"/>
    </row>
    <row r="11984" spans="1:1" x14ac:dyDescent="0.3">
      <c r="A11984" s="12"/>
    </row>
    <row r="11985" spans="1:1" x14ac:dyDescent="0.3">
      <c r="A11985" s="12"/>
    </row>
    <row r="11986" spans="1:1" x14ac:dyDescent="0.3">
      <c r="A11986" s="12"/>
    </row>
    <row r="11987" spans="1:1" x14ac:dyDescent="0.3">
      <c r="A11987" s="12"/>
    </row>
    <row r="11988" spans="1:1" x14ac:dyDescent="0.3">
      <c r="A11988" s="12"/>
    </row>
    <row r="11989" spans="1:1" x14ac:dyDescent="0.3">
      <c r="A11989" s="12"/>
    </row>
    <row r="11990" spans="1:1" x14ac:dyDescent="0.3">
      <c r="A11990" s="12"/>
    </row>
    <row r="11991" spans="1:1" x14ac:dyDescent="0.3">
      <c r="A11991" s="12"/>
    </row>
    <row r="11992" spans="1:1" x14ac:dyDescent="0.3">
      <c r="A11992" s="12"/>
    </row>
    <row r="11993" spans="1:1" x14ac:dyDescent="0.3">
      <c r="A11993" s="12"/>
    </row>
    <row r="11994" spans="1:1" x14ac:dyDescent="0.3">
      <c r="A11994" s="12"/>
    </row>
    <row r="11995" spans="1:1" x14ac:dyDescent="0.3">
      <c r="A11995" s="12"/>
    </row>
    <row r="11996" spans="1:1" x14ac:dyDescent="0.3">
      <c r="A11996" s="12"/>
    </row>
    <row r="11997" spans="1:1" x14ac:dyDescent="0.3">
      <c r="A11997" s="12"/>
    </row>
    <row r="11998" spans="1:1" x14ac:dyDescent="0.3">
      <c r="A11998" s="12"/>
    </row>
    <row r="11999" spans="1:1" x14ac:dyDescent="0.3">
      <c r="A11999" s="12"/>
    </row>
    <row r="12000" spans="1:1" x14ac:dyDescent="0.3">
      <c r="A12000" s="12"/>
    </row>
    <row r="12001" spans="1:1" x14ac:dyDescent="0.3">
      <c r="A12001" s="12"/>
    </row>
    <row r="12002" spans="1:1" x14ac:dyDescent="0.3">
      <c r="A12002" s="12"/>
    </row>
    <row r="12003" spans="1:1" x14ac:dyDescent="0.3">
      <c r="A12003" s="12"/>
    </row>
    <row r="12004" spans="1:1" x14ac:dyDescent="0.3">
      <c r="A12004" s="12"/>
    </row>
    <row r="12005" spans="1:1" x14ac:dyDescent="0.3">
      <c r="A12005" s="12"/>
    </row>
    <row r="12006" spans="1:1" x14ac:dyDescent="0.3">
      <c r="A12006" s="12"/>
    </row>
    <row r="12007" spans="1:1" x14ac:dyDescent="0.3">
      <c r="A12007" s="12"/>
    </row>
    <row r="12008" spans="1:1" x14ac:dyDescent="0.3">
      <c r="A12008" s="12"/>
    </row>
    <row r="12009" spans="1:1" x14ac:dyDescent="0.3">
      <c r="A12009" s="12"/>
    </row>
    <row r="12010" spans="1:1" x14ac:dyDescent="0.3">
      <c r="A12010" s="12"/>
    </row>
    <row r="12011" spans="1:1" x14ac:dyDescent="0.3">
      <c r="A12011" s="12"/>
    </row>
    <row r="12012" spans="1:1" x14ac:dyDescent="0.3">
      <c r="A12012" s="12"/>
    </row>
    <row r="12013" spans="1:1" x14ac:dyDescent="0.3">
      <c r="A12013" s="12"/>
    </row>
    <row r="12014" spans="1:1" x14ac:dyDescent="0.3">
      <c r="A12014" s="12"/>
    </row>
    <row r="12015" spans="1:1" x14ac:dyDescent="0.3">
      <c r="A12015" s="12"/>
    </row>
    <row r="12016" spans="1:1" x14ac:dyDescent="0.3">
      <c r="A12016" s="12"/>
    </row>
    <row r="12017" spans="1:1" x14ac:dyDescent="0.3">
      <c r="A12017" s="12"/>
    </row>
    <row r="12018" spans="1:1" x14ac:dyDescent="0.3">
      <c r="A12018" s="12"/>
    </row>
    <row r="12019" spans="1:1" x14ac:dyDescent="0.3">
      <c r="A12019" s="12"/>
    </row>
    <row r="12020" spans="1:1" x14ac:dyDescent="0.3">
      <c r="A12020" s="12"/>
    </row>
    <row r="12021" spans="1:1" x14ac:dyDescent="0.3">
      <c r="A12021" s="12"/>
    </row>
    <row r="12022" spans="1:1" x14ac:dyDescent="0.3">
      <c r="A12022" s="12"/>
    </row>
    <row r="12023" spans="1:1" x14ac:dyDescent="0.3">
      <c r="A12023" s="12"/>
    </row>
    <row r="12024" spans="1:1" x14ac:dyDescent="0.3">
      <c r="A12024" s="12"/>
    </row>
    <row r="12025" spans="1:1" x14ac:dyDescent="0.3">
      <c r="A12025" s="12"/>
    </row>
    <row r="12026" spans="1:1" x14ac:dyDescent="0.3">
      <c r="A12026" s="12"/>
    </row>
    <row r="12027" spans="1:1" x14ac:dyDescent="0.3">
      <c r="A12027" s="12"/>
    </row>
    <row r="12028" spans="1:1" x14ac:dyDescent="0.3">
      <c r="A12028" s="12"/>
    </row>
    <row r="12029" spans="1:1" x14ac:dyDescent="0.3">
      <c r="A12029" s="12"/>
    </row>
    <row r="12030" spans="1:1" x14ac:dyDescent="0.3">
      <c r="A12030" s="12"/>
    </row>
    <row r="12031" spans="1:1" x14ac:dyDescent="0.3">
      <c r="A12031" s="12"/>
    </row>
    <row r="12032" spans="1:1" x14ac:dyDescent="0.3">
      <c r="A12032" s="12"/>
    </row>
    <row r="12033" spans="1:1" x14ac:dyDescent="0.3">
      <c r="A12033" s="12"/>
    </row>
    <row r="12034" spans="1:1" x14ac:dyDescent="0.3">
      <c r="A12034" s="12"/>
    </row>
    <row r="12035" spans="1:1" x14ac:dyDescent="0.3">
      <c r="A12035" s="12"/>
    </row>
    <row r="12036" spans="1:1" x14ac:dyDescent="0.3">
      <c r="A12036" s="12"/>
    </row>
    <row r="12037" spans="1:1" x14ac:dyDescent="0.3">
      <c r="A12037" s="12"/>
    </row>
    <row r="12038" spans="1:1" x14ac:dyDescent="0.3">
      <c r="A12038" s="12"/>
    </row>
    <row r="12039" spans="1:1" x14ac:dyDescent="0.3">
      <c r="A12039" s="12"/>
    </row>
    <row r="12040" spans="1:1" x14ac:dyDescent="0.3">
      <c r="A12040" s="12"/>
    </row>
    <row r="12041" spans="1:1" x14ac:dyDescent="0.3">
      <c r="A12041" s="12"/>
    </row>
    <row r="12042" spans="1:1" x14ac:dyDescent="0.3">
      <c r="A12042" s="12"/>
    </row>
    <row r="12043" spans="1:1" x14ac:dyDescent="0.3">
      <c r="A12043" s="12"/>
    </row>
    <row r="12044" spans="1:1" x14ac:dyDescent="0.3">
      <c r="A12044" s="12"/>
    </row>
    <row r="12045" spans="1:1" x14ac:dyDescent="0.3">
      <c r="A12045" s="12"/>
    </row>
    <row r="12046" spans="1:1" x14ac:dyDescent="0.3">
      <c r="A12046" s="12"/>
    </row>
    <row r="12047" spans="1:1" x14ac:dyDescent="0.3">
      <c r="A12047" s="12"/>
    </row>
    <row r="12048" spans="1:1" x14ac:dyDescent="0.3">
      <c r="A12048" s="12"/>
    </row>
    <row r="12049" spans="1:1" x14ac:dyDescent="0.3">
      <c r="A12049" s="12"/>
    </row>
    <row r="12050" spans="1:1" x14ac:dyDescent="0.3">
      <c r="A12050" s="12"/>
    </row>
    <row r="12051" spans="1:1" x14ac:dyDescent="0.3">
      <c r="A12051" s="12"/>
    </row>
    <row r="12052" spans="1:1" x14ac:dyDescent="0.3">
      <c r="A12052" s="12"/>
    </row>
    <row r="12053" spans="1:1" x14ac:dyDescent="0.3">
      <c r="A12053" s="12"/>
    </row>
    <row r="12054" spans="1:1" x14ac:dyDescent="0.3">
      <c r="A12054" s="12"/>
    </row>
    <row r="12055" spans="1:1" x14ac:dyDescent="0.3">
      <c r="A12055" s="12"/>
    </row>
    <row r="12056" spans="1:1" x14ac:dyDescent="0.3">
      <c r="A12056" s="12"/>
    </row>
    <row r="12057" spans="1:1" x14ac:dyDescent="0.3">
      <c r="A12057" s="12"/>
    </row>
    <row r="12058" spans="1:1" x14ac:dyDescent="0.3">
      <c r="A12058" s="12"/>
    </row>
    <row r="12059" spans="1:1" x14ac:dyDescent="0.3">
      <c r="A12059" s="12"/>
    </row>
    <row r="12060" spans="1:1" x14ac:dyDescent="0.3">
      <c r="A12060" s="12"/>
    </row>
    <row r="12061" spans="1:1" x14ac:dyDescent="0.3">
      <c r="A12061" s="12"/>
    </row>
    <row r="12062" spans="1:1" x14ac:dyDescent="0.3">
      <c r="A12062" s="12"/>
    </row>
    <row r="12063" spans="1:1" x14ac:dyDescent="0.3">
      <c r="A12063" s="12"/>
    </row>
    <row r="12064" spans="1:1" x14ac:dyDescent="0.3">
      <c r="A12064" s="12"/>
    </row>
    <row r="12065" spans="1:1" x14ac:dyDescent="0.3">
      <c r="A12065" s="12"/>
    </row>
    <row r="12066" spans="1:1" x14ac:dyDescent="0.3">
      <c r="A12066" s="12"/>
    </row>
    <row r="12067" spans="1:1" x14ac:dyDescent="0.3">
      <c r="A12067" s="12"/>
    </row>
    <row r="12068" spans="1:1" x14ac:dyDescent="0.3">
      <c r="A12068" s="12"/>
    </row>
    <row r="12069" spans="1:1" x14ac:dyDescent="0.3">
      <c r="A12069" s="12"/>
    </row>
    <row r="12070" spans="1:1" x14ac:dyDescent="0.3">
      <c r="A12070" s="12"/>
    </row>
    <row r="12071" spans="1:1" x14ac:dyDescent="0.3">
      <c r="A12071" s="12"/>
    </row>
    <row r="12072" spans="1:1" x14ac:dyDescent="0.3">
      <c r="A12072" s="12"/>
    </row>
    <row r="12073" spans="1:1" x14ac:dyDescent="0.3">
      <c r="A12073" s="12"/>
    </row>
    <row r="12074" spans="1:1" x14ac:dyDescent="0.3">
      <c r="A12074" s="12"/>
    </row>
    <row r="12075" spans="1:1" x14ac:dyDescent="0.3">
      <c r="A12075" s="12"/>
    </row>
    <row r="12076" spans="1:1" x14ac:dyDescent="0.3">
      <c r="A12076" s="12"/>
    </row>
    <row r="12077" spans="1:1" x14ac:dyDescent="0.3">
      <c r="A12077" s="12"/>
    </row>
    <row r="12078" spans="1:1" x14ac:dyDescent="0.3">
      <c r="A12078" s="12"/>
    </row>
    <row r="12079" spans="1:1" x14ac:dyDescent="0.3">
      <c r="A12079" s="12"/>
    </row>
    <row r="12080" spans="1:1" x14ac:dyDescent="0.3">
      <c r="A12080" s="12"/>
    </row>
    <row r="12081" spans="1:1" x14ac:dyDescent="0.3">
      <c r="A12081" s="12"/>
    </row>
    <row r="12082" spans="1:1" x14ac:dyDescent="0.3">
      <c r="A12082" s="12"/>
    </row>
    <row r="12083" spans="1:1" x14ac:dyDescent="0.3">
      <c r="A12083" s="12"/>
    </row>
    <row r="12084" spans="1:1" x14ac:dyDescent="0.3">
      <c r="A12084" s="12"/>
    </row>
    <row r="12085" spans="1:1" x14ac:dyDescent="0.3">
      <c r="A12085" s="12"/>
    </row>
    <row r="12086" spans="1:1" x14ac:dyDescent="0.3">
      <c r="A12086" s="12"/>
    </row>
    <row r="12087" spans="1:1" x14ac:dyDescent="0.3">
      <c r="A12087" s="12"/>
    </row>
    <row r="12088" spans="1:1" x14ac:dyDescent="0.3">
      <c r="A12088" s="12"/>
    </row>
    <row r="12089" spans="1:1" x14ac:dyDescent="0.3">
      <c r="A12089" s="12"/>
    </row>
    <row r="12090" spans="1:1" x14ac:dyDescent="0.3">
      <c r="A12090" s="12"/>
    </row>
    <row r="12091" spans="1:1" x14ac:dyDescent="0.3">
      <c r="A12091" s="12"/>
    </row>
    <row r="12092" spans="1:1" x14ac:dyDescent="0.3">
      <c r="A12092" s="12"/>
    </row>
    <row r="12093" spans="1:1" x14ac:dyDescent="0.3">
      <c r="A12093" s="12"/>
    </row>
    <row r="12094" spans="1:1" x14ac:dyDescent="0.3">
      <c r="A12094" s="12"/>
    </row>
    <row r="12095" spans="1:1" x14ac:dyDescent="0.3">
      <c r="A12095" s="12"/>
    </row>
    <row r="12096" spans="1:1" x14ac:dyDescent="0.3">
      <c r="A12096" s="12"/>
    </row>
    <row r="12097" spans="1:1" x14ac:dyDescent="0.3">
      <c r="A12097" s="12"/>
    </row>
    <row r="12098" spans="1:1" x14ac:dyDescent="0.3">
      <c r="A12098" s="12"/>
    </row>
    <row r="12099" spans="1:1" x14ac:dyDescent="0.3">
      <c r="A12099" s="12"/>
    </row>
    <row r="12100" spans="1:1" x14ac:dyDescent="0.3">
      <c r="A12100" s="12"/>
    </row>
    <row r="12101" spans="1:1" x14ac:dyDescent="0.3">
      <c r="A12101" s="12"/>
    </row>
    <row r="12102" spans="1:1" x14ac:dyDescent="0.3">
      <c r="A12102" s="12"/>
    </row>
    <row r="12103" spans="1:1" x14ac:dyDescent="0.3">
      <c r="A12103" s="12"/>
    </row>
    <row r="12104" spans="1:1" x14ac:dyDescent="0.3">
      <c r="A12104" s="12"/>
    </row>
    <row r="12105" spans="1:1" x14ac:dyDescent="0.3">
      <c r="A12105" s="12"/>
    </row>
    <row r="12106" spans="1:1" x14ac:dyDescent="0.3">
      <c r="A12106" s="12"/>
    </row>
    <row r="12107" spans="1:1" x14ac:dyDescent="0.3">
      <c r="A12107" s="12"/>
    </row>
    <row r="12108" spans="1:1" x14ac:dyDescent="0.3">
      <c r="A12108" s="12"/>
    </row>
    <row r="12109" spans="1:1" x14ac:dyDescent="0.3">
      <c r="A12109" s="12"/>
    </row>
    <row r="12110" spans="1:1" x14ac:dyDescent="0.3">
      <c r="A12110" s="12"/>
    </row>
    <row r="12111" spans="1:1" x14ac:dyDescent="0.3">
      <c r="A12111" s="12"/>
    </row>
    <row r="12112" spans="1:1" x14ac:dyDescent="0.3">
      <c r="A12112" s="12"/>
    </row>
    <row r="12113" spans="1:1" x14ac:dyDescent="0.3">
      <c r="A12113" s="12"/>
    </row>
    <row r="12114" spans="1:1" x14ac:dyDescent="0.3">
      <c r="A12114" s="12"/>
    </row>
    <row r="12115" spans="1:1" x14ac:dyDescent="0.3">
      <c r="A12115" s="12"/>
    </row>
    <row r="12116" spans="1:1" x14ac:dyDescent="0.3">
      <c r="A12116" s="12"/>
    </row>
    <row r="12117" spans="1:1" x14ac:dyDescent="0.3">
      <c r="A12117" s="12"/>
    </row>
    <row r="12118" spans="1:1" x14ac:dyDescent="0.3">
      <c r="A12118" s="12"/>
    </row>
    <row r="12119" spans="1:1" x14ac:dyDescent="0.3">
      <c r="A12119" s="12"/>
    </row>
    <row r="12120" spans="1:1" x14ac:dyDescent="0.3">
      <c r="A12120" s="12"/>
    </row>
    <row r="12121" spans="1:1" x14ac:dyDescent="0.3">
      <c r="A12121" s="12"/>
    </row>
    <row r="12122" spans="1:1" x14ac:dyDescent="0.3">
      <c r="A12122" s="12"/>
    </row>
    <row r="12123" spans="1:1" x14ac:dyDescent="0.3">
      <c r="A12123" s="12"/>
    </row>
    <row r="12124" spans="1:1" x14ac:dyDescent="0.3">
      <c r="A12124" s="12"/>
    </row>
    <row r="12125" spans="1:1" x14ac:dyDescent="0.3">
      <c r="A12125" s="12"/>
    </row>
    <row r="12126" spans="1:1" x14ac:dyDescent="0.3">
      <c r="A12126" s="12"/>
    </row>
    <row r="12127" spans="1:1" x14ac:dyDescent="0.3">
      <c r="A12127" s="12"/>
    </row>
    <row r="12128" spans="1:1" x14ac:dyDescent="0.3">
      <c r="A12128" s="12"/>
    </row>
    <row r="12129" spans="1:1" x14ac:dyDescent="0.3">
      <c r="A12129" s="12"/>
    </row>
    <row r="12130" spans="1:1" x14ac:dyDescent="0.3">
      <c r="A12130" s="12"/>
    </row>
    <row r="12131" spans="1:1" x14ac:dyDescent="0.3">
      <c r="A12131" s="12"/>
    </row>
    <row r="12132" spans="1:1" x14ac:dyDescent="0.3">
      <c r="A12132" s="12"/>
    </row>
    <row r="12133" spans="1:1" x14ac:dyDescent="0.3">
      <c r="A12133" s="12"/>
    </row>
    <row r="12134" spans="1:1" x14ac:dyDescent="0.3">
      <c r="A12134" s="12"/>
    </row>
    <row r="12135" spans="1:1" x14ac:dyDescent="0.3">
      <c r="A12135" s="12"/>
    </row>
    <row r="12136" spans="1:1" x14ac:dyDescent="0.3">
      <c r="A12136" s="12"/>
    </row>
    <row r="12137" spans="1:1" x14ac:dyDescent="0.3">
      <c r="A12137" s="12"/>
    </row>
    <row r="12138" spans="1:1" x14ac:dyDescent="0.3">
      <c r="A12138" s="12"/>
    </row>
    <row r="12139" spans="1:1" x14ac:dyDescent="0.3">
      <c r="A12139" s="12"/>
    </row>
    <row r="12140" spans="1:1" x14ac:dyDescent="0.3">
      <c r="A12140" s="12"/>
    </row>
    <row r="12141" spans="1:1" x14ac:dyDescent="0.3">
      <c r="A12141" s="12"/>
    </row>
    <row r="12142" spans="1:1" x14ac:dyDescent="0.3">
      <c r="A12142" s="12"/>
    </row>
    <row r="12143" spans="1:1" x14ac:dyDescent="0.3">
      <c r="A12143" s="12"/>
    </row>
    <row r="12144" spans="1:1" x14ac:dyDescent="0.3">
      <c r="A12144" s="12"/>
    </row>
    <row r="12145" spans="1:1" x14ac:dyDescent="0.3">
      <c r="A12145" s="12"/>
    </row>
    <row r="12146" spans="1:1" x14ac:dyDescent="0.3">
      <c r="A12146" s="12"/>
    </row>
    <row r="12147" spans="1:1" x14ac:dyDescent="0.3">
      <c r="A12147" s="12"/>
    </row>
    <row r="12148" spans="1:1" x14ac:dyDescent="0.3">
      <c r="A12148" s="12"/>
    </row>
    <row r="12149" spans="1:1" x14ac:dyDescent="0.3">
      <c r="A12149" s="12"/>
    </row>
    <row r="12150" spans="1:1" x14ac:dyDescent="0.3">
      <c r="A12150" s="12"/>
    </row>
    <row r="12151" spans="1:1" x14ac:dyDescent="0.3">
      <c r="A12151" s="12"/>
    </row>
    <row r="12152" spans="1:1" x14ac:dyDescent="0.3">
      <c r="A12152" s="12"/>
    </row>
    <row r="12153" spans="1:1" x14ac:dyDescent="0.3">
      <c r="A12153" s="12"/>
    </row>
    <row r="12154" spans="1:1" x14ac:dyDescent="0.3">
      <c r="A12154" s="12"/>
    </row>
    <row r="12155" spans="1:1" x14ac:dyDescent="0.3">
      <c r="A12155" s="12"/>
    </row>
    <row r="12156" spans="1:1" x14ac:dyDescent="0.3">
      <c r="A12156" s="12"/>
    </row>
    <row r="12157" spans="1:1" x14ac:dyDescent="0.3">
      <c r="A12157" s="12"/>
    </row>
    <row r="12158" spans="1:1" x14ac:dyDescent="0.3">
      <c r="A12158" s="12"/>
    </row>
    <row r="12159" spans="1:1" x14ac:dyDescent="0.3">
      <c r="A12159" s="12"/>
    </row>
    <row r="12160" spans="1:1" x14ac:dyDescent="0.3">
      <c r="A12160" s="12"/>
    </row>
    <row r="12161" spans="1:1" x14ac:dyDescent="0.3">
      <c r="A12161" s="12"/>
    </row>
    <row r="12162" spans="1:1" x14ac:dyDescent="0.3">
      <c r="A12162" s="12"/>
    </row>
    <row r="12163" spans="1:1" x14ac:dyDescent="0.3">
      <c r="A12163" s="12"/>
    </row>
    <row r="12164" spans="1:1" x14ac:dyDescent="0.3">
      <c r="A12164" s="12"/>
    </row>
    <row r="12165" spans="1:1" x14ac:dyDescent="0.3">
      <c r="A12165" s="12"/>
    </row>
    <row r="12166" spans="1:1" x14ac:dyDescent="0.3">
      <c r="A12166" s="12"/>
    </row>
    <row r="12167" spans="1:1" x14ac:dyDescent="0.3">
      <c r="A12167" s="12"/>
    </row>
    <row r="12168" spans="1:1" x14ac:dyDescent="0.3">
      <c r="A12168" s="12"/>
    </row>
    <row r="12169" spans="1:1" x14ac:dyDescent="0.3">
      <c r="A12169" s="12"/>
    </row>
    <row r="12170" spans="1:1" x14ac:dyDescent="0.3">
      <c r="A12170" s="12"/>
    </row>
    <row r="12171" spans="1:1" x14ac:dyDescent="0.3">
      <c r="A12171" s="12"/>
    </row>
    <row r="12172" spans="1:1" x14ac:dyDescent="0.3">
      <c r="A12172" s="12"/>
    </row>
    <row r="12173" spans="1:1" x14ac:dyDescent="0.3">
      <c r="A12173" s="12"/>
    </row>
    <row r="12174" spans="1:1" x14ac:dyDescent="0.3">
      <c r="A12174" s="12"/>
    </row>
    <row r="12175" spans="1:1" x14ac:dyDescent="0.3">
      <c r="A12175" s="12"/>
    </row>
    <row r="12176" spans="1:1" x14ac:dyDescent="0.3">
      <c r="A12176" s="12"/>
    </row>
    <row r="12177" spans="1:1" x14ac:dyDescent="0.3">
      <c r="A12177" s="12"/>
    </row>
    <row r="12178" spans="1:1" x14ac:dyDescent="0.3">
      <c r="A12178" s="12"/>
    </row>
    <row r="12179" spans="1:1" x14ac:dyDescent="0.3">
      <c r="A12179" s="12"/>
    </row>
    <row r="12180" spans="1:1" x14ac:dyDescent="0.3">
      <c r="A12180" s="12"/>
    </row>
    <row r="12181" spans="1:1" x14ac:dyDescent="0.3">
      <c r="A12181" s="12"/>
    </row>
    <row r="12182" spans="1:1" x14ac:dyDescent="0.3">
      <c r="A12182" s="12"/>
    </row>
    <row r="12183" spans="1:1" x14ac:dyDescent="0.3">
      <c r="A12183" s="12"/>
    </row>
    <row r="12184" spans="1:1" x14ac:dyDescent="0.3">
      <c r="A12184" s="12"/>
    </row>
    <row r="12185" spans="1:1" x14ac:dyDescent="0.3">
      <c r="A12185" s="12"/>
    </row>
    <row r="12186" spans="1:1" x14ac:dyDescent="0.3">
      <c r="A12186" s="12"/>
    </row>
    <row r="12187" spans="1:1" x14ac:dyDescent="0.3">
      <c r="A12187" s="12"/>
    </row>
    <row r="12188" spans="1:1" x14ac:dyDescent="0.3">
      <c r="A12188" s="12"/>
    </row>
    <row r="12189" spans="1:1" x14ac:dyDescent="0.3">
      <c r="A12189" s="12"/>
    </row>
    <row r="12190" spans="1:1" x14ac:dyDescent="0.3">
      <c r="A12190" s="12"/>
    </row>
    <row r="12191" spans="1:1" x14ac:dyDescent="0.3">
      <c r="A12191" s="12"/>
    </row>
    <row r="12192" spans="1:1" x14ac:dyDescent="0.3">
      <c r="A12192" s="12"/>
    </row>
    <row r="12193" spans="1:1" x14ac:dyDescent="0.3">
      <c r="A12193" s="12"/>
    </row>
    <row r="12194" spans="1:1" x14ac:dyDescent="0.3">
      <c r="A12194" s="12"/>
    </row>
    <row r="12195" spans="1:1" x14ac:dyDescent="0.3">
      <c r="A12195" s="12"/>
    </row>
    <row r="12196" spans="1:1" x14ac:dyDescent="0.3">
      <c r="A12196" s="12"/>
    </row>
    <row r="12197" spans="1:1" x14ac:dyDescent="0.3">
      <c r="A12197" s="12"/>
    </row>
    <row r="12198" spans="1:1" x14ac:dyDescent="0.3">
      <c r="A12198" s="12"/>
    </row>
    <row r="12199" spans="1:1" x14ac:dyDescent="0.3">
      <c r="A12199" s="12"/>
    </row>
    <row r="12200" spans="1:1" x14ac:dyDescent="0.3">
      <c r="A12200" s="12"/>
    </row>
    <row r="12201" spans="1:1" x14ac:dyDescent="0.3">
      <c r="A12201" s="12"/>
    </row>
    <row r="12202" spans="1:1" x14ac:dyDescent="0.3">
      <c r="A12202" s="12"/>
    </row>
    <row r="12203" spans="1:1" x14ac:dyDescent="0.3">
      <c r="A12203" s="12"/>
    </row>
    <row r="12204" spans="1:1" x14ac:dyDescent="0.3">
      <c r="A12204" s="12"/>
    </row>
    <row r="12205" spans="1:1" x14ac:dyDescent="0.3">
      <c r="A12205" s="12"/>
    </row>
    <row r="12206" spans="1:1" x14ac:dyDescent="0.3">
      <c r="A12206" s="12"/>
    </row>
    <row r="12207" spans="1:1" x14ac:dyDescent="0.3">
      <c r="A12207" s="12"/>
    </row>
    <row r="12208" spans="1:1" x14ac:dyDescent="0.3">
      <c r="A12208" s="12"/>
    </row>
    <row r="12209" spans="1:1" x14ac:dyDescent="0.3">
      <c r="A12209" s="12"/>
    </row>
    <row r="12210" spans="1:1" x14ac:dyDescent="0.3">
      <c r="A12210" s="12"/>
    </row>
    <row r="12211" spans="1:1" x14ac:dyDescent="0.3">
      <c r="A12211" s="12"/>
    </row>
    <row r="12212" spans="1:1" x14ac:dyDescent="0.3">
      <c r="A12212" s="12"/>
    </row>
    <row r="12213" spans="1:1" x14ac:dyDescent="0.3">
      <c r="A12213" s="12"/>
    </row>
    <row r="12214" spans="1:1" x14ac:dyDescent="0.3">
      <c r="A12214" s="12"/>
    </row>
    <row r="12215" spans="1:1" x14ac:dyDescent="0.3">
      <c r="A12215" s="12"/>
    </row>
    <row r="12216" spans="1:1" x14ac:dyDescent="0.3">
      <c r="A12216" s="12"/>
    </row>
    <row r="12217" spans="1:1" x14ac:dyDescent="0.3">
      <c r="A12217" s="12"/>
    </row>
    <row r="12218" spans="1:1" x14ac:dyDescent="0.3">
      <c r="A12218" s="12"/>
    </row>
    <row r="12219" spans="1:1" x14ac:dyDescent="0.3">
      <c r="A12219" s="12"/>
    </row>
    <row r="12220" spans="1:1" x14ac:dyDescent="0.3">
      <c r="A12220" s="12"/>
    </row>
    <row r="12221" spans="1:1" x14ac:dyDescent="0.3">
      <c r="A12221" s="12"/>
    </row>
    <row r="12222" spans="1:1" x14ac:dyDescent="0.3">
      <c r="A12222" s="12"/>
    </row>
    <row r="12223" spans="1:1" x14ac:dyDescent="0.3">
      <c r="A12223" s="12"/>
    </row>
    <row r="12224" spans="1:1" x14ac:dyDescent="0.3">
      <c r="A12224" s="12"/>
    </row>
    <row r="12225" spans="1:1" x14ac:dyDescent="0.3">
      <c r="A12225" s="12"/>
    </row>
    <row r="12226" spans="1:1" x14ac:dyDescent="0.3">
      <c r="A12226" s="12"/>
    </row>
    <row r="12227" spans="1:1" x14ac:dyDescent="0.3">
      <c r="A12227" s="12"/>
    </row>
    <row r="12228" spans="1:1" x14ac:dyDescent="0.3">
      <c r="A12228" s="12"/>
    </row>
    <row r="12229" spans="1:1" x14ac:dyDescent="0.3">
      <c r="A12229" s="12"/>
    </row>
    <row r="12230" spans="1:1" x14ac:dyDescent="0.3">
      <c r="A12230" s="12"/>
    </row>
    <row r="12231" spans="1:1" x14ac:dyDescent="0.3">
      <c r="A12231" s="12"/>
    </row>
    <row r="12232" spans="1:1" x14ac:dyDescent="0.3">
      <c r="A12232" s="12"/>
    </row>
    <row r="12233" spans="1:1" x14ac:dyDescent="0.3">
      <c r="A12233" s="12"/>
    </row>
    <row r="12234" spans="1:1" x14ac:dyDescent="0.3">
      <c r="A12234" s="12"/>
    </row>
    <row r="12235" spans="1:1" x14ac:dyDescent="0.3">
      <c r="A12235" s="12"/>
    </row>
    <row r="12236" spans="1:1" x14ac:dyDescent="0.3">
      <c r="A12236" s="12"/>
    </row>
    <row r="12237" spans="1:1" x14ac:dyDescent="0.3">
      <c r="A12237" s="12"/>
    </row>
    <row r="12238" spans="1:1" x14ac:dyDescent="0.3">
      <c r="A12238" s="12"/>
    </row>
    <row r="12239" spans="1:1" x14ac:dyDescent="0.3">
      <c r="A12239" s="12"/>
    </row>
    <row r="12240" spans="1:1" x14ac:dyDescent="0.3">
      <c r="A12240" s="12"/>
    </row>
    <row r="12241" spans="1:1" x14ac:dyDescent="0.3">
      <c r="A12241" s="12"/>
    </row>
    <row r="12242" spans="1:1" x14ac:dyDescent="0.3">
      <c r="A12242" s="12"/>
    </row>
    <row r="12243" spans="1:1" x14ac:dyDescent="0.3">
      <c r="A12243" s="12"/>
    </row>
    <row r="12244" spans="1:1" x14ac:dyDescent="0.3">
      <c r="A12244" s="12"/>
    </row>
    <row r="12245" spans="1:1" x14ac:dyDescent="0.3">
      <c r="A12245" s="12"/>
    </row>
    <row r="12246" spans="1:1" x14ac:dyDescent="0.3">
      <c r="A12246" s="12"/>
    </row>
    <row r="12247" spans="1:1" x14ac:dyDescent="0.3">
      <c r="A12247" s="12"/>
    </row>
    <row r="12248" spans="1:1" x14ac:dyDescent="0.3">
      <c r="A12248" s="12"/>
    </row>
    <row r="12249" spans="1:1" x14ac:dyDescent="0.3">
      <c r="A12249" s="12"/>
    </row>
    <row r="12250" spans="1:1" x14ac:dyDescent="0.3">
      <c r="A12250" s="12"/>
    </row>
    <row r="12251" spans="1:1" x14ac:dyDescent="0.3">
      <c r="A12251" s="12"/>
    </row>
    <row r="12252" spans="1:1" x14ac:dyDescent="0.3">
      <c r="A12252" s="12"/>
    </row>
    <row r="12253" spans="1:1" x14ac:dyDescent="0.3">
      <c r="A12253" s="12"/>
    </row>
    <row r="12254" spans="1:1" x14ac:dyDescent="0.3">
      <c r="A12254" s="12"/>
    </row>
    <row r="12255" spans="1:1" x14ac:dyDescent="0.3">
      <c r="A12255" s="12"/>
    </row>
    <row r="12256" spans="1:1" x14ac:dyDescent="0.3">
      <c r="A12256" s="12"/>
    </row>
    <row r="12257" spans="1:1" x14ac:dyDescent="0.3">
      <c r="A12257" s="12"/>
    </row>
    <row r="12258" spans="1:1" x14ac:dyDescent="0.3">
      <c r="A12258" s="12"/>
    </row>
    <row r="12259" spans="1:1" x14ac:dyDescent="0.3">
      <c r="A12259" s="12"/>
    </row>
    <row r="12260" spans="1:1" x14ac:dyDescent="0.3">
      <c r="A12260" s="12"/>
    </row>
    <row r="12261" spans="1:1" x14ac:dyDescent="0.3">
      <c r="A12261" s="12"/>
    </row>
    <row r="12262" spans="1:1" x14ac:dyDescent="0.3">
      <c r="A12262" s="12"/>
    </row>
    <row r="12263" spans="1:1" x14ac:dyDescent="0.3">
      <c r="A12263" s="12"/>
    </row>
    <row r="12264" spans="1:1" x14ac:dyDescent="0.3">
      <c r="A12264" s="12"/>
    </row>
    <row r="12265" spans="1:1" x14ac:dyDescent="0.3">
      <c r="A12265" s="12"/>
    </row>
    <row r="12266" spans="1:1" x14ac:dyDescent="0.3">
      <c r="A12266" s="12"/>
    </row>
    <row r="12267" spans="1:1" x14ac:dyDescent="0.3">
      <c r="A12267" s="12"/>
    </row>
    <row r="12268" spans="1:1" x14ac:dyDescent="0.3">
      <c r="A12268" s="12"/>
    </row>
    <row r="12269" spans="1:1" x14ac:dyDescent="0.3">
      <c r="A12269" s="12"/>
    </row>
    <row r="12270" spans="1:1" x14ac:dyDescent="0.3">
      <c r="A12270" s="12"/>
    </row>
    <row r="12271" spans="1:1" x14ac:dyDescent="0.3">
      <c r="A12271" s="12"/>
    </row>
    <row r="12272" spans="1:1" x14ac:dyDescent="0.3">
      <c r="A12272" s="12"/>
    </row>
    <row r="12273" spans="1:1" x14ac:dyDescent="0.3">
      <c r="A12273" s="12"/>
    </row>
    <row r="12274" spans="1:1" x14ac:dyDescent="0.3">
      <c r="A12274" s="12"/>
    </row>
    <row r="12275" spans="1:1" x14ac:dyDescent="0.3">
      <c r="A12275" s="12"/>
    </row>
    <row r="12276" spans="1:1" x14ac:dyDescent="0.3">
      <c r="A12276" s="12"/>
    </row>
    <row r="12277" spans="1:1" x14ac:dyDescent="0.3">
      <c r="A12277" s="12"/>
    </row>
    <row r="12278" spans="1:1" x14ac:dyDescent="0.3">
      <c r="A12278" s="12"/>
    </row>
    <row r="12279" spans="1:1" x14ac:dyDescent="0.3">
      <c r="A12279" s="12"/>
    </row>
    <row r="12280" spans="1:1" x14ac:dyDescent="0.3">
      <c r="A12280" s="12"/>
    </row>
    <row r="12281" spans="1:1" x14ac:dyDescent="0.3">
      <c r="A12281" s="12"/>
    </row>
    <row r="12282" spans="1:1" x14ac:dyDescent="0.3">
      <c r="A12282" s="12"/>
    </row>
    <row r="12283" spans="1:1" x14ac:dyDescent="0.3">
      <c r="A12283" s="12"/>
    </row>
    <row r="12284" spans="1:1" x14ac:dyDescent="0.3">
      <c r="A12284" s="12"/>
    </row>
    <row r="12285" spans="1:1" x14ac:dyDescent="0.3">
      <c r="A12285" s="12"/>
    </row>
    <row r="12286" spans="1:1" x14ac:dyDescent="0.3">
      <c r="A12286" s="12"/>
    </row>
    <row r="12287" spans="1:1" x14ac:dyDescent="0.3">
      <c r="A12287" s="12"/>
    </row>
    <row r="12288" spans="1:1" x14ac:dyDescent="0.3">
      <c r="A12288" s="12"/>
    </row>
    <row r="12289" spans="1:1" x14ac:dyDescent="0.3">
      <c r="A12289" s="12"/>
    </row>
    <row r="12290" spans="1:1" x14ac:dyDescent="0.3">
      <c r="A12290" s="12"/>
    </row>
    <row r="12291" spans="1:1" x14ac:dyDescent="0.3">
      <c r="A12291" s="12"/>
    </row>
    <row r="12292" spans="1:1" x14ac:dyDescent="0.3">
      <c r="A12292" s="12"/>
    </row>
    <row r="12293" spans="1:1" x14ac:dyDescent="0.3">
      <c r="A12293" s="12"/>
    </row>
    <row r="12294" spans="1:1" x14ac:dyDescent="0.3">
      <c r="A12294" s="12"/>
    </row>
    <row r="12295" spans="1:1" x14ac:dyDescent="0.3">
      <c r="A12295" s="12"/>
    </row>
    <row r="12296" spans="1:1" x14ac:dyDescent="0.3">
      <c r="A12296" s="12"/>
    </row>
    <row r="12297" spans="1:1" x14ac:dyDescent="0.3">
      <c r="A12297" s="12"/>
    </row>
    <row r="12298" spans="1:1" x14ac:dyDescent="0.3">
      <c r="A12298" s="12"/>
    </row>
    <row r="12299" spans="1:1" x14ac:dyDescent="0.3">
      <c r="A12299" s="12"/>
    </row>
    <row r="12300" spans="1:1" x14ac:dyDescent="0.3">
      <c r="A12300" s="12"/>
    </row>
    <row r="12301" spans="1:1" x14ac:dyDescent="0.3">
      <c r="A12301" s="12"/>
    </row>
    <row r="12302" spans="1:1" x14ac:dyDescent="0.3">
      <c r="A12302" s="12"/>
    </row>
    <row r="12303" spans="1:1" x14ac:dyDescent="0.3">
      <c r="A12303" s="12"/>
    </row>
    <row r="12304" spans="1:1" x14ac:dyDescent="0.3">
      <c r="A12304" s="12"/>
    </row>
    <row r="12305" spans="1:1" x14ac:dyDescent="0.3">
      <c r="A12305" s="12"/>
    </row>
    <row r="12306" spans="1:1" x14ac:dyDescent="0.3">
      <c r="A12306" s="12"/>
    </row>
    <row r="12307" spans="1:1" x14ac:dyDescent="0.3">
      <c r="A12307" s="12"/>
    </row>
    <row r="12308" spans="1:1" x14ac:dyDescent="0.3">
      <c r="A12308" s="12"/>
    </row>
    <row r="12309" spans="1:1" x14ac:dyDescent="0.3">
      <c r="A12309" s="12"/>
    </row>
    <row r="12310" spans="1:1" x14ac:dyDescent="0.3">
      <c r="A12310" s="12"/>
    </row>
    <row r="12311" spans="1:1" x14ac:dyDescent="0.3">
      <c r="A12311" s="12"/>
    </row>
    <row r="12312" spans="1:1" x14ac:dyDescent="0.3">
      <c r="A12312" s="12"/>
    </row>
    <row r="12313" spans="1:1" x14ac:dyDescent="0.3">
      <c r="A12313" s="12"/>
    </row>
    <row r="12314" spans="1:1" x14ac:dyDescent="0.3">
      <c r="A12314" s="12"/>
    </row>
    <row r="12315" spans="1:1" x14ac:dyDescent="0.3">
      <c r="A12315" s="12"/>
    </row>
    <row r="12316" spans="1:1" x14ac:dyDescent="0.3">
      <c r="A12316" s="12"/>
    </row>
    <row r="12317" spans="1:1" x14ac:dyDescent="0.3">
      <c r="A12317" s="12"/>
    </row>
    <row r="12318" spans="1:1" x14ac:dyDescent="0.3">
      <c r="A12318" s="12"/>
    </row>
    <row r="12319" spans="1:1" x14ac:dyDescent="0.3">
      <c r="A12319" s="12"/>
    </row>
    <row r="12320" spans="1:1" x14ac:dyDescent="0.3">
      <c r="A12320" s="12"/>
    </row>
    <row r="12321" spans="1:1" x14ac:dyDescent="0.3">
      <c r="A12321" s="12"/>
    </row>
    <row r="12322" spans="1:1" x14ac:dyDescent="0.3">
      <c r="A12322" s="12"/>
    </row>
    <row r="12323" spans="1:1" x14ac:dyDescent="0.3">
      <c r="A12323" s="12"/>
    </row>
    <row r="12324" spans="1:1" x14ac:dyDescent="0.3">
      <c r="A12324" s="12"/>
    </row>
    <row r="12325" spans="1:1" x14ac:dyDescent="0.3">
      <c r="A12325" s="12"/>
    </row>
    <row r="12326" spans="1:1" x14ac:dyDescent="0.3">
      <c r="A12326" s="12"/>
    </row>
    <row r="12327" spans="1:1" x14ac:dyDescent="0.3">
      <c r="A12327" s="12"/>
    </row>
    <row r="12328" spans="1:1" x14ac:dyDescent="0.3">
      <c r="A12328" s="12"/>
    </row>
    <row r="12329" spans="1:1" x14ac:dyDescent="0.3">
      <c r="A12329" s="12"/>
    </row>
    <row r="12330" spans="1:1" x14ac:dyDescent="0.3">
      <c r="A12330" s="12"/>
    </row>
    <row r="12331" spans="1:1" x14ac:dyDescent="0.3">
      <c r="A12331" s="12"/>
    </row>
    <row r="12332" spans="1:1" x14ac:dyDescent="0.3">
      <c r="A12332" s="12"/>
    </row>
    <row r="12333" spans="1:1" x14ac:dyDescent="0.3">
      <c r="A12333" s="12"/>
    </row>
    <row r="12334" spans="1:1" x14ac:dyDescent="0.3">
      <c r="A12334" s="12"/>
    </row>
    <row r="12335" spans="1:1" x14ac:dyDescent="0.3">
      <c r="A12335" s="12"/>
    </row>
    <row r="12336" spans="1:1" x14ac:dyDescent="0.3">
      <c r="A12336" s="12"/>
    </row>
    <row r="12337" spans="1:1" x14ac:dyDescent="0.3">
      <c r="A12337" s="12"/>
    </row>
    <row r="12338" spans="1:1" x14ac:dyDescent="0.3">
      <c r="A12338" s="12"/>
    </row>
    <row r="12339" spans="1:1" x14ac:dyDescent="0.3">
      <c r="A12339" s="12"/>
    </row>
    <row r="12340" spans="1:1" x14ac:dyDescent="0.3">
      <c r="A12340" s="12"/>
    </row>
    <row r="12341" spans="1:1" x14ac:dyDescent="0.3">
      <c r="A12341" s="12"/>
    </row>
    <row r="12342" spans="1:1" x14ac:dyDescent="0.3">
      <c r="A12342" s="12"/>
    </row>
    <row r="12343" spans="1:1" x14ac:dyDescent="0.3">
      <c r="A12343" s="12"/>
    </row>
    <row r="12344" spans="1:1" x14ac:dyDescent="0.3">
      <c r="A12344" s="12"/>
    </row>
    <row r="12345" spans="1:1" x14ac:dyDescent="0.3">
      <c r="A12345" s="12"/>
    </row>
    <row r="12346" spans="1:1" x14ac:dyDescent="0.3">
      <c r="A12346" s="12"/>
    </row>
    <row r="12347" spans="1:1" x14ac:dyDescent="0.3">
      <c r="A12347" s="12"/>
    </row>
    <row r="12348" spans="1:1" x14ac:dyDescent="0.3">
      <c r="A12348" s="12"/>
    </row>
    <row r="12349" spans="1:1" x14ac:dyDescent="0.3">
      <c r="A12349" s="12"/>
    </row>
    <row r="12350" spans="1:1" x14ac:dyDescent="0.3">
      <c r="A12350" s="12"/>
    </row>
    <row r="12351" spans="1:1" x14ac:dyDescent="0.3">
      <c r="A12351" s="12"/>
    </row>
    <row r="12352" spans="1:1" x14ac:dyDescent="0.3">
      <c r="A12352" s="12"/>
    </row>
    <row r="12353" spans="1:1" x14ac:dyDescent="0.3">
      <c r="A12353" s="12"/>
    </row>
    <row r="12354" spans="1:1" x14ac:dyDescent="0.3">
      <c r="A12354" s="12"/>
    </row>
    <row r="12355" spans="1:1" x14ac:dyDescent="0.3">
      <c r="A12355" s="12"/>
    </row>
    <row r="12356" spans="1:1" x14ac:dyDescent="0.3">
      <c r="A12356" s="12"/>
    </row>
    <row r="12357" spans="1:1" x14ac:dyDescent="0.3">
      <c r="A12357" s="12"/>
    </row>
    <row r="12358" spans="1:1" x14ac:dyDescent="0.3">
      <c r="A12358" s="12"/>
    </row>
    <row r="12359" spans="1:1" x14ac:dyDescent="0.3">
      <c r="A12359" s="12"/>
    </row>
    <row r="12360" spans="1:1" x14ac:dyDescent="0.3">
      <c r="A12360" s="12"/>
    </row>
    <row r="12361" spans="1:1" x14ac:dyDescent="0.3">
      <c r="A12361" s="12"/>
    </row>
    <row r="12362" spans="1:1" x14ac:dyDescent="0.3">
      <c r="A12362" s="12"/>
    </row>
    <row r="12363" spans="1:1" x14ac:dyDescent="0.3">
      <c r="A12363" s="12"/>
    </row>
    <row r="12364" spans="1:1" x14ac:dyDescent="0.3">
      <c r="A12364" s="12"/>
    </row>
    <row r="12365" spans="1:1" x14ac:dyDescent="0.3">
      <c r="A12365" s="12"/>
    </row>
    <row r="12366" spans="1:1" x14ac:dyDescent="0.3">
      <c r="A12366" s="12"/>
    </row>
    <row r="12367" spans="1:1" x14ac:dyDescent="0.3">
      <c r="A12367" s="12"/>
    </row>
    <row r="12368" spans="1:1" x14ac:dyDescent="0.3">
      <c r="A12368" s="12"/>
    </row>
    <row r="12369" spans="1:1" x14ac:dyDescent="0.3">
      <c r="A12369" s="12"/>
    </row>
    <row r="12370" spans="1:1" x14ac:dyDescent="0.3">
      <c r="A12370" s="12"/>
    </row>
    <row r="12371" spans="1:1" x14ac:dyDescent="0.3">
      <c r="A12371" s="12"/>
    </row>
    <row r="12372" spans="1:1" x14ac:dyDescent="0.3">
      <c r="A12372" s="12"/>
    </row>
    <row r="12373" spans="1:1" x14ac:dyDescent="0.3">
      <c r="A12373" s="12"/>
    </row>
    <row r="12374" spans="1:1" x14ac:dyDescent="0.3">
      <c r="A12374" s="12"/>
    </row>
    <row r="12375" spans="1:1" x14ac:dyDescent="0.3">
      <c r="A12375" s="12"/>
    </row>
    <row r="12376" spans="1:1" x14ac:dyDescent="0.3">
      <c r="A12376" s="12"/>
    </row>
    <row r="12377" spans="1:1" x14ac:dyDescent="0.3">
      <c r="A12377" s="12"/>
    </row>
    <row r="12378" spans="1:1" x14ac:dyDescent="0.3">
      <c r="A12378" s="12"/>
    </row>
    <row r="12379" spans="1:1" x14ac:dyDescent="0.3">
      <c r="A12379" s="12"/>
    </row>
    <row r="12380" spans="1:1" x14ac:dyDescent="0.3">
      <c r="A12380" s="12"/>
    </row>
    <row r="12381" spans="1:1" x14ac:dyDescent="0.3">
      <c r="A12381" s="12"/>
    </row>
    <row r="12382" spans="1:1" x14ac:dyDescent="0.3">
      <c r="A12382" s="12"/>
    </row>
    <row r="12383" spans="1:1" x14ac:dyDescent="0.3">
      <c r="A12383" s="12"/>
    </row>
    <row r="12384" spans="1:1" x14ac:dyDescent="0.3">
      <c r="A12384" s="12"/>
    </row>
    <row r="12385" spans="1:1" x14ac:dyDescent="0.3">
      <c r="A12385" s="12"/>
    </row>
    <row r="12386" spans="1:1" x14ac:dyDescent="0.3">
      <c r="A12386" s="12"/>
    </row>
    <row r="12387" spans="1:1" x14ac:dyDescent="0.3">
      <c r="A12387" s="12"/>
    </row>
    <row r="12388" spans="1:1" x14ac:dyDescent="0.3">
      <c r="A12388" s="12"/>
    </row>
    <row r="12389" spans="1:1" x14ac:dyDescent="0.3">
      <c r="A12389" s="12"/>
    </row>
    <row r="12390" spans="1:1" x14ac:dyDescent="0.3">
      <c r="A12390" s="12"/>
    </row>
    <row r="12391" spans="1:1" x14ac:dyDescent="0.3">
      <c r="A12391" s="12"/>
    </row>
    <row r="12392" spans="1:1" x14ac:dyDescent="0.3">
      <c r="A12392" s="12"/>
    </row>
    <row r="12393" spans="1:1" x14ac:dyDescent="0.3">
      <c r="A12393" s="12"/>
    </row>
    <row r="12394" spans="1:1" x14ac:dyDescent="0.3">
      <c r="A12394" s="12"/>
    </row>
    <row r="12395" spans="1:1" x14ac:dyDescent="0.3">
      <c r="A12395" s="12"/>
    </row>
    <row r="12396" spans="1:1" x14ac:dyDescent="0.3">
      <c r="A12396" s="12"/>
    </row>
    <row r="12397" spans="1:1" x14ac:dyDescent="0.3">
      <c r="A12397" s="12"/>
    </row>
    <row r="12398" spans="1:1" x14ac:dyDescent="0.3">
      <c r="A12398" s="12"/>
    </row>
    <row r="12399" spans="1:1" x14ac:dyDescent="0.3">
      <c r="A12399" s="12"/>
    </row>
    <row r="12400" spans="1:1" x14ac:dyDescent="0.3">
      <c r="A12400" s="12"/>
    </row>
    <row r="12401" spans="1:1" x14ac:dyDescent="0.3">
      <c r="A12401" s="12"/>
    </row>
    <row r="12402" spans="1:1" x14ac:dyDescent="0.3">
      <c r="A12402" s="12"/>
    </row>
    <row r="12403" spans="1:1" x14ac:dyDescent="0.3">
      <c r="A12403" s="12"/>
    </row>
    <row r="12404" spans="1:1" x14ac:dyDescent="0.3">
      <c r="A12404" s="12"/>
    </row>
    <row r="12405" spans="1:1" x14ac:dyDescent="0.3">
      <c r="A12405" s="12"/>
    </row>
    <row r="12406" spans="1:1" x14ac:dyDescent="0.3">
      <c r="A12406" s="12"/>
    </row>
    <row r="12407" spans="1:1" x14ac:dyDescent="0.3">
      <c r="A12407" s="12"/>
    </row>
    <row r="12408" spans="1:1" x14ac:dyDescent="0.3">
      <c r="A12408" s="12"/>
    </row>
    <row r="12409" spans="1:1" x14ac:dyDescent="0.3">
      <c r="A12409" s="12"/>
    </row>
    <row r="12410" spans="1:1" x14ac:dyDescent="0.3">
      <c r="A12410" s="12"/>
    </row>
    <row r="12411" spans="1:1" x14ac:dyDescent="0.3">
      <c r="A12411" s="12"/>
    </row>
    <row r="12412" spans="1:1" x14ac:dyDescent="0.3">
      <c r="A12412" s="12"/>
    </row>
    <row r="12413" spans="1:1" x14ac:dyDescent="0.3">
      <c r="A12413" s="12"/>
    </row>
    <row r="12414" spans="1:1" x14ac:dyDescent="0.3">
      <c r="A12414" s="12"/>
    </row>
    <row r="12415" spans="1:1" x14ac:dyDescent="0.3">
      <c r="A12415" s="12"/>
    </row>
    <row r="12416" spans="1:1" x14ac:dyDescent="0.3">
      <c r="A12416" s="12"/>
    </row>
    <row r="12417" spans="1:1" x14ac:dyDescent="0.3">
      <c r="A12417" s="12"/>
    </row>
    <row r="12418" spans="1:1" x14ac:dyDescent="0.3">
      <c r="A12418" s="12"/>
    </row>
    <row r="12419" spans="1:1" x14ac:dyDescent="0.3">
      <c r="A12419" s="12"/>
    </row>
    <row r="12420" spans="1:1" x14ac:dyDescent="0.3">
      <c r="A12420" s="12"/>
    </row>
    <row r="12421" spans="1:1" x14ac:dyDescent="0.3">
      <c r="A12421" s="12"/>
    </row>
    <row r="12422" spans="1:1" x14ac:dyDescent="0.3">
      <c r="A12422" s="12"/>
    </row>
    <row r="12423" spans="1:1" x14ac:dyDescent="0.3">
      <c r="A12423" s="12"/>
    </row>
    <row r="12424" spans="1:1" x14ac:dyDescent="0.3">
      <c r="A12424" s="12"/>
    </row>
    <row r="12425" spans="1:1" x14ac:dyDescent="0.3">
      <c r="A12425" s="12"/>
    </row>
    <row r="12426" spans="1:1" x14ac:dyDescent="0.3">
      <c r="A12426" s="12"/>
    </row>
    <row r="12427" spans="1:1" x14ac:dyDescent="0.3">
      <c r="A12427" s="12"/>
    </row>
    <row r="12428" spans="1:1" x14ac:dyDescent="0.3">
      <c r="A12428" s="12"/>
    </row>
    <row r="12429" spans="1:1" x14ac:dyDescent="0.3">
      <c r="A12429" s="12"/>
    </row>
    <row r="12430" spans="1:1" x14ac:dyDescent="0.3">
      <c r="A12430" s="12"/>
    </row>
    <row r="12431" spans="1:1" x14ac:dyDescent="0.3">
      <c r="A12431" s="12"/>
    </row>
    <row r="12432" spans="1:1" x14ac:dyDescent="0.3">
      <c r="A12432" s="12"/>
    </row>
    <row r="12433" spans="1:1" x14ac:dyDescent="0.3">
      <c r="A12433" s="12"/>
    </row>
    <row r="12434" spans="1:1" x14ac:dyDescent="0.3">
      <c r="A12434" s="12"/>
    </row>
    <row r="12435" spans="1:1" x14ac:dyDescent="0.3">
      <c r="A12435" s="12"/>
    </row>
    <row r="12436" spans="1:1" x14ac:dyDescent="0.3">
      <c r="A12436" s="12"/>
    </row>
    <row r="12437" spans="1:1" x14ac:dyDescent="0.3">
      <c r="A12437" s="12"/>
    </row>
    <row r="12438" spans="1:1" x14ac:dyDescent="0.3">
      <c r="A12438" s="12"/>
    </row>
    <row r="12439" spans="1:1" x14ac:dyDescent="0.3">
      <c r="A12439" s="12"/>
    </row>
    <row r="12440" spans="1:1" x14ac:dyDescent="0.3">
      <c r="A12440" s="12"/>
    </row>
    <row r="12441" spans="1:1" x14ac:dyDescent="0.3">
      <c r="A12441" s="12"/>
    </row>
    <row r="12442" spans="1:1" x14ac:dyDescent="0.3">
      <c r="A12442" s="12"/>
    </row>
    <row r="12443" spans="1:1" x14ac:dyDescent="0.3">
      <c r="A12443" s="12"/>
    </row>
    <row r="12444" spans="1:1" x14ac:dyDescent="0.3">
      <c r="A12444" s="12"/>
    </row>
    <row r="12445" spans="1:1" x14ac:dyDescent="0.3">
      <c r="A12445" s="12"/>
    </row>
    <row r="12446" spans="1:1" x14ac:dyDescent="0.3">
      <c r="A12446" s="12"/>
    </row>
    <row r="12447" spans="1:1" x14ac:dyDescent="0.3">
      <c r="A12447" s="12"/>
    </row>
    <row r="12448" spans="1:1" x14ac:dyDescent="0.3">
      <c r="A12448" s="12"/>
    </row>
    <row r="12449" spans="1:1" x14ac:dyDescent="0.3">
      <c r="A12449" s="12"/>
    </row>
    <row r="12450" spans="1:1" x14ac:dyDescent="0.3">
      <c r="A12450" s="12"/>
    </row>
    <row r="12451" spans="1:1" x14ac:dyDescent="0.3">
      <c r="A12451" s="12"/>
    </row>
    <row r="12452" spans="1:1" x14ac:dyDescent="0.3">
      <c r="A12452" s="12"/>
    </row>
    <row r="12453" spans="1:1" x14ac:dyDescent="0.3">
      <c r="A12453" s="12"/>
    </row>
    <row r="12454" spans="1:1" x14ac:dyDescent="0.3">
      <c r="A12454" s="12"/>
    </row>
    <row r="12455" spans="1:1" x14ac:dyDescent="0.3">
      <c r="A12455" s="12"/>
    </row>
    <row r="12456" spans="1:1" x14ac:dyDescent="0.3">
      <c r="A12456" s="12"/>
    </row>
    <row r="12457" spans="1:1" x14ac:dyDescent="0.3">
      <c r="A12457" s="12"/>
    </row>
    <row r="12458" spans="1:1" x14ac:dyDescent="0.3">
      <c r="A12458" s="12"/>
    </row>
    <row r="12459" spans="1:1" x14ac:dyDescent="0.3">
      <c r="A12459" s="12"/>
    </row>
    <row r="12460" spans="1:1" x14ac:dyDescent="0.3">
      <c r="A12460" s="12"/>
    </row>
    <row r="12461" spans="1:1" x14ac:dyDescent="0.3">
      <c r="A12461" s="12"/>
    </row>
    <row r="12462" spans="1:1" x14ac:dyDescent="0.3">
      <c r="A12462" s="12"/>
    </row>
    <row r="12463" spans="1:1" x14ac:dyDescent="0.3">
      <c r="A12463" s="12"/>
    </row>
    <row r="12464" spans="1:1" x14ac:dyDescent="0.3">
      <c r="A12464" s="12"/>
    </row>
    <row r="12465" spans="1:1" x14ac:dyDescent="0.3">
      <c r="A12465" s="12"/>
    </row>
    <row r="12466" spans="1:1" x14ac:dyDescent="0.3">
      <c r="A12466" s="12"/>
    </row>
    <row r="12467" spans="1:1" x14ac:dyDescent="0.3">
      <c r="A12467" s="12"/>
    </row>
    <row r="12468" spans="1:1" x14ac:dyDescent="0.3">
      <c r="A12468" s="12"/>
    </row>
    <row r="12469" spans="1:1" x14ac:dyDescent="0.3">
      <c r="A12469" s="12"/>
    </row>
    <row r="12470" spans="1:1" x14ac:dyDescent="0.3">
      <c r="A12470" s="12"/>
    </row>
    <row r="12471" spans="1:1" x14ac:dyDescent="0.3">
      <c r="A12471" s="12"/>
    </row>
    <row r="12472" spans="1:1" x14ac:dyDescent="0.3">
      <c r="A12472" s="12"/>
    </row>
    <row r="12473" spans="1:1" x14ac:dyDescent="0.3">
      <c r="A12473" s="12"/>
    </row>
    <row r="12474" spans="1:1" x14ac:dyDescent="0.3">
      <c r="A12474" s="12"/>
    </row>
    <row r="12475" spans="1:1" x14ac:dyDescent="0.3">
      <c r="A12475" s="12"/>
    </row>
    <row r="12476" spans="1:1" x14ac:dyDescent="0.3">
      <c r="A12476" s="12"/>
    </row>
    <row r="12477" spans="1:1" x14ac:dyDescent="0.3">
      <c r="A12477" s="12"/>
    </row>
    <row r="12478" spans="1:1" x14ac:dyDescent="0.3">
      <c r="A12478" s="12"/>
    </row>
    <row r="12479" spans="1:1" x14ac:dyDescent="0.3">
      <c r="A12479" s="12"/>
    </row>
    <row r="12480" spans="1:1" x14ac:dyDescent="0.3">
      <c r="A12480" s="12"/>
    </row>
    <row r="12481" spans="1:1" x14ac:dyDescent="0.3">
      <c r="A12481" s="12"/>
    </row>
    <row r="12482" spans="1:1" x14ac:dyDescent="0.3">
      <c r="A12482" s="12"/>
    </row>
    <row r="12483" spans="1:1" x14ac:dyDescent="0.3">
      <c r="A12483" s="12"/>
    </row>
    <row r="12484" spans="1:1" x14ac:dyDescent="0.3">
      <c r="A12484" s="12"/>
    </row>
    <row r="12485" spans="1:1" x14ac:dyDescent="0.3">
      <c r="A12485" s="12"/>
    </row>
    <row r="12486" spans="1:1" x14ac:dyDescent="0.3">
      <c r="A12486" s="12"/>
    </row>
    <row r="12487" spans="1:1" x14ac:dyDescent="0.3">
      <c r="A12487" s="12"/>
    </row>
    <row r="12488" spans="1:1" x14ac:dyDescent="0.3">
      <c r="A12488" s="12"/>
    </row>
    <row r="12489" spans="1:1" x14ac:dyDescent="0.3">
      <c r="A12489" s="12"/>
    </row>
    <row r="12490" spans="1:1" x14ac:dyDescent="0.3">
      <c r="A12490" s="12"/>
    </row>
    <row r="12491" spans="1:1" x14ac:dyDescent="0.3">
      <c r="A12491" s="12"/>
    </row>
    <row r="12492" spans="1:1" x14ac:dyDescent="0.3">
      <c r="A12492" s="12"/>
    </row>
    <row r="12493" spans="1:1" x14ac:dyDescent="0.3">
      <c r="A12493" s="12"/>
    </row>
    <row r="12494" spans="1:1" x14ac:dyDescent="0.3">
      <c r="A12494" s="12"/>
    </row>
    <row r="12495" spans="1:1" x14ac:dyDescent="0.3">
      <c r="A12495" s="12"/>
    </row>
    <row r="12496" spans="1:1" x14ac:dyDescent="0.3">
      <c r="A12496" s="12"/>
    </row>
    <row r="12497" spans="1:1" x14ac:dyDescent="0.3">
      <c r="A12497" s="12"/>
    </row>
    <row r="12498" spans="1:1" x14ac:dyDescent="0.3">
      <c r="A12498" s="12"/>
    </row>
    <row r="12499" spans="1:1" x14ac:dyDescent="0.3">
      <c r="A12499" s="12"/>
    </row>
    <row r="12500" spans="1:1" x14ac:dyDescent="0.3">
      <c r="A12500" s="12"/>
    </row>
    <row r="12501" spans="1:1" x14ac:dyDescent="0.3">
      <c r="A12501" s="12"/>
    </row>
    <row r="12502" spans="1:1" x14ac:dyDescent="0.3">
      <c r="A12502" s="12"/>
    </row>
    <row r="12503" spans="1:1" x14ac:dyDescent="0.3">
      <c r="A12503" s="12"/>
    </row>
    <row r="12504" spans="1:1" x14ac:dyDescent="0.3">
      <c r="A12504" s="12"/>
    </row>
    <row r="12505" spans="1:1" x14ac:dyDescent="0.3">
      <c r="A12505" s="12"/>
    </row>
    <row r="12506" spans="1:1" x14ac:dyDescent="0.3">
      <c r="A12506" s="12"/>
    </row>
    <row r="12507" spans="1:1" x14ac:dyDescent="0.3">
      <c r="A12507" s="12"/>
    </row>
    <row r="12508" spans="1:1" x14ac:dyDescent="0.3">
      <c r="A12508" s="12"/>
    </row>
    <row r="12509" spans="1:1" x14ac:dyDescent="0.3">
      <c r="A12509" s="12"/>
    </row>
    <row r="12510" spans="1:1" x14ac:dyDescent="0.3">
      <c r="A12510" s="12"/>
    </row>
    <row r="12511" spans="1:1" x14ac:dyDescent="0.3">
      <c r="A12511" s="12"/>
    </row>
    <row r="12512" spans="1:1" x14ac:dyDescent="0.3">
      <c r="A12512" s="12"/>
    </row>
    <row r="12513" spans="1:1" x14ac:dyDescent="0.3">
      <c r="A12513" s="12"/>
    </row>
    <row r="12514" spans="1:1" x14ac:dyDescent="0.3">
      <c r="A12514" s="12"/>
    </row>
    <row r="12515" spans="1:1" x14ac:dyDescent="0.3">
      <c r="A12515" s="12"/>
    </row>
    <row r="12516" spans="1:1" x14ac:dyDescent="0.3">
      <c r="A12516" s="12"/>
    </row>
    <row r="12517" spans="1:1" x14ac:dyDescent="0.3">
      <c r="A12517" s="12"/>
    </row>
    <row r="12518" spans="1:1" x14ac:dyDescent="0.3">
      <c r="A12518" s="12"/>
    </row>
    <row r="12519" spans="1:1" x14ac:dyDescent="0.3">
      <c r="A12519" s="12"/>
    </row>
    <row r="12520" spans="1:1" x14ac:dyDescent="0.3">
      <c r="A12520" s="12"/>
    </row>
    <row r="12521" spans="1:1" x14ac:dyDescent="0.3">
      <c r="A12521" s="12"/>
    </row>
    <row r="12522" spans="1:1" x14ac:dyDescent="0.3">
      <c r="A12522" s="12"/>
    </row>
    <row r="12523" spans="1:1" x14ac:dyDescent="0.3">
      <c r="A12523" s="12"/>
    </row>
    <row r="12524" spans="1:1" x14ac:dyDescent="0.3">
      <c r="A12524" s="12"/>
    </row>
    <row r="12525" spans="1:1" x14ac:dyDescent="0.3">
      <c r="A12525" s="12"/>
    </row>
    <row r="12526" spans="1:1" x14ac:dyDescent="0.3">
      <c r="A12526" s="12"/>
    </row>
    <row r="12527" spans="1:1" x14ac:dyDescent="0.3">
      <c r="A12527" s="12"/>
    </row>
    <row r="12528" spans="1:1" x14ac:dyDescent="0.3">
      <c r="A12528" s="12"/>
    </row>
    <row r="12529" spans="1:1" x14ac:dyDescent="0.3">
      <c r="A12529" s="12"/>
    </row>
    <row r="12530" spans="1:1" x14ac:dyDescent="0.3">
      <c r="A12530" s="12"/>
    </row>
    <row r="12531" spans="1:1" x14ac:dyDescent="0.3">
      <c r="A12531" s="12"/>
    </row>
    <row r="12532" spans="1:1" x14ac:dyDescent="0.3">
      <c r="A12532" s="12"/>
    </row>
    <row r="12533" spans="1:1" x14ac:dyDescent="0.3">
      <c r="A12533" s="12"/>
    </row>
    <row r="12534" spans="1:1" x14ac:dyDescent="0.3">
      <c r="A12534" s="12"/>
    </row>
    <row r="12535" spans="1:1" x14ac:dyDescent="0.3">
      <c r="A12535" s="12"/>
    </row>
    <row r="12536" spans="1:1" x14ac:dyDescent="0.3">
      <c r="A12536" s="12"/>
    </row>
    <row r="12537" spans="1:1" x14ac:dyDescent="0.3">
      <c r="A12537" s="12"/>
    </row>
    <row r="12538" spans="1:1" x14ac:dyDescent="0.3">
      <c r="A12538" s="12"/>
    </row>
    <row r="12539" spans="1:1" x14ac:dyDescent="0.3">
      <c r="A12539" s="12"/>
    </row>
    <row r="12540" spans="1:1" x14ac:dyDescent="0.3">
      <c r="A12540" s="12"/>
    </row>
    <row r="12541" spans="1:1" x14ac:dyDescent="0.3">
      <c r="A12541" s="12"/>
    </row>
    <row r="12542" spans="1:1" x14ac:dyDescent="0.3">
      <c r="A12542" s="12"/>
    </row>
    <row r="12543" spans="1:1" x14ac:dyDescent="0.3">
      <c r="A12543" s="12"/>
    </row>
    <row r="12544" spans="1:1" x14ac:dyDescent="0.3">
      <c r="A12544" s="12"/>
    </row>
    <row r="12545" spans="1:1" x14ac:dyDescent="0.3">
      <c r="A12545" s="12"/>
    </row>
    <row r="12546" spans="1:1" x14ac:dyDescent="0.3">
      <c r="A12546" s="12"/>
    </row>
    <row r="12547" spans="1:1" x14ac:dyDescent="0.3">
      <c r="A12547" s="12"/>
    </row>
    <row r="12548" spans="1:1" x14ac:dyDescent="0.3">
      <c r="A12548" s="12"/>
    </row>
    <row r="12549" spans="1:1" x14ac:dyDescent="0.3">
      <c r="A12549" s="12"/>
    </row>
    <row r="12550" spans="1:1" x14ac:dyDescent="0.3">
      <c r="A12550" s="12"/>
    </row>
    <row r="12551" spans="1:1" x14ac:dyDescent="0.3">
      <c r="A12551" s="12"/>
    </row>
    <row r="12552" spans="1:1" x14ac:dyDescent="0.3">
      <c r="A12552" s="12"/>
    </row>
    <row r="12553" spans="1:1" x14ac:dyDescent="0.3">
      <c r="A12553" s="12"/>
    </row>
    <row r="12554" spans="1:1" x14ac:dyDescent="0.3">
      <c r="A12554" s="12"/>
    </row>
    <row r="12555" spans="1:1" x14ac:dyDescent="0.3">
      <c r="A12555" s="12"/>
    </row>
    <row r="12556" spans="1:1" x14ac:dyDescent="0.3">
      <c r="A12556" s="12"/>
    </row>
    <row r="12557" spans="1:1" x14ac:dyDescent="0.3">
      <c r="A12557" s="12"/>
    </row>
    <row r="12558" spans="1:1" x14ac:dyDescent="0.3">
      <c r="A12558" s="12"/>
    </row>
    <row r="12559" spans="1:1" x14ac:dyDescent="0.3">
      <c r="A12559" s="12"/>
    </row>
    <row r="12560" spans="1:1" x14ac:dyDescent="0.3">
      <c r="A12560" s="12"/>
    </row>
    <row r="12561" spans="1:1" x14ac:dyDescent="0.3">
      <c r="A12561" s="12"/>
    </row>
    <row r="12562" spans="1:1" x14ac:dyDescent="0.3">
      <c r="A12562" s="12"/>
    </row>
    <row r="12563" spans="1:1" x14ac:dyDescent="0.3">
      <c r="A12563" s="12"/>
    </row>
    <row r="12564" spans="1:1" x14ac:dyDescent="0.3">
      <c r="A12564" s="12"/>
    </row>
    <row r="12565" spans="1:1" x14ac:dyDescent="0.3">
      <c r="A12565" s="12"/>
    </row>
    <row r="12566" spans="1:1" x14ac:dyDescent="0.3">
      <c r="A12566" s="12"/>
    </row>
    <row r="12567" spans="1:1" x14ac:dyDescent="0.3">
      <c r="A12567" s="12"/>
    </row>
    <row r="12568" spans="1:1" x14ac:dyDescent="0.3">
      <c r="A12568" s="12"/>
    </row>
    <row r="12569" spans="1:1" x14ac:dyDescent="0.3">
      <c r="A12569" s="12"/>
    </row>
    <row r="12570" spans="1:1" x14ac:dyDescent="0.3">
      <c r="A12570" s="12"/>
    </row>
    <row r="12571" spans="1:1" x14ac:dyDescent="0.3">
      <c r="A12571" s="12"/>
    </row>
    <row r="12572" spans="1:1" x14ac:dyDescent="0.3">
      <c r="A12572" s="12"/>
    </row>
    <row r="12573" spans="1:1" x14ac:dyDescent="0.3">
      <c r="A12573" s="12"/>
    </row>
    <row r="12574" spans="1:1" x14ac:dyDescent="0.3">
      <c r="A12574" s="12"/>
    </row>
    <row r="12575" spans="1:1" x14ac:dyDescent="0.3">
      <c r="A12575" s="12"/>
    </row>
    <row r="12576" spans="1:1" x14ac:dyDescent="0.3">
      <c r="A12576" s="12"/>
    </row>
    <row r="12577" spans="1:1" x14ac:dyDescent="0.3">
      <c r="A12577" s="12"/>
    </row>
    <row r="12578" spans="1:1" x14ac:dyDescent="0.3">
      <c r="A12578" s="12"/>
    </row>
    <row r="12579" spans="1:1" x14ac:dyDescent="0.3">
      <c r="A12579" s="12"/>
    </row>
    <row r="12580" spans="1:1" x14ac:dyDescent="0.3">
      <c r="A12580" s="12"/>
    </row>
    <row r="12581" spans="1:1" x14ac:dyDescent="0.3">
      <c r="A12581" s="12"/>
    </row>
    <row r="12582" spans="1:1" x14ac:dyDescent="0.3">
      <c r="A12582" s="12"/>
    </row>
    <row r="12583" spans="1:1" x14ac:dyDescent="0.3">
      <c r="A12583" s="12"/>
    </row>
    <row r="12584" spans="1:1" x14ac:dyDescent="0.3">
      <c r="A12584" s="12"/>
    </row>
    <row r="12585" spans="1:1" x14ac:dyDescent="0.3">
      <c r="A12585" s="12"/>
    </row>
    <row r="12586" spans="1:1" x14ac:dyDescent="0.3">
      <c r="A12586" s="12"/>
    </row>
    <row r="12587" spans="1:1" x14ac:dyDescent="0.3">
      <c r="A12587" s="12"/>
    </row>
    <row r="12588" spans="1:1" x14ac:dyDescent="0.3">
      <c r="A12588" s="12"/>
    </row>
    <row r="12589" spans="1:1" x14ac:dyDescent="0.3">
      <c r="A12589" s="12"/>
    </row>
    <row r="12590" spans="1:1" x14ac:dyDescent="0.3">
      <c r="A12590" s="12"/>
    </row>
    <row r="12591" spans="1:1" x14ac:dyDescent="0.3">
      <c r="A12591" s="12"/>
    </row>
    <row r="12592" spans="1:1" x14ac:dyDescent="0.3">
      <c r="A12592" s="12"/>
    </row>
    <row r="12593" spans="1:1" x14ac:dyDescent="0.3">
      <c r="A12593" s="12"/>
    </row>
    <row r="12594" spans="1:1" x14ac:dyDescent="0.3">
      <c r="A12594" s="12"/>
    </row>
    <row r="12595" spans="1:1" x14ac:dyDescent="0.3">
      <c r="A12595" s="12"/>
    </row>
    <row r="12596" spans="1:1" x14ac:dyDescent="0.3">
      <c r="A12596" s="12"/>
    </row>
    <row r="12597" spans="1:1" x14ac:dyDescent="0.3">
      <c r="A12597" s="12"/>
    </row>
    <row r="12598" spans="1:1" x14ac:dyDescent="0.3">
      <c r="A12598" s="12"/>
    </row>
    <row r="12599" spans="1:1" x14ac:dyDescent="0.3">
      <c r="A12599" s="12"/>
    </row>
    <row r="12600" spans="1:1" x14ac:dyDescent="0.3">
      <c r="A12600" s="12"/>
    </row>
    <row r="12601" spans="1:1" x14ac:dyDescent="0.3">
      <c r="A12601" s="12"/>
    </row>
    <row r="12602" spans="1:1" x14ac:dyDescent="0.3">
      <c r="A12602" s="12"/>
    </row>
    <row r="12603" spans="1:1" x14ac:dyDescent="0.3">
      <c r="A12603" s="12"/>
    </row>
    <row r="12604" spans="1:1" x14ac:dyDescent="0.3">
      <c r="A12604" s="12"/>
    </row>
    <row r="12605" spans="1:1" x14ac:dyDescent="0.3">
      <c r="A12605" s="12"/>
    </row>
    <row r="12606" spans="1:1" x14ac:dyDescent="0.3">
      <c r="A12606" s="12"/>
    </row>
    <row r="12607" spans="1:1" x14ac:dyDescent="0.3">
      <c r="A12607" s="12"/>
    </row>
    <row r="12608" spans="1:1" x14ac:dyDescent="0.3">
      <c r="A12608" s="12"/>
    </row>
    <row r="12609" spans="1:1" x14ac:dyDescent="0.3">
      <c r="A12609" s="12"/>
    </row>
    <row r="12610" spans="1:1" x14ac:dyDescent="0.3">
      <c r="A12610" s="12"/>
    </row>
    <row r="12611" spans="1:1" x14ac:dyDescent="0.3">
      <c r="A12611" s="12"/>
    </row>
    <row r="12612" spans="1:1" x14ac:dyDescent="0.3">
      <c r="A12612" s="12"/>
    </row>
    <row r="12613" spans="1:1" x14ac:dyDescent="0.3">
      <c r="A12613" s="12"/>
    </row>
    <row r="12614" spans="1:1" x14ac:dyDescent="0.3">
      <c r="A12614" s="12"/>
    </row>
    <row r="12615" spans="1:1" x14ac:dyDescent="0.3">
      <c r="A12615" s="12"/>
    </row>
    <row r="12616" spans="1:1" x14ac:dyDescent="0.3">
      <c r="A12616" s="12"/>
    </row>
    <row r="12617" spans="1:1" x14ac:dyDescent="0.3">
      <c r="A12617" s="12"/>
    </row>
    <row r="12618" spans="1:1" x14ac:dyDescent="0.3">
      <c r="A12618" s="12"/>
    </row>
    <row r="12619" spans="1:1" x14ac:dyDescent="0.3">
      <c r="A12619" s="12"/>
    </row>
    <row r="12620" spans="1:1" x14ac:dyDescent="0.3">
      <c r="A12620" s="12"/>
    </row>
    <row r="12621" spans="1:1" x14ac:dyDescent="0.3">
      <c r="A12621" s="12"/>
    </row>
    <row r="12622" spans="1:1" x14ac:dyDescent="0.3">
      <c r="A12622" s="12"/>
    </row>
    <row r="12623" spans="1:1" x14ac:dyDescent="0.3">
      <c r="A12623" s="12"/>
    </row>
    <row r="12624" spans="1:1" x14ac:dyDescent="0.3">
      <c r="A12624" s="12"/>
    </row>
    <row r="12625" spans="1:1" x14ac:dyDescent="0.3">
      <c r="A12625" s="12"/>
    </row>
    <row r="12626" spans="1:1" x14ac:dyDescent="0.3">
      <c r="A12626" s="12"/>
    </row>
    <row r="12627" spans="1:1" x14ac:dyDescent="0.3">
      <c r="A12627" s="12"/>
    </row>
    <row r="12628" spans="1:1" x14ac:dyDescent="0.3">
      <c r="A12628" s="12"/>
    </row>
    <row r="12629" spans="1:1" x14ac:dyDescent="0.3">
      <c r="A12629" s="12"/>
    </row>
    <row r="12630" spans="1:1" x14ac:dyDescent="0.3">
      <c r="A12630" s="12"/>
    </row>
    <row r="12631" spans="1:1" x14ac:dyDescent="0.3">
      <c r="A12631" s="12"/>
    </row>
    <row r="12632" spans="1:1" x14ac:dyDescent="0.3">
      <c r="A12632" s="12"/>
    </row>
    <row r="12633" spans="1:1" x14ac:dyDescent="0.3">
      <c r="A12633" s="12"/>
    </row>
    <row r="12634" spans="1:1" x14ac:dyDescent="0.3">
      <c r="A12634" s="12"/>
    </row>
    <row r="12635" spans="1:1" x14ac:dyDescent="0.3">
      <c r="A12635" s="12"/>
    </row>
    <row r="12636" spans="1:1" x14ac:dyDescent="0.3">
      <c r="A12636" s="12"/>
    </row>
    <row r="12637" spans="1:1" x14ac:dyDescent="0.3">
      <c r="A12637" s="12"/>
    </row>
    <row r="12638" spans="1:1" x14ac:dyDescent="0.3">
      <c r="A12638" s="12"/>
    </row>
    <row r="12639" spans="1:1" x14ac:dyDescent="0.3">
      <c r="A12639" s="12"/>
    </row>
    <row r="12640" spans="1:1" x14ac:dyDescent="0.3">
      <c r="A12640" s="12"/>
    </row>
    <row r="12641" spans="1:1" x14ac:dyDescent="0.3">
      <c r="A12641" s="12"/>
    </row>
    <row r="12642" spans="1:1" x14ac:dyDescent="0.3">
      <c r="A12642" s="12"/>
    </row>
    <row r="12643" spans="1:1" x14ac:dyDescent="0.3">
      <c r="A12643" s="12"/>
    </row>
    <row r="12644" spans="1:1" x14ac:dyDescent="0.3">
      <c r="A12644" s="12"/>
    </row>
    <row r="12645" spans="1:1" x14ac:dyDescent="0.3">
      <c r="A12645" s="12"/>
    </row>
    <row r="12646" spans="1:1" x14ac:dyDescent="0.3">
      <c r="A12646" s="12"/>
    </row>
    <row r="12647" spans="1:1" x14ac:dyDescent="0.3">
      <c r="A12647" s="12"/>
    </row>
    <row r="12648" spans="1:1" x14ac:dyDescent="0.3">
      <c r="A12648" s="12"/>
    </row>
    <row r="12649" spans="1:1" x14ac:dyDescent="0.3">
      <c r="A12649" s="12"/>
    </row>
    <row r="12650" spans="1:1" x14ac:dyDescent="0.3">
      <c r="A12650" s="12"/>
    </row>
    <row r="12651" spans="1:1" x14ac:dyDescent="0.3">
      <c r="A12651" s="12"/>
    </row>
    <row r="12652" spans="1:1" x14ac:dyDescent="0.3">
      <c r="A12652" s="12"/>
    </row>
    <row r="12653" spans="1:1" x14ac:dyDescent="0.3">
      <c r="A12653" s="12"/>
    </row>
    <row r="12654" spans="1:1" x14ac:dyDescent="0.3">
      <c r="A12654" s="12"/>
    </row>
    <row r="12655" spans="1:1" x14ac:dyDescent="0.3">
      <c r="A12655" s="12"/>
    </row>
    <row r="12656" spans="1:1" x14ac:dyDescent="0.3">
      <c r="A12656" s="12"/>
    </row>
    <row r="12657" spans="1:1" x14ac:dyDescent="0.3">
      <c r="A12657" s="12"/>
    </row>
    <row r="12658" spans="1:1" x14ac:dyDescent="0.3">
      <c r="A12658" s="12"/>
    </row>
    <row r="12659" spans="1:1" x14ac:dyDescent="0.3">
      <c r="A12659" s="12"/>
    </row>
    <row r="12660" spans="1:1" x14ac:dyDescent="0.3">
      <c r="A12660" s="12"/>
    </row>
    <row r="12661" spans="1:1" x14ac:dyDescent="0.3">
      <c r="A12661" s="12"/>
    </row>
    <row r="12662" spans="1:1" x14ac:dyDescent="0.3">
      <c r="A12662" s="12"/>
    </row>
    <row r="12663" spans="1:1" x14ac:dyDescent="0.3">
      <c r="A12663" s="12"/>
    </row>
    <row r="12664" spans="1:1" x14ac:dyDescent="0.3">
      <c r="A12664" s="12"/>
    </row>
    <row r="12665" spans="1:1" x14ac:dyDescent="0.3">
      <c r="A12665" s="12"/>
    </row>
    <row r="12666" spans="1:1" x14ac:dyDescent="0.3">
      <c r="A12666" s="12"/>
    </row>
    <row r="12667" spans="1:1" x14ac:dyDescent="0.3">
      <c r="A12667" s="12"/>
    </row>
    <row r="12668" spans="1:1" x14ac:dyDescent="0.3">
      <c r="A12668" s="12"/>
    </row>
    <row r="12669" spans="1:1" x14ac:dyDescent="0.3">
      <c r="A12669" s="12"/>
    </row>
    <row r="12670" spans="1:1" x14ac:dyDescent="0.3">
      <c r="A12670" s="12"/>
    </row>
    <row r="12671" spans="1:1" x14ac:dyDescent="0.3">
      <c r="A12671" s="12"/>
    </row>
    <row r="12672" spans="1:1" x14ac:dyDescent="0.3">
      <c r="A12672" s="12"/>
    </row>
    <row r="12673" spans="1:1" x14ac:dyDescent="0.3">
      <c r="A12673" s="12"/>
    </row>
    <row r="12674" spans="1:1" x14ac:dyDescent="0.3">
      <c r="A12674" s="12"/>
    </row>
    <row r="12675" spans="1:1" x14ac:dyDescent="0.3">
      <c r="A12675" s="12"/>
    </row>
    <row r="12676" spans="1:1" x14ac:dyDescent="0.3">
      <c r="A12676" s="12"/>
    </row>
    <row r="12677" spans="1:1" x14ac:dyDescent="0.3">
      <c r="A12677" s="12"/>
    </row>
    <row r="12678" spans="1:1" x14ac:dyDescent="0.3">
      <c r="A12678" s="12"/>
    </row>
    <row r="12679" spans="1:1" x14ac:dyDescent="0.3">
      <c r="A12679" s="12"/>
    </row>
    <row r="12680" spans="1:1" x14ac:dyDescent="0.3">
      <c r="A12680" s="12"/>
    </row>
    <row r="12681" spans="1:1" x14ac:dyDescent="0.3">
      <c r="A12681" s="12"/>
    </row>
    <row r="12682" spans="1:1" x14ac:dyDescent="0.3">
      <c r="A12682" s="12"/>
    </row>
    <row r="12683" spans="1:1" x14ac:dyDescent="0.3">
      <c r="A12683" s="12"/>
    </row>
    <row r="12684" spans="1:1" x14ac:dyDescent="0.3">
      <c r="A12684" s="12"/>
    </row>
    <row r="12685" spans="1:1" x14ac:dyDescent="0.3">
      <c r="A12685" s="12"/>
    </row>
    <row r="12686" spans="1:1" x14ac:dyDescent="0.3">
      <c r="A12686" s="12"/>
    </row>
    <row r="12687" spans="1:1" x14ac:dyDescent="0.3">
      <c r="A12687" s="12"/>
    </row>
    <row r="12688" spans="1:1" x14ac:dyDescent="0.3">
      <c r="A12688" s="12"/>
    </row>
    <row r="12689" spans="1:1" x14ac:dyDescent="0.3">
      <c r="A12689" s="12"/>
    </row>
    <row r="12690" spans="1:1" x14ac:dyDescent="0.3">
      <c r="A12690" s="12"/>
    </row>
    <row r="12691" spans="1:1" x14ac:dyDescent="0.3">
      <c r="A12691" s="12"/>
    </row>
    <row r="12692" spans="1:1" x14ac:dyDescent="0.3">
      <c r="A12692" s="12"/>
    </row>
    <row r="12693" spans="1:1" x14ac:dyDescent="0.3">
      <c r="A12693" s="12"/>
    </row>
    <row r="12694" spans="1:1" x14ac:dyDescent="0.3">
      <c r="A12694" s="12"/>
    </row>
    <row r="12695" spans="1:1" x14ac:dyDescent="0.3">
      <c r="A12695" s="12"/>
    </row>
    <row r="12696" spans="1:1" x14ac:dyDescent="0.3">
      <c r="A12696" s="12"/>
    </row>
    <row r="12697" spans="1:1" x14ac:dyDescent="0.3">
      <c r="A12697" s="12"/>
    </row>
    <row r="12698" spans="1:1" x14ac:dyDescent="0.3">
      <c r="A12698" s="12"/>
    </row>
    <row r="12699" spans="1:1" x14ac:dyDescent="0.3">
      <c r="A12699" s="12"/>
    </row>
    <row r="12700" spans="1:1" x14ac:dyDescent="0.3">
      <c r="A12700" s="12"/>
    </row>
    <row r="12701" spans="1:1" x14ac:dyDescent="0.3">
      <c r="A12701" s="12"/>
    </row>
    <row r="12702" spans="1:1" x14ac:dyDescent="0.3">
      <c r="A12702" s="12"/>
    </row>
    <row r="12703" spans="1:1" x14ac:dyDescent="0.3">
      <c r="A12703" s="12"/>
    </row>
    <row r="12704" spans="1:1" x14ac:dyDescent="0.3">
      <c r="A12704" s="12"/>
    </row>
    <row r="12705" spans="1:1" x14ac:dyDescent="0.3">
      <c r="A12705" s="12"/>
    </row>
    <row r="12706" spans="1:1" x14ac:dyDescent="0.3">
      <c r="A12706" s="12"/>
    </row>
    <row r="12707" spans="1:1" x14ac:dyDescent="0.3">
      <c r="A12707" s="12"/>
    </row>
    <row r="12708" spans="1:1" x14ac:dyDescent="0.3">
      <c r="A12708" s="12"/>
    </row>
    <row r="12709" spans="1:1" x14ac:dyDescent="0.3">
      <c r="A12709" s="12"/>
    </row>
    <row r="12710" spans="1:1" x14ac:dyDescent="0.3">
      <c r="A12710" s="12"/>
    </row>
    <row r="12711" spans="1:1" x14ac:dyDescent="0.3">
      <c r="A12711" s="12"/>
    </row>
    <row r="12712" spans="1:1" x14ac:dyDescent="0.3">
      <c r="A12712" s="12"/>
    </row>
    <row r="12713" spans="1:1" x14ac:dyDescent="0.3">
      <c r="A12713" s="12"/>
    </row>
    <row r="12714" spans="1:1" x14ac:dyDescent="0.3">
      <c r="A12714" s="12"/>
    </row>
    <row r="12715" spans="1:1" x14ac:dyDescent="0.3">
      <c r="A12715" s="12"/>
    </row>
    <row r="12716" spans="1:1" x14ac:dyDescent="0.3">
      <c r="A12716" s="12"/>
    </row>
    <row r="12717" spans="1:1" x14ac:dyDescent="0.3">
      <c r="A12717" s="12"/>
    </row>
    <row r="12718" spans="1:1" x14ac:dyDescent="0.3">
      <c r="A12718" s="12"/>
    </row>
    <row r="12719" spans="1:1" x14ac:dyDescent="0.3">
      <c r="A12719" s="12"/>
    </row>
    <row r="12720" spans="1:1" x14ac:dyDescent="0.3">
      <c r="A12720" s="12"/>
    </row>
    <row r="12721" spans="1:1" x14ac:dyDescent="0.3">
      <c r="A12721" s="12"/>
    </row>
    <row r="12722" spans="1:1" x14ac:dyDescent="0.3">
      <c r="A12722" s="12"/>
    </row>
    <row r="12723" spans="1:1" x14ac:dyDescent="0.3">
      <c r="A12723" s="12"/>
    </row>
    <row r="12724" spans="1:1" x14ac:dyDescent="0.3">
      <c r="A12724" s="12"/>
    </row>
    <row r="12725" spans="1:1" x14ac:dyDescent="0.3">
      <c r="A12725" s="12"/>
    </row>
    <row r="12726" spans="1:1" x14ac:dyDescent="0.3">
      <c r="A12726" s="12"/>
    </row>
    <row r="12727" spans="1:1" x14ac:dyDescent="0.3">
      <c r="A12727" s="12"/>
    </row>
    <row r="12728" spans="1:1" x14ac:dyDescent="0.3">
      <c r="A12728" s="12"/>
    </row>
    <row r="12729" spans="1:1" x14ac:dyDescent="0.3">
      <c r="A12729" s="12"/>
    </row>
    <row r="12730" spans="1:1" x14ac:dyDescent="0.3">
      <c r="A12730" s="12"/>
    </row>
    <row r="12731" spans="1:1" x14ac:dyDescent="0.3">
      <c r="A12731" s="12"/>
    </row>
    <row r="12732" spans="1:1" x14ac:dyDescent="0.3">
      <c r="A12732" s="12"/>
    </row>
    <row r="12733" spans="1:1" x14ac:dyDescent="0.3">
      <c r="A12733" s="12"/>
    </row>
    <row r="12734" spans="1:1" x14ac:dyDescent="0.3">
      <c r="A12734" s="12"/>
    </row>
    <row r="12735" spans="1:1" x14ac:dyDescent="0.3">
      <c r="A12735" s="12"/>
    </row>
    <row r="12736" spans="1:1" x14ac:dyDescent="0.3">
      <c r="A12736" s="12"/>
    </row>
    <row r="12737" spans="1:1" x14ac:dyDescent="0.3">
      <c r="A12737" s="12"/>
    </row>
    <row r="12738" spans="1:1" x14ac:dyDescent="0.3">
      <c r="A12738" s="12"/>
    </row>
    <row r="12739" spans="1:1" x14ac:dyDescent="0.3">
      <c r="A12739" s="12"/>
    </row>
    <row r="12740" spans="1:1" x14ac:dyDescent="0.3">
      <c r="A12740" s="12"/>
    </row>
    <row r="12741" spans="1:1" x14ac:dyDescent="0.3">
      <c r="A12741" s="12"/>
    </row>
    <row r="12742" spans="1:1" x14ac:dyDescent="0.3">
      <c r="A12742" s="12"/>
    </row>
    <row r="12743" spans="1:1" x14ac:dyDescent="0.3">
      <c r="A12743" s="12"/>
    </row>
    <row r="12744" spans="1:1" x14ac:dyDescent="0.3">
      <c r="A12744" s="12"/>
    </row>
    <row r="12745" spans="1:1" x14ac:dyDescent="0.3">
      <c r="A12745" s="12"/>
    </row>
    <row r="12746" spans="1:1" x14ac:dyDescent="0.3">
      <c r="A12746" s="12"/>
    </row>
    <row r="12747" spans="1:1" x14ac:dyDescent="0.3">
      <c r="A12747" s="12"/>
    </row>
    <row r="12748" spans="1:1" x14ac:dyDescent="0.3">
      <c r="A12748" s="12"/>
    </row>
    <row r="12749" spans="1:1" x14ac:dyDescent="0.3">
      <c r="A12749" s="12"/>
    </row>
    <row r="12750" spans="1:1" x14ac:dyDescent="0.3">
      <c r="A12750" s="12"/>
    </row>
    <row r="12751" spans="1:1" x14ac:dyDescent="0.3">
      <c r="A12751" s="12"/>
    </row>
    <row r="12752" spans="1:1" x14ac:dyDescent="0.3">
      <c r="A12752" s="12"/>
    </row>
    <row r="12753" spans="1:1" x14ac:dyDescent="0.3">
      <c r="A12753" s="12"/>
    </row>
    <row r="12754" spans="1:1" x14ac:dyDescent="0.3">
      <c r="A12754" s="12"/>
    </row>
    <row r="12755" spans="1:1" x14ac:dyDescent="0.3">
      <c r="A12755" s="12"/>
    </row>
    <row r="12756" spans="1:1" x14ac:dyDescent="0.3">
      <c r="A12756" s="12"/>
    </row>
    <row r="12757" spans="1:1" x14ac:dyDescent="0.3">
      <c r="A12757" s="12"/>
    </row>
    <row r="12758" spans="1:1" x14ac:dyDescent="0.3">
      <c r="A12758" s="12"/>
    </row>
    <row r="12759" spans="1:1" x14ac:dyDescent="0.3">
      <c r="A12759" s="12"/>
    </row>
    <row r="12760" spans="1:1" x14ac:dyDescent="0.3">
      <c r="A12760" s="12"/>
    </row>
    <row r="12761" spans="1:1" x14ac:dyDescent="0.3">
      <c r="A12761" s="12"/>
    </row>
    <row r="12762" spans="1:1" x14ac:dyDescent="0.3">
      <c r="A12762" s="12"/>
    </row>
    <row r="12763" spans="1:1" x14ac:dyDescent="0.3">
      <c r="A12763" s="12"/>
    </row>
    <row r="12764" spans="1:1" x14ac:dyDescent="0.3">
      <c r="A12764" s="12"/>
    </row>
    <row r="12765" spans="1:1" x14ac:dyDescent="0.3">
      <c r="A12765" s="12"/>
    </row>
    <row r="12766" spans="1:1" x14ac:dyDescent="0.3">
      <c r="A12766" s="12"/>
    </row>
    <row r="12767" spans="1:1" x14ac:dyDescent="0.3">
      <c r="A12767" s="12"/>
    </row>
    <row r="12768" spans="1:1" x14ac:dyDescent="0.3">
      <c r="A12768" s="12"/>
    </row>
    <row r="12769" spans="1:1" x14ac:dyDescent="0.3">
      <c r="A12769" s="12"/>
    </row>
    <row r="12770" spans="1:1" x14ac:dyDescent="0.3">
      <c r="A12770" s="12"/>
    </row>
    <row r="12771" spans="1:1" x14ac:dyDescent="0.3">
      <c r="A12771" s="12"/>
    </row>
    <row r="12772" spans="1:1" x14ac:dyDescent="0.3">
      <c r="A12772" s="12"/>
    </row>
    <row r="12773" spans="1:1" x14ac:dyDescent="0.3">
      <c r="A12773" s="12"/>
    </row>
    <row r="12774" spans="1:1" x14ac:dyDescent="0.3">
      <c r="A12774" s="12"/>
    </row>
    <row r="12775" spans="1:1" x14ac:dyDescent="0.3">
      <c r="A12775" s="12"/>
    </row>
    <row r="12776" spans="1:1" x14ac:dyDescent="0.3">
      <c r="A12776" s="12"/>
    </row>
    <row r="12777" spans="1:1" x14ac:dyDescent="0.3">
      <c r="A12777" s="12"/>
    </row>
    <row r="12778" spans="1:1" x14ac:dyDescent="0.3">
      <c r="A12778" s="12"/>
    </row>
    <row r="12779" spans="1:1" x14ac:dyDescent="0.3">
      <c r="A12779" s="12"/>
    </row>
    <row r="12780" spans="1:1" x14ac:dyDescent="0.3">
      <c r="A12780" s="12"/>
    </row>
    <row r="12781" spans="1:1" x14ac:dyDescent="0.3">
      <c r="A12781" s="12"/>
    </row>
    <row r="12782" spans="1:1" x14ac:dyDescent="0.3">
      <c r="A12782" s="12"/>
    </row>
    <row r="12783" spans="1:1" x14ac:dyDescent="0.3">
      <c r="A12783" s="12"/>
    </row>
    <row r="12784" spans="1:1" x14ac:dyDescent="0.3">
      <c r="A12784" s="12"/>
    </row>
    <row r="12785" spans="1:1" x14ac:dyDescent="0.3">
      <c r="A12785" s="12"/>
    </row>
    <row r="12786" spans="1:1" x14ac:dyDescent="0.3">
      <c r="A12786" s="12"/>
    </row>
    <row r="12787" spans="1:1" x14ac:dyDescent="0.3">
      <c r="A12787" s="12"/>
    </row>
    <row r="12788" spans="1:1" x14ac:dyDescent="0.3">
      <c r="A12788" s="12"/>
    </row>
    <row r="12789" spans="1:1" x14ac:dyDescent="0.3">
      <c r="A12789" s="12"/>
    </row>
    <row r="12790" spans="1:1" x14ac:dyDescent="0.3">
      <c r="A12790" s="12"/>
    </row>
    <row r="12791" spans="1:1" x14ac:dyDescent="0.3">
      <c r="A12791" s="12"/>
    </row>
    <row r="12792" spans="1:1" x14ac:dyDescent="0.3">
      <c r="A12792" s="12"/>
    </row>
    <row r="12793" spans="1:1" x14ac:dyDescent="0.3">
      <c r="A12793" s="12"/>
    </row>
    <row r="12794" spans="1:1" x14ac:dyDescent="0.3">
      <c r="A12794" s="12"/>
    </row>
    <row r="12795" spans="1:1" x14ac:dyDescent="0.3">
      <c r="A12795" s="12"/>
    </row>
    <row r="12796" spans="1:1" x14ac:dyDescent="0.3">
      <c r="A12796" s="12"/>
    </row>
    <row r="12797" spans="1:1" x14ac:dyDescent="0.3">
      <c r="A12797" s="12"/>
    </row>
    <row r="12798" spans="1:1" x14ac:dyDescent="0.3">
      <c r="A12798" s="12"/>
    </row>
    <row r="12799" spans="1:1" x14ac:dyDescent="0.3">
      <c r="A12799" s="12"/>
    </row>
    <row r="12800" spans="1:1" x14ac:dyDescent="0.3">
      <c r="A12800" s="12"/>
    </row>
    <row r="12801" spans="1:1" x14ac:dyDescent="0.3">
      <c r="A12801" s="12"/>
    </row>
    <row r="12802" spans="1:1" x14ac:dyDescent="0.3">
      <c r="A12802" s="12"/>
    </row>
    <row r="12803" spans="1:1" x14ac:dyDescent="0.3">
      <c r="A12803" s="12"/>
    </row>
    <row r="12804" spans="1:1" x14ac:dyDescent="0.3">
      <c r="A12804" s="12"/>
    </row>
    <row r="12805" spans="1:1" x14ac:dyDescent="0.3">
      <c r="A12805" s="12"/>
    </row>
    <row r="12806" spans="1:1" x14ac:dyDescent="0.3">
      <c r="A12806" s="12"/>
    </row>
    <row r="12807" spans="1:1" x14ac:dyDescent="0.3">
      <c r="A12807" s="12"/>
    </row>
    <row r="12808" spans="1:1" x14ac:dyDescent="0.3">
      <c r="A12808" s="12"/>
    </row>
    <row r="12809" spans="1:1" x14ac:dyDescent="0.3">
      <c r="A12809" s="12"/>
    </row>
    <row r="12810" spans="1:1" x14ac:dyDescent="0.3">
      <c r="A12810" s="12"/>
    </row>
    <row r="12811" spans="1:1" x14ac:dyDescent="0.3">
      <c r="A12811" s="12"/>
    </row>
    <row r="12812" spans="1:1" x14ac:dyDescent="0.3">
      <c r="A12812" s="12"/>
    </row>
    <row r="12813" spans="1:1" x14ac:dyDescent="0.3">
      <c r="A12813" s="12"/>
    </row>
    <row r="12814" spans="1:1" x14ac:dyDescent="0.3">
      <c r="A12814" s="12"/>
    </row>
    <row r="12815" spans="1:1" x14ac:dyDescent="0.3">
      <c r="A12815" s="12"/>
    </row>
    <row r="12816" spans="1:1" x14ac:dyDescent="0.3">
      <c r="A12816" s="12"/>
    </row>
    <row r="12817" spans="1:1" x14ac:dyDescent="0.3">
      <c r="A12817" s="12"/>
    </row>
    <row r="12818" spans="1:1" x14ac:dyDescent="0.3">
      <c r="A12818" s="12"/>
    </row>
    <row r="12819" spans="1:1" x14ac:dyDescent="0.3">
      <c r="A12819" s="12"/>
    </row>
    <row r="12820" spans="1:1" x14ac:dyDescent="0.3">
      <c r="A12820" s="12"/>
    </row>
    <row r="12821" spans="1:1" x14ac:dyDescent="0.3">
      <c r="A12821" s="12"/>
    </row>
    <row r="12822" spans="1:1" x14ac:dyDescent="0.3">
      <c r="A12822" s="12"/>
    </row>
    <row r="12823" spans="1:1" x14ac:dyDescent="0.3">
      <c r="A12823" s="12"/>
    </row>
    <row r="12824" spans="1:1" x14ac:dyDescent="0.3">
      <c r="A12824" s="12"/>
    </row>
    <row r="12825" spans="1:1" x14ac:dyDescent="0.3">
      <c r="A12825" s="12"/>
    </row>
    <row r="12826" spans="1:1" x14ac:dyDescent="0.3">
      <c r="A12826" s="12"/>
    </row>
    <row r="12827" spans="1:1" x14ac:dyDescent="0.3">
      <c r="A12827" s="12"/>
    </row>
    <row r="12828" spans="1:1" x14ac:dyDescent="0.3">
      <c r="A12828" s="12"/>
    </row>
    <row r="12829" spans="1:1" x14ac:dyDescent="0.3">
      <c r="A12829" s="12"/>
    </row>
    <row r="12830" spans="1:1" x14ac:dyDescent="0.3">
      <c r="A12830" s="12"/>
    </row>
    <row r="12831" spans="1:1" x14ac:dyDescent="0.3">
      <c r="A12831" s="12"/>
    </row>
    <row r="12832" spans="1:1" x14ac:dyDescent="0.3">
      <c r="A12832" s="12"/>
    </row>
    <row r="12833" spans="1:1" x14ac:dyDescent="0.3">
      <c r="A12833" s="12"/>
    </row>
    <row r="12834" spans="1:1" x14ac:dyDescent="0.3">
      <c r="A12834" s="12"/>
    </row>
    <row r="12835" spans="1:1" x14ac:dyDescent="0.3">
      <c r="A12835" s="12"/>
    </row>
    <row r="12836" spans="1:1" x14ac:dyDescent="0.3">
      <c r="A12836" s="12"/>
    </row>
    <row r="12837" spans="1:1" x14ac:dyDescent="0.3">
      <c r="A12837" s="12"/>
    </row>
    <row r="12838" spans="1:1" x14ac:dyDescent="0.3">
      <c r="A12838" s="12"/>
    </row>
    <row r="12839" spans="1:1" x14ac:dyDescent="0.3">
      <c r="A12839" s="12"/>
    </row>
    <row r="12840" spans="1:1" x14ac:dyDescent="0.3">
      <c r="A12840" s="12"/>
    </row>
    <row r="12841" spans="1:1" x14ac:dyDescent="0.3">
      <c r="A12841" s="12"/>
    </row>
    <row r="12842" spans="1:1" x14ac:dyDescent="0.3">
      <c r="A12842" s="12"/>
    </row>
    <row r="12843" spans="1:1" x14ac:dyDescent="0.3">
      <c r="A12843" s="12"/>
    </row>
    <row r="12844" spans="1:1" x14ac:dyDescent="0.3">
      <c r="A12844" s="12"/>
    </row>
    <row r="12845" spans="1:1" x14ac:dyDescent="0.3">
      <c r="A12845" s="12"/>
    </row>
    <row r="12846" spans="1:1" x14ac:dyDescent="0.3">
      <c r="A12846" s="12"/>
    </row>
    <row r="12847" spans="1:1" x14ac:dyDescent="0.3">
      <c r="A12847" s="12"/>
    </row>
    <row r="12848" spans="1:1" x14ac:dyDescent="0.3">
      <c r="A12848" s="12"/>
    </row>
    <row r="12849" spans="1:1" x14ac:dyDescent="0.3">
      <c r="A12849" s="12"/>
    </row>
    <row r="12850" spans="1:1" x14ac:dyDescent="0.3">
      <c r="A12850" s="12"/>
    </row>
    <row r="12851" spans="1:1" x14ac:dyDescent="0.3">
      <c r="A12851" s="12"/>
    </row>
    <row r="12852" spans="1:1" x14ac:dyDescent="0.3">
      <c r="A12852" s="12"/>
    </row>
    <row r="12853" spans="1:1" x14ac:dyDescent="0.3">
      <c r="A12853" s="12"/>
    </row>
    <row r="12854" spans="1:1" x14ac:dyDescent="0.3">
      <c r="A12854" s="12"/>
    </row>
    <row r="12855" spans="1:1" x14ac:dyDescent="0.3">
      <c r="A12855" s="12"/>
    </row>
    <row r="12856" spans="1:1" x14ac:dyDescent="0.3">
      <c r="A12856" s="12"/>
    </row>
    <row r="12857" spans="1:1" x14ac:dyDescent="0.3">
      <c r="A12857" s="12"/>
    </row>
    <row r="12858" spans="1:1" x14ac:dyDescent="0.3">
      <c r="A12858" s="12"/>
    </row>
    <row r="12859" spans="1:1" x14ac:dyDescent="0.3">
      <c r="A12859" s="12"/>
    </row>
    <row r="12860" spans="1:1" x14ac:dyDescent="0.3">
      <c r="A12860" s="12"/>
    </row>
    <row r="12861" spans="1:1" x14ac:dyDescent="0.3">
      <c r="A12861" s="12"/>
    </row>
    <row r="12862" spans="1:1" x14ac:dyDescent="0.3">
      <c r="A12862" s="12"/>
    </row>
    <row r="12863" spans="1:1" x14ac:dyDescent="0.3">
      <c r="A12863" s="12"/>
    </row>
    <row r="12864" spans="1:1" x14ac:dyDescent="0.3">
      <c r="A12864" s="12"/>
    </row>
    <row r="12865" spans="1:1" x14ac:dyDescent="0.3">
      <c r="A12865" s="12"/>
    </row>
    <row r="12866" spans="1:1" x14ac:dyDescent="0.3">
      <c r="A12866" s="12"/>
    </row>
    <row r="12867" spans="1:1" x14ac:dyDescent="0.3">
      <c r="A12867" s="12"/>
    </row>
    <row r="12868" spans="1:1" x14ac:dyDescent="0.3">
      <c r="A12868" s="12"/>
    </row>
    <row r="12869" spans="1:1" x14ac:dyDescent="0.3">
      <c r="A12869" s="12"/>
    </row>
    <row r="12870" spans="1:1" x14ac:dyDescent="0.3">
      <c r="A12870" s="12"/>
    </row>
    <row r="12871" spans="1:1" x14ac:dyDescent="0.3">
      <c r="A12871" s="12"/>
    </row>
    <row r="12872" spans="1:1" x14ac:dyDescent="0.3">
      <c r="A12872" s="12"/>
    </row>
    <row r="12873" spans="1:1" x14ac:dyDescent="0.3">
      <c r="A12873" s="12"/>
    </row>
    <row r="12874" spans="1:1" x14ac:dyDescent="0.3">
      <c r="A12874" s="12"/>
    </row>
    <row r="12875" spans="1:1" x14ac:dyDescent="0.3">
      <c r="A12875" s="12"/>
    </row>
    <row r="12876" spans="1:1" x14ac:dyDescent="0.3">
      <c r="A12876" s="12"/>
    </row>
    <row r="12877" spans="1:1" x14ac:dyDescent="0.3">
      <c r="A12877" s="12"/>
    </row>
    <row r="12878" spans="1:1" x14ac:dyDescent="0.3">
      <c r="A12878" s="12"/>
    </row>
    <row r="12879" spans="1:1" x14ac:dyDescent="0.3">
      <c r="A12879" s="12"/>
    </row>
    <row r="12880" spans="1:1" x14ac:dyDescent="0.3">
      <c r="A12880" s="12"/>
    </row>
    <row r="12881" spans="1:1" x14ac:dyDescent="0.3">
      <c r="A12881" s="12"/>
    </row>
    <row r="12882" spans="1:1" x14ac:dyDescent="0.3">
      <c r="A12882" s="12"/>
    </row>
    <row r="12883" spans="1:1" x14ac:dyDescent="0.3">
      <c r="A12883" s="12"/>
    </row>
    <row r="12884" spans="1:1" x14ac:dyDescent="0.3">
      <c r="A12884" s="12"/>
    </row>
    <row r="12885" spans="1:1" x14ac:dyDescent="0.3">
      <c r="A12885" s="12"/>
    </row>
    <row r="12886" spans="1:1" x14ac:dyDescent="0.3">
      <c r="A12886" s="12"/>
    </row>
    <row r="12887" spans="1:1" x14ac:dyDescent="0.3">
      <c r="A12887" s="12"/>
    </row>
    <row r="12888" spans="1:1" x14ac:dyDescent="0.3">
      <c r="A12888" s="12"/>
    </row>
    <row r="12889" spans="1:1" x14ac:dyDescent="0.3">
      <c r="A12889" s="12"/>
    </row>
    <row r="12890" spans="1:1" x14ac:dyDescent="0.3">
      <c r="A12890" s="12"/>
    </row>
    <row r="12891" spans="1:1" x14ac:dyDescent="0.3">
      <c r="A12891" s="12"/>
    </row>
    <row r="12892" spans="1:1" x14ac:dyDescent="0.3">
      <c r="A12892" s="12"/>
    </row>
    <row r="12893" spans="1:1" x14ac:dyDescent="0.3">
      <c r="A12893" s="12"/>
    </row>
    <row r="12894" spans="1:1" x14ac:dyDescent="0.3">
      <c r="A12894" s="12"/>
    </row>
    <row r="12895" spans="1:1" x14ac:dyDescent="0.3">
      <c r="A12895" s="12"/>
    </row>
    <row r="12896" spans="1:1" x14ac:dyDescent="0.3">
      <c r="A12896" s="12"/>
    </row>
    <row r="12897" spans="1:1" x14ac:dyDescent="0.3">
      <c r="A12897" s="12"/>
    </row>
    <row r="12898" spans="1:1" x14ac:dyDescent="0.3">
      <c r="A12898" s="12"/>
    </row>
    <row r="12899" spans="1:1" x14ac:dyDescent="0.3">
      <c r="A12899" s="12"/>
    </row>
    <row r="12900" spans="1:1" x14ac:dyDescent="0.3">
      <c r="A12900" s="12"/>
    </row>
    <row r="12901" spans="1:1" x14ac:dyDescent="0.3">
      <c r="A12901" s="12"/>
    </row>
    <row r="12902" spans="1:1" x14ac:dyDescent="0.3">
      <c r="A12902" s="12"/>
    </row>
    <row r="12903" spans="1:1" x14ac:dyDescent="0.3">
      <c r="A12903" s="12"/>
    </row>
    <row r="12904" spans="1:1" x14ac:dyDescent="0.3">
      <c r="A12904" s="12"/>
    </row>
    <row r="12905" spans="1:1" x14ac:dyDescent="0.3">
      <c r="A12905" s="12"/>
    </row>
    <row r="12906" spans="1:1" x14ac:dyDescent="0.3">
      <c r="A12906" s="12"/>
    </row>
    <row r="12907" spans="1:1" x14ac:dyDescent="0.3">
      <c r="A12907" s="12"/>
    </row>
    <row r="12908" spans="1:1" x14ac:dyDescent="0.3">
      <c r="A12908" s="12"/>
    </row>
    <row r="12909" spans="1:1" x14ac:dyDescent="0.3">
      <c r="A12909" s="12"/>
    </row>
    <row r="12910" spans="1:1" x14ac:dyDescent="0.3">
      <c r="A12910" s="12"/>
    </row>
    <row r="12911" spans="1:1" x14ac:dyDescent="0.3">
      <c r="A12911" s="12"/>
    </row>
    <row r="12912" spans="1:1" x14ac:dyDescent="0.3">
      <c r="A12912" s="12"/>
    </row>
    <row r="12913" spans="1:1" x14ac:dyDescent="0.3">
      <c r="A12913" s="12"/>
    </row>
    <row r="12914" spans="1:1" x14ac:dyDescent="0.3">
      <c r="A12914" s="12"/>
    </row>
    <row r="12915" spans="1:1" x14ac:dyDescent="0.3">
      <c r="A12915" s="12"/>
    </row>
    <row r="12916" spans="1:1" x14ac:dyDescent="0.3">
      <c r="A12916" s="12"/>
    </row>
    <row r="12917" spans="1:1" x14ac:dyDescent="0.3">
      <c r="A12917" s="12"/>
    </row>
    <row r="12918" spans="1:1" x14ac:dyDescent="0.3">
      <c r="A12918" s="12"/>
    </row>
    <row r="12919" spans="1:1" x14ac:dyDescent="0.3">
      <c r="A12919" s="12"/>
    </row>
    <row r="12920" spans="1:1" x14ac:dyDescent="0.3">
      <c r="A12920" s="12"/>
    </row>
    <row r="12921" spans="1:1" x14ac:dyDescent="0.3">
      <c r="A12921" s="12"/>
    </row>
    <row r="12922" spans="1:1" x14ac:dyDescent="0.3">
      <c r="A12922" s="12"/>
    </row>
    <row r="12923" spans="1:1" x14ac:dyDescent="0.3">
      <c r="A12923" s="12"/>
    </row>
    <row r="12924" spans="1:1" x14ac:dyDescent="0.3">
      <c r="A12924" s="12"/>
    </row>
    <row r="12925" spans="1:1" x14ac:dyDescent="0.3">
      <c r="A12925" s="12"/>
    </row>
    <row r="12926" spans="1:1" x14ac:dyDescent="0.3">
      <c r="A12926" s="12"/>
    </row>
    <row r="12927" spans="1:1" x14ac:dyDescent="0.3">
      <c r="A12927" s="12"/>
    </row>
    <row r="12928" spans="1:1" x14ac:dyDescent="0.3">
      <c r="A12928" s="12"/>
    </row>
    <row r="12929" spans="1:1" x14ac:dyDescent="0.3">
      <c r="A12929" s="12"/>
    </row>
    <row r="12930" spans="1:1" x14ac:dyDescent="0.3">
      <c r="A12930" s="12"/>
    </row>
    <row r="12931" spans="1:1" x14ac:dyDescent="0.3">
      <c r="A12931" s="12"/>
    </row>
    <row r="12932" spans="1:1" x14ac:dyDescent="0.3">
      <c r="A12932" s="12"/>
    </row>
    <row r="12933" spans="1:1" x14ac:dyDescent="0.3">
      <c r="A12933" s="12"/>
    </row>
    <row r="12934" spans="1:1" x14ac:dyDescent="0.3">
      <c r="A12934" s="12"/>
    </row>
    <row r="12935" spans="1:1" x14ac:dyDescent="0.3">
      <c r="A12935" s="12"/>
    </row>
    <row r="12936" spans="1:1" x14ac:dyDescent="0.3">
      <c r="A12936" s="12"/>
    </row>
    <row r="12937" spans="1:1" x14ac:dyDescent="0.3">
      <c r="A12937" s="12"/>
    </row>
    <row r="12938" spans="1:1" x14ac:dyDescent="0.3">
      <c r="A12938" s="12"/>
    </row>
    <row r="12939" spans="1:1" x14ac:dyDescent="0.3">
      <c r="A12939" s="12"/>
    </row>
    <row r="12940" spans="1:1" x14ac:dyDescent="0.3">
      <c r="A12940" s="12"/>
    </row>
    <row r="12941" spans="1:1" x14ac:dyDescent="0.3">
      <c r="A12941" s="12"/>
    </row>
    <row r="12942" spans="1:1" x14ac:dyDescent="0.3">
      <c r="A12942" s="12"/>
    </row>
    <row r="12943" spans="1:1" x14ac:dyDescent="0.3">
      <c r="A12943" s="12"/>
    </row>
    <row r="12944" spans="1:1" x14ac:dyDescent="0.3">
      <c r="A12944" s="12"/>
    </row>
    <row r="12945" spans="1:1" x14ac:dyDescent="0.3">
      <c r="A12945" s="12"/>
    </row>
    <row r="12946" spans="1:1" x14ac:dyDescent="0.3">
      <c r="A12946" s="12"/>
    </row>
    <row r="12947" spans="1:1" x14ac:dyDescent="0.3">
      <c r="A12947" s="12"/>
    </row>
    <row r="12948" spans="1:1" x14ac:dyDescent="0.3">
      <c r="A12948" s="12"/>
    </row>
    <row r="12949" spans="1:1" x14ac:dyDescent="0.3">
      <c r="A12949" s="12"/>
    </row>
    <row r="12950" spans="1:1" x14ac:dyDescent="0.3">
      <c r="A12950" s="12"/>
    </row>
    <row r="12951" spans="1:1" x14ac:dyDescent="0.3">
      <c r="A12951" s="12"/>
    </row>
    <row r="12952" spans="1:1" x14ac:dyDescent="0.3">
      <c r="A12952" s="12"/>
    </row>
    <row r="12953" spans="1:1" x14ac:dyDescent="0.3">
      <c r="A12953" s="12"/>
    </row>
    <row r="12954" spans="1:1" x14ac:dyDescent="0.3">
      <c r="A12954" s="12"/>
    </row>
    <row r="12955" spans="1:1" x14ac:dyDescent="0.3">
      <c r="A12955" s="12"/>
    </row>
    <row r="12956" spans="1:1" x14ac:dyDescent="0.3">
      <c r="A12956" s="12"/>
    </row>
    <row r="12957" spans="1:1" x14ac:dyDescent="0.3">
      <c r="A12957" s="12"/>
    </row>
    <row r="12958" spans="1:1" x14ac:dyDescent="0.3">
      <c r="A12958" s="12"/>
    </row>
    <row r="12959" spans="1:1" x14ac:dyDescent="0.3">
      <c r="A12959" s="12"/>
    </row>
    <row r="12960" spans="1:1" x14ac:dyDescent="0.3">
      <c r="A12960" s="12"/>
    </row>
    <row r="12961" spans="1:1" x14ac:dyDescent="0.3">
      <c r="A12961" s="12"/>
    </row>
    <row r="12962" spans="1:1" x14ac:dyDescent="0.3">
      <c r="A12962" s="12"/>
    </row>
    <row r="12963" spans="1:1" x14ac:dyDescent="0.3">
      <c r="A12963" s="12"/>
    </row>
    <row r="12964" spans="1:1" x14ac:dyDescent="0.3">
      <c r="A12964" s="12"/>
    </row>
    <row r="12965" spans="1:1" x14ac:dyDescent="0.3">
      <c r="A12965" s="12"/>
    </row>
    <row r="12966" spans="1:1" x14ac:dyDescent="0.3">
      <c r="A12966" s="12"/>
    </row>
    <row r="12967" spans="1:1" x14ac:dyDescent="0.3">
      <c r="A12967" s="12"/>
    </row>
    <row r="12968" spans="1:1" x14ac:dyDescent="0.3">
      <c r="A12968" s="12"/>
    </row>
    <row r="12969" spans="1:1" x14ac:dyDescent="0.3">
      <c r="A12969" s="12"/>
    </row>
    <row r="12970" spans="1:1" x14ac:dyDescent="0.3">
      <c r="A12970" s="12"/>
    </row>
    <row r="12971" spans="1:1" x14ac:dyDescent="0.3">
      <c r="A12971" s="12"/>
    </row>
    <row r="12972" spans="1:1" x14ac:dyDescent="0.3">
      <c r="A12972" s="12"/>
    </row>
    <row r="12973" spans="1:1" x14ac:dyDescent="0.3">
      <c r="A12973" s="12"/>
    </row>
    <row r="12974" spans="1:1" x14ac:dyDescent="0.3">
      <c r="A12974" s="12"/>
    </row>
    <row r="12975" spans="1:1" x14ac:dyDescent="0.3">
      <c r="A12975" s="12"/>
    </row>
    <row r="12976" spans="1:1" x14ac:dyDescent="0.3">
      <c r="A12976" s="12"/>
    </row>
    <row r="12977" spans="1:1" x14ac:dyDescent="0.3">
      <c r="A12977" s="12"/>
    </row>
    <row r="12978" spans="1:1" x14ac:dyDescent="0.3">
      <c r="A12978" s="12"/>
    </row>
    <row r="12979" spans="1:1" x14ac:dyDescent="0.3">
      <c r="A12979" s="12"/>
    </row>
    <row r="12980" spans="1:1" x14ac:dyDescent="0.3">
      <c r="A12980" s="12"/>
    </row>
    <row r="12981" spans="1:1" x14ac:dyDescent="0.3">
      <c r="A12981" s="12"/>
    </row>
    <row r="12982" spans="1:1" x14ac:dyDescent="0.3">
      <c r="A12982" s="12"/>
    </row>
    <row r="12983" spans="1:1" x14ac:dyDescent="0.3">
      <c r="A12983" s="12"/>
    </row>
    <row r="12984" spans="1:1" x14ac:dyDescent="0.3">
      <c r="A12984" s="12"/>
    </row>
    <row r="12985" spans="1:1" x14ac:dyDescent="0.3">
      <c r="A12985" s="12"/>
    </row>
    <row r="12986" spans="1:1" x14ac:dyDescent="0.3">
      <c r="A12986" s="12"/>
    </row>
    <row r="12987" spans="1:1" x14ac:dyDescent="0.3">
      <c r="A12987" s="12"/>
    </row>
    <row r="12988" spans="1:1" x14ac:dyDescent="0.3">
      <c r="A12988" s="12"/>
    </row>
    <row r="12989" spans="1:1" x14ac:dyDescent="0.3">
      <c r="A12989" s="12"/>
    </row>
    <row r="12990" spans="1:1" x14ac:dyDescent="0.3">
      <c r="A12990" s="12"/>
    </row>
    <row r="12991" spans="1:1" x14ac:dyDescent="0.3">
      <c r="A12991" s="12"/>
    </row>
    <row r="12992" spans="1:1" x14ac:dyDescent="0.3">
      <c r="A12992" s="12"/>
    </row>
    <row r="12993" spans="1:1" x14ac:dyDescent="0.3">
      <c r="A12993" s="12"/>
    </row>
    <row r="12994" spans="1:1" x14ac:dyDescent="0.3">
      <c r="A12994" s="12"/>
    </row>
    <row r="12995" spans="1:1" x14ac:dyDescent="0.3">
      <c r="A12995" s="12"/>
    </row>
    <row r="12996" spans="1:1" x14ac:dyDescent="0.3">
      <c r="A12996" s="12"/>
    </row>
    <row r="12997" spans="1:1" x14ac:dyDescent="0.3">
      <c r="A12997" s="12"/>
    </row>
    <row r="12998" spans="1:1" x14ac:dyDescent="0.3">
      <c r="A12998" s="12"/>
    </row>
    <row r="12999" spans="1:1" x14ac:dyDescent="0.3">
      <c r="A12999" s="12"/>
    </row>
    <row r="13000" spans="1:1" x14ac:dyDescent="0.3">
      <c r="A13000" s="12"/>
    </row>
    <row r="13001" spans="1:1" x14ac:dyDescent="0.3">
      <c r="A13001" s="12"/>
    </row>
    <row r="13002" spans="1:1" x14ac:dyDescent="0.3">
      <c r="A13002" s="12"/>
    </row>
    <row r="13003" spans="1:1" x14ac:dyDescent="0.3">
      <c r="A13003" s="12"/>
    </row>
    <row r="13004" spans="1:1" x14ac:dyDescent="0.3">
      <c r="A13004" s="12"/>
    </row>
    <row r="13005" spans="1:1" x14ac:dyDescent="0.3">
      <c r="A13005" s="12"/>
    </row>
    <row r="13006" spans="1:1" x14ac:dyDescent="0.3">
      <c r="A13006" s="12"/>
    </row>
    <row r="13007" spans="1:1" x14ac:dyDescent="0.3">
      <c r="A13007" s="12"/>
    </row>
    <row r="13008" spans="1:1" x14ac:dyDescent="0.3">
      <c r="A13008" s="12"/>
    </row>
    <row r="13009" spans="1:1" x14ac:dyDescent="0.3">
      <c r="A13009" s="12"/>
    </row>
    <row r="13010" spans="1:1" x14ac:dyDescent="0.3">
      <c r="A13010" s="12"/>
    </row>
    <row r="13011" spans="1:1" x14ac:dyDescent="0.3">
      <c r="A13011" s="12"/>
    </row>
    <row r="13012" spans="1:1" x14ac:dyDescent="0.3">
      <c r="A13012" s="12"/>
    </row>
    <row r="13013" spans="1:1" x14ac:dyDescent="0.3">
      <c r="A13013" s="12"/>
    </row>
    <row r="13014" spans="1:1" x14ac:dyDescent="0.3">
      <c r="A13014" s="12"/>
    </row>
    <row r="13015" spans="1:1" x14ac:dyDescent="0.3">
      <c r="A13015" s="12"/>
    </row>
    <row r="13016" spans="1:1" x14ac:dyDescent="0.3">
      <c r="A13016" s="12"/>
    </row>
    <row r="13017" spans="1:1" x14ac:dyDescent="0.3">
      <c r="A13017" s="12"/>
    </row>
    <row r="13018" spans="1:1" x14ac:dyDescent="0.3">
      <c r="A13018" s="12"/>
    </row>
    <row r="13019" spans="1:1" x14ac:dyDescent="0.3">
      <c r="A13019" s="12"/>
    </row>
    <row r="13020" spans="1:1" x14ac:dyDescent="0.3">
      <c r="A13020" s="12"/>
    </row>
    <row r="13021" spans="1:1" x14ac:dyDescent="0.3">
      <c r="A13021" s="12"/>
    </row>
    <row r="13022" spans="1:1" x14ac:dyDescent="0.3">
      <c r="A13022" s="12"/>
    </row>
    <row r="13023" spans="1:1" x14ac:dyDescent="0.3">
      <c r="A13023" s="12"/>
    </row>
    <row r="13024" spans="1:1" x14ac:dyDescent="0.3">
      <c r="A13024" s="12"/>
    </row>
    <row r="13025" spans="1:1" x14ac:dyDescent="0.3">
      <c r="A13025" s="12"/>
    </row>
    <row r="13026" spans="1:1" x14ac:dyDescent="0.3">
      <c r="A13026" s="12"/>
    </row>
    <row r="13027" spans="1:1" x14ac:dyDescent="0.3">
      <c r="A13027" s="12"/>
    </row>
    <row r="13028" spans="1:1" x14ac:dyDescent="0.3">
      <c r="A13028" s="12"/>
    </row>
    <row r="13029" spans="1:1" x14ac:dyDescent="0.3">
      <c r="A13029" s="12"/>
    </row>
    <row r="13030" spans="1:1" x14ac:dyDescent="0.3">
      <c r="A13030" s="12"/>
    </row>
    <row r="13031" spans="1:1" x14ac:dyDescent="0.3">
      <c r="A13031" s="12"/>
    </row>
    <row r="13032" spans="1:1" x14ac:dyDescent="0.3">
      <c r="A13032" s="12"/>
    </row>
    <row r="13033" spans="1:1" x14ac:dyDescent="0.3">
      <c r="A13033" s="12"/>
    </row>
    <row r="13034" spans="1:1" x14ac:dyDescent="0.3">
      <c r="A13034" s="12"/>
    </row>
    <row r="13035" spans="1:1" x14ac:dyDescent="0.3">
      <c r="A13035" s="12"/>
    </row>
    <row r="13036" spans="1:1" x14ac:dyDescent="0.3">
      <c r="A13036" s="12"/>
    </row>
    <row r="13037" spans="1:1" x14ac:dyDescent="0.3">
      <c r="A13037" s="12"/>
    </row>
    <row r="13038" spans="1:1" x14ac:dyDescent="0.3">
      <c r="A13038" s="12"/>
    </row>
    <row r="13039" spans="1:1" x14ac:dyDescent="0.3">
      <c r="A13039" s="12"/>
    </row>
    <row r="13040" spans="1:1" x14ac:dyDescent="0.3">
      <c r="A13040" s="12"/>
    </row>
    <row r="13041" spans="1:1" x14ac:dyDescent="0.3">
      <c r="A13041" s="12"/>
    </row>
    <row r="13042" spans="1:1" x14ac:dyDescent="0.3">
      <c r="A13042" s="12"/>
    </row>
    <row r="13043" spans="1:1" x14ac:dyDescent="0.3">
      <c r="A13043" s="12"/>
    </row>
    <row r="13044" spans="1:1" x14ac:dyDescent="0.3">
      <c r="A13044" s="12"/>
    </row>
    <row r="13045" spans="1:1" x14ac:dyDescent="0.3">
      <c r="A13045" s="12"/>
    </row>
    <row r="13046" spans="1:1" x14ac:dyDescent="0.3">
      <c r="A13046" s="12"/>
    </row>
    <row r="13047" spans="1:1" x14ac:dyDescent="0.3">
      <c r="A13047" s="12"/>
    </row>
    <row r="13048" spans="1:1" x14ac:dyDescent="0.3">
      <c r="A13048" s="12"/>
    </row>
    <row r="13049" spans="1:1" x14ac:dyDescent="0.3">
      <c r="A13049" s="12"/>
    </row>
    <row r="13050" spans="1:1" x14ac:dyDescent="0.3">
      <c r="A13050" s="12"/>
    </row>
    <row r="13051" spans="1:1" x14ac:dyDescent="0.3">
      <c r="A13051" s="12"/>
    </row>
    <row r="13052" spans="1:1" x14ac:dyDescent="0.3">
      <c r="A13052" s="12"/>
    </row>
    <row r="13053" spans="1:1" x14ac:dyDescent="0.3">
      <c r="A13053" s="12"/>
    </row>
    <row r="13054" spans="1:1" x14ac:dyDescent="0.3">
      <c r="A13054" s="12"/>
    </row>
    <row r="13055" spans="1:1" x14ac:dyDescent="0.3">
      <c r="A13055" s="12"/>
    </row>
    <row r="13056" spans="1:1" x14ac:dyDescent="0.3">
      <c r="A13056" s="12"/>
    </row>
    <row r="13057" spans="1:1" x14ac:dyDescent="0.3">
      <c r="A13057" s="12"/>
    </row>
    <row r="13058" spans="1:1" x14ac:dyDescent="0.3">
      <c r="A13058" s="12"/>
    </row>
    <row r="13059" spans="1:1" x14ac:dyDescent="0.3">
      <c r="A13059" s="12"/>
    </row>
    <row r="13060" spans="1:1" x14ac:dyDescent="0.3">
      <c r="A13060" s="12"/>
    </row>
    <row r="13061" spans="1:1" x14ac:dyDescent="0.3">
      <c r="A13061" s="12"/>
    </row>
    <row r="13062" spans="1:1" x14ac:dyDescent="0.3">
      <c r="A13062" s="12"/>
    </row>
    <row r="13063" spans="1:1" x14ac:dyDescent="0.3">
      <c r="A13063" s="12"/>
    </row>
    <row r="13064" spans="1:1" x14ac:dyDescent="0.3">
      <c r="A13064" s="12"/>
    </row>
    <row r="13065" spans="1:1" x14ac:dyDescent="0.3">
      <c r="A13065" s="12"/>
    </row>
    <row r="13066" spans="1:1" x14ac:dyDescent="0.3">
      <c r="A13066" s="12"/>
    </row>
    <row r="13067" spans="1:1" x14ac:dyDescent="0.3">
      <c r="A13067" s="12"/>
    </row>
    <row r="13068" spans="1:1" x14ac:dyDescent="0.3">
      <c r="A13068" s="12"/>
    </row>
    <row r="13069" spans="1:1" x14ac:dyDescent="0.3">
      <c r="A13069" s="12"/>
    </row>
    <row r="13070" spans="1:1" x14ac:dyDescent="0.3">
      <c r="A13070" s="12"/>
    </row>
    <row r="13071" spans="1:1" x14ac:dyDescent="0.3">
      <c r="A13071" s="12"/>
    </row>
    <row r="13072" spans="1:1" x14ac:dyDescent="0.3">
      <c r="A13072" s="12"/>
    </row>
    <row r="13073" spans="1:1" x14ac:dyDescent="0.3">
      <c r="A13073" s="12"/>
    </row>
    <row r="13074" spans="1:1" x14ac:dyDescent="0.3">
      <c r="A13074" s="12"/>
    </row>
    <row r="13075" spans="1:1" x14ac:dyDescent="0.3">
      <c r="A13075" s="12"/>
    </row>
    <row r="13076" spans="1:1" x14ac:dyDescent="0.3">
      <c r="A13076" s="12"/>
    </row>
    <row r="13077" spans="1:1" x14ac:dyDescent="0.3">
      <c r="A13077" s="12"/>
    </row>
    <row r="13078" spans="1:1" x14ac:dyDescent="0.3">
      <c r="A13078" s="12"/>
    </row>
    <row r="13079" spans="1:1" x14ac:dyDescent="0.3">
      <c r="A13079" s="12"/>
    </row>
    <row r="13080" spans="1:1" x14ac:dyDescent="0.3">
      <c r="A13080" s="12"/>
    </row>
    <row r="13081" spans="1:1" x14ac:dyDescent="0.3">
      <c r="A13081" s="12"/>
    </row>
    <row r="13082" spans="1:1" x14ac:dyDescent="0.3">
      <c r="A13082" s="12"/>
    </row>
    <row r="13083" spans="1:1" x14ac:dyDescent="0.3">
      <c r="A13083" s="12"/>
    </row>
    <row r="13084" spans="1:1" x14ac:dyDescent="0.3">
      <c r="A13084" s="12"/>
    </row>
    <row r="13085" spans="1:1" x14ac:dyDescent="0.3">
      <c r="A13085" s="12"/>
    </row>
    <row r="13086" spans="1:1" x14ac:dyDescent="0.3">
      <c r="A13086" s="12"/>
    </row>
    <row r="13087" spans="1:1" x14ac:dyDescent="0.3">
      <c r="A13087" s="12"/>
    </row>
    <row r="13088" spans="1:1" x14ac:dyDescent="0.3">
      <c r="A13088" s="12"/>
    </row>
    <row r="13089" spans="1:1" x14ac:dyDescent="0.3">
      <c r="A13089" s="12"/>
    </row>
    <row r="13090" spans="1:1" x14ac:dyDescent="0.3">
      <c r="A13090" s="12"/>
    </row>
    <row r="13091" spans="1:1" x14ac:dyDescent="0.3">
      <c r="A13091" s="12"/>
    </row>
    <row r="13092" spans="1:1" x14ac:dyDescent="0.3">
      <c r="A13092" s="12"/>
    </row>
    <row r="13093" spans="1:1" x14ac:dyDescent="0.3">
      <c r="A13093" s="12"/>
    </row>
    <row r="13094" spans="1:1" x14ac:dyDescent="0.3">
      <c r="A13094" s="12"/>
    </row>
    <row r="13095" spans="1:1" x14ac:dyDescent="0.3">
      <c r="A13095" s="12"/>
    </row>
    <row r="13096" spans="1:1" x14ac:dyDescent="0.3">
      <c r="A13096" s="12"/>
    </row>
    <row r="13097" spans="1:1" x14ac:dyDescent="0.3">
      <c r="A13097" s="12"/>
    </row>
    <row r="13098" spans="1:1" x14ac:dyDescent="0.3">
      <c r="A13098" s="12"/>
    </row>
    <row r="13099" spans="1:1" x14ac:dyDescent="0.3">
      <c r="A13099" s="12"/>
    </row>
    <row r="13100" spans="1:1" x14ac:dyDescent="0.3">
      <c r="A13100" s="12"/>
    </row>
    <row r="13101" spans="1:1" x14ac:dyDescent="0.3">
      <c r="A13101" s="12"/>
    </row>
    <row r="13102" spans="1:1" x14ac:dyDescent="0.3">
      <c r="A13102" s="12"/>
    </row>
    <row r="13103" spans="1:1" x14ac:dyDescent="0.3">
      <c r="A13103" s="12"/>
    </row>
    <row r="13104" spans="1:1" x14ac:dyDescent="0.3">
      <c r="A13104" s="12"/>
    </row>
    <row r="13105" spans="1:1" x14ac:dyDescent="0.3">
      <c r="A13105" s="12"/>
    </row>
    <row r="13106" spans="1:1" x14ac:dyDescent="0.3">
      <c r="A13106" s="12"/>
    </row>
    <row r="13107" spans="1:1" x14ac:dyDescent="0.3">
      <c r="A13107" s="12"/>
    </row>
    <row r="13108" spans="1:1" x14ac:dyDescent="0.3">
      <c r="A13108" s="12"/>
    </row>
    <row r="13109" spans="1:1" x14ac:dyDescent="0.3">
      <c r="A13109" s="12"/>
    </row>
    <row r="13110" spans="1:1" x14ac:dyDescent="0.3">
      <c r="A13110" s="12"/>
    </row>
    <row r="13111" spans="1:1" x14ac:dyDescent="0.3">
      <c r="A13111" s="12"/>
    </row>
    <row r="13112" spans="1:1" x14ac:dyDescent="0.3">
      <c r="A13112" s="12"/>
    </row>
    <row r="13113" spans="1:1" x14ac:dyDescent="0.3">
      <c r="A13113" s="12"/>
    </row>
    <row r="13114" spans="1:1" x14ac:dyDescent="0.3">
      <c r="A13114" s="12"/>
    </row>
    <row r="13115" spans="1:1" x14ac:dyDescent="0.3">
      <c r="A13115" s="12"/>
    </row>
    <row r="13116" spans="1:1" x14ac:dyDescent="0.3">
      <c r="A13116" s="12"/>
    </row>
    <row r="13117" spans="1:1" x14ac:dyDescent="0.3">
      <c r="A13117" s="12"/>
    </row>
    <row r="13118" spans="1:1" x14ac:dyDescent="0.3">
      <c r="A13118" s="12"/>
    </row>
    <row r="13119" spans="1:1" x14ac:dyDescent="0.3">
      <c r="A13119" s="12"/>
    </row>
    <row r="13120" spans="1:1" x14ac:dyDescent="0.3">
      <c r="A13120" s="12"/>
    </row>
    <row r="13121" spans="1:1" x14ac:dyDescent="0.3">
      <c r="A13121" s="12"/>
    </row>
    <row r="13122" spans="1:1" x14ac:dyDescent="0.3">
      <c r="A13122" s="12"/>
    </row>
    <row r="13123" spans="1:1" x14ac:dyDescent="0.3">
      <c r="A13123" s="12"/>
    </row>
    <row r="13124" spans="1:1" x14ac:dyDescent="0.3">
      <c r="A13124" s="12"/>
    </row>
    <row r="13125" spans="1:1" x14ac:dyDescent="0.3">
      <c r="A13125" s="12"/>
    </row>
    <row r="13126" spans="1:1" x14ac:dyDescent="0.3">
      <c r="A13126" s="12"/>
    </row>
    <row r="13127" spans="1:1" x14ac:dyDescent="0.3">
      <c r="A13127" s="12"/>
    </row>
    <row r="13128" spans="1:1" x14ac:dyDescent="0.3">
      <c r="A13128" s="12"/>
    </row>
    <row r="13129" spans="1:1" x14ac:dyDescent="0.3">
      <c r="A13129" s="12"/>
    </row>
    <row r="13130" spans="1:1" x14ac:dyDescent="0.3">
      <c r="A13130" s="12"/>
    </row>
    <row r="13131" spans="1:1" x14ac:dyDescent="0.3">
      <c r="A13131" s="12"/>
    </row>
    <row r="13132" spans="1:1" x14ac:dyDescent="0.3">
      <c r="A13132" s="12"/>
    </row>
    <row r="13133" spans="1:1" x14ac:dyDescent="0.3">
      <c r="A13133" s="12"/>
    </row>
    <row r="13134" spans="1:1" x14ac:dyDescent="0.3">
      <c r="A13134" s="12"/>
    </row>
    <row r="13135" spans="1:1" x14ac:dyDescent="0.3">
      <c r="A13135" s="12"/>
    </row>
    <row r="13136" spans="1:1" x14ac:dyDescent="0.3">
      <c r="A13136" s="12"/>
    </row>
    <row r="13137" spans="1:1" x14ac:dyDescent="0.3">
      <c r="A13137" s="12"/>
    </row>
    <row r="13138" spans="1:1" x14ac:dyDescent="0.3">
      <c r="A13138" s="12"/>
    </row>
    <row r="13139" spans="1:1" x14ac:dyDescent="0.3">
      <c r="A13139" s="12"/>
    </row>
    <row r="13140" spans="1:1" x14ac:dyDescent="0.3">
      <c r="A13140" s="12"/>
    </row>
    <row r="13141" spans="1:1" x14ac:dyDescent="0.3">
      <c r="A13141" s="12"/>
    </row>
    <row r="13142" spans="1:1" x14ac:dyDescent="0.3">
      <c r="A13142" s="12"/>
    </row>
    <row r="13143" spans="1:1" x14ac:dyDescent="0.3">
      <c r="A13143" s="12"/>
    </row>
    <row r="13144" spans="1:1" x14ac:dyDescent="0.3">
      <c r="A13144" s="12"/>
    </row>
    <row r="13145" spans="1:1" x14ac:dyDescent="0.3">
      <c r="A13145" s="12"/>
    </row>
    <row r="13146" spans="1:1" x14ac:dyDescent="0.3">
      <c r="A13146" s="12"/>
    </row>
    <row r="13147" spans="1:1" x14ac:dyDescent="0.3">
      <c r="A13147" s="12"/>
    </row>
    <row r="13148" spans="1:1" x14ac:dyDescent="0.3">
      <c r="A13148" s="12"/>
    </row>
    <row r="13149" spans="1:1" x14ac:dyDescent="0.3">
      <c r="A13149" s="12"/>
    </row>
    <row r="13150" spans="1:1" x14ac:dyDescent="0.3">
      <c r="A13150" s="12"/>
    </row>
    <row r="13151" spans="1:1" x14ac:dyDescent="0.3">
      <c r="A13151" s="12"/>
    </row>
    <row r="13152" spans="1:1" x14ac:dyDescent="0.3">
      <c r="A13152" s="12"/>
    </row>
    <row r="13153" spans="1:1" x14ac:dyDescent="0.3">
      <c r="A13153" s="12"/>
    </row>
    <row r="13154" spans="1:1" x14ac:dyDescent="0.3">
      <c r="A13154" s="12"/>
    </row>
    <row r="13155" spans="1:1" x14ac:dyDescent="0.3">
      <c r="A13155" s="12"/>
    </row>
    <row r="13156" spans="1:1" x14ac:dyDescent="0.3">
      <c r="A13156" s="12"/>
    </row>
    <row r="13157" spans="1:1" x14ac:dyDescent="0.3">
      <c r="A13157" s="12"/>
    </row>
    <row r="13158" spans="1:1" x14ac:dyDescent="0.3">
      <c r="A13158" s="12"/>
    </row>
    <row r="13159" spans="1:1" x14ac:dyDescent="0.3">
      <c r="A13159" s="12"/>
    </row>
    <row r="13160" spans="1:1" x14ac:dyDescent="0.3">
      <c r="A13160" s="12"/>
    </row>
    <row r="13161" spans="1:1" x14ac:dyDescent="0.3">
      <c r="A13161" s="12"/>
    </row>
    <row r="13162" spans="1:1" x14ac:dyDescent="0.3">
      <c r="A13162" s="12"/>
    </row>
    <row r="13163" spans="1:1" x14ac:dyDescent="0.3">
      <c r="A13163" s="12"/>
    </row>
    <row r="13164" spans="1:1" x14ac:dyDescent="0.3">
      <c r="A13164" s="12"/>
    </row>
    <row r="13165" spans="1:1" x14ac:dyDescent="0.3">
      <c r="A13165" s="12"/>
    </row>
    <row r="13166" spans="1:1" x14ac:dyDescent="0.3">
      <c r="A13166" s="12"/>
    </row>
    <row r="13167" spans="1:1" x14ac:dyDescent="0.3">
      <c r="A13167" s="12"/>
    </row>
    <row r="13168" spans="1:1" x14ac:dyDescent="0.3">
      <c r="A13168" s="12"/>
    </row>
    <row r="13169" spans="1:1" x14ac:dyDescent="0.3">
      <c r="A13169" s="12"/>
    </row>
    <row r="13170" spans="1:1" x14ac:dyDescent="0.3">
      <c r="A13170" s="12"/>
    </row>
    <row r="13171" spans="1:1" x14ac:dyDescent="0.3">
      <c r="A13171" s="12"/>
    </row>
    <row r="13172" spans="1:1" x14ac:dyDescent="0.3">
      <c r="A13172" s="12"/>
    </row>
    <row r="13173" spans="1:1" x14ac:dyDescent="0.3">
      <c r="A13173" s="12"/>
    </row>
    <row r="13174" spans="1:1" x14ac:dyDescent="0.3">
      <c r="A13174" s="12"/>
    </row>
    <row r="13175" spans="1:1" x14ac:dyDescent="0.3">
      <c r="A13175" s="12"/>
    </row>
    <row r="13176" spans="1:1" x14ac:dyDescent="0.3">
      <c r="A13176" s="12"/>
    </row>
    <row r="13177" spans="1:1" x14ac:dyDescent="0.3">
      <c r="A13177" s="12"/>
    </row>
    <row r="13178" spans="1:1" x14ac:dyDescent="0.3">
      <c r="A13178" s="12"/>
    </row>
    <row r="13179" spans="1:1" x14ac:dyDescent="0.3">
      <c r="A13179" s="12"/>
    </row>
    <row r="13180" spans="1:1" x14ac:dyDescent="0.3">
      <c r="A13180" s="12"/>
    </row>
    <row r="13181" spans="1:1" x14ac:dyDescent="0.3">
      <c r="A13181" s="12"/>
    </row>
    <row r="13182" spans="1:1" x14ac:dyDescent="0.3">
      <c r="A13182" s="12"/>
    </row>
    <row r="13183" spans="1:1" x14ac:dyDescent="0.3">
      <c r="A13183" s="12"/>
    </row>
    <row r="13184" spans="1:1" x14ac:dyDescent="0.3">
      <c r="A13184" s="12"/>
    </row>
    <row r="13185" spans="1:1" x14ac:dyDescent="0.3">
      <c r="A13185" s="12"/>
    </row>
    <row r="13186" spans="1:1" x14ac:dyDescent="0.3">
      <c r="A13186" s="12"/>
    </row>
    <row r="13187" spans="1:1" x14ac:dyDescent="0.3">
      <c r="A13187" s="12"/>
    </row>
    <row r="13188" spans="1:1" x14ac:dyDescent="0.3">
      <c r="A13188" s="12"/>
    </row>
    <row r="13189" spans="1:1" x14ac:dyDescent="0.3">
      <c r="A13189" s="12"/>
    </row>
    <row r="13190" spans="1:1" x14ac:dyDescent="0.3">
      <c r="A13190" s="12"/>
    </row>
    <row r="13191" spans="1:1" x14ac:dyDescent="0.3">
      <c r="A13191" s="12"/>
    </row>
    <row r="13192" spans="1:1" x14ac:dyDescent="0.3">
      <c r="A13192" s="12"/>
    </row>
    <row r="13193" spans="1:1" x14ac:dyDescent="0.3">
      <c r="A13193" s="12"/>
    </row>
    <row r="13194" spans="1:1" x14ac:dyDescent="0.3">
      <c r="A13194" s="12"/>
    </row>
    <row r="13195" spans="1:1" x14ac:dyDescent="0.3">
      <c r="A13195" s="12"/>
    </row>
    <row r="13196" spans="1:1" x14ac:dyDescent="0.3">
      <c r="A13196" s="12"/>
    </row>
    <row r="13197" spans="1:1" x14ac:dyDescent="0.3">
      <c r="A13197" s="12"/>
    </row>
    <row r="13198" spans="1:1" x14ac:dyDescent="0.3">
      <c r="A13198" s="12"/>
    </row>
    <row r="13199" spans="1:1" x14ac:dyDescent="0.3">
      <c r="A13199" s="12"/>
    </row>
    <row r="13200" spans="1:1" x14ac:dyDescent="0.3">
      <c r="A13200" s="12"/>
    </row>
    <row r="13201" spans="1:1" x14ac:dyDescent="0.3">
      <c r="A13201" s="12"/>
    </row>
    <row r="13202" spans="1:1" x14ac:dyDescent="0.3">
      <c r="A13202" s="12"/>
    </row>
    <row r="13203" spans="1:1" x14ac:dyDescent="0.3">
      <c r="A13203" s="12"/>
    </row>
    <row r="13204" spans="1:1" x14ac:dyDescent="0.3">
      <c r="A13204" s="12"/>
    </row>
    <row r="13205" spans="1:1" x14ac:dyDescent="0.3">
      <c r="A13205" s="12"/>
    </row>
    <row r="13206" spans="1:1" x14ac:dyDescent="0.3">
      <c r="A13206" s="12"/>
    </row>
    <row r="13207" spans="1:1" x14ac:dyDescent="0.3">
      <c r="A13207" s="12"/>
    </row>
    <row r="13208" spans="1:1" x14ac:dyDescent="0.3">
      <c r="A13208" s="12"/>
    </row>
    <row r="13209" spans="1:1" x14ac:dyDescent="0.3">
      <c r="A13209" s="12"/>
    </row>
    <row r="13210" spans="1:1" x14ac:dyDescent="0.3">
      <c r="A13210" s="12"/>
    </row>
    <row r="13211" spans="1:1" x14ac:dyDescent="0.3">
      <c r="A13211" s="12"/>
    </row>
    <row r="13212" spans="1:1" x14ac:dyDescent="0.3">
      <c r="A13212" s="12"/>
    </row>
    <row r="13213" spans="1:1" x14ac:dyDescent="0.3">
      <c r="A13213" s="12"/>
    </row>
    <row r="13214" spans="1:1" x14ac:dyDescent="0.3">
      <c r="A13214" s="12"/>
    </row>
    <row r="13215" spans="1:1" x14ac:dyDescent="0.3">
      <c r="A13215" s="12"/>
    </row>
    <row r="13216" spans="1:1" x14ac:dyDescent="0.3">
      <c r="A13216" s="12"/>
    </row>
    <row r="13217" spans="1:1" x14ac:dyDescent="0.3">
      <c r="A13217" s="12"/>
    </row>
    <row r="13218" spans="1:1" x14ac:dyDescent="0.3">
      <c r="A13218" s="12"/>
    </row>
    <row r="13219" spans="1:1" x14ac:dyDescent="0.3">
      <c r="A13219" s="12"/>
    </row>
    <row r="13220" spans="1:1" x14ac:dyDescent="0.3">
      <c r="A13220" s="12"/>
    </row>
    <row r="13221" spans="1:1" x14ac:dyDescent="0.3">
      <c r="A13221" s="12"/>
    </row>
    <row r="13222" spans="1:1" x14ac:dyDescent="0.3">
      <c r="A13222" s="12"/>
    </row>
    <row r="13223" spans="1:1" x14ac:dyDescent="0.3">
      <c r="A13223" s="12"/>
    </row>
    <row r="13224" spans="1:1" x14ac:dyDescent="0.3">
      <c r="A13224" s="12"/>
    </row>
    <row r="13225" spans="1:1" x14ac:dyDescent="0.3">
      <c r="A13225" s="12"/>
    </row>
    <row r="13226" spans="1:1" x14ac:dyDescent="0.3">
      <c r="A13226" s="12"/>
    </row>
    <row r="13227" spans="1:1" x14ac:dyDescent="0.3">
      <c r="A13227" s="12"/>
    </row>
    <row r="13228" spans="1:1" x14ac:dyDescent="0.3">
      <c r="A13228" s="12"/>
    </row>
    <row r="13229" spans="1:1" x14ac:dyDescent="0.3">
      <c r="A13229" s="12"/>
    </row>
    <row r="13230" spans="1:1" x14ac:dyDescent="0.3">
      <c r="A13230" s="12"/>
    </row>
    <row r="13231" spans="1:1" x14ac:dyDescent="0.3">
      <c r="A13231" s="12"/>
    </row>
    <row r="13232" spans="1:1" x14ac:dyDescent="0.3">
      <c r="A13232" s="12"/>
    </row>
    <row r="13233" spans="1:1" x14ac:dyDescent="0.3">
      <c r="A13233" s="12"/>
    </row>
    <row r="13234" spans="1:1" x14ac:dyDescent="0.3">
      <c r="A13234" s="12"/>
    </row>
    <row r="13235" spans="1:1" x14ac:dyDescent="0.3">
      <c r="A13235" s="12"/>
    </row>
    <row r="13236" spans="1:1" x14ac:dyDescent="0.3">
      <c r="A13236" s="12"/>
    </row>
    <row r="13237" spans="1:1" x14ac:dyDescent="0.3">
      <c r="A13237" s="12"/>
    </row>
    <row r="13238" spans="1:1" x14ac:dyDescent="0.3">
      <c r="A13238" s="12"/>
    </row>
    <row r="13239" spans="1:1" x14ac:dyDescent="0.3">
      <c r="A13239" s="12"/>
    </row>
    <row r="13240" spans="1:1" x14ac:dyDescent="0.3">
      <c r="A13240" s="12"/>
    </row>
    <row r="13241" spans="1:1" x14ac:dyDescent="0.3">
      <c r="A13241" s="12"/>
    </row>
    <row r="13242" spans="1:1" x14ac:dyDescent="0.3">
      <c r="A13242" s="12"/>
    </row>
    <row r="13243" spans="1:1" x14ac:dyDescent="0.3">
      <c r="A13243" s="12"/>
    </row>
    <row r="13244" spans="1:1" x14ac:dyDescent="0.3">
      <c r="A13244" s="12"/>
    </row>
    <row r="13245" spans="1:1" x14ac:dyDescent="0.3">
      <c r="A13245" s="12"/>
    </row>
    <row r="13246" spans="1:1" x14ac:dyDescent="0.3">
      <c r="A13246" s="12"/>
    </row>
    <row r="13247" spans="1:1" x14ac:dyDescent="0.3">
      <c r="A13247" s="12"/>
    </row>
    <row r="13248" spans="1:1" x14ac:dyDescent="0.3">
      <c r="A13248" s="12"/>
    </row>
    <row r="13249" spans="1:1" x14ac:dyDescent="0.3">
      <c r="A13249" s="12"/>
    </row>
    <row r="13250" spans="1:1" x14ac:dyDescent="0.3">
      <c r="A13250" s="12"/>
    </row>
    <row r="13251" spans="1:1" x14ac:dyDescent="0.3">
      <c r="A13251" s="12"/>
    </row>
    <row r="13252" spans="1:1" x14ac:dyDescent="0.3">
      <c r="A13252" s="12"/>
    </row>
    <row r="13253" spans="1:1" x14ac:dyDescent="0.3">
      <c r="A13253" s="12"/>
    </row>
    <row r="13254" spans="1:1" x14ac:dyDescent="0.3">
      <c r="A13254" s="12"/>
    </row>
    <row r="13255" spans="1:1" x14ac:dyDescent="0.3">
      <c r="A13255" s="12"/>
    </row>
    <row r="13256" spans="1:1" x14ac:dyDescent="0.3">
      <c r="A13256" s="12"/>
    </row>
    <row r="13257" spans="1:1" x14ac:dyDescent="0.3">
      <c r="A13257" s="12"/>
    </row>
    <row r="13258" spans="1:1" x14ac:dyDescent="0.3">
      <c r="A13258" s="12"/>
    </row>
    <row r="13259" spans="1:1" x14ac:dyDescent="0.3">
      <c r="A13259" s="12"/>
    </row>
    <row r="13260" spans="1:1" x14ac:dyDescent="0.3">
      <c r="A13260" s="12"/>
    </row>
    <row r="13261" spans="1:1" x14ac:dyDescent="0.3">
      <c r="A13261" s="12"/>
    </row>
    <row r="13262" spans="1:1" x14ac:dyDescent="0.3">
      <c r="A13262" s="12"/>
    </row>
    <row r="13263" spans="1:1" x14ac:dyDescent="0.3">
      <c r="A13263" s="12"/>
    </row>
    <row r="13264" spans="1:1" x14ac:dyDescent="0.3">
      <c r="A13264" s="12"/>
    </row>
    <row r="13265" spans="1:1" x14ac:dyDescent="0.3">
      <c r="A13265" s="12"/>
    </row>
    <row r="13266" spans="1:1" x14ac:dyDescent="0.3">
      <c r="A13266" s="12"/>
    </row>
    <row r="13267" spans="1:1" x14ac:dyDescent="0.3">
      <c r="A13267" s="12"/>
    </row>
    <row r="13268" spans="1:1" x14ac:dyDescent="0.3">
      <c r="A13268" s="12"/>
    </row>
    <row r="13269" spans="1:1" x14ac:dyDescent="0.3">
      <c r="A13269" s="12"/>
    </row>
    <row r="13270" spans="1:1" x14ac:dyDescent="0.3">
      <c r="A13270" s="12"/>
    </row>
    <row r="13271" spans="1:1" x14ac:dyDescent="0.3">
      <c r="A13271" s="12"/>
    </row>
    <row r="13272" spans="1:1" x14ac:dyDescent="0.3">
      <c r="A13272" s="12"/>
    </row>
    <row r="13273" spans="1:1" x14ac:dyDescent="0.3">
      <c r="A13273" s="12"/>
    </row>
    <row r="13274" spans="1:1" x14ac:dyDescent="0.3">
      <c r="A13274" s="12"/>
    </row>
    <row r="13275" spans="1:1" x14ac:dyDescent="0.3">
      <c r="A13275" s="12"/>
    </row>
    <row r="13276" spans="1:1" x14ac:dyDescent="0.3">
      <c r="A13276" s="12"/>
    </row>
    <row r="13277" spans="1:1" x14ac:dyDescent="0.3">
      <c r="A13277" s="12"/>
    </row>
    <row r="13278" spans="1:1" x14ac:dyDescent="0.3">
      <c r="A13278" s="12"/>
    </row>
    <row r="13279" spans="1:1" x14ac:dyDescent="0.3">
      <c r="A13279" s="12"/>
    </row>
    <row r="13280" spans="1:1" x14ac:dyDescent="0.3">
      <c r="A13280" s="12"/>
    </row>
    <row r="13281" spans="1:1" x14ac:dyDescent="0.3">
      <c r="A13281" s="12"/>
    </row>
    <row r="13282" spans="1:1" x14ac:dyDescent="0.3">
      <c r="A13282" s="12"/>
    </row>
    <row r="13283" spans="1:1" x14ac:dyDescent="0.3">
      <c r="A13283" s="12"/>
    </row>
    <row r="13284" spans="1:1" x14ac:dyDescent="0.3">
      <c r="A13284" s="12"/>
    </row>
    <row r="13285" spans="1:1" x14ac:dyDescent="0.3">
      <c r="A13285" s="12"/>
    </row>
    <row r="13286" spans="1:1" x14ac:dyDescent="0.3">
      <c r="A13286" s="12"/>
    </row>
    <row r="13287" spans="1:1" x14ac:dyDescent="0.3">
      <c r="A13287" s="12"/>
    </row>
    <row r="13288" spans="1:1" x14ac:dyDescent="0.3">
      <c r="A13288" s="12"/>
    </row>
    <row r="13289" spans="1:1" x14ac:dyDescent="0.3">
      <c r="A13289" s="12"/>
    </row>
    <row r="13290" spans="1:1" x14ac:dyDescent="0.3">
      <c r="A13290" s="12"/>
    </row>
    <row r="13291" spans="1:1" x14ac:dyDescent="0.3">
      <c r="A13291" s="12"/>
    </row>
    <row r="13292" spans="1:1" x14ac:dyDescent="0.3">
      <c r="A13292" s="12"/>
    </row>
    <row r="13293" spans="1:1" x14ac:dyDescent="0.3">
      <c r="A13293" s="12"/>
    </row>
    <row r="13294" spans="1:1" x14ac:dyDescent="0.3">
      <c r="A13294" s="12"/>
    </row>
    <row r="13295" spans="1:1" x14ac:dyDescent="0.3">
      <c r="A13295" s="12"/>
    </row>
    <row r="13296" spans="1:1" x14ac:dyDescent="0.3">
      <c r="A13296" s="12"/>
    </row>
    <row r="13297" spans="1:1" x14ac:dyDescent="0.3">
      <c r="A13297" s="12"/>
    </row>
    <row r="13298" spans="1:1" x14ac:dyDescent="0.3">
      <c r="A13298" s="12"/>
    </row>
    <row r="13299" spans="1:1" x14ac:dyDescent="0.3">
      <c r="A13299" s="12"/>
    </row>
    <row r="13300" spans="1:1" x14ac:dyDescent="0.3">
      <c r="A13300" s="12"/>
    </row>
    <row r="13301" spans="1:1" x14ac:dyDescent="0.3">
      <c r="A13301" s="12"/>
    </row>
    <row r="13302" spans="1:1" x14ac:dyDescent="0.3">
      <c r="A13302" s="12"/>
    </row>
    <row r="13303" spans="1:1" x14ac:dyDescent="0.3">
      <c r="A13303" s="12"/>
    </row>
    <row r="13304" spans="1:1" x14ac:dyDescent="0.3">
      <c r="A13304" s="12"/>
    </row>
    <row r="13305" spans="1:1" x14ac:dyDescent="0.3">
      <c r="A13305" s="12"/>
    </row>
    <row r="13306" spans="1:1" x14ac:dyDescent="0.3">
      <c r="A13306" s="12"/>
    </row>
    <row r="13307" spans="1:1" x14ac:dyDescent="0.3">
      <c r="A13307" s="12"/>
    </row>
    <row r="13308" spans="1:1" x14ac:dyDescent="0.3">
      <c r="A13308" s="12"/>
    </row>
    <row r="13309" spans="1:1" x14ac:dyDescent="0.3">
      <c r="A13309" s="12"/>
    </row>
    <row r="13310" spans="1:1" x14ac:dyDescent="0.3">
      <c r="A13310" s="12"/>
    </row>
    <row r="13311" spans="1:1" x14ac:dyDescent="0.3">
      <c r="A13311" s="12"/>
    </row>
    <row r="13312" spans="1:1" x14ac:dyDescent="0.3">
      <c r="A13312" s="12"/>
    </row>
    <row r="13313" spans="1:1" x14ac:dyDescent="0.3">
      <c r="A13313" s="12"/>
    </row>
    <row r="13314" spans="1:1" x14ac:dyDescent="0.3">
      <c r="A13314" s="12"/>
    </row>
    <row r="13315" spans="1:1" x14ac:dyDescent="0.3">
      <c r="A13315" s="12"/>
    </row>
    <row r="13316" spans="1:1" x14ac:dyDescent="0.3">
      <c r="A13316" s="12"/>
    </row>
    <row r="13317" spans="1:1" x14ac:dyDescent="0.3">
      <c r="A13317" s="12"/>
    </row>
    <row r="13318" spans="1:1" x14ac:dyDescent="0.3">
      <c r="A13318" s="12"/>
    </row>
    <row r="13319" spans="1:1" x14ac:dyDescent="0.3">
      <c r="A13319" s="12"/>
    </row>
    <row r="13320" spans="1:1" x14ac:dyDescent="0.3">
      <c r="A13320" s="12"/>
    </row>
    <row r="13321" spans="1:1" x14ac:dyDescent="0.3">
      <c r="A13321" s="12"/>
    </row>
    <row r="13322" spans="1:1" x14ac:dyDescent="0.3">
      <c r="A13322" s="12"/>
    </row>
    <row r="13323" spans="1:1" x14ac:dyDescent="0.3">
      <c r="A13323" s="12"/>
    </row>
    <row r="13324" spans="1:1" x14ac:dyDescent="0.3">
      <c r="A13324" s="12"/>
    </row>
    <row r="13325" spans="1:1" x14ac:dyDescent="0.3">
      <c r="A13325" s="12"/>
    </row>
    <row r="13326" spans="1:1" x14ac:dyDescent="0.3">
      <c r="A13326" s="12"/>
    </row>
    <row r="13327" spans="1:1" x14ac:dyDescent="0.3">
      <c r="A13327" s="12"/>
    </row>
    <row r="13328" spans="1:1" x14ac:dyDescent="0.3">
      <c r="A13328" s="12"/>
    </row>
    <row r="13329" spans="1:1" x14ac:dyDescent="0.3">
      <c r="A13329" s="12"/>
    </row>
    <row r="13330" spans="1:1" x14ac:dyDescent="0.3">
      <c r="A13330" s="12"/>
    </row>
    <row r="13331" spans="1:1" x14ac:dyDescent="0.3">
      <c r="A13331" s="12"/>
    </row>
    <row r="13332" spans="1:1" x14ac:dyDescent="0.3">
      <c r="A13332" s="12"/>
    </row>
    <row r="13333" spans="1:1" x14ac:dyDescent="0.3">
      <c r="A13333" s="12"/>
    </row>
    <row r="13334" spans="1:1" x14ac:dyDescent="0.3">
      <c r="A13334" s="12"/>
    </row>
    <row r="13335" spans="1:1" x14ac:dyDescent="0.3">
      <c r="A13335" s="12"/>
    </row>
    <row r="13336" spans="1:1" x14ac:dyDescent="0.3">
      <c r="A13336" s="12"/>
    </row>
    <row r="13337" spans="1:1" x14ac:dyDescent="0.3">
      <c r="A13337" s="12"/>
    </row>
    <row r="13338" spans="1:1" x14ac:dyDescent="0.3">
      <c r="A13338" s="12"/>
    </row>
    <row r="13339" spans="1:1" x14ac:dyDescent="0.3">
      <c r="A13339" s="12"/>
    </row>
    <row r="13340" spans="1:1" x14ac:dyDescent="0.3">
      <c r="A13340" s="12"/>
    </row>
    <row r="13341" spans="1:1" x14ac:dyDescent="0.3">
      <c r="A13341" s="12"/>
    </row>
    <row r="13342" spans="1:1" x14ac:dyDescent="0.3">
      <c r="A13342" s="12"/>
    </row>
    <row r="13343" spans="1:1" x14ac:dyDescent="0.3">
      <c r="A13343" s="12"/>
    </row>
    <row r="13344" spans="1:1" x14ac:dyDescent="0.3">
      <c r="A13344" s="12"/>
    </row>
    <row r="13345" spans="1:1" x14ac:dyDescent="0.3">
      <c r="A13345" s="12"/>
    </row>
    <row r="13346" spans="1:1" x14ac:dyDescent="0.3">
      <c r="A13346" s="12"/>
    </row>
    <row r="13347" spans="1:1" x14ac:dyDescent="0.3">
      <c r="A13347" s="12"/>
    </row>
    <row r="13348" spans="1:1" x14ac:dyDescent="0.3">
      <c r="A13348" s="12"/>
    </row>
    <row r="13349" spans="1:1" x14ac:dyDescent="0.3">
      <c r="A13349" s="12"/>
    </row>
    <row r="13350" spans="1:1" x14ac:dyDescent="0.3">
      <c r="A13350" s="12"/>
    </row>
    <row r="13351" spans="1:1" x14ac:dyDescent="0.3">
      <c r="A13351" s="12"/>
    </row>
    <row r="13352" spans="1:1" x14ac:dyDescent="0.3">
      <c r="A13352" s="12"/>
    </row>
    <row r="13353" spans="1:1" x14ac:dyDescent="0.3">
      <c r="A13353" s="12"/>
    </row>
    <row r="13354" spans="1:1" x14ac:dyDescent="0.3">
      <c r="A13354" s="12"/>
    </row>
    <row r="13355" spans="1:1" x14ac:dyDescent="0.3">
      <c r="A13355" s="12"/>
    </row>
    <row r="13356" spans="1:1" x14ac:dyDescent="0.3">
      <c r="A13356" s="12"/>
    </row>
    <row r="13357" spans="1:1" x14ac:dyDescent="0.3">
      <c r="A13357" s="12"/>
    </row>
    <row r="13358" spans="1:1" x14ac:dyDescent="0.3">
      <c r="A13358" s="12"/>
    </row>
    <row r="13359" spans="1:1" x14ac:dyDescent="0.3">
      <c r="A13359" s="12"/>
    </row>
    <row r="13360" spans="1:1" x14ac:dyDescent="0.3">
      <c r="A13360" s="12"/>
    </row>
    <row r="13361" spans="1:1" x14ac:dyDescent="0.3">
      <c r="A13361" s="12"/>
    </row>
    <row r="13362" spans="1:1" x14ac:dyDescent="0.3">
      <c r="A13362" s="12"/>
    </row>
    <row r="13363" spans="1:1" x14ac:dyDescent="0.3">
      <c r="A13363" s="12"/>
    </row>
    <row r="13364" spans="1:1" x14ac:dyDescent="0.3">
      <c r="A13364" s="12"/>
    </row>
    <row r="13365" spans="1:1" x14ac:dyDescent="0.3">
      <c r="A13365" s="12"/>
    </row>
    <row r="13366" spans="1:1" x14ac:dyDescent="0.3">
      <c r="A13366" s="12"/>
    </row>
    <row r="13367" spans="1:1" x14ac:dyDescent="0.3">
      <c r="A13367" s="12"/>
    </row>
    <row r="13368" spans="1:1" x14ac:dyDescent="0.3">
      <c r="A13368" s="12"/>
    </row>
    <row r="13369" spans="1:1" x14ac:dyDescent="0.3">
      <c r="A13369" s="12"/>
    </row>
    <row r="13370" spans="1:1" x14ac:dyDescent="0.3">
      <c r="A13370" s="12"/>
    </row>
    <row r="13371" spans="1:1" x14ac:dyDescent="0.3">
      <c r="A13371" s="12"/>
    </row>
    <row r="13372" spans="1:1" x14ac:dyDescent="0.3">
      <c r="A13372" s="12"/>
    </row>
    <row r="13373" spans="1:1" x14ac:dyDescent="0.3">
      <c r="A13373" s="12"/>
    </row>
    <row r="13374" spans="1:1" x14ac:dyDescent="0.3">
      <c r="A13374" s="12"/>
    </row>
    <row r="13375" spans="1:1" x14ac:dyDescent="0.3">
      <c r="A13375" s="12"/>
    </row>
    <row r="13376" spans="1:1" x14ac:dyDescent="0.3">
      <c r="A13376" s="12"/>
    </row>
    <row r="13377" spans="1:1" x14ac:dyDescent="0.3">
      <c r="A13377" s="12"/>
    </row>
    <row r="13378" spans="1:1" x14ac:dyDescent="0.3">
      <c r="A13378" s="12"/>
    </row>
    <row r="13379" spans="1:1" x14ac:dyDescent="0.3">
      <c r="A13379" s="12"/>
    </row>
    <row r="13380" spans="1:1" x14ac:dyDescent="0.3">
      <c r="A13380" s="12"/>
    </row>
    <row r="13381" spans="1:1" x14ac:dyDescent="0.3">
      <c r="A13381" s="12"/>
    </row>
    <row r="13382" spans="1:1" x14ac:dyDescent="0.3">
      <c r="A13382" s="12"/>
    </row>
    <row r="13383" spans="1:1" x14ac:dyDescent="0.3">
      <c r="A13383" s="12"/>
    </row>
    <row r="13384" spans="1:1" x14ac:dyDescent="0.3">
      <c r="A13384" s="12"/>
    </row>
    <row r="13385" spans="1:1" x14ac:dyDescent="0.3">
      <c r="A13385" s="12"/>
    </row>
    <row r="13386" spans="1:1" x14ac:dyDescent="0.3">
      <c r="A13386" s="12"/>
    </row>
    <row r="13387" spans="1:1" x14ac:dyDescent="0.3">
      <c r="A13387" s="12"/>
    </row>
    <row r="13388" spans="1:1" x14ac:dyDescent="0.3">
      <c r="A13388" s="12"/>
    </row>
    <row r="13389" spans="1:1" x14ac:dyDescent="0.3">
      <c r="A13389" s="12"/>
    </row>
    <row r="13390" spans="1:1" x14ac:dyDescent="0.3">
      <c r="A13390" s="12"/>
    </row>
    <row r="13391" spans="1:1" x14ac:dyDescent="0.3">
      <c r="A13391" s="12"/>
    </row>
    <row r="13392" spans="1:1" x14ac:dyDescent="0.3">
      <c r="A13392" s="12"/>
    </row>
    <row r="13393" spans="1:1" x14ac:dyDescent="0.3">
      <c r="A13393" s="12"/>
    </row>
    <row r="13394" spans="1:1" x14ac:dyDescent="0.3">
      <c r="A13394" s="12"/>
    </row>
    <row r="13395" spans="1:1" x14ac:dyDescent="0.3">
      <c r="A13395" s="12"/>
    </row>
    <row r="13396" spans="1:1" x14ac:dyDescent="0.3">
      <c r="A13396" s="12"/>
    </row>
    <row r="13397" spans="1:1" x14ac:dyDescent="0.3">
      <c r="A13397" s="12"/>
    </row>
    <row r="13398" spans="1:1" x14ac:dyDescent="0.3">
      <c r="A13398" s="12"/>
    </row>
    <row r="13399" spans="1:1" x14ac:dyDescent="0.3">
      <c r="A13399" s="12"/>
    </row>
    <row r="13400" spans="1:1" x14ac:dyDescent="0.3">
      <c r="A13400" s="12"/>
    </row>
    <row r="13401" spans="1:1" x14ac:dyDescent="0.3">
      <c r="A13401" s="12"/>
    </row>
    <row r="13402" spans="1:1" x14ac:dyDescent="0.3">
      <c r="A13402" s="12"/>
    </row>
    <row r="13403" spans="1:1" x14ac:dyDescent="0.3">
      <c r="A13403" s="12"/>
    </row>
    <row r="13404" spans="1:1" x14ac:dyDescent="0.3">
      <c r="A13404" s="12"/>
    </row>
    <row r="13405" spans="1:1" x14ac:dyDescent="0.3">
      <c r="A13405" s="12"/>
    </row>
    <row r="13406" spans="1:1" x14ac:dyDescent="0.3">
      <c r="A13406" s="12"/>
    </row>
    <row r="13407" spans="1:1" x14ac:dyDescent="0.3">
      <c r="A13407" s="12"/>
    </row>
    <row r="13408" spans="1:1" x14ac:dyDescent="0.3">
      <c r="A13408" s="12"/>
    </row>
    <row r="13409" spans="1:1" x14ac:dyDescent="0.3">
      <c r="A13409" s="12"/>
    </row>
    <row r="13410" spans="1:1" x14ac:dyDescent="0.3">
      <c r="A13410" s="12"/>
    </row>
    <row r="13411" spans="1:1" x14ac:dyDescent="0.3">
      <c r="A13411" s="12"/>
    </row>
    <row r="13412" spans="1:1" x14ac:dyDescent="0.3">
      <c r="A13412" s="12"/>
    </row>
    <row r="13413" spans="1:1" x14ac:dyDescent="0.3">
      <c r="A13413" s="12"/>
    </row>
    <row r="13414" spans="1:1" x14ac:dyDescent="0.3">
      <c r="A13414" s="12"/>
    </row>
    <row r="13415" spans="1:1" x14ac:dyDescent="0.3">
      <c r="A13415" s="12"/>
    </row>
    <row r="13416" spans="1:1" x14ac:dyDescent="0.3">
      <c r="A13416" s="12"/>
    </row>
    <row r="13417" spans="1:1" x14ac:dyDescent="0.3">
      <c r="A13417" s="12"/>
    </row>
    <row r="13418" spans="1:1" x14ac:dyDescent="0.3">
      <c r="A13418" s="12"/>
    </row>
    <row r="13419" spans="1:1" x14ac:dyDescent="0.3">
      <c r="A13419" s="12"/>
    </row>
    <row r="13420" spans="1:1" x14ac:dyDescent="0.3">
      <c r="A13420" s="12"/>
    </row>
    <row r="13421" spans="1:1" x14ac:dyDescent="0.3">
      <c r="A13421" s="12"/>
    </row>
    <row r="13422" spans="1:1" x14ac:dyDescent="0.3">
      <c r="A13422" s="12"/>
    </row>
    <row r="13423" spans="1:1" x14ac:dyDescent="0.3">
      <c r="A13423" s="12"/>
    </row>
    <row r="13424" spans="1:1" x14ac:dyDescent="0.3">
      <c r="A13424" s="12"/>
    </row>
    <row r="13425" spans="1:1" x14ac:dyDescent="0.3">
      <c r="A13425" s="12"/>
    </row>
    <row r="13426" spans="1:1" x14ac:dyDescent="0.3">
      <c r="A13426" s="12"/>
    </row>
    <row r="13427" spans="1:1" x14ac:dyDescent="0.3">
      <c r="A13427" s="12"/>
    </row>
    <row r="13428" spans="1:1" x14ac:dyDescent="0.3">
      <c r="A13428" s="12"/>
    </row>
    <row r="13429" spans="1:1" x14ac:dyDescent="0.3">
      <c r="A13429" s="12"/>
    </row>
    <row r="13430" spans="1:1" x14ac:dyDescent="0.3">
      <c r="A13430" s="12"/>
    </row>
    <row r="13431" spans="1:1" x14ac:dyDescent="0.3">
      <c r="A13431" s="12"/>
    </row>
    <row r="13432" spans="1:1" x14ac:dyDescent="0.3">
      <c r="A13432" s="12"/>
    </row>
    <row r="13433" spans="1:1" x14ac:dyDescent="0.3">
      <c r="A13433" s="12"/>
    </row>
    <row r="13434" spans="1:1" x14ac:dyDescent="0.3">
      <c r="A13434" s="12"/>
    </row>
    <row r="13435" spans="1:1" x14ac:dyDescent="0.3">
      <c r="A13435" s="12"/>
    </row>
    <row r="13436" spans="1:1" x14ac:dyDescent="0.3">
      <c r="A13436" s="12"/>
    </row>
    <row r="13437" spans="1:1" x14ac:dyDescent="0.3">
      <c r="A13437" s="12"/>
    </row>
    <row r="13438" spans="1:1" x14ac:dyDescent="0.3">
      <c r="A13438" s="12"/>
    </row>
    <row r="13439" spans="1:1" x14ac:dyDescent="0.3">
      <c r="A13439" s="12"/>
    </row>
    <row r="13440" spans="1:1" x14ac:dyDescent="0.3">
      <c r="A13440" s="12"/>
    </row>
    <row r="13441" spans="1:1" x14ac:dyDescent="0.3">
      <c r="A13441" s="12"/>
    </row>
    <row r="13442" spans="1:1" x14ac:dyDescent="0.3">
      <c r="A13442" s="12"/>
    </row>
    <row r="13443" spans="1:1" x14ac:dyDescent="0.3">
      <c r="A13443" s="12"/>
    </row>
    <row r="13444" spans="1:1" x14ac:dyDescent="0.3">
      <c r="A13444" s="12"/>
    </row>
    <row r="13445" spans="1:1" x14ac:dyDescent="0.3">
      <c r="A13445" s="12"/>
    </row>
    <row r="13446" spans="1:1" x14ac:dyDescent="0.3">
      <c r="A13446" s="12"/>
    </row>
    <row r="13447" spans="1:1" x14ac:dyDescent="0.3">
      <c r="A13447" s="12"/>
    </row>
    <row r="13448" spans="1:1" x14ac:dyDescent="0.3">
      <c r="A13448" s="12"/>
    </row>
    <row r="13449" spans="1:1" x14ac:dyDescent="0.3">
      <c r="A13449" s="12"/>
    </row>
    <row r="13450" spans="1:1" x14ac:dyDescent="0.3">
      <c r="A13450" s="12"/>
    </row>
    <row r="13451" spans="1:1" x14ac:dyDescent="0.3">
      <c r="A13451" s="12"/>
    </row>
    <row r="13452" spans="1:1" x14ac:dyDescent="0.3">
      <c r="A13452" s="12"/>
    </row>
    <row r="13453" spans="1:1" x14ac:dyDescent="0.3">
      <c r="A13453" s="12"/>
    </row>
    <row r="13454" spans="1:1" x14ac:dyDescent="0.3">
      <c r="A13454" s="12"/>
    </row>
    <row r="13455" spans="1:1" x14ac:dyDescent="0.3">
      <c r="A13455" s="12"/>
    </row>
    <row r="13456" spans="1:1" x14ac:dyDescent="0.3">
      <c r="A13456" s="12"/>
    </row>
    <row r="13457" spans="1:1" x14ac:dyDescent="0.3">
      <c r="A13457" s="12"/>
    </row>
    <row r="13458" spans="1:1" x14ac:dyDescent="0.3">
      <c r="A13458" s="12"/>
    </row>
    <row r="13459" spans="1:1" x14ac:dyDescent="0.3">
      <c r="A13459" s="12"/>
    </row>
    <row r="13460" spans="1:1" x14ac:dyDescent="0.3">
      <c r="A13460" s="12"/>
    </row>
    <row r="13461" spans="1:1" x14ac:dyDescent="0.3">
      <c r="A13461" s="12"/>
    </row>
    <row r="13462" spans="1:1" x14ac:dyDescent="0.3">
      <c r="A13462" s="12"/>
    </row>
    <row r="13463" spans="1:1" x14ac:dyDescent="0.3">
      <c r="A13463" s="12"/>
    </row>
    <row r="13464" spans="1:1" x14ac:dyDescent="0.3">
      <c r="A13464" s="12"/>
    </row>
    <row r="13465" spans="1:1" x14ac:dyDescent="0.3">
      <c r="A13465" s="12"/>
    </row>
    <row r="13466" spans="1:1" x14ac:dyDescent="0.3">
      <c r="A13466" s="12"/>
    </row>
    <row r="13467" spans="1:1" x14ac:dyDescent="0.3">
      <c r="A13467" s="12"/>
    </row>
    <row r="13468" spans="1:1" x14ac:dyDescent="0.3">
      <c r="A13468" s="12"/>
    </row>
    <row r="13469" spans="1:1" x14ac:dyDescent="0.3">
      <c r="A13469" s="12"/>
    </row>
    <row r="13470" spans="1:1" x14ac:dyDescent="0.3">
      <c r="A13470" s="12"/>
    </row>
    <row r="13471" spans="1:1" x14ac:dyDescent="0.3">
      <c r="A13471" s="12"/>
    </row>
    <row r="13472" spans="1:1" x14ac:dyDescent="0.3">
      <c r="A13472" s="12"/>
    </row>
    <row r="13473" spans="1:1" x14ac:dyDescent="0.3">
      <c r="A13473" s="12"/>
    </row>
    <row r="13474" spans="1:1" x14ac:dyDescent="0.3">
      <c r="A13474" s="12"/>
    </row>
    <row r="13475" spans="1:1" x14ac:dyDescent="0.3">
      <c r="A13475" s="12"/>
    </row>
    <row r="13476" spans="1:1" x14ac:dyDescent="0.3">
      <c r="A13476" s="12"/>
    </row>
    <row r="13477" spans="1:1" x14ac:dyDescent="0.3">
      <c r="A13477" s="12"/>
    </row>
    <row r="13478" spans="1:1" x14ac:dyDescent="0.3">
      <c r="A13478" s="12"/>
    </row>
    <row r="13479" spans="1:1" x14ac:dyDescent="0.3">
      <c r="A13479" s="12"/>
    </row>
    <row r="13480" spans="1:1" x14ac:dyDescent="0.3">
      <c r="A13480" s="12"/>
    </row>
    <row r="13481" spans="1:1" x14ac:dyDescent="0.3">
      <c r="A13481" s="12"/>
    </row>
    <row r="13482" spans="1:1" x14ac:dyDescent="0.3">
      <c r="A13482" s="12"/>
    </row>
    <row r="13483" spans="1:1" x14ac:dyDescent="0.3">
      <c r="A13483" s="12"/>
    </row>
    <row r="13484" spans="1:1" x14ac:dyDescent="0.3">
      <c r="A13484" s="12"/>
    </row>
    <row r="13485" spans="1:1" x14ac:dyDescent="0.3">
      <c r="A13485" s="12"/>
    </row>
    <row r="13486" spans="1:1" x14ac:dyDescent="0.3">
      <c r="A13486" s="12"/>
    </row>
    <row r="13487" spans="1:1" x14ac:dyDescent="0.3">
      <c r="A13487" s="12"/>
    </row>
    <row r="13488" spans="1:1" x14ac:dyDescent="0.3">
      <c r="A13488" s="12"/>
    </row>
    <row r="13489" spans="1:1" x14ac:dyDescent="0.3">
      <c r="A13489" s="12"/>
    </row>
    <row r="13490" spans="1:1" x14ac:dyDescent="0.3">
      <c r="A13490" s="12"/>
    </row>
    <row r="13491" spans="1:1" x14ac:dyDescent="0.3">
      <c r="A13491" s="12"/>
    </row>
    <row r="13492" spans="1:1" x14ac:dyDescent="0.3">
      <c r="A13492" s="12"/>
    </row>
    <row r="13493" spans="1:1" x14ac:dyDescent="0.3">
      <c r="A13493" s="12"/>
    </row>
    <row r="13494" spans="1:1" x14ac:dyDescent="0.3">
      <c r="A13494" s="12"/>
    </row>
    <row r="13495" spans="1:1" x14ac:dyDescent="0.3">
      <c r="A13495" s="12"/>
    </row>
    <row r="13496" spans="1:1" x14ac:dyDescent="0.3">
      <c r="A13496" s="12"/>
    </row>
    <row r="13497" spans="1:1" x14ac:dyDescent="0.3">
      <c r="A13497" s="12"/>
    </row>
    <row r="13498" spans="1:1" x14ac:dyDescent="0.3">
      <c r="A13498" s="12"/>
    </row>
    <row r="13499" spans="1:1" x14ac:dyDescent="0.3">
      <c r="A13499" s="12"/>
    </row>
    <row r="13500" spans="1:1" x14ac:dyDescent="0.3">
      <c r="A13500" s="12"/>
    </row>
    <row r="13501" spans="1:1" x14ac:dyDescent="0.3">
      <c r="A13501" s="12"/>
    </row>
    <row r="13502" spans="1:1" x14ac:dyDescent="0.3">
      <c r="A13502" s="12"/>
    </row>
    <row r="13503" spans="1:1" x14ac:dyDescent="0.3">
      <c r="A13503" s="12"/>
    </row>
    <row r="13504" spans="1:1" x14ac:dyDescent="0.3">
      <c r="A13504" s="12"/>
    </row>
    <row r="13505" spans="1:1" x14ac:dyDescent="0.3">
      <c r="A13505" s="12"/>
    </row>
    <row r="13506" spans="1:1" x14ac:dyDescent="0.3">
      <c r="A13506" s="12"/>
    </row>
    <row r="13507" spans="1:1" x14ac:dyDescent="0.3">
      <c r="A13507" s="12"/>
    </row>
    <row r="13508" spans="1:1" x14ac:dyDescent="0.3">
      <c r="A13508" s="12"/>
    </row>
    <row r="13509" spans="1:1" x14ac:dyDescent="0.3">
      <c r="A13509" s="12"/>
    </row>
    <row r="13510" spans="1:1" x14ac:dyDescent="0.3">
      <c r="A13510" s="12"/>
    </row>
    <row r="13511" spans="1:1" x14ac:dyDescent="0.3">
      <c r="A13511" s="12"/>
    </row>
    <row r="13512" spans="1:1" x14ac:dyDescent="0.3">
      <c r="A13512" s="12"/>
    </row>
    <row r="13513" spans="1:1" x14ac:dyDescent="0.3">
      <c r="A13513" s="12"/>
    </row>
    <row r="13514" spans="1:1" x14ac:dyDescent="0.3">
      <c r="A13514" s="12"/>
    </row>
    <row r="13515" spans="1:1" x14ac:dyDescent="0.3">
      <c r="A13515" s="12"/>
    </row>
    <row r="13516" spans="1:1" x14ac:dyDescent="0.3">
      <c r="A13516" s="12"/>
    </row>
    <row r="13517" spans="1:1" x14ac:dyDescent="0.3">
      <c r="A13517" s="12"/>
    </row>
    <row r="13518" spans="1:1" x14ac:dyDescent="0.3">
      <c r="A13518" s="12"/>
    </row>
    <row r="13519" spans="1:1" x14ac:dyDescent="0.3">
      <c r="A13519" s="12"/>
    </row>
    <row r="13520" spans="1:1" x14ac:dyDescent="0.3">
      <c r="A13520" s="12"/>
    </row>
    <row r="13521" spans="1:1" x14ac:dyDescent="0.3">
      <c r="A13521" s="12"/>
    </row>
    <row r="13522" spans="1:1" x14ac:dyDescent="0.3">
      <c r="A13522" s="12"/>
    </row>
    <row r="13523" spans="1:1" x14ac:dyDescent="0.3">
      <c r="A13523" s="12"/>
    </row>
    <row r="13524" spans="1:1" x14ac:dyDescent="0.3">
      <c r="A13524" s="12"/>
    </row>
    <row r="13525" spans="1:1" x14ac:dyDescent="0.3">
      <c r="A13525" s="12"/>
    </row>
    <row r="13526" spans="1:1" x14ac:dyDescent="0.3">
      <c r="A13526" s="12"/>
    </row>
    <row r="13527" spans="1:1" x14ac:dyDescent="0.3">
      <c r="A13527" s="12"/>
    </row>
    <row r="13528" spans="1:1" x14ac:dyDescent="0.3">
      <c r="A13528" s="12"/>
    </row>
    <row r="13529" spans="1:1" x14ac:dyDescent="0.3">
      <c r="A13529" s="12"/>
    </row>
    <row r="13530" spans="1:1" x14ac:dyDescent="0.3">
      <c r="A13530" s="12"/>
    </row>
    <row r="13531" spans="1:1" x14ac:dyDescent="0.3">
      <c r="A13531" s="12"/>
    </row>
    <row r="13532" spans="1:1" x14ac:dyDescent="0.3">
      <c r="A13532" s="12"/>
    </row>
    <row r="13533" spans="1:1" x14ac:dyDescent="0.3">
      <c r="A13533" s="12"/>
    </row>
    <row r="13534" spans="1:1" x14ac:dyDescent="0.3">
      <c r="A13534" s="12"/>
    </row>
    <row r="13535" spans="1:1" x14ac:dyDescent="0.3">
      <c r="A13535" s="12"/>
    </row>
    <row r="13536" spans="1:1" x14ac:dyDescent="0.3">
      <c r="A13536" s="12"/>
    </row>
    <row r="13537" spans="1:1" x14ac:dyDescent="0.3">
      <c r="A13537" s="12"/>
    </row>
    <row r="13538" spans="1:1" x14ac:dyDescent="0.3">
      <c r="A13538" s="12"/>
    </row>
    <row r="13539" spans="1:1" x14ac:dyDescent="0.3">
      <c r="A13539" s="12"/>
    </row>
    <row r="13540" spans="1:1" x14ac:dyDescent="0.3">
      <c r="A13540" s="12"/>
    </row>
    <row r="13541" spans="1:1" x14ac:dyDescent="0.3">
      <c r="A13541" s="12"/>
    </row>
    <row r="13542" spans="1:1" x14ac:dyDescent="0.3">
      <c r="A13542" s="12"/>
    </row>
    <row r="13543" spans="1:1" x14ac:dyDescent="0.3">
      <c r="A13543" s="12"/>
    </row>
    <row r="13544" spans="1:1" x14ac:dyDescent="0.3">
      <c r="A13544" s="12"/>
    </row>
    <row r="13545" spans="1:1" x14ac:dyDescent="0.3">
      <c r="A13545" s="12"/>
    </row>
    <row r="13546" spans="1:1" x14ac:dyDescent="0.3">
      <c r="A13546" s="12"/>
    </row>
    <row r="13547" spans="1:1" x14ac:dyDescent="0.3">
      <c r="A13547" s="12"/>
    </row>
    <row r="13548" spans="1:1" x14ac:dyDescent="0.3">
      <c r="A13548" s="12"/>
    </row>
    <row r="13549" spans="1:1" x14ac:dyDescent="0.3">
      <c r="A13549" s="12"/>
    </row>
    <row r="13550" spans="1:1" x14ac:dyDescent="0.3">
      <c r="A13550" s="12"/>
    </row>
    <row r="13551" spans="1:1" x14ac:dyDescent="0.3">
      <c r="A13551" s="12"/>
    </row>
    <row r="13552" spans="1:1" x14ac:dyDescent="0.3">
      <c r="A13552" s="12"/>
    </row>
    <row r="13553" spans="1:1" x14ac:dyDescent="0.3">
      <c r="A13553" s="12"/>
    </row>
    <row r="13554" spans="1:1" x14ac:dyDescent="0.3">
      <c r="A13554" s="12"/>
    </row>
    <row r="13555" spans="1:1" x14ac:dyDescent="0.3">
      <c r="A13555" s="12"/>
    </row>
    <row r="13556" spans="1:1" x14ac:dyDescent="0.3">
      <c r="A13556" s="12"/>
    </row>
    <row r="13557" spans="1:1" x14ac:dyDescent="0.3">
      <c r="A13557" s="12"/>
    </row>
    <row r="13558" spans="1:1" x14ac:dyDescent="0.3">
      <c r="A13558" s="12"/>
    </row>
    <row r="13559" spans="1:1" x14ac:dyDescent="0.3">
      <c r="A13559" s="12"/>
    </row>
    <row r="13560" spans="1:1" x14ac:dyDescent="0.3">
      <c r="A13560" s="12"/>
    </row>
    <row r="13561" spans="1:1" x14ac:dyDescent="0.3">
      <c r="A13561" s="12"/>
    </row>
    <row r="13562" spans="1:1" x14ac:dyDescent="0.3">
      <c r="A13562" s="12"/>
    </row>
    <row r="13563" spans="1:1" x14ac:dyDescent="0.3">
      <c r="A13563" s="12"/>
    </row>
    <row r="13564" spans="1:1" x14ac:dyDescent="0.3">
      <c r="A13564" s="12"/>
    </row>
    <row r="13565" spans="1:1" x14ac:dyDescent="0.3">
      <c r="A13565" s="12"/>
    </row>
    <row r="13566" spans="1:1" x14ac:dyDescent="0.3">
      <c r="A13566" s="12"/>
    </row>
    <row r="13567" spans="1:1" x14ac:dyDescent="0.3">
      <c r="A13567" s="12"/>
    </row>
    <row r="13568" spans="1:1" x14ac:dyDescent="0.3">
      <c r="A13568" s="12"/>
    </row>
    <row r="13569" spans="1:1" x14ac:dyDescent="0.3">
      <c r="A13569" s="12"/>
    </row>
    <row r="13570" spans="1:1" x14ac:dyDescent="0.3">
      <c r="A13570" s="12"/>
    </row>
    <row r="13571" spans="1:1" x14ac:dyDescent="0.3">
      <c r="A13571" s="12"/>
    </row>
    <row r="13572" spans="1:1" x14ac:dyDescent="0.3">
      <c r="A13572" s="12"/>
    </row>
    <row r="13573" spans="1:1" x14ac:dyDescent="0.3">
      <c r="A13573" s="12"/>
    </row>
    <row r="13574" spans="1:1" x14ac:dyDescent="0.3">
      <c r="A13574" s="12"/>
    </row>
    <row r="13575" spans="1:1" x14ac:dyDescent="0.3">
      <c r="A13575" s="12"/>
    </row>
    <row r="13576" spans="1:1" x14ac:dyDescent="0.3">
      <c r="A13576" s="12"/>
    </row>
    <row r="13577" spans="1:1" x14ac:dyDescent="0.3">
      <c r="A13577" s="12"/>
    </row>
    <row r="13578" spans="1:1" x14ac:dyDescent="0.3">
      <c r="A13578" s="12"/>
    </row>
    <row r="13579" spans="1:1" x14ac:dyDescent="0.3">
      <c r="A13579" s="12"/>
    </row>
    <row r="13580" spans="1:1" x14ac:dyDescent="0.3">
      <c r="A13580" s="12"/>
    </row>
    <row r="13581" spans="1:1" x14ac:dyDescent="0.3">
      <c r="A13581" s="12"/>
    </row>
    <row r="13582" spans="1:1" x14ac:dyDescent="0.3">
      <c r="A13582" s="12"/>
    </row>
    <row r="13583" spans="1:1" x14ac:dyDescent="0.3">
      <c r="A13583" s="12"/>
    </row>
    <row r="13584" spans="1:1" x14ac:dyDescent="0.3">
      <c r="A13584" s="12"/>
    </row>
    <row r="13585" spans="1:1" x14ac:dyDescent="0.3">
      <c r="A13585" s="12"/>
    </row>
    <row r="13586" spans="1:1" x14ac:dyDescent="0.3">
      <c r="A13586" s="12"/>
    </row>
    <row r="13587" spans="1:1" x14ac:dyDescent="0.3">
      <c r="A13587" s="12"/>
    </row>
    <row r="13588" spans="1:1" x14ac:dyDescent="0.3">
      <c r="A13588" s="12"/>
    </row>
    <row r="13589" spans="1:1" x14ac:dyDescent="0.3">
      <c r="A13589" s="12"/>
    </row>
    <row r="13590" spans="1:1" x14ac:dyDescent="0.3">
      <c r="A13590" s="12"/>
    </row>
    <row r="13591" spans="1:1" x14ac:dyDescent="0.3">
      <c r="A13591" s="12"/>
    </row>
    <row r="13592" spans="1:1" x14ac:dyDescent="0.3">
      <c r="A13592" s="12"/>
    </row>
    <row r="13593" spans="1:1" x14ac:dyDescent="0.3">
      <c r="A13593" s="12"/>
    </row>
    <row r="13594" spans="1:1" x14ac:dyDescent="0.3">
      <c r="A13594" s="12"/>
    </row>
    <row r="13595" spans="1:1" x14ac:dyDescent="0.3">
      <c r="A13595" s="12"/>
    </row>
    <row r="13596" spans="1:1" x14ac:dyDescent="0.3">
      <c r="A13596" s="12"/>
    </row>
    <row r="13597" spans="1:1" x14ac:dyDescent="0.3">
      <c r="A13597" s="12"/>
    </row>
    <row r="13598" spans="1:1" x14ac:dyDescent="0.3">
      <c r="A13598" s="12"/>
    </row>
    <row r="13599" spans="1:1" x14ac:dyDescent="0.3">
      <c r="A13599" s="12"/>
    </row>
    <row r="13600" spans="1:1" x14ac:dyDescent="0.3">
      <c r="A13600" s="12"/>
    </row>
    <row r="13601" spans="1:1" x14ac:dyDescent="0.3">
      <c r="A13601" s="12"/>
    </row>
    <row r="13602" spans="1:1" x14ac:dyDescent="0.3">
      <c r="A13602" s="12"/>
    </row>
    <row r="13603" spans="1:1" x14ac:dyDescent="0.3">
      <c r="A13603" s="12"/>
    </row>
    <row r="13604" spans="1:1" x14ac:dyDescent="0.3">
      <c r="A13604" s="12"/>
    </row>
    <row r="13605" spans="1:1" x14ac:dyDescent="0.3">
      <c r="A13605" s="12"/>
    </row>
    <row r="13606" spans="1:1" x14ac:dyDescent="0.3">
      <c r="A13606" s="12"/>
    </row>
    <row r="13607" spans="1:1" x14ac:dyDescent="0.3">
      <c r="A13607" s="12"/>
    </row>
    <row r="13608" spans="1:1" x14ac:dyDescent="0.3">
      <c r="A13608" s="12"/>
    </row>
    <row r="13609" spans="1:1" x14ac:dyDescent="0.3">
      <c r="A13609" s="12"/>
    </row>
    <row r="13610" spans="1:1" x14ac:dyDescent="0.3">
      <c r="A13610" s="12"/>
    </row>
    <row r="13611" spans="1:1" x14ac:dyDescent="0.3">
      <c r="A13611" s="12"/>
    </row>
    <row r="13612" spans="1:1" x14ac:dyDescent="0.3">
      <c r="A13612" s="12"/>
    </row>
    <row r="13613" spans="1:1" x14ac:dyDescent="0.3">
      <c r="A13613" s="12"/>
    </row>
    <row r="13614" spans="1:1" x14ac:dyDescent="0.3">
      <c r="A13614" s="12"/>
    </row>
    <row r="13615" spans="1:1" x14ac:dyDescent="0.3">
      <c r="A13615" s="12"/>
    </row>
    <row r="13616" spans="1:1" x14ac:dyDescent="0.3">
      <c r="A13616" s="12"/>
    </row>
    <row r="13617" spans="1:1" x14ac:dyDescent="0.3">
      <c r="A13617" s="12"/>
    </row>
    <row r="13618" spans="1:1" x14ac:dyDescent="0.3">
      <c r="A13618" s="12"/>
    </row>
    <row r="13619" spans="1:1" x14ac:dyDescent="0.3">
      <c r="A13619" s="12"/>
    </row>
    <row r="13620" spans="1:1" x14ac:dyDescent="0.3">
      <c r="A13620" s="12"/>
    </row>
    <row r="13621" spans="1:1" x14ac:dyDescent="0.3">
      <c r="A13621" s="12"/>
    </row>
    <row r="13622" spans="1:1" x14ac:dyDescent="0.3">
      <c r="A13622" s="12"/>
    </row>
    <row r="13623" spans="1:1" x14ac:dyDescent="0.3">
      <c r="A13623" s="12"/>
    </row>
    <row r="13624" spans="1:1" x14ac:dyDescent="0.3">
      <c r="A13624" s="12"/>
    </row>
    <row r="13625" spans="1:1" x14ac:dyDescent="0.3">
      <c r="A13625" s="12"/>
    </row>
    <row r="13626" spans="1:1" x14ac:dyDescent="0.3">
      <c r="A13626" s="12"/>
    </row>
    <row r="13627" spans="1:1" x14ac:dyDescent="0.3">
      <c r="A13627" s="12"/>
    </row>
    <row r="13628" spans="1:1" x14ac:dyDescent="0.3">
      <c r="A13628" s="12"/>
    </row>
    <row r="13629" spans="1:1" x14ac:dyDescent="0.3">
      <c r="A13629" s="12"/>
    </row>
    <row r="13630" spans="1:1" x14ac:dyDescent="0.3">
      <c r="A13630" s="12"/>
    </row>
    <row r="13631" spans="1:1" x14ac:dyDescent="0.3">
      <c r="A13631" s="12"/>
    </row>
    <row r="13632" spans="1:1" x14ac:dyDescent="0.3">
      <c r="A13632" s="12"/>
    </row>
    <row r="13633" spans="1:1" x14ac:dyDescent="0.3">
      <c r="A13633" s="12"/>
    </row>
    <row r="13634" spans="1:1" x14ac:dyDescent="0.3">
      <c r="A13634" s="12"/>
    </row>
    <row r="13635" spans="1:1" x14ac:dyDescent="0.3">
      <c r="A13635" s="12"/>
    </row>
    <row r="13636" spans="1:1" x14ac:dyDescent="0.3">
      <c r="A13636" s="12"/>
    </row>
    <row r="13637" spans="1:1" x14ac:dyDescent="0.3">
      <c r="A13637" s="12"/>
    </row>
    <row r="13638" spans="1:1" x14ac:dyDescent="0.3">
      <c r="A13638" s="12"/>
    </row>
    <row r="13639" spans="1:1" x14ac:dyDescent="0.3">
      <c r="A13639" s="12"/>
    </row>
    <row r="13640" spans="1:1" x14ac:dyDescent="0.3">
      <c r="A13640" s="12"/>
    </row>
    <row r="13641" spans="1:1" x14ac:dyDescent="0.3">
      <c r="A13641" s="12"/>
    </row>
    <row r="13642" spans="1:1" x14ac:dyDescent="0.3">
      <c r="A13642" s="12"/>
    </row>
    <row r="13643" spans="1:1" x14ac:dyDescent="0.3">
      <c r="A13643" s="12"/>
    </row>
    <row r="13644" spans="1:1" x14ac:dyDescent="0.3">
      <c r="A13644" s="12"/>
    </row>
    <row r="13645" spans="1:1" x14ac:dyDescent="0.3">
      <c r="A13645" s="12"/>
    </row>
    <row r="13646" spans="1:1" x14ac:dyDescent="0.3">
      <c r="A13646" s="12"/>
    </row>
    <row r="13647" spans="1:1" x14ac:dyDescent="0.3">
      <c r="A13647" s="12"/>
    </row>
    <row r="13648" spans="1:1" x14ac:dyDescent="0.3">
      <c r="A13648" s="12"/>
    </row>
    <row r="13649" spans="1:1" x14ac:dyDescent="0.3">
      <c r="A13649" s="12"/>
    </row>
    <row r="13650" spans="1:1" x14ac:dyDescent="0.3">
      <c r="A13650" s="12"/>
    </row>
    <row r="13651" spans="1:1" x14ac:dyDescent="0.3">
      <c r="A13651" s="12"/>
    </row>
    <row r="13652" spans="1:1" x14ac:dyDescent="0.3">
      <c r="A13652" s="12"/>
    </row>
    <row r="13653" spans="1:1" x14ac:dyDescent="0.3">
      <c r="A13653" s="12"/>
    </row>
    <row r="13654" spans="1:1" x14ac:dyDescent="0.3">
      <c r="A13654" s="12"/>
    </row>
    <row r="13655" spans="1:1" x14ac:dyDescent="0.3">
      <c r="A13655" s="12"/>
    </row>
    <row r="13656" spans="1:1" x14ac:dyDescent="0.3">
      <c r="A13656" s="12"/>
    </row>
    <row r="13657" spans="1:1" x14ac:dyDescent="0.3">
      <c r="A13657" s="12"/>
    </row>
    <row r="13658" spans="1:1" x14ac:dyDescent="0.3">
      <c r="A13658" s="12"/>
    </row>
    <row r="13659" spans="1:1" x14ac:dyDescent="0.3">
      <c r="A13659" s="12"/>
    </row>
    <row r="13660" spans="1:1" x14ac:dyDescent="0.3">
      <c r="A13660" s="12"/>
    </row>
    <row r="13661" spans="1:1" x14ac:dyDescent="0.3">
      <c r="A13661" s="12"/>
    </row>
    <row r="13662" spans="1:1" x14ac:dyDescent="0.3">
      <c r="A13662" s="12"/>
    </row>
    <row r="13663" spans="1:1" x14ac:dyDescent="0.3">
      <c r="A13663" s="12"/>
    </row>
    <row r="13664" spans="1:1" x14ac:dyDescent="0.3">
      <c r="A13664" s="12"/>
    </row>
    <row r="13665" spans="1:1" x14ac:dyDescent="0.3">
      <c r="A13665" s="12"/>
    </row>
    <row r="13666" spans="1:1" x14ac:dyDescent="0.3">
      <c r="A13666" s="12"/>
    </row>
    <row r="13667" spans="1:1" x14ac:dyDescent="0.3">
      <c r="A13667" s="12"/>
    </row>
    <row r="13668" spans="1:1" x14ac:dyDescent="0.3">
      <c r="A13668" s="12"/>
    </row>
    <row r="13669" spans="1:1" x14ac:dyDescent="0.3">
      <c r="A13669" s="12"/>
    </row>
    <row r="13670" spans="1:1" x14ac:dyDescent="0.3">
      <c r="A13670" s="12"/>
    </row>
    <row r="13671" spans="1:1" x14ac:dyDescent="0.3">
      <c r="A13671" s="12"/>
    </row>
    <row r="13672" spans="1:1" x14ac:dyDescent="0.3">
      <c r="A13672" s="12"/>
    </row>
    <row r="13673" spans="1:1" x14ac:dyDescent="0.3">
      <c r="A13673" s="12"/>
    </row>
    <row r="13674" spans="1:1" x14ac:dyDescent="0.3">
      <c r="A13674" s="12"/>
    </row>
    <row r="13675" spans="1:1" x14ac:dyDescent="0.3">
      <c r="A13675" s="12"/>
    </row>
    <row r="13676" spans="1:1" x14ac:dyDescent="0.3">
      <c r="A13676" s="12"/>
    </row>
    <row r="13677" spans="1:1" x14ac:dyDescent="0.3">
      <c r="A13677" s="12"/>
    </row>
    <row r="13678" spans="1:1" x14ac:dyDescent="0.3">
      <c r="A13678" s="12"/>
    </row>
    <row r="13679" spans="1:1" x14ac:dyDescent="0.3">
      <c r="A13679" s="12"/>
    </row>
    <row r="13680" spans="1:1" x14ac:dyDescent="0.3">
      <c r="A13680" s="12"/>
    </row>
    <row r="13681" spans="1:1" x14ac:dyDescent="0.3">
      <c r="A13681" s="12"/>
    </row>
    <row r="13682" spans="1:1" x14ac:dyDescent="0.3">
      <c r="A13682" s="12"/>
    </row>
    <row r="13683" spans="1:1" x14ac:dyDescent="0.3">
      <c r="A13683" s="12"/>
    </row>
    <row r="13684" spans="1:1" x14ac:dyDescent="0.3">
      <c r="A13684" s="12"/>
    </row>
    <row r="13685" spans="1:1" x14ac:dyDescent="0.3">
      <c r="A13685" s="12"/>
    </row>
    <row r="13686" spans="1:1" x14ac:dyDescent="0.3">
      <c r="A13686" s="12"/>
    </row>
    <row r="13687" spans="1:1" x14ac:dyDescent="0.3">
      <c r="A13687" s="12"/>
    </row>
    <row r="13688" spans="1:1" x14ac:dyDescent="0.3">
      <c r="A13688" s="12"/>
    </row>
    <row r="13689" spans="1:1" x14ac:dyDescent="0.3">
      <c r="A13689" s="12"/>
    </row>
    <row r="13690" spans="1:1" x14ac:dyDescent="0.3">
      <c r="A13690" s="12"/>
    </row>
    <row r="13691" spans="1:1" x14ac:dyDescent="0.3">
      <c r="A13691" s="12"/>
    </row>
    <row r="13692" spans="1:1" x14ac:dyDescent="0.3">
      <c r="A13692" s="12"/>
    </row>
    <row r="13693" spans="1:1" x14ac:dyDescent="0.3">
      <c r="A13693" s="12"/>
    </row>
    <row r="13694" spans="1:1" x14ac:dyDescent="0.3">
      <c r="A13694" s="12"/>
    </row>
    <row r="13695" spans="1:1" x14ac:dyDescent="0.3">
      <c r="A13695" s="12"/>
    </row>
    <row r="13696" spans="1:1" x14ac:dyDescent="0.3">
      <c r="A13696" s="12"/>
    </row>
    <row r="13697" spans="1:1" x14ac:dyDescent="0.3">
      <c r="A13697" s="12"/>
    </row>
    <row r="13698" spans="1:1" x14ac:dyDescent="0.3">
      <c r="A13698" s="12"/>
    </row>
    <row r="13699" spans="1:1" x14ac:dyDescent="0.3">
      <c r="A13699" s="12"/>
    </row>
    <row r="13700" spans="1:1" x14ac:dyDescent="0.3">
      <c r="A13700" s="12"/>
    </row>
    <row r="13701" spans="1:1" x14ac:dyDescent="0.3">
      <c r="A13701" s="12"/>
    </row>
    <row r="13702" spans="1:1" x14ac:dyDescent="0.3">
      <c r="A13702" s="12"/>
    </row>
    <row r="13703" spans="1:1" x14ac:dyDescent="0.3">
      <c r="A13703" s="12"/>
    </row>
    <row r="13704" spans="1:1" x14ac:dyDescent="0.3">
      <c r="A13704" s="12"/>
    </row>
    <row r="13705" spans="1:1" x14ac:dyDescent="0.3">
      <c r="A13705" s="12"/>
    </row>
    <row r="13706" spans="1:1" x14ac:dyDescent="0.3">
      <c r="A13706" s="12"/>
    </row>
    <row r="13707" spans="1:1" x14ac:dyDescent="0.3">
      <c r="A13707" s="12"/>
    </row>
    <row r="13708" spans="1:1" x14ac:dyDescent="0.3">
      <c r="A13708" s="12"/>
    </row>
    <row r="13709" spans="1:1" x14ac:dyDescent="0.3">
      <c r="A13709" s="12"/>
    </row>
    <row r="13710" spans="1:1" x14ac:dyDescent="0.3">
      <c r="A13710" s="12"/>
    </row>
    <row r="13711" spans="1:1" x14ac:dyDescent="0.3">
      <c r="A13711" s="12"/>
    </row>
    <row r="13712" spans="1:1" x14ac:dyDescent="0.3">
      <c r="A13712" s="12"/>
    </row>
    <row r="13713" spans="1:1" x14ac:dyDescent="0.3">
      <c r="A13713" s="12"/>
    </row>
    <row r="13714" spans="1:1" x14ac:dyDescent="0.3">
      <c r="A13714" s="12"/>
    </row>
    <row r="13715" spans="1:1" x14ac:dyDescent="0.3">
      <c r="A13715" s="12"/>
    </row>
    <row r="13716" spans="1:1" x14ac:dyDescent="0.3">
      <c r="A13716" s="12"/>
    </row>
    <row r="13717" spans="1:1" x14ac:dyDescent="0.3">
      <c r="A13717" s="12"/>
    </row>
    <row r="13718" spans="1:1" x14ac:dyDescent="0.3">
      <c r="A13718" s="12"/>
    </row>
    <row r="13719" spans="1:1" x14ac:dyDescent="0.3">
      <c r="A13719" s="12"/>
    </row>
    <row r="13720" spans="1:1" x14ac:dyDescent="0.3">
      <c r="A13720" s="12"/>
    </row>
    <row r="13721" spans="1:1" x14ac:dyDescent="0.3">
      <c r="A13721" s="12"/>
    </row>
    <row r="13722" spans="1:1" x14ac:dyDescent="0.3">
      <c r="A13722" s="12"/>
    </row>
    <row r="13723" spans="1:1" x14ac:dyDescent="0.3">
      <c r="A13723" s="12"/>
    </row>
    <row r="13724" spans="1:1" x14ac:dyDescent="0.3">
      <c r="A13724" s="12"/>
    </row>
    <row r="13725" spans="1:1" x14ac:dyDescent="0.3">
      <c r="A13725" s="12"/>
    </row>
    <row r="13726" spans="1:1" x14ac:dyDescent="0.3">
      <c r="A13726" s="12"/>
    </row>
    <row r="13727" spans="1:1" x14ac:dyDescent="0.3">
      <c r="A13727" s="12"/>
    </row>
    <row r="13728" spans="1:1" x14ac:dyDescent="0.3">
      <c r="A13728" s="12"/>
    </row>
    <row r="13729" spans="1:1" x14ac:dyDescent="0.3">
      <c r="A13729" s="12"/>
    </row>
    <row r="13730" spans="1:1" x14ac:dyDescent="0.3">
      <c r="A13730" s="12"/>
    </row>
    <row r="13731" spans="1:1" x14ac:dyDescent="0.3">
      <c r="A13731" s="12"/>
    </row>
    <row r="13732" spans="1:1" x14ac:dyDescent="0.3">
      <c r="A13732" s="12"/>
    </row>
    <row r="13733" spans="1:1" x14ac:dyDescent="0.3">
      <c r="A13733" s="12"/>
    </row>
    <row r="13734" spans="1:1" x14ac:dyDescent="0.3">
      <c r="A13734" s="12"/>
    </row>
    <row r="13735" spans="1:1" x14ac:dyDescent="0.3">
      <c r="A13735" s="12"/>
    </row>
    <row r="13736" spans="1:1" x14ac:dyDescent="0.3">
      <c r="A13736" s="12"/>
    </row>
    <row r="13737" spans="1:1" x14ac:dyDescent="0.3">
      <c r="A13737" s="12"/>
    </row>
    <row r="13738" spans="1:1" x14ac:dyDescent="0.3">
      <c r="A13738" s="12"/>
    </row>
    <row r="13739" spans="1:1" x14ac:dyDescent="0.3">
      <c r="A13739" s="12"/>
    </row>
    <row r="13740" spans="1:1" x14ac:dyDescent="0.3">
      <c r="A13740" s="12"/>
    </row>
    <row r="13741" spans="1:1" x14ac:dyDescent="0.3">
      <c r="A13741" s="12"/>
    </row>
    <row r="13742" spans="1:1" x14ac:dyDescent="0.3">
      <c r="A13742" s="12"/>
    </row>
    <row r="13743" spans="1:1" x14ac:dyDescent="0.3">
      <c r="A13743" s="12"/>
    </row>
    <row r="13744" spans="1:1" x14ac:dyDescent="0.3">
      <c r="A13744" s="12"/>
    </row>
    <row r="13745" spans="1:1" x14ac:dyDescent="0.3">
      <c r="A13745" s="12"/>
    </row>
    <row r="13746" spans="1:1" x14ac:dyDescent="0.3">
      <c r="A13746" s="12"/>
    </row>
    <row r="13747" spans="1:1" x14ac:dyDescent="0.3">
      <c r="A13747" s="12"/>
    </row>
    <row r="13748" spans="1:1" x14ac:dyDescent="0.3">
      <c r="A13748" s="12"/>
    </row>
    <row r="13749" spans="1:1" x14ac:dyDescent="0.3">
      <c r="A13749" s="12"/>
    </row>
    <row r="13750" spans="1:1" x14ac:dyDescent="0.3">
      <c r="A13750" s="12"/>
    </row>
    <row r="13751" spans="1:1" x14ac:dyDescent="0.3">
      <c r="A13751" s="12"/>
    </row>
    <row r="13752" spans="1:1" x14ac:dyDescent="0.3">
      <c r="A13752" s="12"/>
    </row>
    <row r="13753" spans="1:1" x14ac:dyDescent="0.3">
      <c r="A13753" s="12"/>
    </row>
    <row r="13754" spans="1:1" x14ac:dyDescent="0.3">
      <c r="A13754" s="12"/>
    </row>
    <row r="13755" spans="1:1" x14ac:dyDescent="0.3">
      <c r="A13755" s="12"/>
    </row>
    <row r="13756" spans="1:1" x14ac:dyDescent="0.3">
      <c r="A13756" s="12"/>
    </row>
    <row r="13757" spans="1:1" x14ac:dyDescent="0.3">
      <c r="A13757" s="12"/>
    </row>
    <row r="13758" spans="1:1" x14ac:dyDescent="0.3">
      <c r="A13758" s="12"/>
    </row>
    <row r="13759" spans="1:1" x14ac:dyDescent="0.3">
      <c r="A13759" s="12"/>
    </row>
    <row r="13760" spans="1:1" x14ac:dyDescent="0.3">
      <c r="A13760" s="12"/>
    </row>
    <row r="13761" spans="1:1" x14ac:dyDescent="0.3">
      <c r="A13761" s="12"/>
    </row>
    <row r="13762" spans="1:1" x14ac:dyDescent="0.3">
      <c r="A13762" s="12"/>
    </row>
    <row r="13763" spans="1:1" x14ac:dyDescent="0.3">
      <c r="A13763" s="12"/>
    </row>
    <row r="13764" spans="1:1" x14ac:dyDescent="0.3">
      <c r="A13764" s="12"/>
    </row>
    <row r="13765" spans="1:1" x14ac:dyDescent="0.3">
      <c r="A13765" s="12"/>
    </row>
    <row r="13766" spans="1:1" x14ac:dyDescent="0.3">
      <c r="A13766" s="12"/>
    </row>
    <row r="13767" spans="1:1" x14ac:dyDescent="0.3">
      <c r="A13767" s="12"/>
    </row>
    <row r="13768" spans="1:1" x14ac:dyDescent="0.3">
      <c r="A13768" s="12"/>
    </row>
    <row r="13769" spans="1:1" x14ac:dyDescent="0.3">
      <c r="A13769" s="12"/>
    </row>
    <row r="13770" spans="1:1" x14ac:dyDescent="0.3">
      <c r="A13770" s="12"/>
    </row>
    <row r="13771" spans="1:1" x14ac:dyDescent="0.3">
      <c r="A13771" s="12"/>
    </row>
    <row r="13772" spans="1:1" x14ac:dyDescent="0.3">
      <c r="A13772" s="12"/>
    </row>
    <row r="13773" spans="1:1" x14ac:dyDescent="0.3">
      <c r="A13773" s="12"/>
    </row>
    <row r="13774" spans="1:1" x14ac:dyDescent="0.3">
      <c r="A13774" s="12"/>
    </row>
    <row r="13775" spans="1:1" x14ac:dyDescent="0.3">
      <c r="A13775" s="12"/>
    </row>
    <row r="13776" spans="1:1" x14ac:dyDescent="0.3">
      <c r="A13776" s="12"/>
    </row>
    <row r="13777" spans="1:1" x14ac:dyDescent="0.3">
      <c r="A13777" s="12"/>
    </row>
    <row r="13778" spans="1:1" x14ac:dyDescent="0.3">
      <c r="A13778" s="12"/>
    </row>
    <row r="13779" spans="1:1" x14ac:dyDescent="0.3">
      <c r="A13779" s="12"/>
    </row>
    <row r="13780" spans="1:1" x14ac:dyDescent="0.3">
      <c r="A13780" s="12"/>
    </row>
    <row r="13781" spans="1:1" x14ac:dyDescent="0.3">
      <c r="A13781" s="12"/>
    </row>
    <row r="13782" spans="1:1" x14ac:dyDescent="0.3">
      <c r="A13782" s="12"/>
    </row>
    <row r="13783" spans="1:1" x14ac:dyDescent="0.3">
      <c r="A13783" s="12"/>
    </row>
    <row r="13784" spans="1:1" x14ac:dyDescent="0.3">
      <c r="A13784" s="12"/>
    </row>
    <row r="13785" spans="1:1" x14ac:dyDescent="0.3">
      <c r="A13785" s="12"/>
    </row>
    <row r="13786" spans="1:1" x14ac:dyDescent="0.3">
      <c r="A13786" s="12"/>
    </row>
    <row r="13787" spans="1:1" x14ac:dyDescent="0.3">
      <c r="A13787" s="12"/>
    </row>
    <row r="13788" spans="1:1" x14ac:dyDescent="0.3">
      <c r="A13788" s="12"/>
    </row>
    <row r="13789" spans="1:1" x14ac:dyDescent="0.3">
      <c r="A13789" s="12"/>
    </row>
    <row r="13790" spans="1:1" x14ac:dyDescent="0.3">
      <c r="A13790" s="12"/>
    </row>
    <row r="13791" spans="1:1" x14ac:dyDescent="0.3">
      <c r="A13791" s="12"/>
    </row>
    <row r="13792" spans="1:1" x14ac:dyDescent="0.3">
      <c r="A13792" s="12"/>
    </row>
    <row r="13793" spans="1:1" x14ac:dyDescent="0.3">
      <c r="A13793" s="12"/>
    </row>
    <row r="13794" spans="1:1" x14ac:dyDescent="0.3">
      <c r="A13794" s="12"/>
    </row>
    <row r="13795" spans="1:1" x14ac:dyDescent="0.3">
      <c r="A13795" s="12"/>
    </row>
    <row r="13796" spans="1:1" x14ac:dyDescent="0.3">
      <c r="A13796" s="12"/>
    </row>
    <row r="13797" spans="1:1" x14ac:dyDescent="0.3">
      <c r="A13797" s="12"/>
    </row>
    <row r="13798" spans="1:1" x14ac:dyDescent="0.3">
      <c r="A13798" s="12"/>
    </row>
    <row r="13799" spans="1:1" x14ac:dyDescent="0.3">
      <c r="A13799" s="12"/>
    </row>
    <row r="13800" spans="1:1" x14ac:dyDescent="0.3">
      <c r="A13800" s="12"/>
    </row>
    <row r="13801" spans="1:1" x14ac:dyDescent="0.3">
      <c r="A13801" s="12"/>
    </row>
    <row r="13802" spans="1:1" x14ac:dyDescent="0.3">
      <c r="A13802" s="12"/>
    </row>
    <row r="13803" spans="1:1" x14ac:dyDescent="0.3">
      <c r="A13803" s="12"/>
    </row>
    <row r="13804" spans="1:1" x14ac:dyDescent="0.3">
      <c r="A13804" s="12"/>
    </row>
    <row r="13805" spans="1:1" x14ac:dyDescent="0.3">
      <c r="A13805" s="12"/>
    </row>
    <row r="13806" spans="1:1" x14ac:dyDescent="0.3">
      <c r="A13806" s="12"/>
    </row>
    <row r="13807" spans="1:1" x14ac:dyDescent="0.3">
      <c r="A13807" s="12"/>
    </row>
    <row r="13808" spans="1:1" x14ac:dyDescent="0.3">
      <c r="A13808" s="12"/>
    </row>
    <row r="13809" spans="1:1" x14ac:dyDescent="0.3">
      <c r="A13809" s="12"/>
    </row>
    <row r="13810" spans="1:1" x14ac:dyDescent="0.3">
      <c r="A13810" s="12"/>
    </row>
    <row r="13811" spans="1:1" x14ac:dyDescent="0.3">
      <c r="A13811" s="12"/>
    </row>
    <row r="13812" spans="1:1" x14ac:dyDescent="0.3">
      <c r="A13812" s="12"/>
    </row>
    <row r="13813" spans="1:1" x14ac:dyDescent="0.3">
      <c r="A13813" s="12"/>
    </row>
    <row r="13814" spans="1:1" x14ac:dyDescent="0.3">
      <c r="A13814" s="12"/>
    </row>
    <row r="13815" spans="1:1" x14ac:dyDescent="0.3">
      <c r="A13815" s="12"/>
    </row>
    <row r="13816" spans="1:1" x14ac:dyDescent="0.3">
      <c r="A13816" s="12"/>
    </row>
    <row r="13817" spans="1:1" x14ac:dyDescent="0.3">
      <c r="A13817" s="12"/>
    </row>
    <row r="13818" spans="1:1" x14ac:dyDescent="0.3">
      <c r="A13818" s="12"/>
    </row>
    <row r="13819" spans="1:1" x14ac:dyDescent="0.3">
      <c r="A13819" s="12"/>
    </row>
    <row r="13820" spans="1:1" x14ac:dyDescent="0.3">
      <c r="A13820" s="12"/>
    </row>
    <row r="13821" spans="1:1" x14ac:dyDescent="0.3">
      <c r="A13821" s="12"/>
    </row>
    <row r="13822" spans="1:1" x14ac:dyDescent="0.3">
      <c r="A13822" s="12"/>
    </row>
    <row r="13823" spans="1:1" x14ac:dyDescent="0.3">
      <c r="A13823" s="12"/>
    </row>
    <row r="13824" spans="1:1" x14ac:dyDescent="0.3">
      <c r="A13824" s="12"/>
    </row>
    <row r="13825" spans="1:1" x14ac:dyDescent="0.3">
      <c r="A13825" s="12"/>
    </row>
    <row r="13826" spans="1:1" x14ac:dyDescent="0.3">
      <c r="A13826" s="12"/>
    </row>
    <row r="13827" spans="1:1" x14ac:dyDescent="0.3">
      <c r="A13827" s="12"/>
    </row>
    <row r="13828" spans="1:1" x14ac:dyDescent="0.3">
      <c r="A13828" s="12"/>
    </row>
    <row r="13829" spans="1:1" x14ac:dyDescent="0.3">
      <c r="A13829" s="12"/>
    </row>
    <row r="13830" spans="1:1" x14ac:dyDescent="0.3">
      <c r="A13830" s="12"/>
    </row>
    <row r="13831" spans="1:1" x14ac:dyDescent="0.3">
      <c r="A13831" s="12"/>
    </row>
    <row r="13832" spans="1:1" x14ac:dyDescent="0.3">
      <c r="A13832" s="12"/>
    </row>
    <row r="13833" spans="1:1" x14ac:dyDescent="0.3">
      <c r="A13833" s="12"/>
    </row>
    <row r="13834" spans="1:1" x14ac:dyDescent="0.3">
      <c r="A13834" s="12"/>
    </row>
    <row r="13835" spans="1:1" x14ac:dyDescent="0.3">
      <c r="A13835" s="12"/>
    </row>
    <row r="13836" spans="1:1" x14ac:dyDescent="0.3">
      <c r="A13836" s="12"/>
    </row>
    <row r="13837" spans="1:1" x14ac:dyDescent="0.3">
      <c r="A13837" s="12"/>
    </row>
    <row r="13838" spans="1:1" x14ac:dyDescent="0.3">
      <c r="A13838" s="12"/>
    </row>
    <row r="13839" spans="1:1" x14ac:dyDescent="0.3">
      <c r="A13839" s="12"/>
    </row>
    <row r="13840" spans="1:1" x14ac:dyDescent="0.3">
      <c r="A13840" s="12"/>
    </row>
    <row r="13841" spans="1:1" x14ac:dyDescent="0.3">
      <c r="A13841" s="12"/>
    </row>
    <row r="13842" spans="1:1" x14ac:dyDescent="0.3">
      <c r="A13842" s="12"/>
    </row>
    <row r="13843" spans="1:1" x14ac:dyDescent="0.3">
      <c r="A13843" s="12"/>
    </row>
    <row r="13844" spans="1:1" x14ac:dyDescent="0.3">
      <c r="A13844" s="12"/>
    </row>
    <row r="13845" spans="1:1" x14ac:dyDescent="0.3">
      <c r="A13845" s="12"/>
    </row>
    <row r="13846" spans="1:1" x14ac:dyDescent="0.3">
      <c r="A13846" s="12"/>
    </row>
    <row r="13847" spans="1:1" x14ac:dyDescent="0.3">
      <c r="A13847" s="12"/>
    </row>
    <row r="13848" spans="1:1" x14ac:dyDescent="0.3">
      <c r="A13848" s="12"/>
    </row>
    <row r="13849" spans="1:1" x14ac:dyDescent="0.3">
      <c r="A13849" s="12"/>
    </row>
    <row r="13850" spans="1:1" x14ac:dyDescent="0.3">
      <c r="A13850" s="12"/>
    </row>
    <row r="13851" spans="1:1" x14ac:dyDescent="0.3">
      <c r="A13851" s="12"/>
    </row>
    <row r="13852" spans="1:1" x14ac:dyDescent="0.3">
      <c r="A13852" s="12"/>
    </row>
    <row r="13853" spans="1:1" x14ac:dyDescent="0.3">
      <c r="A13853" s="12"/>
    </row>
    <row r="13854" spans="1:1" x14ac:dyDescent="0.3">
      <c r="A13854" s="12"/>
    </row>
    <row r="13855" spans="1:1" x14ac:dyDescent="0.3">
      <c r="A13855" s="12"/>
    </row>
    <row r="13856" spans="1:1" x14ac:dyDescent="0.3">
      <c r="A13856" s="12"/>
    </row>
    <row r="13857" spans="1:1" x14ac:dyDescent="0.3">
      <c r="A13857" s="12"/>
    </row>
    <row r="13858" spans="1:1" x14ac:dyDescent="0.3">
      <c r="A13858" s="12"/>
    </row>
    <row r="13859" spans="1:1" x14ac:dyDescent="0.3">
      <c r="A13859" s="12"/>
    </row>
    <row r="13860" spans="1:1" x14ac:dyDescent="0.3">
      <c r="A13860" s="12"/>
    </row>
    <row r="13861" spans="1:1" x14ac:dyDescent="0.3">
      <c r="A13861" s="12"/>
    </row>
    <row r="13862" spans="1:1" x14ac:dyDescent="0.3">
      <c r="A13862" s="12"/>
    </row>
    <row r="13863" spans="1:1" x14ac:dyDescent="0.3">
      <c r="A13863" s="12"/>
    </row>
    <row r="13864" spans="1:1" x14ac:dyDescent="0.3">
      <c r="A13864" s="12"/>
    </row>
    <row r="13865" spans="1:1" x14ac:dyDescent="0.3">
      <c r="A13865" s="12"/>
    </row>
    <row r="13866" spans="1:1" x14ac:dyDescent="0.3">
      <c r="A13866" s="12"/>
    </row>
    <row r="13867" spans="1:1" x14ac:dyDescent="0.3">
      <c r="A13867" s="12"/>
    </row>
    <row r="13868" spans="1:1" x14ac:dyDescent="0.3">
      <c r="A13868" s="12"/>
    </row>
    <row r="13869" spans="1:1" x14ac:dyDescent="0.3">
      <c r="A13869" s="12"/>
    </row>
    <row r="13870" spans="1:1" x14ac:dyDescent="0.3">
      <c r="A13870" s="12"/>
    </row>
    <row r="13871" spans="1:1" x14ac:dyDescent="0.3">
      <c r="A13871" s="12"/>
    </row>
    <row r="13872" spans="1:1" x14ac:dyDescent="0.3">
      <c r="A13872" s="12"/>
    </row>
    <row r="13873" spans="1:1" x14ac:dyDescent="0.3">
      <c r="A13873" s="12"/>
    </row>
    <row r="13874" spans="1:1" x14ac:dyDescent="0.3">
      <c r="A13874" s="12"/>
    </row>
    <row r="13875" spans="1:1" x14ac:dyDescent="0.3">
      <c r="A13875" s="12"/>
    </row>
    <row r="13876" spans="1:1" x14ac:dyDescent="0.3">
      <c r="A13876" s="12"/>
    </row>
    <row r="13877" spans="1:1" x14ac:dyDescent="0.3">
      <c r="A13877" s="12"/>
    </row>
    <row r="13878" spans="1:1" x14ac:dyDescent="0.3">
      <c r="A13878" s="12"/>
    </row>
    <row r="13879" spans="1:1" x14ac:dyDescent="0.3">
      <c r="A13879" s="12"/>
    </row>
    <row r="13880" spans="1:1" x14ac:dyDescent="0.3">
      <c r="A13880" s="12"/>
    </row>
    <row r="13881" spans="1:1" x14ac:dyDescent="0.3">
      <c r="A13881" s="12"/>
    </row>
    <row r="13882" spans="1:1" x14ac:dyDescent="0.3">
      <c r="A13882" s="12"/>
    </row>
    <row r="13883" spans="1:1" x14ac:dyDescent="0.3">
      <c r="A13883" s="12"/>
    </row>
    <row r="13884" spans="1:1" x14ac:dyDescent="0.3">
      <c r="A13884" s="12"/>
    </row>
    <row r="13885" spans="1:1" x14ac:dyDescent="0.3">
      <c r="A13885" s="12"/>
    </row>
    <row r="13886" spans="1:1" x14ac:dyDescent="0.3">
      <c r="A13886" s="12"/>
    </row>
    <row r="13887" spans="1:1" x14ac:dyDescent="0.3">
      <c r="A13887" s="12"/>
    </row>
    <row r="13888" spans="1:1" x14ac:dyDescent="0.3">
      <c r="A13888" s="12"/>
    </row>
    <row r="13889" spans="1:1" x14ac:dyDescent="0.3">
      <c r="A13889" s="12"/>
    </row>
    <row r="13890" spans="1:1" x14ac:dyDescent="0.3">
      <c r="A13890" s="12"/>
    </row>
    <row r="13891" spans="1:1" x14ac:dyDescent="0.3">
      <c r="A13891" s="12"/>
    </row>
    <row r="13892" spans="1:1" x14ac:dyDescent="0.3">
      <c r="A13892" s="12"/>
    </row>
    <row r="13893" spans="1:1" x14ac:dyDescent="0.3">
      <c r="A13893" s="12"/>
    </row>
    <row r="13894" spans="1:1" x14ac:dyDescent="0.3">
      <c r="A13894" s="12"/>
    </row>
    <row r="13895" spans="1:1" x14ac:dyDescent="0.3">
      <c r="A13895" s="12"/>
    </row>
    <row r="13896" spans="1:1" x14ac:dyDescent="0.3">
      <c r="A13896" s="12"/>
    </row>
    <row r="13897" spans="1:1" x14ac:dyDescent="0.3">
      <c r="A13897" s="12"/>
    </row>
    <row r="13898" spans="1:1" x14ac:dyDescent="0.3">
      <c r="A13898" s="12"/>
    </row>
    <row r="13899" spans="1:1" x14ac:dyDescent="0.3">
      <c r="A13899" s="12"/>
    </row>
    <row r="13900" spans="1:1" x14ac:dyDescent="0.3">
      <c r="A13900" s="12"/>
    </row>
    <row r="13901" spans="1:1" x14ac:dyDescent="0.3">
      <c r="A13901" s="12"/>
    </row>
    <row r="13902" spans="1:1" x14ac:dyDescent="0.3">
      <c r="A13902" s="12"/>
    </row>
    <row r="13903" spans="1:1" x14ac:dyDescent="0.3">
      <c r="A13903" s="12"/>
    </row>
    <row r="13904" spans="1:1" x14ac:dyDescent="0.3">
      <c r="A13904" s="12"/>
    </row>
    <row r="13905" spans="1:1" x14ac:dyDescent="0.3">
      <c r="A13905" s="12"/>
    </row>
    <row r="13906" spans="1:1" x14ac:dyDescent="0.3">
      <c r="A13906" s="12"/>
    </row>
    <row r="13907" spans="1:1" x14ac:dyDescent="0.3">
      <c r="A13907" s="12"/>
    </row>
    <row r="13908" spans="1:1" x14ac:dyDescent="0.3">
      <c r="A13908" s="12"/>
    </row>
    <row r="13909" spans="1:1" x14ac:dyDescent="0.3">
      <c r="A13909" s="12"/>
    </row>
    <row r="13910" spans="1:1" x14ac:dyDescent="0.3">
      <c r="A13910" s="12"/>
    </row>
    <row r="13911" spans="1:1" x14ac:dyDescent="0.3">
      <c r="A13911" s="12"/>
    </row>
    <row r="13912" spans="1:1" x14ac:dyDescent="0.3">
      <c r="A13912" s="12"/>
    </row>
    <row r="13913" spans="1:1" x14ac:dyDescent="0.3">
      <c r="A13913" s="12"/>
    </row>
    <row r="13914" spans="1:1" x14ac:dyDescent="0.3">
      <c r="A13914" s="12"/>
    </row>
    <row r="13915" spans="1:1" x14ac:dyDescent="0.3">
      <c r="A13915" s="12"/>
    </row>
    <row r="13916" spans="1:1" x14ac:dyDescent="0.3">
      <c r="A13916" s="12"/>
    </row>
    <row r="13917" spans="1:1" x14ac:dyDescent="0.3">
      <c r="A13917" s="12"/>
    </row>
    <row r="13918" spans="1:1" x14ac:dyDescent="0.3">
      <c r="A13918" s="12"/>
    </row>
    <row r="13919" spans="1:1" x14ac:dyDescent="0.3">
      <c r="A13919" s="12"/>
    </row>
    <row r="13920" spans="1:1" x14ac:dyDescent="0.3">
      <c r="A13920" s="12"/>
    </row>
    <row r="13921" spans="1:1" x14ac:dyDescent="0.3">
      <c r="A13921" s="12"/>
    </row>
    <row r="13922" spans="1:1" x14ac:dyDescent="0.3">
      <c r="A13922" s="12"/>
    </row>
    <row r="13923" spans="1:1" x14ac:dyDescent="0.3">
      <c r="A13923" s="12"/>
    </row>
    <row r="13924" spans="1:1" x14ac:dyDescent="0.3">
      <c r="A13924" s="12"/>
    </row>
    <row r="13925" spans="1:1" x14ac:dyDescent="0.3">
      <c r="A13925" s="12"/>
    </row>
    <row r="13926" spans="1:1" x14ac:dyDescent="0.3">
      <c r="A13926" s="12"/>
    </row>
    <row r="13927" spans="1:1" x14ac:dyDescent="0.3">
      <c r="A13927" s="12"/>
    </row>
    <row r="13928" spans="1:1" x14ac:dyDescent="0.3">
      <c r="A13928" s="12"/>
    </row>
    <row r="13929" spans="1:1" x14ac:dyDescent="0.3">
      <c r="A13929" s="12"/>
    </row>
    <row r="13930" spans="1:1" x14ac:dyDescent="0.3">
      <c r="A13930" s="12"/>
    </row>
    <row r="13931" spans="1:1" x14ac:dyDescent="0.3">
      <c r="A13931" s="12"/>
    </row>
    <row r="13932" spans="1:1" x14ac:dyDescent="0.3">
      <c r="A13932" s="12"/>
    </row>
    <row r="13933" spans="1:1" x14ac:dyDescent="0.3">
      <c r="A13933" s="12"/>
    </row>
    <row r="13934" spans="1:1" x14ac:dyDescent="0.3">
      <c r="A13934" s="12"/>
    </row>
    <row r="13935" spans="1:1" x14ac:dyDescent="0.3">
      <c r="A13935" s="12"/>
    </row>
    <row r="13936" spans="1:1" x14ac:dyDescent="0.3">
      <c r="A13936" s="12"/>
    </row>
    <row r="13937" spans="1:1" x14ac:dyDescent="0.3">
      <c r="A13937" s="12"/>
    </row>
    <row r="13938" spans="1:1" x14ac:dyDescent="0.3">
      <c r="A13938" s="12"/>
    </row>
    <row r="13939" spans="1:1" x14ac:dyDescent="0.3">
      <c r="A13939" s="12"/>
    </row>
    <row r="13940" spans="1:1" x14ac:dyDescent="0.3">
      <c r="A13940" s="12"/>
    </row>
    <row r="13941" spans="1:1" x14ac:dyDescent="0.3">
      <c r="A13941" s="12"/>
    </row>
    <row r="13942" spans="1:1" x14ac:dyDescent="0.3">
      <c r="A13942" s="12"/>
    </row>
    <row r="13943" spans="1:1" x14ac:dyDescent="0.3">
      <c r="A13943" s="12"/>
    </row>
    <row r="13944" spans="1:1" x14ac:dyDescent="0.3">
      <c r="A13944" s="12"/>
    </row>
    <row r="13945" spans="1:1" x14ac:dyDescent="0.3">
      <c r="A13945" s="12"/>
    </row>
    <row r="13946" spans="1:1" x14ac:dyDescent="0.3">
      <c r="A13946" s="12"/>
    </row>
    <row r="13947" spans="1:1" x14ac:dyDescent="0.3">
      <c r="A13947" s="12"/>
    </row>
    <row r="13948" spans="1:1" x14ac:dyDescent="0.3">
      <c r="A13948" s="12"/>
    </row>
    <row r="13949" spans="1:1" x14ac:dyDescent="0.3">
      <c r="A13949" s="12"/>
    </row>
    <row r="13950" spans="1:1" x14ac:dyDescent="0.3">
      <c r="A13950" s="12"/>
    </row>
    <row r="13951" spans="1:1" x14ac:dyDescent="0.3">
      <c r="A13951" s="12"/>
    </row>
    <row r="13952" spans="1:1" x14ac:dyDescent="0.3">
      <c r="A13952" s="12"/>
    </row>
    <row r="13953" spans="1:1" x14ac:dyDescent="0.3">
      <c r="A13953" s="12"/>
    </row>
    <row r="13954" spans="1:1" x14ac:dyDescent="0.3">
      <c r="A13954" s="12"/>
    </row>
    <row r="13955" spans="1:1" x14ac:dyDescent="0.3">
      <c r="A13955" s="12"/>
    </row>
    <row r="13956" spans="1:1" x14ac:dyDescent="0.3">
      <c r="A13956" s="12"/>
    </row>
    <row r="13957" spans="1:1" x14ac:dyDescent="0.3">
      <c r="A13957" s="12"/>
    </row>
    <row r="13958" spans="1:1" x14ac:dyDescent="0.3">
      <c r="A13958" s="12"/>
    </row>
    <row r="13959" spans="1:1" x14ac:dyDescent="0.3">
      <c r="A13959" s="12"/>
    </row>
    <row r="13960" spans="1:1" x14ac:dyDescent="0.3">
      <c r="A13960" s="12"/>
    </row>
    <row r="13961" spans="1:1" x14ac:dyDescent="0.3">
      <c r="A13961" s="12"/>
    </row>
    <row r="13962" spans="1:1" x14ac:dyDescent="0.3">
      <c r="A13962" s="12"/>
    </row>
    <row r="13963" spans="1:1" x14ac:dyDescent="0.3">
      <c r="A13963" s="12"/>
    </row>
    <row r="13964" spans="1:1" x14ac:dyDescent="0.3">
      <c r="A13964" s="12"/>
    </row>
    <row r="13965" spans="1:1" x14ac:dyDescent="0.3">
      <c r="A13965" s="12"/>
    </row>
    <row r="13966" spans="1:1" x14ac:dyDescent="0.3">
      <c r="A13966" s="12"/>
    </row>
    <row r="13967" spans="1:1" x14ac:dyDescent="0.3">
      <c r="A13967" s="12"/>
    </row>
    <row r="13968" spans="1:1" x14ac:dyDescent="0.3">
      <c r="A13968" s="12"/>
    </row>
    <row r="13969" spans="1:1" x14ac:dyDescent="0.3">
      <c r="A13969" s="12"/>
    </row>
    <row r="13970" spans="1:1" x14ac:dyDescent="0.3">
      <c r="A13970" s="12"/>
    </row>
    <row r="13971" spans="1:1" x14ac:dyDescent="0.3">
      <c r="A13971" s="12"/>
    </row>
    <row r="13972" spans="1:1" x14ac:dyDescent="0.3">
      <c r="A13972" s="12"/>
    </row>
    <row r="13973" spans="1:1" x14ac:dyDescent="0.3">
      <c r="A13973" s="12"/>
    </row>
    <row r="13974" spans="1:1" x14ac:dyDescent="0.3">
      <c r="A13974" s="12"/>
    </row>
    <row r="13975" spans="1:1" x14ac:dyDescent="0.3">
      <c r="A13975" s="12"/>
    </row>
    <row r="13976" spans="1:1" x14ac:dyDescent="0.3">
      <c r="A13976" s="12"/>
    </row>
    <row r="13977" spans="1:1" x14ac:dyDescent="0.3">
      <c r="A13977" s="12"/>
    </row>
    <row r="13978" spans="1:1" x14ac:dyDescent="0.3">
      <c r="A13978" s="12"/>
    </row>
    <row r="13979" spans="1:1" x14ac:dyDescent="0.3">
      <c r="A13979" s="12"/>
    </row>
    <row r="13980" spans="1:1" x14ac:dyDescent="0.3">
      <c r="A13980" s="12"/>
    </row>
    <row r="13981" spans="1:1" x14ac:dyDescent="0.3">
      <c r="A13981" s="12"/>
    </row>
    <row r="13982" spans="1:1" x14ac:dyDescent="0.3">
      <c r="A13982" s="12"/>
    </row>
    <row r="13983" spans="1:1" x14ac:dyDescent="0.3">
      <c r="A13983" s="12"/>
    </row>
    <row r="13984" spans="1:1" x14ac:dyDescent="0.3">
      <c r="A13984" s="12"/>
    </row>
    <row r="13985" spans="1:1" x14ac:dyDescent="0.3">
      <c r="A13985" s="12"/>
    </row>
    <row r="13986" spans="1:1" x14ac:dyDescent="0.3">
      <c r="A13986" s="12"/>
    </row>
    <row r="13987" spans="1:1" x14ac:dyDescent="0.3">
      <c r="A13987" s="12"/>
    </row>
    <row r="13988" spans="1:1" x14ac:dyDescent="0.3">
      <c r="A13988" s="12"/>
    </row>
    <row r="13989" spans="1:1" x14ac:dyDescent="0.3">
      <c r="A13989" s="12"/>
    </row>
    <row r="13990" spans="1:1" x14ac:dyDescent="0.3">
      <c r="A13990" s="12"/>
    </row>
    <row r="13991" spans="1:1" x14ac:dyDescent="0.3">
      <c r="A13991" s="12"/>
    </row>
    <row r="13992" spans="1:1" x14ac:dyDescent="0.3">
      <c r="A13992" s="12"/>
    </row>
    <row r="13993" spans="1:1" x14ac:dyDescent="0.3">
      <c r="A13993" s="12"/>
    </row>
    <row r="13994" spans="1:1" x14ac:dyDescent="0.3">
      <c r="A13994" s="12"/>
    </row>
    <row r="13995" spans="1:1" x14ac:dyDescent="0.3">
      <c r="A13995" s="12"/>
    </row>
    <row r="13996" spans="1:1" x14ac:dyDescent="0.3">
      <c r="A13996" s="12"/>
    </row>
    <row r="13997" spans="1:1" x14ac:dyDescent="0.3">
      <c r="A13997" s="12"/>
    </row>
    <row r="13998" spans="1:1" x14ac:dyDescent="0.3">
      <c r="A13998" s="12"/>
    </row>
    <row r="13999" spans="1:1" x14ac:dyDescent="0.3">
      <c r="A13999" s="12"/>
    </row>
    <row r="14000" spans="1:1" x14ac:dyDescent="0.3">
      <c r="A14000" s="12"/>
    </row>
    <row r="14001" spans="1:1" x14ac:dyDescent="0.3">
      <c r="A14001" s="12"/>
    </row>
    <row r="14002" spans="1:1" x14ac:dyDescent="0.3">
      <c r="A14002" s="12"/>
    </row>
    <row r="14003" spans="1:1" x14ac:dyDescent="0.3">
      <c r="A14003" s="12"/>
    </row>
    <row r="14004" spans="1:1" x14ac:dyDescent="0.3">
      <c r="A14004" s="12"/>
    </row>
    <row r="14005" spans="1:1" x14ac:dyDescent="0.3">
      <c r="A14005" s="12"/>
    </row>
    <row r="14006" spans="1:1" x14ac:dyDescent="0.3">
      <c r="A14006" s="12"/>
    </row>
    <row r="14007" spans="1:1" x14ac:dyDescent="0.3">
      <c r="A14007" s="12"/>
    </row>
    <row r="14008" spans="1:1" x14ac:dyDescent="0.3">
      <c r="A14008" s="12"/>
    </row>
    <row r="14009" spans="1:1" x14ac:dyDescent="0.3">
      <c r="A14009" s="12"/>
    </row>
    <row r="14010" spans="1:1" x14ac:dyDescent="0.3">
      <c r="A14010" s="12"/>
    </row>
    <row r="14011" spans="1:1" x14ac:dyDescent="0.3">
      <c r="A14011" s="12"/>
    </row>
    <row r="14012" spans="1:1" x14ac:dyDescent="0.3">
      <c r="A14012" s="12"/>
    </row>
    <row r="14013" spans="1:1" x14ac:dyDescent="0.3">
      <c r="A14013" s="12"/>
    </row>
    <row r="14014" spans="1:1" x14ac:dyDescent="0.3">
      <c r="A14014" s="12"/>
    </row>
    <row r="14015" spans="1:1" x14ac:dyDescent="0.3">
      <c r="A14015" s="12"/>
    </row>
    <row r="14016" spans="1:1" x14ac:dyDescent="0.3">
      <c r="A14016" s="12"/>
    </row>
    <row r="14017" spans="1:1" x14ac:dyDescent="0.3">
      <c r="A14017" s="12"/>
    </row>
    <row r="14018" spans="1:1" x14ac:dyDescent="0.3">
      <c r="A14018" s="12"/>
    </row>
    <row r="14019" spans="1:1" x14ac:dyDescent="0.3">
      <c r="A14019" s="12"/>
    </row>
    <row r="14020" spans="1:1" x14ac:dyDescent="0.3">
      <c r="A14020" s="12"/>
    </row>
    <row r="14021" spans="1:1" x14ac:dyDescent="0.3">
      <c r="A14021" s="12"/>
    </row>
    <row r="14022" spans="1:1" x14ac:dyDescent="0.3">
      <c r="A14022" s="12"/>
    </row>
    <row r="14023" spans="1:1" x14ac:dyDescent="0.3">
      <c r="A14023" s="12"/>
    </row>
    <row r="14024" spans="1:1" x14ac:dyDescent="0.3">
      <c r="A14024" s="12"/>
    </row>
    <row r="14025" spans="1:1" x14ac:dyDescent="0.3">
      <c r="A14025" s="12"/>
    </row>
    <row r="14026" spans="1:1" x14ac:dyDescent="0.3">
      <c r="A14026" s="12"/>
    </row>
    <row r="14027" spans="1:1" x14ac:dyDescent="0.3">
      <c r="A14027" s="12"/>
    </row>
    <row r="14028" spans="1:1" x14ac:dyDescent="0.3">
      <c r="A14028" s="12"/>
    </row>
    <row r="14029" spans="1:1" x14ac:dyDescent="0.3">
      <c r="A14029" s="12"/>
    </row>
    <row r="14030" spans="1:1" x14ac:dyDescent="0.3">
      <c r="A14030" s="12"/>
    </row>
    <row r="14031" spans="1:1" x14ac:dyDescent="0.3">
      <c r="A14031" s="12"/>
    </row>
    <row r="14032" spans="1:1" x14ac:dyDescent="0.3">
      <c r="A14032" s="12"/>
    </row>
    <row r="14033" spans="1:1" x14ac:dyDescent="0.3">
      <c r="A14033" s="12"/>
    </row>
    <row r="14034" spans="1:1" x14ac:dyDescent="0.3">
      <c r="A14034" s="12"/>
    </row>
    <row r="14035" spans="1:1" x14ac:dyDescent="0.3">
      <c r="A14035" s="12"/>
    </row>
    <row r="14036" spans="1:1" x14ac:dyDescent="0.3">
      <c r="A14036" s="12"/>
    </row>
    <row r="14037" spans="1:1" x14ac:dyDescent="0.3">
      <c r="A14037" s="12"/>
    </row>
    <row r="14038" spans="1:1" x14ac:dyDescent="0.3">
      <c r="A14038" s="12"/>
    </row>
    <row r="14039" spans="1:1" x14ac:dyDescent="0.3">
      <c r="A14039" s="12"/>
    </row>
    <row r="14040" spans="1:1" x14ac:dyDescent="0.3">
      <c r="A14040" s="12"/>
    </row>
    <row r="14041" spans="1:1" x14ac:dyDescent="0.3">
      <c r="A14041" s="12"/>
    </row>
    <row r="14042" spans="1:1" x14ac:dyDescent="0.3">
      <c r="A14042" s="12"/>
    </row>
    <row r="14043" spans="1:1" x14ac:dyDescent="0.3">
      <c r="A14043" s="12"/>
    </row>
    <row r="14044" spans="1:1" x14ac:dyDescent="0.3">
      <c r="A14044" s="12"/>
    </row>
    <row r="14045" spans="1:1" x14ac:dyDescent="0.3">
      <c r="A14045" s="12"/>
    </row>
    <row r="14046" spans="1:1" x14ac:dyDescent="0.3">
      <c r="A14046" s="12"/>
    </row>
    <row r="14047" spans="1:1" x14ac:dyDescent="0.3">
      <c r="A14047" s="12"/>
    </row>
    <row r="14048" spans="1:1" x14ac:dyDescent="0.3">
      <c r="A14048" s="12"/>
    </row>
    <row r="14049" spans="1:1" x14ac:dyDescent="0.3">
      <c r="A14049" s="12"/>
    </row>
    <row r="14050" spans="1:1" x14ac:dyDescent="0.3">
      <c r="A14050" s="12"/>
    </row>
    <row r="14051" spans="1:1" x14ac:dyDescent="0.3">
      <c r="A14051" s="12"/>
    </row>
    <row r="14052" spans="1:1" x14ac:dyDescent="0.3">
      <c r="A14052" s="12"/>
    </row>
    <row r="14053" spans="1:1" x14ac:dyDescent="0.3">
      <c r="A14053" s="12"/>
    </row>
    <row r="14054" spans="1:1" x14ac:dyDescent="0.3">
      <c r="A14054" s="12"/>
    </row>
    <row r="14055" spans="1:1" x14ac:dyDescent="0.3">
      <c r="A14055" s="12"/>
    </row>
    <row r="14056" spans="1:1" x14ac:dyDescent="0.3">
      <c r="A14056" s="12"/>
    </row>
    <row r="14057" spans="1:1" x14ac:dyDescent="0.3">
      <c r="A14057" s="12"/>
    </row>
    <row r="14058" spans="1:1" x14ac:dyDescent="0.3">
      <c r="A14058" s="12"/>
    </row>
    <row r="14059" spans="1:1" x14ac:dyDescent="0.3">
      <c r="A14059" s="12"/>
    </row>
    <row r="14060" spans="1:1" x14ac:dyDescent="0.3">
      <c r="A14060" s="12"/>
    </row>
    <row r="14061" spans="1:1" x14ac:dyDescent="0.3">
      <c r="A14061" s="12"/>
    </row>
    <row r="14062" spans="1:1" x14ac:dyDescent="0.3">
      <c r="A14062" s="12"/>
    </row>
    <row r="14063" spans="1:1" x14ac:dyDescent="0.3">
      <c r="A14063" s="12"/>
    </row>
    <row r="14064" spans="1:1" x14ac:dyDescent="0.3">
      <c r="A14064" s="12"/>
    </row>
    <row r="14065" spans="1:1" x14ac:dyDescent="0.3">
      <c r="A14065" s="12"/>
    </row>
    <row r="14066" spans="1:1" x14ac:dyDescent="0.3">
      <c r="A14066" s="12"/>
    </row>
    <row r="14067" spans="1:1" x14ac:dyDescent="0.3">
      <c r="A14067" s="12"/>
    </row>
    <row r="14068" spans="1:1" x14ac:dyDescent="0.3">
      <c r="A14068" s="12"/>
    </row>
    <row r="14069" spans="1:1" x14ac:dyDescent="0.3">
      <c r="A14069" s="12"/>
    </row>
    <row r="14070" spans="1:1" x14ac:dyDescent="0.3">
      <c r="A14070" s="12"/>
    </row>
    <row r="14071" spans="1:1" x14ac:dyDescent="0.3">
      <c r="A14071" s="12"/>
    </row>
    <row r="14072" spans="1:1" x14ac:dyDescent="0.3">
      <c r="A14072" s="12"/>
    </row>
    <row r="14073" spans="1:1" x14ac:dyDescent="0.3">
      <c r="A14073" s="12"/>
    </row>
    <row r="14074" spans="1:1" x14ac:dyDescent="0.3">
      <c r="A14074" s="12"/>
    </row>
    <row r="14075" spans="1:1" x14ac:dyDescent="0.3">
      <c r="A14075" s="12"/>
    </row>
    <row r="14076" spans="1:1" x14ac:dyDescent="0.3">
      <c r="A14076" s="12"/>
    </row>
    <row r="14077" spans="1:1" x14ac:dyDescent="0.3">
      <c r="A14077" s="12"/>
    </row>
    <row r="14078" spans="1:1" x14ac:dyDescent="0.3">
      <c r="A14078" s="12"/>
    </row>
    <row r="14079" spans="1:1" x14ac:dyDescent="0.3">
      <c r="A14079" s="12"/>
    </row>
    <row r="14080" spans="1:1" x14ac:dyDescent="0.3">
      <c r="A14080" s="12"/>
    </row>
    <row r="14081" spans="1:1" x14ac:dyDescent="0.3">
      <c r="A14081" s="12"/>
    </row>
    <row r="14082" spans="1:1" x14ac:dyDescent="0.3">
      <c r="A14082" s="12"/>
    </row>
    <row r="14083" spans="1:1" x14ac:dyDescent="0.3">
      <c r="A14083" s="12"/>
    </row>
    <row r="14084" spans="1:1" x14ac:dyDescent="0.3">
      <c r="A14084" s="12"/>
    </row>
    <row r="14085" spans="1:1" x14ac:dyDescent="0.3">
      <c r="A14085" s="12"/>
    </row>
    <row r="14086" spans="1:1" x14ac:dyDescent="0.3">
      <c r="A14086" s="12"/>
    </row>
    <row r="14087" spans="1:1" x14ac:dyDescent="0.3">
      <c r="A14087" s="12"/>
    </row>
    <row r="14088" spans="1:1" x14ac:dyDescent="0.3">
      <c r="A14088" s="12"/>
    </row>
    <row r="14089" spans="1:1" x14ac:dyDescent="0.3">
      <c r="A14089" s="12"/>
    </row>
    <row r="14090" spans="1:1" x14ac:dyDescent="0.3">
      <c r="A14090" s="12"/>
    </row>
    <row r="14091" spans="1:1" x14ac:dyDescent="0.3">
      <c r="A14091" s="12"/>
    </row>
    <row r="14092" spans="1:1" x14ac:dyDescent="0.3">
      <c r="A14092" s="12"/>
    </row>
    <row r="14093" spans="1:1" x14ac:dyDescent="0.3">
      <c r="A14093" s="12"/>
    </row>
    <row r="14094" spans="1:1" x14ac:dyDescent="0.3">
      <c r="A14094" s="12"/>
    </row>
    <row r="14095" spans="1:1" x14ac:dyDescent="0.3">
      <c r="A14095" s="12"/>
    </row>
    <row r="14096" spans="1:1" x14ac:dyDescent="0.3">
      <c r="A14096" s="12"/>
    </row>
    <row r="14097" spans="1:1" x14ac:dyDescent="0.3">
      <c r="A14097" s="12"/>
    </row>
    <row r="14098" spans="1:1" x14ac:dyDescent="0.3">
      <c r="A14098" s="12"/>
    </row>
    <row r="14099" spans="1:1" x14ac:dyDescent="0.3">
      <c r="A14099" s="12"/>
    </row>
    <row r="14100" spans="1:1" x14ac:dyDescent="0.3">
      <c r="A14100" s="12"/>
    </row>
    <row r="14101" spans="1:1" x14ac:dyDescent="0.3">
      <c r="A14101" s="12"/>
    </row>
    <row r="14102" spans="1:1" x14ac:dyDescent="0.3">
      <c r="A14102" s="12"/>
    </row>
    <row r="14103" spans="1:1" x14ac:dyDescent="0.3">
      <c r="A14103" s="12"/>
    </row>
    <row r="14104" spans="1:1" x14ac:dyDescent="0.3">
      <c r="A14104" s="12"/>
    </row>
    <row r="14105" spans="1:1" x14ac:dyDescent="0.3">
      <c r="A14105" s="12"/>
    </row>
    <row r="14106" spans="1:1" x14ac:dyDescent="0.3">
      <c r="A14106" s="12"/>
    </row>
    <row r="14107" spans="1:1" x14ac:dyDescent="0.3">
      <c r="A14107" s="12"/>
    </row>
    <row r="14108" spans="1:1" x14ac:dyDescent="0.3">
      <c r="A14108" s="12"/>
    </row>
    <row r="14109" spans="1:1" x14ac:dyDescent="0.3">
      <c r="A14109" s="12"/>
    </row>
    <row r="14110" spans="1:1" x14ac:dyDescent="0.3">
      <c r="A14110" s="12"/>
    </row>
    <row r="14111" spans="1:1" x14ac:dyDescent="0.3">
      <c r="A14111" s="12"/>
    </row>
    <row r="14112" spans="1:1" x14ac:dyDescent="0.3">
      <c r="A14112" s="12"/>
    </row>
    <row r="14113" spans="1:1" x14ac:dyDescent="0.3">
      <c r="A14113" s="12"/>
    </row>
    <row r="14114" spans="1:1" x14ac:dyDescent="0.3">
      <c r="A14114" s="12"/>
    </row>
    <row r="14115" spans="1:1" x14ac:dyDescent="0.3">
      <c r="A14115" s="12"/>
    </row>
    <row r="14116" spans="1:1" x14ac:dyDescent="0.3">
      <c r="A14116" s="12"/>
    </row>
    <row r="14117" spans="1:1" x14ac:dyDescent="0.3">
      <c r="A14117" s="12"/>
    </row>
    <row r="14118" spans="1:1" x14ac:dyDescent="0.3">
      <c r="A14118" s="12"/>
    </row>
    <row r="14119" spans="1:1" x14ac:dyDescent="0.3">
      <c r="A14119" s="12"/>
    </row>
    <row r="14120" spans="1:1" x14ac:dyDescent="0.3">
      <c r="A14120" s="12"/>
    </row>
    <row r="14121" spans="1:1" x14ac:dyDescent="0.3">
      <c r="A14121" s="12"/>
    </row>
    <row r="14122" spans="1:1" x14ac:dyDescent="0.3">
      <c r="A14122" s="12"/>
    </row>
    <row r="14123" spans="1:1" x14ac:dyDescent="0.3">
      <c r="A14123" s="12"/>
    </row>
    <row r="14124" spans="1:1" x14ac:dyDescent="0.3">
      <c r="A14124" s="12"/>
    </row>
    <row r="14125" spans="1:1" x14ac:dyDescent="0.3">
      <c r="A14125" s="12"/>
    </row>
    <row r="14126" spans="1:1" x14ac:dyDescent="0.3">
      <c r="A14126" s="12"/>
    </row>
    <row r="14127" spans="1:1" x14ac:dyDescent="0.3">
      <c r="A14127" s="12"/>
    </row>
    <row r="14128" spans="1:1" x14ac:dyDescent="0.3">
      <c r="A14128" s="12"/>
    </row>
    <row r="14129" spans="1:1" x14ac:dyDescent="0.3">
      <c r="A14129" s="12"/>
    </row>
    <row r="14130" spans="1:1" x14ac:dyDescent="0.3">
      <c r="A14130" s="12"/>
    </row>
    <row r="14131" spans="1:1" x14ac:dyDescent="0.3">
      <c r="A14131" s="12"/>
    </row>
    <row r="14132" spans="1:1" x14ac:dyDescent="0.3">
      <c r="A14132" s="12"/>
    </row>
    <row r="14133" spans="1:1" x14ac:dyDescent="0.3">
      <c r="A14133" s="12"/>
    </row>
    <row r="14134" spans="1:1" x14ac:dyDescent="0.3">
      <c r="A14134" s="12"/>
    </row>
    <row r="14135" spans="1:1" x14ac:dyDescent="0.3">
      <c r="A14135" s="12"/>
    </row>
    <row r="14136" spans="1:1" x14ac:dyDescent="0.3">
      <c r="A14136" s="12"/>
    </row>
    <row r="14137" spans="1:1" x14ac:dyDescent="0.3">
      <c r="A14137" s="12"/>
    </row>
    <row r="14138" spans="1:1" x14ac:dyDescent="0.3">
      <c r="A14138" s="12"/>
    </row>
    <row r="14139" spans="1:1" x14ac:dyDescent="0.3">
      <c r="A14139" s="12"/>
    </row>
    <row r="14140" spans="1:1" x14ac:dyDescent="0.3">
      <c r="A14140" s="12"/>
    </row>
    <row r="14141" spans="1:1" x14ac:dyDescent="0.3">
      <c r="A14141" s="12"/>
    </row>
    <row r="14142" spans="1:1" x14ac:dyDescent="0.3">
      <c r="A14142" s="12"/>
    </row>
    <row r="14143" spans="1:1" x14ac:dyDescent="0.3">
      <c r="A14143" s="12"/>
    </row>
    <row r="14144" spans="1:1" x14ac:dyDescent="0.3">
      <c r="A14144" s="12"/>
    </row>
    <row r="14145" spans="1:1" x14ac:dyDescent="0.3">
      <c r="A14145" s="12"/>
    </row>
    <row r="14146" spans="1:1" x14ac:dyDescent="0.3">
      <c r="A14146" s="12"/>
    </row>
    <row r="14147" spans="1:1" x14ac:dyDescent="0.3">
      <c r="A14147" s="12"/>
    </row>
    <row r="14148" spans="1:1" x14ac:dyDescent="0.3">
      <c r="A14148" s="12"/>
    </row>
    <row r="14149" spans="1:1" x14ac:dyDescent="0.3">
      <c r="A14149" s="12"/>
    </row>
    <row r="14150" spans="1:1" x14ac:dyDescent="0.3">
      <c r="A14150" s="12"/>
    </row>
    <row r="14151" spans="1:1" x14ac:dyDescent="0.3">
      <c r="A14151" s="12"/>
    </row>
    <row r="14152" spans="1:1" x14ac:dyDescent="0.3">
      <c r="A14152" s="12"/>
    </row>
    <row r="14153" spans="1:1" x14ac:dyDescent="0.3">
      <c r="A14153" s="12"/>
    </row>
    <row r="14154" spans="1:1" x14ac:dyDescent="0.3">
      <c r="A14154" s="12"/>
    </row>
    <row r="14155" spans="1:1" x14ac:dyDescent="0.3">
      <c r="A14155" s="12"/>
    </row>
    <row r="14156" spans="1:1" x14ac:dyDescent="0.3">
      <c r="A14156" s="12"/>
    </row>
    <row r="14157" spans="1:1" x14ac:dyDescent="0.3">
      <c r="A14157" s="12"/>
    </row>
    <row r="14158" spans="1:1" x14ac:dyDescent="0.3">
      <c r="A14158" s="12"/>
    </row>
    <row r="14159" spans="1:1" x14ac:dyDescent="0.3">
      <c r="A14159" s="12"/>
    </row>
    <row r="14160" spans="1:1" x14ac:dyDescent="0.3">
      <c r="A14160" s="12"/>
    </row>
    <row r="14161" spans="1:1" x14ac:dyDescent="0.3">
      <c r="A14161" s="12"/>
    </row>
    <row r="14162" spans="1:1" x14ac:dyDescent="0.3">
      <c r="A14162" s="12"/>
    </row>
    <row r="14163" spans="1:1" x14ac:dyDescent="0.3">
      <c r="A14163" s="12"/>
    </row>
    <row r="14164" spans="1:1" x14ac:dyDescent="0.3">
      <c r="A14164" s="12"/>
    </row>
    <row r="14165" spans="1:1" x14ac:dyDescent="0.3">
      <c r="A14165" s="12"/>
    </row>
    <row r="14166" spans="1:1" x14ac:dyDescent="0.3">
      <c r="A14166" s="12"/>
    </row>
    <row r="14167" spans="1:1" x14ac:dyDescent="0.3">
      <c r="A14167" s="12"/>
    </row>
    <row r="14168" spans="1:1" x14ac:dyDescent="0.3">
      <c r="A14168" s="12"/>
    </row>
    <row r="14169" spans="1:1" x14ac:dyDescent="0.3">
      <c r="A14169" s="12"/>
    </row>
    <row r="14170" spans="1:1" x14ac:dyDescent="0.3">
      <c r="A14170" s="12"/>
    </row>
    <row r="14171" spans="1:1" x14ac:dyDescent="0.3">
      <c r="A14171" s="12"/>
    </row>
    <row r="14172" spans="1:1" x14ac:dyDescent="0.3">
      <c r="A14172" s="12"/>
    </row>
    <row r="14173" spans="1:1" x14ac:dyDescent="0.3">
      <c r="A14173" s="12"/>
    </row>
    <row r="14174" spans="1:1" x14ac:dyDescent="0.3">
      <c r="A14174" s="12"/>
    </row>
    <row r="14175" spans="1:1" x14ac:dyDescent="0.3">
      <c r="A14175" s="12"/>
    </row>
    <row r="14176" spans="1:1" x14ac:dyDescent="0.3">
      <c r="A14176" s="12"/>
    </row>
    <row r="14177" spans="1:1" x14ac:dyDescent="0.3">
      <c r="A14177" s="12"/>
    </row>
    <row r="14178" spans="1:1" x14ac:dyDescent="0.3">
      <c r="A14178" s="12"/>
    </row>
    <row r="14179" spans="1:1" x14ac:dyDescent="0.3">
      <c r="A14179" s="12"/>
    </row>
    <row r="14180" spans="1:1" x14ac:dyDescent="0.3">
      <c r="A14180" s="12"/>
    </row>
    <row r="14181" spans="1:1" x14ac:dyDescent="0.3">
      <c r="A14181" s="12"/>
    </row>
    <row r="14182" spans="1:1" x14ac:dyDescent="0.3">
      <c r="A14182" s="12"/>
    </row>
    <row r="14183" spans="1:1" x14ac:dyDescent="0.3">
      <c r="A14183" s="12"/>
    </row>
    <row r="14184" spans="1:1" x14ac:dyDescent="0.3">
      <c r="A14184" s="12"/>
    </row>
    <row r="14185" spans="1:1" x14ac:dyDescent="0.3">
      <c r="A14185" s="12"/>
    </row>
    <row r="14186" spans="1:1" x14ac:dyDescent="0.3">
      <c r="A14186" s="12"/>
    </row>
    <row r="14187" spans="1:1" x14ac:dyDescent="0.3">
      <c r="A14187" s="12"/>
    </row>
    <row r="14188" spans="1:1" x14ac:dyDescent="0.3">
      <c r="A14188" s="12"/>
    </row>
    <row r="14189" spans="1:1" x14ac:dyDescent="0.3">
      <c r="A14189" s="12"/>
    </row>
    <row r="14190" spans="1:1" x14ac:dyDescent="0.3">
      <c r="A14190" s="12"/>
    </row>
    <row r="14191" spans="1:1" x14ac:dyDescent="0.3">
      <c r="A14191" s="12"/>
    </row>
    <row r="14192" spans="1:1" x14ac:dyDescent="0.3">
      <c r="A14192" s="12"/>
    </row>
    <row r="14193" spans="1:1" x14ac:dyDescent="0.3">
      <c r="A14193" s="12"/>
    </row>
    <row r="14194" spans="1:1" x14ac:dyDescent="0.3">
      <c r="A14194" s="12"/>
    </row>
    <row r="14195" spans="1:1" x14ac:dyDescent="0.3">
      <c r="A14195" s="12"/>
    </row>
    <row r="14196" spans="1:1" x14ac:dyDescent="0.3">
      <c r="A14196" s="12"/>
    </row>
    <row r="14197" spans="1:1" x14ac:dyDescent="0.3">
      <c r="A14197" s="12"/>
    </row>
    <row r="14198" spans="1:1" x14ac:dyDescent="0.3">
      <c r="A14198" s="12"/>
    </row>
    <row r="14199" spans="1:1" x14ac:dyDescent="0.3">
      <c r="A14199" s="12"/>
    </row>
    <row r="14200" spans="1:1" x14ac:dyDescent="0.3">
      <c r="A14200" s="12"/>
    </row>
    <row r="14201" spans="1:1" x14ac:dyDescent="0.3">
      <c r="A14201" s="12"/>
    </row>
    <row r="14202" spans="1:1" x14ac:dyDescent="0.3">
      <c r="A14202" s="12"/>
    </row>
    <row r="14203" spans="1:1" x14ac:dyDescent="0.3">
      <c r="A14203" s="12"/>
    </row>
    <row r="14204" spans="1:1" x14ac:dyDescent="0.3">
      <c r="A14204" s="12"/>
    </row>
    <row r="14205" spans="1:1" x14ac:dyDescent="0.3">
      <c r="A14205" s="12"/>
    </row>
    <row r="14206" spans="1:1" x14ac:dyDescent="0.3">
      <c r="A14206" s="12"/>
    </row>
    <row r="14207" spans="1:1" x14ac:dyDescent="0.3">
      <c r="A14207" s="12"/>
    </row>
    <row r="14208" spans="1:1" x14ac:dyDescent="0.3">
      <c r="A14208" s="12"/>
    </row>
    <row r="14209" spans="1:1" x14ac:dyDescent="0.3">
      <c r="A14209" s="12"/>
    </row>
    <row r="14210" spans="1:1" x14ac:dyDescent="0.3">
      <c r="A14210" s="12"/>
    </row>
    <row r="14211" spans="1:1" x14ac:dyDescent="0.3">
      <c r="A14211" s="12"/>
    </row>
    <row r="14212" spans="1:1" x14ac:dyDescent="0.3">
      <c r="A14212" s="12"/>
    </row>
    <row r="14213" spans="1:1" x14ac:dyDescent="0.3">
      <c r="A14213" s="12"/>
    </row>
    <row r="14214" spans="1:1" x14ac:dyDescent="0.3">
      <c r="A14214" s="12"/>
    </row>
    <row r="14215" spans="1:1" x14ac:dyDescent="0.3">
      <c r="A14215" s="12"/>
    </row>
    <row r="14216" spans="1:1" x14ac:dyDescent="0.3">
      <c r="A14216" s="12"/>
    </row>
    <row r="14217" spans="1:1" x14ac:dyDescent="0.3">
      <c r="A14217" s="12"/>
    </row>
    <row r="14218" spans="1:1" x14ac:dyDescent="0.3">
      <c r="A14218" s="12"/>
    </row>
    <row r="14219" spans="1:1" x14ac:dyDescent="0.3">
      <c r="A14219" s="12"/>
    </row>
    <row r="14220" spans="1:1" x14ac:dyDescent="0.3">
      <c r="A14220" s="12"/>
    </row>
    <row r="14221" spans="1:1" x14ac:dyDescent="0.3">
      <c r="A14221" s="12"/>
    </row>
    <row r="14222" spans="1:1" x14ac:dyDescent="0.3">
      <c r="A14222" s="12"/>
    </row>
    <row r="14223" spans="1:1" x14ac:dyDescent="0.3">
      <c r="A14223" s="12"/>
    </row>
    <row r="14224" spans="1:1" x14ac:dyDescent="0.3">
      <c r="A14224" s="12"/>
    </row>
    <row r="14225" spans="1:1" x14ac:dyDescent="0.3">
      <c r="A14225" s="12"/>
    </row>
    <row r="14226" spans="1:1" x14ac:dyDescent="0.3">
      <c r="A14226" s="12"/>
    </row>
    <row r="14227" spans="1:1" x14ac:dyDescent="0.3">
      <c r="A14227" s="12"/>
    </row>
    <row r="14228" spans="1:1" x14ac:dyDescent="0.3">
      <c r="A14228" s="12"/>
    </row>
    <row r="14229" spans="1:1" x14ac:dyDescent="0.3">
      <c r="A14229" s="12"/>
    </row>
    <row r="14230" spans="1:1" x14ac:dyDescent="0.3">
      <c r="A14230" s="12"/>
    </row>
    <row r="14231" spans="1:1" x14ac:dyDescent="0.3">
      <c r="A14231" s="12"/>
    </row>
    <row r="14232" spans="1:1" x14ac:dyDescent="0.3">
      <c r="A14232" s="12"/>
    </row>
    <row r="14233" spans="1:1" x14ac:dyDescent="0.3">
      <c r="A14233" s="12"/>
    </row>
    <row r="14234" spans="1:1" x14ac:dyDescent="0.3">
      <c r="A14234" s="12"/>
    </row>
    <row r="14235" spans="1:1" x14ac:dyDescent="0.3">
      <c r="A14235" s="12"/>
    </row>
    <row r="14236" spans="1:1" x14ac:dyDescent="0.3">
      <c r="A14236" s="12"/>
    </row>
    <row r="14237" spans="1:1" x14ac:dyDescent="0.3">
      <c r="A14237" s="12"/>
    </row>
    <row r="14238" spans="1:1" x14ac:dyDescent="0.3">
      <c r="A14238" s="12"/>
    </row>
    <row r="14239" spans="1:1" x14ac:dyDescent="0.3">
      <c r="A14239" s="12"/>
    </row>
    <row r="14240" spans="1:1" x14ac:dyDescent="0.3">
      <c r="A14240" s="12"/>
    </row>
    <row r="14241" spans="1:1" x14ac:dyDescent="0.3">
      <c r="A14241" s="12"/>
    </row>
    <row r="14242" spans="1:1" x14ac:dyDescent="0.3">
      <c r="A14242" s="12"/>
    </row>
    <row r="14243" spans="1:1" x14ac:dyDescent="0.3">
      <c r="A14243" s="12"/>
    </row>
    <row r="14244" spans="1:1" x14ac:dyDescent="0.3">
      <c r="A14244" s="12"/>
    </row>
    <row r="14245" spans="1:1" x14ac:dyDescent="0.3">
      <c r="A14245" s="12"/>
    </row>
    <row r="14246" spans="1:1" x14ac:dyDescent="0.3">
      <c r="A14246" s="12"/>
    </row>
    <row r="14247" spans="1:1" x14ac:dyDescent="0.3">
      <c r="A14247" s="12"/>
    </row>
    <row r="14248" spans="1:1" x14ac:dyDescent="0.3">
      <c r="A14248" s="12"/>
    </row>
    <row r="14249" spans="1:1" x14ac:dyDescent="0.3">
      <c r="A14249" s="12"/>
    </row>
    <row r="14250" spans="1:1" x14ac:dyDescent="0.3">
      <c r="A14250" s="12"/>
    </row>
    <row r="14251" spans="1:1" x14ac:dyDescent="0.3">
      <c r="A14251" s="12"/>
    </row>
    <row r="14252" spans="1:1" x14ac:dyDescent="0.3">
      <c r="A14252" s="12"/>
    </row>
    <row r="14253" spans="1:1" x14ac:dyDescent="0.3">
      <c r="A14253" s="12"/>
    </row>
    <row r="14254" spans="1:1" x14ac:dyDescent="0.3">
      <c r="A14254" s="12"/>
    </row>
    <row r="14255" spans="1:1" x14ac:dyDescent="0.3">
      <c r="A14255" s="12"/>
    </row>
    <row r="14256" spans="1:1" x14ac:dyDescent="0.3">
      <c r="A14256" s="12"/>
    </row>
    <row r="14257" spans="1:1" x14ac:dyDescent="0.3">
      <c r="A14257" s="12"/>
    </row>
    <row r="14258" spans="1:1" x14ac:dyDescent="0.3">
      <c r="A14258" s="12"/>
    </row>
    <row r="14259" spans="1:1" x14ac:dyDescent="0.3">
      <c r="A14259" s="12"/>
    </row>
    <row r="14260" spans="1:1" x14ac:dyDescent="0.3">
      <c r="A14260" s="12"/>
    </row>
    <row r="14261" spans="1:1" x14ac:dyDescent="0.3">
      <c r="A14261" s="12"/>
    </row>
    <row r="14262" spans="1:1" x14ac:dyDescent="0.3">
      <c r="A14262" s="12"/>
    </row>
    <row r="14263" spans="1:1" x14ac:dyDescent="0.3">
      <c r="A14263" s="12"/>
    </row>
    <row r="14264" spans="1:1" x14ac:dyDescent="0.3">
      <c r="A14264" s="12"/>
    </row>
    <row r="14265" spans="1:1" x14ac:dyDescent="0.3">
      <c r="A14265" s="12"/>
    </row>
    <row r="14266" spans="1:1" x14ac:dyDescent="0.3">
      <c r="A14266" s="12"/>
    </row>
    <row r="14267" spans="1:1" x14ac:dyDescent="0.3">
      <c r="A14267" s="12"/>
    </row>
    <row r="14268" spans="1:1" x14ac:dyDescent="0.3">
      <c r="A14268" s="12"/>
    </row>
    <row r="14269" spans="1:1" x14ac:dyDescent="0.3">
      <c r="A14269" s="12"/>
    </row>
    <row r="14270" spans="1:1" x14ac:dyDescent="0.3">
      <c r="A14270" s="12"/>
    </row>
    <row r="14271" spans="1:1" x14ac:dyDescent="0.3">
      <c r="A14271" s="12"/>
    </row>
    <row r="14272" spans="1:1" x14ac:dyDescent="0.3">
      <c r="A14272" s="12"/>
    </row>
    <row r="14273" spans="1:1" x14ac:dyDescent="0.3">
      <c r="A14273" s="12"/>
    </row>
    <row r="14274" spans="1:1" x14ac:dyDescent="0.3">
      <c r="A14274" s="12"/>
    </row>
    <row r="14275" spans="1:1" x14ac:dyDescent="0.3">
      <c r="A14275" s="12"/>
    </row>
    <row r="14276" spans="1:1" x14ac:dyDescent="0.3">
      <c r="A14276" s="12"/>
    </row>
    <row r="14277" spans="1:1" x14ac:dyDescent="0.3">
      <c r="A14277" s="12"/>
    </row>
    <row r="14278" spans="1:1" x14ac:dyDescent="0.3">
      <c r="A14278" s="12"/>
    </row>
    <row r="14279" spans="1:1" x14ac:dyDescent="0.3">
      <c r="A14279" s="12"/>
    </row>
    <row r="14280" spans="1:1" x14ac:dyDescent="0.3">
      <c r="A14280" s="12"/>
    </row>
    <row r="14281" spans="1:1" x14ac:dyDescent="0.3">
      <c r="A14281" s="12"/>
    </row>
    <row r="14282" spans="1:1" x14ac:dyDescent="0.3">
      <c r="A14282" s="12"/>
    </row>
    <row r="14283" spans="1:1" x14ac:dyDescent="0.3">
      <c r="A14283" s="12"/>
    </row>
    <row r="14284" spans="1:1" x14ac:dyDescent="0.3">
      <c r="A14284" s="12"/>
    </row>
    <row r="14285" spans="1:1" x14ac:dyDescent="0.3">
      <c r="A14285" s="12"/>
    </row>
    <row r="14286" spans="1:1" x14ac:dyDescent="0.3">
      <c r="A14286" s="12"/>
    </row>
    <row r="14287" spans="1:1" x14ac:dyDescent="0.3">
      <c r="A14287" s="12"/>
    </row>
    <row r="14288" spans="1:1" x14ac:dyDescent="0.3">
      <c r="A14288" s="12"/>
    </row>
    <row r="14289" spans="1:1" x14ac:dyDescent="0.3">
      <c r="A14289" s="12"/>
    </row>
    <row r="14290" spans="1:1" x14ac:dyDescent="0.3">
      <c r="A14290" s="12"/>
    </row>
    <row r="14291" spans="1:1" x14ac:dyDescent="0.3">
      <c r="A14291" s="12"/>
    </row>
    <row r="14292" spans="1:1" x14ac:dyDescent="0.3">
      <c r="A14292" s="12"/>
    </row>
    <row r="14293" spans="1:1" x14ac:dyDescent="0.3">
      <c r="A14293" s="12"/>
    </row>
    <row r="14294" spans="1:1" x14ac:dyDescent="0.3">
      <c r="A14294" s="12"/>
    </row>
    <row r="14295" spans="1:1" x14ac:dyDescent="0.3">
      <c r="A14295" s="12"/>
    </row>
    <row r="14296" spans="1:1" x14ac:dyDescent="0.3">
      <c r="A14296" s="12"/>
    </row>
    <row r="14297" spans="1:1" x14ac:dyDescent="0.3">
      <c r="A14297" s="12"/>
    </row>
    <row r="14298" spans="1:1" x14ac:dyDescent="0.3">
      <c r="A14298" s="12"/>
    </row>
    <row r="14299" spans="1:1" x14ac:dyDescent="0.3">
      <c r="A14299" s="12"/>
    </row>
    <row r="14300" spans="1:1" x14ac:dyDescent="0.3">
      <c r="A14300" s="12"/>
    </row>
    <row r="14301" spans="1:1" x14ac:dyDescent="0.3">
      <c r="A14301" s="12"/>
    </row>
    <row r="14302" spans="1:1" x14ac:dyDescent="0.3">
      <c r="A14302" s="12"/>
    </row>
    <row r="14303" spans="1:1" x14ac:dyDescent="0.3">
      <c r="A14303" s="12"/>
    </row>
    <row r="14304" spans="1:1" x14ac:dyDescent="0.3">
      <c r="A14304" s="12"/>
    </row>
    <row r="14305" spans="1:1" x14ac:dyDescent="0.3">
      <c r="A14305" s="12"/>
    </row>
    <row r="14306" spans="1:1" x14ac:dyDescent="0.3">
      <c r="A14306" s="12"/>
    </row>
    <row r="14307" spans="1:1" x14ac:dyDescent="0.3">
      <c r="A14307" s="12"/>
    </row>
    <row r="14308" spans="1:1" x14ac:dyDescent="0.3">
      <c r="A14308" s="12"/>
    </row>
    <row r="14309" spans="1:1" x14ac:dyDescent="0.3">
      <c r="A14309" s="12"/>
    </row>
    <row r="14310" spans="1:1" x14ac:dyDescent="0.3">
      <c r="A14310" s="12"/>
    </row>
    <row r="14311" spans="1:1" x14ac:dyDescent="0.3">
      <c r="A14311" s="12"/>
    </row>
    <row r="14312" spans="1:1" x14ac:dyDescent="0.3">
      <c r="A14312" s="12"/>
    </row>
    <row r="14313" spans="1:1" x14ac:dyDescent="0.3">
      <c r="A14313" s="12"/>
    </row>
    <row r="14314" spans="1:1" x14ac:dyDescent="0.3">
      <c r="A14314" s="12"/>
    </row>
    <row r="14315" spans="1:1" x14ac:dyDescent="0.3">
      <c r="A14315" s="12"/>
    </row>
    <row r="14316" spans="1:1" x14ac:dyDescent="0.3">
      <c r="A14316" s="12"/>
    </row>
    <row r="14317" spans="1:1" x14ac:dyDescent="0.3">
      <c r="A14317" s="12"/>
    </row>
    <row r="14318" spans="1:1" x14ac:dyDescent="0.3">
      <c r="A14318" s="12"/>
    </row>
    <row r="14319" spans="1:1" x14ac:dyDescent="0.3">
      <c r="A14319" s="12"/>
    </row>
    <row r="14320" spans="1:1" x14ac:dyDescent="0.3">
      <c r="A14320" s="12"/>
    </row>
    <row r="14321" spans="1:1" x14ac:dyDescent="0.3">
      <c r="A14321" s="12"/>
    </row>
    <row r="14322" spans="1:1" x14ac:dyDescent="0.3">
      <c r="A14322" s="12"/>
    </row>
    <row r="14323" spans="1:1" x14ac:dyDescent="0.3">
      <c r="A14323" s="12"/>
    </row>
    <row r="14324" spans="1:1" x14ac:dyDescent="0.3">
      <c r="A14324" s="12"/>
    </row>
    <row r="14325" spans="1:1" x14ac:dyDescent="0.3">
      <c r="A14325" s="12"/>
    </row>
    <row r="14326" spans="1:1" x14ac:dyDescent="0.3">
      <c r="A14326" s="12"/>
    </row>
    <row r="14327" spans="1:1" x14ac:dyDescent="0.3">
      <c r="A14327" s="12"/>
    </row>
    <row r="14328" spans="1:1" x14ac:dyDescent="0.3">
      <c r="A14328" s="12"/>
    </row>
    <row r="14329" spans="1:1" x14ac:dyDescent="0.3">
      <c r="A14329" s="12"/>
    </row>
    <row r="14330" spans="1:1" x14ac:dyDescent="0.3">
      <c r="A14330" s="12"/>
    </row>
    <row r="14331" spans="1:1" x14ac:dyDescent="0.3">
      <c r="A14331" s="12"/>
    </row>
    <row r="14332" spans="1:1" x14ac:dyDescent="0.3">
      <c r="A14332" s="12"/>
    </row>
    <row r="14333" spans="1:1" x14ac:dyDescent="0.3">
      <c r="A14333" s="12"/>
    </row>
    <row r="14334" spans="1:1" x14ac:dyDescent="0.3">
      <c r="A14334" s="12"/>
    </row>
    <row r="14335" spans="1:1" x14ac:dyDescent="0.3">
      <c r="A14335" s="12"/>
    </row>
    <row r="14336" spans="1:1" x14ac:dyDescent="0.3">
      <c r="A14336" s="12"/>
    </row>
    <row r="14337" spans="1:1" x14ac:dyDescent="0.3">
      <c r="A14337" s="12"/>
    </row>
    <row r="14338" spans="1:1" x14ac:dyDescent="0.3">
      <c r="A14338" s="12"/>
    </row>
    <row r="14339" spans="1:1" x14ac:dyDescent="0.3">
      <c r="A14339" s="12"/>
    </row>
    <row r="14340" spans="1:1" x14ac:dyDescent="0.3">
      <c r="A14340" s="12"/>
    </row>
    <row r="14341" spans="1:1" x14ac:dyDescent="0.3">
      <c r="A14341" s="12"/>
    </row>
    <row r="14342" spans="1:1" x14ac:dyDescent="0.3">
      <c r="A14342" s="12"/>
    </row>
    <row r="14343" spans="1:1" x14ac:dyDescent="0.3">
      <c r="A14343" s="12"/>
    </row>
    <row r="14344" spans="1:1" x14ac:dyDescent="0.3">
      <c r="A14344" s="12"/>
    </row>
    <row r="14345" spans="1:1" x14ac:dyDescent="0.3">
      <c r="A14345" s="12"/>
    </row>
    <row r="14346" spans="1:1" x14ac:dyDescent="0.3">
      <c r="A14346" s="12"/>
    </row>
    <row r="14347" spans="1:1" x14ac:dyDescent="0.3">
      <c r="A14347" s="12"/>
    </row>
    <row r="14348" spans="1:1" x14ac:dyDescent="0.3">
      <c r="A14348" s="12"/>
    </row>
    <row r="14349" spans="1:1" x14ac:dyDescent="0.3">
      <c r="A14349" s="12"/>
    </row>
    <row r="14350" spans="1:1" x14ac:dyDescent="0.3">
      <c r="A14350" s="12"/>
    </row>
    <row r="14351" spans="1:1" x14ac:dyDescent="0.3">
      <c r="A14351" s="12"/>
    </row>
    <row r="14352" spans="1:1" x14ac:dyDescent="0.3">
      <c r="A14352" s="12"/>
    </row>
    <row r="14353" spans="1:1" x14ac:dyDescent="0.3">
      <c r="A14353" s="12"/>
    </row>
    <row r="14354" spans="1:1" x14ac:dyDescent="0.3">
      <c r="A14354" s="12"/>
    </row>
    <row r="14355" spans="1:1" x14ac:dyDescent="0.3">
      <c r="A14355" s="12"/>
    </row>
    <row r="14356" spans="1:1" x14ac:dyDescent="0.3">
      <c r="A14356" s="12"/>
    </row>
    <row r="14357" spans="1:1" x14ac:dyDescent="0.3">
      <c r="A14357" s="12"/>
    </row>
    <row r="14358" spans="1:1" x14ac:dyDescent="0.3">
      <c r="A14358" s="12"/>
    </row>
    <row r="14359" spans="1:1" x14ac:dyDescent="0.3">
      <c r="A14359" s="12"/>
    </row>
    <row r="14360" spans="1:1" x14ac:dyDescent="0.3">
      <c r="A14360" s="12"/>
    </row>
    <row r="14361" spans="1:1" x14ac:dyDescent="0.3">
      <c r="A14361" s="12"/>
    </row>
    <row r="14362" spans="1:1" x14ac:dyDescent="0.3">
      <c r="A14362" s="12"/>
    </row>
    <row r="14363" spans="1:1" x14ac:dyDescent="0.3">
      <c r="A14363" s="12"/>
    </row>
    <row r="14364" spans="1:1" x14ac:dyDescent="0.3">
      <c r="A14364" s="12"/>
    </row>
    <row r="14365" spans="1:1" x14ac:dyDescent="0.3">
      <c r="A14365" s="12"/>
    </row>
    <row r="14366" spans="1:1" x14ac:dyDescent="0.3">
      <c r="A14366" s="12"/>
    </row>
    <row r="14367" spans="1:1" x14ac:dyDescent="0.3">
      <c r="A14367" s="12"/>
    </row>
    <row r="14368" spans="1:1" x14ac:dyDescent="0.3">
      <c r="A14368" s="12"/>
    </row>
    <row r="14369" spans="1:1" x14ac:dyDescent="0.3">
      <c r="A14369" s="12"/>
    </row>
    <row r="14370" spans="1:1" x14ac:dyDescent="0.3">
      <c r="A14370" s="12"/>
    </row>
    <row r="14371" spans="1:1" x14ac:dyDescent="0.3">
      <c r="A14371" s="12"/>
    </row>
    <row r="14372" spans="1:1" x14ac:dyDescent="0.3">
      <c r="A14372" s="12"/>
    </row>
    <row r="14373" spans="1:1" x14ac:dyDescent="0.3">
      <c r="A14373" s="12"/>
    </row>
    <row r="14374" spans="1:1" x14ac:dyDescent="0.3">
      <c r="A14374" s="12"/>
    </row>
    <row r="14375" spans="1:1" x14ac:dyDescent="0.3">
      <c r="A14375" s="12"/>
    </row>
    <row r="14376" spans="1:1" x14ac:dyDescent="0.3">
      <c r="A14376" s="12"/>
    </row>
    <row r="14377" spans="1:1" x14ac:dyDescent="0.3">
      <c r="A14377" s="12"/>
    </row>
    <row r="14378" spans="1:1" x14ac:dyDescent="0.3">
      <c r="A14378" s="12"/>
    </row>
    <row r="14379" spans="1:1" x14ac:dyDescent="0.3">
      <c r="A14379" s="12"/>
    </row>
    <row r="14380" spans="1:1" x14ac:dyDescent="0.3">
      <c r="A14380" s="12"/>
    </row>
    <row r="14381" spans="1:1" x14ac:dyDescent="0.3">
      <c r="A14381" s="12"/>
    </row>
    <row r="14382" spans="1:1" x14ac:dyDescent="0.3">
      <c r="A14382" s="12"/>
    </row>
    <row r="14383" spans="1:1" x14ac:dyDescent="0.3">
      <c r="A14383" s="12"/>
    </row>
    <row r="14384" spans="1:1" x14ac:dyDescent="0.3">
      <c r="A14384" s="12"/>
    </row>
    <row r="14385" spans="1:1" x14ac:dyDescent="0.3">
      <c r="A14385" s="12"/>
    </row>
    <row r="14386" spans="1:1" x14ac:dyDescent="0.3">
      <c r="A14386" s="12"/>
    </row>
    <row r="14387" spans="1:1" x14ac:dyDescent="0.3">
      <c r="A14387" s="12"/>
    </row>
    <row r="14388" spans="1:1" x14ac:dyDescent="0.3">
      <c r="A14388" s="12"/>
    </row>
    <row r="14389" spans="1:1" x14ac:dyDescent="0.3">
      <c r="A14389" s="12"/>
    </row>
    <row r="14390" spans="1:1" x14ac:dyDescent="0.3">
      <c r="A14390" s="12"/>
    </row>
    <row r="14391" spans="1:1" x14ac:dyDescent="0.3">
      <c r="A14391" s="12"/>
    </row>
    <row r="14392" spans="1:1" x14ac:dyDescent="0.3">
      <c r="A14392" s="12"/>
    </row>
    <row r="14393" spans="1:1" x14ac:dyDescent="0.3">
      <c r="A14393" s="12"/>
    </row>
    <row r="14394" spans="1:1" x14ac:dyDescent="0.3">
      <c r="A14394" s="12"/>
    </row>
    <row r="14395" spans="1:1" x14ac:dyDescent="0.3">
      <c r="A14395" s="12"/>
    </row>
    <row r="14396" spans="1:1" x14ac:dyDescent="0.3">
      <c r="A14396" s="12"/>
    </row>
    <row r="14397" spans="1:1" x14ac:dyDescent="0.3">
      <c r="A14397" s="12"/>
    </row>
    <row r="14398" spans="1:1" x14ac:dyDescent="0.3">
      <c r="A14398" s="12"/>
    </row>
    <row r="14399" spans="1:1" x14ac:dyDescent="0.3">
      <c r="A14399" s="12"/>
    </row>
    <row r="14400" spans="1:1" x14ac:dyDescent="0.3">
      <c r="A14400" s="12"/>
    </row>
    <row r="14401" spans="1:1" x14ac:dyDescent="0.3">
      <c r="A14401" s="12"/>
    </row>
    <row r="14402" spans="1:1" x14ac:dyDescent="0.3">
      <c r="A14402" s="12"/>
    </row>
    <row r="14403" spans="1:1" x14ac:dyDescent="0.3">
      <c r="A14403" s="12"/>
    </row>
    <row r="14404" spans="1:1" x14ac:dyDescent="0.3">
      <c r="A14404" s="12"/>
    </row>
    <row r="14405" spans="1:1" x14ac:dyDescent="0.3">
      <c r="A14405" s="12"/>
    </row>
    <row r="14406" spans="1:1" x14ac:dyDescent="0.3">
      <c r="A14406" s="12"/>
    </row>
    <row r="14407" spans="1:1" x14ac:dyDescent="0.3">
      <c r="A14407" s="12"/>
    </row>
    <row r="14408" spans="1:1" x14ac:dyDescent="0.3">
      <c r="A14408" s="12"/>
    </row>
    <row r="14409" spans="1:1" x14ac:dyDescent="0.3">
      <c r="A14409" s="12"/>
    </row>
    <row r="14410" spans="1:1" x14ac:dyDescent="0.3">
      <c r="A14410" s="12"/>
    </row>
    <row r="14411" spans="1:1" x14ac:dyDescent="0.3">
      <c r="A14411" s="12"/>
    </row>
    <row r="14412" spans="1:1" x14ac:dyDescent="0.3">
      <c r="A14412" s="12"/>
    </row>
    <row r="14413" spans="1:1" x14ac:dyDescent="0.3">
      <c r="A14413" s="12"/>
    </row>
    <row r="14414" spans="1:1" x14ac:dyDescent="0.3">
      <c r="A14414" s="12"/>
    </row>
    <row r="14415" spans="1:1" x14ac:dyDescent="0.3">
      <c r="A14415" s="12"/>
    </row>
    <row r="14416" spans="1:1" x14ac:dyDescent="0.3">
      <c r="A14416" s="12"/>
    </row>
    <row r="14417" spans="1:1" x14ac:dyDescent="0.3">
      <c r="A14417" s="12"/>
    </row>
    <row r="14418" spans="1:1" x14ac:dyDescent="0.3">
      <c r="A14418" s="12"/>
    </row>
    <row r="14419" spans="1:1" x14ac:dyDescent="0.3">
      <c r="A14419" s="12"/>
    </row>
    <row r="14420" spans="1:1" x14ac:dyDescent="0.3">
      <c r="A14420" s="12"/>
    </row>
    <row r="14421" spans="1:1" x14ac:dyDescent="0.3">
      <c r="A14421" s="12"/>
    </row>
    <row r="14422" spans="1:1" x14ac:dyDescent="0.3">
      <c r="A14422" s="12"/>
    </row>
    <row r="14423" spans="1:1" x14ac:dyDescent="0.3">
      <c r="A14423" s="12"/>
    </row>
    <row r="14424" spans="1:1" x14ac:dyDescent="0.3">
      <c r="A14424" s="12"/>
    </row>
    <row r="14425" spans="1:1" x14ac:dyDescent="0.3">
      <c r="A14425" s="12"/>
    </row>
    <row r="14426" spans="1:1" x14ac:dyDescent="0.3">
      <c r="A14426" s="12"/>
    </row>
    <row r="14427" spans="1:1" x14ac:dyDescent="0.3">
      <c r="A14427" s="12"/>
    </row>
    <row r="14428" spans="1:1" x14ac:dyDescent="0.3">
      <c r="A14428" s="12"/>
    </row>
    <row r="14429" spans="1:1" x14ac:dyDescent="0.3">
      <c r="A14429" s="12"/>
    </row>
    <row r="14430" spans="1:1" x14ac:dyDescent="0.3">
      <c r="A14430" s="12"/>
    </row>
    <row r="14431" spans="1:1" x14ac:dyDescent="0.3">
      <c r="A14431" s="12"/>
    </row>
    <row r="14432" spans="1:1" x14ac:dyDescent="0.3">
      <c r="A14432" s="12"/>
    </row>
    <row r="14433" spans="1:1" x14ac:dyDescent="0.3">
      <c r="A14433" s="12"/>
    </row>
    <row r="14434" spans="1:1" x14ac:dyDescent="0.3">
      <c r="A14434" s="12"/>
    </row>
    <row r="14435" spans="1:1" x14ac:dyDescent="0.3">
      <c r="A14435" s="12"/>
    </row>
    <row r="14436" spans="1:1" x14ac:dyDescent="0.3">
      <c r="A14436" s="12"/>
    </row>
    <row r="14437" spans="1:1" x14ac:dyDescent="0.3">
      <c r="A14437" s="12"/>
    </row>
    <row r="14438" spans="1:1" x14ac:dyDescent="0.3">
      <c r="A14438" s="12"/>
    </row>
    <row r="14439" spans="1:1" x14ac:dyDescent="0.3">
      <c r="A14439" s="12"/>
    </row>
    <row r="14440" spans="1:1" x14ac:dyDescent="0.3">
      <c r="A14440" s="12"/>
    </row>
    <row r="14441" spans="1:1" x14ac:dyDescent="0.3">
      <c r="A14441" s="12"/>
    </row>
    <row r="14442" spans="1:1" x14ac:dyDescent="0.3">
      <c r="A14442" s="12"/>
    </row>
    <row r="14443" spans="1:1" x14ac:dyDescent="0.3">
      <c r="A14443" s="12"/>
    </row>
    <row r="14444" spans="1:1" x14ac:dyDescent="0.3">
      <c r="A14444" s="12"/>
    </row>
    <row r="14445" spans="1:1" x14ac:dyDescent="0.3">
      <c r="A14445" s="12"/>
    </row>
    <row r="14446" spans="1:1" x14ac:dyDescent="0.3">
      <c r="A14446" s="12"/>
    </row>
    <row r="14447" spans="1:1" x14ac:dyDescent="0.3">
      <c r="A14447" s="12"/>
    </row>
    <row r="14448" spans="1:1" x14ac:dyDescent="0.3">
      <c r="A14448" s="12"/>
    </row>
    <row r="14449" spans="1:1" x14ac:dyDescent="0.3">
      <c r="A14449" s="12"/>
    </row>
    <row r="14450" spans="1:1" x14ac:dyDescent="0.3">
      <c r="A14450" s="12"/>
    </row>
    <row r="14451" spans="1:1" x14ac:dyDescent="0.3">
      <c r="A14451" s="12"/>
    </row>
    <row r="14452" spans="1:1" x14ac:dyDescent="0.3">
      <c r="A14452" s="12"/>
    </row>
    <row r="14453" spans="1:1" x14ac:dyDescent="0.3">
      <c r="A14453" s="12"/>
    </row>
    <row r="14454" spans="1:1" x14ac:dyDescent="0.3">
      <c r="A14454" s="12"/>
    </row>
    <row r="14455" spans="1:1" x14ac:dyDescent="0.3">
      <c r="A14455" s="12"/>
    </row>
    <row r="14456" spans="1:1" x14ac:dyDescent="0.3">
      <c r="A14456" s="12"/>
    </row>
    <row r="14457" spans="1:1" x14ac:dyDescent="0.3">
      <c r="A14457" s="12"/>
    </row>
    <row r="14458" spans="1:1" x14ac:dyDescent="0.3">
      <c r="A14458" s="12"/>
    </row>
    <row r="14459" spans="1:1" x14ac:dyDescent="0.3">
      <c r="A14459" s="12"/>
    </row>
    <row r="14460" spans="1:1" x14ac:dyDescent="0.3">
      <c r="A14460" s="12"/>
    </row>
    <row r="14461" spans="1:1" x14ac:dyDescent="0.3">
      <c r="A14461" s="12"/>
    </row>
    <row r="14462" spans="1:1" x14ac:dyDescent="0.3">
      <c r="A14462" s="12"/>
    </row>
    <row r="14463" spans="1:1" x14ac:dyDescent="0.3">
      <c r="A14463" s="12"/>
    </row>
    <row r="14464" spans="1:1" x14ac:dyDescent="0.3">
      <c r="A14464" s="12"/>
    </row>
    <row r="14465" spans="1:1" x14ac:dyDescent="0.3">
      <c r="A14465" s="12"/>
    </row>
    <row r="14466" spans="1:1" x14ac:dyDescent="0.3">
      <c r="A14466" s="12"/>
    </row>
    <row r="14467" spans="1:1" x14ac:dyDescent="0.3">
      <c r="A14467" s="12"/>
    </row>
    <row r="14468" spans="1:1" x14ac:dyDescent="0.3">
      <c r="A14468" s="12"/>
    </row>
    <row r="14469" spans="1:1" x14ac:dyDescent="0.3">
      <c r="A14469" s="12"/>
    </row>
    <row r="14470" spans="1:1" x14ac:dyDescent="0.3">
      <c r="A14470" s="12"/>
    </row>
    <row r="14471" spans="1:1" x14ac:dyDescent="0.3">
      <c r="A14471" s="12"/>
    </row>
    <row r="14472" spans="1:1" x14ac:dyDescent="0.3">
      <c r="A14472" s="12"/>
    </row>
    <row r="14473" spans="1:1" x14ac:dyDescent="0.3">
      <c r="A14473" s="12"/>
    </row>
    <row r="14474" spans="1:1" x14ac:dyDescent="0.3">
      <c r="A14474" s="12"/>
    </row>
    <row r="14475" spans="1:1" x14ac:dyDescent="0.3">
      <c r="A14475" s="12"/>
    </row>
    <row r="14476" spans="1:1" x14ac:dyDescent="0.3">
      <c r="A14476" s="12"/>
    </row>
    <row r="14477" spans="1:1" x14ac:dyDescent="0.3">
      <c r="A14477" s="12"/>
    </row>
    <row r="14478" spans="1:1" x14ac:dyDescent="0.3">
      <c r="A14478" s="12"/>
    </row>
    <row r="14479" spans="1:1" x14ac:dyDescent="0.3">
      <c r="A14479" s="12"/>
    </row>
    <row r="14480" spans="1:1" x14ac:dyDescent="0.3">
      <c r="A14480" s="12"/>
    </row>
    <row r="14481" spans="1:1" x14ac:dyDescent="0.3">
      <c r="A14481" s="12"/>
    </row>
    <row r="14482" spans="1:1" x14ac:dyDescent="0.3">
      <c r="A14482" s="12"/>
    </row>
    <row r="14483" spans="1:1" x14ac:dyDescent="0.3">
      <c r="A14483" s="12"/>
    </row>
    <row r="14484" spans="1:1" x14ac:dyDescent="0.3">
      <c r="A14484" s="12"/>
    </row>
    <row r="14485" spans="1:1" x14ac:dyDescent="0.3">
      <c r="A14485" s="12"/>
    </row>
    <row r="14486" spans="1:1" x14ac:dyDescent="0.3">
      <c r="A14486" s="12"/>
    </row>
    <row r="14487" spans="1:1" x14ac:dyDescent="0.3">
      <c r="A14487" s="12"/>
    </row>
    <row r="14488" spans="1:1" x14ac:dyDescent="0.3">
      <c r="A14488" s="12"/>
    </row>
    <row r="14489" spans="1:1" x14ac:dyDescent="0.3">
      <c r="A14489" s="12"/>
    </row>
    <row r="14490" spans="1:1" x14ac:dyDescent="0.3">
      <c r="A14490" s="12"/>
    </row>
    <row r="14491" spans="1:1" x14ac:dyDescent="0.3">
      <c r="A14491" s="12"/>
    </row>
    <row r="14492" spans="1:1" x14ac:dyDescent="0.3">
      <c r="A14492" s="12"/>
    </row>
    <row r="14493" spans="1:1" x14ac:dyDescent="0.3">
      <c r="A14493" s="12"/>
    </row>
    <row r="14494" spans="1:1" x14ac:dyDescent="0.3">
      <c r="A14494" s="12"/>
    </row>
    <row r="14495" spans="1:1" x14ac:dyDescent="0.3">
      <c r="A14495" s="12"/>
    </row>
    <row r="14496" spans="1:1" x14ac:dyDescent="0.3">
      <c r="A14496" s="12"/>
    </row>
    <row r="14497" spans="1:1" x14ac:dyDescent="0.3">
      <c r="A14497" s="12"/>
    </row>
    <row r="14498" spans="1:1" x14ac:dyDescent="0.3">
      <c r="A14498" s="12"/>
    </row>
    <row r="14499" spans="1:1" x14ac:dyDescent="0.3">
      <c r="A14499" s="12"/>
    </row>
    <row r="14500" spans="1:1" x14ac:dyDescent="0.3">
      <c r="A14500" s="12"/>
    </row>
    <row r="14501" spans="1:1" x14ac:dyDescent="0.3">
      <c r="A14501" s="12"/>
    </row>
    <row r="14502" spans="1:1" x14ac:dyDescent="0.3">
      <c r="A14502" s="12"/>
    </row>
    <row r="14503" spans="1:1" x14ac:dyDescent="0.3">
      <c r="A14503" s="12"/>
    </row>
    <row r="14504" spans="1:1" x14ac:dyDescent="0.3">
      <c r="A14504" s="12"/>
    </row>
    <row r="14505" spans="1:1" x14ac:dyDescent="0.3">
      <c r="A14505" s="12"/>
    </row>
    <row r="14506" spans="1:1" x14ac:dyDescent="0.3">
      <c r="A14506" s="12"/>
    </row>
    <row r="14507" spans="1:1" x14ac:dyDescent="0.3">
      <c r="A14507" s="12"/>
    </row>
    <row r="14508" spans="1:1" x14ac:dyDescent="0.3">
      <c r="A14508" s="12"/>
    </row>
    <row r="14509" spans="1:1" x14ac:dyDescent="0.3">
      <c r="A14509" s="12"/>
    </row>
    <row r="14510" spans="1:1" x14ac:dyDescent="0.3">
      <c r="A14510" s="12"/>
    </row>
    <row r="14511" spans="1:1" x14ac:dyDescent="0.3">
      <c r="A14511" s="12"/>
    </row>
    <row r="14512" spans="1:1" x14ac:dyDescent="0.3">
      <c r="A14512" s="12"/>
    </row>
    <row r="14513" spans="1:1" x14ac:dyDescent="0.3">
      <c r="A14513" s="12"/>
    </row>
    <row r="14514" spans="1:1" x14ac:dyDescent="0.3">
      <c r="A14514" s="12"/>
    </row>
    <row r="14515" spans="1:1" x14ac:dyDescent="0.3">
      <c r="A14515" s="12"/>
    </row>
    <row r="14516" spans="1:1" x14ac:dyDescent="0.3">
      <c r="A14516" s="12"/>
    </row>
    <row r="14517" spans="1:1" x14ac:dyDescent="0.3">
      <c r="A14517" s="12"/>
    </row>
    <row r="14518" spans="1:1" x14ac:dyDescent="0.3">
      <c r="A14518" s="12"/>
    </row>
    <row r="14519" spans="1:1" x14ac:dyDescent="0.3">
      <c r="A14519" s="12"/>
    </row>
    <row r="14520" spans="1:1" x14ac:dyDescent="0.3">
      <c r="A14520" s="12"/>
    </row>
    <row r="14521" spans="1:1" x14ac:dyDescent="0.3">
      <c r="A14521" s="12"/>
    </row>
    <row r="14522" spans="1:1" x14ac:dyDescent="0.3">
      <c r="A14522" s="12"/>
    </row>
    <row r="14523" spans="1:1" x14ac:dyDescent="0.3">
      <c r="A14523" s="12"/>
    </row>
    <row r="14524" spans="1:1" x14ac:dyDescent="0.3">
      <c r="A14524" s="12"/>
    </row>
    <row r="14525" spans="1:1" x14ac:dyDescent="0.3">
      <c r="A14525" s="12"/>
    </row>
    <row r="14526" spans="1:1" x14ac:dyDescent="0.3">
      <c r="A14526" s="12"/>
    </row>
    <row r="14527" spans="1:1" x14ac:dyDescent="0.3">
      <c r="A14527" s="12"/>
    </row>
    <row r="14528" spans="1:1" x14ac:dyDescent="0.3">
      <c r="A14528" s="12"/>
    </row>
    <row r="14529" spans="1:1" x14ac:dyDescent="0.3">
      <c r="A14529" s="12"/>
    </row>
    <row r="14530" spans="1:1" x14ac:dyDescent="0.3">
      <c r="A14530" s="12"/>
    </row>
    <row r="14531" spans="1:1" x14ac:dyDescent="0.3">
      <c r="A14531" s="12"/>
    </row>
    <row r="14532" spans="1:1" x14ac:dyDescent="0.3">
      <c r="A14532" s="12"/>
    </row>
    <row r="14533" spans="1:1" x14ac:dyDescent="0.3">
      <c r="A14533" s="12"/>
    </row>
    <row r="14534" spans="1:1" x14ac:dyDescent="0.3">
      <c r="A14534" s="12"/>
    </row>
    <row r="14535" spans="1:1" x14ac:dyDescent="0.3">
      <c r="A14535" s="12"/>
    </row>
    <row r="14536" spans="1:1" x14ac:dyDescent="0.3">
      <c r="A14536" s="12"/>
    </row>
    <row r="14537" spans="1:1" x14ac:dyDescent="0.3">
      <c r="A14537" s="12"/>
    </row>
    <row r="14538" spans="1:1" x14ac:dyDescent="0.3">
      <c r="A14538" s="12"/>
    </row>
    <row r="14539" spans="1:1" x14ac:dyDescent="0.3">
      <c r="A14539" s="12"/>
    </row>
    <row r="14540" spans="1:1" x14ac:dyDescent="0.3">
      <c r="A14540" s="12"/>
    </row>
    <row r="14541" spans="1:1" x14ac:dyDescent="0.3">
      <c r="A14541" s="12"/>
    </row>
    <row r="14542" spans="1:1" x14ac:dyDescent="0.3">
      <c r="A14542" s="12"/>
    </row>
    <row r="14543" spans="1:1" x14ac:dyDescent="0.3">
      <c r="A14543" s="12"/>
    </row>
    <row r="14544" spans="1:1" x14ac:dyDescent="0.3">
      <c r="A14544" s="12"/>
    </row>
    <row r="14545" spans="1:1" x14ac:dyDescent="0.3">
      <c r="A14545" s="12"/>
    </row>
    <row r="14546" spans="1:1" x14ac:dyDescent="0.3">
      <c r="A14546" s="12"/>
    </row>
    <row r="14547" spans="1:1" x14ac:dyDescent="0.3">
      <c r="A14547" s="12"/>
    </row>
    <row r="14548" spans="1:1" x14ac:dyDescent="0.3">
      <c r="A14548" s="12"/>
    </row>
    <row r="14549" spans="1:1" x14ac:dyDescent="0.3">
      <c r="A14549" s="12"/>
    </row>
    <row r="14550" spans="1:1" x14ac:dyDescent="0.3">
      <c r="A14550" s="12"/>
    </row>
    <row r="14551" spans="1:1" x14ac:dyDescent="0.3">
      <c r="A14551" s="12"/>
    </row>
    <row r="14552" spans="1:1" x14ac:dyDescent="0.3">
      <c r="A14552" s="12"/>
    </row>
    <row r="14553" spans="1:1" x14ac:dyDescent="0.3">
      <c r="A14553" s="12"/>
    </row>
    <row r="14554" spans="1:1" x14ac:dyDescent="0.3">
      <c r="A14554" s="12"/>
    </row>
    <row r="14555" spans="1:1" x14ac:dyDescent="0.3">
      <c r="A14555" s="12"/>
    </row>
    <row r="14556" spans="1:1" x14ac:dyDescent="0.3">
      <c r="A14556" s="12"/>
    </row>
    <row r="14557" spans="1:1" x14ac:dyDescent="0.3">
      <c r="A14557" s="12"/>
    </row>
    <row r="14558" spans="1:1" x14ac:dyDescent="0.3">
      <c r="A14558" s="12"/>
    </row>
    <row r="14559" spans="1:1" x14ac:dyDescent="0.3">
      <c r="A14559" s="12"/>
    </row>
    <row r="14560" spans="1:1" x14ac:dyDescent="0.3">
      <c r="A14560" s="12"/>
    </row>
    <row r="14561" spans="1:1" x14ac:dyDescent="0.3">
      <c r="A14561" s="12"/>
    </row>
    <row r="14562" spans="1:1" x14ac:dyDescent="0.3">
      <c r="A14562" s="12"/>
    </row>
    <row r="14563" spans="1:1" x14ac:dyDescent="0.3">
      <c r="A14563" s="12"/>
    </row>
    <row r="14564" spans="1:1" x14ac:dyDescent="0.3">
      <c r="A14564" s="12"/>
    </row>
    <row r="14565" spans="1:1" x14ac:dyDescent="0.3">
      <c r="A14565" s="12"/>
    </row>
    <row r="14566" spans="1:1" x14ac:dyDescent="0.3">
      <c r="A14566" s="12"/>
    </row>
    <row r="14567" spans="1:1" x14ac:dyDescent="0.3">
      <c r="A14567" s="12"/>
    </row>
    <row r="14568" spans="1:1" x14ac:dyDescent="0.3">
      <c r="A14568" s="12"/>
    </row>
    <row r="14569" spans="1:1" x14ac:dyDescent="0.3">
      <c r="A14569" s="12"/>
    </row>
    <row r="14570" spans="1:1" x14ac:dyDescent="0.3">
      <c r="A14570" s="12"/>
    </row>
    <row r="14571" spans="1:1" x14ac:dyDescent="0.3">
      <c r="A14571" s="12"/>
    </row>
    <row r="14572" spans="1:1" x14ac:dyDescent="0.3">
      <c r="A14572" s="12"/>
    </row>
    <row r="14573" spans="1:1" x14ac:dyDescent="0.3">
      <c r="A14573" s="12"/>
    </row>
    <row r="14574" spans="1:1" x14ac:dyDescent="0.3">
      <c r="A14574" s="12"/>
    </row>
    <row r="14575" spans="1:1" x14ac:dyDescent="0.3">
      <c r="A14575" s="12"/>
    </row>
    <row r="14576" spans="1:1" x14ac:dyDescent="0.3">
      <c r="A14576" s="12"/>
    </row>
    <row r="14577" spans="1:1" x14ac:dyDescent="0.3">
      <c r="A14577" s="12"/>
    </row>
    <row r="14578" spans="1:1" x14ac:dyDescent="0.3">
      <c r="A14578" s="12"/>
    </row>
    <row r="14579" spans="1:1" x14ac:dyDescent="0.3">
      <c r="A14579" s="12"/>
    </row>
    <row r="14580" spans="1:1" x14ac:dyDescent="0.3">
      <c r="A14580" s="12"/>
    </row>
    <row r="14581" spans="1:1" x14ac:dyDescent="0.3">
      <c r="A14581" s="12"/>
    </row>
    <row r="14582" spans="1:1" x14ac:dyDescent="0.3">
      <c r="A14582" s="12"/>
    </row>
    <row r="14583" spans="1:1" x14ac:dyDescent="0.3">
      <c r="A14583" s="12"/>
    </row>
    <row r="14584" spans="1:1" x14ac:dyDescent="0.3">
      <c r="A14584" s="12"/>
    </row>
    <row r="14585" spans="1:1" x14ac:dyDescent="0.3">
      <c r="A14585" s="12"/>
    </row>
    <row r="14586" spans="1:1" x14ac:dyDescent="0.3">
      <c r="A14586" s="12"/>
    </row>
    <row r="14587" spans="1:1" x14ac:dyDescent="0.3">
      <c r="A14587" s="12"/>
    </row>
    <row r="14588" spans="1:1" x14ac:dyDescent="0.3">
      <c r="A14588" s="12"/>
    </row>
    <row r="14589" spans="1:1" x14ac:dyDescent="0.3">
      <c r="A14589" s="12"/>
    </row>
    <row r="14590" spans="1:1" x14ac:dyDescent="0.3">
      <c r="A14590" s="12"/>
    </row>
    <row r="14591" spans="1:1" x14ac:dyDescent="0.3">
      <c r="A14591" s="12"/>
    </row>
    <row r="14592" spans="1:1" x14ac:dyDescent="0.3">
      <c r="A14592" s="12"/>
    </row>
    <row r="14593" spans="1:1" x14ac:dyDescent="0.3">
      <c r="A14593" s="12"/>
    </row>
    <row r="14594" spans="1:1" x14ac:dyDescent="0.3">
      <c r="A14594" s="12"/>
    </row>
    <row r="14595" spans="1:1" x14ac:dyDescent="0.3">
      <c r="A14595" s="12"/>
    </row>
    <row r="14596" spans="1:1" x14ac:dyDescent="0.3">
      <c r="A14596" s="12"/>
    </row>
    <row r="14597" spans="1:1" x14ac:dyDescent="0.3">
      <c r="A14597" s="12"/>
    </row>
    <row r="14598" spans="1:1" x14ac:dyDescent="0.3">
      <c r="A14598" s="12"/>
    </row>
    <row r="14599" spans="1:1" x14ac:dyDescent="0.3">
      <c r="A14599" s="12"/>
    </row>
    <row r="14600" spans="1:1" x14ac:dyDescent="0.3">
      <c r="A14600" s="12"/>
    </row>
    <row r="14601" spans="1:1" x14ac:dyDescent="0.3">
      <c r="A14601" s="12"/>
    </row>
    <row r="14602" spans="1:1" x14ac:dyDescent="0.3">
      <c r="A14602" s="12"/>
    </row>
    <row r="14603" spans="1:1" x14ac:dyDescent="0.3">
      <c r="A14603" s="12"/>
    </row>
    <row r="14604" spans="1:1" x14ac:dyDescent="0.3">
      <c r="A14604" s="12"/>
    </row>
    <row r="14605" spans="1:1" x14ac:dyDescent="0.3">
      <c r="A14605" s="12"/>
    </row>
    <row r="14606" spans="1:1" x14ac:dyDescent="0.3">
      <c r="A14606" s="12"/>
    </row>
    <row r="14607" spans="1:1" x14ac:dyDescent="0.3">
      <c r="A14607" s="12"/>
    </row>
    <row r="14608" spans="1:1" x14ac:dyDescent="0.3">
      <c r="A14608" s="12"/>
    </row>
    <row r="14609" spans="1:1" x14ac:dyDescent="0.3">
      <c r="A14609" s="12"/>
    </row>
    <row r="14610" spans="1:1" x14ac:dyDescent="0.3">
      <c r="A14610" s="12"/>
    </row>
    <row r="14611" spans="1:1" x14ac:dyDescent="0.3">
      <c r="A14611" s="12"/>
    </row>
    <row r="14612" spans="1:1" x14ac:dyDescent="0.3">
      <c r="A14612" s="12"/>
    </row>
    <row r="14613" spans="1:1" x14ac:dyDescent="0.3">
      <c r="A14613" s="12"/>
    </row>
    <row r="14614" spans="1:1" x14ac:dyDescent="0.3">
      <c r="A14614" s="12"/>
    </row>
    <row r="14615" spans="1:1" x14ac:dyDescent="0.3">
      <c r="A14615" s="12"/>
    </row>
    <row r="14616" spans="1:1" x14ac:dyDescent="0.3">
      <c r="A14616" s="12"/>
    </row>
    <row r="14617" spans="1:1" x14ac:dyDescent="0.3">
      <c r="A14617" s="12"/>
    </row>
    <row r="14618" spans="1:1" x14ac:dyDescent="0.3">
      <c r="A14618" s="12"/>
    </row>
    <row r="14619" spans="1:1" x14ac:dyDescent="0.3">
      <c r="A14619" s="12"/>
    </row>
    <row r="14620" spans="1:1" x14ac:dyDescent="0.3">
      <c r="A14620" s="12"/>
    </row>
    <row r="14621" spans="1:1" x14ac:dyDescent="0.3">
      <c r="A14621" s="12"/>
    </row>
    <row r="14622" spans="1:1" x14ac:dyDescent="0.3">
      <c r="A14622" s="12"/>
    </row>
    <row r="14623" spans="1:1" x14ac:dyDescent="0.3">
      <c r="A14623" s="12"/>
    </row>
    <row r="14624" spans="1:1" x14ac:dyDescent="0.3">
      <c r="A14624" s="12"/>
    </row>
    <row r="14625" spans="1:1" x14ac:dyDescent="0.3">
      <c r="A14625" s="12"/>
    </row>
    <row r="14626" spans="1:1" x14ac:dyDescent="0.3">
      <c r="A14626" s="12"/>
    </row>
    <row r="14627" spans="1:1" x14ac:dyDescent="0.3">
      <c r="A14627" s="12"/>
    </row>
    <row r="14628" spans="1:1" x14ac:dyDescent="0.3">
      <c r="A14628" s="12"/>
    </row>
    <row r="14629" spans="1:1" x14ac:dyDescent="0.3">
      <c r="A14629" s="12"/>
    </row>
    <row r="14630" spans="1:1" x14ac:dyDescent="0.3">
      <c r="A14630" s="12"/>
    </row>
    <row r="14631" spans="1:1" x14ac:dyDescent="0.3">
      <c r="A14631" s="12"/>
    </row>
    <row r="14632" spans="1:1" x14ac:dyDescent="0.3">
      <c r="A14632" s="12"/>
    </row>
    <row r="14633" spans="1:1" x14ac:dyDescent="0.3">
      <c r="A14633" s="12"/>
    </row>
    <row r="14634" spans="1:1" x14ac:dyDescent="0.3">
      <c r="A14634" s="12"/>
    </row>
    <row r="14635" spans="1:1" x14ac:dyDescent="0.3">
      <c r="A14635" s="12"/>
    </row>
    <row r="14636" spans="1:1" x14ac:dyDescent="0.3">
      <c r="A14636" s="12"/>
    </row>
    <row r="14637" spans="1:1" x14ac:dyDescent="0.3">
      <c r="A14637" s="12"/>
    </row>
    <row r="14638" spans="1:1" x14ac:dyDescent="0.3">
      <c r="A14638" s="12"/>
    </row>
    <row r="14639" spans="1:1" x14ac:dyDescent="0.3">
      <c r="A14639" s="12"/>
    </row>
    <row r="14640" spans="1:1" x14ac:dyDescent="0.3">
      <c r="A14640" s="12"/>
    </row>
    <row r="14641" spans="1:1" x14ac:dyDescent="0.3">
      <c r="A14641" s="12"/>
    </row>
    <row r="14642" spans="1:1" x14ac:dyDescent="0.3">
      <c r="A14642" s="12"/>
    </row>
    <row r="14643" spans="1:1" x14ac:dyDescent="0.3">
      <c r="A14643" s="12"/>
    </row>
    <row r="14644" spans="1:1" x14ac:dyDescent="0.3">
      <c r="A14644" s="12"/>
    </row>
    <row r="14645" spans="1:1" x14ac:dyDescent="0.3">
      <c r="A14645" s="12"/>
    </row>
    <row r="14646" spans="1:1" x14ac:dyDescent="0.3">
      <c r="A14646" s="12"/>
    </row>
    <row r="14647" spans="1:1" x14ac:dyDescent="0.3">
      <c r="A14647" s="12"/>
    </row>
    <row r="14648" spans="1:1" x14ac:dyDescent="0.3">
      <c r="A14648" s="12"/>
    </row>
    <row r="14649" spans="1:1" x14ac:dyDescent="0.3">
      <c r="A14649" s="12"/>
    </row>
    <row r="14650" spans="1:1" x14ac:dyDescent="0.3">
      <c r="A14650" s="12"/>
    </row>
    <row r="14651" spans="1:1" x14ac:dyDescent="0.3">
      <c r="A14651" s="12"/>
    </row>
    <row r="14652" spans="1:1" x14ac:dyDescent="0.3">
      <c r="A14652" s="12"/>
    </row>
    <row r="14653" spans="1:1" x14ac:dyDescent="0.3">
      <c r="A14653" s="12"/>
    </row>
    <row r="14654" spans="1:1" x14ac:dyDescent="0.3">
      <c r="A14654" s="12"/>
    </row>
    <row r="14655" spans="1:1" x14ac:dyDescent="0.3">
      <c r="A14655" s="12"/>
    </row>
    <row r="14656" spans="1:1" x14ac:dyDescent="0.3">
      <c r="A14656" s="12"/>
    </row>
    <row r="14657" spans="1:1" x14ac:dyDescent="0.3">
      <c r="A14657" s="12"/>
    </row>
    <row r="14658" spans="1:1" x14ac:dyDescent="0.3">
      <c r="A14658" s="12"/>
    </row>
    <row r="14659" spans="1:1" x14ac:dyDescent="0.3">
      <c r="A14659" s="12"/>
    </row>
    <row r="14660" spans="1:1" x14ac:dyDescent="0.3">
      <c r="A14660" s="12"/>
    </row>
    <row r="14661" spans="1:1" x14ac:dyDescent="0.3">
      <c r="A14661" s="12"/>
    </row>
    <row r="14662" spans="1:1" x14ac:dyDescent="0.3">
      <c r="A14662" s="12"/>
    </row>
    <row r="14663" spans="1:1" x14ac:dyDescent="0.3">
      <c r="A14663" s="12"/>
    </row>
    <row r="14664" spans="1:1" x14ac:dyDescent="0.3">
      <c r="A14664" s="12"/>
    </row>
    <row r="14665" spans="1:1" x14ac:dyDescent="0.3">
      <c r="A14665" s="12"/>
    </row>
    <row r="14666" spans="1:1" x14ac:dyDescent="0.3">
      <c r="A14666" s="12"/>
    </row>
    <row r="14667" spans="1:1" x14ac:dyDescent="0.3">
      <c r="A14667" s="12"/>
    </row>
    <row r="14668" spans="1:1" x14ac:dyDescent="0.3">
      <c r="A14668" s="12"/>
    </row>
    <row r="14669" spans="1:1" x14ac:dyDescent="0.3">
      <c r="A14669" s="12"/>
    </row>
    <row r="14670" spans="1:1" x14ac:dyDescent="0.3">
      <c r="A14670" s="12"/>
    </row>
    <row r="14671" spans="1:1" x14ac:dyDescent="0.3">
      <c r="A14671" s="12"/>
    </row>
    <row r="14672" spans="1:1" x14ac:dyDescent="0.3">
      <c r="A14672" s="12"/>
    </row>
    <row r="14673" spans="1:1" x14ac:dyDescent="0.3">
      <c r="A14673" s="12"/>
    </row>
    <row r="14674" spans="1:1" x14ac:dyDescent="0.3">
      <c r="A14674" s="12"/>
    </row>
    <row r="14675" spans="1:1" x14ac:dyDescent="0.3">
      <c r="A14675" s="12"/>
    </row>
    <row r="14676" spans="1:1" x14ac:dyDescent="0.3">
      <c r="A14676" s="12"/>
    </row>
    <row r="14677" spans="1:1" x14ac:dyDescent="0.3">
      <c r="A14677" s="12"/>
    </row>
    <row r="14678" spans="1:1" x14ac:dyDescent="0.3">
      <c r="A14678" s="12"/>
    </row>
    <row r="14679" spans="1:1" x14ac:dyDescent="0.3">
      <c r="A14679" s="12"/>
    </row>
    <row r="14680" spans="1:1" x14ac:dyDescent="0.3">
      <c r="A14680" s="12"/>
    </row>
    <row r="14681" spans="1:1" x14ac:dyDescent="0.3">
      <c r="A14681" s="12"/>
    </row>
    <row r="14682" spans="1:1" x14ac:dyDescent="0.3">
      <c r="A14682" s="12"/>
    </row>
    <row r="14683" spans="1:1" x14ac:dyDescent="0.3">
      <c r="A14683" s="12"/>
    </row>
    <row r="14684" spans="1:1" x14ac:dyDescent="0.3">
      <c r="A14684" s="12"/>
    </row>
    <row r="14685" spans="1:1" x14ac:dyDescent="0.3">
      <c r="A14685" s="12"/>
    </row>
    <row r="14686" spans="1:1" x14ac:dyDescent="0.3">
      <c r="A14686" s="12"/>
    </row>
    <row r="14687" spans="1:1" x14ac:dyDescent="0.3">
      <c r="A14687" s="12"/>
    </row>
    <row r="14688" spans="1:1" x14ac:dyDescent="0.3">
      <c r="A14688" s="12"/>
    </row>
    <row r="14689" spans="1:1" x14ac:dyDescent="0.3">
      <c r="A14689" s="12"/>
    </row>
    <row r="14690" spans="1:1" x14ac:dyDescent="0.3">
      <c r="A14690" s="12"/>
    </row>
    <row r="14691" spans="1:1" x14ac:dyDescent="0.3">
      <c r="A14691" s="12"/>
    </row>
    <row r="14692" spans="1:1" x14ac:dyDescent="0.3">
      <c r="A14692" s="12"/>
    </row>
    <row r="14693" spans="1:1" x14ac:dyDescent="0.3">
      <c r="A14693" s="12"/>
    </row>
    <row r="14694" spans="1:1" x14ac:dyDescent="0.3">
      <c r="A14694" s="12"/>
    </row>
    <row r="14695" spans="1:1" x14ac:dyDescent="0.3">
      <c r="A14695" s="12"/>
    </row>
    <row r="14696" spans="1:1" x14ac:dyDescent="0.3">
      <c r="A14696" s="12"/>
    </row>
    <row r="14697" spans="1:1" x14ac:dyDescent="0.3">
      <c r="A14697" s="12"/>
    </row>
    <row r="14698" spans="1:1" x14ac:dyDescent="0.3">
      <c r="A14698" s="12"/>
    </row>
    <row r="14699" spans="1:1" x14ac:dyDescent="0.3">
      <c r="A14699" s="12"/>
    </row>
    <row r="14700" spans="1:1" x14ac:dyDescent="0.3">
      <c r="A14700" s="12"/>
    </row>
    <row r="14701" spans="1:1" x14ac:dyDescent="0.3">
      <c r="A14701" s="12"/>
    </row>
    <row r="14702" spans="1:1" x14ac:dyDescent="0.3">
      <c r="A14702" s="12"/>
    </row>
    <row r="14703" spans="1:1" x14ac:dyDescent="0.3">
      <c r="A14703" s="12"/>
    </row>
    <row r="14704" spans="1:1" x14ac:dyDescent="0.3">
      <c r="A14704" s="12"/>
    </row>
    <row r="14705" spans="1:1" x14ac:dyDescent="0.3">
      <c r="A14705" s="12"/>
    </row>
    <row r="14706" spans="1:1" x14ac:dyDescent="0.3">
      <c r="A14706" s="12"/>
    </row>
    <row r="14707" spans="1:1" x14ac:dyDescent="0.3">
      <c r="A14707" s="12"/>
    </row>
    <row r="14708" spans="1:1" x14ac:dyDescent="0.3">
      <c r="A14708" s="12"/>
    </row>
    <row r="14709" spans="1:1" x14ac:dyDescent="0.3">
      <c r="A14709" s="12"/>
    </row>
    <row r="14710" spans="1:1" x14ac:dyDescent="0.3">
      <c r="A14710" s="12"/>
    </row>
    <row r="14711" spans="1:1" x14ac:dyDescent="0.3">
      <c r="A14711" s="12"/>
    </row>
    <row r="14712" spans="1:1" x14ac:dyDescent="0.3">
      <c r="A14712" s="12"/>
    </row>
    <row r="14713" spans="1:1" x14ac:dyDescent="0.3">
      <c r="A14713" s="12"/>
    </row>
    <row r="14714" spans="1:1" x14ac:dyDescent="0.3">
      <c r="A14714" s="12"/>
    </row>
    <row r="14715" spans="1:1" x14ac:dyDescent="0.3">
      <c r="A14715" s="12"/>
    </row>
    <row r="14716" spans="1:1" x14ac:dyDescent="0.3">
      <c r="A14716" s="12"/>
    </row>
    <row r="14717" spans="1:1" x14ac:dyDescent="0.3">
      <c r="A14717" s="12"/>
    </row>
    <row r="14718" spans="1:1" x14ac:dyDescent="0.3">
      <c r="A14718" s="12"/>
    </row>
    <row r="14719" spans="1:1" x14ac:dyDescent="0.3">
      <c r="A14719" s="12"/>
    </row>
    <row r="14720" spans="1:1" x14ac:dyDescent="0.3">
      <c r="A14720" s="12"/>
    </row>
    <row r="14721" spans="1:1" x14ac:dyDescent="0.3">
      <c r="A14721" s="12"/>
    </row>
    <row r="14722" spans="1:1" x14ac:dyDescent="0.3">
      <c r="A14722" s="12"/>
    </row>
    <row r="14723" spans="1:1" x14ac:dyDescent="0.3">
      <c r="A14723" s="12"/>
    </row>
    <row r="14724" spans="1:1" x14ac:dyDescent="0.3">
      <c r="A14724" s="12"/>
    </row>
    <row r="14725" spans="1:1" x14ac:dyDescent="0.3">
      <c r="A14725" s="12"/>
    </row>
    <row r="14726" spans="1:1" x14ac:dyDescent="0.3">
      <c r="A14726" s="12"/>
    </row>
    <row r="14727" spans="1:1" x14ac:dyDescent="0.3">
      <c r="A14727" s="12"/>
    </row>
    <row r="14728" spans="1:1" x14ac:dyDescent="0.3">
      <c r="A14728" s="12"/>
    </row>
    <row r="14729" spans="1:1" x14ac:dyDescent="0.3">
      <c r="A14729" s="12"/>
    </row>
    <row r="14730" spans="1:1" x14ac:dyDescent="0.3">
      <c r="A14730" s="12"/>
    </row>
    <row r="14731" spans="1:1" x14ac:dyDescent="0.3">
      <c r="A14731" s="12"/>
    </row>
    <row r="14732" spans="1:1" x14ac:dyDescent="0.3">
      <c r="A14732" s="12"/>
    </row>
    <row r="14733" spans="1:1" x14ac:dyDescent="0.3">
      <c r="A14733" s="12"/>
    </row>
    <row r="14734" spans="1:1" x14ac:dyDescent="0.3">
      <c r="A14734" s="12"/>
    </row>
    <row r="14735" spans="1:1" x14ac:dyDescent="0.3">
      <c r="A14735" s="12"/>
    </row>
    <row r="14736" spans="1:1" x14ac:dyDescent="0.3">
      <c r="A14736" s="12"/>
    </row>
    <row r="14737" spans="1:1" x14ac:dyDescent="0.3">
      <c r="A14737" s="12"/>
    </row>
    <row r="14738" spans="1:1" x14ac:dyDescent="0.3">
      <c r="A14738" s="12"/>
    </row>
    <row r="14739" spans="1:1" x14ac:dyDescent="0.3">
      <c r="A14739" s="12"/>
    </row>
    <row r="14740" spans="1:1" x14ac:dyDescent="0.3">
      <c r="A14740" s="12"/>
    </row>
    <row r="14741" spans="1:1" x14ac:dyDescent="0.3">
      <c r="A14741" s="12"/>
    </row>
    <row r="14742" spans="1:1" x14ac:dyDescent="0.3">
      <c r="A14742" s="12"/>
    </row>
    <row r="14743" spans="1:1" x14ac:dyDescent="0.3">
      <c r="A14743" s="12"/>
    </row>
    <row r="14744" spans="1:1" x14ac:dyDescent="0.3">
      <c r="A14744" s="12"/>
    </row>
    <row r="14745" spans="1:1" x14ac:dyDescent="0.3">
      <c r="A14745" s="12"/>
    </row>
    <row r="14746" spans="1:1" x14ac:dyDescent="0.3">
      <c r="A14746" s="12"/>
    </row>
    <row r="14747" spans="1:1" x14ac:dyDescent="0.3">
      <c r="A14747" s="12"/>
    </row>
    <row r="14748" spans="1:1" x14ac:dyDescent="0.3">
      <c r="A14748" s="12"/>
    </row>
    <row r="14749" spans="1:1" x14ac:dyDescent="0.3">
      <c r="A14749" s="12"/>
    </row>
    <row r="14750" spans="1:1" x14ac:dyDescent="0.3">
      <c r="A14750" s="12"/>
    </row>
    <row r="14751" spans="1:1" x14ac:dyDescent="0.3">
      <c r="A14751" s="12"/>
    </row>
    <row r="14752" spans="1:1" x14ac:dyDescent="0.3">
      <c r="A14752" s="12"/>
    </row>
    <row r="14753" spans="1:1" x14ac:dyDescent="0.3">
      <c r="A14753" s="12"/>
    </row>
    <row r="14754" spans="1:1" x14ac:dyDescent="0.3">
      <c r="A14754" s="12"/>
    </row>
    <row r="14755" spans="1:1" x14ac:dyDescent="0.3">
      <c r="A14755" s="12"/>
    </row>
    <row r="14756" spans="1:1" x14ac:dyDescent="0.3">
      <c r="A14756" s="12"/>
    </row>
    <row r="14757" spans="1:1" x14ac:dyDescent="0.3">
      <c r="A14757" s="12"/>
    </row>
    <row r="14758" spans="1:1" x14ac:dyDescent="0.3">
      <c r="A14758" s="12"/>
    </row>
    <row r="14759" spans="1:1" x14ac:dyDescent="0.3">
      <c r="A14759" s="12"/>
    </row>
    <row r="14760" spans="1:1" x14ac:dyDescent="0.3">
      <c r="A14760" s="12"/>
    </row>
    <row r="14761" spans="1:1" x14ac:dyDescent="0.3">
      <c r="A14761" s="12"/>
    </row>
    <row r="14762" spans="1:1" x14ac:dyDescent="0.3">
      <c r="A14762" s="12"/>
    </row>
    <row r="14763" spans="1:1" x14ac:dyDescent="0.3">
      <c r="A14763" s="12"/>
    </row>
    <row r="14764" spans="1:1" x14ac:dyDescent="0.3">
      <c r="A14764" s="12"/>
    </row>
    <row r="14765" spans="1:1" x14ac:dyDescent="0.3">
      <c r="A14765" s="12"/>
    </row>
    <row r="14766" spans="1:1" x14ac:dyDescent="0.3">
      <c r="A14766" s="12"/>
    </row>
    <row r="14767" spans="1:1" x14ac:dyDescent="0.3">
      <c r="A14767" s="12"/>
    </row>
    <row r="14768" spans="1:1" x14ac:dyDescent="0.3">
      <c r="A14768" s="12"/>
    </row>
    <row r="14769" spans="1:1" x14ac:dyDescent="0.3">
      <c r="A14769" s="12"/>
    </row>
    <row r="14770" spans="1:1" x14ac:dyDescent="0.3">
      <c r="A14770" s="12"/>
    </row>
    <row r="14771" spans="1:1" x14ac:dyDescent="0.3">
      <c r="A14771" s="12"/>
    </row>
    <row r="14772" spans="1:1" x14ac:dyDescent="0.3">
      <c r="A14772" s="12"/>
    </row>
    <row r="14773" spans="1:1" x14ac:dyDescent="0.3">
      <c r="A14773" s="12"/>
    </row>
    <row r="14774" spans="1:1" x14ac:dyDescent="0.3">
      <c r="A14774" s="12"/>
    </row>
    <row r="14775" spans="1:1" x14ac:dyDescent="0.3">
      <c r="A14775" s="12"/>
    </row>
    <row r="14776" spans="1:1" x14ac:dyDescent="0.3">
      <c r="A14776" s="12"/>
    </row>
    <row r="14777" spans="1:1" x14ac:dyDescent="0.3">
      <c r="A14777" s="12"/>
    </row>
    <row r="14778" spans="1:1" x14ac:dyDescent="0.3">
      <c r="A14778" s="12"/>
    </row>
    <row r="14779" spans="1:1" x14ac:dyDescent="0.3">
      <c r="A14779" s="12"/>
    </row>
    <row r="14780" spans="1:1" x14ac:dyDescent="0.3">
      <c r="A14780" s="12"/>
    </row>
    <row r="14781" spans="1:1" x14ac:dyDescent="0.3">
      <c r="A14781" s="12"/>
    </row>
    <row r="14782" spans="1:1" x14ac:dyDescent="0.3">
      <c r="A14782" s="12"/>
    </row>
    <row r="14783" spans="1:1" x14ac:dyDescent="0.3">
      <c r="A14783" s="12"/>
    </row>
    <row r="14784" spans="1:1" x14ac:dyDescent="0.3">
      <c r="A14784" s="12"/>
    </row>
    <row r="14785" spans="1:1" x14ac:dyDescent="0.3">
      <c r="A14785" s="12"/>
    </row>
    <row r="14786" spans="1:1" x14ac:dyDescent="0.3">
      <c r="A14786" s="12"/>
    </row>
    <row r="14787" spans="1:1" x14ac:dyDescent="0.3">
      <c r="A14787" s="12"/>
    </row>
    <row r="14788" spans="1:1" x14ac:dyDescent="0.3">
      <c r="A14788" s="12"/>
    </row>
    <row r="14789" spans="1:1" x14ac:dyDescent="0.3">
      <c r="A14789" s="12"/>
    </row>
    <row r="14790" spans="1:1" x14ac:dyDescent="0.3">
      <c r="A14790" s="12"/>
    </row>
    <row r="14791" spans="1:1" x14ac:dyDescent="0.3">
      <c r="A14791" s="12"/>
    </row>
    <row r="14792" spans="1:1" x14ac:dyDescent="0.3">
      <c r="A14792" s="12"/>
    </row>
    <row r="14793" spans="1:1" x14ac:dyDescent="0.3">
      <c r="A14793" s="12"/>
    </row>
    <row r="14794" spans="1:1" x14ac:dyDescent="0.3">
      <c r="A14794" s="12"/>
    </row>
    <row r="14795" spans="1:1" x14ac:dyDescent="0.3">
      <c r="A14795" s="12"/>
    </row>
    <row r="14796" spans="1:1" x14ac:dyDescent="0.3">
      <c r="A14796" s="12"/>
    </row>
    <row r="14797" spans="1:1" x14ac:dyDescent="0.3">
      <c r="A14797" s="12"/>
    </row>
    <row r="14798" spans="1:1" x14ac:dyDescent="0.3">
      <c r="A14798" s="12"/>
    </row>
    <row r="14799" spans="1:1" x14ac:dyDescent="0.3">
      <c r="A14799" s="12"/>
    </row>
    <row r="14800" spans="1:1" x14ac:dyDescent="0.3">
      <c r="A14800" s="12"/>
    </row>
    <row r="14801" spans="1:1" x14ac:dyDescent="0.3">
      <c r="A14801" s="12"/>
    </row>
    <row r="14802" spans="1:1" x14ac:dyDescent="0.3">
      <c r="A14802" s="12"/>
    </row>
    <row r="14803" spans="1:1" x14ac:dyDescent="0.3">
      <c r="A14803" s="12"/>
    </row>
    <row r="14804" spans="1:1" x14ac:dyDescent="0.3">
      <c r="A14804" s="12"/>
    </row>
    <row r="14805" spans="1:1" x14ac:dyDescent="0.3">
      <c r="A14805" s="12"/>
    </row>
    <row r="14806" spans="1:1" x14ac:dyDescent="0.3">
      <c r="A14806" s="12"/>
    </row>
    <row r="14807" spans="1:1" x14ac:dyDescent="0.3">
      <c r="A14807" s="12"/>
    </row>
    <row r="14808" spans="1:1" x14ac:dyDescent="0.3">
      <c r="A14808" s="12"/>
    </row>
    <row r="14809" spans="1:1" x14ac:dyDescent="0.3">
      <c r="A14809" s="12"/>
    </row>
    <row r="14810" spans="1:1" x14ac:dyDescent="0.3">
      <c r="A14810" s="12"/>
    </row>
    <row r="14811" spans="1:1" x14ac:dyDescent="0.3">
      <c r="A14811" s="12"/>
    </row>
    <row r="14812" spans="1:1" x14ac:dyDescent="0.3">
      <c r="A14812" s="12"/>
    </row>
    <row r="14813" spans="1:1" x14ac:dyDescent="0.3">
      <c r="A14813" s="12"/>
    </row>
    <row r="14814" spans="1:1" x14ac:dyDescent="0.3">
      <c r="A14814" s="12"/>
    </row>
    <row r="14815" spans="1:1" x14ac:dyDescent="0.3">
      <c r="A14815" s="12"/>
    </row>
    <row r="14816" spans="1:1" x14ac:dyDescent="0.3">
      <c r="A14816" s="12"/>
    </row>
    <row r="14817" spans="1:1" x14ac:dyDescent="0.3">
      <c r="A14817" s="12"/>
    </row>
    <row r="14818" spans="1:1" x14ac:dyDescent="0.3">
      <c r="A14818" s="12"/>
    </row>
    <row r="14819" spans="1:1" x14ac:dyDescent="0.3">
      <c r="A14819" s="12"/>
    </row>
    <row r="14820" spans="1:1" x14ac:dyDescent="0.3">
      <c r="A14820" s="12"/>
    </row>
    <row r="14821" spans="1:1" x14ac:dyDescent="0.3">
      <c r="A14821" s="12"/>
    </row>
    <row r="14822" spans="1:1" x14ac:dyDescent="0.3">
      <c r="A14822" s="12"/>
    </row>
    <row r="14823" spans="1:1" x14ac:dyDescent="0.3">
      <c r="A14823" s="12"/>
    </row>
    <row r="14824" spans="1:1" x14ac:dyDescent="0.3">
      <c r="A14824" s="12"/>
    </row>
    <row r="14825" spans="1:1" x14ac:dyDescent="0.3">
      <c r="A14825" s="12"/>
    </row>
    <row r="14826" spans="1:1" x14ac:dyDescent="0.3">
      <c r="A14826" s="12"/>
    </row>
    <row r="14827" spans="1:1" x14ac:dyDescent="0.3">
      <c r="A14827" s="12"/>
    </row>
    <row r="14828" spans="1:1" x14ac:dyDescent="0.3">
      <c r="A14828" s="12"/>
    </row>
    <row r="14829" spans="1:1" x14ac:dyDescent="0.3">
      <c r="A14829" s="12"/>
    </row>
    <row r="14830" spans="1:1" x14ac:dyDescent="0.3">
      <c r="A14830" s="12"/>
    </row>
    <row r="14831" spans="1:1" x14ac:dyDescent="0.3">
      <c r="A14831" s="12"/>
    </row>
    <row r="14832" spans="1:1" x14ac:dyDescent="0.3">
      <c r="A14832" s="12"/>
    </row>
    <row r="14833" spans="1:1" x14ac:dyDescent="0.3">
      <c r="A14833" s="12"/>
    </row>
    <row r="14834" spans="1:1" x14ac:dyDescent="0.3">
      <c r="A14834" s="12"/>
    </row>
    <row r="14835" spans="1:1" x14ac:dyDescent="0.3">
      <c r="A14835" s="12"/>
    </row>
    <row r="14836" spans="1:1" x14ac:dyDescent="0.3">
      <c r="A14836" s="12"/>
    </row>
    <row r="14837" spans="1:1" x14ac:dyDescent="0.3">
      <c r="A14837" s="12"/>
    </row>
    <row r="14838" spans="1:1" x14ac:dyDescent="0.3">
      <c r="A14838" s="12"/>
    </row>
    <row r="14839" spans="1:1" x14ac:dyDescent="0.3">
      <c r="A14839" s="12"/>
    </row>
    <row r="14840" spans="1:1" x14ac:dyDescent="0.3">
      <c r="A14840" s="12"/>
    </row>
    <row r="14841" spans="1:1" x14ac:dyDescent="0.3">
      <c r="A14841" s="12"/>
    </row>
    <row r="14842" spans="1:1" x14ac:dyDescent="0.3">
      <c r="A14842" s="12"/>
    </row>
    <row r="14843" spans="1:1" x14ac:dyDescent="0.3">
      <c r="A14843" s="12"/>
    </row>
    <row r="14844" spans="1:1" x14ac:dyDescent="0.3">
      <c r="A14844" s="12"/>
    </row>
    <row r="14845" spans="1:1" x14ac:dyDescent="0.3">
      <c r="A14845" s="12"/>
    </row>
    <row r="14846" spans="1:1" x14ac:dyDescent="0.3">
      <c r="A14846" s="12"/>
    </row>
    <row r="14847" spans="1:1" x14ac:dyDescent="0.3">
      <c r="A14847" s="12"/>
    </row>
    <row r="14848" spans="1:1" x14ac:dyDescent="0.3">
      <c r="A14848" s="12"/>
    </row>
    <row r="14849" spans="1:1" x14ac:dyDescent="0.3">
      <c r="A14849" s="12"/>
    </row>
    <row r="14850" spans="1:1" x14ac:dyDescent="0.3">
      <c r="A14850" s="12"/>
    </row>
    <row r="14851" spans="1:1" x14ac:dyDescent="0.3">
      <c r="A14851" s="12"/>
    </row>
    <row r="14852" spans="1:1" x14ac:dyDescent="0.3">
      <c r="A14852" s="12"/>
    </row>
    <row r="14853" spans="1:1" x14ac:dyDescent="0.3">
      <c r="A14853" s="12"/>
    </row>
    <row r="14854" spans="1:1" x14ac:dyDescent="0.3">
      <c r="A14854" s="12"/>
    </row>
    <row r="14855" spans="1:1" x14ac:dyDescent="0.3">
      <c r="A14855" s="12"/>
    </row>
    <row r="14856" spans="1:1" x14ac:dyDescent="0.3">
      <c r="A14856" s="12"/>
    </row>
    <row r="14857" spans="1:1" x14ac:dyDescent="0.3">
      <c r="A14857" s="12"/>
    </row>
    <row r="14858" spans="1:1" x14ac:dyDescent="0.3">
      <c r="A14858" s="12"/>
    </row>
    <row r="14859" spans="1:1" x14ac:dyDescent="0.3">
      <c r="A14859" s="12"/>
    </row>
    <row r="14860" spans="1:1" x14ac:dyDescent="0.3">
      <c r="A14860" s="12"/>
    </row>
    <row r="14861" spans="1:1" x14ac:dyDescent="0.3">
      <c r="A14861" s="12"/>
    </row>
    <row r="14862" spans="1:1" x14ac:dyDescent="0.3">
      <c r="A14862" s="12"/>
    </row>
    <row r="14863" spans="1:1" x14ac:dyDescent="0.3">
      <c r="A14863" s="12"/>
    </row>
    <row r="14864" spans="1:1" x14ac:dyDescent="0.3">
      <c r="A14864" s="12"/>
    </row>
    <row r="14865" spans="1:1" x14ac:dyDescent="0.3">
      <c r="A14865" s="12"/>
    </row>
    <row r="14866" spans="1:1" x14ac:dyDescent="0.3">
      <c r="A14866" s="12"/>
    </row>
    <row r="14867" spans="1:1" x14ac:dyDescent="0.3">
      <c r="A14867" s="12"/>
    </row>
    <row r="14868" spans="1:1" x14ac:dyDescent="0.3">
      <c r="A14868" s="12"/>
    </row>
    <row r="14869" spans="1:1" x14ac:dyDescent="0.3">
      <c r="A14869" s="12"/>
    </row>
    <row r="14870" spans="1:1" x14ac:dyDescent="0.3">
      <c r="A14870" s="12"/>
    </row>
    <row r="14871" spans="1:1" x14ac:dyDescent="0.3">
      <c r="A14871" s="12"/>
    </row>
    <row r="14872" spans="1:1" x14ac:dyDescent="0.3">
      <c r="A14872" s="12"/>
    </row>
    <row r="14873" spans="1:1" x14ac:dyDescent="0.3">
      <c r="A14873" s="12"/>
    </row>
    <row r="14874" spans="1:1" x14ac:dyDescent="0.3">
      <c r="A14874" s="12"/>
    </row>
    <row r="14875" spans="1:1" x14ac:dyDescent="0.3">
      <c r="A14875" s="12"/>
    </row>
    <row r="14876" spans="1:1" x14ac:dyDescent="0.3">
      <c r="A14876" s="12"/>
    </row>
    <row r="14877" spans="1:1" x14ac:dyDescent="0.3">
      <c r="A14877" s="12"/>
    </row>
    <row r="14878" spans="1:1" x14ac:dyDescent="0.3">
      <c r="A14878" s="12"/>
    </row>
    <row r="14879" spans="1:1" x14ac:dyDescent="0.3">
      <c r="A14879" s="12"/>
    </row>
    <row r="14880" spans="1:1" x14ac:dyDescent="0.3">
      <c r="A14880" s="12"/>
    </row>
    <row r="14881" spans="1:1" x14ac:dyDescent="0.3">
      <c r="A14881" s="12"/>
    </row>
    <row r="14882" spans="1:1" x14ac:dyDescent="0.3">
      <c r="A14882" s="12"/>
    </row>
    <row r="14883" spans="1:1" x14ac:dyDescent="0.3">
      <c r="A14883" s="12"/>
    </row>
    <row r="14884" spans="1:1" x14ac:dyDescent="0.3">
      <c r="A14884" s="12"/>
    </row>
    <row r="14885" spans="1:1" x14ac:dyDescent="0.3">
      <c r="A14885" s="12"/>
    </row>
    <row r="14886" spans="1:1" x14ac:dyDescent="0.3">
      <c r="A14886" s="12"/>
    </row>
    <row r="14887" spans="1:1" x14ac:dyDescent="0.3">
      <c r="A14887" s="12"/>
    </row>
    <row r="14888" spans="1:1" x14ac:dyDescent="0.3">
      <c r="A14888" s="12"/>
    </row>
    <row r="14889" spans="1:1" x14ac:dyDescent="0.3">
      <c r="A14889" s="12"/>
    </row>
    <row r="14890" spans="1:1" x14ac:dyDescent="0.3">
      <c r="A14890" s="12"/>
    </row>
    <row r="14891" spans="1:1" x14ac:dyDescent="0.3">
      <c r="A14891" s="12"/>
    </row>
    <row r="14892" spans="1:1" x14ac:dyDescent="0.3">
      <c r="A14892" s="12"/>
    </row>
    <row r="14893" spans="1:1" x14ac:dyDescent="0.3">
      <c r="A14893" s="12"/>
    </row>
    <row r="14894" spans="1:1" x14ac:dyDescent="0.3">
      <c r="A14894" s="12"/>
    </row>
    <row r="14895" spans="1:1" x14ac:dyDescent="0.3">
      <c r="A14895" s="12"/>
    </row>
    <row r="14896" spans="1:1" x14ac:dyDescent="0.3">
      <c r="A14896" s="12"/>
    </row>
    <row r="14897" spans="1:1" x14ac:dyDescent="0.3">
      <c r="A14897" s="12"/>
    </row>
    <row r="14898" spans="1:1" x14ac:dyDescent="0.3">
      <c r="A14898" s="12"/>
    </row>
    <row r="14899" spans="1:1" x14ac:dyDescent="0.3">
      <c r="A14899" s="12"/>
    </row>
    <row r="14900" spans="1:1" x14ac:dyDescent="0.3">
      <c r="A14900" s="12"/>
    </row>
    <row r="14901" spans="1:1" x14ac:dyDescent="0.3">
      <c r="A14901" s="12"/>
    </row>
    <row r="14902" spans="1:1" x14ac:dyDescent="0.3">
      <c r="A14902" s="12"/>
    </row>
    <row r="14903" spans="1:1" x14ac:dyDescent="0.3">
      <c r="A14903" s="12"/>
    </row>
    <row r="14904" spans="1:1" x14ac:dyDescent="0.3">
      <c r="A14904" s="12"/>
    </row>
    <row r="14905" spans="1:1" x14ac:dyDescent="0.3">
      <c r="A14905" s="12"/>
    </row>
    <row r="14906" spans="1:1" x14ac:dyDescent="0.3">
      <c r="A14906" s="12"/>
    </row>
    <row r="14907" spans="1:1" x14ac:dyDescent="0.3">
      <c r="A14907" s="12"/>
    </row>
    <row r="14908" spans="1:1" x14ac:dyDescent="0.3">
      <c r="A14908" s="12"/>
    </row>
    <row r="14909" spans="1:1" x14ac:dyDescent="0.3">
      <c r="A14909" s="12"/>
    </row>
    <row r="14910" spans="1:1" x14ac:dyDescent="0.3">
      <c r="A14910" s="12"/>
    </row>
    <row r="14911" spans="1:1" x14ac:dyDescent="0.3">
      <c r="A14911" s="12"/>
    </row>
    <row r="14912" spans="1:1" x14ac:dyDescent="0.3">
      <c r="A14912" s="12"/>
    </row>
    <row r="14913" spans="1:1" x14ac:dyDescent="0.3">
      <c r="A14913" s="12"/>
    </row>
    <row r="14914" spans="1:1" x14ac:dyDescent="0.3">
      <c r="A14914" s="12"/>
    </row>
    <row r="14915" spans="1:1" x14ac:dyDescent="0.3">
      <c r="A14915" s="12"/>
    </row>
    <row r="14916" spans="1:1" x14ac:dyDescent="0.3">
      <c r="A14916" s="12"/>
    </row>
    <row r="14917" spans="1:1" x14ac:dyDescent="0.3">
      <c r="A14917" s="12"/>
    </row>
    <row r="14918" spans="1:1" x14ac:dyDescent="0.3">
      <c r="A14918" s="12"/>
    </row>
    <row r="14919" spans="1:1" x14ac:dyDescent="0.3">
      <c r="A14919" s="12"/>
    </row>
    <row r="14920" spans="1:1" x14ac:dyDescent="0.3">
      <c r="A14920" s="12"/>
    </row>
    <row r="14921" spans="1:1" x14ac:dyDescent="0.3">
      <c r="A14921" s="12"/>
    </row>
    <row r="14922" spans="1:1" x14ac:dyDescent="0.3">
      <c r="A14922" s="12"/>
    </row>
    <row r="14923" spans="1:1" x14ac:dyDescent="0.3">
      <c r="A14923" s="12"/>
    </row>
    <row r="14924" spans="1:1" x14ac:dyDescent="0.3">
      <c r="A14924" s="12"/>
    </row>
    <row r="14925" spans="1:1" x14ac:dyDescent="0.3">
      <c r="A14925" s="12"/>
    </row>
    <row r="14926" spans="1:1" x14ac:dyDescent="0.3">
      <c r="A14926" s="12"/>
    </row>
    <row r="14927" spans="1:1" x14ac:dyDescent="0.3">
      <c r="A14927" s="12"/>
    </row>
    <row r="14928" spans="1:1" x14ac:dyDescent="0.3">
      <c r="A14928" s="12"/>
    </row>
    <row r="14929" spans="1:1" x14ac:dyDescent="0.3">
      <c r="A14929" s="12"/>
    </row>
    <row r="14930" spans="1:1" x14ac:dyDescent="0.3">
      <c r="A14930" s="12"/>
    </row>
    <row r="14931" spans="1:1" x14ac:dyDescent="0.3">
      <c r="A14931" s="12"/>
    </row>
    <row r="14932" spans="1:1" x14ac:dyDescent="0.3">
      <c r="A14932" s="12"/>
    </row>
    <row r="14933" spans="1:1" x14ac:dyDescent="0.3">
      <c r="A14933" s="12"/>
    </row>
    <row r="14934" spans="1:1" x14ac:dyDescent="0.3">
      <c r="A14934" s="12"/>
    </row>
    <row r="14935" spans="1:1" x14ac:dyDescent="0.3">
      <c r="A14935" s="12"/>
    </row>
    <row r="14936" spans="1:1" x14ac:dyDescent="0.3">
      <c r="A14936" s="12"/>
    </row>
    <row r="14937" spans="1:1" x14ac:dyDescent="0.3">
      <c r="A14937" s="12"/>
    </row>
    <row r="14938" spans="1:1" x14ac:dyDescent="0.3">
      <c r="A14938" s="12"/>
    </row>
    <row r="14939" spans="1:1" x14ac:dyDescent="0.3">
      <c r="A14939" s="12"/>
    </row>
    <row r="14940" spans="1:1" x14ac:dyDescent="0.3">
      <c r="A14940" s="12"/>
    </row>
    <row r="14941" spans="1:1" x14ac:dyDescent="0.3">
      <c r="A14941" s="12"/>
    </row>
    <row r="14942" spans="1:1" x14ac:dyDescent="0.3">
      <c r="A14942" s="12"/>
    </row>
    <row r="14943" spans="1:1" x14ac:dyDescent="0.3">
      <c r="A14943" s="12"/>
    </row>
    <row r="14944" spans="1:1" x14ac:dyDescent="0.3">
      <c r="A14944" s="12"/>
    </row>
    <row r="14945" spans="1:1" x14ac:dyDescent="0.3">
      <c r="A14945" s="12"/>
    </row>
    <row r="14946" spans="1:1" x14ac:dyDescent="0.3">
      <c r="A14946" s="12"/>
    </row>
    <row r="14947" spans="1:1" x14ac:dyDescent="0.3">
      <c r="A14947" s="12"/>
    </row>
    <row r="14948" spans="1:1" x14ac:dyDescent="0.3">
      <c r="A14948" s="12"/>
    </row>
    <row r="14949" spans="1:1" x14ac:dyDescent="0.3">
      <c r="A14949" s="12"/>
    </row>
    <row r="14950" spans="1:1" x14ac:dyDescent="0.3">
      <c r="A14950" s="12"/>
    </row>
    <row r="14951" spans="1:1" x14ac:dyDescent="0.3">
      <c r="A14951" s="12"/>
    </row>
    <row r="14952" spans="1:1" x14ac:dyDescent="0.3">
      <c r="A14952" s="12"/>
    </row>
    <row r="14953" spans="1:1" x14ac:dyDescent="0.3">
      <c r="A14953" s="12"/>
    </row>
    <row r="14954" spans="1:1" x14ac:dyDescent="0.3">
      <c r="A14954" s="12"/>
    </row>
    <row r="14955" spans="1:1" x14ac:dyDescent="0.3">
      <c r="A14955" s="12"/>
    </row>
    <row r="14956" spans="1:1" x14ac:dyDescent="0.3">
      <c r="A14956" s="12"/>
    </row>
    <row r="14957" spans="1:1" x14ac:dyDescent="0.3">
      <c r="A14957" s="12"/>
    </row>
    <row r="14958" spans="1:1" x14ac:dyDescent="0.3">
      <c r="A14958" s="12"/>
    </row>
    <row r="14959" spans="1:1" x14ac:dyDescent="0.3">
      <c r="A14959" s="12"/>
    </row>
    <row r="14960" spans="1:1" x14ac:dyDescent="0.3">
      <c r="A14960" s="12"/>
    </row>
    <row r="14961" spans="1:1" x14ac:dyDescent="0.3">
      <c r="A14961" s="12"/>
    </row>
    <row r="14962" spans="1:1" x14ac:dyDescent="0.3">
      <c r="A14962" s="12"/>
    </row>
    <row r="14963" spans="1:1" x14ac:dyDescent="0.3">
      <c r="A14963" s="12"/>
    </row>
    <row r="14964" spans="1:1" x14ac:dyDescent="0.3">
      <c r="A14964" s="12"/>
    </row>
    <row r="14965" spans="1:1" x14ac:dyDescent="0.3">
      <c r="A14965" s="12"/>
    </row>
    <row r="14966" spans="1:1" x14ac:dyDescent="0.3">
      <c r="A14966" s="12"/>
    </row>
    <row r="14967" spans="1:1" x14ac:dyDescent="0.3">
      <c r="A14967" s="12"/>
    </row>
    <row r="14968" spans="1:1" x14ac:dyDescent="0.3">
      <c r="A14968" s="12"/>
    </row>
    <row r="14969" spans="1:1" x14ac:dyDescent="0.3">
      <c r="A14969" s="12"/>
    </row>
    <row r="14970" spans="1:1" x14ac:dyDescent="0.3">
      <c r="A14970" s="12"/>
    </row>
    <row r="14971" spans="1:1" x14ac:dyDescent="0.3">
      <c r="A14971" s="12"/>
    </row>
    <row r="14972" spans="1:1" x14ac:dyDescent="0.3">
      <c r="A14972" s="12"/>
    </row>
    <row r="14973" spans="1:1" x14ac:dyDescent="0.3">
      <c r="A14973" s="12"/>
    </row>
    <row r="14974" spans="1:1" x14ac:dyDescent="0.3">
      <c r="A14974" s="12"/>
    </row>
    <row r="14975" spans="1:1" x14ac:dyDescent="0.3">
      <c r="A14975" s="12"/>
    </row>
    <row r="14976" spans="1:1" x14ac:dyDescent="0.3">
      <c r="A14976" s="12"/>
    </row>
    <row r="14977" spans="1:1" x14ac:dyDescent="0.3">
      <c r="A14977" s="12"/>
    </row>
    <row r="14978" spans="1:1" x14ac:dyDescent="0.3">
      <c r="A14978" s="12"/>
    </row>
    <row r="14979" spans="1:1" x14ac:dyDescent="0.3">
      <c r="A14979" s="12"/>
    </row>
    <row r="14980" spans="1:1" x14ac:dyDescent="0.3">
      <c r="A14980" s="12"/>
    </row>
    <row r="14981" spans="1:1" x14ac:dyDescent="0.3">
      <c r="A14981" s="12"/>
    </row>
    <row r="14982" spans="1:1" x14ac:dyDescent="0.3">
      <c r="A14982" s="12"/>
    </row>
    <row r="14983" spans="1:1" x14ac:dyDescent="0.3">
      <c r="A14983" s="12"/>
    </row>
    <row r="14984" spans="1:1" x14ac:dyDescent="0.3">
      <c r="A14984" s="12"/>
    </row>
    <row r="14985" spans="1:1" x14ac:dyDescent="0.3">
      <c r="A14985" s="12"/>
    </row>
    <row r="14986" spans="1:1" x14ac:dyDescent="0.3">
      <c r="A14986" s="12"/>
    </row>
    <row r="14987" spans="1:1" x14ac:dyDescent="0.3">
      <c r="A14987" s="12"/>
    </row>
    <row r="14988" spans="1:1" x14ac:dyDescent="0.3">
      <c r="A14988" s="12"/>
    </row>
    <row r="14989" spans="1:1" x14ac:dyDescent="0.3">
      <c r="A14989" s="12"/>
    </row>
    <row r="14990" spans="1:1" x14ac:dyDescent="0.3">
      <c r="A14990" s="12"/>
    </row>
    <row r="14991" spans="1:1" x14ac:dyDescent="0.3">
      <c r="A14991" s="12"/>
    </row>
    <row r="14992" spans="1:1" x14ac:dyDescent="0.3">
      <c r="A14992" s="12"/>
    </row>
    <row r="14993" spans="1:1" x14ac:dyDescent="0.3">
      <c r="A14993" s="12"/>
    </row>
    <row r="14994" spans="1:1" x14ac:dyDescent="0.3">
      <c r="A14994" s="12"/>
    </row>
    <row r="14995" spans="1:1" x14ac:dyDescent="0.3">
      <c r="A14995" s="12"/>
    </row>
    <row r="14996" spans="1:1" x14ac:dyDescent="0.3">
      <c r="A14996" s="12"/>
    </row>
    <row r="14997" spans="1:1" x14ac:dyDescent="0.3">
      <c r="A14997" s="12"/>
    </row>
    <row r="14998" spans="1:1" x14ac:dyDescent="0.3">
      <c r="A14998" s="12"/>
    </row>
    <row r="14999" spans="1:1" x14ac:dyDescent="0.3">
      <c r="A14999" s="12"/>
    </row>
    <row r="15000" spans="1:1" x14ac:dyDescent="0.3">
      <c r="A15000" s="12"/>
    </row>
    <row r="15001" spans="1:1" x14ac:dyDescent="0.3">
      <c r="A15001" s="12"/>
    </row>
    <row r="15002" spans="1:1" x14ac:dyDescent="0.3">
      <c r="A15002" s="12"/>
    </row>
    <row r="15003" spans="1:1" x14ac:dyDescent="0.3">
      <c r="A15003" s="12"/>
    </row>
    <row r="15004" spans="1:1" x14ac:dyDescent="0.3">
      <c r="A15004" s="12"/>
    </row>
    <row r="15005" spans="1:1" x14ac:dyDescent="0.3">
      <c r="A15005" s="12"/>
    </row>
    <row r="15006" spans="1:1" x14ac:dyDescent="0.3">
      <c r="A15006" s="12"/>
    </row>
    <row r="15007" spans="1:1" x14ac:dyDescent="0.3">
      <c r="A15007" s="12"/>
    </row>
    <row r="15008" spans="1:1" x14ac:dyDescent="0.3">
      <c r="A15008" s="12"/>
    </row>
    <row r="15009" spans="1:1" x14ac:dyDescent="0.3">
      <c r="A15009" s="12"/>
    </row>
    <row r="15010" spans="1:1" x14ac:dyDescent="0.3">
      <c r="A15010" s="12"/>
    </row>
    <row r="15011" spans="1:1" x14ac:dyDescent="0.3">
      <c r="A15011" s="12"/>
    </row>
    <row r="15012" spans="1:1" x14ac:dyDescent="0.3">
      <c r="A15012" s="12"/>
    </row>
    <row r="15013" spans="1:1" x14ac:dyDescent="0.3">
      <c r="A15013" s="12"/>
    </row>
    <row r="15014" spans="1:1" x14ac:dyDescent="0.3">
      <c r="A15014" s="12"/>
    </row>
    <row r="15015" spans="1:1" x14ac:dyDescent="0.3">
      <c r="A15015" s="12"/>
    </row>
    <row r="15016" spans="1:1" x14ac:dyDescent="0.3">
      <c r="A15016" s="12"/>
    </row>
    <row r="15017" spans="1:1" x14ac:dyDescent="0.3">
      <c r="A15017" s="12"/>
    </row>
    <row r="15018" spans="1:1" x14ac:dyDescent="0.3">
      <c r="A15018" s="12"/>
    </row>
    <row r="15019" spans="1:1" x14ac:dyDescent="0.3">
      <c r="A15019" s="12"/>
    </row>
    <row r="15020" spans="1:1" x14ac:dyDescent="0.3">
      <c r="A15020" s="12"/>
    </row>
    <row r="15021" spans="1:1" x14ac:dyDescent="0.3">
      <c r="A15021" s="12"/>
    </row>
    <row r="15022" spans="1:1" x14ac:dyDescent="0.3">
      <c r="A15022" s="12"/>
    </row>
    <row r="15023" spans="1:1" x14ac:dyDescent="0.3">
      <c r="A15023" s="12"/>
    </row>
    <row r="15024" spans="1:1" x14ac:dyDescent="0.3">
      <c r="A15024" s="12"/>
    </row>
    <row r="15025" spans="1:1" x14ac:dyDescent="0.3">
      <c r="A15025" s="12"/>
    </row>
    <row r="15026" spans="1:1" x14ac:dyDescent="0.3">
      <c r="A15026" s="12"/>
    </row>
    <row r="15027" spans="1:1" x14ac:dyDescent="0.3">
      <c r="A15027" s="12"/>
    </row>
    <row r="15028" spans="1:1" x14ac:dyDescent="0.3">
      <c r="A15028" s="12"/>
    </row>
    <row r="15029" spans="1:1" x14ac:dyDescent="0.3">
      <c r="A15029" s="12"/>
    </row>
    <row r="15030" spans="1:1" x14ac:dyDescent="0.3">
      <c r="A15030" s="12"/>
    </row>
    <row r="15031" spans="1:1" x14ac:dyDescent="0.3">
      <c r="A15031" s="12"/>
    </row>
    <row r="15032" spans="1:1" x14ac:dyDescent="0.3">
      <c r="A15032" s="12"/>
    </row>
    <row r="15033" spans="1:1" x14ac:dyDescent="0.3">
      <c r="A15033" s="12"/>
    </row>
    <row r="15034" spans="1:1" x14ac:dyDescent="0.3">
      <c r="A15034" s="12"/>
    </row>
    <row r="15035" spans="1:1" x14ac:dyDescent="0.3">
      <c r="A15035" s="12"/>
    </row>
    <row r="15036" spans="1:1" x14ac:dyDescent="0.3">
      <c r="A15036" s="12"/>
    </row>
    <row r="15037" spans="1:1" x14ac:dyDescent="0.3">
      <c r="A15037" s="12"/>
    </row>
    <row r="15038" spans="1:1" x14ac:dyDescent="0.3">
      <c r="A15038" s="12"/>
    </row>
    <row r="15039" spans="1:1" x14ac:dyDescent="0.3">
      <c r="A15039" s="12"/>
    </row>
    <row r="15040" spans="1:1" x14ac:dyDescent="0.3">
      <c r="A15040" s="12"/>
    </row>
    <row r="15041" spans="1:1" x14ac:dyDescent="0.3">
      <c r="A15041" s="12"/>
    </row>
    <row r="15042" spans="1:1" x14ac:dyDescent="0.3">
      <c r="A15042" s="12"/>
    </row>
    <row r="15043" spans="1:1" x14ac:dyDescent="0.3">
      <c r="A15043" s="12"/>
    </row>
    <row r="15044" spans="1:1" x14ac:dyDescent="0.3">
      <c r="A15044" s="12"/>
    </row>
    <row r="15045" spans="1:1" x14ac:dyDescent="0.3">
      <c r="A15045" s="12"/>
    </row>
    <row r="15046" spans="1:1" x14ac:dyDescent="0.3">
      <c r="A15046" s="12"/>
    </row>
    <row r="15047" spans="1:1" x14ac:dyDescent="0.3">
      <c r="A15047" s="12"/>
    </row>
    <row r="15048" spans="1:1" x14ac:dyDescent="0.3">
      <c r="A15048" s="12"/>
    </row>
    <row r="15049" spans="1:1" x14ac:dyDescent="0.3">
      <c r="A15049" s="12"/>
    </row>
    <row r="15050" spans="1:1" x14ac:dyDescent="0.3">
      <c r="A15050" s="12"/>
    </row>
    <row r="15051" spans="1:1" x14ac:dyDescent="0.3">
      <c r="A15051" s="12"/>
    </row>
    <row r="15052" spans="1:1" x14ac:dyDescent="0.3">
      <c r="A15052" s="12"/>
    </row>
    <row r="15053" spans="1:1" x14ac:dyDescent="0.3">
      <c r="A15053" s="12"/>
    </row>
    <row r="15054" spans="1:1" x14ac:dyDescent="0.3">
      <c r="A15054" s="12"/>
    </row>
    <row r="15055" spans="1:1" x14ac:dyDescent="0.3">
      <c r="A15055" s="12"/>
    </row>
    <row r="15056" spans="1:1" x14ac:dyDescent="0.3">
      <c r="A15056" s="12"/>
    </row>
    <row r="15057" spans="1:1" x14ac:dyDescent="0.3">
      <c r="A15057" s="12"/>
    </row>
    <row r="15058" spans="1:1" x14ac:dyDescent="0.3">
      <c r="A15058" s="12"/>
    </row>
    <row r="15059" spans="1:1" x14ac:dyDescent="0.3">
      <c r="A15059" s="12"/>
    </row>
    <row r="15060" spans="1:1" x14ac:dyDescent="0.3">
      <c r="A15060" s="12"/>
    </row>
    <row r="15061" spans="1:1" x14ac:dyDescent="0.3">
      <c r="A15061" s="12"/>
    </row>
    <row r="15062" spans="1:1" x14ac:dyDescent="0.3">
      <c r="A15062" s="12"/>
    </row>
    <row r="15063" spans="1:1" x14ac:dyDescent="0.3">
      <c r="A15063" s="12"/>
    </row>
    <row r="15064" spans="1:1" x14ac:dyDescent="0.3">
      <c r="A15064" s="12"/>
    </row>
    <row r="15065" spans="1:1" x14ac:dyDescent="0.3">
      <c r="A15065" s="12"/>
    </row>
    <row r="15066" spans="1:1" x14ac:dyDescent="0.3">
      <c r="A15066" s="12"/>
    </row>
    <row r="15067" spans="1:1" x14ac:dyDescent="0.3">
      <c r="A15067" s="12"/>
    </row>
    <row r="15068" spans="1:1" x14ac:dyDescent="0.3">
      <c r="A15068" s="12"/>
    </row>
    <row r="15069" spans="1:1" x14ac:dyDescent="0.3">
      <c r="A15069" s="12"/>
    </row>
    <row r="15070" spans="1:1" x14ac:dyDescent="0.3">
      <c r="A15070" s="12"/>
    </row>
    <row r="15071" spans="1:1" x14ac:dyDescent="0.3">
      <c r="A15071" s="12"/>
    </row>
    <row r="15072" spans="1:1" x14ac:dyDescent="0.3">
      <c r="A15072" s="12"/>
    </row>
    <row r="15073" spans="1:1" x14ac:dyDescent="0.3">
      <c r="A15073" s="12"/>
    </row>
    <row r="15074" spans="1:1" x14ac:dyDescent="0.3">
      <c r="A15074" s="12"/>
    </row>
    <row r="15075" spans="1:1" x14ac:dyDescent="0.3">
      <c r="A15075" s="12"/>
    </row>
    <row r="15076" spans="1:1" x14ac:dyDescent="0.3">
      <c r="A15076" s="12"/>
    </row>
    <row r="15077" spans="1:1" x14ac:dyDescent="0.3">
      <c r="A15077" s="12"/>
    </row>
    <row r="15078" spans="1:1" x14ac:dyDescent="0.3">
      <c r="A15078" s="12"/>
    </row>
    <row r="15079" spans="1:1" x14ac:dyDescent="0.3">
      <c r="A15079" s="12"/>
    </row>
    <row r="15080" spans="1:1" x14ac:dyDescent="0.3">
      <c r="A15080" s="12"/>
    </row>
    <row r="15081" spans="1:1" x14ac:dyDescent="0.3">
      <c r="A15081" s="12"/>
    </row>
    <row r="15082" spans="1:1" x14ac:dyDescent="0.3">
      <c r="A15082" s="12"/>
    </row>
    <row r="15083" spans="1:1" x14ac:dyDescent="0.3">
      <c r="A15083" s="12"/>
    </row>
    <row r="15084" spans="1:1" x14ac:dyDescent="0.3">
      <c r="A15084" s="12"/>
    </row>
    <row r="15085" spans="1:1" x14ac:dyDescent="0.3">
      <c r="A15085" s="12"/>
    </row>
    <row r="15086" spans="1:1" x14ac:dyDescent="0.3">
      <c r="A15086" s="12"/>
    </row>
    <row r="15087" spans="1:1" x14ac:dyDescent="0.3">
      <c r="A15087" s="12"/>
    </row>
    <row r="15088" spans="1:1" x14ac:dyDescent="0.3">
      <c r="A15088" s="12"/>
    </row>
    <row r="15089" spans="1:1" x14ac:dyDescent="0.3">
      <c r="A15089" s="12"/>
    </row>
    <row r="15090" spans="1:1" x14ac:dyDescent="0.3">
      <c r="A15090" s="12"/>
    </row>
    <row r="15091" spans="1:1" x14ac:dyDescent="0.3">
      <c r="A15091" s="12"/>
    </row>
    <row r="15092" spans="1:1" x14ac:dyDescent="0.3">
      <c r="A15092" s="12"/>
    </row>
    <row r="15093" spans="1:1" x14ac:dyDescent="0.3">
      <c r="A15093" s="12"/>
    </row>
    <row r="15094" spans="1:1" x14ac:dyDescent="0.3">
      <c r="A15094" s="12"/>
    </row>
    <row r="15095" spans="1:1" x14ac:dyDescent="0.3">
      <c r="A15095" s="12"/>
    </row>
    <row r="15096" spans="1:1" x14ac:dyDescent="0.3">
      <c r="A15096" s="12"/>
    </row>
    <row r="15097" spans="1:1" x14ac:dyDescent="0.3">
      <c r="A15097" s="12"/>
    </row>
    <row r="15098" spans="1:1" x14ac:dyDescent="0.3">
      <c r="A15098" s="12"/>
    </row>
    <row r="15099" spans="1:1" x14ac:dyDescent="0.3">
      <c r="A15099" s="12"/>
    </row>
    <row r="15100" spans="1:1" x14ac:dyDescent="0.3">
      <c r="A15100" s="12"/>
    </row>
    <row r="15101" spans="1:1" x14ac:dyDescent="0.3">
      <c r="A15101" s="12"/>
    </row>
    <row r="15102" spans="1:1" x14ac:dyDescent="0.3">
      <c r="A15102" s="12"/>
    </row>
    <row r="15103" spans="1:1" x14ac:dyDescent="0.3">
      <c r="A15103" s="12"/>
    </row>
    <row r="15104" spans="1:1" x14ac:dyDescent="0.3">
      <c r="A15104" s="12"/>
    </row>
    <row r="15105" spans="1:1" x14ac:dyDescent="0.3">
      <c r="A15105" s="12"/>
    </row>
    <row r="15106" spans="1:1" x14ac:dyDescent="0.3">
      <c r="A15106" s="12"/>
    </row>
    <row r="15107" spans="1:1" x14ac:dyDescent="0.3">
      <c r="A15107" s="12"/>
    </row>
    <row r="15108" spans="1:1" x14ac:dyDescent="0.3">
      <c r="A15108" s="12"/>
    </row>
    <row r="15109" spans="1:1" x14ac:dyDescent="0.3">
      <c r="A15109" s="12"/>
    </row>
    <row r="15110" spans="1:1" x14ac:dyDescent="0.3">
      <c r="A15110" s="12"/>
    </row>
    <row r="15111" spans="1:1" x14ac:dyDescent="0.3">
      <c r="A15111" s="12"/>
    </row>
    <row r="15112" spans="1:1" x14ac:dyDescent="0.3">
      <c r="A15112" s="12"/>
    </row>
    <row r="15113" spans="1:1" x14ac:dyDescent="0.3">
      <c r="A15113" s="12"/>
    </row>
    <row r="15114" spans="1:1" x14ac:dyDescent="0.3">
      <c r="A15114" s="12"/>
    </row>
    <row r="15115" spans="1:1" x14ac:dyDescent="0.3">
      <c r="A15115" s="12"/>
    </row>
    <row r="15116" spans="1:1" x14ac:dyDescent="0.3">
      <c r="A15116" s="12"/>
    </row>
    <row r="15117" spans="1:1" x14ac:dyDescent="0.3">
      <c r="A15117" s="12"/>
    </row>
    <row r="15118" spans="1:1" x14ac:dyDescent="0.3">
      <c r="A15118" s="12"/>
    </row>
    <row r="15119" spans="1:1" x14ac:dyDescent="0.3">
      <c r="A15119" s="12"/>
    </row>
    <row r="15120" spans="1:1" x14ac:dyDescent="0.3">
      <c r="A15120" s="12"/>
    </row>
    <row r="15121" spans="1:1" x14ac:dyDescent="0.3">
      <c r="A15121" s="12"/>
    </row>
    <row r="15122" spans="1:1" x14ac:dyDescent="0.3">
      <c r="A15122" s="12"/>
    </row>
    <row r="15123" spans="1:1" x14ac:dyDescent="0.3">
      <c r="A15123" s="12"/>
    </row>
    <row r="15124" spans="1:1" x14ac:dyDescent="0.3">
      <c r="A15124" s="12"/>
    </row>
    <row r="15125" spans="1:1" x14ac:dyDescent="0.3">
      <c r="A15125" s="12"/>
    </row>
    <row r="15126" spans="1:1" x14ac:dyDescent="0.3">
      <c r="A15126" s="12"/>
    </row>
    <row r="15127" spans="1:1" x14ac:dyDescent="0.3">
      <c r="A15127" s="12"/>
    </row>
    <row r="15128" spans="1:1" x14ac:dyDescent="0.3">
      <c r="A15128" s="12"/>
    </row>
    <row r="15129" spans="1:1" x14ac:dyDescent="0.3">
      <c r="A15129" s="12"/>
    </row>
    <row r="15130" spans="1:1" x14ac:dyDescent="0.3">
      <c r="A15130" s="12"/>
    </row>
    <row r="15131" spans="1:1" x14ac:dyDescent="0.3">
      <c r="A15131" s="12"/>
    </row>
    <row r="15132" spans="1:1" x14ac:dyDescent="0.3">
      <c r="A15132" s="12"/>
    </row>
    <row r="15133" spans="1:1" x14ac:dyDescent="0.3">
      <c r="A15133" s="12"/>
    </row>
    <row r="15134" spans="1:1" x14ac:dyDescent="0.3">
      <c r="A15134" s="12"/>
    </row>
    <row r="15135" spans="1:1" x14ac:dyDescent="0.3">
      <c r="A15135" s="12"/>
    </row>
    <row r="15136" spans="1:1" x14ac:dyDescent="0.3">
      <c r="A15136" s="12"/>
    </row>
    <row r="15137" spans="1:1" x14ac:dyDescent="0.3">
      <c r="A15137" s="12"/>
    </row>
    <row r="15138" spans="1:1" x14ac:dyDescent="0.3">
      <c r="A15138" s="12"/>
    </row>
    <row r="15139" spans="1:1" x14ac:dyDescent="0.3">
      <c r="A15139" s="12"/>
    </row>
    <row r="15140" spans="1:1" x14ac:dyDescent="0.3">
      <c r="A15140" s="12"/>
    </row>
    <row r="15141" spans="1:1" x14ac:dyDescent="0.3">
      <c r="A15141" s="12"/>
    </row>
    <row r="15142" spans="1:1" x14ac:dyDescent="0.3">
      <c r="A15142" s="12"/>
    </row>
    <row r="15143" spans="1:1" x14ac:dyDescent="0.3">
      <c r="A15143" s="12"/>
    </row>
    <row r="15144" spans="1:1" x14ac:dyDescent="0.3">
      <c r="A15144" s="12"/>
    </row>
    <row r="15145" spans="1:1" x14ac:dyDescent="0.3">
      <c r="A15145" s="12"/>
    </row>
    <row r="15146" spans="1:1" x14ac:dyDescent="0.3">
      <c r="A15146" s="12"/>
    </row>
    <row r="15147" spans="1:1" x14ac:dyDescent="0.3">
      <c r="A15147" s="12"/>
    </row>
    <row r="15148" spans="1:1" x14ac:dyDescent="0.3">
      <c r="A15148" s="12"/>
    </row>
    <row r="15149" spans="1:1" x14ac:dyDescent="0.3">
      <c r="A15149" s="12"/>
    </row>
    <row r="15150" spans="1:1" x14ac:dyDescent="0.3">
      <c r="A15150" s="12"/>
    </row>
    <row r="15151" spans="1:1" x14ac:dyDescent="0.3">
      <c r="A15151" s="12"/>
    </row>
    <row r="15152" spans="1:1" x14ac:dyDescent="0.3">
      <c r="A15152" s="12"/>
    </row>
    <row r="15153" spans="1:1" x14ac:dyDescent="0.3">
      <c r="A15153" s="12"/>
    </row>
    <row r="15154" spans="1:1" x14ac:dyDescent="0.3">
      <c r="A15154" s="12"/>
    </row>
    <row r="15155" spans="1:1" x14ac:dyDescent="0.3">
      <c r="A15155" s="12"/>
    </row>
    <row r="15156" spans="1:1" x14ac:dyDescent="0.3">
      <c r="A15156" s="12"/>
    </row>
    <row r="15157" spans="1:1" x14ac:dyDescent="0.3">
      <c r="A15157" s="12"/>
    </row>
    <row r="15158" spans="1:1" x14ac:dyDescent="0.3">
      <c r="A15158" s="12"/>
    </row>
    <row r="15159" spans="1:1" x14ac:dyDescent="0.3">
      <c r="A15159" s="12"/>
    </row>
    <row r="15160" spans="1:1" x14ac:dyDescent="0.3">
      <c r="A15160" s="12"/>
    </row>
    <row r="15161" spans="1:1" x14ac:dyDescent="0.3">
      <c r="A15161" s="12"/>
    </row>
    <row r="15162" spans="1:1" x14ac:dyDescent="0.3">
      <c r="A15162" s="12"/>
    </row>
    <row r="15163" spans="1:1" x14ac:dyDescent="0.3">
      <c r="A15163" s="12"/>
    </row>
    <row r="15164" spans="1:1" x14ac:dyDescent="0.3">
      <c r="A15164" s="12"/>
    </row>
    <row r="15165" spans="1:1" x14ac:dyDescent="0.3">
      <c r="A15165" s="12"/>
    </row>
    <row r="15166" spans="1:1" x14ac:dyDescent="0.3">
      <c r="A15166" s="12"/>
    </row>
    <row r="15167" spans="1:1" x14ac:dyDescent="0.3">
      <c r="A15167" s="12"/>
    </row>
    <row r="15168" spans="1:1" x14ac:dyDescent="0.3">
      <c r="A15168" s="12"/>
    </row>
    <row r="15169" spans="1:1" x14ac:dyDescent="0.3">
      <c r="A15169" s="12"/>
    </row>
    <row r="15170" spans="1:1" x14ac:dyDescent="0.3">
      <c r="A15170" s="12"/>
    </row>
    <row r="15171" spans="1:1" x14ac:dyDescent="0.3">
      <c r="A15171" s="12"/>
    </row>
    <row r="15172" spans="1:1" x14ac:dyDescent="0.3">
      <c r="A15172" s="12"/>
    </row>
    <row r="15173" spans="1:1" x14ac:dyDescent="0.3">
      <c r="A15173" s="12"/>
    </row>
    <row r="15174" spans="1:1" x14ac:dyDescent="0.3">
      <c r="A15174" s="12"/>
    </row>
    <row r="15175" spans="1:1" x14ac:dyDescent="0.3">
      <c r="A15175" s="12"/>
    </row>
    <row r="15176" spans="1:1" x14ac:dyDescent="0.3">
      <c r="A15176" s="12"/>
    </row>
    <row r="15177" spans="1:1" x14ac:dyDescent="0.3">
      <c r="A15177" s="12"/>
    </row>
    <row r="15178" spans="1:1" x14ac:dyDescent="0.3">
      <c r="A15178" s="12"/>
    </row>
    <row r="15179" spans="1:1" x14ac:dyDescent="0.3">
      <c r="A15179" s="12"/>
    </row>
    <row r="15180" spans="1:1" x14ac:dyDescent="0.3">
      <c r="A15180" s="12"/>
    </row>
    <row r="15181" spans="1:1" x14ac:dyDescent="0.3">
      <c r="A15181" s="12"/>
    </row>
    <row r="15182" spans="1:1" x14ac:dyDescent="0.3">
      <c r="A15182" s="12"/>
    </row>
    <row r="15183" spans="1:1" x14ac:dyDescent="0.3">
      <c r="A15183" s="12"/>
    </row>
    <row r="15184" spans="1:1" x14ac:dyDescent="0.3">
      <c r="A15184" s="12"/>
    </row>
    <row r="15185" spans="1:1" x14ac:dyDescent="0.3">
      <c r="A15185" s="12"/>
    </row>
    <row r="15186" spans="1:1" x14ac:dyDescent="0.3">
      <c r="A15186" s="12"/>
    </row>
    <row r="15187" spans="1:1" x14ac:dyDescent="0.3">
      <c r="A15187" s="12"/>
    </row>
    <row r="15188" spans="1:1" x14ac:dyDescent="0.3">
      <c r="A15188" s="12"/>
    </row>
    <row r="15189" spans="1:1" x14ac:dyDescent="0.3">
      <c r="A15189" s="12"/>
    </row>
    <row r="15190" spans="1:1" x14ac:dyDescent="0.3">
      <c r="A15190" s="12"/>
    </row>
    <row r="15191" spans="1:1" x14ac:dyDescent="0.3">
      <c r="A15191" s="12"/>
    </row>
    <row r="15192" spans="1:1" x14ac:dyDescent="0.3">
      <c r="A15192" s="12"/>
    </row>
    <row r="15193" spans="1:1" x14ac:dyDescent="0.3">
      <c r="A15193" s="12"/>
    </row>
    <row r="15194" spans="1:1" x14ac:dyDescent="0.3">
      <c r="A15194" s="12"/>
    </row>
    <row r="15195" spans="1:1" x14ac:dyDescent="0.3">
      <c r="A15195" s="12"/>
    </row>
    <row r="15196" spans="1:1" x14ac:dyDescent="0.3">
      <c r="A15196" s="12"/>
    </row>
    <row r="15197" spans="1:1" x14ac:dyDescent="0.3">
      <c r="A15197" s="12"/>
    </row>
    <row r="15198" spans="1:1" x14ac:dyDescent="0.3">
      <c r="A15198" s="12"/>
    </row>
    <row r="15199" spans="1:1" x14ac:dyDescent="0.3">
      <c r="A15199" s="12"/>
    </row>
    <row r="15200" spans="1:1" x14ac:dyDescent="0.3">
      <c r="A15200" s="12"/>
    </row>
    <row r="15201" spans="1:1" x14ac:dyDescent="0.3">
      <c r="A15201" s="12"/>
    </row>
    <row r="15202" spans="1:1" x14ac:dyDescent="0.3">
      <c r="A15202" s="12"/>
    </row>
    <row r="15203" spans="1:1" x14ac:dyDescent="0.3">
      <c r="A15203" s="12"/>
    </row>
    <row r="15204" spans="1:1" x14ac:dyDescent="0.3">
      <c r="A15204" s="12"/>
    </row>
    <row r="15205" spans="1:1" x14ac:dyDescent="0.3">
      <c r="A15205" s="12"/>
    </row>
    <row r="15206" spans="1:1" x14ac:dyDescent="0.3">
      <c r="A15206" s="12"/>
    </row>
    <row r="15207" spans="1:1" x14ac:dyDescent="0.3">
      <c r="A15207" s="12"/>
    </row>
    <row r="15208" spans="1:1" x14ac:dyDescent="0.3">
      <c r="A15208" s="12"/>
    </row>
    <row r="15209" spans="1:1" x14ac:dyDescent="0.3">
      <c r="A15209" s="12"/>
    </row>
    <row r="15210" spans="1:1" x14ac:dyDescent="0.3">
      <c r="A15210" s="12"/>
    </row>
    <row r="15211" spans="1:1" x14ac:dyDescent="0.3">
      <c r="A15211" s="12"/>
    </row>
    <row r="15212" spans="1:1" x14ac:dyDescent="0.3">
      <c r="A15212" s="12"/>
    </row>
    <row r="15213" spans="1:1" x14ac:dyDescent="0.3">
      <c r="A15213" s="12"/>
    </row>
    <row r="15214" spans="1:1" x14ac:dyDescent="0.3">
      <c r="A15214" s="12"/>
    </row>
    <row r="15215" spans="1:1" x14ac:dyDescent="0.3">
      <c r="A15215" s="12"/>
    </row>
    <row r="15216" spans="1:1" x14ac:dyDescent="0.3">
      <c r="A15216" s="12"/>
    </row>
    <row r="15217" spans="1:1" x14ac:dyDescent="0.3">
      <c r="A15217" s="12"/>
    </row>
    <row r="15218" spans="1:1" x14ac:dyDescent="0.3">
      <c r="A15218" s="12"/>
    </row>
    <row r="15219" spans="1:1" x14ac:dyDescent="0.3">
      <c r="A15219" s="12"/>
    </row>
    <row r="15220" spans="1:1" x14ac:dyDescent="0.3">
      <c r="A15220" s="12"/>
    </row>
    <row r="15221" spans="1:1" x14ac:dyDescent="0.3">
      <c r="A15221" s="12"/>
    </row>
    <row r="15222" spans="1:1" x14ac:dyDescent="0.3">
      <c r="A15222" s="12"/>
    </row>
    <row r="15223" spans="1:1" x14ac:dyDescent="0.3">
      <c r="A15223" s="12"/>
    </row>
    <row r="15224" spans="1:1" x14ac:dyDescent="0.3">
      <c r="A15224" s="12"/>
    </row>
    <row r="15225" spans="1:1" x14ac:dyDescent="0.3">
      <c r="A15225" s="12"/>
    </row>
    <row r="15226" spans="1:1" x14ac:dyDescent="0.3">
      <c r="A15226" s="12"/>
    </row>
    <row r="15227" spans="1:1" x14ac:dyDescent="0.3">
      <c r="A15227" s="12"/>
    </row>
    <row r="15228" spans="1:1" x14ac:dyDescent="0.3">
      <c r="A15228" s="12"/>
    </row>
    <row r="15229" spans="1:1" x14ac:dyDescent="0.3">
      <c r="A15229" s="12"/>
    </row>
    <row r="15230" spans="1:1" x14ac:dyDescent="0.3">
      <c r="A15230" s="12"/>
    </row>
    <row r="15231" spans="1:1" x14ac:dyDescent="0.3">
      <c r="A15231" s="12"/>
    </row>
    <row r="15232" spans="1:1" x14ac:dyDescent="0.3">
      <c r="A15232" s="12"/>
    </row>
    <row r="15233" spans="1:1" x14ac:dyDescent="0.3">
      <c r="A15233" s="12"/>
    </row>
    <row r="15234" spans="1:1" x14ac:dyDescent="0.3">
      <c r="A15234" s="12"/>
    </row>
    <row r="15235" spans="1:1" x14ac:dyDescent="0.3">
      <c r="A15235" s="12"/>
    </row>
    <row r="15236" spans="1:1" x14ac:dyDescent="0.3">
      <c r="A15236" s="12"/>
    </row>
    <row r="15237" spans="1:1" x14ac:dyDescent="0.3">
      <c r="A15237" s="12"/>
    </row>
    <row r="15238" spans="1:1" x14ac:dyDescent="0.3">
      <c r="A15238" s="12"/>
    </row>
    <row r="15239" spans="1:1" x14ac:dyDescent="0.3">
      <c r="A15239" s="12"/>
    </row>
    <row r="15240" spans="1:1" x14ac:dyDescent="0.3">
      <c r="A15240" s="12"/>
    </row>
    <row r="15241" spans="1:1" x14ac:dyDescent="0.3">
      <c r="A15241" s="12"/>
    </row>
    <row r="15242" spans="1:1" x14ac:dyDescent="0.3">
      <c r="A15242" s="12"/>
    </row>
    <row r="15243" spans="1:1" x14ac:dyDescent="0.3">
      <c r="A15243" s="12"/>
    </row>
    <row r="15244" spans="1:1" x14ac:dyDescent="0.3">
      <c r="A15244" s="12"/>
    </row>
    <row r="15245" spans="1:1" x14ac:dyDescent="0.3">
      <c r="A15245" s="12"/>
    </row>
    <row r="15246" spans="1:1" x14ac:dyDescent="0.3">
      <c r="A15246" s="12"/>
    </row>
    <row r="15247" spans="1:1" x14ac:dyDescent="0.3">
      <c r="A15247" s="12"/>
    </row>
    <row r="15248" spans="1:1" x14ac:dyDescent="0.3">
      <c r="A15248" s="12"/>
    </row>
    <row r="15249" spans="1:1" x14ac:dyDescent="0.3">
      <c r="A15249" s="12"/>
    </row>
    <row r="15250" spans="1:1" x14ac:dyDescent="0.3">
      <c r="A15250" s="12"/>
    </row>
    <row r="15251" spans="1:1" x14ac:dyDescent="0.3">
      <c r="A15251" s="12"/>
    </row>
    <row r="15252" spans="1:1" x14ac:dyDescent="0.3">
      <c r="A15252" s="12"/>
    </row>
    <row r="15253" spans="1:1" x14ac:dyDescent="0.3">
      <c r="A15253" s="12"/>
    </row>
    <row r="15254" spans="1:1" x14ac:dyDescent="0.3">
      <c r="A15254" s="12"/>
    </row>
    <row r="15255" spans="1:1" x14ac:dyDescent="0.3">
      <c r="A15255" s="12"/>
    </row>
    <row r="15256" spans="1:1" x14ac:dyDescent="0.3">
      <c r="A15256" s="12"/>
    </row>
    <row r="15257" spans="1:1" x14ac:dyDescent="0.3">
      <c r="A15257" s="12"/>
    </row>
    <row r="15258" spans="1:1" x14ac:dyDescent="0.3">
      <c r="A15258" s="12"/>
    </row>
    <row r="15259" spans="1:1" x14ac:dyDescent="0.3">
      <c r="A15259" s="12"/>
    </row>
    <row r="15260" spans="1:1" x14ac:dyDescent="0.3">
      <c r="A15260" s="12"/>
    </row>
    <row r="15261" spans="1:1" x14ac:dyDescent="0.3">
      <c r="A15261" s="12"/>
    </row>
    <row r="15262" spans="1:1" x14ac:dyDescent="0.3">
      <c r="A15262" s="12"/>
    </row>
    <row r="15263" spans="1:1" x14ac:dyDescent="0.3">
      <c r="A15263" s="12"/>
    </row>
    <row r="15264" spans="1:1" x14ac:dyDescent="0.3">
      <c r="A15264" s="12"/>
    </row>
    <row r="15265" spans="1:1" x14ac:dyDescent="0.3">
      <c r="A15265" s="12"/>
    </row>
    <row r="15266" spans="1:1" x14ac:dyDescent="0.3">
      <c r="A15266" s="12"/>
    </row>
    <row r="15267" spans="1:1" x14ac:dyDescent="0.3">
      <c r="A15267" s="12"/>
    </row>
    <row r="15268" spans="1:1" x14ac:dyDescent="0.3">
      <c r="A15268" s="12"/>
    </row>
    <row r="15269" spans="1:1" x14ac:dyDescent="0.3">
      <c r="A15269" s="12"/>
    </row>
    <row r="15270" spans="1:1" x14ac:dyDescent="0.3">
      <c r="A15270" s="12"/>
    </row>
    <row r="15271" spans="1:1" x14ac:dyDescent="0.3">
      <c r="A15271" s="12"/>
    </row>
    <row r="15272" spans="1:1" x14ac:dyDescent="0.3">
      <c r="A15272" s="12"/>
    </row>
    <row r="15273" spans="1:1" x14ac:dyDescent="0.3">
      <c r="A15273" s="12"/>
    </row>
    <row r="15274" spans="1:1" x14ac:dyDescent="0.3">
      <c r="A15274" s="12"/>
    </row>
    <row r="15275" spans="1:1" x14ac:dyDescent="0.3">
      <c r="A15275" s="12"/>
    </row>
    <row r="15276" spans="1:1" x14ac:dyDescent="0.3">
      <c r="A15276" s="12"/>
    </row>
    <row r="15277" spans="1:1" x14ac:dyDescent="0.3">
      <c r="A15277" s="12"/>
    </row>
    <row r="15278" spans="1:1" x14ac:dyDescent="0.3">
      <c r="A15278" s="12"/>
    </row>
    <row r="15279" spans="1:1" x14ac:dyDescent="0.3">
      <c r="A15279" s="12"/>
    </row>
    <row r="15280" spans="1:1" x14ac:dyDescent="0.3">
      <c r="A15280" s="12"/>
    </row>
    <row r="15281" spans="1:1" x14ac:dyDescent="0.3">
      <c r="A15281" s="12"/>
    </row>
    <row r="15282" spans="1:1" x14ac:dyDescent="0.3">
      <c r="A15282" s="12"/>
    </row>
    <row r="15283" spans="1:1" x14ac:dyDescent="0.3">
      <c r="A15283" s="12"/>
    </row>
    <row r="15284" spans="1:1" x14ac:dyDescent="0.3">
      <c r="A15284" s="12"/>
    </row>
    <row r="15285" spans="1:1" x14ac:dyDescent="0.3">
      <c r="A15285" s="12"/>
    </row>
    <row r="15286" spans="1:1" x14ac:dyDescent="0.3">
      <c r="A15286" s="12"/>
    </row>
    <row r="15287" spans="1:1" x14ac:dyDescent="0.3">
      <c r="A15287" s="12"/>
    </row>
    <row r="15288" spans="1:1" x14ac:dyDescent="0.3">
      <c r="A15288" s="12"/>
    </row>
    <row r="15289" spans="1:1" x14ac:dyDescent="0.3">
      <c r="A15289" s="12"/>
    </row>
    <row r="15290" spans="1:1" x14ac:dyDescent="0.3">
      <c r="A15290" s="12"/>
    </row>
    <row r="15291" spans="1:1" x14ac:dyDescent="0.3">
      <c r="A15291" s="12"/>
    </row>
    <row r="15292" spans="1:1" x14ac:dyDescent="0.3">
      <c r="A15292" s="12"/>
    </row>
    <row r="15293" spans="1:1" x14ac:dyDescent="0.3">
      <c r="A15293" s="12"/>
    </row>
    <row r="15294" spans="1:1" x14ac:dyDescent="0.3">
      <c r="A15294" s="12"/>
    </row>
    <row r="15295" spans="1:1" x14ac:dyDescent="0.3">
      <c r="A15295" s="12"/>
    </row>
    <row r="15296" spans="1:1" x14ac:dyDescent="0.3">
      <c r="A15296" s="12"/>
    </row>
    <row r="15297" spans="1:1" x14ac:dyDescent="0.3">
      <c r="A15297" s="12"/>
    </row>
    <row r="15298" spans="1:1" x14ac:dyDescent="0.3">
      <c r="A15298" s="12"/>
    </row>
    <row r="15299" spans="1:1" x14ac:dyDescent="0.3">
      <c r="A15299" s="12"/>
    </row>
    <row r="15300" spans="1:1" x14ac:dyDescent="0.3">
      <c r="A15300" s="12"/>
    </row>
    <row r="15301" spans="1:1" x14ac:dyDescent="0.3">
      <c r="A15301" s="12"/>
    </row>
    <row r="15302" spans="1:1" x14ac:dyDescent="0.3">
      <c r="A15302" s="12"/>
    </row>
    <row r="15303" spans="1:1" x14ac:dyDescent="0.3">
      <c r="A15303" s="12"/>
    </row>
    <row r="15304" spans="1:1" x14ac:dyDescent="0.3">
      <c r="A15304" s="12"/>
    </row>
    <row r="15305" spans="1:1" x14ac:dyDescent="0.3">
      <c r="A15305" s="12"/>
    </row>
    <row r="15306" spans="1:1" x14ac:dyDescent="0.3">
      <c r="A15306" s="12"/>
    </row>
    <row r="15307" spans="1:1" x14ac:dyDescent="0.3">
      <c r="A15307" s="12"/>
    </row>
    <row r="15308" spans="1:1" x14ac:dyDescent="0.3">
      <c r="A15308" s="12"/>
    </row>
    <row r="15309" spans="1:1" x14ac:dyDescent="0.3">
      <c r="A15309" s="12"/>
    </row>
    <row r="15310" spans="1:1" x14ac:dyDescent="0.3">
      <c r="A15310" s="12"/>
    </row>
    <row r="15311" spans="1:1" x14ac:dyDescent="0.3">
      <c r="A15311" s="12"/>
    </row>
    <row r="15312" spans="1:1" x14ac:dyDescent="0.3">
      <c r="A15312" s="12"/>
    </row>
    <row r="15313" spans="1:1" x14ac:dyDescent="0.3">
      <c r="A15313" s="12"/>
    </row>
    <row r="15314" spans="1:1" x14ac:dyDescent="0.3">
      <c r="A15314" s="12"/>
    </row>
    <row r="15315" spans="1:1" x14ac:dyDescent="0.3">
      <c r="A15315" s="12"/>
    </row>
    <row r="15316" spans="1:1" x14ac:dyDescent="0.3">
      <c r="A15316" s="12"/>
    </row>
    <row r="15317" spans="1:1" x14ac:dyDescent="0.3">
      <c r="A15317" s="12"/>
    </row>
    <row r="15318" spans="1:1" x14ac:dyDescent="0.3">
      <c r="A15318" s="12"/>
    </row>
    <row r="15319" spans="1:1" x14ac:dyDescent="0.3">
      <c r="A15319" s="12"/>
    </row>
    <row r="15320" spans="1:1" x14ac:dyDescent="0.3">
      <c r="A15320" s="12"/>
    </row>
    <row r="15321" spans="1:1" x14ac:dyDescent="0.3">
      <c r="A15321" s="12"/>
    </row>
    <row r="15322" spans="1:1" x14ac:dyDescent="0.3">
      <c r="A15322" s="12"/>
    </row>
    <row r="15323" spans="1:1" x14ac:dyDescent="0.3">
      <c r="A15323" s="12"/>
    </row>
    <row r="15324" spans="1:1" x14ac:dyDescent="0.3">
      <c r="A15324" s="12"/>
    </row>
    <row r="15325" spans="1:1" x14ac:dyDescent="0.3">
      <c r="A15325" s="12"/>
    </row>
    <row r="15326" spans="1:1" x14ac:dyDescent="0.3">
      <c r="A15326" s="12"/>
    </row>
    <row r="15327" spans="1:1" x14ac:dyDescent="0.3">
      <c r="A15327" s="12"/>
    </row>
    <row r="15328" spans="1:1" x14ac:dyDescent="0.3">
      <c r="A15328" s="12"/>
    </row>
    <row r="15329" spans="1:1" x14ac:dyDescent="0.3">
      <c r="A15329" s="12"/>
    </row>
    <row r="15330" spans="1:1" x14ac:dyDescent="0.3">
      <c r="A15330" s="12"/>
    </row>
    <row r="15331" spans="1:1" x14ac:dyDescent="0.3">
      <c r="A15331" s="12"/>
    </row>
    <row r="15332" spans="1:1" x14ac:dyDescent="0.3">
      <c r="A15332" s="12"/>
    </row>
    <row r="15333" spans="1:1" x14ac:dyDescent="0.3">
      <c r="A15333" s="12"/>
    </row>
    <row r="15334" spans="1:1" x14ac:dyDescent="0.3">
      <c r="A15334" s="12"/>
    </row>
    <row r="15335" spans="1:1" x14ac:dyDescent="0.3">
      <c r="A15335" s="12"/>
    </row>
    <row r="15336" spans="1:1" x14ac:dyDescent="0.3">
      <c r="A15336" s="12"/>
    </row>
    <row r="15337" spans="1:1" x14ac:dyDescent="0.3">
      <c r="A15337" s="12"/>
    </row>
    <row r="15338" spans="1:1" x14ac:dyDescent="0.3">
      <c r="A15338" s="12"/>
    </row>
    <row r="15339" spans="1:1" x14ac:dyDescent="0.3">
      <c r="A15339" s="12"/>
    </row>
    <row r="15340" spans="1:1" x14ac:dyDescent="0.3">
      <c r="A15340" s="12"/>
    </row>
    <row r="15341" spans="1:1" x14ac:dyDescent="0.3">
      <c r="A15341" s="12"/>
    </row>
    <row r="15342" spans="1:1" x14ac:dyDescent="0.3">
      <c r="A15342" s="12"/>
    </row>
    <row r="15343" spans="1:1" x14ac:dyDescent="0.3">
      <c r="A15343" s="12"/>
    </row>
    <row r="15344" spans="1:1" x14ac:dyDescent="0.3">
      <c r="A15344" s="12"/>
    </row>
    <row r="15345" spans="1:1" x14ac:dyDescent="0.3">
      <c r="A15345" s="12"/>
    </row>
    <row r="15346" spans="1:1" x14ac:dyDescent="0.3">
      <c r="A15346" s="12"/>
    </row>
    <row r="15347" spans="1:1" x14ac:dyDescent="0.3">
      <c r="A15347" s="12"/>
    </row>
    <row r="15348" spans="1:1" x14ac:dyDescent="0.3">
      <c r="A15348" s="12"/>
    </row>
    <row r="15349" spans="1:1" x14ac:dyDescent="0.3">
      <c r="A15349" s="12"/>
    </row>
    <row r="15350" spans="1:1" x14ac:dyDescent="0.3">
      <c r="A15350" s="12"/>
    </row>
    <row r="15351" spans="1:1" x14ac:dyDescent="0.3">
      <c r="A15351" s="12"/>
    </row>
    <row r="15352" spans="1:1" x14ac:dyDescent="0.3">
      <c r="A15352" s="12"/>
    </row>
    <row r="15353" spans="1:1" x14ac:dyDescent="0.3">
      <c r="A15353" s="12"/>
    </row>
    <row r="15354" spans="1:1" x14ac:dyDescent="0.3">
      <c r="A15354" s="12"/>
    </row>
    <row r="15355" spans="1:1" x14ac:dyDescent="0.3">
      <c r="A15355" s="12"/>
    </row>
    <row r="15356" spans="1:1" x14ac:dyDescent="0.3">
      <c r="A15356" s="12"/>
    </row>
    <row r="15357" spans="1:1" x14ac:dyDescent="0.3">
      <c r="A15357" s="12"/>
    </row>
    <row r="15358" spans="1:1" x14ac:dyDescent="0.3">
      <c r="A15358" s="12"/>
    </row>
    <row r="15359" spans="1:1" x14ac:dyDescent="0.3">
      <c r="A15359" s="12"/>
    </row>
    <row r="15360" spans="1:1" x14ac:dyDescent="0.3">
      <c r="A15360" s="12"/>
    </row>
    <row r="15361" spans="1:1" x14ac:dyDescent="0.3">
      <c r="A15361" s="12"/>
    </row>
    <row r="15362" spans="1:1" x14ac:dyDescent="0.3">
      <c r="A15362" s="12"/>
    </row>
    <row r="15363" spans="1:1" x14ac:dyDescent="0.3">
      <c r="A15363" s="12"/>
    </row>
    <row r="15364" spans="1:1" x14ac:dyDescent="0.3">
      <c r="A15364" s="12"/>
    </row>
    <row r="15365" spans="1:1" x14ac:dyDescent="0.3">
      <c r="A15365" s="12"/>
    </row>
    <row r="15366" spans="1:1" x14ac:dyDescent="0.3">
      <c r="A15366" s="12"/>
    </row>
    <row r="15367" spans="1:1" x14ac:dyDescent="0.3">
      <c r="A15367" s="12"/>
    </row>
    <row r="15368" spans="1:1" x14ac:dyDescent="0.3">
      <c r="A15368" s="12"/>
    </row>
    <row r="15369" spans="1:1" x14ac:dyDescent="0.3">
      <c r="A15369" s="12"/>
    </row>
    <row r="15370" spans="1:1" x14ac:dyDescent="0.3">
      <c r="A15370" s="12"/>
    </row>
    <row r="15371" spans="1:1" x14ac:dyDescent="0.3">
      <c r="A15371" s="12"/>
    </row>
    <row r="15372" spans="1:1" x14ac:dyDescent="0.3">
      <c r="A15372" s="12"/>
    </row>
    <row r="15373" spans="1:1" x14ac:dyDescent="0.3">
      <c r="A15373" s="12"/>
    </row>
    <row r="15374" spans="1:1" x14ac:dyDescent="0.3">
      <c r="A15374" s="12"/>
    </row>
    <row r="15375" spans="1:1" x14ac:dyDescent="0.3">
      <c r="A15375" s="12"/>
    </row>
    <row r="15376" spans="1:1" x14ac:dyDescent="0.3">
      <c r="A15376" s="12"/>
    </row>
    <row r="15377" spans="1:1" x14ac:dyDescent="0.3">
      <c r="A15377" s="12"/>
    </row>
    <row r="15378" spans="1:1" x14ac:dyDescent="0.3">
      <c r="A15378" s="12"/>
    </row>
    <row r="15379" spans="1:1" x14ac:dyDescent="0.3">
      <c r="A15379" s="12"/>
    </row>
    <row r="15380" spans="1:1" x14ac:dyDescent="0.3">
      <c r="A15380" s="12"/>
    </row>
    <row r="15381" spans="1:1" x14ac:dyDescent="0.3">
      <c r="A15381" s="12"/>
    </row>
    <row r="15382" spans="1:1" x14ac:dyDescent="0.3">
      <c r="A15382" s="12"/>
    </row>
    <row r="15383" spans="1:1" x14ac:dyDescent="0.3">
      <c r="A15383" s="12"/>
    </row>
    <row r="15384" spans="1:1" x14ac:dyDescent="0.3">
      <c r="A15384" s="12"/>
    </row>
    <row r="15385" spans="1:1" x14ac:dyDescent="0.3">
      <c r="A15385" s="12"/>
    </row>
    <row r="15386" spans="1:1" x14ac:dyDescent="0.3">
      <c r="A15386" s="12"/>
    </row>
    <row r="15387" spans="1:1" x14ac:dyDescent="0.3">
      <c r="A15387" s="12"/>
    </row>
    <row r="15388" spans="1:1" x14ac:dyDescent="0.3">
      <c r="A15388" s="12"/>
    </row>
    <row r="15389" spans="1:1" x14ac:dyDescent="0.3">
      <c r="A15389" s="12"/>
    </row>
    <row r="15390" spans="1:1" x14ac:dyDescent="0.3">
      <c r="A15390" s="12"/>
    </row>
    <row r="15391" spans="1:1" x14ac:dyDescent="0.3">
      <c r="A15391" s="12"/>
    </row>
    <row r="15392" spans="1:1" x14ac:dyDescent="0.3">
      <c r="A15392" s="12"/>
    </row>
    <row r="15393" spans="1:1" x14ac:dyDescent="0.3">
      <c r="A15393" s="12"/>
    </row>
    <row r="15394" spans="1:1" x14ac:dyDescent="0.3">
      <c r="A15394" s="12"/>
    </row>
    <row r="15395" spans="1:1" x14ac:dyDescent="0.3">
      <c r="A15395" s="12"/>
    </row>
    <row r="15396" spans="1:1" x14ac:dyDescent="0.3">
      <c r="A15396" s="12"/>
    </row>
    <row r="15397" spans="1:1" x14ac:dyDescent="0.3">
      <c r="A15397" s="12"/>
    </row>
    <row r="15398" spans="1:1" x14ac:dyDescent="0.3">
      <c r="A15398" s="12"/>
    </row>
    <row r="15399" spans="1:1" x14ac:dyDescent="0.3">
      <c r="A15399" s="12"/>
    </row>
    <row r="15400" spans="1:1" x14ac:dyDescent="0.3">
      <c r="A15400" s="12"/>
    </row>
    <row r="15401" spans="1:1" x14ac:dyDescent="0.3">
      <c r="A15401" s="12"/>
    </row>
    <row r="15402" spans="1:1" x14ac:dyDescent="0.3">
      <c r="A15402" s="12"/>
    </row>
    <row r="15403" spans="1:1" x14ac:dyDescent="0.3">
      <c r="A15403" s="12"/>
    </row>
    <row r="15404" spans="1:1" x14ac:dyDescent="0.3">
      <c r="A15404" s="12"/>
    </row>
    <row r="15405" spans="1:1" x14ac:dyDescent="0.3">
      <c r="A15405" s="12"/>
    </row>
    <row r="15406" spans="1:1" x14ac:dyDescent="0.3">
      <c r="A15406" s="12"/>
    </row>
    <row r="15407" spans="1:1" x14ac:dyDescent="0.3">
      <c r="A15407" s="12"/>
    </row>
    <row r="15408" spans="1:1" x14ac:dyDescent="0.3">
      <c r="A15408" s="12"/>
    </row>
    <row r="15409" spans="1:1" x14ac:dyDescent="0.3">
      <c r="A15409" s="12"/>
    </row>
    <row r="15410" spans="1:1" x14ac:dyDescent="0.3">
      <c r="A15410" s="12"/>
    </row>
    <row r="15411" spans="1:1" x14ac:dyDescent="0.3">
      <c r="A15411" s="12"/>
    </row>
    <row r="15412" spans="1:1" x14ac:dyDescent="0.3">
      <c r="A15412" s="12"/>
    </row>
    <row r="15413" spans="1:1" x14ac:dyDescent="0.3">
      <c r="A15413" s="12"/>
    </row>
    <row r="15414" spans="1:1" x14ac:dyDescent="0.3">
      <c r="A15414" s="12"/>
    </row>
    <row r="15415" spans="1:1" x14ac:dyDescent="0.3">
      <c r="A15415" s="12"/>
    </row>
    <row r="15416" spans="1:1" x14ac:dyDescent="0.3">
      <c r="A15416" s="12"/>
    </row>
    <row r="15417" spans="1:1" x14ac:dyDescent="0.3">
      <c r="A15417" s="12"/>
    </row>
    <row r="15418" spans="1:1" x14ac:dyDescent="0.3">
      <c r="A15418" s="12"/>
    </row>
    <row r="15419" spans="1:1" x14ac:dyDescent="0.3">
      <c r="A15419" s="12"/>
    </row>
    <row r="15420" spans="1:1" x14ac:dyDescent="0.3">
      <c r="A15420" s="12"/>
    </row>
    <row r="15421" spans="1:1" x14ac:dyDescent="0.3">
      <c r="A15421" s="12"/>
    </row>
    <row r="15422" spans="1:1" x14ac:dyDescent="0.3">
      <c r="A15422" s="12"/>
    </row>
    <row r="15423" spans="1:1" x14ac:dyDescent="0.3">
      <c r="A15423" s="12"/>
    </row>
    <row r="15424" spans="1:1" x14ac:dyDescent="0.3">
      <c r="A15424" s="12"/>
    </row>
    <row r="15425" spans="1:1" x14ac:dyDescent="0.3">
      <c r="A15425" s="12"/>
    </row>
    <row r="15426" spans="1:1" x14ac:dyDescent="0.3">
      <c r="A15426" s="12"/>
    </row>
    <row r="15427" spans="1:1" x14ac:dyDescent="0.3">
      <c r="A15427" s="12"/>
    </row>
    <row r="15428" spans="1:1" x14ac:dyDescent="0.3">
      <c r="A15428" s="12"/>
    </row>
    <row r="15429" spans="1:1" x14ac:dyDescent="0.3">
      <c r="A15429" s="12"/>
    </row>
    <row r="15430" spans="1:1" x14ac:dyDescent="0.3">
      <c r="A15430" s="12"/>
    </row>
    <row r="15431" spans="1:1" x14ac:dyDescent="0.3">
      <c r="A15431" s="12"/>
    </row>
    <row r="15432" spans="1:1" x14ac:dyDescent="0.3">
      <c r="A15432" s="12"/>
    </row>
    <row r="15433" spans="1:1" x14ac:dyDescent="0.3">
      <c r="A15433" s="12"/>
    </row>
    <row r="15434" spans="1:1" x14ac:dyDescent="0.3">
      <c r="A15434" s="12"/>
    </row>
    <row r="15435" spans="1:1" x14ac:dyDescent="0.3">
      <c r="A15435" s="12"/>
    </row>
    <row r="15436" spans="1:1" x14ac:dyDescent="0.3">
      <c r="A15436" s="12"/>
    </row>
    <row r="15437" spans="1:1" x14ac:dyDescent="0.3">
      <c r="A15437" s="12"/>
    </row>
    <row r="15438" spans="1:1" x14ac:dyDescent="0.3">
      <c r="A15438" s="12"/>
    </row>
    <row r="15439" spans="1:1" x14ac:dyDescent="0.3">
      <c r="A15439" s="12"/>
    </row>
    <row r="15440" spans="1:1" x14ac:dyDescent="0.3">
      <c r="A15440" s="12"/>
    </row>
    <row r="15441" spans="1:1" x14ac:dyDescent="0.3">
      <c r="A15441" s="12"/>
    </row>
    <row r="15442" spans="1:1" x14ac:dyDescent="0.3">
      <c r="A15442" s="12"/>
    </row>
    <row r="15443" spans="1:1" x14ac:dyDescent="0.3">
      <c r="A15443" s="12"/>
    </row>
    <row r="15444" spans="1:1" x14ac:dyDescent="0.3">
      <c r="A15444" s="12"/>
    </row>
    <row r="15445" spans="1:1" x14ac:dyDescent="0.3">
      <c r="A15445" s="12"/>
    </row>
    <row r="15446" spans="1:1" x14ac:dyDescent="0.3">
      <c r="A15446" s="12"/>
    </row>
    <row r="15447" spans="1:1" x14ac:dyDescent="0.3">
      <c r="A15447" s="12"/>
    </row>
    <row r="15448" spans="1:1" x14ac:dyDescent="0.3">
      <c r="A15448" s="12"/>
    </row>
    <row r="15449" spans="1:1" x14ac:dyDescent="0.3">
      <c r="A15449" s="12"/>
    </row>
    <row r="15450" spans="1:1" x14ac:dyDescent="0.3">
      <c r="A15450" s="12"/>
    </row>
    <row r="15451" spans="1:1" x14ac:dyDescent="0.3">
      <c r="A15451" s="12"/>
    </row>
    <row r="15452" spans="1:1" x14ac:dyDescent="0.3">
      <c r="A15452" s="12"/>
    </row>
    <row r="15453" spans="1:1" x14ac:dyDescent="0.3">
      <c r="A15453" s="12"/>
    </row>
    <row r="15454" spans="1:1" x14ac:dyDescent="0.3">
      <c r="A15454" s="12"/>
    </row>
    <row r="15455" spans="1:1" x14ac:dyDescent="0.3">
      <c r="A15455" s="12"/>
    </row>
    <row r="15456" spans="1:1" x14ac:dyDescent="0.3">
      <c r="A15456" s="12"/>
    </row>
    <row r="15457" spans="1:1" x14ac:dyDescent="0.3">
      <c r="A15457" s="12"/>
    </row>
    <row r="15458" spans="1:1" x14ac:dyDescent="0.3">
      <c r="A15458" s="12"/>
    </row>
    <row r="15459" spans="1:1" x14ac:dyDescent="0.3">
      <c r="A15459" s="12"/>
    </row>
    <row r="15460" spans="1:1" x14ac:dyDescent="0.3">
      <c r="A15460" s="12"/>
    </row>
    <row r="15461" spans="1:1" x14ac:dyDescent="0.3">
      <c r="A15461" s="12"/>
    </row>
    <row r="15462" spans="1:1" x14ac:dyDescent="0.3">
      <c r="A15462" s="12"/>
    </row>
    <row r="15463" spans="1:1" x14ac:dyDescent="0.3">
      <c r="A15463" s="12"/>
    </row>
    <row r="15464" spans="1:1" x14ac:dyDescent="0.3">
      <c r="A15464" s="12"/>
    </row>
    <row r="15465" spans="1:1" x14ac:dyDescent="0.3">
      <c r="A15465" s="12"/>
    </row>
    <row r="15466" spans="1:1" x14ac:dyDescent="0.3">
      <c r="A15466" s="12"/>
    </row>
    <row r="15467" spans="1:1" x14ac:dyDescent="0.3">
      <c r="A15467" s="12"/>
    </row>
    <row r="15468" spans="1:1" x14ac:dyDescent="0.3">
      <c r="A15468" s="12"/>
    </row>
    <row r="15469" spans="1:1" x14ac:dyDescent="0.3">
      <c r="A15469" s="12"/>
    </row>
    <row r="15470" spans="1:1" x14ac:dyDescent="0.3">
      <c r="A15470" s="12"/>
    </row>
    <row r="15471" spans="1:1" x14ac:dyDescent="0.3">
      <c r="A15471" s="12"/>
    </row>
    <row r="15472" spans="1:1" x14ac:dyDescent="0.3">
      <c r="A15472" s="12"/>
    </row>
    <row r="15473" spans="1:1" x14ac:dyDescent="0.3">
      <c r="A15473" s="12"/>
    </row>
    <row r="15474" spans="1:1" x14ac:dyDescent="0.3">
      <c r="A15474" s="12"/>
    </row>
    <row r="15475" spans="1:1" x14ac:dyDescent="0.3">
      <c r="A15475" s="12"/>
    </row>
    <row r="15476" spans="1:1" x14ac:dyDescent="0.3">
      <c r="A15476" s="12"/>
    </row>
    <row r="15477" spans="1:1" x14ac:dyDescent="0.3">
      <c r="A15477" s="12"/>
    </row>
    <row r="15478" spans="1:1" x14ac:dyDescent="0.3">
      <c r="A15478" s="12"/>
    </row>
    <row r="15479" spans="1:1" x14ac:dyDescent="0.3">
      <c r="A15479" s="12"/>
    </row>
    <row r="15480" spans="1:1" x14ac:dyDescent="0.3">
      <c r="A15480" s="12"/>
    </row>
    <row r="15481" spans="1:1" x14ac:dyDescent="0.3">
      <c r="A15481" s="12"/>
    </row>
    <row r="15482" spans="1:1" x14ac:dyDescent="0.3">
      <c r="A15482" s="12"/>
    </row>
    <row r="15483" spans="1:1" x14ac:dyDescent="0.3">
      <c r="A15483" s="12"/>
    </row>
    <row r="15484" spans="1:1" x14ac:dyDescent="0.3">
      <c r="A15484" s="12"/>
    </row>
    <row r="15485" spans="1:1" x14ac:dyDescent="0.3">
      <c r="A15485" s="12"/>
    </row>
    <row r="15486" spans="1:1" x14ac:dyDescent="0.3">
      <c r="A15486" s="12"/>
    </row>
    <row r="15487" spans="1:1" x14ac:dyDescent="0.3">
      <c r="A15487" s="12"/>
    </row>
    <row r="15488" spans="1:1" x14ac:dyDescent="0.3">
      <c r="A15488" s="12"/>
    </row>
    <row r="15489" spans="1:1" x14ac:dyDescent="0.3">
      <c r="A15489" s="12"/>
    </row>
    <row r="15490" spans="1:1" x14ac:dyDescent="0.3">
      <c r="A15490" s="12"/>
    </row>
    <row r="15491" spans="1:1" x14ac:dyDescent="0.3">
      <c r="A15491" s="12"/>
    </row>
    <row r="15492" spans="1:1" x14ac:dyDescent="0.3">
      <c r="A15492" s="12"/>
    </row>
    <row r="15493" spans="1:1" x14ac:dyDescent="0.3">
      <c r="A15493" s="12"/>
    </row>
    <row r="15494" spans="1:1" x14ac:dyDescent="0.3">
      <c r="A15494" s="12"/>
    </row>
    <row r="15495" spans="1:1" x14ac:dyDescent="0.3">
      <c r="A15495" s="12"/>
    </row>
    <row r="15496" spans="1:1" x14ac:dyDescent="0.3">
      <c r="A15496" s="12"/>
    </row>
    <row r="15497" spans="1:1" x14ac:dyDescent="0.3">
      <c r="A15497" s="12"/>
    </row>
    <row r="15498" spans="1:1" x14ac:dyDescent="0.3">
      <c r="A15498" s="12"/>
    </row>
    <row r="15499" spans="1:1" x14ac:dyDescent="0.3">
      <c r="A15499" s="12"/>
    </row>
    <row r="15500" spans="1:1" x14ac:dyDescent="0.3">
      <c r="A15500" s="12"/>
    </row>
    <row r="15501" spans="1:1" x14ac:dyDescent="0.3">
      <c r="A15501" s="12"/>
    </row>
    <row r="15502" spans="1:1" x14ac:dyDescent="0.3">
      <c r="A15502" s="12"/>
    </row>
    <row r="15503" spans="1:1" x14ac:dyDescent="0.3">
      <c r="A15503" s="12"/>
    </row>
    <row r="15504" spans="1:1" x14ac:dyDescent="0.3">
      <c r="A15504" s="12"/>
    </row>
    <row r="15505" spans="1:1" x14ac:dyDescent="0.3">
      <c r="A15505" s="12"/>
    </row>
    <row r="15506" spans="1:1" x14ac:dyDescent="0.3">
      <c r="A15506" s="12"/>
    </row>
    <row r="15507" spans="1:1" x14ac:dyDescent="0.3">
      <c r="A15507" s="12"/>
    </row>
    <row r="15508" spans="1:1" x14ac:dyDescent="0.3">
      <c r="A15508" s="12"/>
    </row>
    <row r="15509" spans="1:1" x14ac:dyDescent="0.3">
      <c r="A15509" s="12"/>
    </row>
    <row r="15510" spans="1:1" x14ac:dyDescent="0.3">
      <c r="A15510" s="12"/>
    </row>
    <row r="15511" spans="1:1" x14ac:dyDescent="0.3">
      <c r="A15511" s="12"/>
    </row>
    <row r="15512" spans="1:1" x14ac:dyDescent="0.3">
      <c r="A15512" s="12"/>
    </row>
    <row r="15513" spans="1:1" x14ac:dyDescent="0.3">
      <c r="A15513" s="12"/>
    </row>
    <row r="15514" spans="1:1" x14ac:dyDescent="0.3">
      <c r="A15514" s="12"/>
    </row>
    <row r="15515" spans="1:1" x14ac:dyDescent="0.3">
      <c r="A15515" s="12"/>
    </row>
    <row r="15516" spans="1:1" x14ac:dyDescent="0.3">
      <c r="A15516" s="12"/>
    </row>
    <row r="15517" spans="1:1" x14ac:dyDescent="0.3">
      <c r="A15517" s="12"/>
    </row>
    <row r="15518" spans="1:1" x14ac:dyDescent="0.3">
      <c r="A15518" s="12"/>
    </row>
    <row r="15519" spans="1:1" x14ac:dyDescent="0.3">
      <c r="A15519" s="12"/>
    </row>
    <row r="15520" spans="1:1" x14ac:dyDescent="0.3">
      <c r="A15520" s="12"/>
    </row>
    <row r="15521" spans="1:1" x14ac:dyDescent="0.3">
      <c r="A15521" s="12"/>
    </row>
    <row r="15522" spans="1:1" x14ac:dyDescent="0.3">
      <c r="A15522" s="12"/>
    </row>
    <row r="15523" spans="1:1" x14ac:dyDescent="0.3">
      <c r="A15523" s="12"/>
    </row>
    <row r="15524" spans="1:1" x14ac:dyDescent="0.3">
      <c r="A15524" s="12"/>
    </row>
    <row r="15525" spans="1:1" x14ac:dyDescent="0.3">
      <c r="A15525" s="12"/>
    </row>
    <row r="15526" spans="1:1" x14ac:dyDescent="0.3">
      <c r="A15526" s="12"/>
    </row>
    <row r="15527" spans="1:1" x14ac:dyDescent="0.3">
      <c r="A15527" s="12"/>
    </row>
    <row r="15528" spans="1:1" x14ac:dyDescent="0.3">
      <c r="A15528" s="12"/>
    </row>
    <row r="15529" spans="1:1" x14ac:dyDescent="0.3">
      <c r="A15529" s="12"/>
    </row>
    <row r="15530" spans="1:1" x14ac:dyDescent="0.3">
      <c r="A15530" s="12"/>
    </row>
    <row r="15531" spans="1:1" x14ac:dyDescent="0.3">
      <c r="A15531" s="12"/>
    </row>
    <row r="15532" spans="1:1" x14ac:dyDescent="0.3">
      <c r="A15532" s="12"/>
    </row>
    <row r="15533" spans="1:1" x14ac:dyDescent="0.3">
      <c r="A15533" s="12"/>
    </row>
    <row r="15534" spans="1:1" x14ac:dyDescent="0.3">
      <c r="A15534" s="12"/>
    </row>
    <row r="15535" spans="1:1" x14ac:dyDescent="0.3">
      <c r="A15535" s="12"/>
    </row>
    <row r="15536" spans="1:1" x14ac:dyDescent="0.3">
      <c r="A15536" s="12"/>
    </row>
    <row r="15537" spans="1:1" x14ac:dyDescent="0.3">
      <c r="A15537" s="12"/>
    </row>
    <row r="15538" spans="1:1" x14ac:dyDescent="0.3">
      <c r="A15538" s="12"/>
    </row>
    <row r="15539" spans="1:1" x14ac:dyDescent="0.3">
      <c r="A15539" s="12"/>
    </row>
    <row r="15540" spans="1:1" x14ac:dyDescent="0.3">
      <c r="A15540" s="12"/>
    </row>
    <row r="15541" spans="1:1" x14ac:dyDescent="0.3">
      <c r="A15541" s="12"/>
    </row>
    <row r="15542" spans="1:1" x14ac:dyDescent="0.3">
      <c r="A15542" s="12"/>
    </row>
    <row r="15543" spans="1:1" x14ac:dyDescent="0.3">
      <c r="A15543" s="12"/>
    </row>
    <row r="15544" spans="1:1" x14ac:dyDescent="0.3">
      <c r="A15544" s="12"/>
    </row>
    <row r="15545" spans="1:1" x14ac:dyDescent="0.3">
      <c r="A15545" s="12"/>
    </row>
    <row r="15546" spans="1:1" x14ac:dyDescent="0.3">
      <c r="A15546" s="12"/>
    </row>
    <row r="15547" spans="1:1" x14ac:dyDescent="0.3">
      <c r="A15547" s="12"/>
    </row>
    <row r="15548" spans="1:1" x14ac:dyDescent="0.3">
      <c r="A15548" s="12"/>
    </row>
    <row r="15549" spans="1:1" x14ac:dyDescent="0.3">
      <c r="A15549" s="12"/>
    </row>
    <row r="15550" spans="1:1" x14ac:dyDescent="0.3">
      <c r="A15550" s="12"/>
    </row>
    <row r="15551" spans="1:1" x14ac:dyDescent="0.3">
      <c r="A15551" s="12"/>
    </row>
    <row r="15552" spans="1:1" x14ac:dyDescent="0.3">
      <c r="A15552" s="12"/>
    </row>
    <row r="15553" spans="1:1" x14ac:dyDescent="0.3">
      <c r="A15553" s="12"/>
    </row>
    <row r="15554" spans="1:1" x14ac:dyDescent="0.3">
      <c r="A15554" s="12"/>
    </row>
    <row r="15555" spans="1:1" x14ac:dyDescent="0.3">
      <c r="A15555" s="12"/>
    </row>
    <row r="15556" spans="1:1" x14ac:dyDescent="0.3">
      <c r="A15556" s="12"/>
    </row>
    <row r="15557" spans="1:1" x14ac:dyDescent="0.3">
      <c r="A15557" s="12"/>
    </row>
    <row r="15558" spans="1:1" x14ac:dyDescent="0.3">
      <c r="A15558" s="12"/>
    </row>
    <row r="15559" spans="1:1" x14ac:dyDescent="0.3">
      <c r="A15559" s="12"/>
    </row>
    <row r="15560" spans="1:1" x14ac:dyDescent="0.3">
      <c r="A15560" s="12"/>
    </row>
    <row r="15561" spans="1:1" x14ac:dyDescent="0.3">
      <c r="A15561" s="12"/>
    </row>
    <row r="15562" spans="1:1" x14ac:dyDescent="0.3">
      <c r="A15562" s="12"/>
    </row>
    <row r="15563" spans="1:1" x14ac:dyDescent="0.3">
      <c r="A15563" s="12"/>
    </row>
    <row r="15564" spans="1:1" x14ac:dyDescent="0.3">
      <c r="A15564" s="12"/>
    </row>
    <row r="15565" spans="1:1" x14ac:dyDescent="0.3">
      <c r="A15565" s="12"/>
    </row>
    <row r="15566" spans="1:1" x14ac:dyDescent="0.3">
      <c r="A15566" s="12"/>
    </row>
    <row r="15567" spans="1:1" x14ac:dyDescent="0.3">
      <c r="A15567" s="12"/>
    </row>
    <row r="15568" spans="1:1" x14ac:dyDescent="0.3">
      <c r="A15568" s="12"/>
    </row>
    <row r="15569" spans="1:1" x14ac:dyDescent="0.3">
      <c r="A15569" s="12"/>
    </row>
    <row r="15570" spans="1:1" x14ac:dyDescent="0.3">
      <c r="A15570" s="12"/>
    </row>
    <row r="15571" spans="1:1" x14ac:dyDescent="0.3">
      <c r="A15571" s="12"/>
    </row>
    <row r="15572" spans="1:1" x14ac:dyDescent="0.3">
      <c r="A15572" s="12"/>
    </row>
    <row r="15573" spans="1:1" x14ac:dyDescent="0.3">
      <c r="A15573" s="12"/>
    </row>
    <row r="15574" spans="1:1" x14ac:dyDescent="0.3">
      <c r="A15574" s="12"/>
    </row>
    <row r="15575" spans="1:1" x14ac:dyDescent="0.3">
      <c r="A15575" s="12"/>
    </row>
    <row r="15576" spans="1:1" x14ac:dyDescent="0.3">
      <c r="A15576" s="12"/>
    </row>
    <row r="15577" spans="1:1" x14ac:dyDescent="0.3">
      <c r="A15577" s="12"/>
    </row>
    <row r="15578" spans="1:1" x14ac:dyDescent="0.3">
      <c r="A15578" s="12"/>
    </row>
    <row r="15579" spans="1:1" x14ac:dyDescent="0.3">
      <c r="A15579" s="12"/>
    </row>
    <row r="15580" spans="1:1" x14ac:dyDescent="0.3">
      <c r="A15580" s="12"/>
    </row>
    <row r="15581" spans="1:1" x14ac:dyDescent="0.3">
      <c r="A15581" s="12"/>
    </row>
    <row r="15582" spans="1:1" x14ac:dyDescent="0.3">
      <c r="A15582" s="12"/>
    </row>
    <row r="15583" spans="1:1" x14ac:dyDescent="0.3">
      <c r="A15583" s="12"/>
    </row>
    <row r="15584" spans="1:1" x14ac:dyDescent="0.3">
      <c r="A15584" s="12"/>
    </row>
    <row r="15585" spans="1:1" x14ac:dyDescent="0.3">
      <c r="A15585" s="12"/>
    </row>
    <row r="15586" spans="1:1" x14ac:dyDescent="0.3">
      <c r="A15586" s="12"/>
    </row>
    <row r="15587" spans="1:1" x14ac:dyDescent="0.3">
      <c r="A15587" s="12"/>
    </row>
    <row r="15588" spans="1:1" x14ac:dyDescent="0.3">
      <c r="A15588" s="12"/>
    </row>
    <row r="15589" spans="1:1" x14ac:dyDescent="0.3">
      <c r="A15589" s="12"/>
    </row>
    <row r="15590" spans="1:1" x14ac:dyDescent="0.3">
      <c r="A15590" s="12"/>
    </row>
    <row r="15591" spans="1:1" x14ac:dyDescent="0.3">
      <c r="A15591" s="12"/>
    </row>
    <row r="15592" spans="1:1" x14ac:dyDescent="0.3">
      <c r="A15592" s="12"/>
    </row>
    <row r="15593" spans="1:1" x14ac:dyDescent="0.3">
      <c r="A15593" s="12"/>
    </row>
    <row r="15594" spans="1:1" x14ac:dyDescent="0.3">
      <c r="A15594" s="12"/>
    </row>
    <row r="15595" spans="1:1" x14ac:dyDescent="0.3">
      <c r="A15595" s="12"/>
    </row>
    <row r="15596" spans="1:1" x14ac:dyDescent="0.3">
      <c r="A15596" s="12"/>
    </row>
    <row r="15597" spans="1:1" x14ac:dyDescent="0.3">
      <c r="A15597" s="12"/>
    </row>
    <row r="15598" spans="1:1" x14ac:dyDescent="0.3">
      <c r="A15598" s="12"/>
    </row>
    <row r="15599" spans="1:1" x14ac:dyDescent="0.3">
      <c r="A15599" s="12"/>
    </row>
    <row r="15600" spans="1:1" x14ac:dyDescent="0.3">
      <c r="A15600" s="12"/>
    </row>
    <row r="15601" spans="1:1" x14ac:dyDescent="0.3">
      <c r="A15601" s="12"/>
    </row>
    <row r="15602" spans="1:1" x14ac:dyDescent="0.3">
      <c r="A15602" s="12"/>
    </row>
    <row r="15603" spans="1:1" x14ac:dyDescent="0.3">
      <c r="A15603" s="12"/>
    </row>
    <row r="15604" spans="1:1" x14ac:dyDescent="0.3">
      <c r="A15604" s="12"/>
    </row>
    <row r="15605" spans="1:1" x14ac:dyDescent="0.3">
      <c r="A15605" s="12"/>
    </row>
    <row r="15606" spans="1:1" x14ac:dyDescent="0.3">
      <c r="A15606" s="12"/>
    </row>
    <row r="15607" spans="1:1" x14ac:dyDescent="0.3">
      <c r="A15607" s="12"/>
    </row>
    <row r="15608" spans="1:1" x14ac:dyDescent="0.3">
      <c r="A15608" s="12"/>
    </row>
    <row r="15609" spans="1:1" x14ac:dyDescent="0.3">
      <c r="A15609" s="12"/>
    </row>
    <row r="15610" spans="1:1" x14ac:dyDescent="0.3">
      <c r="A15610" s="12"/>
    </row>
    <row r="15611" spans="1:1" x14ac:dyDescent="0.3">
      <c r="A15611" s="12"/>
    </row>
    <row r="15612" spans="1:1" x14ac:dyDescent="0.3">
      <c r="A15612" s="12"/>
    </row>
    <row r="15613" spans="1:1" x14ac:dyDescent="0.3">
      <c r="A15613" s="12"/>
    </row>
    <row r="15614" spans="1:1" x14ac:dyDescent="0.3">
      <c r="A15614" s="12"/>
    </row>
    <row r="15615" spans="1:1" x14ac:dyDescent="0.3">
      <c r="A15615" s="12"/>
    </row>
    <row r="15616" spans="1:1" x14ac:dyDescent="0.3">
      <c r="A15616" s="12"/>
    </row>
    <row r="15617" spans="1:1" x14ac:dyDescent="0.3">
      <c r="A15617" s="12"/>
    </row>
    <row r="15618" spans="1:1" x14ac:dyDescent="0.3">
      <c r="A15618" s="12"/>
    </row>
    <row r="15619" spans="1:1" x14ac:dyDescent="0.3">
      <c r="A15619" s="12"/>
    </row>
    <row r="15620" spans="1:1" x14ac:dyDescent="0.3">
      <c r="A15620" s="12"/>
    </row>
    <row r="15621" spans="1:1" x14ac:dyDescent="0.3">
      <c r="A15621" s="12"/>
    </row>
    <row r="15622" spans="1:1" x14ac:dyDescent="0.3">
      <c r="A15622" s="12"/>
    </row>
    <row r="15623" spans="1:1" x14ac:dyDescent="0.3">
      <c r="A15623" s="12"/>
    </row>
    <row r="15624" spans="1:1" x14ac:dyDescent="0.3">
      <c r="A15624" s="12"/>
    </row>
    <row r="15625" spans="1:1" x14ac:dyDescent="0.3">
      <c r="A15625" s="12"/>
    </row>
    <row r="15626" spans="1:1" x14ac:dyDescent="0.3">
      <c r="A15626" s="12"/>
    </row>
    <row r="15627" spans="1:1" x14ac:dyDescent="0.3">
      <c r="A15627" s="12"/>
    </row>
    <row r="15628" spans="1:1" x14ac:dyDescent="0.3">
      <c r="A15628" s="12"/>
    </row>
    <row r="15629" spans="1:1" x14ac:dyDescent="0.3">
      <c r="A15629" s="12"/>
    </row>
    <row r="15630" spans="1:1" x14ac:dyDescent="0.3">
      <c r="A15630" s="12"/>
    </row>
    <row r="15631" spans="1:1" x14ac:dyDescent="0.3">
      <c r="A15631" s="12"/>
    </row>
    <row r="15632" spans="1:1" x14ac:dyDescent="0.3">
      <c r="A15632" s="12"/>
    </row>
    <row r="15633" spans="1:1" x14ac:dyDescent="0.3">
      <c r="A15633" s="12"/>
    </row>
    <row r="15634" spans="1:1" x14ac:dyDescent="0.3">
      <c r="A15634" s="12"/>
    </row>
    <row r="15635" spans="1:1" x14ac:dyDescent="0.3">
      <c r="A15635" s="12"/>
    </row>
    <row r="15636" spans="1:1" x14ac:dyDescent="0.3">
      <c r="A15636" s="12"/>
    </row>
    <row r="15637" spans="1:1" x14ac:dyDescent="0.3">
      <c r="A15637" s="12"/>
    </row>
    <row r="15638" spans="1:1" x14ac:dyDescent="0.3">
      <c r="A15638" s="12"/>
    </row>
    <row r="15639" spans="1:1" x14ac:dyDescent="0.3">
      <c r="A15639" s="12"/>
    </row>
    <row r="15640" spans="1:1" x14ac:dyDescent="0.3">
      <c r="A15640" s="12"/>
    </row>
    <row r="15641" spans="1:1" x14ac:dyDescent="0.3">
      <c r="A15641" s="12"/>
    </row>
    <row r="15642" spans="1:1" x14ac:dyDescent="0.3">
      <c r="A15642" s="12"/>
    </row>
    <row r="15643" spans="1:1" x14ac:dyDescent="0.3">
      <c r="A15643" s="12"/>
    </row>
    <row r="15644" spans="1:1" x14ac:dyDescent="0.3">
      <c r="A15644" s="12"/>
    </row>
    <row r="15645" spans="1:1" x14ac:dyDescent="0.3">
      <c r="A15645" s="12"/>
    </row>
    <row r="15646" spans="1:1" x14ac:dyDescent="0.3">
      <c r="A15646" s="12"/>
    </row>
    <row r="15647" spans="1:1" x14ac:dyDescent="0.3">
      <c r="A15647" s="12"/>
    </row>
    <row r="15648" spans="1:1" x14ac:dyDescent="0.3">
      <c r="A15648" s="12"/>
    </row>
    <row r="15649" spans="1:1" x14ac:dyDescent="0.3">
      <c r="A15649" s="12"/>
    </row>
    <row r="15650" spans="1:1" x14ac:dyDescent="0.3">
      <c r="A15650" s="12"/>
    </row>
    <row r="15651" spans="1:1" x14ac:dyDescent="0.3">
      <c r="A15651" s="12"/>
    </row>
    <row r="15652" spans="1:1" x14ac:dyDescent="0.3">
      <c r="A15652" s="12"/>
    </row>
    <row r="15653" spans="1:1" x14ac:dyDescent="0.3">
      <c r="A15653" s="12"/>
    </row>
    <row r="15654" spans="1:1" x14ac:dyDescent="0.3">
      <c r="A15654" s="12"/>
    </row>
    <row r="15655" spans="1:1" x14ac:dyDescent="0.3">
      <c r="A15655" s="12"/>
    </row>
    <row r="15656" spans="1:1" x14ac:dyDescent="0.3">
      <c r="A15656" s="12"/>
    </row>
    <row r="15657" spans="1:1" x14ac:dyDescent="0.3">
      <c r="A15657" s="12"/>
    </row>
    <row r="15658" spans="1:1" x14ac:dyDescent="0.3">
      <c r="A15658" s="12"/>
    </row>
    <row r="15659" spans="1:1" x14ac:dyDescent="0.3">
      <c r="A15659" s="12"/>
    </row>
    <row r="15660" spans="1:1" x14ac:dyDescent="0.3">
      <c r="A15660" s="12"/>
    </row>
    <row r="15661" spans="1:1" x14ac:dyDescent="0.3">
      <c r="A15661" s="12"/>
    </row>
    <row r="15662" spans="1:1" x14ac:dyDescent="0.3">
      <c r="A15662" s="12"/>
    </row>
    <row r="15663" spans="1:1" x14ac:dyDescent="0.3">
      <c r="A15663" s="12"/>
    </row>
    <row r="15664" spans="1:1" x14ac:dyDescent="0.3">
      <c r="A15664" s="12"/>
    </row>
    <row r="15665" spans="1:1" x14ac:dyDescent="0.3">
      <c r="A15665" s="12"/>
    </row>
    <row r="15666" spans="1:1" x14ac:dyDescent="0.3">
      <c r="A15666" s="12"/>
    </row>
    <row r="15667" spans="1:1" x14ac:dyDescent="0.3">
      <c r="A15667" s="12"/>
    </row>
    <row r="15668" spans="1:1" x14ac:dyDescent="0.3">
      <c r="A15668" s="12"/>
    </row>
    <row r="15669" spans="1:1" x14ac:dyDescent="0.3">
      <c r="A15669" s="12"/>
    </row>
    <row r="15670" spans="1:1" x14ac:dyDescent="0.3">
      <c r="A15670" s="12"/>
    </row>
    <row r="15671" spans="1:1" x14ac:dyDescent="0.3">
      <c r="A15671" s="12"/>
    </row>
    <row r="15672" spans="1:1" x14ac:dyDescent="0.3">
      <c r="A15672" s="12"/>
    </row>
    <row r="15673" spans="1:1" x14ac:dyDescent="0.3">
      <c r="A15673" s="12"/>
    </row>
    <row r="15674" spans="1:1" x14ac:dyDescent="0.3">
      <c r="A15674" s="12"/>
    </row>
    <row r="15675" spans="1:1" x14ac:dyDescent="0.3">
      <c r="A15675" s="12"/>
    </row>
    <row r="15676" spans="1:1" x14ac:dyDescent="0.3">
      <c r="A15676" s="12"/>
    </row>
    <row r="15677" spans="1:1" x14ac:dyDescent="0.3">
      <c r="A15677" s="12"/>
    </row>
    <row r="15678" spans="1:1" x14ac:dyDescent="0.3">
      <c r="A15678" s="12"/>
    </row>
    <row r="15679" spans="1:1" x14ac:dyDescent="0.3">
      <c r="A15679" s="12"/>
    </row>
    <row r="15680" spans="1:1" x14ac:dyDescent="0.3">
      <c r="A15680" s="12"/>
    </row>
    <row r="15681" spans="1:1" x14ac:dyDescent="0.3">
      <c r="A15681" s="12"/>
    </row>
    <row r="15682" spans="1:1" x14ac:dyDescent="0.3">
      <c r="A15682" s="12"/>
    </row>
    <row r="15683" spans="1:1" x14ac:dyDescent="0.3">
      <c r="A15683" s="12"/>
    </row>
    <row r="15684" spans="1:1" x14ac:dyDescent="0.3">
      <c r="A15684" s="12"/>
    </row>
    <row r="15685" spans="1:1" x14ac:dyDescent="0.3">
      <c r="A15685" s="12"/>
    </row>
    <row r="15686" spans="1:1" x14ac:dyDescent="0.3">
      <c r="A15686" s="12"/>
    </row>
    <row r="15687" spans="1:1" x14ac:dyDescent="0.3">
      <c r="A15687" s="12"/>
    </row>
    <row r="15688" spans="1:1" x14ac:dyDescent="0.3">
      <c r="A15688" s="12"/>
    </row>
    <row r="15689" spans="1:1" x14ac:dyDescent="0.3">
      <c r="A15689" s="12"/>
    </row>
    <row r="15690" spans="1:1" x14ac:dyDescent="0.3">
      <c r="A15690" s="12"/>
    </row>
    <row r="15691" spans="1:1" x14ac:dyDescent="0.3">
      <c r="A15691" s="12"/>
    </row>
    <row r="15692" spans="1:1" x14ac:dyDescent="0.3">
      <c r="A15692" s="12"/>
    </row>
    <row r="15693" spans="1:1" x14ac:dyDescent="0.3">
      <c r="A15693" s="12"/>
    </row>
    <row r="15694" spans="1:1" x14ac:dyDescent="0.3">
      <c r="A15694" s="12"/>
    </row>
    <row r="15695" spans="1:1" x14ac:dyDescent="0.3">
      <c r="A15695" s="12"/>
    </row>
    <row r="15696" spans="1:1" x14ac:dyDescent="0.3">
      <c r="A15696" s="12"/>
    </row>
    <row r="15697" spans="1:1" x14ac:dyDescent="0.3">
      <c r="A15697" s="12"/>
    </row>
    <row r="15698" spans="1:1" x14ac:dyDescent="0.3">
      <c r="A15698" s="12"/>
    </row>
    <row r="15699" spans="1:1" x14ac:dyDescent="0.3">
      <c r="A15699" s="12"/>
    </row>
    <row r="15700" spans="1:1" x14ac:dyDescent="0.3">
      <c r="A15700" s="12"/>
    </row>
    <row r="15701" spans="1:1" x14ac:dyDescent="0.3">
      <c r="A15701" s="12"/>
    </row>
    <row r="15702" spans="1:1" x14ac:dyDescent="0.3">
      <c r="A15702" s="12"/>
    </row>
    <row r="15703" spans="1:1" x14ac:dyDescent="0.3">
      <c r="A15703" s="12"/>
    </row>
    <row r="15704" spans="1:1" x14ac:dyDescent="0.3">
      <c r="A15704" s="12"/>
    </row>
    <row r="15705" spans="1:1" x14ac:dyDescent="0.3">
      <c r="A15705" s="12"/>
    </row>
    <row r="15706" spans="1:1" x14ac:dyDescent="0.3">
      <c r="A15706" s="12"/>
    </row>
    <row r="15707" spans="1:1" x14ac:dyDescent="0.3">
      <c r="A15707" s="12"/>
    </row>
    <row r="15708" spans="1:1" x14ac:dyDescent="0.3">
      <c r="A15708" s="12"/>
    </row>
    <row r="15709" spans="1:1" x14ac:dyDescent="0.3">
      <c r="A15709" s="12"/>
    </row>
    <row r="15710" spans="1:1" x14ac:dyDescent="0.3">
      <c r="A15710" s="12"/>
    </row>
    <row r="15711" spans="1:1" x14ac:dyDescent="0.3">
      <c r="A15711" s="12"/>
    </row>
    <row r="15712" spans="1:1" x14ac:dyDescent="0.3">
      <c r="A15712" s="12"/>
    </row>
    <row r="15713" spans="1:1" x14ac:dyDescent="0.3">
      <c r="A15713" s="12"/>
    </row>
    <row r="15714" spans="1:1" x14ac:dyDescent="0.3">
      <c r="A15714" s="12"/>
    </row>
    <row r="15715" spans="1:1" x14ac:dyDescent="0.3">
      <c r="A15715" s="12"/>
    </row>
    <row r="15716" spans="1:1" x14ac:dyDescent="0.3">
      <c r="A15716" s="12"/>
    </row>
    <row r="15717" spans="1:1" x14ac:dyDescent="0.3">
      <c r="A15717" s="12"/>
    </row>
    <row r="15718" spans="1:1" x14ac:dyDescent="0.3">
      <c r="A15718" s="12"/>
    </row>
    <row r="15719" spans="1:1" x14ac:dyDescent="0.3">
      <c r="A15719" s="12"/>
    </row>
    <row r="15720" spans="1:1" x14ac:dyDescent="0.3">
      <c r="A15720" s="12"/>
    </row>
    <row r="15721" spans="1:1" x14ac:dyDescent="0.3">
      <c r="A15721" s="12"/>
    </row>
    <row r="15722" spans="1:1" x14ac:dyDescent="0.3">
      <c r="A15722" s="12"/>
    </row>
    <row r="15723" spans="1:1" x14ac:dyDescent="0.3">
      <c r="A15723" s="12"/>
    </row>
    <row r="15724" spans="1:1" x14ac:dyDescent="0.3">
      <c r="A15724" s="12"/>
    </row>
    <row r="15725" spans="1:1" x14ac:dyDescent="0.3">
      <c r="A15725" s="12"/>
    </row>
    <row r="15726" spans="1:1" x14ac:dyDescent="0.3">
      <c r="A15726" s="12"/>
    </row>
    <row r="15727" spans="1:1" x14ac:dyDescent="0.3">
      <c r="A15727" s="12"/>
    </row>
    <row r="15728" spans="1:1" x14ac:dyDescent="0.3">
      <c r="A15728" s="12"/>
    </row>
    <row r="15729" spans="1:1" x14ac:dyDescent="0.3">
      <c r="A15729" s="12"/>
    </row>
    <row r="15730" spans="1:1" x14ac:dyDescent="0.3">
      <c r="A15730" s="12"/>
    </row>
    <row r="15731" spans="1:1" x14ac:dyDescent="0.3">
      <c r="A15731" s="12"/>
    </row>
    <row r="15732" spans="1:1" x14ac:dyDescent="0.3">
      <c r="A15732" s="12"/>
    </row>
    <row r="15733" spans="1:1" x14ac:dyDescent="0.3">
      <c r="A15733" s="12"/>
    </row>
    <row r="15734" spans="1:1" x14ac:dyDescent="0.3">
      <c r="A15734" s="12"/>
    </row>
    <row r="15735" spans="1:1" x14ac:dyDescent="0.3">
      <c r="A15735" s="12"/>
    </row>
    <row r="15736" spans="1:1" x14ac:dyDescent="0.3">
      <c r="A15736" s="12"/>
    </row>
    <row r="15737" spans="1:1" x14ac:dyDescent="0.3">
      <c r="A15737" s="12"/>
    </row>
    <row r="15738" spans="1:1" x14ac:dyDescent="0.3">
      <c r="A15738" s="12"/>
    </row>
    <row r="15739" spans="1:1" x14ac:dyDescent="0.3">
      <c r="A15739" s="12"/>
    </row>
    <row r="15740" spans="1:1" x14ac:dyDescent="0.3">
      <c r="A15740" s="12"/>
    </row>
    <row r="15741" spans="1:1" x14ac:dyDescent="0.3">
      <c r="A15741" s="12"/>
    </row>
    <row r="15742" spans="1:1" x14ac:dyDescent="0.3">
      <c r="A15742" s="12"/>
    </row>
    <row r="15743" spans="1:1" x14ac:dyDescent="0.3">
      <c r="A15743" s="12"/>
    </row>
    <row r="15744" spans="1:1" x14ac:dyDescent="0.3">
      <c r="A15744" s="12"/>
    </row>
    <row r="15745" spans="1:1" x14ac:dyDescent="0.3">
      <c r="A15745" s="12"/>
    </row>
    <row r="15746" spans="1:1" x14ac:dyDescent="0.3">
      <c r="A15746" s="12"/>
    </row>
    <row r="15747" spans="1:1" x14ac:dyDescent="0.3">
      <c r="A15747" s="12"/>
    </row>
    <row r="15748" spans="1:1" x14ac:dyDescent="0.3">
      <c r="A15748" s="12"/>
    </row>
    <row r="15749" spans="1:1" x14ac:dyDescent="0.3">
      <c r="A15749" s="12"/>
    </row>
    <row r="15750" spans="1:1" x14ac:dyDescent="0.3">
      <c r="A15750" s="12"/>
    </row>
    <row r="15751" spans="1:1" x14ac:dyDescent="0.3">
      <c r="A15751" s="12"/>
    </row>
    <row r="15752" spans="1:1" x14ac:dyDescent="0.3">
      <c r="A15752" s="12"/>
    </row>
    <row r="15753" spans="1:1" x14ac:dyDescent="0.3">
      <c r="A15753" s="12"/>
    </row>
    <row r="15754" spans="1:1" x14ac:dyDescent="0.3">
      <c r="A15754" s="12"/>
    </row>
    <row r="15755" spans="1:1" x14ac:dyDescent="0.3">
      <c r="A15755" s="12"/>
    </row>
    <row r="15756" spans="1:1" x14ac:dyDescent="0.3">
      <c r="A15756" s="12"/>
    </row>
    <row r="15757" spans="1:1" x14ac:dyDescent="0.3">
      <c r="A15757" s="12"/>
    </row>
    <row r="15758" spans="1:1" x14ac:dyDescent="0.3">
      <c r="A15758" s="12"/>
    </row>
    <row r="15759" spans="1:1" x14ac:dyDescent="0.3">
      <c r="A15759" s="12"/>
    </row>
    <row r="15760" spans="1:1" x14ac:dyDescent="0.3">
      <c r="A15760" s="12"/>
    </row>
    <row r="15761" spans="1:1" x14ac:dyDescent="0.3">
      <c r="A15761" s="12"/>
    </row>
    <row r="15762" spans="1:1" x14ac:dyDescent="0.3">
      <c r="A15762" s="12"/>
    </row>
    <row r="15763" spans="1:1" x14ac:dyDescent="0.3">
      <c r="A15763" s="12"/>
    </row>
    <row r="15764" spans="1:1" x14ac:dyDescent="0.3">
      <c r="A15764" s="12"/>
    </row>
    <row r="15765" spans="1:1" x14ac:dyDescent="0.3">
      <c r="A15765" s="12"/>
    </row>
    <row r="15766" spans="1:1" x14ac:dyDescent="0.3">
      <c r="A15766" s="12"/>
    </row>
    <row r="15767" spans="1:1" x14ac:dyDescent="0.3">
      <c r="A15767" s="12"/>
    </row>
    <row r="15768" spans="1:1" x14ac:dyDescent="0.3">
      <c r="A15768" s="12"/>
    </row>
    <row r="15769" spans="1:1" x14ac:dyDescent="0.3">
      <c r="A15769" s="12"/>
    </row>
    <row r="15770" spans="1:1" x14ac:dyDescent="0.3">
      <c r="A15770" s="12"/>
    </row>
    <row r="15771" spans="1:1" x14ac:dyDescent="0.3">
      <c r="A15771" s="12"/>
    </row>
    <row r="15772" spans="1:1" x14ac:dyDescent="0.3">
      <c r="A15772" s="12"/>
    </row>
    <row r="15773" spans="1:1" x14ac:dyDescent="0.3">
      <c r="A15773" s="12"/>
    </row>
    <row r="15774" spans="1:1" x14ac:dyDescent="0.3">
      <c r="A15774" s="12"/>
    </row>
    <row r="15775" spans="1:1" x14ac:dyDescent="0.3">
      <c r="A15775" s="12"/>
    </row>
    <row r="15776" spans="1:1" x14ac:dyDescent="0.3">
      <c r="A15776" s="12"/>
    </row>
    <row r="15777" spans="1:1" x14ac:dyDescent="0.3">
      <c r="A15777" s="12"/>
    </row>
    <row r="15778" spans="1:1" x14ac:dyDescent="0.3">
      <c r="A15778" s="12"/>
    </row>
    <row r="15779" spans="1:1" x14ac:dyDescent="0.3">
      <c r="A15779" s="12"/>
    </row>
    <row r="15780" spans="1:1" x14ac:dyDescent="0.3">
      <c r="A15780" s="12"/>
    </row>
    <row r="15781" spans="1:1" x14ac:dyDescent="0.3">
      <c r="A15781" s="12"/>
    </row>
    <row r="15782" spans="1:1" x14ac:dyDescent="0.3">
      <c r="A15782" s="12"/>
    </row>
    <row r="15783" spans="1:1" x14ac:dyDescent="0.3">
      <c r="A15783" s="12"/>
    </row>
    <row r="15784" spans="1:1" x14ac:dyDescent="0.3">
      <c r="A15784" s="12"/>
    </row>
    <row r="15785" spans="1:1" x14ac:dyDescent="0.3">
      <c r="A15785" s="12"/>
    </row>
    <row r="15786" spans="1:1" x14ac:dyDescent="0.3">
      <c r="A15786" s="12"/>
    </row>
    <row r="15787" spans="1:1" x14ac:dyDescent="0.3">
      <c r="A15787" s="12"/>
    </row>
    <row r="15788" spans="1:1" x14ac:dyDescent="0.3">
      <c r="A15788" s="12"/>
    </row>
    <row r="15789" spans="1:1" x14ac:dyDescent="0.3">
      <c r="A15789" s="12"/>
    </row>
    <row r="15790" spans="1:1" x14ac:dyDescent="0.3">
      <c r="A15790" s="12"/>
    </row>
    <row r="15791" spans="1:1" x14ac:dyDescent="0.3">
      <c r="A15791" s="12"/>
    </row>
    <row r="15792" spans="1:1" x14ac:dyDescent="0.3">
      <c r="A15792" s="12"/>
    </row>
    <row r="15793" spans="1:1" x14ac:dyDescent="0.3">
      <c r="A15793" s="12"/>
    </row>
    <row r="15794" spans="1:1" x14ac:dyDescent="0.3">
      <c r="A15794" s="12"/>
    </row>
    <row r="15795" spans="1:1" x14ac:dyDescent="0.3">
      <c r="A15795" s="12"/>
    </row>
    <row r="15796" spans="1:1" x14ac:dyDescent="0.3">
      <c r="A15796" s="12"/>
    </row>
    <row r="15797" spans="1:1" x14ac:dyDescent="0.3">
      <c r="A15797" s="12"/>
    </row>
    <row r="15798" spans="1:1" x14ac:dyDescent="0.3">
      <c r="A15798" s="12"/>
    </row>
    <row r="15799" spans="1:1" x14ac:dyDescent="0.3">
      <c r="A15799" s="12"/>
    </row>
    <row r="15800" spans="1:1" x14ac:dyDescent="0.3">
      <c r="A15800" s="12"/>
    </row>
    <row r="15801" spans="1:1" x14ac:dyDescent="0.3">
      <c r="A15801" s="12"/>
    </row>
    <row r="15802" spans="1:1" x14ac:dyDescent="0.3">
      <c r="A15802" s="12"/>
    </row>
    <row r="15803" spans="1:1" x14ac:dyDescent="0.3">
      <c r="A15803" s="12"/>
    </row>
    <row r="15804" spans="1:1" x14ac:dyDescent="0.3">
      <c r="A15804" s="12"/>
    </row>
    <row r="15805" spans="1:1" x14ac:dyDescent="0.3">
      <c r="A15805" s="12"/>
    </row>
    <row r="15806" spans="1:1" x14ac:dyDescent="0.3">
      <c r="A15806" s="12"/>
    </row>
    <row r="15807" spans="1:1" x14ac:dyDescent="0.3">
      <c r="A15807" s="12"/>
    </row>
    <row r="15808" spans="1:1" x14ac:dyDescent="0.3">
      <c r="A15808" s="12"/>
    </row>
    <row r="15809" spans="1:1" x14ac:dyDescent="0.3">
      <c r="A15809" s="12"/>
    </row>
    <row r="15810" spans="1:1" x14ac:dyDescent="0.3">
      <c r="A15810" s="12"/>
    </row>
    <row r="15811" spans="1:1" x14ac:dyDescent="0.3">
      <c r="A15811" s="12"/>
    </row>
    <row r="15812" spans="1:1" x14ac:dyDescent="0.3">
      <c r="A15812" s="12"/>
    </row>
    <row r="15813" spans="1:1" x14ac:dyDescent="0.3">
      <c r="A15813" s="12"/>
    </row>
    <row r="15814" spans="1:1" x14ac:dyDescent="0.3">
      <c r="A15814" s="12"/>
    </row>
    <row r="15815" spans="1:1" x14ac:dyDescent="0.3">
      <c r="A15815" s="12"/>
    </row>
    <row r="15816" spans="1:1" x14ac:dyDescent="0.3">
      <c r="A15816" s="12"/>
    </row>
    <row r="15817" spans="1:1" x14ac:dyDescent="0.3">
      <c r="A15817" s="12"/>
    </row>
    <row r="15818" spans="1:1" x14ac:dyDescent="0.3">
      <c r="A15818" s="12"/>
    </row>
    <row r="15819" spans="1:1" x14ac:dyDescent="0.3">
      <c r="A15819" s="12"/>
    </row>
    <row r="15820" spans="1:1" x14ac:dyDescent="0.3">
      <c r="A15820" s="12"/>
    </row>
    <row r="15821" spans="1:1" x14ac:dyDescent="0.3">
      <c r="A15821" s="12"/>
    </row>
    <row r="15822" spans="1:1" x14ac:dyDescent="0.3">
      <c r="A15822" s="12"/>
    </row>
    <row r="15823" spans="1:1" x14ac:dyDescent="0.3">
      <c r="A15823" s="12"/>
    </row>
    <row r="15824" spans="1:1" x14ac:dyDescent="0.3">
      <c r="A15824" s="12"/>
    </row>
    <row r="15825" spans="1:1" x14ac:dyDescent="0.3">
      <c r="A15825" s="12"/>
    </row>
    <row r="15826" spans="1:1" x14ac:dyDescent="0.3">
      <c r="A15826" s="12"/>
    </row>
    <row r="15827" spans="1:1" x14ac:dyDescent="0.3">
      <c r="A15827" s="12"/>
    </row>
    <row r="15828" spans="1:1" x14ac:dyDescent="0.3">
      <c r="A15828" s="12"/>
    </row>
    <row r="15829" spans="1:1" x14ac:dyDescent="0.3">
      <c r="A15829" s="12"/>
    </row>
    <row r="15830" spans="1:1" x14ac:dyDescent="0.3">
      <c r="A15830" s="12"/>
    </row>
    <row r="15831" spans="1:1" x14ac:dyDescent="0.3">
      <c r="A15831" s="12"/>
    </row>
    <row r="15832" spans="1:1" x14ac:dyDescent="0.3">
      <c r="A15832" s="12"/>
    </row>
    <row r="15833" spans="1:1" x14ac:dyDescent="0.3">
      <c r="A15833" s="12"/>
    </row>
    <row r="15834" spans="1:1" x14ac:dyDescent="0.3">
      <c r="A15834" s="12"/>
    </row>
    <row r="15835" spans="1:1" x14ac:dyDescent="0.3">
      <c r="A15835" s="12"/>
    </row>
    <row r="15836" spans="1:1" x14ac:dyDescent="0.3">
      <c r="A15836" s="12"/>
    </row>
    <row r="15837" spans="1:1" x14ac:dyDescent="0.3">
      <c r="A15837" s="12"/>
    </row>
    <row r="15838" spans="1:1" x14ac:dyDescent="0.3">
      <c r="A15838" s="12"/>
    </row>
    <row r="15839" spans="1:1" x14ac:dyDescent="0.3">
      <c r="A15839" s="12"/>
    </row>
    <row r="15840" spans="1:1" x14ac:dyDescent="0.3">
      <c r="A15840" s="12"/>
    </row>
    <row r="15841" spans="1:1" x14ac:dyDescent="0.3">
      <c r="A15841" s="12"/>
    </row>
    <row r="15842" spans="1:1" x14ac:dyDescent="0.3">
      <c r="A15842" s="12"/>
    </row>
    <row r="15843" spans="1:1" x14ac:dyDescent="0.3">
      <c r="A15843" s="12"/>
    </row>
    <row r="15844" spans="1:1" x14ac:dyDescent="0.3">
      <c r="A15844" s="12"/>
    </row>
    <row r="15845" spans="1:1" x14ac:dyDescent="0.3">
      <c r="A15845" s="12"/>
    </row>
    <row r="15846" spans="1:1" x14ac:dyDescent="0.3">
      <c r="A15846" s="12"/>
    </row>
    <row r="15847" spans="1:1" x14ac:dyDescent="0.3">
      <c r="A15847" s="12"/>
    </row>
    <row r="15848" spans="1:1" x14ac:dyDescent="0.3">
      <c r="A15848" s="12"/>
    </row>
    <row r="15849" spans="1:1" x14ac:dyDescent="0.3">
      <c r="A15849" s="12"/>
    </row>
    <row r="15850" spans="1:1" x14ac:dyDescent="0.3">
      <c r="A15850" s="12"/>
    </row>
    <row r="15851" spans="1:1" x14ac:dyDescent="0.3">
      <c r="A15851" s="12"/>
    </row>
    <row r="15852" spans="1:1" x14ac:dyDescent="0.3">
      <c r="A15852" s="12"/>
    </row>
    <row r="15853" spans="1:1" x14ac:dyDescent="0.3">
      <c r="A15853" s="12"/>
    </row>
    <row r="15854" spans="1:1" x14ac:dyDescent="0.3">
      <c r="A15854" s="12"/>
    </row>
    <row r="15855" spans="1:1" x14ac:dyDescent="0.3">
      <c r="A15855" s="12"/>
    </row>
    <row r="15856" spans="1:1" x14ac:dyDescent="0.3">
      <c r="A15856" s="12"/>
    </row>
    <row r="15857" spans="1:1" x14ac:dyDescent="0.3">
      <c r="A15857" s="12"/>
    </row>
    <row r="15858" spans="1:1" x14ac:dyDescent="0.3">
      <c r="A15858" s="12"/>
    </row>
    <row r="15859" spans="1:1" x14ac:dyDescent="0.3">
      <c r="A15859" s="12"/>
    </row>
    <row r="15860" spans="1:1" x14ac:dyDescent="0.3">
      <c r="A15860" s="12"/>
    </row>
    <row r="15861" spans="1:1" x14ac:dyDescent="0.3">
      <c r="A15861" s="12"/>
    </row>
    <row r="15862" spans="1:1" x14ac:dyDescent="0.3">
      <c r="A15862" s="12"/>
    </row>
    <row r="15863" spans="1:1" x14ac:dyDescent="0.3">
      <c r="A15863" s="12"/>
    </row>
    <row r="15864" spans="1:1" x14ac:dyDescent="0.3">
      <c r="A15864" s="12"/>
    </row>
    <row r="15865" spans="1:1" x14ac:dyDescent="0.3">
      <c r="A15865" s="12"/>
    </row>
    <row r="15866" spans="1:1" x14ac:dyDescent="0.3">
      <c r="A15866" s="12"/>
    </row>
    <row r="15867" spans="1:1" x14ac:dyDescent="0.3">
      <c r="A15867" s="12"/>
    </row>
    <row r="15868" spans="1:1" x14ac:dyDescent="0.3">
      <c r="A15868" s="12"/>
    </row>
    <row r="15869" spans="1:1" x14ac:dyDescent="0.3">
      <c r="A15869" s="12"/>
    </row>
    <row r="15870" spans="1:1" x14ac:dyDescent="0.3">
      <c r="A15870" s="12"/>
    </row>
    <row r="15871" spans="1:1" x14ac:dyDescent="0.3">
      <c r="A15871" s="12"/>
    </row>
    <row r="15872" spans="1:1" x14ac:dyDescent="0.3">
      <c r="A15872" s="12"/>
    </row>
    <row r="15873" spans="1:1" x14ac:dyDescent="0.3">
      <c r="A15873" s="12"/>
    </row>
    <row r="15874" spans="1:1" x14ac:dyDescent="0.3">
      <c r="A15874" s="12"/>
    </row>
    <row r="15875" spans="1:1" x14ac:dyDescent="0.3">
      <c r="A15875" s="12"/>
    </row>
    <row r="15876" spans="1:1" x14ac:dyDescent="0.3">
      <c r="A15876" s="12"/>
    </row>
    <row r="15877" spans="1:1" x14ac:dyDescent="0.3">
      <c r="A15877" s="12"/>
    </row>
    <row r="15878" spans="1:1" x14ac:dyDescent="0.3">
      <c r="A15878" s="12"/>
    </row>
    <row r="15879" spans="1:1" x14ac:dyDescent="0.3">
      <c r="A15879" s="12"/>
    </row>
    <row r="15880" spans="1:1" x14ac:dyDescent="0.3">
      <c r="A15880" s="12"/>
    </row>
    <row r="15881" spans="1:1" x14ac:dyDescent="0.3">
      <c r="A15881" s="12"/>
    </row>
    <row r="15882" spans="1:1" x14ac:dyDescent="0.3">
      <c r="A15882" s="12"/>
    </row>
    <row r="15883" spans="1:1" x14ac:dyDescent="0.3">
      <c r="A15883" s="12"/>
    </row>
    <row r="15884" spans="1:1" x14ac:dyDescent="0.3">
      <c r="A15884" s="12"/>
    </row>
    <row r="15885" spans="1:1" x14ac:dyDescent="0.3">
      <c r="A15885" s="12"/>
    </row>
    <row r="15886" spans="1:1" x14ac:dyDescent="0.3">
      <c r="A15886" s="12"/>
    </row>
    <row r="15887" spans="1:1" x14ac:dyDescent="0.3">
      <c r="A15887" s="12"/>
    </row>
    <row r="15888" spans="1:1" x14ac:dyDescent="0.3">
      <c r="A15888" s="12"/>
    </row>
    <row r="15889" spans="1:1" x14ac:dyDescent="0.3">
      <c r="A15889" s="12"/>
    </row>
    <row r="15890" spans="1:1" x14ac:dyDescent="0.3">
      <c r="A15890" s="12"/>
    </row>
    <row r="15891" spans="1:1" x14ac:dyDescent="0.3">
      <c r="A15891" s="12"/>
    </row>
    <row r="15892" spans="1:1" x14ac:dyDescent="0.3">
      <c r="A15892" s="12"/>
    </row>
    <row r="15893" spans="1:1" x14ac:dyDescent="0.3">
      <c r="A15893" s="12"/>
    </row>
    <row r="15894" spans="1:1" x14ac:dyDescent="0.3">
      <c r="A15894" s="12"/>
    </row>
    <row r="15895" spans="1:1" x14ac:dyDescent="0.3">
      <c r="A15895" s="12"/>
    </row>
    <row r="15896" spans="1:1" x14ac:dyDescent="0.3">
      <c r="A15896" s="12"/>
    </row>
    <row r="15897" spans="1:1" x14ac:dyDescent="0.3">
      <c r="A15897" s="12"/>
    </row>
    <row r="15898" spans="1:1" x14ac:dyDescent="0.3">
      <c r="A15898" s="12"/>
    </row>
    <row r="15899" spans="1:1" x14ac:dyDescent="0.3">
      <c r="A15899" s="12"/>
    </row>
    <row r="15900" spans="1:1" x14ac:dyDescent="0.3">
      <c r="A15900" s="12"/>
    </row>
    <row r="15901" spans="1:1" x14ac:dyDescent="0.3">
      <c r="A15901" s="12"/>
    </row>
    <row r="15902" spans="1:1" x14ac:dyDescent="0.3">
      <c r="A15902" s="12"/>
    </row>
    <row r="15903" spans="1:1" x14ac:dyDescent="0.3">
      <c r="A15903" s="12"/>
    </row>
    <row r="15904" spans="1:1" x14ac:dyDescent="0.3">
      <c r="A15904" s="12"/>
    </row>
    <row r="15905" spans="1:1" x14ac:dyDescent="0.3">
      <c r="A15905" s="12"/>
    </row>
    <row r="15906" spans="1:1" x14ac:dyDescent="0.3">
      <c r="A15906" s="12"/>
    </row>
    <row r="15907" spans="1:1" x14ac:dyDescent="0.3">
      <c r="A15907" s="12"/>
    </row>
    <row r="15908" spans="1:1" x14ac:dyDescent="0.3">
      <c r="A15908" s="12"/>
    </row>
    <row r="15909" spans="1:1" x14ac:dyDescent="0.3">
      <c r="A15909" s="12"/>
    </row>
    <row r="15910" spans="1:1" x14ac:dyDescent="0.3">
      <c r="A15910" s="12"/>
    </row>
    <row r="15911" spans="1:1" x14ac:dyDescent="0.3">
      <c r="A15911" s="12"/>
    </row>
    <row r="15912" spans="1:1" x14ac:dyDescent="0.3">
      <c r="A15912" s="12"/>
    </row>
    <row r="15913" spans="1:1" x14ac:dyDescent="0.3">
      <c r="A15913" s="12"/>
    </row>
    <row r="15914" spans="1:1" x14ac:dyDescent="0.3">
      <c r="A15914" s="12"/>
    </row>
    <row r="15915" spans="1:1" x14ac:dyDescent="0.3">
      <c r="A15915" s="12"/>
    </row>
    <row r="15916" spans="1:1" x14ac:dyDescent="0.3">
      <c r="A15916" s="12"/>
    </row>
    <row r="15917" spans="1:1" x14ac:dyDescent="0.3">
      <c r="A15917" s="12"/>
    </row>
    <row r="15918" spans="1:1" x14ac:dyDescent="0.3">
      <c r="A15918" s="12"/>
    </row>
    <row r="15919" spans="1:1" x14ac:dyDescent="0.3">
      <c r="A15919" s="12"/>
    </row>
    <row r="15920" spans="1:1" x14ac:dyDescent="0.3">
      <c r="A15920" s="12"/>
    </row>
    <row r="15921" spans="1:1" x14ac:dyDescent="0.3">
      <c r="A15921" s="12"/>
    </row>
    <row r="15922" spans="1:1" x14ac:dyDescent="0.3">
      <c r="A15922" s="12"/>
    </row>
    <row r="15923" spans="1:1" x14ac:dyDescent="0.3">
      <c r="A15923" s="12"/>
    </row>
    <row r="15924" spans="1:1" x14ac:dyDescent="0.3">
      <c r="A15924" s="12"/>
    </row>
    <row r="15925" spans="1:1" x14ac:dyDescent="0.3">
      <c r="A15925" s="12"/>
    </row>
    <row r="15926" spans="1:1" x14ac:dyDescent="0.3">
      <c r="A15926" s="12"/>
    </row>
    <row r="15927" spans="1:1" x14ac:dyDescent="0.3">
      <c r="A15927" s="12"/>
    </row>
    <row r="15928" spans="1:1" x14ac:dyDescent="0.3">
      <c r="A15928" s="12"/>
    </row>
    <row r="15929" spans="1:1" x14ac:dyDescent="0.3">
      <c r="A15929" s="12"/>
    </row>
    <row r="15930" spans="1:1" x14ac:dyDescent="0.3">
      <c r="A15930" s="12"/>
    </row>
    <row r="15931" spans="1:1" x14ac:dyDescent="0.3">
      <c r="A15931" s="12"/>
    </row>
    <row r="15932" spans="1:1" x14ac:dyDescent="0.3">
      <c r="A15932" s="12"/>
    </row>
    <row r="15933" spans="1:1" x14ac:dyDescent="0.3">
      <c r="A15933" s="12"/>
    </row>
    <row r="15934" spans="1:1" x14ac:dyDescent="0.3">
      <c r="A15934" s="12"/>
    </row>
    <row r="15935" spans="1:1" x14ac:dyDescent="0.3">
      <c r="A15935" s="12"/>
    </row>
    <row r="15936" spans="1:1" x14ac:dyDescent="0.3">
      <c r="A15936" s="12"/>
    </row>
    <row r="15937" spans="1:1" x14ac:dyDescent="0.3">
      <c r="A15937" s="12"/>
    </row>
    <row r="15938" spans="1:1" x14ac:dyDescent="0.3">
      <c r="A15938" s="12"/>
    </row>
    <row r="15939" spans="1:1" x14ac:dyDescent="0.3">
      <c r="A15939" s="12"/>
    </row>
    <row r="15940" spans="1:1" x14ac:dyDescent="0.3">
      <c r="A15940" s="12"/>
    </row>
    <row r="15941" spans="1:1" x14ac:dyDescent="0.3">
      <c r="A15941" s="12"/>
    </row>
    <row r="15942" spans="1:1" x14ac:dyDescent="0.3">
      <c r="A15942" s="12"/>
    </row>
    <row r="15943" spans="1:1" x14ac:dyDescent="0.3">
      <c r="A15943" s="12"/>
    </row>
    <row r="15944" spans="1:1" x14ac:dyDescent="0.3">
      <c r="A15944" s="12"/>
    </row>
    <row r="15945" spans="1:1" x14ac:dyDescent="0.3">
      <c r="A15945" s="12"/>
    </row>
    <row r="15946" spans="1:1" x14ac:dyDescent="0.3">
      <c r="A15946" s="12"/>
    </row>
    <row r="15947" spans="1:1" x14ac:dyDescent="0.3">
      <c r="A15947" s="12"/>
    </row>
    <row r="15948" spans="1:1" x14ac:dyDescent="0.3">
      <c r="A15948" s="12"/>
    </row>
    <row r="15949" spans="1:1" x14ac:dyDescent="0.3">
      <c r="A15949" s="12"/>
    </row>
    <row r="15950" spans="1:1" x14ac:dyDescent="0.3">
      <c r="A15950" s="12"/>
    </row>
    <row r="15951" spans="1:1" x14ac:dyDescent="0.3">
      <c r="A15951" s="12"/>
    </row>
    <row r="15952" spans="1:1" x14ac:dyDescent="0.3">
      <c r="A15952" s="12"/>
    </row>
    <row r="15953" spans="1:1" x14ac:dyDescent="0.3">
      <c r="A15953" s="12"/>
    </row>
    <row r="15954" spans="1:1" x14ac:dyDescent="0.3">
      <c r="A15954" s="12"/>
    </row>
    <row r="15955" spans="1:1" x14ac:dyDescent="0.3">
      <c r="A15955" s="12"/>
    </row>
    <row r="15956" spans="1:1" x14ac:dyDescent="0.3">
      <c r="A15956" s="12"/>
    </row>
    <row r="15957" spans="1:1" x14ac:dyDescent="0.3">
      <c r="A15957" s="12"/>
    </row>
    <row r="15958" spans="1:1" x14ac:dyDescent="0.3">
      <c r="A15958" s="12"/>
    </row>
    <row r="15959" spans="1:1" x14ac:dyDescent="0.3">
      <c r="A15959" s="12"/>
    </row>
    <row r="15960" spans="1:1" x14ac:dyDescent="0.3">
      <c r="A15960" s="12"/>
    </row>
    <row r="15961" spans="1:1" x14ac:dyDescent="0.3">
      <c r="A15961" s="12"/>
    </row>
    <row r="15962" spans="1:1" x14ac:dyDescent="0.3">
      <c r="A15962" s="12"/>
    </row>
    <row r="15963" spans="1:1" x14ac:dyDescent="0.3">
      <c r="A15963" s="12"/>
    </row>
    <row r="15964" spans="1:1" x14ac:dyDescent="0.3">
      <c r="A15964" s="12"/>
    </row>
    <row r="15965" spans="1:1" x14ac:dyDescent="0.3">
      <c r="A15965" s="12"/>
    </row>
    <row r="15966" spans="1:1" x14ac:dyDescent="0.3">
      <c r="A15966" s="12"/>
    </row>
    <row r="15967" spans="1:1" x14ac:dyDescent="0.3">
      <c r="A15967" s="12"/>
    </row>
    <row r="15968" spans="1:1" x14ac:dyDescent="0.3">
      <c r="A15968" s="12"/>
    </row>
    <row r="15969" spans="1:1" x14ac:dyDescent="0.3">
      <c r="A15969" s="12"/>
    </row>
    <row r="15970" spans="1:1" x14ac:dyDescent="0.3">
      <c r="A15970" s="12"/>
    </row>
    <row r="15971" spans="1:1" x14ac:dyDescent="0.3">
      <c r="A15971" s="12"/>
    </row>
    <row r="15972" spans="1:1" x14ac:dyDescent="0.3">
      <c r="A15972" s="12"/>
    </row>
    <row r="15973" spans="1:1" x14ac:dyDescent="0.3">
      <c r="A15973" s="12"/>
    </row>
    <row r="15974" spans="1:1" x14ac:dyDescent="0.3">
      <c r="A15974" s="12"/>
    </row>
    <row r="15975" spans="1:1" x14ac:dyDescent="0.3">
      <c r="A15975" s="12"/>
    </row>
    <row r="15976" spans="1:1" x14ac:dyDescent="0.3">
      <c r="A15976" s="12"/>
    </row>
    <row r="15977" spans="1:1" x14ac:dyDescent="0.3">
      <c r="A15977" s="12"/>
    </row>
    <row r="15978" spans="1:1" x14ac:dyDescent="0.3">
      <c r="A15978" s="12"/>
    </row>
    <row r="15979" spans="1:1" x14ac:dyDescent="0.3">
      <c r="A15979" s="12"/>
    </row>
    <row r="15980" spans="1:1" x14ac:dyDescent="0.3">
      <c r="A15980" s="12"/>
    </row>
    <row r="15981" spans="1:1" x14ac:dyDescent="0.3">
      <c r="A15981" s="12"/>
    </row>
    <row r="15982" spans="1:1" x14ac:dyDescent="0.3">
      <c r="A15982" s="12"/>
    </row>
    <row r="15983" spans="1:1" x14ac:dyDescent="0.3">
      <c r="A15983" s="12"/>
    </row>
    <row r="15984" spans="1:1" x14ac:dyDescent="0.3">
      <c r="A15984" s="12"/>
    </row>
    <row r="15985" spans="1:1" x14ac:dyDescent="0.3">
      <c r="A15985" s="12"/>
    </row>
    <row r="15986" spans="1:1" x14ac:dyDescent="0.3">
      <c r="A15986" s="12"/>
    </row>
    <row r="15987" spans="1:1" x14ac:dyDescent="0.3">
      <c r="A15987" s="12"/>
    </row>
    <row r="15988" spans="1:1" x14ac:dyDescent="0.3">
      <c r="A15988" s="12"/>
    </row>
    <row r="15989" spans="1:1" x14ac:dyDescent="0.3">
      <c r="A15989" s="12"/>
    </row>
    <row r="15990" spans="1:1" x14ac:dyDescent="0.3">
      <c r="A15990" s="12"/>
    </row>
    <row r="15991" spans="1:1" x14ac:dyDescent="0.3">
      <c r="A15991" s="12"/>
    </row>
    <row r="15992" spans="1:1" x14ac:dyDescent="0.3">
      <c r="A15992" s="12"/>
    </row>
    <row r="15993" spans="1:1" x14ac:dyDescent="0.3">
      <c r="A15993" s="12"/>
    </row>
    <row r="15994" spans="1:1" x14ac:dyDescent="0.3">
      <c r="A15994" s="12"/>
    </row>
    <row r="15995" spans="1:1" x14ac:dyDescent="0.3">
      <c r="A15995" s="12"/>
    </row>
    <row r="15996" spans="1:1" x14ac:dyDescent="0.3">
      <c r="A15996" s="12"/>
    </row>
    <row r="15997" spans="1:1" x14ac:dyDescent="0.3">
      <c r="A15997" s="12"/>
    </row>
    <row r="15998" spans="1:1" x14ac:dyDescent="0.3">
      <c r="A15998" s="12"/>
    </row>
    <row r="15999" spans="1:1" x14ac:dyDescent="0.3">
      <c r="A15999" s="12"/>
    </row>
    <row r="16000" spans="1:1" x14ac:dyDescent="0.3">
      <c r="A16000" s="12"/>
    </row>
    <row r="16001" spans="1:1" x14ac:dyDescent="0.3">
      <c r="A16001" s="12"/>
    </row>
    <row r="16002" spans="1:1" x14ac:dyDescent="0.3">
      <c r="A16002" s="12"/>
    </row>
    <row r="16003" spans="1:1" x14ac:dyDescent="0.3">
      <c r="A16003" s="12"/>
    </row>
    <row r="16004" spans="1:1" x14ac:dyDescent="0.3">
      <c r="A16004" s="12"/>
    </row>
    <row r="16005" spans="1:1" x14ac:dyDescent="0.3">
      <c r="A16005" s="12"/>
    </row>
    <row r="16006" spans="1:1" x14ac:dyDescent="0.3">
      <c r="A16006" s="12"/>
    </row>
    <row r="16007" spans="1:1" x14ac:dyDescent="0.3">
      <c r="A16007" s="12"/>
    </row>
    <row r="16008" spans="1:1" x14ac:dyDescent="0.3">
      <c r="A16008" s="12"/>
    </row>
    <row r="16009" spans="1:1" x14ac:dyDescent="0.3">
      <c r="A16009" s="12"/>
    </row>
    <row r="16010" spans="1:1" x14ac:dyDescent="0.3">
      <c r="A16010" s="12"/>
    </row>
    <row r="16011" spans="1:1" x14ac:dyDescent="0.3">
      <c r="A16011" s="12"/>
    </row>
    <row r="16012" spans="1:1" x14ac:dyDescent="0.3">
      <c r="A16012" s="12"/>
    </row>
    <row r="16013" spans="1:1" x14ac:dyDescent="0.3">
      <c r="A16013" s="12"/>
    </row>
    <row r="16014" spans="1:1" x14ac:dyDescent="0.3">
      <c r="A16014" s="12"/>
    </row>
    <row r="16015" spans="1:1" x14ac:dyDescent="0.3">
      <c r="A16015" s="12"/>
    </row>
    <row r="16016" spans="1:1" x14ac:dyDescent="0.3">
      <c r="A16016" s="12"/>
    </row>
    <row r="16017" spans="1:1" x14ac:dyDescent="0.3">
      <c r="A16017" s="12"/>
    </row>
    <row r="16018" spans="1:1" x14ac:dyDescent="0.3">
      <c r="A16018" s="12"/>
    </row>
    <row r="16019" spans="1:1" x14ac:dyDescent="0.3">
      <c r="A16019" s="12"/>
    </row>
    <row r="16020" spans="1:1" x14ac:dyDescent="0.3">
      <c r="A16020" s="12"/>
    </row>
    <row r="16021" spans="1:1" x14ac:dyDescent="0.3">
      <c r="A16021" s="12"/>
    </row>
    <row r="16022" spans="1:1" x14ac:dyDescent="0.3">
      <c r="A16022" s="12"/>
    </row>
    <row r="16023" spans="1:1" x14ac:dyDescent="0.3">
      <c r="A16023" s="12"/>
    </row>
    <row r="16024" spans="1:1" x14ac:dyDescent="0.3">
      <c r="A16024" s="12"/>
    </row>
    <row r="16025" spans="1:1" x14ac:dyDescent="0.3">
      <c r="A16025" s="12"/>
    </row>
    <row r="16026" spans="1:1" x14ac:dyDescent="0.3">
      <c r="A16026" s="12"/>
    </row>
    <row r="16027" spans="1:1" x14ac:dyDescent="0.3">
      <c r="A16027" s="12"/>
    </row>
    <row r="16028" spans="1:1" x14ac:dyDescent="0.3">
      <c r="A16028" s="12"/>
    </row>
    <row r="16029" spans="1:1" x14ac:dyDescent="0.3">
      <c r="A16029" s="12"/>
    </row>
    <row r="16030" spans="1:1" x14ac:dyDescent="0.3">
      <c r="A16030" s="12"/>
    </row>
    <row r="16031" spans="1:1" x14ac:dyDescent="0.3">
      <c r="A16031" s="12"/>
    </row>
    <row r="16032" spans="1:1" x14ac:dyDescent="0.3">
      <c r="A16032" s="12"/>
    </row>
    <row r="16033" spans="1:1" x14ac:dyDescent="0.3">
      <c r="A16033" s="12"/>
    </row>
    <row r="16034" spans="1:1" x14ac:dyDescent="0.3">
      <c r="A16034" s="12"/>
    </row>
    <row r="16035" spans="1:1" x14ac:dyDescent="0.3">
      <c r="A16035" s="12"/>
    </row>
    <row r="16036" spans="1:1" x14ac:dyDescent="0.3">
      <c r="A16036" s="12"/>
    </row>
    <row r="16037" spans="1:1" x14ac:dyDescent="0.3">
      <c r="A16037" s="12"/>
    </row>
    <row r="16038" spans="1:1" x14ac:dyDescent="0.3">
      <c r="A16038" s="12"/>
    </row>
    <row r="16039" spans="1:1" x14ac:dyDescent="0.3">
      <c r="A16039" s="12"/>
    </row>
    <row r="16040" spans="1:1" x14ac:dyDescent="0.3">
      <c r="A16040" s="12"/>
    </row>
    <row r="16041" spans="1:1" x14ac:dyDescent="0.3">
      <c r="A16041" s="12"/>
    </row>
    <row r="16042" spans="1:1" x14ac:dyDescent="0.3">
      <c r="A16042" s="12"/>
    </row>
    <row r="16043" spans="1:1" x14ac:dyDescent="0.3">
      <c r="A16043" s="12"/>
    </row>
    <row r="16044" spans="1:1" x14ac:dyDescent="0.3">
      <c r="A16044" s="12"/>
    </row>
    <row r="16045" spans="1:1" x14ac:dyDescent="0.3">
      <c r="A16045" s="12"/>
    </row>
    <row r="16046" spans="1:1" x14ac:dyDescent="0.3">
      <c r="A16046" s="12"/>
    </row>
    <row r="16047" spans="1:1" x14ac:dyDescent="0.3">
      <c r="A16047" s="12"/>
    </row>
    <row r="16048" spans="1:1" x14ac:dyDescent="0.3">
      <c r="A16048" s="12"/>
    </row>
    <row r="16049" spans="1:1" x14ac:dyDescent="0.3">
      <c r="A16049" s="12"/>
    </row>
    <row r="16050" spans="1:1" x14ac:dyDescent="0.3">
      <c r="A16050" s="12"/>
    </row>
    <row r="16051" spans="1:1" x14ac:dyDescent="0.3">
      <c r="A16051" s="12"/>
    </row>
    <row r="16052" spans="1:1" x14ac:dyDescent="0.3">
      <c r="A16052" s="12"/>
    </row>
    <row r="16053" spans="1:1" x14ac:dyDescent="0.3">
      <c r="A16053" s="12"/>
    </row>
    <row r="16054" spans="1:1" x14ac:dyDescent="0.3">
      <c r="A16054" s="12"/>
    </row>
    <row r="16055" spans="1:1" x14ac:dyDescent="0.3">
      <c r="A16055" s="12"/>
    </row>
    <row r="16056" spans="1:1" x14ac:dyDescent="0.3">
      <c r="A16056" s="12"/>
    </row>
    <row r="16057" spans="1:1" x14ac:dyDescent="0.3">
      <c r="A16057" s="12"/>
    </row>
    <row r="16058" spans="1:1" x14ac:dyDescent="0.3">
      <c r="A16058" s="12"/>
    </row>
    <row r="16059" spans="1:1" x14ac:dyDescent="0.3">
      <c r="A16059" s="12"/>
    </row>
    <row r="16060" spans="1:1" x14ac:dyDescent="0.3">
      <c r="A16060" s="12"/>
    </row>
    <row r="16061" spans="1:1" x14ac:dyDescent="0.3">
      <c r="A16061" s="12"/>
    </row>
    <row r="16062" spans="1:1" x14ac:dyDescent="0.3">
      <c r="A16062" s="12"/>
    </row>
    <row r="16063" spans="1:1" x14ac:dyDescent="0.3">
      <c r="A16063" s="12"/>
    </row>
    <row r="16064" spans="1:1" x14ac:dyDescent="0.3">
      <c r="A16064" s="12"/>
    </row>
    <row r="16065" spans="1:1" x14ac:dyDescent="0.3">
      <c r="A16065" s="12"/>
    </row>
    <row r="16066" spans="1:1" x14ac:dyDescent="0.3">
      <c r="A16066" s="12"/>
    </row>
    <row r="16067" spans="1:1" x14ac:dyDescent="0.3">
      <c r="A16067" s="12"/>
    </row>
    <row r="16068" spans="1:1" x14ac:dyDescent="0.3">
      <c r="A16068" s="12"/>
    </row>
    <row r="16069" spans="1:1" x14ac:dyDescent="0.3">
      <c r="A16069" s="12"/>
    </row>
    <row r="16070" spans="1:1" x14ac:dyDescent="0.3">
      <c r="A16070" s="12"/>
    </row>
    <row r="16071" spans="1:1" x14ac:dyDescent="0.3">
      <c r="A16071" s="12"/>
    </row>
    <row r="16072" spans="1:1" x14ac:dyDescent="0.3">
      <c r="A16072" s="12"/>
    </row>
    <row r="16073" spans="1:1" x14ac:dyDescent="0.3">
      <c r="A16073" s="12"/>
    </row>
    <row r="16074" spans="1:1" x14ac:dyDescent="0.3">
      <c r="A16074" s="12"/>
    </row>
    <row r="16075" spans="1:1" x14ac:dyDescent="0.3">
      <c r="A16075" s="12"/>
    </row>
    <row r="16076" spans="1:1" x14ac:dyDescent="0.3">
      <c r="A16076" s="12"/>
    </row>
    <row r="16077" spans="1:1" x14ac:dyDescent="0.3">
      <c r="A16077" s="12"/>
    </row>
    <row r="16078" spans="1:1" x14ac:dyDescent="0.3">
      <c r="A16078" s="12"/>
    </row>
    <row r="16079" spans="1:1" x14ac:dyDescent="0.3">
      <c r="A16079" s="12"/>
    </row>
    <row r="16080" spans="1:1" x14ac:dyDescent="0.3">
      <c r="A16080" s="12"/>
    </row>
    <row r="16081" spans="1:1" x14ac:dyDescent="0.3">
      <c r="A16081" s="12"/>
    </row>
    <row r="16082" spans="1:1" x14ac:dyDescent="0.3">
      <c r="A16082" s="12"/>
    </row>
    <row r="16083" spans="1:1" x14ac:dyDescent="0.3">
      <c r="A16083" s="12"/>
    </row>
    <row r="16084" spans="1:1" x14ac:dyDescent="0.3">
      <c r="A16084" s="12"/>
    </row>
    <row r="16085" spans="1:1" x14ac:dyDescent="0.3">
      <c r="A16085" s="12"/>
    </row>
    <row r="16086" spans="1:1" x14ac:dyDescent="0.3">
      <c r="A16086" s="12"/>
    </row>
    <row r="16087" spans="1:1" x14ac:dyDescent="0.3">
      <c r="A16087" s="12"/>
    </row>
    <row r="16088" spans="1:1" x14ac:dyDescent="0.3">
      <c r="A16088" s="12"/>
    </row>
    <row r="16089" spans="1:1" x14ac:dyDescent="0.3">
      <c r="A16089" s="12"/>
    </row>
    <row r="16090" spans="1:1" x14ac:dyDescent="0.3">
      <c r="A16090" s="12"/>
    </row>
    <row r="16091" spans="1:1" x14ac:dyDescent="0.3">
      <c r="A16091" s="12"/>
    </row>
    <row r="16092" spans="1:1" x14ac:dyDescent="0.3">
      <c r="A16092" s="12"/>
    </row>
    <row r="16093" spans="1:1" x14ac:dyDescent="0.3">
      <c r="A16093" s="12"/>
    </row>
    <row r="16094" spans="1:1" x14ac:dyDescent="0.3">
      <c r="A16094" s="12"/>
    </row>
    <row r="16095" spans="1:1" x14ac:dyDescent="0.3">
      <c r="A16095" s="12"/>
    </row>
    <row r="16096" spans="1:1" x14ac:dyDescent="0.3">
      <c r="A16096" s="12"/>
    </row>
    <row r="16097" spans="1:1" x14ac:dyDescent="0.3">
      <c r="A16097" s="12"/>
    </row>
    <row r="16098" spans="1:1" x14ac:dyDescent="0.3">
      <c r="A16098" s="12"/>
    </row>
    <row r="16099" spans="1:1" x14ac:dyDescent="0.3">
      <c r="A16099" s="12"/>
    </row>
    <row r="16100" spans="1:1" x14ac:dyDescent="0.3">
      <c r="A16100" s="12"/>
    </row>
    <row r="16101" spans="1:1" x14ac:dyDescent="0.3">
      <c r="A16101" s="12"/>
    </row>
    <row r="16102" spans="1:1" x14ac:dyDescent="0.3">
      <c r="A16102" s="12"/>
    </row>
    <row r="16103" spans="1:1" x14ac:dyDescent="0.3">
      <c r="A16103" s="12"/>
    </row>
    <row r="16104" spans="1:1" x14ac:dyDescent="0.3">
      <c r="A16104" s="12"/>
    </row>
    <row r="16105" spans="1:1" x14ac:dyDescent="0.3">
      <c r="A16105" s="12"/>
    </row>
    <row r="16106" spans="1:1" x14ac:dyDescent="0.3">
      <c r="A16106" s="12"/>
    </row>
    <row r="16107" spans="1:1" x14ac:dyDescent="0.3">
      <c r="A16107" s="12"/>
    </row>
    <row r="16108" spans="1:1" x14ac:dyDescent="0.3">
      <c r="A16108" s="12"/>
    </row>
    <row r="16109" spans="1:1" x14ac:dyDescent="0.3">
      <c r="A16109" s="12"/>
    </row>
    <row r="16110" spans="1:1" x14ac:dyDescent="0.3">
      <c r="A16110" s="12"/>
    </row>
    <row r="16111" spans="1:1" x14ac:dyDescent="0.3">
      <c r="A16111" s="12"/>
    </row>
    <row r="16112" spans="1:1" x14ac:dyDescent="0.3">
      <c r="A16112" s="12"/>
    </row>
    <row r="16113" spans="1:1" x14ac:dyDescent="0.3">
      <c r="A16113" s="12"/>
    </row>
    <row r="16114" spans="1:1" x14ac:dyDescent="0.3">
      <c r="A16114" s="12"/>
    </row>
    <row r="16115" spans="1:1" x14ac:dyDescent="0.3">
      <c r="A16115" s="12"/>
    </row>
    <row r="16116" spans="1:1" x14ac:dyDescent="0.3">
      <c r="A16116" s="12"/>
    </row>
    <row r="16117" spans="1:1" x14ac:dyDescent="0.3">
      <c r="A16117" s="12"/>
    </row>
    <row r="16118" spans="1:1" x14ac:dyDescent="0.3">
      <c r="A16118" s="12"/>
    </row>
    <row r="16119" spans="1:1" x14ac:dyDescent="0.3">
      <c r="A16119" s="12"/>
    </row>
    <row r="16120" spans="1:1" x14ac:dyDescent="0.3">
      <c r="A16120" s="12"/>
    </row>
    <row r="16121" spans="1:1" x14ac:dyDescent="0.3">
      <c r="A16121" s="12"/>
    </row>
    <row r="16122" spans="1:1" x14ac:dyDescent="0.3">
      <c r="A16122" s="12"/>
    </row>
    <row r="16123" spans="1:1" x14ac:dyDescent="0.3">
      <c r="A16123" s="12"/>
    </row>
    <row r="16124" spans="1:1" x14ac:dyDescent="0.3">
      <c r="A16124" s="12"/>
    </row>
    <row r="16125" spans="1:1" x14ac:dyDescent="0.3">
      <c r="A16125" s="12"/>
    </row>
    <row r="16126" spans="1:1" x14ac:dyDescent="0.3">
      <c r="A16126" s="12"/>
    </row>
    <row r="16127" spans="1:1" x14ac:dyDescent="0.3">
      <c r="A16127" s="12"/>
    </row>
    <row r="16128" spans="1:1" x14ac:dyDescent="0.3">
      <c r="A16128" s="12"/>
    </row>
    <row r="16129" spans="1:1" x14ac:dyDescent="0.3">
      <c r="A16129" s="12"/>
    </row>
    <row r="16130" spans="1:1" x14ac:dyDescent="0.3">
      <c r="A16130" s="12"/>
    </row>
    <row r="16131" spans="1:1" x14ac:dyDescent="0.3">
      <c r="A16131" s="12"/>
    </row>
    <row r="16132" spans="1:1" x14ac:dyDescent="0.3">
      <c r="A16132" s="12"/>
    </row>
    <row r="16133" spans="1:1" x14ac:dyDescent="0.3">
      <c r="A16133" s="12"/>
    </row>
    <row r="16134" spans="1:1" x14ac:dyDescent="0.3">
      <c r="A16134" s="12"/>
    </row>
    <row r="16135" spans="1:1" x14ac:dyDescent="0.3">
      <c r="A16135" s="12"/>
    </row>
    <row r="16136" spans="1:1" x14ac:dyDescent="0.3">
      <c r="A16136" s="12"/>
    </row>
    <row r="16137" spans="1:1" x14ac:dyDescent="0.3">
      <c r="A16137" s="12"/>
    </row>
    <row r="16138" spans="1:1" x14ac:dyDescent="0.3">
      <c r="A16138" s="12"/>
    </row>
    <row r="16139" spans="1:1" x14ac:dyDescent="0.3">
      <c r="A16139" s="12"/>
    </row>
    <row r="16140" spans="1:1" x14ac:dyDescent="0.3">
      <c r="A16140" s="12"/>
    </row>
    <row r="16141" spans="1:1" x14ac:dyDescent="0.3">
      <c r="A16141" s="12"/>
    </row>
    <row r="16142" spans="1:1" x14ac:dyDescent="0.3">
      <c r="A16142" s="12"/>
    </row>
    <row r="16143" spans="1:1" x14ac:dyDescent="0.3">
      <c r="A16143" s="12"/>
    </row>
    <row r="16144" spans="1:1" x14ac:dyDescent="0.3">
      <c r="A16144" s="12"/>
    </row>
    <row r="16145" spans="1:1" x14ac:dyDescent="0.3">
      <c r="A16145" s="12"/>
    </row>
    <row r="16146" spans="1:1" x14ac:dyDescent="0.3">
      <c r="A16146" s="12"/>
    </row>
    <row r="16147" spans="1:1" x14ac:dyDescent="0.3">
      <c r="A16147" s="12"/>
    </row>
    <row r="16148" spans="1:1" x14ac:dyDescent="0.3">
      <c r="A16148" s="12"/>
    </row>
    <row r="16149" spans="1:1" x14ac:dyDescent="0.3">
      <c r="A16149" s="12"/>
    </row>
    <row r="16150" spans="1:1" x14ac:dyDescent="0.3">
      <c r="A16150" s="12"/>
    </row>
    <row r="16151" spans="1:1" x14ac:dyDescent="0.3">
      <c r="A16151" s="12"/>
    </row>
    <row r="16152" spans="1:1" x14ac:dyDescent="0.3">
      <c r="A16152" s="12"/>
    </row>
    <row r="16153" spans="1:1" x14ac:dyDescent="0.3">
      <c r="A16153" s="12"/>
    </row>
    <row r="16154" spans="1:1" x14ac:dyDescent="0.3">
      <c r="A16154" s="12"/>
    </row>
    <row r="16155" spans="1:1" x14ac:dyDescent="0.3">
      <c r="A16155" s="12"/>
    </row>
    <row r="16156" spans="1:1" x14ac:dyDescent="0.3">
      <c r="A16156" s="12"/>
    </row>
    <row r="16157" spans="1:1" x14ac:dyDescent="0.3">
      <c r="A16157" s="12"/>
    </row>
    <row r="16158" spans="1:1" x14ac:dyDescent="0.3">
      <c r="A16158" s="12"/>
    </row>
    <row r="16159" spans="1:1" x14ac:dyDescent="0.3">
      <c r="A16159" s="12"/>
    </row>
    <row r="16160" spans="1:1" x14ac:dyDescent="0.3">
      <c r="A16160" s="12"/>
    </row>
    <row r="16161" spans="1:1" x14ac:dyDescent="0.3">
      <c r="A16161" s="12"/>
    </row>
    <row r="16162" spans="1:1" x14ac:dyDescent="0.3">
      <c r="A16162" s="12"/>
    </row>
    <row r="16163" spans="1:1" x14ac:dyDescent="0.3">
      <c r="A16163" s="12"/>
    </row>
    <row r="16164" spans="1:1" x14ac:dyDescent="0.3">
      <c r="A16164" s="12"/>
    </row>
    <row r="16165" spans="1:1" x14ac:dyDescent="0.3">
      <c r="A16165" s="12"/>
    </row>
    <row r="16166" spans="1:1" x14ac:dyDescent="0.3">
      <c r="A16166" s="12"/>
    </row>
    <row r="16167" spans="1:1" x14ac:dyDescent="0.3">
      <c r="A16167" s="12"/>
    </row>
    <row r="16168" spans="1:1" x14ac:dyDescent="0.3">
      <c r="A16168" s="12"/>
    </row>
    <row r="16169" spans="1:1" x14ac:dyDescent="0.3">
      <c r="A16169" s="12"/>
    </row>
    <row r="16170" spans="1:1" x14ac:dyDescent="0.3">
      <c r="A16170" s="12"/>
    </row>
    <row r="16171" spans="1:1" x14ac:dyDescent="0.3">
      <c r="A16171" s="12"/>
    </row>
    <row r="16172" spans="1:1" x14ac:dyDescent="0.3">
      <c r="A16172" s="12"/>
    </row>
    <row r="16173" spans="1:1" x14ac:dyDescent="0.3">
      <c r="A16173" s="12"/>
    </row>
    <row r="16174" spans="1:1" x14ac:dyDescent="0.3">
      <c r="A16174" s="12"/>
    </row>
    <row r="16175" spans="1:1" x14ac:dyDescent="0.3">
      <c r="A16175" s="12"/>
    </row>
    <row r="16176" spans="1:1" x14ac:dyDescent="0.3">
      <c r="A16176" s="12"/>
    </row>
    <row r="16177" spans="1:1" x14ac:dyDescent="0.3">
      <c r="A16177" s="12"/>
    </row>
    <row r="16178" spans="1:1" x14ac:dyDescent="0.3">
      <c r="A16178" s="12"/>
    </row>
    <row r="16179" spans="1:1" x14ac:dyDescent="0.3">
      <c r="A16179" s="12"/>
    </row>
    <row r="16180" spans="1:1" x14ac:dyDescent="0.3">
      <c r="A16180" s="12"/>
    </row>
    <row r="16181" spans="1:1" x14ac:dyDescent="0.3">
      <c r="A16181" s="12"/>
    </row>
    <row r="16182" spans="1:1" x14ac:dyDescent="0.3">
      <c r="A16182" s="12"/>
    </row>
    <row r="16183" spans="1:1" x14ac:dyDescent="0.3">
      <c r="A16183" s="12"/>
    </row>
    <row r="16184" spans="1:1" x14ac:dyDescent="0.3">
      <c r="A16184" s="12"/>
    </row>
    <row r="16185" spans="1:1" x14ac:dyDescent="0.3">
      <c r="A16185" s="12"/>
    </row>
    <row r="16186" spans="1:1" x14ac:dyDescent="0.3">
      <c r="A16186" s="12"/>
    </row>
    <row r="16187" spans="1:1" x14ac:dyDescent="0.3">
      <c r="A16187" s="12"/>
    </row>
    <row r="16188" spans="1:1" x14ac:dyDescent="0.3">
      <c r="A16188" s="12"/>
    </row>
    <row r="16189" spans="1:1" x14ac:dyDescent="0.3">
      <c r="A16189" s="12"/>
    </row>
    <row r="16190" spans="1:1" x14ac:dyDescent="0.3">
      <c r="A16190" s="12"/>
    </row>
    <row r="16191" spans="1:1" x14ac:dyDescent="0.3">
      <c r="A16191" s="12"/>
    </row>
    <row r="16192" spans="1:1" x14ac:dyDescent="0.3">
      <c r="A16192" s="12"/>
    </row>
    <row r="16193" spans="1:1" x14ac:dyDescent="0.3">
      <c r="A16193" s="12"/>
    </row>
    <row r="16194" spans="1:1" x14ac:dyDescent="0.3">
      <c r="A16194" s="12"/>
    </row>
    <row r="16195" spans="1:1" x14ac:dyDescent="0.3">
      <c r="A16195" s="12"/>
    </row>
    <row r="16196" spans="1:1" x14ac:dyDescent="0.3">
      <c r="A16196" s="12"/>
    </row>
    <row r="16197" spans="1:1" x14ac:dyDescent="0.3">
      <c r="A16197" s="12"/>
    </row>
    <row r="16198" spans="1:1" x14ac:dyDescent="0.3">
      <c r="A16198" s="12"/>
    </row>
    <row r="16199" spans="1:1" x14ac:dyDescent="0.3">
      <c r="A16199" s="12"/>
    </row>
    <row r="16200" spans="1:1" x14ac:dyDescent="0.3">
      <c r="A16200" s="12"/>
    </row>
    <row r="16201" spans="1:1" x14ac:dyDescent="0.3">
      <c r="A16201" s="12"/>
    </row>
    <row r="16202" spans="1:1" x14ac:dyDescent="0.3">
      <c r="A16202" s="12"/>
    </row>
    <row r="16203" spans="1:1" x14ac:dyDescent="0.3">
      <c r="A16203" s="12"/>
    </row>
    <row r="16204" spans="1:1" x14ac:dyDescent="0.3">
      <c r="A16204" s="12"/>
    </row>
    <row r="16205" spans="1:1" x14ac:dyDescent="0.3">
      <c r="A16205" s="12"/>
    </row>
    <row r="16206" spans="1:1" x14ac:dyDescent="0.3">
      <c r="A16206" s="12"/>
    </row>
    <row r="16207" spans="1:1" x14ac:dyDescent="0.3">
      <c r="A16207" s="12"/>
    </row>
    <row r="16208" spans="1:1" x14ac:dyDescent="0.3">
      <c r="A16208" s="12"/>
    </row>
    <row r="16209" spans="1:1" x14ac:dyDescent="0.3">
      <c r="A16209" s="12"/>
    </row>
    <row r="16210" spans="1:1" x14ac:dyDescent="0.3">
      <c r="A16210" s="12"/>
    </row>
    <row r="16211" spans="1:1" x14ac:dyDescent="0.3">
      <c r="A16211" s="12"/>
    </row>
    <row r="16212" spans="1:1" x14ac:dyDescent="0.3">
      <c r="A16212" s="12"/>
    </row>
    <row r="16213" spans="1:1" x14ac:dyDescent="0.3">
      <c r="A16213" s="12"/>
    </row>
    <row r="16214" spans="1:1" x14ac:dyDescent="0.3">
      <c r="A16214" s="12"/>
    </row>
    <row r="16215" spans="1:1" x14ac:dyDescent="0.3">
      <c r="A16215" s="12"/>
    </row>
    <row r="16216" spans="1:1" x14ac:dyDescent="0.3">
      <c r="A16216" s="12"/>
    </row>
    <row r="16217" spans="1:1" x14ac:dyDescent="0.3">
      <c r="A16217" s="12"/>
    </row>
    <row r="16218" spans="1:1" x14ac:dyDescent="0.3">
      <c r="A16218" s="12"/>
    </row>
    <row r="16219" spans="1:1" x14ac:dyDescent="0.3">
      <c r="A16219" s="12"/>
    </row>
    <row r="16220" spans="1:1" x14ac:dyDescent="0.3">
      <c r="A16220" s="12"/>
    </row>
    <row r="16221" spans="1:1" x14ac:dyDescent="0.3">
      <c r="A16221" s="12"/>
    </row>
    <row r="16222" spans="1:1" x14ac:dyDescent="0.3">
      <c r="A16222" s="12"/>
    </row>
    <row r="16223" spans="1:1" x14ac:dyDescent="0.3">
      <c r="A16223" s="12"/>
    </row>
    <row r="16224" spans="1:1" x14ac:dyDescent="0.3">
      <c r="A16224" s="12"/>
    </row>
    <row r="16225" spans="1:1" x14ac:dyDescent="0.3">
      <c r="A16225" s="12"/>
    </row>
    <row r="16226" spans="1:1" x14ac:dyDescent="0.3">
      <c r="A16226" s="12"/>
    </row>
    <row r="16227" spans="1:1" x14ac:dyDescent="0.3">
      <c r="A16227" s="12"/>
    </row>
    <row r="16228" spans="1:1" x14ac:dyDescent="0.3">
      <c r="A16228" s="12"/>
    </row>
    <row r="16229" spans="1:1" x14ac:dyDescent="0.3">
      <c r="A16229" s="12"/>
    </row>
    <row r="16230" spans="1:1" x14ac:dyDescent="0.3">
      <c r="A16230" s="12"/>
    </row>
    <row r="16231" spans="1:1" x14ac:dyDescent="0.3">
      <c r="A16231" s="12"/>
    </row>
    <row r="16232" spans="1:1" x14ac:dyDescent="0.3">
      <c r="A16232" s="12"/>
    </row>
    <row r="16233" spans="1:1" x14ac:dyDescent="0.3">
      <c r="A16233" s="12"/>
    </row>
    <row r="16234" spans="1:1" x14ac:dyDescent="0.3">
      <c r="A16234" s="12"/>
    </row>
    <row r="16235" spans="1:1" x14ac:dyDescent="0.3">
      <c r="A16235" s="12"/>
    </row>
    <row r="16236" spans="1:1" x14ac:dyDescent="0.3">
      <c r="A16236" s="12"/>
    </row>
    <row r="16237" spans="1:1" x14ac:dyDescent="0.3">
      <c r="A16237" s="12"/>
    </row>
    <row r="16238" spans="1:1" x14ac:dyDescent="0.3">
      <c r="A16238" s="12"/>
    </row>
    <row r="16239" spans="1:1" x14ac:dyDescent="0.3">
      <c r="A16239" s="12"/>
    </row>
    <row r="16240" spans="1:1" x14ac:dyDescent="0.3">
      <c r="A16240" s="12"/>
    </row>
    <row r="16241" spans="1:1" x14ac:dyDescent="0.3">
      <c r="A16241" s="12"/>
    </row>
    <row r="16242" spans="1:1" x14ac:dyDescent="0.3">
      <c r="A16242" s="12"/>
    </row>
    <row r="16243" spans="1:1" x14ac:dyDescent="0.3">
      <c r="A16243" s="12"/>
    </row>
    <row r="16244" spans="1:1" x14ac:dyDescent="0.3">
      <c r="A16244" s="12"/>
    </row>
    <row r="16245" spans="1:1" x14ac:dyDescent="0.3">
      <c r="A16245" s="12"/>
    </row>
    <row r="16246" spans="1:1" x14ac:dyDescent="0.3">
      <c r="A16246" s="12"/>
    </row>
    <row r="16247" spans="1:1" x14ac:dyDescent="0.3">
      <c r="A16247" s="12"/>
    </row>
    <row r="16248" spans="1:1" x14ac:dyDescent="0.3">
      <c r="A16248" s="12"/>
    </row>
    <row r="16249" spans="1:1" x14ac:dyDescent="0.3">
      <c r="A16249" s="12"/>
    </row>
    <row r="16250" spans="1:1" x14ac:dyDescent="0.3">
      <c r="A16250" s="12"/>
    </row>
    <row r="16251" spans="1:1" x14ac:dyDescent="0.3">
      <c r="A16251" s="12"/>
    </row>
    <row r="16252" spans="1:1" x14ac:dyDescent="0.3">
      <c r="A16252" s="12"/>
    </row>
    <row r="16253" spans="1:1" x14ac:dyDescent="0.3">
      <c r="A16253" s="12"/>
    </row>
    <row r="16254" spans="1:1" x14ac:dyDescent="0.3">
      <c r="A16254" s="12"/>
    </row>
    <row r="16255" spans="1:1" x14ac:dyDescent="0.3">
      <c r="A16255" s="12"/>
    </row>
    <row r="16256" spans="1:1" x14ac:dyDescent="0.3">
      <c r="A16256" s="12"/>
    </row>
    <row r="16257" spans="1:1" x14ac:dyDescent="0.3">
      <c r="A16257" s="12"/>
    </row>
    <row r="16258" spans="1:1" x14ac:dyDescent="0.3">
      <c r="A16258" s="12"/>
    </row>
    <row r="16259" spans="1:1" x14ac:dyDescent="0.3">
      <c r="A16259" s="12"/>
    </row>
    <row r="16260" spans="1:1" x14ac:dyDescent="0.3">
      <c r="A16260" s="12"/>
    </row>
    <row r="16261" spans="1:1" x14ac:dyDescent="0.3">
      <c r="A16261" s="12"/>
    </row>
    <row r="16262" spans="1:1" x14ac:dyDescent="0.3">
      <c r="A16262" s="12"/>
    </row>
    <row r="16263" spans="1:1" x14ac:dyDescent="0.3">
      <c r="A16263" s="12"/>
    </row>
    <row r="16264" spans="1:1" x14ac:dyDescent="0.3">
      <c r="A16264" s="12"/>
    </row>
    <row r="16265" spans="1:1" x14ac:dyDescent="0.3">
      <c r="A16265" s="12"/>
    </row>
    <row r="16266" spans="1:1" x14ac:dyDescent="0.3">
      <c r="A16266" s="12"/>
    </row>
    <row r="16267" spans="1:1" x14ac:dyDescent="0.3">
      <c r="A16267" s="12"/>
    </row>
    <row r="16268" spans="1:1" x14ac:dyDescent="0.3">
      <c r="A16268" s="12"/>
    </row>
    <row r="16269" spans="1:1" x14ac:dyDescent="0.3">
      <c r="A16269" s="12"/>
    </row>
    <row r="16270" spans="1:1" x14ac:dyDescent="0.3">
      <c r="A16270" s="12"/>
    </row>
    <row r="16271" spans="1:1" x14ac:dyDescent="0.3">
      <c r="A16271" s="12"/>
    </row>
    <row r="16272" spans="1:1" x14ac:dyDescent="0.3">
      <c r="A16272" s="12"/>
    </row>
    <row r="16273" spans="1:1" x14ac:dyDescent="0.3">
      <c r="A16273" s="12"/>
    </row>
    <row r="16274" spans="1:1" x14ac:dyDescent="0.3">
      <c r="A16274" s="12"/>
    </row>
    <row r="16275" spans="1:1" x14ac:dyDescent="0.3">
      <c r="A16275" s="12"/>
    </row>
    <row r="16276" spans="1:1" x14ac:dyDescent="0.3">
      <c r="A16276" s="12"/>
    </row>
    <row r="16277" spans="1:1" x14ac:dyDescent="0.3">
      <c r="A16277" s="12"/>
    </row>
    <row r="16278" spans="1:1" x14ac:dyDescent="0.3">
      <c r="A16278" s="12"/>
    </row>
    <row r="16279" spans="1:1" x14ac:dyDescent="0.3">
      <c r="A16279" s="12"/>
    </row>
    <row r="16280" spans="1:1" x14ac:dyDescent="0.3">
      <c r="A16280" s="12"/>
    </row>
    <row r="16281" spans="1:1" x14ac:dyDescent="0.3">
      <c r="A16281" s="12"/>
    </row>
    <row r="16282" spans="1:1" x14ac:dyDescent="0.3">
      <c r="A16282" s="12"/>
    </row>
    <row r="16283" spans="1:1" x14ac:dyDescent="0.3">
      <c r="A16283" s="12"/>
    </row>
    <row r="16284" spans="1:1" x14ac:dyDescent="0.3">
      <c r="A16284" s="12"/>
    </row>
    <row r="16285" spans="1:1" x14ac:dyDescent="0.3">
      <c r="A16285" s="12"/>
    </row>
    <row r="16286" spans="1:1" x14ac:dyDescent="0.3">
      <c r="A16286" s="12"/>
    </row>
    <row r="16287" spans="1:1" x14ac:dyDescent="0.3">
      <c r="A16287" s="12"/>
    </row>
    <row r="16288" spans="1:1" x14ac:dyDescent="0.3">
      <c r="A16288" s="12"/>
    </row>
    <row r="16289" spans="1:1" x14ac:dyDescent="0.3">
      <c r="A16289" s="12"/>
    </row>
    <row r="16290" spans="1:1" x14ac:dyDescent="0.3">
      <c r="A16290" s="12"/>
    </row>
    <row r="16291" spans="1:1" x14ac:dyDescent="0.3">
      <c r="A16291" s="12"/>
    </row>
    <row r="16292" spans="1:1" x14ac:dyDescent="0.3">
      <c r="A16292" s="12"/>
    </row>
    <row r="16293" spans="1:1" x14ac:dyDescent="0.3">
      <c r="A16293" s="12"/>
    </row>
    <row r="16294" spans="1:1" x14ac:dyDescent="0.3">
      <c r="A16294" s="12"/>
    </row>
    <row r="16295" spans="1:1" x14ac:dyDescent="0.3">
      <c r="A16295" s="12"/>
    </row>
    <row r="16296" spans="1:1" x14ac:dyDescent="0.3">
      <c r="A16296" s="12"/>
    </row>
    <row r="16297" spans="1:1" x14ac:dyDescent="0.3">
      <c r="A16297" s="12"/>
    </row>
    <row r="16298" spans="1:1" x14ac:dyDescent="0.3">
      <c r="A16298" s="12"/>
    </row>
    <row r="16299" spans="1:1" x14ac:dyDescent="0.3">
      <c r="A16299" s="12"/>
    </row>
    <row r="16300" spans="1:1" x14ac:dyDescent="0.3">
      <c r="A16300" s="12"/>
    </row>
    <row r="16301" spans="1:1" x14ac:dyDescent="0.3">
      <c r="A16301" s="12"/>
    </row>
    <row r="16302" spans="1:1" x14ac:dyDescent="0.3">
      <c r="A16302" s="12"/>
    </row>
    <row r="16303" spans="1:1" x14ac:dyDescent="0.3">
      <c r="A16303" s="12"/>
    </row>
    <row r="16304" spans="1:1" x14ac:dyDescent="0.3">
      <c r="A16304" s="12"/>
    </row>
    <row r="16305" spans="1:1" x14ac:dyDescent="0.3">
      <c r="A16305" s="12"/>
    </row>
    <row r="16306" spans="1:1" x14ac:dyDescent="0.3">
      <c r="A16306" s="12"/>
    </row>
    <row r="16307" spans="1:1" x14ac:dyDescent="0.3">
      <c r="A16307" s="12"/>
    </row>
    <row r="16308" spans="1:1" x14ac:dyDescent="0.3">
      <c r="A16308" s="12"/>
    </row>
    <row r="16309" spans="1:1" x14ac:dyDescent="0.3">
      <c r="A16309" s="12"/>
    </row>
    <row r="16310" spans="1:1" x14ac:dyDescent="0.3">
      <c r="A16310" s="12"/>
    </row>
    <row r="16311" spans="1:1" x14ac:dyDescent="0.3">
      <c r="A16311" s="12"/>
    </row>
    <row r="16312" spans="1:1" x14ac:dyDescent="0.3">
      <c r="A16312" s="12"/>
    </row>
    <row r="16313" spans="1:1" x14ac:dyDescent="0.3">
      <c r="A16313" s="12"/>
    </row>
    <row r="16314" spans="1:1" x14ac:dyDescent="0.3">
      <c r="A16314" s="12"/>
    </row>
    <row r="16315" spans="1:1" x14ac:dyDescent="0.3">
      <c r="A16315" s="12"/>
    </row>
    <row r="16316" spans="1:1" x14ac:dyDescent="0.3">
      <c r="A16316" s="12"/>
    </row>
    <row r="16317" spans="1:1" x14ac:dyDescent="0.3">
      <c r="A16317" s="12"/>
    </row>
    <row r="16318" spans="1:1" x14ac:dyDescent="0.3">
      <c r="A16318" s="12"/>
    </row>
    <row r="16319" spans="1:1" x14ac:dyDescent="0.3">
      <c r="A16319" s="12"/>
    </row>
    <row r="16320" spans="1:1" x14ac:dyDescent="0.3">
      <c r="A16320" s="12"/>
    </row>
    <row r="16321" spans="1:1" x14ac:dyDescent="0.3">
      <c r="A16321" s="12"/>
    </row>
    <row r="16322" spans="1:1" x14ac:dyDescent="0.3">
      <c r="A16322" s="12"/>
    </row>
    <row r="16323" spans="1:1" x14ac:dyDescent="0.3">
      <c r="A16323" s="12"/>
    </row>
    <row r="16324" spans="1:1" x14ac:dyDescent="0.3">
      <c r="A16324" s="12"/>
    </row>
    <row r="16325" spans="1:1" x14ac:dyDescent="0.3">
      <c r="A16325" s="12"/>
    </row>
    <row r="16326" spans="1:1" x14ac:dyDescent="0.3">
      <c r="A16326" s="12"/>
    </row>
    <row r="16327" spans="1:1" x14ac:dyDescent="0.3">
      <c r="A16327" s="12"/>
    </row>
    <row r="16328" spans="1:1" x14ac:dyDescent="0.3">
      <c r="A16328" s="12"/>
    </row>
    <row r="16329" spans="1:1" x14ac:dyDescent="0.3">
      <c r="A16329" s="12"/>
    </row>
    <row r="16330" spans="1:1" x14ac:dyDescent="0.3">
      <c r="A16330" s="12"/>
    </row>
    <row r="16331" spans="1:1" x14ac:dyDescent="0.3">
      <c r="A16331" s="12"/>
    </row>
    <row r="16332" spans="1:1" x14ac:dyDescent="0.3">
      <c r="A16332" s="12"/>
    </row>
    <row r="16333" spans="1:1" x14ac:dyDescent="0.3">
      <c r="A16333" s="12"/>
    </row>
    <row r="16334" spans="1:1" x14ac:dyDescent="0.3">
      <c r="A16334" s="12"/>
    </row>
    <row r="16335" spans="1:1" x14ac:dyDescent="0.3">
      <c r="A16335" s="12"/>
    </row>
    <row r="16336" spans="1:1" x14ac:dyDescent="0.3">
      <c r="A16336" s="12"/>
    </row>
    <row r="16337" spans="1:1" x14ac:dyDescent="0.3">
      <c r="A16337" s="12"/>
    </row>
    <row r="16338" spans="1:1" x14ac:dyDescent="0.3">
      <c r="A16338" s="12"/>
    </row>
    <row r="16339" spans="1:1" x14ac:dyDescent="0.3">
      <c r="A16339" s="12"/>
    </row>
    <row r="16340" spans="1:1" x14ac:dyDescent="0.3">
      <c r="A16340" s="12"/>
    </row>
    <row r="16341" spans="1:1" x14ac:dyDescent="0.3">
      <c r="A16341" s="12"/>
    </row>
    <row r="16342" spans="1:1" x14ac:dyDescent="0.3">
      <c r="A16342" s="12"/>
    </row>
    <row r="16343" spans="1:1" x14ac:dyDescent="0.3">
      <c r="A16343" s="12"/>
    </row>
    <row r="16344" spans="1:1" x14ac:dyDescent="0.3">
      <c r="A16344" s="12"/>
    </row>
    <row r="16345" spans="1:1" x14ac:dyDescent="0.3">
      <c r="A16345" s="12"/>
    </row>
    <row r="16346" spans="1:1" x14ac:dyDescent="0.3">
      <c r="A16346" s="12"/>
    </row>
    <row r="16347" spans="1:1" x14ac:dyDescent="0.3">
      <c r="A16347" s="12"/>
    </row>
    <row r="16348" spans="1:1" x14ac:dyDescent="0.3">
      <c r="A16348" s="12"/>
    </row>
    <row r="16349" spans="1:1" x14ac:dyDescent="0.3">
      <c r="A16349" s="12"/>
    </row>
    <row r="16350" spans="1:1" x14ac:dyDescent="0.3">
      <c r="A16350" s="12"/>
    </row>
    <row r="16351" spans="1:1" x14ac:dyDescent="0.3">
      <c r="A16351" s="12"/>
    </row>
    <row r="16352" spans="1:1" x14ac:dyDescent="0.3">
      <c r="A16352" s="12"/>
    </row>
    <row r="16353" spans="1:1" x14ac:dyDescent="0.3">
      <c r="A16353" s="12"/>
    </row>
    <row r="16354" spans="1:1" x14ac:dyDescent="0.3">
      <c r="A16354" s="12"/>
    </row>
    <row r="16355" spans="1:1" x14ac:dyDescent="0.3">
      <c r="A16355" s="12"/>
    </row>
    <row r="16356" spans="1:1" x14ac:dyDescent="0.3">
      <c r="A16356" s="12"/>
    </row>
    <row r="16357" spans="1:1" x14ac:dyDescent="0.3">
      <c r="A16357" s="12"/>
    </row>
    <row r="16358" spans="1:1" x14ac:dyDescent="0.3">
      <c r="A16358" s="12"/>
    </row>
    <row r="16359" spans="1:1" x14ac:dyDescent="0.3">
      <c r="A16359" s="12"/>
    </row>
    <row r="16360" spans="1:1" x14ac:dyDescent="0.3">
      <c r="A16360" s="12"/>
    </row>
    <row r="16361" spans="1:1" x14ac:dyDescent="0.3">
      <c r="A16361" s="12"/>
    </row>
    <row r="16362" spans="1:1" x14ac:dyDescent="0.3">
      <c r="A16362" s="12"/>
    </row>
    <row r="16363" spans="1:1" x14ac:dyDescent="0.3">
      <c r="A16363" s="12"/>
    </row>
    <row r="16364" spans="1:1" x14ac:dyDescent="0.3">
      <c r="A16364" s="12"/>
    </row>
    <row r="16365" spans="1:1" x14ac:dyDescent="0.3">
      <c r="A16365" s="12"/>
    </row>
    <row r="16366" spans="1:1" x14ac:dyDescent="0.3">
      <c r="A16366" s="12"/>
    </row>
    <row r="16367" spans="1:1" x14ac:dyDescent="0.3">
      <c r="A16367" s="12"/>
    </row>
    <row r="16368" spans="1:1" x14ac:dyDescent="0.3">
      <c r="A16368" s="12"/>
    </row>
    <row r="16369" spans="1:1" x14ac:dyDescent="0.3">
      <c r="A16369" s="12"/>
    </row>
    <row r="16370" spans="1:1" x14ac:dyDescent="0.3">
      <c r="A16370" s="12"/>
    </row>
    <row r="16371" spans="1:1" x14ac:dyDescent="0.3">
      <c r="A16371" s="12"/>
    </row>
    <row r="16372" spans="1:1" x14ac:dyDescent="0.3">
      <c r="A16372" s="12"/>
    </row>
    <row r="16373" spans="1:1" x14ac:dyDescent="0.3">
      <c r="A16373" s="12"/>
    </row>
    <row r="16374" spans="1:1" x14ac:dyDescent="0.3">
      <c r="A16374" s="12"/>
    </row>
    <row r="16375" spans="1:1" x14ac:dyDescent="0.3">
      <c r="A16375" s="12"/>
    </row>
    <row r="16376" spans="1:1" x14ac:dyDescent="0.3">
      <c r="A16376" s="12"/>
    </row>
    <row r="16377" spans="1:1" x14ac:dyDescent="0.3">
      <c r="A16377" s="12"/>
    </row>
    <row r="16378" spans="1:1" x14ac:dyDescent="0.3">
      <c r="A16378" s="12"/>
    </row>
    <row r="16379" spans="1:1" x14ac:dyDescent="0.3">
      <c r="A16379" s="12"/>
    </row>
    <row r="16380" spans="1:1" x14ac:dyDescent="0.3">
      <c r="A16380" s="12"/>
    </row>
    <row r="16381" spans="1:1" x14ac:dyDescent="0.3">
      <c r="A16381" s="12"/>
    </row>
    <row r="16382" spans="1:1" x14ac:dyDescent="0.3">
      <c r="A16382" s="12"/>
    </row>
    <row r="16383" spans="1:1" x14ac:dyDescent="0.3">
      <c r="A16383" s="12"/>
    </row>
    <row r="16384" spans="1:1" x14ac:dyDescent="0.3">
      <c r="A16384" s="12"/>
    </row>
    <row r="16385" spans="1:1" x14ac:dyDescent="0.3">
      <c r="A16385" s="12"/>
    </row>
    <row r="16386" spans="1:1" x14ac:dyDescent="0.3">
      <c r="A16386" s="12"/>
    </row>
    <row r="16387" spans="1:1" x14ac:dyDescent="0.3">
      <c r="A16387" s="12"/>
    </row>
    <row r="16388" spans="1:1" x14ac:dyDescent="0.3">
      <c r="A16388" s="12"/>
    </row>
    <row r="16389" spans="1:1" x14ac:dyDescent="0.3">
      <c r="A16389" s="12"/>
    </row>
    <row r="16390" spans="1:1" x14ac:dyDescent="0.3">
      <c r="A16390" s="12"/>
    </row>
    <row r="16391" spans="1:1" x14ac:dyDescent="0.3">
      <c r="A16391" s="12"/>
    </row>
    <row r="16392" spans="1:1" x14ac:dyDescent="0.3">
      <c r="A16392" s="12"/>
    </row>
    <row r="16393" spans="1:1" x14ac:dyDescent="0.3">
      <c r="A16393" s="12"/>
    </row>
    <row r="16394" spans="1:1" x14ac:dyDescent="0.3">
      <c r="A16394" s="12"/>
    </row>
    <row r="16395" spans="1:1" x14ac:dyDescent="0.3">
      <c r="A16395" s="12"/>
    </row>
    <row r="16396" spans="1:1" x14ac:dyDescent="0.3">
      <c r="A16396" s="12"/>
    </row>
    <row r="16397" spans="1:1" x14ac:dyDescent="0.3">
      <c r="A16397" s="12"/>
    </row>
    <row r="16398" spans="1:1" x14ac:dyDescent="0.3">
      <c r="A16398" s="12"/>
    </row>
    <row r="16399" spans="1:1" x14ac:dyDescent="0.3">
      <c r="A16399" s="12"/>
    </row>
    <row r="16400" spans="1:1" x14ac:dyDescent="0.3">
      <c r="A16400" s="12"/>
    </row>
    <row r="16401" spans="1:1" x14ac:dyDescent="0.3">
      <c r="A16401" s="12"/>
    </row>
    <row r="16402" spans="1:1" x14ac:dyDescent="0.3">
      <c r="A16402" s="12"/>
    </row>
    <row r="16403" spans="1:1" x14ac:dyDescent="0.3">
      <c r="A16403" s="12"/>
    </row>
    <row r="16404" spans="1:1" x14ac:dyDescent="0.3">
      <c r="A16404" s="12"/>
    </row>
    <row r="16405" spans="1:1" x14ac:dyDescent="0.3">
      <c r="A16405" s="12"/>
    </row>
    <row r="16406" spans="1:1" x14ac:dyDescent="0.3">
      <c r="A16406" s="12"/>
    </row>
    <row r="16407" spans="1:1" x14ac:dyDescent="0.3">
      <c r="A16407" s="12"/>
    </row>
    <row r="16408" spans="1:1" x14ac:dyDescent="0.3">
      <c r="A16408" s="12"/>
    </row>
    <row r="16409" spans="1:1" x14ac:dyDescent="0.3">
      <c r="A16409" s="12"/>
    </row>
    <row r="16410" spans="1:1" x14ac:dyDescent="0.3">
      <c r="A16410" s="12"/>
    </row>
    <row r="16411" spans="1:1" x14ac:dyDescent="0.3">
      <c r="A16411" s="12"/>
    </row>
    <row r="16412" spans="1:1" x14ac:dyDescent="0.3">
      <c r="A16412" s="12"/>
    </row>
    <row r="16413" spans="1:1" x14ac:dyDescent="0.3">
      <c r="A16413" s="12"/>
    </row>
    <row r="16414" spans="1:1" x14ac:dyDescent="0.3">
      <c r="A16414" s="12"/>
    </row>
    <row r="16415" spans="1:1" x14ac:dyDescent="0.3">
      <c r="A16415" s="12"/>
    </row>
    <row r="16416" spans="1:1" x14ac:dyDescent="0.3">
      <c r="A16416" s="12"/>
    </row>
    <row r="16417" spans="1:1" x14ac:dyDescent="0.3">
      <c r="A16417" s="12"/>
    </row>
    <row r="16418" spans="1:1" x14ac:dyDescent="0.3">
      <c r="A16418" s="12"/>
    </row>
    <row r="16419" spans="1:1" x14ac:dyDescent="0.3">
      <c r="A16419" s="12"/>
    </row>
    <row r="16420" spans="1:1" x14ac:dyDescent="0.3">
      <c r="A16420" s="12"/>
    </row>
    <row r="16421" spans="1:1" x14ac:dyDescent="0.3">
      <c r="A16421" s="12"/>
    </row>
    <row r="16422" spans="1:1" x14ac:dyDescent="0.3">
      <c r="A16422" s="12"/>
    </row>
    <row r="16423" spans="1:1" x14ac:dyDescent="0.3">
      <c r="A16423" s="12"/>
    </row>
    <row r="16424" spans="1:1" x14ac:dyDescent="0.3">
      <c r="A16424" s="12"/>
    </row>
    <row r="16425" spans="1:1" x14ac:dyDescent="0.3">
      <c r="A16425" s="12"/>
    </row>
    <row r="16426" spans="1:1" x14ac:dyDescent="0.3">
      <c r="A16426" s="12"/>
    </row>
    <row r="16427" spans="1:1" x14ac:dyDescent="0.3">
      <c r="A16427" s="12"/>
    </row>
    <row r="16428" spans="1:1" x14ac:dyDescent="0.3">
      <c r="A16428" s="12"/>
    </row>
    <row r="16429" spans="1:1" x14ac:dyDescent="0.3">
      <c r="A16429" s="12"/>
    </row>
    <row r="16430" spans="1:1" x14ac:dyDescent="0.3">
      <c r="A16430" s="12"/>
    </row>
    <row r="16431" spans="1:1" x14ac:dyDescent="0.3">
      <c r="A16431" s="12"/>
    </row>
    <row r="16432" spans="1:1" x14ac:dyDescent="0.3">
      <c r="A16432" s="12"/>
    </row>
    <row r="16433" spans="1:1" x14ac:dyDescent="0.3">
      <c r="A16433" s="12"/>
    </row>
    <row r="16434" spans="1:1" x14ac:dyDescent="0.3">
      <c r="A16434" s="12"/>
    </row>
    <row r="16435" spans="1:1" x14ac:dyDescent="0.3">
      <c r="A16435" s="12"/>
    </row>
    <row r="16436" spans="1:1" x14ac:dyDescent="0.3">
      <c r="A16436" s="12"/>
    </row>
    <row r="16437" spans="1:1" x14ac:dyDescent="0.3">
      <c r="A16437" s="12"/>
    </row>
    <row r="16438" spans="1:1" x14ac:dyDescent="0.3">
      <c r="A16438" s="12"/>
    </row>
    <row r="16439" spans="1:1" x14ac:dyDescent="0.3">
      <c r="A16439" s="12"/>
    </row>
    <row r="16440" spans="1:1" x14ac:dyDescent="0.3">
      <c r="A16440" s="12"/>
    </row>
    <row r="16441" spans="1:1" x14ac:dyDescent="0.3">
      <c r="A16441" s="12"/>
    </row>
    <row r="16442" spans="1:1" x14ac:dyDescent="0.3">
      <c r="A16442" s="12"/>
    </row>
    <row r="16443" spans="1:1" x14ac:dyDescent="0.3">
      <c r="A16443" s="12"/>
    </row>
    <row r="16444" spans="1:1" x14ac:dyDescent="0.3">
      <c r="A16444" s="12"/>
    </row>
    <row r="16445" spans="1:1" x14ac:dyDescent="0.3">
      <c r="A16445" s="12"/>
    </row>
    <row r="16446" spans="1:1" x14ac:dyDescent="0.3">
      <c r="A16446" s="12"/>
    </row>
    <row r="16447" spans="1:1" x14ac:dyDescent="0.3">
      <c r="A16447" s="12"/>
    </row>
    <row r="16448" spans="1:1" x14ac:dyDescent="0.3">
      <c r="A16448" s="12"/>
    </row>
    <row r="16449" spans="1:1" x14ac:dyDescent="0.3">
      <c r="A16449" s="12"/>
    </row>
    <row r="16450" spans="1:1" x14ac:dyDescent="0.3">
      <c r="A16450" s="12"/>
    </row>
    <row r="16451" spans="1:1" x14ac:dyDescent="0.3">
      <c r="A16451" s="12"/>
    </row>
    <row r="16452" spans="1:1" x14ac:dyDescent="0.3">
      <c r="A16452" s="12"/>
    </row>
    <row r="16453" spans="1:1" x14ac:dyDescent="0.3">
      <c r="A16453" s="12"/>
    </row>
    <row r="16454" spans="1:1" x14ac:dyDescent="0.3">
      <c r="A16454" s="12"/>
    </row>
    <row r="16455" spans="1:1" x14ac:dyDescent="0.3">
      <c r="A16455" s="12"/>
    </row>
    <row r="16456" spans="1:1" x14ac:dyDescent="0.3">
      <c r="A16456" s="12"/>
    </row>
    <row r="16457" spans="1:1" x14ac:dyDescent="0.3">
      <c r="A16457" s="12"/>
    </row>
    <row r="16458" spans="1:1" x14ac:dyDescent="0.3">
      <c r="A16458" s="12"/>
    </row>
    <row r="16459" spans="1:1" x14ac:dyDescent="0.3">
      <c r="A16459" s="12"/>
    </row>
    <row r="16460" spans="1:1" x14ac:dyDescent="0.3">
      <c r="A16460" s="12"/>
    </row>
    <row r="16461" spans="1:1" x14ac:dyDescent="0.3">
      <c r="A16461" s="12"/>
    </row>
    <row r="16462" spans="1:1" x14ac:dyDescent="0.3">
      <c r="A16462" s="12"/>
    </row>
    <row r="16463" spans="1:1" x14ac:dyDescent="0.3">
      <c r="A16463" s="12"/>
    </row>
    <row r="16464" spans="1:1" x14ac:dyDescent="0.3">
      <c r="A16464" s="12"/>
    </row>
    <row r="16465" spans="1:1" x14ac:dyDescent="0.3">
      <c r="A16465" s="12"/>
    </row>
    <row r="16466" spans="1:1" x14ac:dyDescent="0.3">
      <c r="A16466" s="12"/>
    </row>
    <row r="16467" spans="1:1" x14ac:dyDescent="0.3">
      <c r="A16467" s="12"/>
    </row>
    <row r="16468" spans="1:1" x14ac:dyDescent="0.3">
      <c r="A16468" s="12"/>
    </row>
    <row r="16469" spans="1:1" x14ac:dyDescent="0.3">
      <c r="A16469" s="12"/>
    </row>
    <row r="16470" spans="1:1" x14ac:dyDescent="0.3">
      <c r="A16470" s="12"/>
    </row>
    <row r="16471" spans="1:1" x14ac:dyDescent="0.3">
      <c r="A16471" s="12"/>
    </row>
    <row r="16472" spans="1:1" x14ac:dyDescent="0.3">
      <c r="A16472" s="12"/>
    </row>
    <row r="16473" spans="1:1" x14ac:dyDescent="0.3">
      <c r="A16473" s="12"/>
    </row>
    <row r="16474" spans="1:1" x14ac:dyDescent="0.3">
      <c r="A16474" s="12"/>
    </row>
    <row r="16475" spans="1:1" x14ac:dyDescent="0.3">
      <c r="A16475" s="12"/>
    </row>
    <row r="16476" spans="1:1" x14ac:dyDescent="0.3">
      <c r="A16476" s="12"/>
    </row>
    <row r="16477" spans="1:1" x14ac:dyDescent="0.3">
      <c r="A16477" s="12"/>
    </row>
    <row r="16478" spans="1:1" x14ac:dyDescent="0.3">
      <c r="A16478" s="12"/>
    </row>
    <row r="16479" spans="1:1" x14ac:dyDescent="0.3">
      <c r="A16479" s="12"/>
    </row>
    <row r="16480" spans="1:1" x14ac:dyDescent="0.3">
      <c r="A16480" s="12"/>
    </row>
    <row r="16481" spans="1:1" x14ac:dyDescent="0.3">
      <c r="A16481" s="12"/>
    </row>
    <row r="16482" spans="1:1" x14ac:dyDescent="0.3">
      <c r="A16482" s="12"/>
    </row>
    <row r="16483" spans="1:1" x14ac:dyDescent="0.3">
      <c r="A16483" s="12"/>
    </row>
    <row r="16484" spans="1:1" x14ac:dyDescent="0.3">
      <c r="A16484" s="12"/>
    </row>
    <row r="16485" spans="1:1" x14ac:dyDescent="0.3">
      <c r="A16485" s="12"/>
    </row>
    <row r="16486" spans="1:1" x14ac:dyDescent="0.3">
      <c r="A16486" s="12"/>
    </row>
    <row r="16487" spans="1:1" x14ac:dyDescent="0.3">
      <c r="A16487" s="12"/>
    </row>
    <row r="16488" spans="1:1" x14ac:dyDescent="0.3">
      <c r="A16488" s="12"/>
    </row>
    <row r="16489" spans="1:1" x14ac:dyDescent="0.3">
      <c r="A16489" s="12"/>
    </row>
    <row r="16490" spans="1:1" x14ac:dyDescent="0.3">
      <c r="A16490" s="12"/>
    </row>
    <row r="16491" spans="1:1" x14ac:dyDescent="0.3">
      <c r="A16491" s="12"/>
    </row>
    <row r="16492" spans="1:1" x14ac:dyDescent="0.3">
      <c r="A16492" s="12"/>
    </row>
    <row r="16493" spans="1:1" x14ac:dyDescent="0.3">
      <c r="A16493" s="12"/>
    </row>
    <row r="16494" spans="1:1" x14ac:dyDescent="0.3">
      <c r="A16494" s="12"/>
    </row>
    <row r="16495" spans="1:1" x14ac:dyDescent="0.3">
      <c r="A16495" s="12"/>
    </row>
    <row r="16496" spans="1:1" x14ac:dyDescent="0.3">
      <c r="A16496" s="12"/>
    </row>
    <row r="16497" spans="1:1" x14ac:dyDescent="0.3">
      <c r="A16497" s="12"/>
    </row>
    <row r="16498" spans="1:1" x14ac:dyDescent="0.3">
      <c r="A16498" s="12"/>
    </row>
    <row r="16499" spans="1:1" x14ac:dyDescent="0.3">
      <c r="A16499" s="12"/>
    </row>
    <row r="16500" spans="1:1" x14ac:dyDescent="0.3">
      <c r="A16500" s="12"/>
    </row>
    <row r="16501" spans="1:1" x14ac:dyDescent="0.3">
      <c r="A16501" s="12"/>
    </row>
    <row r="16502" spans="1:1" x14ac:dyDescent="0.3">
      <c r="A16502" s="12"/>
    </row>
    <row r="16503" spans="1:1" x14ac:dyDescent="0.3">
      <c r="A16503" s="12"/>
    </row>
    <row r="16504" spans="1:1" x14ac:dyDescent="0.3">
      <c r="A16504" s="12"/>
    </row>
    <row r="16505" spans="1:1" x14ac:dyDescent="0.3">
      <c r="A16505" s="12"/>
    </row>
    <row r="16506" spans="1:1" x14ac:dyDescent="0.3">
      <c r="A16506" s="12"/>
    </row>
    <row r="16507" spans="1:1" x14ac:dyDescent="0.3">
      <c r="A16507" s="12"/>
    </row>
    <row r="16508" spans="1:1" x14ac:dyDescent="0.3">
      <c r="A16508" s="12"/>
    </row>
    <row r="16509" spans="1:1" x14ac:dyDescent="0.3">
      <c r="A16509" s="12"/>
    </row>
    <row r="16510" spans="1:1" x14ac:dyDescent="0.3">
      <c r="A16510" s="12"/>
    </row>
    <row r="16511" spans="1:1" x14ac:dyDescent="0.3">
      <c r="A16511" s="12"/>
    </row>
    <row r="16512" spans="1:1" x14ac:dyDescent="0.3">
      <c r="A16512" s="12"/>
    </row>
    <row r="16513" spans="1:1" x14ac:dyDescent="0.3">
      <c r="A16513" s="12"/>
    </row>
    <row r="16514" spans="1:1" x14ac:dyDescent="0.3">
      <c r="A16514" s="12"/>
    </row>
    <row r="16515" spans="1:1" x14ac:dyDescent="0.3">
      <c r="A16515" s="12"/>
    </row>
    <row r="16516" spans="1:1" x14ac:dyDescent="0.3">
      <c r="A16516" s="12"/>
    </row>
    <row r="16517" spans="1:1" x14ac:dyDescent="0.3">
      <c r="A16517" s="12"/>
    </row>
    <row r="16518" spans="1:1" x14ac:dyDescent="0.3">
      <c r="A16518" s="12"/>
    </row>
    <row r="16519" spans="1:1" x14ac:dyDescent="0.3">
      <c r="A16519" s="12"/>
    </row>
    <row r="16520" spans="1:1" x14ac:dyDescent="0.3">
      <c r="A16520" s="12"/>
    </row>
    <row r="16521" spans="1:1" x14ac:dyDescent="0.3">
      <c r="A16521" s="12"/>
    </row>
    <row r="16522" spans="1:1" x14ac:dyDescent="0.3">
      <c r="A16522" s="12"/>
    </row>
    <row r="16523" spans="1:1" x14ac:dyDescent="0.3">
      <c r="A16523" s="12"/>
    </row>
    <row r="16524" spans="1:1" x14ac:dyDescent="0.3">
      <c r="A16524" s="12"/>
    </row>
    <row r="16525" spans="1:1" x14ac:dyDescent="0.3">
      <c r="A16525" s="12"/>
    </row>
    <row r="16526" spans="1:1" x14ac:dyDescent="0.3">
      <c r="A16526" s="12"/>
    </row>
    <row r="16527" spans="1:1" x14ac:dyDescent="0.3">
      <c r="A16527" s="12"/>
    </row>
    <row r="16528" spans="1:1" x14ac:dyDescent="0.3">
      <c r="A16528" s="12"/>
    </row>
    <row r="16529" spans="1:1" x14ac:dyDescent="0.3">
      <c r="A16529" s="12"/>
    </row>
    <row r="16530" spans="1:1" x14ac:dyDescent="0.3">
      <c r="A16530" s="12"/>
    </row>
    <row r="16531" spans="1:1" x14ac:dyDescent="0.3">
      <c r="A16531" s="12"/>
    </row>
    <row r="16532" spans="1:1" x14ac:dyDescent="0.3">
      <c r="A16532" s="12"/>
    </row>
    <row r="16533" spans="1:1" x14ac:dyDescent="0.3">
      <c r="A16533" s="12"/>
    </row>
    <row r="16534" spans="1:1" x14ac:dyDescent="0.3">
      <c r="A16534" s="12"/>
    </row>
    <row r="16535" spans="1:1" x14ac:dyDescent="0.3">
      <c r="A16535" s="12"/>
    </row>
    <row r="16536" spans="1:1" x14ac:dyDescent="0.3">
      <c r="A16536" s="12"/>
    </row>
    <row r="16537" spans="1:1" x14ac:dyDescent="0.3">
      <c r="A16537" s="12"/>
    </row>
    <row r="16538" spans="1:1" x14ac:dyDescent="0.3">
      <c r="A16538" s="12"/>
    </row>
    <row r="16539" spans="1:1" x14ac:dyDescent="0.3">
      <c r="A16539" s="12"/>
    </row>
    <row r="16540" spans="1:1" x14ac:dyDescent="0.3">
      <c r="A16540" s="12"/>
    </row>
    <row r="16541" spans="1:1" x14ac:dyDescent="0.3">
      <c r="A16541" s="12"/>
    </row>
    <row r="16542" spans="1:1" x14ac:dyDescent="0.3">
      <c r="A16542" s="12"/>
    </row>
    <row r="16543" spans="1:1" x14ac:dyDescent="0.3">
      <c r="A16543" s="12"/>
    </row>
    <row r="16544" spans="1:1" x14ac:dyDescent="0.3">
      <c r="A16544" s="12"/>
    </row>
    <row r="16545" spans="1:1" x14ac:dyDescent="0.3">
      <c r="A16545" s="12"/>
    </row>
    <row r="16546" spans="1:1" x14ac:dyDescent="0.3">
      <c r="A16546" s="12"/>
    </row>
    <row r="16547" spans="1:1" x14ac:dyDescent="0.3">
      <c r="A16547" s="12"/>
    </row>
    <row r="16548" spans="1:1" x14ac:dyDescent="0.3">
      <c r="A16548" s="12"/>
    </row>
    <row r="16549" spans="1:1" x14ac:dyDescent="0.3">
      <c r="A16549" s="12"/>
    </row>
    <row r="16550" spans="1:1" x14ac:dyDescent="0.3">
      <c r="A16550" s="12"/>
    </row>
    <row r="16551" spans="1:1" x14ac:dyDescent="0.3">
      <c r="A16551" s="12"/>
    </row>
    <row r="16552" spans="1:1" x14ac:dyDescent="0.3">
      <c r="A16552" s="12"/>
    </row>
    <row r="16553" spans="1:1" x14ac:dyDescent="0.3">
      <c r="A16553" s="12"/>
    </row>
    <row r="16554" spans="1:1" x14ac:dyDescent="0.3">
      <c r="A16554" s="12"/>
    </row>
    <row r="16555" spans="1:1" x14ac:dyDescent="0.3">
      <c r="A16555" s="12"/>
    </row>
    <row r="16556" spans="1:1" x14ac:dyDescent="0.3">
      <c r="A16556" s="12"/>
    </row>
    <row r="16557" spans="1:1" x14ac:dyDescent="0.3">
      <c r="A16557" s="12"/>
    </row>
    <row r="16558" spans="1:1" x14ac:dyDescent="0.3">
      <c r="A16558" s="12"/>
    </row>
    <row r="16559" spans="1:1" x14ac:dyDescent="0.3">
      <c r="A16559" s="12"/>
    </row>
    <row r="16560" spans="1:1" x14ac:dyDescent="0.3">
      <c r="A16560" s="12"/>
    </row>
    <row r="16561" spans="1:1" x14ac:dyDescent="0.3">
      <c r="A16561" s="12"/>
    </row>
    <row r="16562" spans="1:1" x14ac:dyDescent="0.3">
      <c r="A16562" s="12"/>
    </row>
    <row r="16563" spans="1:1" x14ac:dyDescent="0.3">
      <c r="A16563" s="12"/>
    </row>
    <row r="16564" spans="1:1" x14ac:dyDescent="0.3">
      <c r="A16564" s="12"/>
    </row>
    <row r="16565" spans="1:1" x14ac:dyDescent="0.3">
      <c r="A16565" s="12"/>
    </row>
    <row r="16566" spans="1:1" x14ac:dyDescent="0.3">
      <c r="A16566" s="12"/>
    </row>
    <row r="16567" spans="1:1" x14ac:dyDescent="0.3">
      <c r="A16567" s="12"/>
    </row>
    <row r="16568" spans="1:1" x14ac:dyDescent="0.3">
      <c r="A16568" s="12"/>
    </row>
    <row r="16569" spans="1:1" x14ac:dyDescent="0.3">
      <c r="A16569" s="12"/>
    </row>
    <row r="16570" spans="1:1" x14ac:dyDescent="0.3">
      <c r="A16570" s="12"/>
    </row>
    <row r="16571" spans="1:1" x14ac:dyDescent="0.3">
      <c r="A16571" s="12"/>
    </row>
    <row r="16572" spans="1:1" x14ac:dyDescent="0.3">
      <c r="A16572" s="12"/>
    </row>
    <row r="16573" spans="1:1" x14ac:dyDescent="0.3">
      <c r="A16573" s="12"/>
    </row>
    <row r="16574" spans="1:1" x14ac:dyDescent="0.3">
      <c r="A16574" s="12"/>
    </row>
    <row r="16575" spans="1:1" x14ac:dyDescent="0.3">
      <c r="A16575" s="12"/>
    </row>
    <row r="16576" spans="1:1" x14ac:dyDescent="0.3">
      <c r="A16576" s="12"/>
    </row>
    <row r="16577" spans="1:1" x14ac:dyDescent="0.3">
      <c r="A16577" s="12"/>
    </row>
    <row r="16578" spans="1:1" x14ac:dyDescent="0.3">
      <c r="A16578" s="12"/>
    </row>
    <row r="16579" spans="1:1" x14ac:dyDescent="0.3">
      <c r="A16579" s="12"/>
    </row>
    <row r="16580" spans="1:1" x14ac:dyDescent="0.3">
      <c r="A16580" s="12"/>
    </row>
    <row r="16581" spans="1:1" x14ac:dyDescent="0.3">
      <c r="A16581" s="12"/>
    </row>
    <row r="16582" spans="1:1" x14ac:dyDescent="0.3">
      <c r="A16582" s="12"/>
    </row>
    <row r="16583" spans="1:1" x14ac:dyDescent="0.3">
      <c r="A16583" s="12"/>
    </row>
    <row r="16584" spans="1:1" x14ac:dyDescent="0.3">
      <c r="A16584" s="12"/>
    </row>
    <row r="16585" spans="1:1" x14ac:dyDescent="0.3">
      <c r="A16585" s="12"/>
    </row>
    <row r="16586" spans="1:1" x14ac:dyDescent="0.3">
      <c r="A16586" s="12"/>
    </row>
    <row r="16587" spans="1:1" x14ac:dyDescent="0.3">
      <c r="A16587" s="12"/>
    </row>
    <row r="16588" spans="1:1" x14ac:dyDescent="0.3">
      <c r="A16588" s="12"/>
    </row>
    <row r="16589" spans="1:1" x14ac:dyDescent="0.3">
      <c r="A16589" s="12"/>
    </row>
    <row r="16590" spans="1:1" x14ac:dyDescent="0.3">
      <c r="A16590" s="12"/>
    </row>
    <row r="16591" spans="1:1" x14ac:dyDescent="0.3">
      <c r="A16591" s="12"/>
    </row>
    <row r="16592" spans="1:1" x14ac:dyDescent="0.3">
      <c r="A16592" s="12"/>
    </row>
    <row r="16593" spans="1:1" x14ac:dyDescent="0.3">
      <c r="A16593" s="12"/>
    </row>
    <row r="16594" spans="1:1" x14ac:dyDescent="0.3">
      <c r="A16594" s="12"/>
    </row>
    <row r="16595" spans="1:1" x14ac:dyDescent="0.3">
      <c r="A16595" s="12"/>
    </row>
    <row r="16596" spans="1:1" x14ac:dyDescent="0.3">
      <c r="A16596" s="12"/>
    </row>
    <row r="16597" spans="1:1" x14ac:dyDescent="0.3">
      <c r="A16597" s="12"/>
    </row>
    <row r="16598" spans="1:1" x14ac:dyDescent="0.3">
      <c r="A16598" s="12"/>
    </row>
    <row r="16599" spans="1:1" x14ac:dyDescent="0.3">
      <c r="A16599" s="12"/>
    </row>
    <row r="16600" spans="1:1" x14ac:dyDescent="0.3">
      <c r="A16600" s="12"/>
    </row>
    <row r="16601" spans="1:1" x14ac:dyDescent="0.3">
      <c r="A16601" s="12"/>
    </row>
    <row r="16602" spans="1:1" x14ac:dyDescent="0.3">
      <c r="A16602" s="12"/>
    </row>
    <row r="16603" spans="1:1" x14ac:dyDescent="0.3">
      <c r="A16603" s="12"/>
    </row>
    <row r="16604" spans="1:1" x14ac:dyDescent="0.3">
      <c r="A16604" s="12"/>
    </row>
    <row r="16605" spans="1:1" x14ac:dyDescent="0.3">
      <c r="A16605" s="12"/>
    </row>
    <row r="16606" spans="1:1" x14ac:dyDescent="0.3">
      <c r="A16606" s="12"/>
    </row>
    <row r="16607" spans="1:1" x14ac:dyDescent="0.3">
      <c r="A16607" s="12"/>
    </row>
    <row r="16608" spans="1:1" x14ac:dyDescent="0.3">
      <c r="A16608" s="12"/>
    </row>
    <row r="16609" spans="1:1" x14ac:dyDescent="0.3">
      <c r="A16609" s="12"/>
    </row>
    <row r="16610" spans="1:1" x14ac:dyDescent="0.3">
      <c r="A16610" s="12"/>
    </row>
    <row r="16611" spans="1:1" x14ac:dyDescent="0.3">
      <c r="A16611" s="12"/>
    </row>
    <row r="16612" spans="1:1" x14ac:dyDescent="0.3">
      <c r="A16612" s="12"/>
    </row>
    <row r="16613" spans="1:1" x14ac:dyDescent="0.3">
      <c r="A16613" s="12"/>
    </row>
    <row r="16614" spans="1:1" x14ac:dyDescent="0.3">
      <c r="A16614" s="12"/>
    </row>
    <row r="16615" spans="1:1" x14ac:dyDescent="0.3">
      <c r="A16615" s="12"/>
    </row>
    <row r="16616" spans="1:1" x14ac:dyDescent="0.3">
      <c r="A16616" s="12"/>
    </row>
    <row r="16617" spans="1:1" x14ac:dyDescent="0.3">
      <c r="A16617" s="12"/>
    </row>
    <row r="16618" spans="1:1" x14ac:dyDescent="0.3">
      <c r="A16618" s="12"/>
    </row>
    <row r="16619" spans="1:1" x14ac:dyDescent="0.3">
      <c r="A16619" s="12"/>
    </row>
    <row r="16620" spans="1:1" x14ac:dyDescent="0.3">
      <c r="A16620" s="12"/>
    </row>
    <row r="16621" spans="1:1" x14ac:dyDescent="0.3">
      <c r="A16621" s="12"/>
    </row>
    <row r="16622" spans="1:1" x14ac:dyDescent="0.3">
      <c r="A16622" s="12"/>
    </row>
    <row r="16623" spans="1:1" x14ac:dyDescent="0.3">
      <c r="A16623" s="12"/>
    </row>
    <row r="16624" spans="1:1" x14ac:dyDescent="0.3">
      <c r="A16624" s="12"/>
    </row>
    <row r="16625" spans="1:1" x14ac:dyDescent="0.3">
      <c r="A16625" s="12"/>
    </row>
    <row r="16626" spans="1:1" x14ac:dyDescent="0.3">
      <c r="A16626" s="12"/>
    </row>
    <row r="16627" spans="1:1" x14ac:dyDescent="0.3">
      <c r="A16627" s="12"/>
    </row>
    <row r="16628" spans="1:1" x14ac:dyDescent="0.3">
      <c r="A16628" s="12"/>
    </row>
    <row r="16629" spans="1:1" x14ac:dyDescent="0.3">
      <c r="A16629" s="12"/>
    </row>
    <row r="16630" spans="1:1" x14ac:dyDescent="0.3">
      <c r="A16630" s="12"/>
    </row>
    <row r="16631" spans="1:1" x14ac:dyDescent="0.3">
      <c r="A16631" s="12"/>
    </row>
    <row r="16632" spans="1:1" x14ac:dyDescent="0.3">
      <c r="A16632" s="12"/>
    </row>
    <row r="16633" spans="1:1" x14ac:dyDescent="0.3">
      <c r="A16633" s="12"/>
    </row>
    <row r="16634" spans="1:1" x14ac:dyDescent="0.3">
      <c r="A16634" s="12"/>
    </row>
    <row r="16635" spans="1:1" x14ac:dyDescent="0.3">
      <c r="A16635" s="12"/>
    </row>
    <row r="16636" spans="1:1" x14ac:dyDescent="0.3">
      <c r="A16636" s="12"/>
    </row>
    <row r="16637" spans="1:1" x14ac:dyDescent="0.3">
      <c r="A16637" s="12"/>
    </row>
    <row r="16638" spans="1:1" x14ac:dyDescent="0.3">
      <c r="A16638" s="12"/>
    </row>
    <row r="16639" spans="1:1" x14ac:dyDescent="0.3">
      <c r="A16639" s="12"/>
    </row>
    <row r="16640" spans="1:1" x14ac:dyDescent="0.3">
      <c r="A16640" s="12"/>
    </row>
    <row r="16641" spans="1:1" x14ac:dyDescent="0.3">
      <c r="A16641" s="12"/>
    </row>
    <row r="16642" spans="1:1" x14ac:dyDescent="0.3">
      <c r="A16642" s="12"/>
    </row>
    <row r="16643" spans="1:1" x14ac:dyDescent="0.3">
      <c r="A16643" s="12"/>
    </row>
    <row r="16644" spans="1:1" x14ac:dyDescent="0.3">
      <c r="A16644" s="12"/>
    </row>
    <row r="16645" spans="1:1" x14ac:dyDescent="0.3">
      <c r="A16645" s="12"/>
    </row>
    <row r="16646" spans="1:1" x14ac:dyDescent="0.3">
      <c r="A16646" s="12"/>
    </row>
    <row r="16647" spans="1:1" x14ac:dyDescent="0.3">
      <c r="A16647" s="12"/>
    </row>
    <row r="16648" spans="1:1" x14ac:dyDescent="0.3">
      <c r="A16648" s="12"/>
    </row>
    <row r="16649" spans="1:1" x14ac:dyDescent="0.3">
      <c r="A16649" s="12"/>
    </row>
    <row r="16650" spans="1:1" x14ac:dyDescent="0.3">
      <c r="A16650" s="12"/>
    </row>
    <row r="16651" spans="1:1" x14ac:dyDescent="0.3">
      <c r="A16651" s="12"/>
    </row>
    <row r="16652" spans="1:1" x14ac:dyDescent="0.3">
      <c r="A16652" s="12"/>
    </row>
    <row r="16653" spans="1:1" x14ac:dyDescent="0.3">
      <c r="A16653" s="12"/>
    </row>
    <row r="16654" spans="1:1" x14ac:dyDescent="0.3">
      <c r="A16654" s="12"/>
    </row>
    <row r="16655" spans="1:1" x14ac:dyDescent="0.3">
      <c r="A16655" s="12"/>
    </row>
    <row r="16656" spans="1:1" x14ac:dyDescent="0.3">
      <c r="A16656" s="12"/>
    </row>
    <row r="16657" spans="1:1" x14ac:dyDescent="0.3">
      <c r="A16657" s="12"/>
    </row>
    <row r="16658" spans="1:1" x14ac:dyDescent="0.3">
      <c r="A16658" s="12"/>
    </row>
    <row r="16659" spans="1:1" x14ac:dyDescent="0.3">
      <c r="A16659" s="12"/>
    </row>
    <row r="16660" spans="1:1" x14ac:dyDescent="0.3">
      <c r="A16660" s="12"/>
    </row>
    <row r="16661" spans="1:1" x14ac:dyDescent="0.3">
      <c r="A16661" s="12"/>
    </row>
    <row r="16662" spans="1:1" x14ac:dyDescent="0.3">
      <c r="A16662" s="12"/>
    </row>
    <row r="16663" spans="1:1" x14ac:dyDescent="0.3">
      <c r="A16663" s="12"/>
    </row>
    <row r="16664" spans="1:1" x14ac:dyDescent="0.3">
      <c r="A16664" s="12"/>
    </row>
    <row r="16665" spans="1:1" x14ac:dyDescent="0.3">
      <c r="A16665" s="12"/>
    </row>
    <row r="16666" spans="1:1" x14ac:dyDescent="0.3">
      <c r="A16666" s="12"/>
    </row>
    <row r="16667" spans="1:1" x14ac:dyDescent="0.3">
      <c r="A16667" s="12"/>
    </row>
    <row r="16668" spans="1:1" x14ac:dyDescent="0.3">
      <c r="A16668" s="12"/>
    </row>
    <row r="16669" spans="1:1" x14ac:dyDescent="0.3">
      <c r="A16669" s="12"/>
    </row>
    <row r="16670" spans="1:1" x14ac:dyDescent="0.3">
      <c r="A16670" s="12"/>
    </row>
    <row r="16671" spans="1:1" x14ac:dyDescent="0.3">
      <c r="A16671" s="12"/>
    </row>
    <row r="16672" spans="1:1" x14ac:dyDescent="0.3">
      <c r="A16672" s="12"/>
    </row>
    <row r="16673" spans="1:1" x14ac:dyDescent="0.3">
      <c r="A16673" s="12"/>
    </row>
    <row r="16674" spans="1:1" x14ac:dyDescent="0.3">
      <c r="A16674" s="12"/>
    </row>
    <row r="16675" spans="1:1" x14ac:dyDescent="0.3">
      <c r="A16675" s="12"/>
    </row>
    <row r="16676" spans="1:1" x14ac:dyDescent="0.3">
      <c r="A16676" s="12"/>
    </row>
    <row r="16677" spans="1:1" x14ac:dyDescent="0.3">
      <c r="A16677" s="12"/>
    </row>
    <row r="16678" spans="1:1" x14ac:dyDescent="0.3">
      <c r="A16678" s="12"/>
    </row>
    <row r="16679" spans="1:1" x14ac:dyDescent="0.3">
      <c r="A16679" s="12"/>
    </row>
    <row r="16680" spans="1:1" x14ac:dyDescent="0.3">
      <c r="A16680" s="12"/>
    </row>
    <row r="16681" spans="1:1" x14ac:dyDescent="0.3">
      <c r="A16681" s="12"/>
    </row>
    <row r="16682" spans="1:1" x14ac:dyDescent="0.3">
      <c r="A16682" s="12"/>
    </row>
    <row r="16683" spans="1:1" x14ac:dyDescent="0.3">
      <c r="A16683" s="12"/>
    </row>
    <row r="16684" spans="1:1" x14ac:dyDescent="0.3">
      <c r="A16684" s="12"/>
    </row>
    <row r="16685" spans="1:1" x14ac:dyDescent="0.3">
      <c r="A16685" s="12"/>
    </row>
    <row r="16686" spans="1:1" x14ac:dyDescent="0.3">
      <c r="A16686" s="12"/>
    </row>
    <row r="16687" spans="1:1" x14ac:dyDescent="0.3">
      <c r="A16687" s="12"/>
    </row>
    <row r="16688" spans="1:1" x14ac:dyDescent="0.3">
      <c r="A16688" s="12"/>
    </row>
    <row r="16689" spans="1:1" x14ac:dyDescent="0.3">
      <c r="A16689" s="12"/>
    </row>
    <row r="16690" spans="1:1" x14ac:dyDescent="0.3">
      <c r="A16690" s="12"/>
    </row>
    <row r="16691" spans="1:1" x14ac:dyDescent="0.3">
      <c r="A16691" s="12"/>
    </row>
    <row r="16692" spans="1:1" x14ac:dyDescent="0.3">
      <c r="A16692" s="12"/>
    </row>
    <row r="16693" spans="1:1" x14ac:dyDescent="0.3">
      <c r="A16693" s="12"/>
    </row>
    <row r="16694" spans="1:1" x14ac:dyDescent="0.3">
      <c r="A16694" s="12"/>
    </row>
    <row r="16695" spans="1:1" x14ac:dyDescent="0.3">
      <c r="A16695" s="12"/>
    </row>
    <row r="16696" spans="1:1" x14ac:dyDescent="0.3">
      <c r="A16696" s="12"/>
    </row>
    <row r="16697" spans="1:1" x14ac:dyDescent="0.3">
      <c r="A16697" s="12"/>
    </row>
    <row r="16698" spans="1:1" x14ac:dyDescent="0.3">
      <c r="A16698" s="12"/>
    </row>
    <row r="16699" spans="1:1" x14ac:dyDescent="0.3">
      <c r="A16699" s="12"/>
    </row>
    <row r="16700" spans="1:1" x14ac:dyDescent="0.3">
      <c r="A16700" s="12"/>
    </row>
    <row r="16701" spans="1:1" x14ac:dyDescent="0.3">
      <c r="A16701" s="12"/>
    </row>
    <row r="16702" spans="1:1" x14ac:dyDescent="0.3">
      <c r="A16702" s="12"/>
    </row>
    <row r="16703" spans="1:1" x14ac:dyDescent="0.3">
      <c r="A16703" s="12"/>
    </row>
    <row r="16704" spans="1:1" x14ac:dyDescent="0.3">
      <c r="A16704" s="12"/>
    </row>
    <row r="16705" spans="1:1" x14ac:dyDescent="0.3">
      <c r="A16705" s="12"/>
    </row>
    <row r="16706" spans="1:1" x14ac:dyDescent="0.3">
      <c r="A16706" s="12"/>
    </row>
    <row r="16707" spans="1:1" x14ac:dyDescent="0.3">
      <c r="A16707" s="12"/>
    </row>
    <row r="16708" spans="1:1" x14ac:dyDescent="0.3">
      <c r="A16708" s="12"/>
    </row>
    <row r="16709" spans="1:1" x14ac:dyDescent="0.3">
      <c r="A16709" s="12"/>
    </row>
    <row r="16710" spans="1:1" x14ac:dyDescent="0.3">
      <c r="A16710" s="12"/>
    </row>
    <row r="16711" spans="1:1" x14ac:dyDescent="0.3">
      <c r="A16711" s="12"/>
    </row>
    <row r="16712" spans="1:1" x14ac:dyDescent="0.3">
      <c r="A16712" s="12"/>
    </row>
    <row r="16713" spans="1:1" x14ac:dyDescent="0.3">
      <c r="A16713" s="12"/>
    </row>
    <row r="16714" spans="1:1" x14ac:dyDescent="0.3">
      <c r="A16714" s="12"/>
    </row>
    <row r="16715" spans="1:1" x14ac:dyDescent="0.3">
      <c r="A16715" s="12"/>
    </row>
    <row r="16716" spans="1:1" x14ac:dyDescent="0.3">
      <c r="A16716" s="12"/>
    </row>
    <row r="16717" spans="1:1" x14ac:dyDescent="0.3">
      <c r="A16717" s="12"/>
    </row>
    <row r="16718" spans="1:1" x14ac:dyDescent="0.3">
      <c r="A16718" s="12"/>
    </row>
    <row r="16719" spans="1:1" x14ac:dyDescent="0.3">
      <c r="A16719" s="12"/>
    </row>
    <row r="16720" spans="1:1" x14ac:dyDescent="0.3">
      <c r="A16720" s="12"/>
    </row>
    <row r="16721" spans="1:1" x14ac:dyDescent="0.3">
      <c r="A16721" s="12"/>
    </row>
    <row r="16722" spans="1:1" x14ac:dyDescent="0.3">
      <c r="A16722" s="12"/>
    </row>
    <row r="16723" spans="1:1" x14ac:dyDescent="0.3">
      <c r="A16723" s="12"/>
    </row>
    <row r="16724" spans="1:1" x14ac:dyDescent="0.3">
      <c r="A16724" s="12"/>
    </row>
    <row r="16725" spans="1:1" x14ac:dyDescent="0.3">
      <c r="A16725" s="12"/>
    </row>
    <row r="16726" spans="1:1" x14ac:dyDescent="0.3">
      <c r="A16726" s="12"/>
    </row>
    <row r="16727" spans="1:1" x14ac:dyDescent="0.3">
      <c r="A16727" s="12"/>
    </row>
    <row r="16728" spans="1:1" x14ac:dyDescent="0.3">
      <c r="A16728" s="12"/>
    </row>
    <row r="16729" spans="1:1" x14ac:dyDescent="0.3">
      <c r="A16729" s="12"/>
    </row>
    <row r="16730" spans="1:1" x14ac:dyDescent="0.3">
      <c r="A16730" s="12"/>
    </row>
    <row r="16731" spans="1:1" x14ac:dyDescent="0.3">
      <c r="A16731" s="12"/>
    </row>
    <row r="16732" spans="1:1" x14ac:dyDescent="0.3">
      <c r="A16732" s="12"/>
    </row>
    <row r="16733" spans="1:1" x14ac:dyDescent="0.3">
      <c r="A16733" s="12"/>
    </row>
    <row r="16734" spans="1:1" x14ac:dyDescent="0.3">
      <c r="A16734" s="12"/>
    </row>
    <row r="16735" spans="1:1" x14ac:dyDescent="0.3">
      <c r="A16735" s="12"/>
    </row>
    <row r="16736" spans="1:1" x14ac:dyDescent="0.3">
      <c r="A16736" s="12"/>
    </row>
    <row r="16737" spans="1:1" x14ac:dyDescent="0.3">
      <c r="A16737" s="12"/>
    </row>
    <row r="16738" spans="1:1" x14ac:dyDescent="0.3">
      <c r="A16738" s="12"/>
    </row>
    <row r="16739" spans="1:1" x14ac:dyDescent="0.3">
      <c r="A16739" s="12"/>
    </row>
    <row r="16740" spans="1:1" x14ac:dyDescent="0.3">
      <c r="A16740" s="12"/>
    </row>
    <row r="16741" spans="1:1" x14ac:dyDescent="0.3">
      <c r="A16741" s="12"/>
    </row>
    <row r="16742" spans="1:1" x14ac:dyDescent="0.3">
      <c r="A16742" s="12"/>
    </row>
    <row r="16743" spans="1:1" x14ac:dyDescent="0.3">
      <c r="A16743" s="12"/>
    </row>
    <row r="16744" spans="1:1" x14ac:dyDescent="0.3">
      <c r="A16744" s="12"/>
    </row>
    <row r="16745" spans="1:1" x14ac:dyDescent="0.3">
      <c r="A16745" s="12"/>
    </row>
    <row r="16746" spans="1:1" x14ac:dyDescent="0.3">
      <c r="A16746" s="12"/>
    </row>
    <row r="16747" spans="1:1" x14ac:dyDescent="0.3">
      <c r="A16747" s="12"/>
    </row>
    <row r="16748" spans="1:1" x14ac:dyDescent="0.3">
      <c r="A16748" s="12"/>
    </row>
    <row r="16749" spans="1:1" x14ac:dyDescent="0.3">
      <c r="A16749" s="12"/>
    </row>
    <row r="16750" spans="1:1" x14ac:dyDescent="0.3">
      <c r="A16750" s="12"/>
    </row>
    <row r="16751" spans="1:1" x14ac:dyDescent="0.3">
      <c r="A16751" s="12"/>
    </row>
    <row r="16752" spans="1:1" x14ac:dyDescent="0.3">
      <c r="A16752" s="12"/>
    </row>
    <row r="16753" spans="1:1" x14ac:dyDescent="0.3">
      <c r="A16753" s="12"/>
    </row>
    <row r="16754" spans="1:1" x14ac:dyDescent="0.3">
      <c r="A16754" s="12"/>
    </row>
    <row r="16755" spans="1:1" x14ac:dyDescent="0.3">
      <c r="A16755" s="12"/>
    </row>
    <row r="16756" spans="1:1" x14ac:dyDescent="0.3">
      <c r="A16756" s="12"/>
    </row>
    <row r="16757" spans="1:1" x14ac:dyDescent="0.3">
      <c r="A16757" s="12"/>
    </row>
    <row r="16758" spans="1:1" x14ac:dyDescent="0.3">
      <c r="A16758" s="12"/>
    </row>
    <row r="16759" spans="1:1" x14ac:dyDescent="0.3">
      <c r="A16759" s="12"/>
    </row>
    <row r="16760" spans="1:1" x14ac:dyDescent="0.3">
      <c r="A16760" s="12"/>
    </row>
    <row r="16761" spans="1:1" x14ac:dyDescent="0.3">
      <c r="A16761" s="12"/>
    </row>
    <row r="16762" spans="1:1" x14ac:dyDescent="0.3">
      <c r="A16762" s="12"/>
    </row>
    <row r="16763" spans="1:1" x14ac:dyDescent="0.3">
      <c r="A16763" s="12"/>
    </row>
    <row r="16764" spans="1:1" x14ac:dyDescent="0.3">
      <c r="A16764" s="12"/>
    </row>
    <row r="16765" spans="1:1" x14ac:dyDescent="0.3">
      <c r="A16765" s="12"/>
    </row>
    <row r="16766" spans="1:1" x14ac:dyDescent="0.3">
      <c r="A16766" s="12"/>
    </row>
    <row r="16767" spans="1:1" x14ac:dyDescent="0.3">
      <c r="A16767" s="12"/>
    </row>
    <row r="16768" spans="1:1" x14ac:dyDescent="0.3">
      <c r="A16768" s="12"/>
    </row>
    <row r="16769" spans="1:1" x14ac:dyDescent="0.3">
      <c r="A16769" s="12"/>
    </row>
    <row r="16770" spans="1:1" x14ac:dyDescent="0.3">
      <c r="A16770" s="12"/>
    </row>
    <row r="16771" spans="1:1" x14ac:dyDescent="0.3">
      <c r="A16771" s="12"/>
    </row>
    <row r="16772" spans="1:1" x14ac:dyDescent="0.3">
      <c r="A16772" s="12"/>
    </row>
    <row r="16773" spans="1:1" x14ac:dyDescent="0.3">
      <c r="A16773" s="12"/>
    </row>
    <row r="16774" spans="1:1" x14ac:dyDescent="0.3">
      <c r="A16774" s="12"/>
    </row>
    <row r="16775" spans="1:1" x14ac:dyDescent="0.3">
      <c r="A16775" s="12"/>
    </row>
    <row r="16776" spans="1:1" x14ac:dyDescent="0.3">
      <c r="A16776" s="12"/>
    </row>
    <row r="16777" spans="1:1" x14ac:dyDescent="0.3">
      <c r="A16777" s="12"/>
    </row>
    <row r="16778" spans="1:1" x14ac:dyDescent="0.3">
      <c r="A16778" s="12"/>
    </row>
    <row r="16779" spans="1:1" x14ac:dyDescent="0.3">
      <c r="A16779" s="12"/>
    </row>
    <row r="16780" spans="1:1" x14ac:dyDescent="0.3">
      <c r="A16780" s="12"/>
    </row>
    <row r="16781" spans="1:1" x14ac:dyDescent="0.3">
      <c r="A16781" s="12"/>
    </row>
    <row r="16782" spans="1:1" x14ac:dyDescent="0.3">
      <c r="A16782" s="12"/>
    </row>
    <row r="16783" spans="1:1" x14ac:dyDescent="0.3">
      <c r="A16783" s="12"/>
    </row>
    <row r="16784" spans="1:1" x14ac:dyDescent="0.3">
      <c r="A16784" s="12"/>
    </row>
    <row r="16785" spans="1:1" x14ac:dyDescent="0.3">
      <c r="A16785" s="12"/>
    </row>
    <row r="16786" spans="1:1" x14ac:dyDescent="0.3">
      <c r="A16786" s="12"/>
    </row>
    <row r="16787" spans="1:1" x14ac:dyDescent="0.3">
      <c r="A16787" s="12"/>
    </row>
    <row r="16788" spans="1:1" x14ac:dyDescent="0.3">
      <c r="A16788" s="12"/>
    </row>
    <row r="16789" spans="1:1" x14ac:dyDescent="0.3">
      <c r="A16789" s="12"/>
    </row>
    <row r="16790" spans="1:1" x14ac:dyDescent="0.3">
      <c r="A16790" s="12"/>
    </row>
    <row r="16791" spans="1:1" x14ac:dyDescent="0.3">
      <c r="A16791" s="12"/>
    </row>
    <row r="16792" spans="1:1" x14ac:dyDescent="0.3">
      <c r="A16792" s="12"/>
    </row>
    <row r="16793" spans="1:1" x14ac:dyDescent="0.3">
      <c r="A16793" s="12"/>
    </row>
    <row r="16794" spans="1:1" x14ac:dyDescent="0.3">
      <c r="A16794" s="12"/>
    </row>
    <row r="16795" spans="1:1" x14ac:dyDescent="0.3">
      <c r="A16795" s="12"/>
    </row>
    <row r="16796" spans="1:1" x14ac:dyDescent="0.3">
      <c r="A16796" s="12"/>
    </row>
    <row r="16797" spans="1:1" x14ac:dyDescent="0.3">
      <c r="A16797" s="12"/>
    </row>
    <row r="16798" spans="1:1" x14ac:dyDescent="0.3">
      <c r="A16798" s="12"/>
    </row>
    <row r="16799" spans="1:1" x14ac:dyDescent="0.3">
      <c r="A16799" s="12"/>
    </row>
    <row r="16800" spans="1:1" x14ac:dyDescent="0.3">
      <c r="A16800" s="12"/>
    </row>
    <row r="16801" spans="1:1" x14ac:dyDescent="0.3">
      <c r="A16801" s="12"/>
    </row>
    <row r="16802" spans="1:1" x14ac:dyDescent="0.3">
      <c r="A16802" s="12"/>
    </row>
    <row r="16803" spans="1:1" x14ac:dyDescent="0.3">
      <c r="A16803" s="12"/>
    </row>
    <row r="16804" spans="1:1" x14ac:dyDescent="0.3">
      <c r="A16804" s="12"/>
    </row>
    <row r="16805" spans="1:1" x14ac:dyDescent="0.3">
      <c r="A16805" s="12"/>
    </row>
    <row r="16806" spans="1:1" x14ac:dyDescent="0.3">
      <c r="A16806" s="12"/>
    </row>
    <row r="16807" spans="1:1" x14ac:dyDescent="0.3">
      <c r="A16807" s="12"/>
    </row>
    <row r="16808" spans="1:1" x14ac:dyDescent="0.3">
      <c r="A16808" s="12"/>
    </row>
    <row r="16809" spans="1:1" x14ac:dyDescent="0.3">
      <c r="A16809" s="12"/>
    </row>
    <row r="16810" spans="1:1" x14ac:dyDescent="0.3">
      <c r="A16810" s="12"/>
    </row>
    <row r="16811" spans="1:1" x14ac:dyDescent="0.3">
      <c r="A16811" s="12"/>
    </row>
    <row r="16812" spans="1:1" x14ac:dyDescent="0.3">
      <c r="A16812" s="12"/>
    </row>
    <row r="16813" spans="1:1" x14ac:dyDescent="0.3">
      <c r="A16813" s="12"/>
    </row>
    <row r="16814" spans="1:1" x14ac:dyDescent="0.3">
      <c r="A16814" s="12"/>
    </row>
    <row r="16815" spans="1:1" x14ac:dyDescent="0.3">
      <c r="A16815" s="12"/>
    </row>
    <row r="16816" spans="1:1" x14ac:dyDescent="0.3">
      <c r="A16816" s="12"/>
    </row>
    <row r="16817" spans="1:1" x14ac:dyDescent="0.3">
      <c r="A16817" s="12"/>
    </row>
    <row r="16818" spans="1:1" x14ac:dyDescent="0.3">
      <c r="A16818" s="12"/>
    </row>
    <row r="16819" spans="1:1" x14ac:dyDescent="0.3">
      <c r="A16819" s="12"/>
    </row>
    <row r="16820" spans="1:1" x14ac:dyDescent="0.3">
      <c r="A16820" s="12"/>
    </row>
    <row r="16821" spans="1:1" x14ac:dyDescent="0.3">
      <c r="A16821" s="12"/>
    </row>
    <row r="16822" spans="1:1" x14ac:dyDescent="0.3">
      <c r="A16822" s="12"/>
    </row>
    <row r="16823" spans="1:1" x14ac:dyDescent="0.3">
      <c r="A16823" s="12"/>
    </row>
    <row r="16824" spans="1:1" x14ac:dyDescent="0.3">
      <c r="A16824" s="12"/>
    </row>
    <row r="16825" spans="1:1" x14ac:dyDescent="0.3">
      <c r="A16825" s="12"/>
    </row>
    <row r="16826" spans="1:1" x14ac:dyDescent="0.3">
      <c r="A16826" s="12"/>
    </row>
    <row r="16827" spans="1:1" x14ac:dyDescent="0.3">
      <c r="A16827" s="12"/>
    </row>
    <row r="16828" spans="1:1" x14ac:dyDescent="0.3">
      <c r="A16828" s="12"/>
    </row>
    <row r="16829" spans="1:1" x14ac:dyDescent="0.3">
      <c r="A16829" s="12"/>
    </row>
    <row r="16830" spans="1:1" x14ac:dyDescent="0.3">
      <c r="A16830" s="12"/>
    </row>
    <row r="16831" spans="1:1" x14ac:dyDescent="0.3">
      <c r="A16831" s="12"/>
    </row>
    <row r="16832" spans="1:1" x14ac:dyDescent="0.3">
      <c r="A16832" s="12"/>
    </row>
    <row r="16833" spans="1:1" x14ac:dyDescent="0.3">
      <c r="A16833" s="12"/>
    </row>
    <row r="16834" spans="1:1" x14ac:dyDescent="0.3">
      <c r="A16834" s="12"/>
    </row>
    <row r="16835" spans="1:1" x14ac:dyDescent="0.3">
      <c r="A16835" s="12"/>
    </row>
    <row r="16836" spans="1:1" x14ac:dyDescent="0.3">
      <c r="A16836" s="12"/>
    </row>
    <row r="16837" spans="1:1" x14ac:dyDescent="0.3">
      <c r="A16837" s="12"/>
    </row>
    <row r="16838" spans="1:1" x14ac:dyDescent="0.3">
      <c r="A16838" s="12"/>
    </row>
    <row r="16839" spans="1:1" x14ac:dyDescent="0.3">
      <c r="A16839" s="12"/>
    </row>
    <row r="16840" spans="1:1" x14ac:dyDescent="0.3">
      <c r="A16840" s="12"/>
    </row>
    <row r="16841" spans="1:1" x14ac:dyDescent="0.3">
      <c r="A16841" s="12"/>
    </row>
    <row r="16842" spans="1:1" x14ac:dyDescent="0.3">
      <c r="A16842" s="12"/>
    </row>
    <row r="16843" spans="1:1" x14ac:dyDescent="0.3">
      <c r="A16843" s="12"/>
    </row>
    <row r="16844" spans="1:1" x14ac:dyDescent="0.3">
      <c r="A16844" s="12"/>
    </row>
    <row r="16845" spans="1:1" x14ac:dyDescent="0.3">
      <c r="A16845" s="12"/>
    </row>
    <row r="16846" spans="1:1" x14ac:dyDescent="0.3">
      <c r="A16846" s="12"/>
    </row>
    <row r="16847" spans="1:1" x14ac:dyDescent="0.3">
      <c r="A16847" s="12"/>
    </row>
    <row r="16848" spans="1:1" x14ac:dyDescent="0.3">
      <c r="A16848" s="12"/>
    </row>
    <row r="16849" spans="1:1" x14ac:dyDescent="0.3">
      <c r="A16849" s="12"/>
    </row>
    <row r="16850" spans="1:1" x14ac:dyDescent="0.3">
      <c r="A16850" s="12"/>
    </row>
    <row r="16851" spans="1:1" x14ac:dyDescent="0.3">
      <c r="A16851" s="12"/>
    </row>
    <row r="16852" spans="1:1" x14ac:dyDescent="0.3">
      <c r="A16852" s="12"/>
    </row>
    <row r="16853" spans="1:1" x14ac:dyDescent="0.3">
      <c r="A16853" s="12"/>
    </row>
    <row r="16854" spans="1:1" x14ac:dyDescent="0.3">
      <c r="A16854" s="12"/>
    </row>
    <row r="16855" spans="1:1" x14ac:dyDescent="0.3">
      <c r="A16855" s="12"/>
    </row>
    <row r="16856" spans="1:1" x14ac:dyDescent="0.3">
      <c r="A16856" s="12"/>
    </row>
    <row r="16857" spans="1:1" x14ac:dyDescent="0.3">
      <c r="A16857" s="12"/>
    </row>
    <row r="16858" spans="1:1" x14ac:dyDescent="0.3">
      <c r="A16858" s="12"/>
    </row>
    <row r="16859" spans="1:1" x14ac:dyDescent="0.3">
      <c r="A16859" s="12"/>
    </row>
    <row r="16860" spans="1:1" x14ac:dyDescent="0.3">
      <c r="A16860" s="12"/>
    </row>
    <row r="16861" spans="1:1" x14ac:dyDescent="0.3">
      <c r="A16861" s="12"/>
    </row>
    <row r="16862" spans="1:1" x14ac:dyDescent="0.3">
      <c r="A16862" s="12"/>
    </row>
    <row r="16863" spans="1:1" x14ac:dyDescent="0.3">
      <c r="A16863" s="12"/>
    </row>
    <row r="16864" spans="1:1" x14ac:dyDescent="0.3">
      <c r="A16864" s="12"/>
    </row>
    <row r="16865" spans="1:1" x14ac:dyDescent="0.3">
      <c r="A16865" s="12"/>
    </row>
    <row r="16866" spans="1:1" x14ac:dyDescent="0.3">
      <c r="A16866" s="12"/>
    </row>
    <row r="16867" spans="1:1" x14ac:dyDescent="0.3">
      <c r="A16867" s="12"/>
    </row>
    <row r="16868" spans="1:1" x14ac:dyDescent="0.3">
      <c r="A16868" s="12"/>
    </row>
    <row r="16869" spans="1:1" x14ac:dyDescent="0.3">
      <c r="A16869" s="12"/>
    </row>
    <row r="16870" spans="1:1" x14ac:dyDescent="0.3">
      <c r="A16870" s="12"/>
    </row>
    <row r="16871" spans="1:1" x14ac:dyDescent="0.3">
      <c r="A16871" s="12"/>
    </row>
    <row r="16872" spans="1:1" x14ac:dyDescent="0.3">
      <c r="A16872" s="12"/>
    </row>
    <row r="16873" spans="1:1" x14ac:dyDescent="0.3">
      <c r="A16873" s="12"/>
    </row>
    <row r="16874" spans="1:1" x14ac:dyDescent="0.3">
      <c r="A16874" s="12"/>
    </row>
    <row r="16875" spans="1:1" x14ac:dyDescent="0.3">
      <c r="A16875" s="12"/>
    </row>
    <row r="16876" spans="1:1" x14ac:dyDescent="0.3">
      <c r="A16876" s="12"/>
    </row>
    <row r="16877" spans="1:1" x14ac:dyDescent="0.3">
      <c r="A16877" s="12"/>
    </row>
    <row r="16878" spans="1:1" x14ac:dyDescent="0.3">
      <c r="A16878" s="12"/>
    </row>
    <row r="16879" spans="1:1" x14ac:dyDescent="0.3">
      <c r="A16879" s="12"/>
    </row>
    <row r="16880" spans="1:1" x14ac:dyDescent="0.3">
      <c r="A16880" s="12"/>
    </row>
    <row r="16881" spans="1:1" x14ac:dyDescent="0.3">
      <c r="A16881" s="12"/>
    </row>
    <row r="16882" spans="1:1" x14ac:dyDescent="0.3">
      <c r="A16882" s="12"/>
    </row>
    <row r="16883" spans="1:1" x14ac:dyDescent="0.3">
      <c r="A16883" s="12"/>
    </row>
    <row r="16884" spans="1:1" x14ac:dyDescent="0.3">
      <c r="A16884" s="12"/>
    </row>
    <row r="16885" spans="1:1" x14ac:dyDescent="0.3">
      <c r="A16885" s="12"/>
    </row>
    <row r="16886" spans="1:1" x14ac:dyDescent="0.3">
      <c r="A16886" s="12"/>
    </row>
    <row r="16887" spans="1:1" x14ac:dyDescent="0.3">
      <c r="A16887" s="12"/>
    </row>
    <row r="16888" spans="1:1" x14ac:dyDescent="0.3">
      <c r="A16888" s="12"/>
    </row>
    <row r="16889" spans="1:1" x14ac:dyDescent="0.3">
      <c r="A16889" s="12"/>
    </row>
    <row r="16890" spans="1:1" x14ac:dyDescent="0.3">
      <c r="A16890" s="12"/>
    </row>
    <row r="16891" spans="1:1" x14ac:dyDescent="0.3">
      <c r="A16891" s="12"/>
    </row>
    <row r="16892" spans="1:1" x14ac:dyDescent="0.3">
      <c r="A16892" s="12"/>
    </row>
    <row r="16893" spans="1:1" x14ac:dyDescent="0.3">
      <c r="A16893" s="12"/>
    </row>
    <row r="16894" spans="1:1" x14ac:dyDescent="0.3">
      <c r="A16894" s="12"/>
    </row>
    <row r="16895" spans="1:1" x14ac:dyDescent="0.3">
      <c r="A16895" s="12"/>
    </row>
    <row r="16896" spans="1:1" x14ac:dyDescent="0.3">
      <c r="A16896" s="12"/>
    </row>
    <row r="16897" spans="1:1" x14ac:dyDescent="0.3">
      <c r="A16897" s="12"/>
    </row>
    <row r="16898" spans="1:1" x14ac:dyDescent="0.3">
      <c r="A16898" s="12"/>
    </row>
    <row r="16899" spans="1:1" x14ac:dyDescent="0.3">
      <c r="A16899" s="12"/>
    </row>
    <row r="16900" spans="1:1" x14ac:dyDescent="0.3">
      <c r="A16900" s="12"/>
    </row>
    <row r="16901" spans="1:1" x14ac:dyDescent="0.3">
      <c r="A16901" s="12"/>
    </row>
    <row r="16902" spans="1:1" x14ac:dyDescent="0.3">
      <c r="A16902" s="12"/>
    </row>
    <row r="16903" spans="1:1" x14ac:dyDescent="0.3">
      <c r="A16903" s="12"/>
    </row>
    <row r="16904" spans="1:1" x14ac:dyDescent="0.3">
      <c r="A16904" s="12"/>
    </row>
    <row r="16905" spans="1:1" x14ac:dyDescent="0.3">
      <c r="A16905" s="12"/>
    </row>
    <row r="16906" spans="1:1" x14ac:dyDescent="0.3">
      <c r="A16906" s="12"/>
    </row>
    <row r="16907" spans="1:1" x14ac:dyDescent="0.3">
      <c r="A16907" s="12"/>
    </row>
    <row r="16908" spans="1:1" x14ac:dyDescent="0.3">
      <c r="A16908" s="12"/>
    </row>
    <row r="16909" spans="1:1" x14ac:dyDescent="0.3">
      <c r="A16909" s="12"/>
    </row>
    <row r="16910" spans="1:1" x14ac:dyDescent="0.3">
      <c r="A16910" s="12"/>
    </row>
    <row r="16911" spans="1:1" x14ac:dyDescent="0.3">
      <c r="A16911" s="12"/>
    </row>
    <row r="16912" spans="1:1" x14ac:dyDescent="0.3">
      <c r="A16912" s="12"/>
    </row>
    <row r="16913" spans="1:1" x14ac:dyDescent="0.3">
      <c r="A16913" s="12"/>
    </row>
    <row r="16914" spans="1:1" x14ac:dyDescent="0.3">
      <c r="A16914" s="12"/>
    </row>
    <row r="16915" spans="1:1" x14ac:dyDescent="0.3">
      <c r="A16915" s="12"/>
    </row>
    <row r="16916" spans="1:1" x14ac:dyDescent="0.3">
      <c r="A16916" s="12"/>
    </row>
    <row r="16917" spans="1:1" x14ac:dyDescent="0.3">
      <c r="A16917" s="12"/>
    </row>
    <row r="16918" spans="1:1" x14ac:dyDescent="0.3">
      <c r="A16918" s="12"/>
    </row>
    <row r="16919" spans="1:1" x14ac:dyDescent="0.3">
      <c r="A16919" s="12"/>
    </row>
    <row r="16920" spans="1:1" x14ac:dyDescent="0.3">
      <c r="A16920" s="12"/>
    </row>
    <row r="16921" spans="1:1" x14ac:dyDescent="0.3">
      <c r="A16921" s="12"/>
    </row>
    <row r="16922" spans="1:1" x14ac:dyDescent="0.3">
      <c r="A16922" s="12"/>
    </row>
    <row r="16923" spans="1:1" x14ac:dyDescent="0.3">
      <c r="A16923" s="12"/>
    </row>
    <row r="16924" spans="1:1" x14ac:dyDescent="0.3">
      <c r="A16924" s="12"/>
    </row>
    <row r="16925" spans="1:1" x14ac:dyDescent="0.3">
      <c r="A16925" s="12"/>
    </row>
    <row r="16926" spans="1:1" x14ac:dyDescent="0.3">
      <c r="A16926" s="12"/>
    </row>
    <row r="16927" spans="1:1" x14ac:dyDescent="0.3">
      <c r="A16927" s="12"/>
    </row>
    <row r="16928" spans="1:1" x14ac:dyDescent="0.3">
      <c r="A16928" s="12"/>
    </row>
    <row r="16929" spans="1:1" x14ac:dyDescent="0.3">
      <c r="A16929" s="12"/>
    </row>
    <row r="16930" spans="1:1" x14ac:dyDescent="0.3">
      <c r="A16930" s="12"/>
    </row>
    <row r="16931" spans="1:1" x14ac:dyDescent="0.3">
      <c r="A16931" s="12"/>
    </row>
    <row r="16932" spans="1:1" x14ac:dyDescent="0.3">
      <c r="A16932" s="12"/>
    </row>
    <row r="16933" spans="1:1" x14ac:dyDescent="0.3">
      <c r="A16933" s="12"/>
    </row>
    <row r="16934" spans="1:1" x14ac:dyDescent="0.3">
      <c r="A16934" s="12"/>
    </row>
    <row r="16935" spans="1:1" x14ac:dyDescent="0.3">
      <c r="A16935" s="12"/>
    </row>
    <row r="16936" spans="1:1" x14ac:dyDescent="0.3">
      <c r="A16936" s="12"/>
    </row>
    <row r="16937" spans="1:1" x14ac:dyDescent="0.3">
      <c r="A16937" s="12"/>
    </row>
    <row r="16938" spans="1:1" x14ac:dyDescent="0.3">
      <c r="A16938" s="12"/>
    </row>
    <row r="16939" spans="1:1" x14ac:dyDescent="0.3">
      <c r="A16939" s="12"/>
    </row>
    <row r="16940" spans="1:1" x14ac:dyDescent="0.3">
      <c r="A16940" s="12"/>
    </row>
    <row r="16941" spans="1:1" x14ac:dyDescent="0.3">
      <c r="A16941" s="12"/>
    </row>
    <row r="16942" spans="1:1" x14ac:dyDescent="0.3">
      <c r="A16942" s="12"/>
    </row>
    <row r="16943" spans="1:1" x14ac:dyDescent="0.3">
      <c r="A16943" s="12"/>
    </row>
    <row r="16944" spans="1:1" x14ac:dyDescent="0.3">
      <c r="A16944" s="12"/>
    </row>
    <row r="16945" spans="1:1" x14ac:dyDescent="0.3">
      <c r="A16945" s="12"/>
    </row>
    <row r="16946" spans="1:1" x14ac:dyDescent="0.3">
      <c r="A16946" s="12"/>
    </row>
    <row r="16947" spans="1:1" x14ac:dyDescent="0.3">
      <c r="A16947" s="12"/>
    </row>
    <row r="16948" spans="1:1" x14ac:dyDescent="0.3">
      <c r="A16948" s="12"/>
    </row>
    <row r="16949" spans="1:1" x14ac:dyDescent="0.3">
      <c r="A16949" s="12"/>
    </row>
    <row r="16950" spans="1:1" x14ac:dyDescent="0.3">
      <c r="A16950" s="12"/>
    </row>
    <row r="16951" spans="1:1" x14ac:dyDescent="0.3">
      <c r="A16951" s="12"/>
    </row>
    <row r="16952" spans="1:1" x14ac:dyDescent="0.3">
      <c r="A16952" s="12"/>
    </row>
    <row r="16953" spans="1:1" x14ac:dyDescent="0.3">
      <c r="A16953" s="12"/>
    </row>
    <row r="16954" spans="1:1" x14ac:dyDescent="0.3">
      <c r="A16954" s="12"/>
    </row>
    <row r="16955" spans="1:1" x14ac:dyDescent="0.3">
      <c r="A16955" s="12"/>
    </row>
    <row r="16956" spans="1:1" x14ac:dyDescent="0.3">
      <c r="A16956" s="12"/>
    </row>
    <row r="16957" spans="1:1" x14ac:dyDescent="0.3">
      <c r="A16957" s="12"/>
    </row>
    <row r="16958" spans="1:1" x14ac:dyDescent="0.3">
      <c r="A16958" s="12"/>
    </row>
    <row r="16959" spans="1:1" x14ac:dyDescent="0.3">
      <c r="A16959" s="12"/>
    </row>
    <row r="16960" spans="1:1" x14ac:dyDescent="0.3">
      <c r="A16960" s="12"/>
    </row>
    <row r="16961" spans="1:1" x14ac:dyDescent="0.3">
      <c r="A16961" s="12"/>
    </row>
    <row r="16962" spans="1:1" x14ac:dyDescent="0.3">
      <c r="A16962" s="12"/>
    </row>
    <row r="16963" spans="1:1" x14ac:dyDescent="0.3">
      <c r="A16963" s="12"/>
    </row>
    <row r="16964" spans="1:1" x14ac:dyDescent="0.3">
      <c r="A16964" s="12"/>
    </row>
    <row r="16965" spans="1:1" x14ac:dyDescent="0.3">
      <c r="A16965" s="12"/>
    </row>
    <row r="16966" spans="1:1" x14ac:dyDescent="0.3">
      <c r="A16966" s="12"/>
    </row>
    <row r="16967" spans="1:1" x14ac:dyDescent="0.3">
      <c r="A16967" s="12"/>
    </row>
    <row r="16968" spans="1:1" x14ac:dyDescent="0.3">
      <c r="A16968" s="12"/>
    </row>
    <row r="16969" spans="1:1" x14ac:dyDescent="0.3">
      <c r="A16969" s="12"/>
    </row>
    <row r="16970" spans="1:1" x14ac:dyDescent="0.3">
      <c r="A16970" s="12"/>
    </row>
    <row r="16971" spans="1:1" x14ac:dyDescent="0.3">
      <c r="A16971" s="12"/>
    </row>
    <row r="16972" spans="1:1" x14ac:dyDescent="0.3">
      <c r="A16972" s="12"/>
    </row>
    <row r="16973" spans="1:1" x14ac:dyDescent="0.3">
      <c r="A16973" s="12"/>
    </row>
    <row r="16974" spans="1:1" x14ac:dyDescent="0.3">
      <c r="A16974" s="12"/>
    </row>
    <row r="16975" spans="1:1" x14ac:dyDescent="0.3">
      <c r="A16975" s="12"/>
    </row>
    <row r="16976" spans="1:1" x14ac:dyDescent="0.3">
      <c r="A16976" s="12"/>
    </row>
    <row r="16977" spans="1:1" x14ac:dyDescent="0.3">
      <c r="A16977" s="12"/>
    </row>
    <row r="16978" spans="1:1" x14ac:dyDescent="0.3">
      <c r="A16978" s="12"/>
    </row>
    <row r="16979" spans="1:1" x14ac:dyDescent="0.3">
      <c r="A16979" s="12"/>
    </row>
    <row r="16980" spans="1:1" x14ac:dyDescent="0.3">
      <c r="A16980" s="12"/>
    </row>
    <row r="16981" spans="1:1" x14ac:dyDescent="0.3">
      <c r="A16981" s="12"/>
    </row>
    <row r="16982" spans="1:1" x14ac:dyDescent="0.3">
      <c r="A16982" s="12"/>
    </row>
    <row r="16983" spans="1:1" x14ac:dyDescent="0.3">
      <c r="A16983" s="12"/>
    </row>
    <row r="16984" spans="1:1" x14ac:dyDescent="0.3">
      <c r="A16984" s="12"/>
    </row>
    <row r="16985" spans="1:1" x14ac:dyDescent="0.3">
      <c r="A16985" s="12"/>
    </row>
    <row r="16986" spans="1:1" x14ac:dyDescent="0.3">
      <c r="A16986" s="12"/>
    </row>
    <row r="16987" spans="1:1" x14ac:dyDescent="0.3">
      <c r="A16987" s="12"/>
    </row>
    <row r="16988" spans="1:1" x14ac:dyDescent="0.3">
      <c r="A16988" s="12"/>
    </row>
    <row r="16989" spans="1:1" x14ac:dyDescent="0.3">
      <c r="A16989" s="12"/>
    </row>
    <row r="16990" spans="1:1" x14ac:dyDescent="0.3">
      <c r="A16990" s="12"/>
    </row>
    <row r="16991" spans="1:1" x14ac:dyDescent="0.3">
      <c r="A16991" s="12"/>
    </row>
    <row r="16992" spans="1:1" x14ac:dyDescent="0.3">
      <c r="A16992" s="12"/>
    </row>
    <row r="16993" spans="1:1" x14ac:dyDescent="0.3">
      <c r="A16993" s="12"/>
    </row>
    <row r="16994" spans="1:1" x14ac:dyDescent="0.3">
      <c r="A16994" s="12"/>
    </row>
    <row r="16995" spans="1:1" x14ac:dyDescent="0.3">
      <c r="A16995" s="12"/>
    </row>
    <row r="16996" spans="1:1" x14ac:dyDescent="0.3">
      <c r="A16996" s="12"/>
    </row>
    <row r="16997" spans="1:1" x14ac:dyDescent="0.3">
      <c r="A16997" s="12"/>
    </row>
    <row r="16998" spans="1:1" x14ac:dyDescent="0.3">
      <c r="A16998" s="12"/>
    </row>
    <row r="16999" spans="1:1" x14ac:dyDescent="0.3">
      <c r="A16999" s="12"/>
    </row>
    <row r="17000" spans="1:1" x14ac:dyDescent="0.3">
      <c r="A17000" s="12"/>
    </row>
    <row r="17001" spans="1:1" x14ac:dyDescent="0.3">
      <c r="A17001" s="12"/>
    </row>
    <row r="17002" spans="1:1" x14ac:dyDescent="0.3">
      <c r="A17002" s="12"/>
    </row>
    <row r="17003" spans="1:1" x14ac:dyDescent="0.3">
      <c r="A17003" s="12"/>
    </row>
    <row r="17004" spans="1:1" x14ac:dyDescent="0.3">
      <c r="A17004" s="12"/>
    </row>
    <row r="17005" spans="1:1" x14ac:dyDescent="0.3">
      <c r="A17005" s="12"/>
    </row>
    <row r="17006" spans="1:1" x14ac:dyDescent="0.3">
      <c r="A17006" s="12"/>
    </row>
    <row r="17007" spans="1:1" x14ac:dyDescent="0.3">
      <c r="A17007" s="12"/>
    </row>
    <row r="17008" spans="1:1" x14ac:dyDescent="0.3">
      <c r="A17008" s="12"/>
    </row>
    <row r="17009" spans="1:1" x14ac:dyDescent="0.3">
      <c r="A17009" s="12"/>
    </row>
    <row r="17010" spans="1:1" x14ac:dyDescent="0.3">
      <c r="A17010" s="12"/>
    </row>
    <row r="17011" spans="1:1" x14ac:dyDescent="0.3">
      <c r="A17011" s="12"/>
    </row>
    <row r="17012" spans="1:1" x14ac:dyDescent="0.3">
      <c r="A17012" s="12"/>
    </row>
    <row r="17013" spans="1:1" x14ac:dyDescent="0.3">
      <c r="A17013" s="12"/>
    </row>
    <row r="17014" spans="1:1" x14ac:dyDescent="0.3">
      <c r="A17014" s="12"/>
    </row>
    <row r="17015" spans="1:1" x14ac:dyDescent="0.3">
      <c r="A17015" s="12"/>
    </row>
    <row r="17016" spans="1:1" x14ac:dyDescent="0.3">
      <c r="A17016" s="12"/>
    </row>
    <row r="17017" spans="1:1" x14ac:dyDescent="0.3">
      <c r="A17017" s="12"/>
    </row>
    <row r="17018" spans="1:1" x14ac:dyDescent="0.3">
      <c r="A17018" s="12"/>
    </row>
    <row r="17019" spans="1:1" x14ac:dyDescent="0.3">
      <c r="A17019" s="12"/>
    </row>
    <row r="17020" spans="1:1" x14ac:dyDescent="0.3">
      <c r="A17020" s="12"/>
    </row>
    <row r="17021" spans="1:1" x14ac:dyDescent="0.3">
      <c r="A17021" s="12"/>
    </row>
    <row r="17022" spans="1:1" x14ac:dyDescent="0.3">
      <c r="A17022" s="12"/>
    </row>
    <row r="17023" spans="1:1" x14ac:dyDescent="0.3">
      <c r="A17023" s="12"/>
    </row>
    <row r="17024" spans="1:1" x14ac:dyDescent="0.3">
      <c r="A17024" s="12"/>
    </row>
    <row r="17025" spans="1:1" x14ac:dyDescent="0.3">
      <c r="A17025" s="12"/>
    </row>
    <row r="17026" spans="1:1" x14ac:dyDescent="0.3">
      <c r="A17026" s="12"/>
    </row>
    <row r="17027" spans="1:1" x14ac:dyDescent="0.3">
      <c r="A17027" s="12"/>
    </row>
    <row r="17028" spans="1:1" x14ac:dyDescent="0.3">
      <c r="A17028" s="12"/>
    </row>
    <row r="17029" spans="1:1" x14ac:dyDescent="0.3">
      <c r="A17029" s="12"/>
    </row>
    <row r="17030" spans="1:1" x14ac:dyDescent="0.3">
      <c r="A17030" s="12"/>
    </row>
    <row r="17031" spans="1:1" x14ac:dyDescent="0.3">
      <c r="A17031" s="12"/>
    </row>
    <row r="17032" spans="1:1" x14ac:dyDescent="0.3">
      <c r="A17032" s="12"/>
    </row>
    <row r="17033" spans="1:1" x14ac:dyDescent="0.3">
      <c r="A17033" s="12"/>
    </row>
    <row r="17034" spans="1:1" x14ac:dyDescent="0.3">
      <c r="A17034" s="12"/>
    </row>
    <row r="17035" spans="1:1" x14ac:dyDescent="0.3">
      <c r="A17035" s="12"/>
    </row>
    <row r="17036" spans="1:1" x14ac:dyDescent="0.3">
      <c r="A17036" s="12"/>
    </row>
    <row r="17037" spans="1:1" x14ac:dyDescent="0.3">
      <c r="A17037" s="12"/>
    </row>
    <row r="17038" spans="1:1" x14ac:dyDescent="0.3">
      <c r="A17038" s="12"/>
    </row>
    <row r="17039" spans="1:1" x14ac:dyDescent="0.3">
      <c r="A17039" s="12"/>
    </row>
    <row r="17040" spans="1:1" x14ac:dyDescent="0.3">
      <c r="A17040" s="12"/>
    </row>
    <row r="17041" spans="1:1" x14ac:dyDescent="0.3">
      <c r="A17041" s="12"/>
    </row>
    <row r="17042" spans="1:1" x14ac:dyDescent="0.3">
      <c r="A17042" s="12"/>
    </row>
    <row r="17043" spans="1:1" x14ac:dyDescent="0.3">
      <c r="A17043" s="12"/>
    </row>
    <row r="17044" spans="1:1" x14ac:dyDescent="0.3">
      <c r="A17044" s="12"/>
    </row>
    <row r="17045" spans="1:1" x14ac:dyDescent="0.3">
      <c r="A17045" s="12"/>
    </row>
    <row r="17046" spans="1:1" x14ac:dyDescent="0.3">
      <c r="A17046" s="12"/>
    </row>
    <row r="17047" spans="1:1" x14ac:dyDescent="0.3">
      <c r="A17047" s="12"/>
    </row>
    <row r="17048" spans="1:1" x14ac:dyDescent="0.3">
      <c r="A17048" s="12"/>
    </row>
    <row r="17049" spans="1:1" x14ac:dyDescent="0.3">
      <c r="A17049" s="12"/>
    </row>
    <row r="17050" spans="1:1" x14ac:dyDescent="0.3">
      <c r="A17050" s="12"/>
    </row>
    <row r="17051" spans="1:1" x14ac:dyDescent="0.3">
      <c r="A17051" s="12"/>
    </row>
    <row r="17052" spans="1:1" x14ac:dyDescent="0.3">
      <c r="A17052" s="12"/>
    </row>
    <row r="17053" spans="1:1" x14ac:dyDescent="0.3">
      <c r="A17053" s="12"/>
    </row>
    <row r="17054" spans="1:1" x14ac:dyDescent="0.3">
      <c r="A17054" s="12"/>
    </row>
    <row r="17055" spans="1:1" x14ac:dyDescent="0.3">
      <c r="A17055" s="12"/>
    </row>
    <row r="17056" spans="1:1" x14ac:dyDescent="0.3">
      <c r="A17056" s="12"/>
    </row>
    <row r="17057" spans="1:1" x14ac:dyDescent="0.3">
      <c r="A17057" s="12"/>
    </row>
    <row r="17058" spans="1:1" x14ac:dyDescent="0.3">
      <c r="A17058" s="12"/>
    </row>
    <row r="17059" spans="1:1" x14ac:dyDescent="0.3">
      <c r="A17059" s="12"/>
    </row>
    <row r="17060" spans="1:1" x14ac:dyDescent="0.3">
      <c r="A17060" s="12"/>
    </row>
    <row r="17061" spans="1:1" x14ac:dyDescent="0.3">
      <c r="A17061" s="12"/>
    </row>
    <row r="17062" spans="1:1" x14ac:dyDescent="0.3">
      <c r="A17062" s="12"/>
    </row>
    <row r="17063" spans="1:1" x14ac:dyDescent="0.3">
      <c r="A17063" s="12"/>
    </row>
    <row r="17064" spans="1:1" x14ac:dyDescent="0.3">
      <c r="A17064" s="12"/>
    </row>
    <row r="17065" spans="1:1" x14ac:dyDescent="0.3">
      <c r="A17065" s="12"/>
    </row>
    <row r="17066" spans="1:1" x14ac:dyDescent="0.3">
      <c r="A17066" s="12"/>
    </row>
    <row r="17067" spans="1:1" x14ac:dyDescent="0.3">
      <c r="A17067" s="12"/>
    </row>
    <row r="17068" spans="1:1" x14ac:dyDescent="0.3">
      <c r="A17068" s="12"/>
    </row>
    <row r="17069" spans="1:1" x14ac:dyDescent="0.3">
      <c r="A17069" s="12"/>
    </row>
    <row r="17070" spans="1:1" x14ac:dyDescent="0.3">
      <c r="A17070" s="12"/>
    </row>
    <row r="17071" spans="1:1" x14ac:dyDescent="0.3">
      <c r="A17071" s="12"/>
    </row>
    <row r="17072" spans="1:1" x14ac:dyDescent="0.3">
      <c r="A17072" s="12"/>
    </row>
    <row r="17073" spans="1:1" x14ac:dyDescent="0.3">
      <c r="A17073" s="12"/>
    </row>
    <row r="17074" spans="1:1" x14ac:dyDescent="0.3">
      <c r="A17074" s="12"/>
    </row>
    <row r="17075" spans="1:1" x14ac:dyDescent="0.3">
      <c r="A17075" s="12"/>
    </row>
    <row r="17076" spans="1:1" x14ac:dyDescent="0.3">
      <c r="A17076" s="12"/>
    </row>
    <row r="17077" spans="1:1" x14ac:dyDescent="0.3">
      <c r="A17077" s="12"/>
    </row>
    <row r="17078" spans="1:1" x14ac:dyDescent="0.3">
      <c r="A17078" s="12"/>
    </row>
    <row r="17079" spans="1:1" x14ac:dyDescent="0.3">
      <c r="A17079" s="12"/>
    </row>
    <row r="17080" spans="1:1" x14ac:dyDescent="0.3">
      <c r="A17080" s="12"/>
    </row>
    <row r="17081" spans="1:1" x14ac:dyDescent="0.3">
      <c r="A17081" s="12"/>
    </row>
    <row r="17082" spans="1:1" x14ac:dyDescent="0.3">
      <c r="A17082" s="12"/>
    </row>
    <row r="17083" spans="1:1" x14ac:dyDescent="0.3">
      <c r="A17083" s="12"/>
    </row>
    <row r="17084" spans="1:1" x14ac:dyDescent="0.3">
      <c r="A17084" s="12"/>
    </row>
    <row r="17085" spans="1:1" x14ac:dyDescent="0.3">
      <c r="A17085" s="12"/>
    </row>
    <row r="17086" spans="1:1" x14ac:dyDescent="0.3">
      <c r="A17086" s="12"/>
    </row>
    <row r="17087" spans="1:1" x14ac:dyDescent="0.3">
      <c r="A17087" s="12"/>
    </row>
    <row r="17088" spans="1:1" x14ac:dyDescent="0.3">
      <c r="A17088" s="12"/>
    </row>
    <row r="17089" spans="1:1" x14ac:dyDescent="0.3">
      <c r="A17089" s="12"/>
    </row>
    <row r="17090" spans="1:1" x14ac:dyDescent="0.3">
      <c r="A17090" s="12"/>
    </row>
    <row r="17091" spans="1:1" x14ac:dyDescent="0.3">
      <c r="A17091" s="12"/>
    </row>
    <row r="17092" spans="1:1" x14ac:dyDescent="0.3">
      <c r="A17092" s="12"/>
    </row>
    <row r="17093" spans="1:1" x14ac:dyDescent="0.3">
      <c r="A17093" s="12"/>
    </row>
    <row r="17094" spans="1:1" x14ac:dyDescent="0.3">
      <c r="A17094" s="12"/>
    </row>
    <row r="17095" spans="1:1" x14ac:dyDescent="0.3">
      <c r="A17095" s="12"/>
    </row>
    <row r="17096" spans="1:1" x14ac:dyDescent="0.3">
      <c r="A17096" s="12"/>
    </row>
    <row r="17097" spans="1:1" x14ac:dyDescent="0.3">
      <c r="A17097" s="12"/>
    </row>
    <row r="17098" spans="1:1" x14ac:dyDescent="0.3">
      <c r="A17098" s="12"/>
    </row>
    <row r="17099" spans="1:1" x14ac:dyDescent="0.3">
      <c r="A17099" s="12"/>
    </row>
    <row r="17100" spans="1:1" x14ac:dyDescent="0.3">
      <c r="A17100" s="12"/>
    </row>
    <row r="17101" spans="1:1" x14ac:dyDescent="0.3">
      <c r="A17101" s="12"/>
    </row>
    <row r="17102" spans="1:1" x14ac:dyDescent="0.3">
      <c r="A17102" s="12"/>
    </row>
    <row r="17103" spans="1:1" x14ac:dyDescent="0.3">
      <c r="A17103" s="12"/>
    </row>
    <row r="17104" spans="1:1" x14ac:dyDescent="0.3">
      <c r="A17104" s="12"/>
    </row>
    <row r="17105" spans="1:1" x14ac:dyDescent="0.3">
      <c r="A17105" s="12"/>
    </row>
    <row r="17106" spans="1:1" x14ac:dyDescent="0.3">
      <c r="A17106" s="12"/>
    </row>
    <row r="17107" spans="1:1" x14ac:dyDescent="0.3">
      <c r="A17107" s="12"/>
    </row>
    <row r="17108" spans="1:1" x14ac:dyDescent="0.3">
      <c r="A17108" s="12"/>
    </row>
    <row r="17109" spans="1:1" x14ac:dyDescent="0.3">
      <c r="A17109" s="12"/>
    </row>
    <row r="17110" spans="1:1" x14ac:dyDescent="0.3">
      <c r="A17110" s="12"/>
    </row>
    <row r="17111" spans="1:1" x14ac:dyDescent="0.3">
      <c r="A17111" s="12"/>
    </row>
    <row r="17112" spans="1:1" x14ac:dyDescent="0.3">
      <c r="A17112" s="12"/>
    </row>
    <row r="17113" spans="1:1" x14ac:dyDescent="0.3">
      <c r="A17113" s="12"/>
    </row>
    <row r="17114" spans="1:1" x14ac:dyDescent="0.3">
      <c r="A17114" s="12"/>
    </row>
    <row r="17115" spans="1:1" x14ac:dyDescent="0.3">
      <c r="A17115" s="12"/>
    </row>
    <row r="17116" spans="1:1" x14ac:dyDescent="0.3">
      <c r="A17116" s="12"/>
    </row>
    <row r="17117" spans="1:1" x14ac:dyDescent="0.3">
      <c r="A17117" s="12"/>
    </row>
    <row r="17118" spans="1:1" x14ac:dyDescent="0.3">
      <c r="A17118" s="12"/>
    </row>
    <row r="17119" spans="1:1" x14ac:dyDescent="0.3">
      <c r="A17119" s="12"/>
    </row>
    <row r="17120" spans="1:1" x14ac:dyDescent="0.3">
      <c r="A17120" s="12"/>
    </row>
    <row r="17121" spans="1:1" x14ac:dyDescent="0.3">
      <c r="A17121" s="12"/>
    </row>
    <row r="17122" spans="1:1" x14ac:dyDescent="0.3">
      <c r="A17122" s="12"/>
    </row>
    <row r="17123" spans="1:1" x14ac:dyDescent="0.3">
      <c r="A17123" s="12"/>
    </row>
    <row r="17124" spans="1:1" x14ac:dyDescent="0.3">
      <c r="A17124" s="12"/>
    </row>
    <row r="17125" spans="1:1" x14ac:dyDescent="0.3">
      <c r="A17125" s="12"/>
    </row>
    <row r="17126" spans="1:1" x14ac:dyDescent="0.3">
      <c r="A17126" s="12"/>
    </row>
    <row r="17127" spans="1:1" x14ac:dyDescent="0.3">
      <c r="A17127" s="12"/>
    </row>
    <row r="17128" spans="1:1" x14ac:dyDescent="0.3">
      <c r="A17128" s="12"/>
    </row>
    <row r="17129" spans="1:1" x14ac:dyDescent="0.3">
      <c r="A17129" s="12"/>
    </row>
    <row r="17130" spans="1:1" x14ac:dyDescent="0.3">
      <c r="A17130" s="12"/>
    </row>
    <row r="17131" spans="1:1" x14ac:dyDescent="0.3">
      <c r="A17131" s="12"/>
    </row>
    <row r="17132" spans="1:1" x14ac:dyDescent="0.3">
      <c r="A17132" s="12"/>
    </row>
    <row r="17133" spans="1:1" x14ac:dyDescent="0.3">
      <c r="A17133" s="12"/>
    </row>
    <row r="17134" spans="1:1" x14ac:dyDescent="0.3">
      <c r="A17134" s="12"/>
    </row>
    <row r="17135" spans="1:1" x14ac:dyDescent="0.3">
      <c r="A17135" s="12"/>
    </row>
    <row r="17136" spans="1:1" x14ac:dyDescent="0.3">
      <c r="A17136" s="12"/>
    </row>
    <row r="17137" spans="1:1" x14ac:dyDescent="0.3">
      <c r="A17137" s="12"/>
    </row>
    <row r="17138" spans="1:1" x14ac:dyDescent="0.3">
      <c r="A17138" s="12"/>
    </row>
    <row r="17139" spans="1:1" x14ac:dyDescent="0.3">
      <c r="A17139" s="12"/>
    </row>
    <row r="17140" spans="1:1" x14ac:dyDescent="0.3">
      <c r="A17140" s="12"/>
    </row>
    <row r="17141" spans="1:1" x14ac:dyDescent="0.3">
      <c r="A17141" s="12"/>
    </row>
    <row r="17142" spans="1:1" x14ac:dyDescent="0.3">
      <c r="A17142" s="12"/>
    </row>
    <row r="17143" spans="1:1" x14ac:dyDescent="0.3">
      <c r="A17143" s="12"/>
    </row>
    <row r="17144" spans="1:1" x14ac:dyDescent="0.3">
      <c r="A17144" s="12"/>
    </row>
    <row r="17145" spans="1:1" x14ac:dyDescent="0.3">
      <c r="A17145" s="12"/>
    </row>
    <row r="17146" spans="1:1" x14ac:dyDescent="0.3">
      <c r="A17146" s="12"/>
    </row>
    <row r="17147" spans="1:1" x14ac:dyDescent="0.3">
      <c r="A17147" s="12"/>
    </row>
    <row r="17148" spans="1:1" x14ac:dyDescent="0.3">
      <c r="A17148" s="12"/>
    </row>
    <row r="17149" spans="1:1" x14ac:dyDescent="0.3">
      <c r="A17149" s="12"/>
    </row>
    <row r="17150" spans="1:1" x14ac:dyDescent="0.3">
      <c r="A17150" s="12"/>
    </row>
    <row r="17151" spans="1:1" x14ac:dyDescent="0.3">
      <c r="A17151" s="12"/>
    </row>
    <row r="17152" spans="1:1" x14ac:dyDescent="0.3">
      <c r="A17152" s="12"/>
    </row>
    <row r="17153" spans="1:1" x14ac:dyDescent="0.3">
      <c r="A17153" s="12"/>
    </row>
    <row r="17154" spans="1:1" x14ac:dyDescent="0.3">
      <c r="A17154" s="12"/>
    </row>
    <row r="17155" spans="1:1" x14ac:dyDescent="0.3">
      <c r="A17155" s="12"/>
    </row>
    <row r="17156" spans="1:1" x14ac:dyDescent="0.3">
      <c r="A17156" s="12"/>
    </row>
    <row r="17157" spans="1:1" x14ac:dyDescent="0.3">
      <c r="A17157" s="12"/>
    </row>
    <row r="17158" spans="1:1" x14ac:dyDescent="0.3">
      <c r="A17158" s="12"/>
    </row>
    <row r="17159" spans="1:1" x14ac:dyDescent="0.3">
      <c r="A17159" s="12"/>
    </row>
    <row r="17160" spans="1:1" x14ac:dyDescent="0.3">
      <c r="A17160" s="12"/>
    </row>
    <row r="17161" spans="1:1" x14ac:dyDescent="0.3">
      <c r="A17161" s="12"/>
    </row>
    <row r="17162" spans="1:1" x14ac:dyDescent="0.3">
      <c r="A17162" s="12"/>
    </row>
    <row r="17163" spans="1:1" x14ac:dyDescent="0.3">
      <c r="A17163" s="12"/>
    </row>
    <row r="17164" spans="1:1" x14ac:dyDescent="0.3">
      <c r="A17164" s="12"/>
    </row>
    <row r="17165" spans="1:1" x14ac:dyDescent="0.3">
      <c r="A17165" s="12"/>
    </row>
    <row r="17166" spans="1:1" x14ac:dyDescent="0.3">
      <c r="A17166" s="12"/>
    </row>
    <row r="17167" spans="1:1" x14ac:dyDescent="0.3">
      <c r="A17167" s="12"/>
    </row>
    <row r="17168" spans="1:1" x14ac:dyDescent="0.3">
      <c r="A17168" s="12"/>
    </row>
    <row r="17169" spans="1:1" x14ac:dyDescent="0.3">
      <c r="A17169" s="12"/>
    </row>
    <row r="17170" spans="1:1" x14ac:dyDescent="0.3">
      <c r="A17170" s="12"/>
    </row>
    <row r="17171" spans="1:1" x14ac:dyDescent="0.3">
      <c r="A17171" s="12"/>
    </row>
    <row r="17172" spans="1:1" x14ac:dyDescent="0.3">
      <c r="A17172" s="12"/>
    </row>
    <row r="17173" spans="1:1" x14ac:dyDescent="0.3">
      <c r="A17173" s="12"/>
    </row>
    <row r="17174" spans="1:1" x14ac:dyDescent="0.3">
      <c r="A17174" s="12"/>
    </row>
    <row r="17175" spans="1:1" x14ac:dyDescent="0.3">
      <c r="A17175" s="12"/>
    </row>
    <row r="17176" spans="1:1" x14ac:dyDescent="0.3">
      <c r="A17176" s="12"/>
    </row>
    <row r="17177" spans="1:1" x14ac:dyDescent="0.3">
      <c r="A17177" s="12"/>
    </row>
    <row r="17178" spans="1:1" x14ac:dyDescent="0.3">
      <c r="A17178" s="12"/>
    </row>
    <row r="17179" spans="1:1" x14ac:dyDescent="0.3">
      <c r="A17179" s="12"/>
    </row>
    <row r="17180" spans="1:1" x14ac:dyDescent="0.3">
      <c r="A17180" s="12"/>
    </row>
    <row r="17181" spans="1:1" x14ac:dyDescent="0.3">
      <c r="A17181" s="12"/>
    </row>
    <row r="17182" spans="1:1" x14ac:dyDescent="0.3">
      <c r="A17182" s="12"/>
    </row>
    <row r="17183" spans="1:1" x14ac:dyDescent="0.3">
      <c r="A17183" s="12"/>
    </row>
    <row r="17184" spans="1:1" x14ac:dyDescent="0.3">
      <c r="A17184" s="12"/>
    </row>
    <row r="17185" spans="1:1" x14ac:dyDescent="0.3">
      <c r="A17185" s="12"/>
    </row>
    <row r="17186" spans="1:1" x14ac:dyDescent="0.3">
      <c r="A17186" s="12"/>
    </row>
    <row r="17187" spans="1:1" x14ac:dyDescent="0.3">
      <c r="A17187" s="12"/>
    </row>
    <row r="17188" spans="1:1" x14ac:dyDescent="0.3">
      <c r="A17188" s="12"/>
    </row>
    <row r="17189" spans="1:1" x14ac:dyDescent="0.3">
      <c r="A17189" s="12"/>
    </row>
    <row r="17190" spans="1:1" x14ac:dyDescent="0.3">
      <c r="A17190" s="12"/>
    </row>
    <row r="17191" spans="1:1" x14ac:dyDescent="0.3">
      <c r="A17191" s="12"/>
    </row>
    <row r="17192" spans="1:1" x14ac:dyDescent="0.3">
      <c r="A17192" s="12"/>
    </row>
    <row r="17193" spans="1:1" x14ac:dyDescent="0.3">
      <c r="A17193" s="12"/>
    </row>
    <row r="17194" spans="1:1" x14ac:dyDescent="0.3">
      <c r="A17194" s="12"/>
    </row>
    <row r="17195" spans="1:1" x14ac:dyDescent="0.3">
      <c r="A17195" s="12"/>
    </row>
    <row r="17196" spans="1:1" x14ac:dyDescent="0.3">
      <c r="A17196" s="12"/>
    </row>
    <row r="17197" spans="1:1" x14ac:dyDescent="0.3">
      <c r="A17197" s="12"/>
    </row>
    <row r="17198" spans="1:1" x14ac:dyDescent="0.3">
      <c r="A17198" s="12"/>
    </row>
    <row r="17199" spans="1:1" x14ac:dyDescent="0.3">
      <c r="A17199" s="12"/>
    </row>
    <row r="17200" spans="1:1" x14ac:dyDescent="0.3">
      <c r="A17200" s="12"/>
    </row>
    <row r="17201" spans="1:1" x14ac:dyDescent="0.3">
      <c r="A17201" s="12"/>
    </row>
    <row r="17202" spans="1:1" x14ac:dyDescent="0.3">
      <c r="A17202" s="12"/>
    </row>
    <row r="17203" spans="1:1" x14ac:dyDescent="0.3">
      <c r="A17203" s="12"/>
    </row>
    <row r="17204" spans="1:1" x14ac:dyDescent="0.3">
      <c r="A17204" s="12"/>
    </row>
    <row r="17205" spans="1:1" x14ac:dyDescent="0.3">
      <c r="A17205" s="12"/>
    </row>
    <row r="17206" spans="1:1" x14ac:dyDescent="0.3">
      <c r="A17206" s="12"/>
    </row>
    <row r="17207" spans="1:1" x14ac:dyDescent="0.3">
      <c r="A17207" s="12"/>
    </row>
    <row r="17208" spans="1:1" x14ac:dyDescent="0.3">
      <c r="A17208" s="12"/>
    </row>
    <row r="17209" spans="1:1" x14ac:dyDescent="0.3">
      <c r="A17209" s="12"/>
    </row>
    <row r="17210" spans="1:1" x14ac:dyDescent="0.3">
      <c r="A17210" s="12"/>
    </row>
    <row r="17211" spans="1:1" x14ac:dyDescent="0.3">
      <c r="A17211" s="12"/>
    </row>
    <row r="17212" spans="1:1" x14ac:dyDescent="0.3">
      <c r="A17212" s="12"/>
    </row>
    <row r="17213" spans="1:1" x14ac:dyDescent="0.3">
      <c r="A17213" s="12"/>
    </row>
    <row r="17214" spans="1:1" x14ac:dyDescent="0.3">
      <c r="A17214" s="12"/>
    </row>
    <row r="17215" spans="1:1" x14ac:dyDescent="0.3">
      <c r="A17215" s="12"/>
    </row>
    <row r="17216" spans="1:1" x14ac:dyDescent="0.3">
      <c r="A17216" s="12"/>
    </row>
    <row r="17217" spans="1:1" x14ac:dyDescent="0.3">
      <c r="A17217" s="12"/>
    </row>
    <row r="17218" spans="1:1" x14ac:dyDescent="0.3">
      <c r="A17218" s="12"/>
    </row>
    <row r="17219" spans="1:1" x14ac:dyDescent="0.3">
      <c r="A17219" s="12"/>
    </row>
    <row r="17220" spans="1:1" x14ac:dyDescent="0.3">
      <c r="A17220" s="12"/>
    </row>
    <row r="17221" spans="1:1" x14ac:dyDescent="0.3">
      <c r="A17221" s="12"/>
    </row>
    <row r="17222" spans="1:1" x14ac:dyDescent="0.3">
      <c r="A17222" s="12"/>
    </row>
    <row r="17223" spans="1:1" x14ac:dyDescent="0.3">
      <c r="A17223" s="12"/>
    </row>
    <row r="17224" spans="1:1" x14ac:dyDescent="0.3">
      <c r="A17224" s="12"/>
    </row>
    <row r="17225" spans="1:1" x14ac:dyDescent="0.3">
      <c r="A17225" s="12"/>
    </row>
    <row r="17226" spans="1:1" x14ac:dyDescent="0.3">
      <c r="A17226" s="12"/>
    </row>
    <row r="17227" spans="1:1" x14ac:dyDescent="0.3">
      <c r="A17227" s="12"/>
    </row>
    <row r="17228" spans="1:1" x14ac:dyDescent="0.3">
      <c r="A17228" s="12"/>
    </row>
    <row r="17229" spans="1:1" x14ac:dyDescent="0.3">
      <c r="A17229" s="12"/>
    </row>
    <row r="17230" spans="1:1" x14ac:dyDescent="0.3">
      <c r="A17230" s="12"/>
    </row>
    <row r="17231" spans="1:1" x14ac:dyDescent="0.3">
      <c r="A17231" s="12"/>
    </row>
    <row r="17232" spans="1:1" x14ac:dyDescent="0.3">
      <c r="A17232" s="12"/>
    </row>
    <row r="17233" spans="1:1" x14ac:dyDescent="0.3">
      <c r="A17233" s="12"/>
    </row>
    <row r="17234" spans="1:1" x14ac:dyDescent="0.3">
      <c r="A17234" s="12"/>
    </row>
    <row r="17235" spans="1:1" x14ac:dyDescent="0.3">
      <c r="A17235" s="12"/>
    </row>
    <row r="17236" spans="1:1" x14ac:dyDescent="0.3">
      <c r="A17236" s="12"/>
    </row>
    <row r="17237" spans="1:1" x14ac:dyDescent="0.3">
      <c r="A17237" s="12"/>
    </row>
    <row r="17238" spans="1:1" x14ac:dyDescent="0.3">
      <c r="A17238" s="12"/>
    </row>
    <row r="17239" spans="1:1" x14ac:dyDescent="0.3">
      <c r="A17239" s="12"/>
    </row>
    <row r="17240" spans="1:1" x14ac:dyDescent="0.3">
      <c r="A17240" s="12"/>
    </row>
    <row r="17241" spans="1:1" x14ac:dyDescent="0.3">
      <c r="A17241" s="12"/>
    </row>
    <row r="17242" spans="1:1" x14ac:dyDescent="0.3">
      <c r="A17242" s="12"/>
    </row>
    <row r="17243" spans="1:1" x14ac:dyDescent="0.3">
      <c r="A17243" s="12"/>
    </row>
    <row r="17244" spans="1:1" x14ac:dyDescent="0.3">
      <c r="A17244" s="12"/>
    </row>
    <row r="17245" spans="1:1" x14ac:dyDescent="0.3">
      <c r="A17245" s="12"/>
    </row>
    <row r="17246" spans="1:1" x14ac:dyDescent="0.3">
      <c r="A17246" s="12"/>
    </row>
    <row r="17247" spans="1:1" x14ac:dyDescent="0.3">
      <c r="A17247" s="12"/>
    </row>
    <row r="17248" spans="1:1" x14ac:dyDescent="0.3">
      <c r="A17248" s="12"/>
    </row>
    <row r="17249" spans="1:1" x14ac:dyDescent="0.3">
      <c r="A17249" s="12"/>
    </row>
    <row r="17250" spans="1:1" x14ac:dyDescent="0.3">
      <c r="A17250" s="12"/>
    </row>
    <row r="17251" spans="1:1" x14ac:dyDescent="0.3">
      <c r="A17251" s="12"/>
    </row>
    <row r="17252" spans="1:1" x14ac:dyDescent="0.3">
      <c r="A17252" s="12"/>
    </row>
    <row r="17253" spans="1:1" x14ac:dyDescent="0.3">
      <c r="A17253" s="12"/>
    </row>
    <row r="17254" spans="1:1" x14ac:dyDescent="0.3">
      <c r="A17254" s="12"/>
    </row>
    <row r="17255" spans="1:1" x14ac:dyDescent="0.3">
      <c r="A17255" s="12"/>
    </row>
    <row r="17256" spans="1:1" x14ac:dyDescent="0.3">
      <c r="A17256" s="12"/>
    </row>
    <row r="17257" spans="1:1" x14ac:dyDescent="0.3">
      <c r="A17257" s="12"/>
    </row>
    <row r="17258" spans="1:1" x14ac:dyDescent="0.3">
      <c r="A17258" s="12"/>
    </row>
    <row r="17259" spans="1:1" x14ac:dyDescent="0.3">
      <c r="A17259" s="12"/>
    </row>
    <row r="17260" spans="1:1" x14ac:dyDescent="0.3">
      <c r="A17260" s="12"/>
    </row>
    <row r="17261" spans="1:1" x14ac:dyDescent="0.3">
      <c r="A17261" s="12"/>
    </row>
    <row r="17262" spans="1:1" x14ac:dyDescent="0.3">
      <c r="A17262" s="12"/>
    </row>
    <row r="17263" spans="1:1" x14ac:dyDescent="0.3">
      <c r="A17263" s="12"/>
    </row>
    <row r="17264" spans="1:1" x14ac:dyDescent="0.3">
      <c r="A17264" s="12"/>
    </row>
    <row r="17265" spans="1:1" x14ac:dyDescent="0.3">
      <c r="A17265" s="12"/>
    </row>
    <row r="17266" spans="1:1" x14ac:dyDescent="0.3">
      <c r="A17266" s="12"/>
    </row>
    <row r="17267" spans="1:1" x14ac:dyDescent="0.3">
      <c r="A17267" s="12"/>
    </row>
    <row r="17268" spans="1:1" x14ac:dyDescent="0.3">
      <c r="A17268" s="12"/>
    </row>
    <row r="17269" spans="1:1" x14ac:dyDescent="0.3">
      <c r="A17269" s="12"/>
    </row>
    <row r="17270" spans="1:1" x14ac:dyDescent="0.3">
      <c r="A17270" s="12"/>
    </row>
    <row r="17271" spans="1:1" x14ac:dyDescent="0.3">
      <c r="A17271" s="12"/>
    </row>
    <row r="17272" spans="1:1" x14ac:dyDescent="0.3">
      <c r="A17272" s="12"/>
    </row>
    <row r="17273" spans="1:1" x14ac:dyDescent="0.3">
      <c r="A17273" s="12"/>
    </row>
    <row r="17274" spans="1:1" x14ac:dyDescent="0.3">
      <c r="A17274" s="12"/>
    </row>
    <row r="17275" spans="1:1" x14ac:dyDescent="0.3">
      <c r="A17275" s="12"/>
    </row>
    <row r="17276" spans="1:1" x14ac:dyDescent="0.3">
      <c r="A17276" s="12"/>
    </row>
    <row r="17277" spans="1:1" x14ac:dyDescent="0.3">
      <c r="A17277" s="12"/>
    </row>
    <row r="17278" spans="1:1" x14ac:dyDescent="0.3">
      <c r="A17278" s="12"/>
    </row>
    <row r="17279" spans="1:1" x14ac:dyDescent="0.3">
      <c r="A17279" s="12"/>
    </row>
    <row r="17280" spans="1:1" x14ac:dyDescent="0.3">
      <c r="A17280" s="12"/>
    </row>
    <row r="17281" spans="1:1" x14ac:dyDescent="0.3">
      <c r="A17281" s="12"/>
    </row>
    <row r="17282" spans="1:1" x14ac:dyDescent="0.3">
      <c r="A17282" s="12"/>
    </row>
    <row r="17283" spans="1:1" x14ac:dyDescent="0.3">
      <c r="A17283" s="12"/>
    </row>
    <row r="17284" spans="1:1" x14ac:dyDescent="0.3">
      <c r="A17284" s="12"/>
    </row>
    <row r="17285" spans="1:1" x14ac:dyDescent="0.3">
      <c r="A17285" s="12"/>
    </row>
    <row r="17286" spans="1:1" x14ac:dyDescent="0.3">
      <c r="A17286" s="12"/>
    </row>
    <row r="17287" spans="1:1" x14ac:dyDescent="0.3">
      <c r="A17287" s="12"/>
    </row>
    <row r="17288" spans="1:1" x14ac:dyDescent="0.3">
      <c r="A17288" s="12"/>
    </row>
    <row r="17289" spans="1:1" x14ac:dyDescent="0.3">
      <c r="A17289" s="12"/>
    </row>
    <row r="17290" spans="1:1" x14ac:dyDescent="0.3">
      <c r="A17290" s="12"/>
    </row>
    <row r="17291" spans="1:1" x14ac:dyDescent="0.3">
      <c r="A17291" s="12"/>
    </row>
    <row r="17292" spans="1:1" x14ac:dyDescent="0.3">
      <c r="A17292" s="12"/>
    </row>
    <row r="17293" spans="1:1" x14ac:dyDescent="0.3">
      <c r="A17293" s="12"/>
    </row>
    <row r="17294" spans="1:1" x14ac:dyDescent="0.3">
      <c r="A17294" s="12"/>
    </row>
    <row r="17295" spans="1:1" x14ac:dyDescent="0.3">
      <c r="A17295" s="12"/>
    </row>
    <row r="17296" spans="1:1" x14ac:dyDescent="0.3">
      <c r="A17296" s="12"/>
    </row>
    <row r="17297" spans="1:1" x14ac:dyDescent="0.3">
      <c r="A17297" s="12"/>
    </row>
    <row r="17298" spans="1:1" x14ac:dyDescent="0.3">
      <c r="A17298" s="12"/>
    </row>
    <row r="17299" spans="1:1" x14ac:dyDescent="0.3">
      <c r="A17299" s="12"/>
    </row>
    <row r="17300" spans="1:1" x14ac:dyDescent="0.3">
      <c r="A17300" s="12"/>
    </row>
    <row r="17301" spans="1:1" x14ac:dyDescent="0.3">
      <c r="A17301" s="12"/>
    </row>
    <row r="17302" spans="1:1" x14ac:dyDescent="0.3">
      <c r="A17302" s="12"/>
    </row>
    <row r="17303" spans="1:1" x14ac:dyDescent="0.3">
      <c r="A17303" s="12"/>
    </row>
    <row r="17304" spans="1:1" x14ac:dyDescent="0.3">
      <c r="A17304" s="12"/>
    </row>
    <row r="17305" spans="1:1" x14ac:dyDescent="0.3">
      <c r="A17305" s="12"/>
    </row>
    <row r="17306" spans="1:1" x14ac:dyDescent="0.3">
      <c r="A17306" s="12"/>
    </row>
    <row r="17307" spans="1:1" x14ac:dyDescent="0.3">
      <c r="A17307" s="12"/>
    </row>
    <row r="17308" spans="1:1" x14ac:dyDescent="0.3">
      <c r="A17308" s="12"/>
    </row>
    <row r="17309" spans="1:1" x14ac:dyDescent="0.3">
      <c r="A17309" s="12"/>
    </row>
    <row r="17310" spans="1:1" x14ac:dyDescent="0.3">
      <c r="A17310" s="12"/>
    </row>
    <row r="17311" spans="1:1" x14ac:dyDescent="0.3">
      <c r="A17311" s="12"/>
    </row>
    <row r="17312" spans="1:1" x14ac:dyDescent="0.3">
      <c r="A17312" s="12"/>
    </row>
    <row r="17313" spans="1:1" x14ac:dyDescent="0.3">
      <c r="A17313" s="12"/>
    </row>
    <row r="17314" spans="1:1" x14ac:dyDescent="0.3">
      <c r="A17314" s="12"/>
    </row>
    <row r="17315" spans="1:1" x14ac:dyDescent="0.3">
      <c r="A17315" s="12"/>
    </row>
    <row r="17316" spans="1:1" x14ac:dyDescent="0.3">
      <c r="A17316" s="12"/>
    </row>
    <row r="17317" spans="1:1" x14ac:dyDescent="0.3">
      <c r="A17317" s="12"/>
    </row>
    <row r="17318" spans="1:1" x14ac:dyDescent="0.3">
      <c r="A17318" s="12"/>
    </row>
    <row r="17319" spans="1:1" x14ac:dyDescent="0.3">
      <c r="A17319" s="12"/>
    </row>
    <row r="17320" spans="1:1" x14ac:dyDescent="0.3">
      <c r="A17320" s="12"/>
    </row>
    <row r="17321" spans="1:1" x14ac:dyDescent="0.3">
      <c r="A17321" s="12"/>
    </row>
    <row r="17322" spans="1:1" x14ac:dyDescent="0.3">
      <c r="A17322" s="12"/>
    </row>
    <row r="17323" spans="1:1" x14ac:dyDescent="0.3">
      <c r="A17323" s="12"/>
    </row>
    <row r="17324" spans="1:1" x14ac:dyDescent="0.3">
      <c r="A17324" s="12"/>
    </row>
    <row r="17325" spans="1:1" x14ac:dyDescent="0.3">
      <c r="A17325" s="12"/>
    </row>
    <row r="17326" spans="1:1" x14ac:dyDescent="0.3">
      <c r="A17326" s="12"/>
    </row>
    <row r="17327" spans="1:1" x14ac:dyDescent="0.3">
      <c r="A17327" s="12"/>
    </row>
    <row r="17328" spans="1:1" x14ac:dyDescent="0.3">
      <c r="A17328" s="12"/>
    </row>
    <row r="17329" spans="1:1" x14ac:dyDescent="0.3">
      <c r="A17329" s="12"/>
    </row>
    <row r="17330" spans="1:1" x14ac:dyDescent="0.3">
      <c r="A17330" s="12"/>
    </row>
    <row r="17331" spans="1:1" x14ac:dyDescent="0.3">
      <c r="A17331" s="12"/>
    </row>
    <row r="17332" spans="1:1" x14ac:dyDescent="0.3">
      <c r="A17332" s="12"/>
    </row>
    <row r="17333" spans="1:1" x14ac:dyDescent="0.3">
      <c r="A17333" s="12"/>
    </row>
    <row r="17334" spans="1:1" x14ac:dyDescent="0.3">
      <c r="A17334" s="12"/>
    </row>
    <row r="17335" spans="1:1" x14ac:dyDescent="0.3">
      <c r="A17335" s="12"/>
    </row>
    <row r="17336" spans="1:1" x14ac:dyDescent="0.3">
      <c r="A17336" s="12"/>
    </row>
    <row r="17337" spans="1:1" x14ac:dyDescent="0.3">
      <c r="A17337" s="12"/>
    </row>
    <row r="17338" spans="1:1" x14ac:dyDescent="0.3">
      <c r="A17338" s="12"/>
    </row>
    <row r="17339" spans="1:1" x14ac:dyDescent="0.3">
      <c r="A17339" s="12"/>
    </row>
    <row r="17340" spans="1:1" x14ac:dyDescent="0.3">
      <c r="A17340" s="12"/>
    </row>
    <row r="17341" spans="1:1" x14ac:dyDescent="0.3">
      <c r="A17341" s="12"/>
    </row>
    <row r="17342" spans="1:1" x14ac:dyDescent="0.3">
      <c r="A17342" s="12"/>
    </row>
    <row r="17343" spans="1:1" x14ac:dyDescent="0.3">
      <c r="A17343" s="12"/>
    </row>
    <row r="17344" spans="1:1" x14ac:dyDescent="0.3">
      <c r="A17344" s="12"/>
    </row>
    <row r="17345" spans="1:1" x14ac:dyDescent="0.3">
      <c r="A17345" s="12"/>
    </row>
    <row r="17346" spans="1:1" x14ac:dyDescent="0.3">
      <c r="A17346" s="12"/>
    </row>
    <row r="17347" spans="1:1" x14ac:dyDescent="0.3">
      <c r="A17347" s="12"/>
    </row>
    <row r="17348" spans="1:1" x14ac:dyDescent="0.3">
      <c r="A17348" s="12"/>
    </row>
    <row r="17349" spans="1:1" x14ac:dyDescent="0.3">
      <c r="A17349" s="12"/>
    </row>
    <row r="17350" spans="1:1" x14ac:dyDescent="0.3">
      <c r="A17350" s="12"/>
    </row>
    <row r="17351" spans="1:1" x14ac:dyDescent="0.3">
      <c r="A17351" s="12"/>
    </row>
    <row r="17352" spans="1:1" x14ac:dyDescent="0.3">
      <c r="A17352" s="12"/>
    </row>
    <row r="17353" spans="1:1" x14ac:dyDescent="0.3">
      <c r="A17353" s="12"/>
    </row>
    <row r="17354" spans="1:1" x14ac:dyDescent="0.3">
      <c r="A17354" s="12"/>
    </row>
    <row r="17355" spans="1:1" x14ac:dyDescent="0.3">
      <c r="A17355" s="12"/>
    </row>
    <row r="17356" spans="1:1" x14ac:dyDescent="0.3">
      <c r="A17356" s="12"/>
    </row>
    <row r="17357" spans="1:1" x14ac:dyDescent="0.3">
      <c r="A17357" s="12"/>
    </row>
    <row r="17358" spans="1:1" x14ac:dyDescent="0.3">
      <c r="A17358" s="12"/>
    </row>
    <row r="17359" spans="1:1" x14ac:dyDescent="0.3">
      <c r="A17359" s="12"/>
    </row>
    <row r="17360" spans="1:1" x14ac:dyDescent="0.3">
      <c r="A17360" s="12"/>
    </row>
    <row r="17361" spans="1:1" x14ac:dyDescent="0.3">
      <c r="A17361" s="12"/>
    </row>
    <row r="17362" spans="1:1" x14ac:dyDescent="0.3">
      <c r="A17362" s="12"/>
    </row>
    <row r="17363" spans="1:1" x14ac:dyDescent="0.3">
      <c r="A17363" s="12"/>
    </row>
    <row r="17364" spans="1:1" x14ac:dyDescent="0.3">
      <c r="A17364" s="12"/>
    </row>
    <row r="17365" spans="1:1" x14ac:dyDescent="0.3">
      <c r="A17365" s="12"/>
    </row>
    <row r="17366" spans="1:1" x14ac:dyDescent="0.3">
      <c r="A17366" s="12"/>
    </row>
    <row r="17367" spans="1:1" x14ac:dyDescent="0.3">
      <c r="A17367" s="12"/>
    </row>
    <row r="17368" spans="1:1" x14ac:dyDescent="0.3">
      <c r="A17368" s="12"/>
    </row>
    <row r="17369" spans="1:1" x14ac:dyDescent="0.3">
      <c r="A17369" s="12"/>
    </row>
    <row r="17370" spans="1:1" x14ac:dyDescent="0.3">
      <c r="A17370" s="12"/>
    </row>
    <row r="17371" spans="1:1" x14ac:dyDescent="0.3">
      <c r="A17371" s="12"/>
    </row>
    <row r="17372" spans="1:1" x14ac:dyDescent="0.3">
      <c r="A17372" s="12"/>
    </row>
    <row r="17373" spans="1:1" x14ac:dyDescent="0.3">
      <c r="A17373" s="12"/>
    </row>
    <row r="17374" spans="1:1" x14ac:dyDescent="0.3">
      <c r="A17374" s="12"/>
    </row>
    <row r="17375" spans="1:1" x14ac:dyDescent="0.3">
      <c r="A17375" s="12"/>
    </row>
    <row r="17376" spans="1:1" x14ac:dyDescent="0.3">
      <c r="A17376" s="12"/>
    </row>
    <row r="17377" spans="1:1" x14ac:dyDescent="0.3">
      <c r="A17377" s="12"/>
    </row>
    <row r="17378" spans="1:1" x14ac:dyDescent="0.3">
      <c r="A17378" s="12"/>
    </row>
    <row r="17379" spans="1:1" x14ac:dyDescent="0.3">
      <c r="A17379" s="12"/>
    </row>
    <row r="17380" spans="1:1" x14ac:dyDescent="0.3">
      <c r="A17380" s="12"/>
    </row>
    <row r="17381" spans="1:1" x14ac:dyDescent="0.3">
      <c r="A17381" s="12"/>
    </row>
    <row r="17382" spans="1:1" x14ac:dyDescent="0.3">
      <c r="A17382" s="12"/>
    </row>
    <row r="17383" spans="1:1" x14ac:dyDescent="0.3">
      <c r="A17383" s="12"/>
    </row>
    <row r="17384" spans="1:1" x14ac:dyDescent="0.3">
      <c r="A17384" s="12"/>
    </row>
    <row r="17385" spans="1:1" x14ac:dyDescent="0.3">
      <c r="A17385" s="12"/>
    </row>
    <row r="17386" spans="1:1" x14ac:dyDescent="0.3">
      <c r="A17386" s="12"/>
    </row>
    <row r="17387" spans="1:1" x14ac:dyDescent="0.3">
      <c r="A17387" s="12"/>
    </row>
    <row r="17388" spans="1:1" x14ac:dyDescent="0.3">
      <c r="A17388" s="12"/>
    </row>
    <row r="17389" spans="1:1" x14ac:dyDescent="0.3">
      <c r="A17389" s="12"/>
    </row>
    <row r="17390" spans="1:1" x14ac:dyDescent="0.3">
      <c r="A17390" s="12"/>
    </row>
    <row r="17391" spans="1:1" x14ac:dyDescent="0.3">
      <c r="A17391" s="12"/>
    </row>
    <row r="17392" spans="1:1" x14ac:dyDescent="0.3">
      <c r="A17392" s="12"/>
    </row>
    <row r="17393" spans="1:1" x14ac:dyDescent="0.3">
      <c r="A17393" s="12"/>
    </row>
    <row r="17394" spans="1:1" x14ac:dyDescent="0.3">
      <c r="A17394" s="12"/>
    </row>
    <row r="17395" spans="1:1" x14ac:dyDescent="0.3">
      <c r="A17395" s="12"/>
    </row>
    <row r="17396" spans="1:1" x14ac:dyDescent="0.3">
      <c r="A17396" s="12"/>
    </row>
    <row r="17397" spans="1:1" x14ac:dyDescent="0.3">
      <c r="A17397" s="12"/>
    </row>
    <row r="17398" spans="1:1" x14ac:dyDescent="0.3">
      <c r="A17398" s="12"/>
    </row>
    <row r="17399" spans="1:1" x14ac:dyDescent="0.3">
      <c r="A17399" s="12"/>
    </row>
    <row r="17400" spans="1:1" x14ac:dyDescent="0.3">
      <c r="A17400" s="12"/>
    </row>
    <row r="17401" spans="1:1" x14ac:dyDescent="0.3">
      <c r="A17401" s="12"/>
    </row>
    <row r="17402" spans="1:1" x14ac:dyDescent="0.3">
      <c r="A17402" s="12"/>
    </row>
    <row r="17403" spans="1:1" x14ac:dyDescent="0.3">
      <c r="A17403" s="12"/>
    </row>
    <row r="17404" spans="1:1" x14ac:dyDescent="0.3">
      <c r="A17404" s="12"/>
    </row>
    <row r="17405" spans="1:1" x14ac:dyDescent="0.3">
      <c r="A17405" s="12"/>
    </row>
    <row r="17406" spans="1:1" x14ac:dyDescent="0.3">
      <c r="A17406" s="12"/>
    </row>
    <row r="17407" spans="1:1" x14ac:dyDescent="0.3">
      <c r="A17407" s="12"/>
    </row>
    <row r="17408" spans="1:1" x14ac:dyDescent="0.3">
      <c r="A17408" s="12"/>
    </row>
    <row r="17409" spans="1:1" x14ac:dyDescent="0.3">
      <c r="A17409" s="12"/>
    </row>
    <row r="17410" spans="1:1" x14ac:dyDescent="0.3">
      <c r="A17410" s="12"/>
    </row>
    <row r="17411" spans="1:1" x14ac:dyDescent="0.3">
      <c r="A17411" s="12"/>
    </row>
    <row r="17412" spans="1:1" x14ac:dyDescent="0.3">
      <c r="A17412" s="12"/>
    </row>
    <row r="17413" spans="1:1" x14ac:dyDescent="0.3">
      <c r="A17413" s="12"/>
    </row>
    <row r="17414" spans="1:1" x14ac:dyDescent="0.3">
      <c r="A17414" s="12"/>
    </row>
    <row r="17415" spans="1:1" x14ac:dyDescent="0.3">
      <c r="A17415" s="12"/>
    </row>
    <row r="17416" spans="1:1" x14ac:dyDescent="0.3">
      <c r="A17416" s="12"/>
    </row>
    <row r="17417" spans="1:1" x14ac:dyDescent="0.3">
      <c r="A17417" s="12"/>
    </row>
    <row r="17418" spans="1:1" x14ac:dyDescent="0.3">
      <c r="A17418" s="12"/>
    </row>
    <row r="17419" spans="1:1" x14ac:dyDescent="0.3">
      <c r="A17419" s="12"/>
    </row>
    <row r="17420" spans="1:1" x14ac:dyDescent="0.3">
      <c r="A17420" s="12"/>
    </row>
    <row r="17421" spans="1:1" x14ac:dyDescent="0.3">
      <c r="A17421" s="12"/>
    </row>
    <row r="17422" spans="1:1" x14ac:dyDescent="0.3">
      <c r="A17422" s="12"/>
    </row>
    <row r="17423" spans="1:1" x14ac:dyDescent="0.3">
      <c r="A17423" s="12"/>
    </row>
    <row r="17424" spans="1:1" x14ac:dyDescent="0.3">
      <c r="A17424" s="12"/>
    </row>
    <row r="17425" spans="1:1" x14ac:dyDescent="0.3">
      <c r="A17425" s="12"/>
    </row>
    <row r="17426" spans="1:1" x14ac:dyDescent="0.3">
      <c r="A17426" s="12"/>
    </row>
    <row r="17427" spans="1:1" x14ac:dyDescent="0.3">
      <c r="A17427" s="12"/>
    </row>
    <row r="17428" spans="1:1" x14ac:dyDescent="0.3">
      <c r="A17428" s="12"/>
    </row>
    <row r="17429" spans="1:1" x14ac:dyDescent="0.3">
      <c r="A17429" s="12"/>
    </row>
    <row r="17430" spans="1:1" x14ac:dyDescent="0.3">
      <c r="A17430" s="12"/>
    </row>
    <row r="17431" spans="1:1" x14ac:dyDescent="0.3">
      <c r="A17431" s="12"/>
    </row>
    <row r="17432" spans="1:1" x14ac:dyDescent="0.3">
      <c r="A17432" s="12"/>
    </row>
    <row r="17433" spans="1:1" x14ac:dyDescent="0.3">
      <c r="A17433" s="12"/>
    </row>
    <row r="17434" spans="1:1" x14ac:dyDescent="0.3">
      <c r="A17434" s="12"/>
    </row>
    <row r="17435" spans="1:1" x14ac:dyDescent="0.3">
      <c r="A17435" s="12"/>
    </row>
    <row r="17436" spans="1:1" x14ac:dyDescent="0.3">
      <c r="A17436" s="12"/>
    </row>
    <row r="17437" spans="1:1" x14ac:dyDescent="0.3">
      <c r="A17437" s="12"/>
    </row>
    <row r="17438" spans="1:1" x14ac:dyDescent="0.3">
      <c r="A17438" s="12"/>
    </row>
    <row r="17439" spans="1:1" x14ac:dyDescent="0.3">
      <c r="A17439" s="12"/>
    </row>
    <row r="17440" spans="1:1" x14ac:dyDescent="0.3">
      <c r="A17440" s="12"/>
    </row>
    <row r="17441" spans="1:1" x14ac:dyDescent="0.3">
      <c r="A17441" s="12"/>
    </row>
    <row r="17442" spans="1:1" x14ac:dyDescent="0.3">
      <c r="A17442" s="12"/>
    </row>
    <row r="17443" spans="1:1" x14ac:dyDescent="0.3">
      <c r="A17443" s="12"/>
    </row>
    <row r="17444" spans="1:1" x14ac:dyDescent="0.3">
      <c r="A17444" s="12"/>
    </row>
    <row r="17445" spans="1:1" x14ac:dyDescent="0.3">
      <c r="A17445" s="12"/>
    </row>
    <row r="17446" spans="1:1" x14ac:dyDescent="0.3">
      <c r="A17446" s="12"/>
    </row>
    <row r="17447" spans="1:1" x14ac:dyDescent="0.3">
      <c r="A17447" s="12"/>
    </row>
    <row r="17448" spans="1:1" x14ac:dyDescent="0.3">
      <c r="A17448" s="12"/>
    </row>
    <row r="17449" spans="1:1" x14ac:dyDescent="0.3">
      <c r="A17449" s="12"/>
    </row>
    <row r="17450" spans="1:1" x14ac:dyDescent="0.3">
      <c r="A17450" s="12"/>
    </row>
    <row r="17451" spans="1:1" x14ac:dyDescent="0.3">
      <c r="A17451" s="12"/>
    </row>
    <row r="17452" spans="1:1" x14ac:dyDescent="0.3">
      <c r="A17452" s="12"/>
    </row>
    <row r="17453" spans="1:1" x14ac:dyDescent="0.3">
      <c r="A17453" s="12"/>
    </row>
    <row r="17454" spans="1:1" x14ac:dyDescent="0.3">
      <c r="A17454" s="12"/>
    </row>
    <row r="17455" spans="1:1" x14ac:dyDescent="0.3">
      <c r="A17455" s="12"/>
    </row>
    <row r="17456" spans="1:1" x14ac:dyDescent="0.3">
      <c r="A17456" s="12"/>
    </row>
    <row r="17457" spans="1:1" x14ac:dyDescent="0.3">
      <c r="A17457" s="12"/>
    </row>
    <row r="17458" spans="1:1" x14ac:dyDescent="0.3">
      <c r="A17458" s="12"/>
    </row>
    <row r="17459" spans="1:1" x14ac:dyDescent="0.3">
      <c r="A17459" s="12"/>
    </row>
    <row r="17460" spans="1:1" x14ac:dyDescent="0.3">
      <c r="A17460" s="12"/>
    </row>
    <row r="17461" spans="1:1" x14ac:dyDescent="0.3">
      <c r="A17461" s="12"/>
    </row>
    <row r="17462" spans="1:1" x14ac:dyDescent="0.3">
      <c r="A17462" s="12"/>
    </row>
    <row r="17463" spans="1:1" x14ac:dyDescent="0.3">
      <c r="A17463" s="12"/>
    </row>
    <row r="17464" spans="1:1" x14ac:dyDescent="0.3">
      <c r="A17464" s="12"/>
    </row>
    <row r="17465" spans="1:1" x14ac:dyDescent="0.3">
      <c r="A17465" s="12"/>
    </row>
    <row r="17466" spans="1:1" x14ac:dyDescent="0.3">
      <c r="A17466" s="12"/>
    </row>
    <row r="17467" spans="1:1" x14ac:dyDescent="0.3">
      <c r="A17467" s="12"/>
    </row>
    <row r="17468" spans="1:1" x14ac:dyDescent="0.3">
      <c r="A17468" s="12"/>
    </row>
    <row r="17469" spans="1:1" x14ac:dyDescent="0.3">
      <c r="A17469" s="12"/>
    </row>
    <row r="17470" spans="1:1" x14ac:dyDescent="0.3">
      <c r="A17470" s="12"/>
    </row>
    <row r="17471" spans="1:1" x14ac:dyDescent="0.3">
      <c r="A17471" s="12"/>
    </row>
    <row r="17472" spans="1:1" x14ac:dyDescent="0.3">
      <c r="A17472" s="12"/>
    </row>
    <row r="17473" spans="1:1" x14ac:dyDescent="0.3">
      <c r="A17473" s="12"/>
    </row>
    <row r="17474" spans="1:1" x14ac:dyDescent="0.3">
      <c r="A17474" s="12"/>
    </row>
    <row r="17475" spans="1:1" x14ac:dyDescent="0.3">
      <c r="A17475" s="12"/>
    </row>
    <row r="17476" spans="1:1" x14ac:dyDescent="0.3">
      <c r="A17476" s="12"/>
    </row>
    <row r="17477" spans="1:1" x14ac:dyDescent="0.3">
      <c r="A17477" s="12"/>
    </row>
    <row r="17478" spans="1:1" x14ac:dyDescent="0.3">
      <c r="A17478" s="12"/>
    </row>
    <row r="17479" spans="1:1" x14ac:dyDescent="0.3">
      <c r="A17479" s="12"/>
    </row>
    <row r="17480" spans="1:1" x14ac:dyDescent="0.3">
      <c r="A17480" s="12"/>
    </row>
    <row r="17481" spans="1:1" x14ac:dyDescent="0.3">
      <c r="A17481" s="12"/>
    </row>
    <row r="17482" spans="1:1" x14ac:dyDescent="0.3">
      <c r="A17482" s="12"/>
    </row>
    <row r="17483" spans="1:1" x14ac:dyDescent="0.3">
      <c r="A17483" s="12"/>
    </row>
    <row r="17484" spans="1:1" x14ac:dyDescent="0.3">
      <c r="A17484" s="12"/>
    </row>
    <row r="17485" spans="1:1" x14ac:dyDescent="0.3">
      <c r="A17485" s="12"/>
    </row>
    <row r="17486" spans="1:1" x14ac:dyDescent="0.3">
      <c r="A17486" s="12"/>
    </row>
    <row r="17487" spans="1:1" x14ac:dyDescent="0.3">
      <c r="A17487" s="12"/>
    </row>
    <row r="17488" spans="1:1" x14ac:dyDescent="0.3">
      <c r="A17488" s="12"/>
    </row>
    <row r="17489" spans="1:1" x14ac:dyDescent="0.3">
      <c r="A17489" s="12"/>
    </row>
    <row r="17490" spans="1:1" x14ac:dyDescent="0.3">
      <c r="A17490" s="12"/>
    </row>
    <row r="17491" spans="1:1" x14ac:dyDescent="0.3">
      <c r="A17491" s="12"/>
    </row>
    <row r="17492" spans="1:1" x14ac:dyDescent="0.3">
      <c r="A17492" s="12"/>
    </row>
    <row r="17493" spans="1:1" x14ac:dyDescent="0.3">
      <c r="A17493" s="12"/>
    </row>
    <row r="17494" spans="1:1" x14ac:dyDescent="0.3">
      <c r="A17494" s="12"/>
    </row>
    <row r="17495" spans="1:1" x14ac:dyDescent="0.3">
      <c r="A17495" s="12"/>
    </row>
    <row r="17496" spans="1:1" x14ac:dyDescent="0.3">
      <c r="A17496" s="12"/>
    </row>
    <row r="17497" spans="1:1" x14ac:dyDescent="0.3">
      <c r="A17497" s="12"/>
    </row>
    <row r="17498" spans="1:1" x14ac:dyDescent="0.3">
      <c r="A17498" s="12"/>
    </row>
    <row r="17499" spans="1:1" x14ac:dyDescent="0.3">
      <c r="A17499" s="12"/>
    </row>
    <row r="17500" spans="1:1" x14ac:dyDescent="0.3">
      <c r="A17500" s="12"/>
    </row>
    <row r="17501" spans="1:1" x14ac:dyDescent="0.3">
      <c r="A17501" s="12"/>
    </row>
    <row r="17502" spans="1:1" x14ac:dyDescent="0.3">
      <c r="A17502" s="12"/>
    </row>
    <row r="17503" spans="1:1" x14ac:dyDescent="0.3">
      <c r="A17503" s="12"/>
    </row>
    <row r="17504" spans="1:1" x14ac:dyDescent="0.3">
      <c r="A17504" s="12"/>
    </row>
    <row r="17505" spans="1:1" x14ac:dyDescent="0.3">
      <c r="A17505" s="12"/>
    </row>
    <row r="17506" spans="1:1" x14ac:dyDescent="0.3">
      <c r="A17506" s="12"/>
    </row>
    <row r="17507" spans="1:1" x14ac:dyDescent="0.3">
      <c r="A17507" s="12"/>
    </row>
    <row r="17508" spans="1:1" x14ac:dyDescent="0.3">
      <c r="A17508" s="12"/>
    </row>
    <row r="17509" spans="1:1" x14ac:dyDescent="0.3">
      <c r="A17509" s="12"/>
    </row>
    <row r="17510" spans="1:1" x14ac:dyDescent="0.3">
      <c r="A17510" s="12"/>
    </row>
    <row r="17511" spans="1:1" x14ac:dyDescent="0.3">
      <c r="A17511" s="12"/>
    </row>
    <row r="17512" spans="1:1" x14ac:dyDescent="0.3">
      <c r="A17512" s="12"/>
    </row>
    <row r="17513" spans="1:1" x14ac:dyDescent="0.3">
      <c r="A17513" s="12"/>
    </row>
    <row r="17514" spans="1:1" x14ac:dyDescent="0.3">
      <c r="A17514" s="12"/>
    </row>
    <row r="17515" spans="1:1" x14ac:dyDescent="0.3">
      <c r="A17515" s="12"/>
    </row>
    <row r="17516" spans="1:1" x14ac:dyDescent="0.3">
      <c r="A17516" s="12"/>
    </row>
    <row r="17517" spans="1:1" x14ac:dyDescent="0.3">
      <c r="A17517" s="12"/>
    </row>
    <row r="17518" spans="1:1" x14ac:dyDescent="0.3">
      <c r="A17518" s="12"/>
    </row>
    <row r="17519" spans="1:1" x14ac:dyDescent="0.3">
      <c r="A17519" s="12"/>
    </row>
    <row r="17520" spans="1:1" x14ac:dyDescent="0.3">
      <c r="A17520" s="12"/>
    </row>
    <row r="17521" spans="1:1" x14ac:dyDescent="0.3">
      <c r="A17521" s="12"/>
    </row>
    <row r="17522" spans="1:1" x14ac:dyDescent="0.3">
      <c r="A17522" s="12"/>
    </row>
    <row r="17523" spans="1:1" x14ac:dyDescent="0.3">
      <c r="A17523" s="12"/>
    </row>
    <row r="17524" spans="1:1" x14ac:dyDescent="0.3">
      <c r="A17524" s="12"/>
    </row>
    <row r="17525" spans="1:1" x14ac:dyDescent="0.3">
      <c r="A17525" s="12"/>
    </row>
    <row r="17526" spans="1:1" x14ac:dyDescent="0.3">
      <c r="A17526" s="12"/>
    </row>
    <row r="17527" spans="1:1" x14ac:dyDescent="0.3">
      <c r="A17527" s="12"/>
    </row>
    <row r="17528" spans="1:1" x14ac:dyDescent="0.3">
      <c r="A17528" s="12"/>
    </row>
    <row r="17529" spans="1:1" x14ac:dyDescent="0.3">
      <c r="A17529" s="12"/>
    </row>
    <row r="17530" spans="1:1" x14ac:dyDescent="0.3">
      <c r="A17530" s="12"/>
    </row>
    <row r="17531" spans="1:1" x14ac:dyDescent="0.3">
      <c r="A17531" s="12"/>
    </row>
    <row r="17532" spans="1:1" x14ac:dyDescent="0.3">
      <c r="A17532" s="12"/>
    </row>
    <row r="17533" spans="1:1" x14ac:dyDescent="0.3">
      <c r="A17533" s="12"/>
    </row>
    <row r="17534" spans="1:1" x14ac:dyDescent="0.3">
      <c r="A17534" s="12"/>
    </row>
    <row r="17535" spans="1:1" x14ac:dyDescent="0.3">
      <c r="A17535" s="12"/>
    </row>
    <row r="17536" spans="1:1" x14ac:dyDescent="0.3">
      <c r="A17536" s="12"/>
    </row>
    <row r="17537" spans="1:1" x14ac:dyDescent="0.3">
      <c r="A17537" s="12"/>
    </row>
    <row r="17538" spans="1:1" x14ac:dyDescent="0.3">
      <c r="A17538" s="12"/>
    </row>
    <row r="17539" spans="1:1" x14ac:dyDescent="0.3">
      <c r="A17539" s="12"/>
    </row>
    <row r="17540" spans="1:1" x14ac:dyDescent="0.3">
      <c r="A17540" s="12"/>
    </row>
    <row r="17541" spans="1:1" x14ac:dyDescent="0.3">
      <c r="A17541" s="12"/>
    </row>
    <row r="17542" spans="1:1" x14ac:dyDescent="0.3">
      <c r="A17542" s="12"/>
    </row>
    <row r="17543" spans="1:1" x14ac:dyDescent="0.3">
      <c r="A17543" s="12"/>
    </row>
    <row r="17544" spans="1:1" x14ac:dyDescent="0.3">
      <c r="A17544" s="12"/>
    </row>
    <row r="17545" spans="1:1" x14ac:dyDescent="0.3">
      <c r="A17545" s="12"/>
    </row>
    <row r="17546" spans="1:1" x14ac:dyDescent="0.3">
      <c r="A17546" s="12"/>
    </row>
    <row r="17547" spans="1:1" x14ac:dyDescent="0.3">
      <c r="A17547" s="12"/>
    </row>
    <row r="17548" spans="1:1" x14ac:dyDescent="0.3">
      <c r="A17548" s="12"/>
    </row>
    <row r="17549" spans="1:1" x14ac:dyDescent="0.3">
      <c r="A17549" s="12"/>
    </row>
    <row r="17550" spans="1:1" x14ac:dyDescent="0.3">
      <c r="A17550" s="12"/>
    </row>
    <row r="17551" spans="1:1" x14ac:dyDescent="0.3">
      <c r="A17551" s="12"/>
    </row>
    <row r="17552" spans="1:1" x14ac:dyDescent="0.3">
      <c r="A17552" s="12"/>
    </row>
    <row r="17553" spans="1:1" x14ac:dyDescent="0.3">
      <c r="A17553" s="12"/>
    </row>
    <row r="17554" spans="1:1" x14ac:dyDescent="0.3">
      <c r="A17554" s="12"/>
    </row>
    <row r="17555" spans="1:1" x14ac:dyDescent="0.3">
      <c r="A17555" s="12"/>
    </row>
    <row r="17556" spans="1:1" x14ac:dyDescent="0.3">
      <c r="A17556" s="12"/>
    </row>
    <row r="17557" spans="1:1" x14ac:dyDescent="0.3">
      <c r="A17557" s="12"/>
    </row>
    <row r="17558" spans="1:1" x14ac:dyDescent="0.3">
      <c r="A17558" s="12"/>
    </row>
    <row r="17559" spans="1:1" x14ac:dyDescent="0.3">
      <c r="A17559" s="12"/>
    </row>
    <row r="17560" spans="1:1" x14ac:dyDescent="0.3">
      <c r="A17560" s="12"/>
    </row>
    <row r="17561" spans="1:1" x14ac:dyDescent="0.3">
      <c r="A17561" s="12"/>
    </row>
    <row r="17562" spans="1:1" x14ac:dyDescent="0.3">
      <c r="A17562" s="12"/>
    </row>
    <row r="17563" spans="1:1" x14ac:dyDescent="0.3">
      <c r="A17563" s="12"/>
    </row>
    <row r="17564" spans="1:1" x14ac:dyDescent="0.3">
      <c r="A17564" s="12"/>
    </row>
    <row r="17565" spans="1:1" x14ac:dyDescent="0.3">
      <c r="A17565" s="12"/>
    </row>
    <row r="17566" spans="1:1" x14ac:dyDescent="0.3">
      <c r="A17566" s="12"/>
    </row>
    <row r="17567" spans="1:1" x14ac:dyDescent="0.3">
      <c r="A17567" s="12"/>
    </row>
    <row r="17568" spans="1:1" x14ac:dyDescent="0.3">
      <c r="A17568" s="12"/>
    </row>
    <row r="17569" spans="1:1" x14ac:dyDescent="0.3">
      <c r="A17569" s="12"/>
    </row>
    <row r="17570" spans="1:1" x14ac:dyDescent="0.3">
      <c r="A17570" s="12"/>
    </row>
    <row r="17571" spans="1:1" x14ac:dyDescent="0.3">
      <c r="A17571" s="12"/>
    </row>
    <row r="17572" spans="1:1" x14ac:dyDescent="0.3">
      <c r="A17572" s="12"/>
    </row>
    <row r="17573" spans="1:1" x14ac:dyDescent="0.3">
      <c r="A17573" s="12"/>
    </row>
    <row r="17574" spans="1:1" x14ac:dyDescent="0.3">
      <c r="A17574" s="12"/>
    </row>
    <row r="17575" spans="1:1" x14ac:dyDescent="0.3">
      <c r="A17575" s="12"/>
    </row>
    <row r="17576" spans="1:1" x14ac:dyDescent="0.3">
      <c r="A17576" s="12"/>
    </row>
    <row r="17577" spans="1:1" x14ac:dyDescent="0.3">
      <c r="A17577" s="12"/>
    </row>
    <row r="17578" spans="1:1" x14ac:dyDescent="0.3">
      <c r="A17578" s="12"/>
    </row>
    <row r="17579" spans="1:1" x14ac:dyDescent="0.3">
      <c r="A17579" s="12"/>
    </row>
    <row r="17580" spans="1:1" x14ac:dyDescent="0.3">
      <c r="A17580" s="12"/>
    </row>
    <row r="17581" spans="1:1" x14ac:dyDescent="0.3">
      <c r="A17581" s="12"/>
    </row>
    <row r="17582" spans="1:1" x14ac:dyDescent="0.3">
      <c r="A17582" s="12"/>
    </row>
    <row r="17583" spans="1:1" x14ac:dyDescent="0.3">
      <c r="A17583" s="12"/>
    </row>
    <row r="17584" spans="1:1" x14ac:dyDescent="0.3">
      <c r="A17584" s="12"/>
    </row>
    <row r="17585" spans="1:1" x14ac:dyDescent="0.3">
      <c r="A17585" s="12"/>
    </row>
    <row r="17586" spans="1:1" x14ac:dyDescent="0.3">
      <c r="A17586" s="12"/>
    </row>
    <row r="17587" spans="1:1" x14ac:dyDescent="0.3">
      <c r="A17587" s="12"/>
    </row>
    <row r="17588" spans="1:1" x14ac:dyDescent="0.3">
      <c r="A17588" s="12"/>
    </row>
    <row r="17589" spans="1:1" x14ac:dyDescent="0.3">
      <c r="A17589" s="12"/>
    </row>
    <row r="17590" spans="1:1" x14ac:dyDescent="0.3">
      <c r="A17590" s="12"/>
    </row>
    <row r="17591" spans="1:1" x14ac:dyDescent="0.3">
      <c r="A17591" s="12"/>
    </row>
    <row r="17592" spans="1:1" x14ac:dyDescent="0.3">
      <c r="A17592" s="12"/>
    </row>
    <row r="17593" spans="1:1" x14ac:dyDescent="0.3">
      <c r="A17593" s="12"/>
    </row>
    <row r="17594" spans="1:1" x14ac:dyDescent="0.3">
      <c r="A17594" s="12"/>
    </row>
    <row r="17595" spans="1:1" x14ac:dyDescent="0.3">
      <c r="A17595" s="12"/>
    </row>
    <row r="17596" spans="1:1" x14ac:dyDescent="0.3">
      <c r="A17596" s="12"/>
    </row>
    <row r="17597" spans="1:1" x14ac:dyDescent="0.3">
      <c r="A17597" s="12"/>
    </row>
    <row r="17598" spans="1:1" x14ac:dyDescent="0.3">
      <c r="A17598" s="12"/>
    </row>
    <row r="17599" spans="1:1" x14ac:dyDescent="0.3">
      <c r="A17599" s="12"/>
    </row>
    <row r="17600" spans="1:1" x14ac:dyDescent="0.3">
      <c r="A17600" s="12"/>
    </row>
    <row r="17601" spans="1:1" x14ac:dyDescent="0.3">
      <c r="A17601" s="12"/>
    </row>
    <row r="17602" spans="1:1" x14ac:dyDescent="0.3">
      <c r="A17602" s="12"/>
    </row>
    <row r="17603" spans="1:1" x14ac:dyDescent="0.3">
      <c r="A17603" s="12"/>
    </row>
    <row r="17604" spans="1:1" x14ac:dyDescent="0.3">
      <c r="A17604" s="12"/>
    </row>
    <row r="17605" spans="1:1" x14ac:dyDescent="0.3">
      <c r="A17605" s="12"/>
    </row>
    <row r="17606" spans="1:1" x14ac:dyDescent="0.3">
      <c r="A17606" s="12"/>
    </row>
    <row r="17607" spans="1:1" x14ac:dyDescent="0.3">
      <c r="A17607" s="12"/>
    </row>
    <row r="17608" spans="1:1" x14ac:dyDescent="0.3">
      <c r="A17608" s="12"/>
    </row>
    <row r="17609" spans="1:1" x14ac:dyDescent="0.3">
      <c r="A17609" s="12"/>
    </row>
    <row r="17610" spans="1:1" x14ac:dyDescent="0.3">
      <c r="A17610" s="12"/>
    </row>
    <row r="17611" spans="1:1" x14ac:dyDescent="0.3">
      <c r="A17611" s="12"/>
    </row>
    <row r="17612" spans="1:1" x14ac:dyDescent="0.3">
      <c r="A17612" s="12"/>
    </row>
    <row r="17613" spans="1:1" x14ac:dyDescent="0.3">
      <c r="A17613" s="12"/>
    </row>
    <row r="17614" spans="1:1" x14ac:dyDescent="0.3">
      <c r="A17614" s="12"/>
    </row>
    <row r="17615" spans="1:1" x14ac:dyDescent="0.3">
      <c r="A17615" s="12"/>
    </row>
    <row r="17616" spans="1:1" x14ac:dyDescent="0.3">
      <c r="A17616" s="12"/>
    </row>
    <row r="17617" spans="1:1" x14ac:dyDescent="0.3">
      <c r="A17617" s="12"/>
    </row>
    <row r="17618" spans="1:1" x14ac:dyDescent="0.3">
      <c r="A17618" s="12"/>
    </row>
    <row r="17619" spans="1:1" x14ac:dyDescent="0.3">
      <c r="A17619" s="12"/>
    </row>
    <row r="17620" spans="1:1" x14ac:dyDescent="0.3">
      <c r="A17620" s="12"/>
    </row>
    <row r="17621" spans="1:1" x14ac:dyDescent="0.3">
      <c r="A17621" s="12"/>
    </row>
    <row r="17622" spans="1:1" x14ac:dyDescent="0.3">
      <c r="A17622" s="12"/>
    </row>
    <row r="17623" spans="1:1" x14ac:dyDescent="0.3">
      <c r="A17623" s="12"/>
    </row>
    <row r="17624" spans="1:1" x14ac:dyDescent="0.3">
      <c r="A17624" s="12"/>
    </row>
    <row r="17625" spans="1:1" x14ac:dyDescent="0.3">
      <c r="A17625" s="12"/>
    </row>
    <row r="17626" spans="1:1" x14ac:dyDescent="0.3">
      <c r="A17626" s="12"/>
    </row>
    <row r="17627" spans="1:1" x14ac:dyDescent="0.3">
      <c r="A17627" s="12"/>
    </row>
    <row r="17628" spans="1:1" x14ac:dyDescent="0.3">
      <c r="A17628" s="12"/>
    </row>
    <row r="17629" spans="1:1" x14ac:dyDescent="0.3">
      <c r="A17629" s="12"/>
    </row>
    <row r="17630" spans="1:1" x14ac:dyDescent="0.3">
      <c r="A17630" s="12"/>
    </row>
    <row r="17631" spans="1:1" x14ac:dyDescent="0.3">
      <c r="A17631" s="12"/>
    </row>
    <row r="17632" spans="1:1" x14ac:dyDescent="0.3">
      <c r="A17632" s="12"/>
    </row>
    <row r="17633" spans="1:1" x14ac:dyDescent="0.3">
      <c r="A17633" s="12"/>
    </row>
    <row r="17634" spans="1:1" x14ac:dyDescent="0.3">
      <c r="A17634" s="12"/>
    </row>
    <row r="17635" spans="1:1" x14ac:dyDescent="0.3">
      <c r="A17635" s="12"/>
    </row>
    <row r="17636" spans="1:1" x14ac:dyDescent="0.3">
      <c r="A17636" s="12"/>
    </row>
    <row r="17637" spans="1:1" x14ac:dyDescent="0.3">
      <c r="A17637" s="12"/>
    </row>
    <row r="17638" spans="1:1" x14ac:dyDescent="0.3">
      <c r="A17638" s="12"/>
    </row>
    <row r="17639" spans="1:1" x14ac:dyDescent="0.3">
      <c r="A17639" s="12"/>
    </row>
    <row r="17640" spans="1:1" x14ac:dyDescent="0.3">
      <c r="A17640" s="12"/>
    </row>
    <row r="17641" spans="1:1" x14ac:dyDescent="0.3">
      <c r="A17641" s="12"/>
    </row>
    <row r="17642" spans="1:1" x14ac:dyDescent="0.3">
      <c r="A17642" s="12"/>
    </row>
    <row r="17643" spans="1:1" x14ac:dyDescent="0.3">
      <c r="A17643" s="12"/>
    </row>
    <row r="17644" spans="1:1" x14ac:dyDescent="0.3">
      <c r="A17644" s="12"/>
    </row>
    <row r="17645" spans="1:1" x14ac:dyDescent="0.3">
      <c r="A17645" s="12"/>
    </row>
    <row r="17646" spans="1:1" x14ac:dyDescent="0.3">
      <c r="A17646" s="12"/>
    </row>
    <row r="17647" spans="1:1" x14ac:dyDescent="0.3">
      <c r="A17647" s="12"/>
    </row>
    <row r="17648" spans="1:1" x14ac:dyDescent="0.3">
      <c r="A17648" s="12"/>
    </row>
    <row r="17649" spans="1:1" x14ac:dyDescent="0.3">
      <c r="A17649" s="12"/>
    </row>
    <row r="17650" spans="1:1" x14ac:dyDescent="0.3">
      <c r="A17650" s="12"/>
    </row>
    <row r="17651" spans="1:1" x14ac:dyDescent="0.3">
      <c r="A17651" s="12"/>
    </row>
    <row r="17652" spans="1:1" x14ac:dyDescent="0.3">
      <c r="A17652" s="12"/>
    </row>
    <row r="17653" spans="1:1" x14ac:dyDescent="0.3">
      <c r="A17653" s="12"/>
    </row>
    <row r="17654" spans="1:1" x14ac:dyDescent="0.3">
      <c r="A17654" s="12"/>
    </row>
    <row r="17655" spans="1:1" x14ac:dyDescent="0.3">
      <c r="A17655" s="12"/>
    </row>
    <row r="17656" spans="1:1" x14ac:dyDescent="0.3">
      <c r="A17656" s="12"/>
    </row>
    <row r="17657" spans="1:1" x14ac:dyDescent="0.3">
      <c r="A17657" s="12"/>
    </row>
    <row r="17658" spans="1:1" x14ac:dyDescent="0.3">
      <c r="A17658" s="12"/>
    </row>
    <row r="17659" spans="1:1" x14ac:dyDescent="0.3">
      <c r="A17659" s="12"/>
    </row>
    <row r="17660" spans="1:1" x14ac:dyDescent="0.3">
      <c r="A17660" s="12"/>
    </row>
    <row r="17661" spans="1:1" x14ac:dyDescent="0.3">
      <c r="A17661" s="12"/>
    </row>
    <row r="17662" spans="1:1" x14ac:dyDescent="0.3">
      <c r="A17662" s="12"/>
    </row>
    <row r="17663" spans="1:1" x14ac:dyDescent="0.3">
      <c r="A17663" s="12"/>
    </row>
    <row r="17664" spans="1:1" x14ac:dyDescent="0.3">
      <c r="A17664" s="12"/>
    </row>
    <row r="17665" spans="1:1" x14ac:dyDescent="0.3">
      <c r="A17665" s="12"/>
    </row>
    <row r="17666" spans="1:1" x14ac:dyDescent="0.3">
      <c r="A17666" s="12"/>
    </row>
    <row r="17667" spans="1:1" x14ac:dyDescent="0.3">
      <c r="A17667" s="12"/>
    </row>
    <row r="17668" spans="1:1" x14ac:dyDescent="0.3">
      <c r="A17668" s="12"/>
    </row>
    <row r="17669" spans="1:1" x14ac:dyDescent="0.3">
      <c r="A17669" s="12"/>
    </row>
    <row r="17670" spans="1:1" x14ac:dyDescent="0.3">
      <c r="A17670" s="12"/>
    </row>
    <row r="17671" spans="1:1" x14ac:dyDescent="0.3">
      <c r="A17671" s="12"/>
    </row>
    <row r="17672" spans="1:1" x14ac:dyDescent="0.3">
      <c r="A17672" s="12"/>
    </row>
    <row r="17673" spans="1:1" x14ac:dyDescent="0.3">
      <c r="A17673" s="12"/>
    </row>
    <row r="17674" spans="1:1" x14ac:dyDescent="0.3">
      <c r="A17674" s="12"/>
    </row>
    <row r="17675" spans="1:1" x14ac:dyDescent="0.3">
      <c r="A17675" s="12"/>
    </row>
    <row r="17676" spans="1:1" x14ac:dyDescent="0.3">
      <c r="A17676" s="12"/>
    </row>
    <row r="17677" spans="1:1" x14ac:dyDescent="0.3">
      <c r="A17677" s="12"/>
    </row>
    <row r="17678" spans="1:1" x14ac:dyDescent="0.3">
      <c r="A17678" s="12"/>
    </row>
    <row r="17679" spans="1:1" x14ac:dyDescent="0.3">
      <c r="A17679" s="12"/>
    </row>
    <row r="17680" spans="1:1" x14ac:dyDescent="0.3">
      <c r="A17680" s="12"/>
    </row>
    <row r="17681" spans="1:1" x14ac:dyDescent="0.3">
      <c r="A17681" s="12"/>
    </row>
    <row r="17682" spans="1:1" x14ac:dyDescent="0.3">
      <c r="A17682" s="12"/>
    </row>
    <row r="17683" spans="1:1" x14ac:dyDescent="0.3">
      <c r="A17683" s="12"/>
    </row>
    <row r="17684" spans="1:1" x14ac:dyDescent="0.3">
      <c r="A17684" s="12"/>
    </row>
    <row r="17685" spans="1:1" x14ac:dyDescent="0.3">
      <c r="A17685" s="12"/>
    </row>
    <row r="17686" spans="1:1" x14ac:dyDescent="0.3">
      <c r="A17686" s="12"/>
    </row>
    <row r="17687" spans="1:1" x14ac:dyDescent="0.3">
      <c r="A17687" s="12"/>
    </row>
    <row r="17688" spans="1:1" x14ac:dyDescent="0.3">
      <c r="A17688" s="12"/>
    </row>
    <row r="17689" spans="1:1" x14ac:dyDescent="0.3">
      <c r="A17689" s="12"/>
    </row>
    <row r="17690" spans="1:1" x14ac:dyDescent="0.3">
      <c r="A17690" s="12"/>
    </row>
    <row r="17691" spans="1:1" x14ac:dyDescent="0.3">
      <c r="A17691" s="12"/>
    </row>
    <row r="17692" spans="1:1" x14ac:dyDescent="0.3">
      <c r="A17692" s="12"/>
    </row>
    <row r="17693" spans="1:1" x14ac:dyDescent="0.3">
      <c r="A17693" s="12"/>
    </row>
    <row r="17694" spans="1:1" x14ac:dyDescent="0.3">
      <c r="A17694" s="12"/>
    </row>
    <row r="17695" spans="1:1" x14ac:dyDescent="0.3">
      <c r="A17695" s="12"/>
    </row>
    <row r="17696" spans="1:1" x14ac:dyDescent="0.3">
      <c r="A17696" s="12"/>
    </row>
    <row r="17697" spans="1:1" x14ac:dyDescent="0.3">
      <c r="A17697" s="12"/>
    </row>
    <row r="17698" spans="1:1" x14ac:dyDescent="0.3">
      <c r="A17698" s="12"/>
    </row>
    <row r="17699" spans="1:1" x14ac:dyDescent="0.3">
      <c r="A17699" s="12"/>
    </row>
    <row r="17700" spans="1:1" x14ac:dyDescent="0.3">
      <c r="A17700" s="12"/>
    </row>
    <row r="17701" spans="1:1" x14ac:dyDescent="0.3">
      <c r="A17701" s="12"/>
    </row>
    <row r="17702" spans="1:1" x14ac:dyDescent="0.3">
      <c r="A17702" s="12"/>
    </row>
    <row r="17703" spans="1:1" x14ac:dyDescent="0.3">
      <c r="A17703" s="12"/>
    </row>
    <row r="17704" spans="1:1" x14ac:dyDescent="0.3">
      <c r="A17704" s="12"/>
    </row>
    <row r="17705" spans="1:1" x14ac:dyDescent="0.3">
      <c r="A17705" s="12"/>
    </row>
    <row r="17706" spans="1:1" x14ac:dyDescent="0.3">
      <c r="A17706" s="12"/>
    </row>
    <row r="17707" spans="1:1" x14ac:dyDescent="0.3">
      <c r="A17707" s="12"/>
    </row>
    <row r="17708" spans="1:1" x14ac:dyDescent="0.3">
      <c r="A17708" s="12"/>
    </row>
    <row r="17709" spans="1:1" x14ac:dyDescent="0.3">
      <c r="A17709" s="12"/>
    </row>
    <row r="17710" spans="1:1" x14ac:dyDescent="0.3">
      <c r="A17710" s="12"/>
    </row>
    <row r="17711" spans="1:1" x14ac:dyDescent="0.3">
      <c r="A17711" s="12"/>
    </row>
    <row r="17712" spans="1:1" x14ac:dyDescent="0.3">
      <c r="A17712" s="12"/>
    </row>
    <row r="17713" spans="1:1" x14ac:dyDescent="0.3">
      <c r="A17713" s="12"/>
    </row>
    <row r="17714" spans="1:1" x14ac:dyDescent="0.3">
      <c r="A17714" s="12"/>
    </row>
    <row r="17715" spans="1:1" x14ac:dyDescent="0.3">
      <c r="A17715" s="12"/>
    </row>
    <row r="17716" spans="1:1" x14ac:dyDescent="0.3">
      <c r="A17716" s="12"/>
    </row>
    <row r="17717" spans="1:1" x14ac:dyDescent="0.3">
      <c r="A17717" s="12"/>
    </row>
    <row r="17718" spans="1:1" x14ac:dyDescent="0.3">
      <c r="A17718" s="12"/>
    </row>
    <row r="17719" spans="1:1" x14ac:dyDescent="0.3">
      <c r="A17719" s="12"/>
    </row>
    <row r="17720" spans="1:1" x14ac:dyDescent="0.3">
      <c r="A17720" s="12"/>
    </row>
    <row r="17721" spans="1:1" x14ac:dyDescent="0.3">
      <c r="A17721" s="12"/>
    </row>
    <row r="17722" spans="1:1" x14ac:dyDescent="0.3">
      <c r="A17722" s="12"/>
    </row>
    <row r="17723" spans="1:1" x14ac:dyDescent="0.3">
      <c r="A17723" s="12"/>
    </row>
    <row r="17724" spans="1:1" x14ac:dyDescent="0.3">
      <c r="A17724" s="12"/>
    </row>
    <row r="17725" spans="1:1" x14ac:dyDescent="0.3">
      <c r="A17725" s="12"/>
    </row>
    <row r="17726" spans="1:1" x14ac:dyDescent="0.3">
      <c r="A17726" s="12"/>
    </row>
    <row r="17727" spans="1:1" x14ac:dyDescent="0.3">
      <c r="A17727" s="12"/>
    </row>
    <row r="17728" spans="1:1" x14ac:dyDescent="0.3">
      <c r="A17728" s="12"/>
    </row>
    <row r="17729" spans="1:1" x14ac:dyDescent="0.3">
      <c r="A17729" s="12"/>
    </row>
    <row r="17730" spans="1:1" x14ac:dyDescent="0.3">
      <c r="A17730" s="12"/>
    </row>
    <row r="17731" spans="1:1" x14ac:dyDescent="0.3">
      <c r="A17731" s="12"/>
    </row>
    <row r="17732" spans="1:1" x14ac:dyDescent="0.3">
      <c r="A17732" s="12"/>
    </row>
    <row r="17733" spans="1:1" x14ac:dyDescent="0.3">
      <c r="A17733" s="12"/>
    </row>
    <row r="17734" spans="1:1" x14ac:dyDescent="0.3">
      <c r="A17734" s="12"/>
    </row>
    <row r="17735" spans="1:1" x14ac:dyDescent="0.3">
      <c r="A17735" s="12"/>
    </row>
    <row r="17736" spans="1:1" x14ac:dyDescent="0.3">
      <c r="A17736" s="12"/>
    </row>
    <row r="17737" spans="1:1" x14ac:dyDescent="0.3">
      <c r="A17737" s="12"/>
    </row>
    <row r="17738" spans="1:1" x14ac:dyDescent="0.3">
      <c r="A17738" s="12"/>
    </row>
    <row r="17739" spans="1:1" x14ac:dyDescent="0.3">
      <c r="A17739" s="12"/>
    </row>
    <row r="17740" spans="1:1" x14ac:dyDescent="0.3">
      <c r="A17740" s="12"/>
    </row>
    <row r="17741" spans="1:1" x14ac:dyDescent="0.3">
      <c r="A17741" s="12"/>
    </row>
    <row r="17742" spans="1:1" x14ac:dyDescent="0.3">
      <c r="A17742" s="12"/>
    </row>
    <row r="17743" spans="1:1" x14ac:dyDescent="0.3">
      <c r="A17743" s="12"/>
    </row>
    <row r="17744" spans="1:1" x14ac:dyDescent="0.3">
      <c r="A17744" s="12"/>
    </row>
    <row r="17745" spans="1:1" x14ac:dyDescent="0.3">
      <c r="A17745" s="12"/>
    </row>
    <row r="17746" spans="1:1" x14ac:dyDescent="0.3">
      <c r="A17746" s="12"/>
    </row>
    <row r="17747" spans="1:1" x14ac:dyDescent="0.3">
      <c r="A17747" s="12"/>
    </row>
    <row r="17748" spans="1:1" x14ac:dyDescent="0.3">
      <c r="A17748" s="12"/>
    </row>
    <row r="17749" spans="1:1" x14ac:dyDescent="0.3">
      <c r="A17749" s="12"/>
    </row>
    <row r="17750" spans="1:1" x14ac:dyDescent="0.3">
      <c r="A17750" s="12"/>
    </row>
    <row r="17751" spans="1:1" x14ac:dyDescent="0.3">
      <c r="A17751" s="12"/>
    </row>
    <row r="17752" spans="1:1" x14ac:dyDescent="0.3">
      <c r="A17752" s="12"/>
    </row>
    <row r="17753" spans="1:1" x14ac:dyDescent="0.3">
      <c r="A17753" s="12"/>
    </row>
    <row r="17754" spans="1:1" x14ac:dyDescent="0.3">
      <c r="A17754" s="12"/>
    </row>
    <row r="17755" spans="1:1" x14ac:dyDescent="0.3">
      <c r="A17755" s="12"/>
    </row>
    <row r="17756" spans="1:1" x14ac:dyDescent="0.3">
      <c r="A17756" s="12"/>
    </row>
    <row r="17757" spans="1:1" x14ac:dyDescent="0.3">
      <c r="A17757" s="12"/>
    </row>
    <row r="17758" spans="1:1" x14ac:dyDescent="0.3">
      <c r="A17758" s="12"/>
    </row>
    <row r="17759" spans="1:1" x14ac:dyDescent="0.3">
      <c r="A17759" s="12"/>
    </row>
    <row r="17760" spans="1:1" x14ac:dyDescent="0.3">
      <c r="A17760" s="12"/>
    </row>
    <row r="17761" spans="1:1" x14ac:dyDescent="0.3">
      <c r="A17761" s="12"/>
    </row>
    <row r="17762" spans="1:1" x14ac:dyDescent="0.3">
      <c r="A17762" s="12"/>
    </row>
    <row r="17763" spans="1:1" x14ac:dyDescent="0.3">
      <c r="A17763" s="12"/>
    </row>
    <row r="17764" spans="1:1" x14ac:dyDescent="0.3">
      <c r="A17764" s="12"/>
    </row>
    <row r="17765" spans="1:1" x14ac:dyDescent="0.3">
      <c r="A17765" s="12"/>
    </row>
    <row r="17766" spans="1:1" x14ac:dyDescent="0.3">
      <c r="A17766" s="12"/>
    </row>
    <row r="17767" spans="1:1" x14ac:dyDescent="0.3">
      <c r="A17767" s="12"/>
    </row>
    <row r="17768" spans="1:1" x14ac:dyDescent="0.3">
      <c r="A17768" s="12"/>
    </row>
    <row r="17769" spans="1:1" x14ac:dyDescent="0.3">
      <c r="A17769" s="12"/>
    </row>
    <row r="17770" spans="1:1" x14ac:dyDescent="0.3">
      <c r="A17770" s="12"/>
    </row>
    <row r="17771" spans="1:1" x14ac:dyDescent="0.3">
      <c r="A17771" s="12"/>
    </row>
    <row r="17772" spans="1:1" x14ac:dyDescent="0.3">
      <c r="A17772" s="12"/>
    </row>
    <row r="17773" spans="1:1" x14ac:dyDescent="0.3">
      <c r="A17773" s="12"/>
    </row>
    <row r="17774" spans="1:1" x14ac:dyDescent="0.3">
      <c r="A17774" s="12"/>
    </row>
    <row r="17775" spans="1:1" x14ac:dyDescent="0.3">
      <c r="A17775" s="12"/>
    </row>
    <row r="17776" spans="1:1" x14ac:dyDescent="0.3">
      <c r="A17776" s="12"/>
    </row>
    <row r="17777" spans="1:1" x14ac:dyDescent="0.3">
      <c r="A17777" s="12"/>
    </row>
    <row r="17778" spans="1:1" x14ac:dyDescent="0.3">
      <c r="A17778" s="12"/>
    </row>
    <row r="17779" spans="1:1" x14ac:dyDescent="0.3">
      <c r="A17779" s="12"/>
    </row>
    <row r="17780" spans="1:1" x14ac:dyDescent="0.3">
      <c r="A17780" s="12"/>
    </row>
    <row r="17781" spans="1:1" x14ac:dyDescent="0.3">
      <c r="A17781" s="12"/>
    </row>
    <row r="17782" spans="1:1" x14ac:dyDescent="0.3">
      <c r="A17782" s="12"/>
    </row>
    <row r="17783" spans="1:1" x14ac:dyDescent="0.3">
      <c r="A17783" s="12"/>
    </row>
    <row r="17784" spans="1:1" x14ac:dyDescent="0.3">
      <c r="A17784" s="12"/>
    </row>
    <row r="17785" spans="1:1" x14ac:dyDescent="0.3">
      <c r="A17785" s="12"/>
    </row>
    <row r="17786" spans="1:1" x14ac:dyDescent="0.3">
      <c r="A17786" s="12"/>
    </row>
    <row r="17787" spans="1:1" x14ac:dyDescent="0.3">
      <c r="A17787" s="12"/>
    </row>
    <row r="17788" spans="1:1" x14ac:dyDescent="0.3">
      <c r="A17788" s="12"/>
    </row>
    <row r="17789" spans="1:1" x14ac:dyDescent="0.3">
      <c r="A17789" s="12"/>
    </row>
    <row r="17790" spans="1:1" x14ac:dyDescent="0.3">
      <c r="A17790" s="12"/>
    </row>
    <row r="17791" spans="1:1" x14ac:dyDescent="0.3">
      <c r="A17791" s="12"/>
    </row>
    <row r="17792" spans="1:1" x14ac:dyDescent="0.3">
      <c r="A17792" s="12"/>
    </row>
    <row r="17793" spans="1:1" x14ac:dyDescent="0.3">
      <c r="A17793" s="12"/>
    </row>
    <row r="17794" spans="1:1" x14ac:dyDescent="0.3">
      <c r="A17794" s="12"/>
    </row>
    <row r="17795" spans="1:1" x14ac:dyDescent="0.3">
      <c r="A17795" s="12"/>
    </row>
    <row r="17796" spans="1:1" x14ac:dyDescent="0.3">
      <c r="A17796" s="12"/>
    </row>
    <row r="17797" spans="1:1" x14ac:dyDescent="0.3">
      <c r="A17797" s="12"/>
    </row>
    <row r="17798" spans="1:1" x14ac:dyDescent="0.3">
      <c r="A17798" s="12"/>
    </row>
    <row r="17799" spans="1:1" x14ac:dyDescent="0.3">
      <c r="A17799" s="12"/>
    </row>
    <row r="17800" spans="1:1" x14ac:dyDescent="0.3">
      <c r="A17800" s="12"/>
    </row>
    <row r="17801" spans="1:1" x14ac:dyDescent="0.3">
      <c r="A17801" s="12"/>
    </row>
    <row r="17802" spans="1:1" x14ac:dyDescent="0.3">
      <c r="A17802" s="12"/>
    </row>
    <row r="17803" spans="1:1" x14ac:dyDescent="0.3">
      <c r="A17803" s="12"/>
    </row>
    <row r="17804" spans="1:1" x14ac:dyDescent="0.3">
      <c r="A17804" s="12"/>
    </row>
    <row r="17805" spans="1:1" x14ac:dyDescent="0.3">
      <c r="A17805" s="12"/>
    </row>
    <row r="17806" spans="1:1" x14ac:dyDescent="0.3">
      <c r="A17806" s="12"/>
    </row>
    <row r="17807" spans="1:1" x14ac:dyDescent="0.3">
      <c r="A17807" s="12"/>
    </row>
    <row r="17808" spans="1:1" x14ac:dyDescent="0.3">
      <c r="A17808" s="12"/>
    </row>
    <row r="17809" spans="1:1" x14ac:dyDescent="0.3">
      <c r="A17809" s="12"/>
    </row>
    <row r="17810" spans="1:1" x14ac:dyDescent="0.3">
      <c r="A17810" s="12"/>
    </row>
    <row r="17811" spans="1:1" x14ac:dyDescent="0.3">
      <c r="A17811" s="12"/>
    </row>
    <row r="17812" spans="1:1" x14ac:dyDescent="0.3">
      <c r="A17812" s="12"/>
    </row>
    <row r="17813" spans="1:1" x14ac:dyDescent="0.3">
      <c r="A17813" s="12"/>
    </row>
    <row r="17814" spans="1:1" x14ac:dyDescent="0.3">
      <c r="A17814" s="12"/>
    </row>
    <row r="17815" spans="1:1" x14ac:dyDescent="0.3">
      <c r="A17815" s="12"/>
    </row>
    <row r="17816" spans="1:1" x14ac:dyDescent="0.3">
      <c r="A17816" s="12"/>
    </row>
    <row r="17817" spans="1:1" x14ac:dyDescent="0.3">
      <c r="A17817" s="12"/>
    </row>
    <row r="17818" spans="1:1" x14ac:dyDescent="0.3">
      <c r="A17818" s="12"/>
    </row>
    <row r="17819" spans="1:1" x14ac:dyDescent="0.3">
      <c r="A17819" s="12"/>
    </row>
    <row r="17820" spans="1:1" x14ac:dyDescent="0.3">
      <c r="A17820" s="12"/>
    </row>
    <row r="17821" spans="1:1" x14ac:dyDescent="0.3">
      <c r="A17821" s="12"/>
    </row>
    <row r="17822" spans="1:1" x14ac:dyDescent="0.3">
      <c r="A17822" s="12"/>
    </row>
    <row r="17823" spans="1:1" x14ac:dyDescent="0.3">
      <c r="A17823" s="12"/>
    </row>
    <row r="17824" spans="1:1" x14ac:dyDescent="0.3">
      <c r="A17824" s="12"/>
    </row>
    <row r="17825" spans="1:1" x14ac:dyDescent="0.3">
      <c r="A17825" s="12"/>
    </row>
    <row r="17826" spans="1:1" x14ac:dyDescent="0.3">
      <c r="A17826" s="12"/>
    </row>
    <row r="17827" spans="1:1" x14ac:dyDescent="0.3">
      <c r="A17827" s="12"/>
    </row>
    <row r="17828" spans="1:1" x14ac:dyDescent="0.3">
      <c r="A17828" s="12"/>
    </row>
    <row r="17829" spans="1:1" x14ac:dyDescent="0.3">
      <c r="A17829" s="12"/>
    </row>
    <row r="17830" spans="1:1" x14ac:dyDescent="0.3">
      <c r="A17830" s="12"/>
    </row>
    <row r="17831" spans="1:1" x14ac:dyDescent="0.3">
      <c r="A17831" s="12"/>
    </row>
    <row r="17832" spans="1:1" x14ac:dyDescent="0.3">
      <c r="A17832" s="12"/>
    </row>
    <row r="17833" spans="1:1" x14ac:dyDescent="0.3">
      <c r="A17833" s="12"/>
    </row>
    <row r="17834" spans="1:1" x14ac:dyDescent="0.3">
      <c r="A17834" s="12"/>
    </row>
    <row r="17835" spans="1:1" x14ac:dyDescent="0.3">
      <c r="A17835" s="12"/>
    </row>
    <row r="17836" spans="1:1" x14ac:dyDescent="0.3">
      <c r="A17836" s="12"/>
    </row>
    <row r="17837" spans="1:1" x14ac:dyDescent="0.3">
      <c r="A17837" s="12"/>
    </row>
    <row r="17838" spans="1:1" x14ac:dyDescent="0.3">
      <c r="A17838" s="12"/>
    </row>
    <row r="17839" spans="1:1" x14ac:dyDescent="0.3">
      <c r="A17839" s="12"/>
    </row>
    <row r="17840" spans="1:1" x14ac:dyDescent="0.3">
      <c r="A17840" s="12"/>
    </row>
    <row r="17841" spans="1:1" x14ac:dyDescent="0.3">
      <c r="A17841" s="12"/>
    </row>
    <row r="17842" spans="1:1" x14ac:dyDescent="0.3">
      <c r="A17842" s="12"/>
    </row>
    <row r="17843" spans="1:1" x14ac:dyDescent="0.3">
      <c r="A17843" s="12"/>
    </row>
    <row r="17844" spans="1:1" x14ac:dyDescent="0.3">
      <c r="A17844" s="12"/>
    </row>
    <row r="17845" spans="1:1" x14ac:dyDescent="0.3">
      <c r="A17845" s="12"/>
    </row>
    <row r="17846" spans="1:1" x14ac:dyDescent="0.3">
      <c r="A17846" s="12"/>
    </row>
    <row r="17847" spans="1:1" x14ac:dyDescent="0.3">
      <c r="A17847" s="12"/>
    </row>
    <row r="17848" spans="1:1" x14ac:dyDescent="0.3">
      <c r="A17848" s="12"/>
    </row>
    <row r="17849" spans="1:1" x14ac:dyDescent="0.3">
      <c r="A17849" s="12"/>
    </row>
    <row r="17850" spans="1:1" x14ac:dyDescent="0.3">
      <c r="A17850" s="12"/>
    </row>
    <row r="17851" spans="1:1" x14ac:dyDescent="0.3">
      <c r="A17851" s="12"/>
    </row>
    <row r="17852" spans="1:1" x14ac:dyDescent="0.3">
      <c r="A17852" s="12"/>
    </row>
    <row r="17853" spans="1:1" x14ac:dyDescent="0.3">
      <c r="A17853" s="12"/>
    </row>
    <row r="17854" spans="1:1" x14ac:dyDescent="0.3">
      <c r="A17854" s="12"/>
    </row>
    <row r="17855" spans="1:1" x14ac:dyDescent="0.3">
      <c r="A17855" s="12"/>
    </row>
    <row r="17856" spans="1:1" x14ac:dyDescent="0.3">
      <c r="A17856" s="12"/>
    </row>
    <row r="17857" spans="1:1" x14ac:dyDescent="0.3">
      <c r="A17857" s="12"/>
    </row>
    <row r="17858" spans="1:1" x14ac:dyDescent="0.3">
      <c r="A17858" s="12"/>
    </row>
    <row r="17859" spans="1:1" x14ac:dyDescent="0.3">
      <c r="A17859" s="12"/>
    </row>
    <row r="17860" spans="1:1" x14ac:dyDescent="0.3">
      <c r="A17860" s="12"/>
    </row>
    <row r="17861" spans="1:1" x14ac:dyDescent="0.3">
      <c r="A17861" s="12"/>
    </row>
    <row r="17862" spans="1:1" x14ac:dyDescent="0.3">
      <c r="A17862" s="12"/>
    </row>
    <row r="17863" spans="1:1" x14ac:dyDescent="0.3">
      <c r="A17863" s="12"/>
    </row>
    <row r="17864" spans="1:1" x14ac:dyDescent="0.3">
      <c r="A17864" s="12"/>
    </row>
    <row r="17865" spans="1:1" x14ac:dyDescent="0.3">
      <c r="A17865" s="12"/>
    </row>
    <row r="17866" spans="1:1" x14ac:dyDescent="0.3">
      <c r="A17866" s="12"/>
    </row>
    <row r="17867" spans="1:1" x14ac:dyDescent="0.3">
      <c r="A17867" s="12"/>
    </row>
    <row r="17868" spans="1:1" x14ac:dyDescent="0.3">
      <c r="A17868" s="12"/>
    </row>
    <row r="17869" spans="1:1" x14ac:dyDescent="0.3">
      <c r="A17869" s="12"/>
    </row>
    <row r="17870" spans="1:1" x14ac:dyDescent="0.3">
      <c r="A17870" s="12"/>
    </row>
    <row r="17871" spans="1:1" x14ac:dyDescent="0.3">
      <c r="A17871" s="12"/>
    </row>
    <row r="17872" spans="1:1" x14ac:dyDescent="0.3">
      <c r="A17872" s="12"/>
    </row>
    <row r="17873" spans="1:1" x14ac:dyDescent="0.3">
      <c r="A17873" s="12"/>
    </row>
    <row r="17874" spans="1:1" x14ac:dyDescent="0.3">
      <c r="A17874" s="12"/>
    </row>
    <row r="17875" spans="1:1" x14ac:dyDescent="0.3">
      <c r="A17875" s="12"/>
    </row>
    <row r="17876" spans="1:1" x14ac:dyDescent="0.3">
      <c r="A17876" s="12"/>
    </row>
    <row r="17877" spans="1:1" x14ac:dyDescent="0.3">
      <c r="A17877" s="12"/>
    </row>
    <row r="17878" spans="1:1" x14ac:dyDescent="0.3">
      <c r="A17878" s="12"/>
    </row>
    <row r="17879" spans="1:1" x14ac:dyDescent="0.3">
      <c r="A17879" s="12"/>
    </row>
    <row r="17880" spans="1:1" x14ac:dyDescent="0.3">
      <c r="A17880" s="12"/>
    </row>
    <row r="17881" spans="1:1" x14ac:dyDescent="0.3">
      <c r="A17881" s="12"/>
    </row>
    <row r="17882" spans="1:1" x14ac:dyDescent="0.3">
      <c r="A17882" s="12"/>
    </row>
    <row r="17883" spans="1:1" x14ac:dyDescent="0.3">
      <c r="A17883" s="12"/>
    </row>
    <row r="17884" spans="1:1" x14ac:dyDescent="0.3">
      <c r="A17884" s="12"/>
    </row>
    <row r="17885" spans="1:1" x14ac:dyDescent="0.3">
      <c r="A17885" s="12"/>
    </row>
    <row r="17886" spans="1:1" x14ac:dyDescent="0.3">
      <c r="A17886" s="12"/>
    </row>
    <row r="17887" spans="1:1" x14ac:dyDescent="0.3">
      <c r="A17887" s="12"/>
    </row>
    <row r="17888" spans="1:1" x14ac:dyDescent="0.3">
      <c r="A17888" s="12"/>
    </row>
    <row r="17889" spans="1:1" x14ac:dyDescent="0.3">
      <c r="A17889" s="12"/>
    </row>
    <row r="17890" spans="1:1" x14ac:dyDescent="0.3">
      <c r="A17890" s="12"/>
    </row>
    <row r="17891" spans="1:1" x14ac:dyDescent="0.3">
      <c r="A17891" s="12"/>
    </row>
    <row r="17892" spans="1:1" x14ac:dyDescent="0.3">
      <c r="A17892" s="12"/>
    </row>
    <row r="17893" spans="1:1" x14ac:dyDescent="0.3">
      <c r="A17893" s="12"/>
    </row>
    <row r="17894" spans="1:1" x14ac:dyDescent="0.3">
      <c r="A17894" s="12"/>
    </row>
    <row r="17895" spans="1:1" x14ac:dyDescent="0.3">
      <c r="A17895" s="12"/>
    </row>
    <row r="17896" spans="1:1" x14ac:dyDescent="0.3">
      <c r="A17896" s="12"/>
    </row>
    <row r="17897" spans="1:1" x14ac:dyDescent="0.3">
      <c r="A17897" s="12"/>
    </row>
    <row r="17898" spans="1:1" x14ac:dyDescent="0.3">
      <c r="A17898" s="12"/>
    </row>
    <row r="17899" spans="1:1" x14ac:dyDescent="0.3">
      <c r="A17899" s="12"/>
    </row>
    <row r="17900" spans="1:1" x14ac:dyDescent="0.3">
      <c r="A17900" s="12"/>
    </row>
    <row r="17901" spans="1:1" x14ac:dyDescent="0.3">
      <c r="A17901" s="12"/>
    </row>
    <row r="17902" spans="1:1" x14ac:dyDescent="0.3">
      <c r="A17902" s="12"/>
    </row>
    <row r="17903" spans="1:1" x14ac:dyDescent="0.3">
      <c r="A17903" s="12"/>
    </row>
    <row r="17904" spans="1:1" x14ac:dyDescent="0.3">
      <c r="A17904" s="12"/>
    </row>
    <row r="17905" spans="1:1" x14ac:dyDescent="0.3">
      <c r="A17905" s="12"/>
    </row>
    <row r="17906" spans="1:1" x14ac:dyDescent="0.3">
      <c r="A17906" s="12"/>
    </row>
    <row r="17907" spans="1:1" x14ac:dyDescent="0.3">
      <c r="A17907" s="12"/>
    </row>
    <row r="17908" spans="1:1" x14ac:dyDescent="0.3">
      <c r="A17908" s="12"/>
    </row>
    <row r="17909" spans="1:1" x14ac:dyDescent="0.3">
      <c r="A17909" s="12"/>
    </row>
    <row r="17910" spans="1:1" x14ac:dyDescent="0.3">
      <c r="A17910" s="12"/>
    </row>
    <row r="17911" spans="1:1" x14ac:dyDescent="0.3">
      <c r="A17911" s="12"/>
    </row>
    <row r="17912" spans="1:1" x14ac:dyDescent="0.3">
      <c r="A17912" s="12"/>
    </row>
    <row r="17913" spans="1:1" x14ac:dyDescent="0.3">
      <c r="A17913" s="12"/>
    </row>
    <row r="17914" spans="1:1" x14ac:dyDescent="0.3">
      <c r="A17914" s="12"/>
    </row>
    <row r="17915" spans="1:1" x14ac:dyDescent="0.3">
      <c r="A17915" s="12"/>
    </row>
    <row r="17916" spans="1:1" x14ac:dyDescent="0.3">
      <c r="A17916" s="12"/>
    </row>
    <row r="17917" spans="1:1" x14ac:dyDescent="0.3">
      <c r="A17917" s="12"/>
    </row>
    <row r="17918" spans="1:1" x14ac:dyDescent="0.3">
      <c r="A17918" s="12"/>
    </row>
    <row r="17919" spans="1:1" x14ac:dyDescent="0.3">
      <c r="A17919" s="12"/>
    </row>
    <row r="17920" spans="1:1" x14ac:dyDescent="0.3">
      <c r="A17920" s="12"/>
    </row>
    <row r="17921" spans="1:1" x14ac:dyDescent="0.3">
      <c r="A17921" s="12"/>
    </row>
    <row r="17922" spans="1:1" x14ac:dyDescent="0.3">
      <c r="A17922" s="12"/>
    </row>
    <row r="17923" spans="1:1" x14ac:dyDescent="0.3">
      <c r="A17923" s="12"/>
    </row>
    <row r="17924" spans="1:1" x14ac:dyDescent="0.3">
      <c r="A17924" s="12"/>
    </row>
    <row r="17925" spans="1:1" x14ac:dyDescent="0.3">
      <c r="A17925" s="12"/>
    </row>
    <row r="17926" spans="1:1" x14ac:dyDescent="0.3">
      <c r="A17926" s="12"/>
    </row>
    <row r="17927" spans="1:1" x14ac:dyDescent="0.3">
      <c r="A17927" s="12"/>
    </row>
    <row r="17928" spans="1:1" x14ac:dyDescent="0.3">
      <c r="A17928" s="12"/>
    </row>
    <row r="17929" spans="1:1" x14ac:dyDescent="0.3">
      <c r="A17929" s="12"/>
    </row>
    <row r="17930" spans="1:1" x14ac:dyDescent="0.3">
      <c r="A17930" s="12"/>
    </row>
    <row r="17931" spans="1:1" x14ac:dyDescent="0.3">
      <c r="A17931" s="12"/>
    </row>
    <row r="17932" spans="1:1" x14ac:dyDescent="0.3">
      <c r="A17932" s="12"/>
    </row>
    <row r="17933" spans="1:1" x14ac:dyDescent="0.3">
      <c r="A17933" s="12"/>
    </row>
    <row r="17934" spans="1:1" x14ac:dyDescent="0.3">
      <c r="A17934" s="12"/>
    </row>
    <row r="17935" spans="1:1" x14ac:dyDescent="0.3">
      <c r="A17935" s="12"/>
    </row>
    <row r="17936" spans="1:1" x14ac:dyDescent="0.3">
      <c r="A17936" s="12"/>
    </row>
    <row r="17937" spans="1:1" x14ac:dyDescent="0.3">
      <c r="A17937" s="12"/>
    </row>
    <row r="17938" spans="1:1" x14ac:dyDescent="0.3">
      <c r="A17938" s="12"/>
    </row>
    <row r="17939" spans="1:1" x14ac:dyDescent="0.3">
      <c r="A17939" s="12"/>
    </row>
    <row r="17940" spans="1:1" x14ac:dyDescent="0.3">
      <c r="A17940" s="12"/>
    </row>
    <row r="17941" spans="1:1" x14ac:dyDescent="0.3">
      <c r="A17941" s="12"/>
    </row>
    <row r="17942" spans="1:1" x14ac:dyDescent="0.3">
      <c r="A17942" s="12"/>
    </row>
    <row r="17943" spans="1:1" x14ac:dyDescent="0.3">
      <c r="A17943" s="12"/>
    </row>
    <row r="17944" spans="1:1" x14ac:dyDescent="0.3">
      <c r="A17944" s="12"/>
    </row>
    <row r="17945" spans="1:1" x14ac:dyDescent="0.3">
      <c r="A17945" s="12"/>
    </row>
    <row r="17946" spans="1:1" x14ac:dyDescent="0.3">
      <c r="A17946" s="12"/>
    </row>
    <row r="17947" spans="1:1" x14ac:dyDescent="0.3">
      <c r="A17947" s="12"/>
    </row>
    <row r="17948" spans="1:1" x14ac:dyDescent="0.3">
      <c r="A17948" s="12"/>
    </row>
    <row r="17949" spans="1:1" x14ac:dyDescent="0.3">
      <c r="A17949" s="12"/>
    </row>
    <row r="17950" spans="1:1" x14ac:dyDescent="0.3">
      <c r="A17950" s="12"/>
    </row>
    <row r="17951" spans="1:1" x14ac:dyDescent="0.3">
      <c r="A17951" s="12"/>
    </row>
    <row r="17952" spans="1:1" x14ac:dyDescent="0.3">
      <c r="A17952" s="12"/>
    </row>
    <row r="17953" spans="1:1" x14ac:dyDescent="0.3">
      <c r="A17953" s="12"/>
    </row>
    <row r="17954" spans="1:1" x14ac:dyDescent="0.3">
      <c r="A17954" s="12"/>
    </row>
    <row r="17955" spans="1:1" x14ac:dyDescent="0.3">
      <c r="A17955" s="12"/>
    </row>
    <row r="17956" spans="1:1" x14ac:dyDescent="0.3">
      <c r="A17956" s="12"/>
    </row>
    <row r="17957" spans="1:1" x14ac:dyDescent="0.3">
      <c r="A17957" s="12"/>
    </row>
    <row r="17958" spans="1:1" x14ac:dyDescent="0.3">
      <c r="A17958" s="12"/>
    </row>
    <row r="17959" spans="1:1" x14ac:dyDescent="0.3">
      <c r="A17959" s="12"/>
    </row>
    <row r="17960" spans="1:1" x14ac:dyDescent="0.3">
      <c r="A17960" s="12"/>
    </row>
    <row r="17961" spans="1:1" x14ac:dyDescent="0.3">
      <c r="A17961" s="12"/>
    </row>
    <row r="17962" spans="1:1" x14ac:dyDescent="0.3">
      <c r="A17962" s="12"/>
    </row>
    <row r="17963" spans="1:1" x14ac:dyDescent="0.3">
      <c r="A17963" s="12"/>
    </row>
    <row r="17964" spans="1:1" x14ac:dyDescent="0.3">
      <c r="A17964" s="12"/>
    </row>
    <row r="17965" spans="1:1" x14ac:dyDescent="0.3">
      <c r="A17965" s="12"/>
    </row>
    <row r="17966" spans="1:1" x14ac:dyDescent="0.3">
      <c r="A17966" s="12"/>
    </row>
    <row r="17967" spans="1:1" x14ac:dyDescent="0.3">
      <c r="A17967" s="12"/>
    </row>
    <row r="17968" spans="1:1" x14ac:dyDescent="0.3">
      <c r="A17968" s="12"/>
    </row>
    <row r="17969" spans="1:1" x14ac:dyDescent="0.3">
      <c r="A17969" s="12"/>
    </row>
    <row r="17970" spans="1:1" x14ac:dyDescent="0.3">
      <c r="A17970" s="12"/>
    </row>
    <row r="17971" spans="1:1" x14ac:dyDescent="0.3">
      <c r="A17971" s="12"/>
    </row>
    <row r="17972" spans="1:1" x14ac:dyDescent="0.3">
      <c r="A17972" s="12"/>
    </row>
    <row r="17973" spans="1:1" x14ac:dyDescent="0.3">
      <c r="A17973" s="12"/>
    </row>
    <row r="17974" spans="1:1" x14ac:dyDescent="0.3">
      <c r="A17974" s="12"/>
    </row>
    <row r="17975" spans="1:1" x14ac:dyDescent="0.3">
      <c r="A17975" s="12"/>
    </row>
    <row r="17976" spans="1:1" x14ac:dyDescent="0.3">
      <c r="A17976" s="12"/>
    </row>
    <row r="17977" spans="1:1" x14ac:dyDescent="0.3">
      <c r="A17977" s="12"/>
    </row>
    <row r="17978" spans="1:1" x14ac:dyDescent="0.3">
      <c r="A17978" s="12"/>
    </row>
    <row r="17979" spans="1:1" x14ac:dyDescent="0.3">
      <c r="A17979" s="12"/>
    </row>
    <row r="17980" spans="1:1" x14ac:dyDescent="0.3">
      <c r="A17980" s="12"/>
    </row>
    <row r="17981" spans="1:1" x14ac:dyDescent="0.3">
      <c r="A17981" s="12"/>
    </row>
    <row r="17982" spans="1:1" x14ac:dyDescent="0.3">
      <c r="A17982" s="12"/>
    </row>
    <row r="17983" spans="1:1" x14ac:dyDescent="0.3">
      <c r="A17983" s="12"/>
    </row>
    <row r="17984" spans="1:1" x14ac:dyDescent="0.3">
      <c r="A17984" s="12"/>
    </row>
    <row r="17985" spans="1:1" x14ac:dyDescent="0.3">
      <c r="A17985" s="12"/>
    </row>
    <row r="17986" spans="1:1" x14ac:dyDescent="0.3">
      <c r="A17986" s="12"/>
    </row>
    <row r="17987" spans="1:1" x14ac:dyDescent="0.3">
      <c r="A17987" s="12"/>
    </row>
    <row r="17988" spans="1:1" x14ac:dyDescent="0.3">
      <c r="A17988" s="12"/>
    </row>
    <row r="17989" spans="1:1" x14ac:dyDescent="0.3">
      <c r="A17989" s="12"/>
    </row>
    <row r="17990" spans="1:1" x14ac:dyDescent="0.3">
      <c r="A17990" s="12"/>
    </row>
    <row r="17991" spans="1:1" x14ac:dyDescent="0.3">
      <c r="A17991" s="12"/>
    </row>
    <row r="17992" spans="1:1" x14ac:dyDescent="0.3">
      <c r="A17992" s="12"/>
    </row>
    <row r="17993" spans="1:1" x14ac:dyDescent="0.3">
      <c r="A17993" s="12"/>
    </row>
    <row r="17994" spans="1:1" x14ac:dyDescent="0.3">
      <c r="A17994" s="12"/>
    </row>
    <row r="17995" spans="1:1" x14ac:dyDescent="0.3">
      <c r="A17995" s="12"/>
    </row>
    <row r="17996" spans="1:1" x14ac:dyDescent="0.3">
      <c r="A17996" s="12"/>
    </row>
    <row r="17997" spans="1:1" x14ac:dyDescent="0.3">
      <c r="A17997" s="12"/>
    </row>
    <row r="17998" spans="1:1" x14ac:dyDescent="0.3">
      <c r="A17998" s="12"/>
    </row>
    <row r="17999" spans="1:1" x14ac:dyDescent="0.3">
      <c r="A17999" s="12"/>
    </row>
    <row r="18000" spans="1:1" x14ac:dyDescent="0.3">
      <c r="A18000" s="12"/>
    </row>
    <row r="18001" spans="1:1" x14ac:dyDescent="0.3">
      <c r="A18001" s="12"/>
    </row>
    <row r="18002" spans="1:1" x14ac:dyDescent="0.3">
      <c r="A18002" s="12"/>
    </row>
    <row r="18003" spans="1:1" x14ac:dyDescent="0.3">
      <c r="A18003" s="12"/>
    </row>
    <row r="18004" spans="1:1" x14ac:dyDescent="0.3">
      <c r="A18004" s="12"/>
    </row>
    <row r="18005" spans="1:1" x14ac:dyDescent="0.3">
      <c r="A18005" s="12"/>
    </row>
    <row r="18006" spans="1:1" x14ac:dyDescent="0.3">
      <c r="A18006" s="12"/>
    </row>
    <row r="18007" spans="1:1" x14ac:dyDescent="0.3">
      <c r="A18007" s="12"/>
    </row>
    <row r="18008" spans="1:1" x14ac:dyDescent="0.3">
      <c r="A18008" s="12"/>
    </row>
    <row r="18009" spans="1:1" x14ac:dyDescent="0.3">
      <c r="A18009" s="12"/>
    </row>
    <row r="18010" spans="1:1" x14ac:dyDescent="0.3">
      <c r="A18010" s="12"/>
    </row>
    <row r="18011" spans="1:1" x14ac:dyDescent="0.3">
      <c r="A18011" s="12"/>
    </row>
    <row r="18012" spans="1:1" x14ac:dyDescent="0.3">
      <c r="A18012" s="12"/>
    </row>
    <row r="18013" spans="1:1" x14ac:dyDescent="0.3">
      <c r="A18013" s="12"/>
    </row>
    <row r="18014" spans="1:1" x14ac:dyDescent="0.3">
      <c r="A18014" s="12"/>
    </row>
    <row r="18015" spans="1:1" x14ac:dyDescent="0.3">
      <c r="A18015" s="12"/>
    </row>
    <row r="18016" spans="1:1" x14ac:dyDescent="0.3">
      <c r="A18016" s="12"/>
    </row>
    <row r="18017" spans="1:1" x14ac:dyDescent="0.3">
      <c r="A18017" s="12"/>
    </row>
    <row r="18018" spans="1:1" x14ac:dyDescent="0.3">
      <c r="A18018" s="12"/>
    </row>
    <row r="18019" spans="1:1" x14ac:dyDescent="0.3">
      <c r="A18019" s="12"/>
    </row>
    <row r="18020" spans="1:1" x14ac:dyDescent="0.3">
      <c r="A18020" s="12"/>
    </row>
    <row r="18021" spans="1:1" x14ac:dyDescent="0.3">
      <c r="A18021" s="12"/>
    </row>
    <row r="18022" spans="1:1" x14ac:dyDescent="0.3">
      <c r="A18022" s="12"/>
    </row>
    <row r="18023" spans="1:1" x14ac:dyDescent="0.3">
      <c r="A18023" s="12"/>
    </row>
    <row r="18024" spans="1:1" x14ac:dyDescent="0.3">
      <c r="A18024" s="12"/>
    </row>
    <row r="18025" spans="1:1" x14ac:dyDescent="0.3">
      <c r="A18025" s="12"/>
    </row>
    <row r="18026" spans="1:1" x14ac:dyDescent="0.3">
      <c r="A18026" s="12"/>
    </row>
    <row r="18027" spans="1:1" x14ac:dyDescent="0.3">
      <c r="A18027" s="12"/>
    </row>
    <row r="18028" spans="1:1" x14ac:dyDescent="0.3">
      <c r="A18028" s="12"/>
    </row>
    <row r="18029" spans="1:1" x14ac:dyDescent="0.3">
      <c r="A18029" s="12"/>
    </row>
    <row r="18030" spans="1:1" x14ac:dyDescent="0.3">
      <c r="A18030" s="12"/>
    </row>
    <row r="18031" spans="1:1" x14ac:dyDescent="0.3">
      <c r="A18031" s="12"/>
    </row>
    <row r="18032" spans="1:1" x14ac:dyDescent="0.3">
      <c r="A18032" s="12"/>
    </row>
    <row r="18033" spans="1:1" x14ac:dyDescent="0.3">
      <c r="A18033" s="12"/>
    </row>
    <row r="18034" spans="1:1" x14ac:dyDescent="0.3">
      <c r="A18034" s="12"/>
    </row>
    <row r="18035" spans="1:1" x14ac:dyDescent="0.3">
      <c r="A18035" s="12"/>
    </row>
    <row r="18036" spans="1:1" x14ac:dyDescent="0.3">
      <c r="A18036" s="12"/>
    </row>
    <row r="18037" spans="1:1" x14ac:dyDescent="0.3">
      <c r="A18037" s="12"/>
    </row>
    <row r="18038" spans="1:1" x14ac:dyDescent="0.3">
      <c r="A18038" s="12"/>
    </row>
    <row r="18039" spans="1:1" x14ac:dyDescent="0.3">
      <c r="A18039" s="12"/>
    </row>
    <row r="18040" spans="1:1" x14ac:dyDescent="0.3">
      <c r="A18040" s="12"/>
    </row>
    <row r="18041" spans="1:1" x14ac:dyDescent="0.3">
      <c r="A18041" s="12"/>
    </row>
    <row r="18042" spans="1:1" x14ac:dyDescent="0.3">
      <c r="A18042" s="12"/>
    </row>
    <row r="18043" spans="1:1" x14ac:dyDescent="0.3">
      <c r="A18043" s="12"/>
    </row>
    <row r="18044" spans="1:1" x14ac:dyDescent="0.3">
      <c r="A18044" s="12"/>
    </row>
    <row r="18045" spans="1:1" x14ac:dyDescent="0.3">
      <c r="A18045" s="12"/>
    </row>
    <row r="18046" spans="1:1" x14ac:dyDescent="0.3">
      <c r="A18046" s="12"/>
    </row>
    <row r="18047" spans="1:1" x14ac:dyDescent="0.3">
      <c r="A18047" s="12"/>
    </row>
    <row r="18048" spans="1:1" x14ac:dyDescent="0.3">
      <c r="A18048" s="12"/>
    </row>
    <row r="18049" spans="1:1" x14ac:dyDescent="0.3">
      <c r="A18049" s="12"/>
    </row>
    <row r="18050" spans="1:1" x14ac:dyDescent="0.3">
      <c r="A18050" s="12"/>
    </row>
    <row r="18051" spans="1:1" x14ac:dyDescent="0.3">
      <c r="A18051" s="12"/>
    </row>
    <row r="18052" spans="1:1" x14ac:dyDescent="0.3">
      <c r="A18052" s="12"/>
    </row>
    <row r="18053" spans="1:1" x14ac:dyDescent="0.3">
      <c r="A18053" s="12"/>
    </row>
    <row r="18054" spans="1:1" x14ac:dyDescent="0.3">
      <c r="A18054" s="12"/>
    </row>
    <row r="18055" spans="1:1" x14ac:dyDescent="0.3">
      <c r="A18055" s="12"/>
    </row>
    <row r="18056" spans="1:1" x14ac:dyDescent="0.3">
      <c r="A18056" s="12"/>
    </row>
    <row r="18057" spans="1:1" x14ac:dyDescent="0.3">
      <c r="A18057" s="12"/>
    </row>
    <row r="18058" spans="1:1" x14ac:dyDescent="0.3">
      <c r="A18058" s="12"/>
    </row>
    <row r="18059" spans="1:1" x14ac:dyDescent="0.3">
      <c r="A18059" s="12"/>
    </row>
    <row r="18060" spans="1:1" x14ac:dyDescent="0.3">
      <c r="A18060" s="12"/>
    </row>
    <row r="18061" spans="1:1" x14ac:dyDescent="0.3">
      <c r="A18061" s="12"/>
    </row>
    <row r="18062" spans="1:1" x14ac:dyDescent="0.3">
      <c r="A18062" s="12"/>
    </row>
    <row r="18063" spans="1:1" x14ac:dyDescent="0.3">
      <c r="A18063" s="12"/>
    </row>
    <row r="18064" spans="1:1" x14ac:dyDescent="0.3">
      <c r="A18064" s="12"/>
    </row>
    <row r="18065" spans="1:1" x14ac:dyDescent="0.3">
      <c r="A18065" s="12"/>
    </row>
    <row r="18066" spans="1:1" x14ac:dyDescent="0.3">
      <c r="A18066" s="12"/>
    </row>
    <row r="18067" spans="1:1" x14ac:dyDescent="0.3">
      <c r="A18067" s="12"/>
    </row>
    <row r="18068" spans="1:1" x14ac:dyDescent="0.3">
      <c r="A18068" s="12"/>
    </row>
    <row r="18069" spans="1:1" x14ac:dyDescent="0.3">
      <c r="A18069" s="12"/>
    </row>
    <row r="18070" spans="1:1" x14ac:dyDescent="0.3">
      <c r="A18070" s="12"/>
    </row>
    <row r="18071" spans="1:1" x14ac:dyDescent="0.3">
      <c r="A18071" s="12"/>
    </row>
    <row r="18072" spans="1:1" x14ac:dyDescent="0.3">
      <c r="A18072" s="12"/>
    </row>
    <row r="18073" spans="1:1" x14ac:dyDescent="0.3">
      <c r="A18073" s="12"/>
    </row>
    <row r="18074" spans="1:1" x14ac:dyDescent="0.3">
      <c r="A18074" s="12"/>
    </row>
    <row r="18075" spans="1:1" x14ac:dyDescent="0.3">
      <c r="A18075" s="12"/>
    </row>
    <row r="18076" spans="1:1" x14ac:dyDescent="0.3">
      <c r="A18076" s="12"/>
    </row>
    <row r="18077" spans="1:1" x14ac:dyDescent="0.3">
      <c r="A18077" s="12"/>
    </row>
    <row r="18078" spans="1:1" x14ac:dyDescent="0.3">
      <c r="A18078" s="12"/>
    </row>
    <row r="18079" spans="1:1" x14ac:dyDescent="0.3">
      <c r="A18079" s="12"/>
    </row>
    <row r="18080" spans="1:1" x14ac:dyDescent="0.3">
      <c r="A18080" s="12"/>
    </row>
    <row r="18081" spans="1:1" x14ac:dyDescent="0.3">
      <c r="A18081" s="12"/>
    </row>
    <row r="18082" spans="1:1" x14ac:dyDescent="0.3">
      <c r="A18082" s="12"/>
    </row>
    <row r="18083" spans="1:1" x14ac:dyDescent="0.3">
      <c r="A18083" s="12"/>
    </row>
    <row r="18084" spans="1:1" x14ac:dyDescent="0.3">
      <c r="A18084" s="12"/>
    </row>
    <row r="18085" spans="1:1" x14ac:dyDescent="0.3">
      <c r="A18085" s="12"/>
    </row>
    <row r="18086" spans="1:1" x14ac:dyDescent="0.3">
      <c r="A18086" s="12"/>
    </row>
    <row r="18087" spans="1:1" x14ac:dyDescent="0.3">
      <c r="A18087" s="12"/>
    </row>
    <row r="18088" spans="1:1" x14ac:dyDescent="0.3">
      <c r="A18088" s="12"/>
    </row>
    <row r="18089" spans="1:1" x14ac:dyDescent="0.3">
      <c r="A18089" s="12"/>
    </row>
    <row r="18090" spans="1:1" x14ac:dyDescent="0.3">
      <c r="A18090" s="12"/>
    </row>
    <row r="18091" spans="1:1" x14ac:dyDescent="0.3">
      <c r="A18091" s="12"/>
    </row>
    <row r="18092" spans="1:1" x14ac:dyDescent="0.3">
      <c r="A18092" s="12"/>
    </row>
    <row r="18093" spans="1:1" x14ac:dyDescent="0.3">
      <c r="A18093" s="12"/>
    </row>
    <row r="18094" spans="1:1" x14ac:dyDescent="0.3">
      <c r="A18094" s="12"/>
    </row>
    <row r="18095" spans="1:1" x14ac:dyDescent="0.3">
      <c r="A18095" s="12"/>
    </row>
    <row r="18096" spans="1:1" x14ac:dyDescent="0.3">
      <c r="A18096" s="12"/>
    </row>
    <row r="18097" spans="1:1" x14ac:dyDescent="0.3">
      <c r="A18097" s="12"/>
    </row>
    <row r="18098" spans="1:1" x14ac:dyDescent="0.3">
      <c r="A18098" s="12"/>
    </row>
    <row r="18099" spans="1:1" x14ac:dyDescent="0.3">
      <c r="A18099" s="12"/>
    </row>
    <row r="18100" spans="1:1" x14ac:dyDescent="0.3">
      <c r="A18100" s="12"/>
    </row>
    <row r="18101" spans="1:1" x14ac:dyDescent="0.3">
      <c r="A18101" s="12"/>
    </row>
    <row r="18102" spans="1:1" x14ac:dyDescent="0.3">
      <c r="A18102" s="12"/>
    </row>
    <row r="18103" spans="1:1" x14ac:dyDescent="0.3">
      <c r="A18103" s="12"/>
    </row>
    <row r="18104" spans="1:1" x14ac:dyDescent="0.3">
      <c r="A18104" s="12"/>
    </row>
    <row r="18105" spans="1:1" x14ac:dyDescent="0.3">
      <c r="A18105" s="12"/>
    </row>
    <row r="18106" spans="1:1" x14ac:dyDescent="0.3">
      <c r="A18106" s="12"/>
    </row>
    <row r="18107" spans="1:1" x14ac:dyDescent="0.3">
      <c r="A18107" s="12"/>
    </row>
    <row r="18108" spans="1:1" x14ac:dyDescent="0.3">
      <c r="A18108" s="12"/>
    </row>
    <row r="18109" spans="1:1" x14ac:dyDescent="0.3">
      <c r="A18109" s="12"/>
    </row>
    <row r="18110" spans="1:1" x14ac:dyDescent="0.3">
      <c r="A18110" s="12"/>
    </row>
    <row r="18111" spans="1:1" x14ac:dyDescent="0.3">
      <c r="A18111" s="12"/>
    </row>
    <row r="18112" spans="1:1" x14ac:dyDescent="0.3">
      <c r="A18112" s="12"/>
    </row>
    <row r="18113" spans="1:1" x14ac:dyDescent="0.3">
      <c r="A18113" s="12"/>
    </row>
    <row r="18114" spans="1:1" x14ac:dyDescent="0.3">
      <c r="A18114" s="12"/>
    </row>
    <row r="18115" spans="1:1" x14ac:dyDescent="0.3">
      <c r="A18115" s="12"/>
    </row>
    <row r="18116" spans="1:1" x14ac:dyDescent="0.3">
      <c r="A18116" s="12"/>
    </row>
    <row r="18117" spans="1:1" x14ac:dyDescent="0.3">
      <c r="A18117" s="12"/>
    </row>
    <row r="18118" spans="1:1" x14ac:dyDescent="0.3">
      <c r="A18118" s="12"/>
    </row>
    <row r="18119" spans="1:1" x14ac:dyDescent="0.3">
      <c r="A18119" s="12"/>
    </row>
    <row r="18120" spans="1:1" x14ac:dyDescent="0.3">
      <c r="A18120" s="12"/>
    </row>
    <row r="18121" spans="1:1" x14ac:dyDescent="0.3">
      <c r="A18121" s="12"/>
    </row>
    <row r="18122" spans="1:1" x14ac:dyDescent="0.3">
      <c r="A18122" s="12"/>
    </row>
    <row r="18123" spans="1:1" x14ac:dyDescent="0.3">
      <c r="A18123" s="12"/>
    </row>
    <row r="18124" spans="1:1" x14ac:dyDescent="0.3">
      <c r="A18124" s="12"/>
    </row>
    <row r="18125" spans="1:1" x14ac:dyDescent="0.3">
      <c r="A18125" s="12"/>
    </row>
    <row r="18126" spans="1:1" x14ac:dyDescent="0.3">
      <c r="A18126" s="12"/>
    </row>
    <row r="18127" spans="1:1" x14ac:dyDescent="0.3">
      <c r="A18127" s="12"/>
    </row>
    <row r="18128" spans="1:1" x14ac:dyDescent="0.3">
      <c r="A18128" s="12"/>
    </row>
    <row r="18129" spans="1:1" x14ac:dyDescent="0.3">
      <c r="A18129" s="12"/>
    </row>
    <row r="18130" spans="1:1" x14ac:dyDescent="0.3">
      <c r="A18130" s="12"/>
    </row>
    <row r="18131" spans="1:1" x14ac:dyDescent="0.3">
      <c r="A18131" s="12"/>
    </row>
    <row r="18132" spans="1:1" x14ac:dyDescent="0.3">
      <c r="A18132" s="12"/>
    </row>
    <row r="18133" spans="1:1" x14ac:dyDescent="0.3">
      <c r="A18133" s="12"/>
    </row>
    <row r="18134" spans="1:1" x14ac:dyDescent="0.3">
      <c r="A18134" s="12"/>
    </row>
    <row r="18135" spans="1:1" x14ac:dyDescent="0.3">
      <c r="A18135" s="12"/>
    </row>
    <row r="18136" spans="1:1" x14ac:dyDescent="0.3">
      <c r="A18136" s="12"/>
    </row>
    <row r="18137" spans="1:1" x14ac:dyDescent="0.3">
      <c r="A18137" s="12"/>
    </row>
    <row r="18138" spans="1:1" x14ac:dyDescent="0.3">
      <c r="A18138" s="12"/>
    </row>
    <row r="18139" spans="1:1" x14ac:dyDescent="0.3">
      <c r="A18139" s="12"/>
    </row>
    <row r="18140" spans="1:1" x14ac:dyDescent="0.3">
      <c r="A18140" s="12"/>
    </row>
    <row r="18141" spans="1:1" x14ac:dyDescent="0.3">
      <c r="A18141" s="12"/>
    </row>
    <row r="18142" spans="1:1" x14ac:dyDescent="0.3">
      <c r="A18142" s="12"/>
    </row>
    <row r="18143" spans="1:1" x14ac:dyDescent="0.3">
      <c r="A18143" s="12"/>
    </row>
    <row r="18144" spans="1:1" x14ac:dyDescent="0.3">
      <c r="A18144" s="12"/>
    </row>
    <row r="18145" spans="1:1" x14ac:dyDescent="0.3">
      <c r="A18145" s="12"/>
    </row>
    <row r="18146" spans="1:1" x14ac:dyDescent="0.3">
      <c r="A18146" s="12"/>
    </row>
    <row r="18147" spans="1:1" x14ac:dyDescent="0.3">
      <c r="A18147" s="12"/>
    </row>
    <row r="18148" spans="1:1" x14ac:dyDescent="0.3">
      <c r="A18148" s="12"/>
    </row>
    <row r="18149" spans="1:1" x14ac:dyDescent="0.3">
      <c r="A18149" s="12"/>
    </row>
    <row r="18150" spans="1:1" x14ac:dyDescent="0.3">
      <c r="A18150" s="12"/>
    </row>
    <row r="18151" spans="1:1" x14ac:dyDescent="0.3">
      <c r="A18151" s="12"/>
    </row>
    <row r="18152" spans="1:1" x14ac:dyDescent="0.3">
      <c r="A18152" s="12"/>
    </row>
    <row r="18153" spans="1:1" x14ac:dyDescent="0.3">
      <c r="A18153" s="12"/>
    </row>
    <row r="18154" spans="1:1" x14ac:dyDescent="0.3">
      <c r="A18154" s="12"/>
    </row>
    <row r="18155" spans="1:1" x14ac:dyDescent="0.3">
      <c r="A18155" s="12"/>
    </row>
    <row r="18156" spans="1:1" x14ac:dyDescent="0.3">
      <c r="A18156" s="12"/>
    </row>
    <row r="18157" spans="1:1" x14ac:dyDescent="0.3">
      <c r="A18157" s="12"/>
    </row>
    <row r="18158" spans="1:1" x14ac:dyDescent="0.3">
      <c r="A18158" s="12"/>
    </row>
    <row r="18159" spans="1:1" x14ac:dyDescent="0.3">
      <c r="A18159" s="12"/>
    </row>
    <row r="18160" spans="1:1" x14ac:dyDescent="0.3">
      <c r="A18160" s="12"/>
    </row>
    <row r="18161" spans="1:1" x14ac:dyDescent="0.3">
      <c r="A18161" s="12"/>
    </row>
    <row r="18162" spans="1:1" x14ac:dyDescent="0.3">
      <c r="A18162" s="12"/>
    </row>
    <row r="18163" spans="1:1" x14ac:dyDescent="0.3">
      <c r="A18163" s="12"/>
    </row>
    <row r="18164" spans="1:1" x14ac:dyDescent="0.3">
      <c r="A18164" s="12"/>
    </row>
    <row r="18165" spans="1:1" x14ac:dyDescent="0.3">
      <c r="A18165" s="12"/>
    </row>
    <row r="18166" spans="1:1" x14ac:dyDescent="0.3">
      <c r="A18166" s="12"/>
    </row>
    <row r="18167" spans="1:1" x14ac:dyDescent="0.3">
      <c r="A18167" s="12"/>
    </row>
    <row r="18168" spans="1:1" x14ac:dyDescent="0.3">
      <c r="A18168" s="12"/>
    </row>
    <row r="18169" spans="1:1" x14ac:dyDescent="0.3">
      <c r="A18169" s="12"/>
    </row>
    <row r="18170" spans="1:1" x14ac:dyDescent="0.3">
      <c r="A18170" s="12"/>
    </row>
    <row r="18171" spans="1:1" x14ac:dyDescent="0.3">
      <c r="A18171" s="12"/>
    </row>
    <row r="18172" spans="1:1" x14ac:dyDescent="0.3">
      <c r="A18172" s="12"/>
    </row>
    <row r="18173" spans="1:1" x14ac:dyDescent="0.3">
      <c r="A18173" s="12"/>
    </row>
    <row r="18174" spans="1:1" x14ac:dyDescent="0.3">
      <c r="A18174" s="12"/>
    </row>
    <row r="18175" spans="1:1" x14ac:dyDescent="0.3">
      <c r="A18175" s="12"/>
    </row>
    <row r="18176" spans="1:1" x14ac:dyDescent="0.3">
      <c r="A18176" s="12"/>
    </row>
    <row r="18177" spans="1:1" x14ac:dyDescent="0.3">
      <c r="A18177" s="12"/>
    </row>
    <row r="18178" spans="1:1" x14ac:dyDescent="0.3">
      <c r="A18178" s="12"/>
    </row>
    <row r="18179" spans="1:1" x14ac:dyDescent="0.3">
      <c r="A18179" s="12"/>
    </row>
    <row r="18180" spans="1:1" x14ac:dyDescent="0.3">
      <c r="A18180" s="12"/>
    </row>
    <row r="18181" spans="1:1" x14ac:dyDescent="0.3">
      <c r="A18181" s="12"/>
    </row>
    <row r="18182" spans="1:1" x14ac:dyDescent="0.3">
      <c r="A18182" s="12"/>
    </row>
    <row r="18183" spans="1:1" x14ac:dyDescent="0.3">
      <c r="A18183" s="12"/>
    </row>
    <row r="18184" spans="1:1" x14ac:dyDescent="0.3">
      <c r="A18184" s="12"/>
    </row>
    <row r="18185" spans="1:1" x14ac:dyDescent="0.3">
      <c r="A18185" s="12"/>
    </row>
    <row r="18186" spans="1:1" x14ac:dyDescent="0.3">
      <c r="A18186" s="12"/>
    </row>
    <row r="18187" spans="1:1" x14ac:dyDescent="0.3">
      <c r="A18187" s="12"/>
    </row>
    <row r="18188" spans="1:1" x14ac:dyDescent="0.3">
      <c r="A18188" s="12"/>
    </row>
    <row r="18189" spans="1:1" x14ac:dyDescent="0.3">
      <c r="A18189" s="12"/>
    </row>
    <row r="18190" spans="1:1" x14ac:dyDescent="0.3">
      <c r="A18190" s="12"/>
    </row>
    <row r="18191" spans="1:1" x14ac:dyDescent="0.3">
      <c r="A18191" s="12"/>
    </row>
    <row r="18192" spans="1:1" x14ac:dyDescent="0.3">
      <c r="A18192" s="12"/>
    </row>
    <row r="18193" spans="1:1" x14ac:dyDescent="0.3">
      <c r="A18193" s="12"/>
    </row>
    <row r="18194" spans="1:1" x14ac:dyDescent="0.3">
      <c r="A18194" s="12"/>
    </row>
    <row r="18195" spans="1:1" x14ac:dyDescent="0.3">
      <c r="A18195" s="12"/>
    </row>
    <row r="18196" spans="1:1" x14ac:dyDescent="0.3">
      <c r="A18196" s="12"/>
    </row>
    <row r="18197" spans="1:1" x14ac:dyDescent="0.3">
      <c r="A18197" s="12"/>
    </row>
    <row r="18198" spans="1:1" x14ac:dyDescent="0.3">
      <c r="A18198" s="12"/>
    </row>
    <row r="18199" spans="1:1" x14ac:dyDescent="0.3">
      <c r="A18199" s="12"/>
    </row>
    <row r="18200" spans="1:1" x14ac:dyDescent="0.3">
      <c r="A18200" s="12"/>
    </row>
    <row r="18201" spans="1:1" x14ac:dyDescent="0.3">
      <c r="A18201" s="12"/>
    </row>
    <row r="18202" spans="1:1" x14ac:dyDescent="0.3">
      <c r="A18202" s="12"/>
    </row>
    <row r="18203" spans="1:1" x14ac:dyDescent="0.3">
      <c r="A18203" s="12"/>
    </row>
    <row r="18204" spans="1:1" x14ac:dyDescent="0.3">
      <c r="A18204" s="12"/>
    </row>
    <row r="18205" spans="1:1" x14ac:dyDescent="0.3">
      <c r="A18205" s="12"/>
    </row>
    <row r="18206" spans="1:1" x14ac:dyDescent="0.3">
      <c r="A18206" s="12"/>
    </row>
    <row r="18207" spans="1:1" x14ac:dyDescent="0.3">
      <c r="A18207" s="12"/>
    </row>
    <row r="18208" spans="1:1" x14ac:dyDescent="0.3">
      <c r="A18208" s="12"/>
    </row>
    <row r="18209" spans="1:1" x14ac:dyDescent="0.3">
      <c r="A18209" s="12"/>
    </row>
    <row r="18210" spans="1:1" x14ac:dyDescent="0.3">
      <c r="A18210" s="12"/>
    </row>
    <row r="18211" spans="1:1" x14ac:dyDescent="0.3">
      <c r="A18211" s="12"/>
    </row>
    <row r="18212" spans="1:1" x14ac:dyDescent="0.3">
      <c r="A18212" s="12"/>
    </row>
    <row r="18213" spans="1:1" x14ac:dyDescent="0.3">
      <c r="A18213" s="12"/>
    </row>
    <row r="18214" spans="1:1" x14ac:dyDescent="0.3">
      <c r="A18214" s="12"/>
    </row>
    <row r="18215" spans="1:1" x14ac:dyDescent="0.3">
      <c r="A18215" s="12"/>
    </row>
    <row r="18216" spans="1:1" x14ac:dyDescent="0.3">
      <c r="A18216" s="12"/>
    </row>
    <row r="18217" spans="1:1" x14ac:dyDescent="0.3">
      <c r="A18217" s="12"/>
    </row>
    <row r="18218" spans="1:1" x14ac:dyDescent="0.3">
      <c r="A18218" s="12"/>
    </row>
    <row r="18219" spans="1:1" x14ac:dyDescent="0.3">
      <c r="A18219" s="12"/>
    </row>
    <row r="18220" spans="1:1" x14ac:dyDescent="0.3">
      <c r="A18220" s="12"/>
    </row>
    <row r="18221" spans="1:1" x14ac:dyDescent="0.3">
      <c r="A18221" s="12"/>
    </row>
    <row r="18222" spans="1:1" x14ac:dyDescent="0.3">
      <c r="A18222" s="12"/>
    </row>
    <row r="18223" spans="1:1" x14ac:dyDescent="0.3">
      <c r="A18223" s="12"/>
    </row>
    <row r="18224" spans="1:1" x14ac:dyDescent="0.3">
      <c r="A18224" s="12"/>
    </row>
    <row r="18225" spans="1:1" x14ac:dyDescent="0.3">
      <c r="A18225" s="12"/>
    </row>
    <row r="18226" spans="1:1" x14ac:dyDescent="0.3">
      <c r="A18226" s="12"/>
    </row>
    <row r="18227" spans="1:1" x14ac:dyDescent="0.3">
      <c r="A18227" s="12"/>
    </row>
    <row r="18228" spans="1:1" x14ac:dyDescent="0.3">
      <c r="A18228" s="12"/>
    </row>
    <row r="18229" spans="1:1" x14ac:dyDescent="0.3">
      <c r="A18229" s="12"/>
    </row>
    <row r="18230" spans="1:1" x14ac:dyDescent="0.3">
      <c r="A18230" s="12"/>
    </row>
    <row r="18231" spans="1:1" x14ac:dyDescent="0.3">
      <c r="A18231" s="12"/>
    </row>
    <row r="18232" spans="1:1" x14ac:dyDescent="0.3">
      <c r="A18232" s="12"/>
    </row>
    <row r="18233" spans="1:1" x14ac:dyDescent="0.3">
      <c r="A18233" s="12"/>
    </row>
    <row r="18234" spans="1:1" x14ac:dyDescent="0.3">
      <c r="A18234" s="12"/>
    </row>
    <row r="18235" spans="1:1" x14ac:dyDescent="0.3">
      <c r="A18235" s="12"/>
    </row>
    <row r="18236" spans="1:1" x14ac:dyDescent="0.3">
      <c r="A18236" s="12"/>
    </row>
    <row r="18237" spans="1:1" x14ac:dyDescent="0.3">
      <c r="A18237" s="12"/>
    </row>
    <row r="18238" spans="1:1" x14ac:dyDescent="0.3">
      <c r="A18238" s="12"/>
    </row>
    <row r="18239" spans="1:1" x14ac:dyDescent="0.3">
      <c r="A18239" s="12"/>
    </row>
    <row r="18240" spans="1:1" x14ac:dyDescent="0.3">
      <c r="A18240" s="12"/>
    </row>
    <row r="18241" spans="1:1" x14ac:dyDescent="0.3">
      <c r="A18241" s="12"/>
    </row>
    <row r="18242" spans="1:1" x14ac:dyDescent="0.3">
      <c r="A18242" s="12"/>
    </row>
    <row r="18243" spans="1:1" x14ac:dyDescent="0.3">
      <c r="A18243" s="12"/>
    </row>
    <row r="18244" spans="1:1" x14ac:dyDescent="0.3">
      <c r="A18244" s="12"/>
    </row>
    <row r="18245" spans="1:1" x14ac:dyDescent="0.3">
      <c r="A18245" s="12"/>
    </row>
    <row r="18246" spans="1:1" x14ac:dyDescent="0.3">
      <c r="A18246" s="12"/>
    </row>
    <row r="18247" spans="1:1" x14ac:dyDescent="0.3">
      <c r="A18247" s="12"/>
    </row>
    <row r="18248" spans="1:1" x14ac:dyDescent="0.3">
      <c r="A18248" s="12"/>
    </row>
    <row r="18249" spans="1:1" x14ac:dyDescent="0.3">
      <c r="A18249" s="12"/>
    </row>
    <row r="18250" spans="1:1" x14ac:dyDescent="0.3">
      <c r="A18250" s="12"/>
    </row>
    <row r="18251" spans="1:1" x14ac:dyDescent="0.3">
      <c r="A18251" s="12"/>
    </row>
    <row r="18252" spans="1:1" x14ac:dyDescent="0.3">
      <c r="A18252" s="12"/>
    </row>
    <row r="18253" spans="1:1" x14ac:dyDescent="0.3">
      <c r="A18253" s="12"/>
    </row>
    <row r="18254" spans="1:1" x14ac:dyDescent="0.3">
      <c r="A18254" s="12"/>
    </row>
    <row r="18255" spans="1:1" x14ac:dyDescent="0.3">
      <c r="A18255" s="12"/>
    </row>
    <row r="18256" spans="1:1" x14ac:dyDescent="0.3">
      <c r="A18256" s="12"/>
    </row>
    <row r="18257" spans="1:1" x14ac:dyDescent="0.3">
      <c r="A18257" s="12"/>
    </row>
    <row r="18258" spans="1:1" x14ac:dyDescent="0.3">
      <c r="A18258" s="12"/>
    </row>
    <row r="18259" spans="1:1" x14ac:dyDescent="0.3">
      <c r="A18259" s="12"/>
    </row>
    <row r="18260" spans="1:1" x14ac:dyDescent="0.3">
      <c r="A18260" s="12"/>
    </row>
    <row r="18261" spans="1:1" x14ac:dyDescent="0.3">
      <c r="A18261" s="12"/>
    </row>
    <row r="18262" spans="1:1" x14ac:dyDescent="0.3">
      <c r="A18262" s="12"/>
    </row>
    <row r="18263" spans="1:1" x14ac:dyDescent="0.3">
      <c r="A18263" s="12"/>
    </row>
    <row r="18264" spans="1:1" x14ac:dyDescent="0.3">
      <c r="A18264" s="12"/>
    </row>
    <row r="18265" spans="1:1" x14ac:dyDescent="0.3">
      <c r="A18265" s="12"/>
    </row>
    <row r="18266" spans="1:1" x14ac:dyDescent="0.3">
      <c r="A18266" s="12"/>
    </row>
    <row r="18267" spans="1:1" x14ac:dyDescent="0.3">
      <c r="A18267" s="12"/>
    </row>
    <row r="18268" spans="1:1" x14ac:dyDescent="0.3">
      <c r="A18268" s="12"/>
    </row>
    <row r="18269" spans="1:1" x14ac:dyDescent="0.3">
      <c r="A18269" s="12"/>
    </row>
    <row r="18270" spans="1:1" x14ac:dyDescent="0.3">
      <c r="A18270" s="12"/>
    </row>
    <row r="18271" spans="1:1" x14ac:dyDescent="0.3">
      <c r="A18271" s="12"/>
    </row>
    <row r="18272" spans="1:1" x14ac:dyDescent="0.3">
      <c r="A18272" s="12"/>
    </row>
    <row r="18273" spans="1:1" x14ac:dyDescent="0.3">
      <c r="A18273" s="12"/>
    </row>
    <row r="18274" spans="1:1" x14ac:dyDescent="0.3">
      <c r="A18274" s="12"/>
    </row>
    <row r="18275" spans="1:1" x14ac:dyDescent="0.3">
      <c r="A18275" s="12"/>
    </row>
    <row r="18276" spans="1:1" x14ac:dyDescent="0.3">
      <c r="A18276" s="12"/>
    </row>
    <row r="18277" spans="1:1" x14ac:dyDescent="0.3">
      <c r="A18277" s="12"/>
    </row>
    <row r="18278" spans="1:1" x14ac:dyDescent="0.3">
      <c r="A18278" s="12"/>
    </row>
    <row r="18279" spans="1:1" x14ac:dyDescent="0.3">
      <c r="A18279" s="12"/>
    </row>
    <row r="18280" spans="1:1" x14ac:dyDescent="0.3">
      <c r="A18280" s="12"/>
    </row>
    <row r="18281" spans="1:1" x14ac:dyDescent="0.3">
      <c r="A18281" s="12"/>
    </row>
    <row r="18282" spans="1:1" x14ac:dyDescent="0.3">
      <c r="A18282" s="12"/>
    </row>
    <row r="18283" spans="1:1" x14ac:dyDescent="0.3">
      <c r="A18283" s="12"/>
    </row>
    <row r="18284" spans="1:1" x14ac:dyDescent="0.3">
      <c r="A18284" s="12"/>
    </row>
    <row r="18285" spans="1:1" x14ac:dyDescent="0.3">
      <c r="A18285" s="12"/>
    </row>
    <row r="18286" spans="1:1" x14ac:dyDescent="0.3">
      <c r="A18286" s="12"/>
    </row>
    <row r="18287" spans="1:1" x14ac:dyDescent="0.3">
      <c r="A18287" s="12"/>
    </row>
    <row r="18288" spans="1:1" x14ac:dyDescent="0.3">
      <c r="A18288" s="12"/>
    </row>
    <row r="18289" spans="1:1" x14ac:dyDescent="0.3">
      <c r="A18289" s="12"/>
    </row>
    <row r="18290" spans="1:1" x14ac:dyDescent="0.3">
      <c r="A18290" s="12"/>
    </row>
    <row r="18291" spans="1:1" x14ac:dyDescent="0.3">
      <c r="A18291" s="12"/>
    </row>
    <row r="18292" spans="1:1" x14ac:dyDescent="0.3">
      <c r="A18292" s="12"/>
    </row>
    <row r="18293" spans="1:1" x14ac:dyDescent="0.3">
      <c r="A18293" s="12"/>
    </row>
    <row r="18294" spans="1:1" x14ac:dyDescent="0.3">
      <c r="A18294" s="12"/>
    </row>
    <row r="18295" spans="1:1" x14ac:dyDescent="0.3">
      <c r="A18295" s="12"/>
    </row>
    <row r="18296" spans="1:1" x14ac:dyDescent="0.3">
      <c r="A18296" s="12"/>
    </row>
    <row r="18297" spans="1:1" x14ac:dyDescent="0.3">
      <c r="A18297" s="12"/>
    </row>
    <row r="18298" spans="1:1" x14ac:dyDescent="0.3">
      <c r="A18298" s="12"/>
    </row>
    <row r="18299" spans="1:1" x14ac:dyDescent="0.3">
      <c r="A18299" s="12"/>
    </row>
    <row r="18300" spans="1:1" x14ac:dyDescent="0.3">
      <c r="A18300" s="12"/>
    </row>
    <row r="18301" spans="1:1" x14ac:dyDescent="0.3">
      <c r="A18301" s="12"/>
    </row>
    <row r="18302" spans="1:1" x14ac:dyDescent="0.3">
      <c r="A18302" s="12"/>
    </row>
    <row r="18303" spans="1:1" x14ac:dyDescent="0.3">
      <c r="A18303" s="12"/>
    </row>
    <row r="18304" spans="1:1" x14ac:dyDescent="0.3">
      <c r="A18304" s="12"/>
    </row>
    <row r="18305" spans="1:1" x14ac:dyDescent="0.3">
      <c r="A18305" s="12"/>
    </row>
    <row r="18306" spans="1:1" x14ac:dyDescent="0.3">
      <c r="A18306" s="12"/>
    </row>
    <row r="18307" spans="1:1" x14ac:dyDescent="0.3">
      <c r="A18307" s="12"/>
    </row>
    <row r="18308" spans="1:1" x14ac:dyDescent="0.3">
      <c r="A18308" s="12"/>
    </row>
    <row r="18309" spans="1:1" x14ac:dyDescent="0.3">
      <c r="A18309" s="12"/>
    </row>
    <row r="18310" spans="1:1" x14ac:dyDescent="0.3">
      <c r="A18310" s="12"/>
    </row>
    <row r="18311" spans="1:1" x14ac:dyDescent="0.3">
      <c r="A18311" s="12"/>
    </row>
    <row r="18312" spans="1:1" x14ac:dyDescent="0.3">
      <c r="A18312" s="12"/>
    </row>
    <row r="18313" spans="1:1" x14ac:dyDescent="0.3">
      <c r="A18313" s="12"/>
    </row>
    <row r="18314" spans="1:1" x14ac:dyDescent="0.3">
      <c r="A18314" s="12"/>
    </row>
    <row r="18315" spans="1:1" x14ac:dyDescent="0.3">
      <c r="A18315" s="12"/>
    </row>
    <row r="18316" spans="1:1" x14ac:dyDescent="0.3">
      <c r="A18316" s="12"/>
    </row>
    <row r="18317" spans="1:1" x14ac:dyDescent="0.3">
      <c r="A18317" s="12"/>
    </row>
    <row r="18318" spans="1:1" x14ac:dyDescent="0.3">
      <c r="A18318" s="12"/>
    </row>
    <row r="18319" spans="1:1" x14ac:dyDescent="0.3">
      <c r="A18319" s="12"/>
    </row>
    <row r="18320" spans="1:1" x14ac:dyDescent="0.3">
      <c r="A18320" s="12"/>
    </row>
    <row r="18321" spans="1:1" x14ac:dyDescent="0.3">
      <c r="A18321" s="12"/>
    </row>
    <row r="18322" spans="1:1" x14ac:dyDescent="0.3">
      <c r="A18322" s="12"/>
    </row>
    <row r="18323" spans="1:1" x14ac:dyDescent="0.3">
      <c r="A18323" s="12"/>
    </row>
    <row r="18324" spans="1:1" x14ac:dyDescent="0.3">
      <c r="A18324" s="12"/>
    </row>
    <row r="18325" spans="1:1" x14ac:dyDescent="0.3">
      <c r="A18325" s="12"/>
    </row>
    <row r="18326" spans="1:1" x14ac:dyDescent="0.3">
      <c r="A18326" s="12"/>
    </row>
    <row r="18327" spans="1:1" x14ac:dyDescent="0.3">
      <c r="A18327" s="12"/>
    </row>
    <row r="18328" spans="1:1" x14ac:dyDescent="0.3">
      <c r="A18328" s="12"/>
    </row>
    <row r="18329" spans="1:1" x14ac:dyDescent="0.3">
      <c r="A18329" s="12"/>
    </row>
    <row r="18330" spans="1:1" x14ac:dyDescent="0.3">
      <c r="A18330" s="12"/>
    </row>
    <row r="18331" spans="1:1" x14ac:dyDescent="0.3">
      <c r="A18331" s="12"/>
    </row>
    <row r="18332" spans="1:1" x14ac:dyDescent="0.3">
      <c r="A18332" s="12"/>
    </row>
    <row r="18333" spans="1:1" x14ac:dyDescent="0.3">
      <c r="A18333" s="12"/>
    </row>
    <row r="18334" spans="1:1" x14ac:dyDescent="0.3">
      <c r="A18334" s="12"/>
    </row>
    <row r="18335" spans="1:1" x14ac:dyDescent="0.3">
      <c r="A18335" s="12"/>
    </row>
    <row r="18336" spans="1:1" x14ac:dyDescent="0.3">
      <c r="A18336" s="12"/>
    </row>
    <row r="18337" spans="1:1" x14ac:dyDescent="0.3">
      <c r="A18337" s="12"/>
    </row>
    <row r="18338" spans="1:1" x14ac:dyDescent="0.3">
      <c r="A18338" s="12"/>
    </row>
    <row r="18339" spans="1:1" x14ac:dyDescent="0.3">
      <c r="A18339" s="12"/>
    </row>
    <row r="18340" spans="1:1" x14ac:dyDescent="0.3">
      <c r="A18340" s="12"/>
    </row>
    <row r="18341" spans="1:1" x14ac:dyDescent="0.3">
      <c r="A18341" s="12"/>
    </row>
    <row r="18342" spans="1:1" x14ac:dyDescent="0.3">
      <c r="A18342" s="12"/>
    </row>
    <row r="18343" spans="1:1" x14ac:dyDescent="0.3">
      <c r="A18343" s="12"/>
    </row>
    <row r="18344" spans="1:1" x14ac:dyDescent="0.3">
      <c r="A18344" s="12"/>
    </row>
    <row r="18345" spans="1:1" x14ac:dyDescent="0.3">
      <c r="A18345" s="12"/>
    </row>
    <row r="18346" spans="1:1" x14ac:dyDescent="0.3">
      <c r="A18346" s="12"/>
    </row>
    <row r="18347" spans="1:1" x14ac:dyDescent="0.3">
      <c r="A18347" s="12"/>
    </row>
    <row r="18348" spans="1:1" x14ac:dyDescent="0.3">
      <c r="A18348" s="12"/>
    </row>
    <row r="18349" spans="1:1" x14ac:dyDescent="0.3">
      <c r="A18349" s="12"/>
    </row>
    <row r="18350" spans="1:1" x14ac:dyDescent="0.3">
      <c r="A18350" s="12"/>
    </row>
    <row r="18351" spans="1:1" x14ac:dyDescent="0.3">
      <c r="A18351" s="12"/>
    </row>
    <row r="18352" spans="1:1" x14ac:dyDescent="0.3">
      <c r="A18352" s="12"/>
    </row>
    <row r="18353" spans="1:1" x14ac:dyDescent="0.3">
      <c r="A18353" s="12"/>
    </row>
    <row r="18354" spans="1:1" x14ac:dyDescent="0.3">
      <c r="A18354" s="12"/>
    </row>
    <row r="18355" spans="1:1" x14ac:dyDescent="0.3">
      <c r="A18355" s="12"/>
    </row>
    <row r="18356" spans="1:1" x14ac:dyDescent="0.3">
      <c r="A18356" s="12"/>
    </row>
    <row r="18357" spans="1:1" x14ac:dyDescent="0.3">
      <c r="A18357" s="12"/>
    </row>
    <row r="18358" spans="1:1" x14ac:dyDescent="0.3">
      <c r="A18358" s="12"/>
    </row>
    <row r="18359" spans="1:1" x14ac:dyDescent="0.3">
      <c r="A18359" s="12"/>
    </row>
    <row r="18360" spans="1:1" x14ac:dyDescent="0.3">
      <c r="A18360" s="12"/>
    </row>
    <row r="18361" spans="1:1" x14ac:dyDescent="0.3">
      <c r="A18361" s="12"/>
    </row>
    <row r="18362" spans="1:1" x14ac:dyDescent="0.3">
      <c r="A18362" s="12"/>
    </row>
    <row r="18363" spans="1:1" x14ac:dyDescent="0.3">
      <c r="A18363" s="12"/>
    </row>
    <row r="18364" spans="1:1" x14ac:dyDescent="0.3">
      <c r="A18364" s="12"/>
    </row>
    <row r="18365" spans="1:1" x14ac:dyDescent="0.3">
      <c r="A18365" s="12"/>
    </row>
    <row r="18366" spans="1:1" x14ac:dyDescent="0.3">
      <c r="A18366" s="12"/>
    </row>
    <row r="18367" spans="1:1" x14ac:dyDescent="0.3">
      <c r="A18367" s="12"/>
    </row>
    <row r="18368" spans="1:1" x14ac:dyDescent="0.3">
      <c r="A18368" s="12"/>
    </row>
    <row r="18369" spans="1:1" x14ac:dyDescent="0.3">
      <c r="A18369" s="12"/>
    </row>
    <row r="18370" spans="1:1" x14ac:dyDescent="0.3">
      <c r="A18370" s="12"/>
    </row>
    <row r="18371" spans="1:1" x14ac:dyDescent="0.3">
      <c r="A18371" s="12"/>
    </row>
    <row r="18372" spans="1:1" x14ac:dyDescent="0.3">
      <c r="A18372" s="12"/>
    </row>
    <row r="18373" spans="1:1" x14ac:dyDescent="0.3">
      <c r="A18373" s="12"/>
    </row>
    <row r="18374" spans="1:1" x14ac:dyDescent="0.3">
      <c r="A18374" s="12"/>
    </row>
    <row r="18375" spans="1:1" x14ac:dyDescent="0.3">
      <c r="A18375" s="12"/>
    </row>
    <row r="18376" spans="1:1" x14ac:dyDescent="0.3">
      <c r="A18376" s="12"/>
    </row>
    <row r="18377" spans="1:1" x14ac:dyDescent="0.3">
      <c r="A18377" s="12"/>
    </row>
    <row r="18378" spans="1:1" x14ac:dyDescent="0.3">
      <c r="A18378" s="12"/>
    </row>
    <row r="18379" spans="1:1" x14ac:dyDescent="0.3">
      <c r="A18379" s="12"/>
    </row>
    <row r="18380" spans="1:1" x14ac:dyDescent="0.3">
      <c r="A18380" s="12"/>
    </row>
    <row r="18381" spans="1:1" x14ac:dyDescent="0.3">
      <c r="A18381" s="12"/>
    </row>
    <row r="18382" spans="1:1" x14ac:dyDescent="0.3">
      <c r="A18382" s="12"/>
    </row>
    <row r="18383" spans="1:1" x14ac:dyDescent="0.3">
      <c r="A18383" s="12"/>
    </row>
    <row r="18384" spans="1:1" x14ac:dyDescent="0.3">
      <c r="A18384" s="12"/>
    </row>
    <row r="18385" spans="1:1" x14ac:dyDescent="0.3">
      <c r="A18385" s="12"/>
    </row>
    <row r="18386" spans="1:1" x14ac:dyDescent="0.3">
      <c r="A18386" s="12"/>
    </row>
    <row r="18387" spans="1:1" x14ac:dyDescent="0.3">
      <c r="A18387" s="12"/>
    </row>
    <row r="18388" spans="1:1" x14ac:dyDescent="0.3">
      <c r="A18388" s="12"/>
    </row>
    <row r="18389" spans="1:1" x14ac:dyDescent="0.3">
      <c r="A18389" s="12"/>
    </row>
    <row r="18390" spans="1:1" x14ac:dyDescent="0.3">
      <c r="A18390" s="12"/>
    </row>
    <row r="18391" spans="1:1" x14ac:dyDescent="0.3">
      <c r="A18391" s="12"/>
    </row>
    <row r="18392" spans="1:1" x14ac:dyDescent="0.3">
      <c r="A18392" s="12"/>
    </row>
    <row r="18393" spans="1:1" x14ac:dyDescent="0.3">
      <c r="A18393" s="12"/>
    </row>
    <row r="18394" spans="1:1" x14ac:dyDescent="0.3">
      <c r="A18394" s="12"/>
    </row>
    <row r="18395" spans="1:1" x14ac:dyDescent="0.3">
      <c r="A18395" s="12"/>
    </row>
    <row r="18396" spans="1:1" x14ac:dyDescent="0.3">
      <c r="A18396" s="12"/>
    </row>
    <row r="18397" spans="1:1" x14ac:dyDescent="0.3">
      <c r="A18397" s="12"/>
    </row>
    <row r="18398" spans="1:1" x14ac:dyDescent="0.3">
      <c r="A18398" s="12"/>
    </row>
    <row r="18399" spans="1:1" x14ac:dyDescent="0.3">
      <c r="A18399" s="12"/>
    </row>
    <row r="18400" spans="1:1" x14ac:dyDescent="0.3">
      <c r="A18400" s="12"/>
    </row>
    <row r="18401" spans="1:1" x14ac:dyDescent="0.3">
      <c r="A18401" s="12"/>
    </row>
    <row r="18402" spans="1:1" x14ac:dyDescent="0.3">
      <c r="A18402" s="12"/>
    </row>
    <row r="18403" spans="1:1" x14ac:dyDescent="0.3">
      <c r="A18403" s="12"/>
    </row>
    <row r="18404" spans="1:1" x14ac:dyDescent="0.3">
      <c r="A18404" s="12"/>
    </row>
    <row r="18405" spans="1:1" x14ac:dyDescent="0.3">
      <c r="A18405" s="12"/>
    </row>
    <row r="18406" spans="1:1" x14ac:dyDescent="0.3">
      <c r="A18406" s="12"/>
    </row>
    <row r="18407" spans="1:1" x14ac:dyDescent="0.3">
      <c r="A18407" s="12"/>
    </row>
    <row r="18408" spans="1:1" x14ac:dyDescent="0.3">
      <c r="A18408" s="12"/>
    </row>
    <row r="18409" spans="1:1" x14ac:dyDescent="0.3">
      <c r="A18409" s="12"/>
    </row>
    <row r="18410" spans="1:1" x14ac:dyDescent="0.3">
      <c r="A18410" s="12"/>
    </row>
    <row r="18411" spans="1:1" x14ac:dyDescent="0.3">
      <c r="A18411" s="12"/>
    </row>
    <row r="18412" spans="1:1" x14ac:dyDescent="0.3">
      <c r="A18412" s="12"/>
    </row>
    <row r="18413" spans="1:1" x14ac:dyDescent="0.3">
      <c r="A18413" s="12"/>
    </row>
    <row r="18414" spans="1:1" x14ac:dyDescent="0.3">
      <c r="A18414" s="12"/>
    </row>
    <row r="18415" spans="1:1" x14ac:dyDescent="0.3">
      <c r="A18415" s="12"/>
    </row>
    <row r="18416" spans="1:1" x14ac:dyDescent="0.3">
      <c r="A18416" s="12"/>
    </row>
    <row r="18417" spans="1:1" x14ac:dyDescent="0.3">
      <c r="A18417" s="12"/>
    </row>
    <row r="18418" spans="1:1" x14ac:dyDescent="0.3">
      <c r="A18418" s="12"/>
    </row>
    <row r="18419" spans="1:1" x14ac:dyDescent="0.3">
      <c r="A18419" s="12"/>
    </row>
    <row r="18420" spans="1:1" x14ac:dyDescent="0.3">
      <c r="A18420" s="12"/>
    </row>
    <row r="18421" spans="1:1" x14ac:dyDescent="0.3">
      <c r="A18421" s="12"/>
    </row>
    <row r="18422" spans="1:1" x14ac:dyDescent="0.3">
      <c r="A18422" s="12"/>
    </row>
    <row r="18423" spans="1:1" x14ac:dyDescent="0.3">
      <c r="A18423" s="12"/>
    </row>
    <row r="18424" spans="1:1" x14ac:dyDescent="0.3">
      <c r="A18424" s="12"/>
    </row>
    <row r="18425" spans="1:1" x14ac:dyDescent="0.3">
      <c r="A18425" s="12"/>
    </row>
    <row r="18426" spans="1:1" x14ac:dyDescent="0.3">
      <c r="A18426" s="12"/>
    </row>
    <row r="18427" spans="1:1" x14ac:dyDescent="0.3">
      <c r="A18427" s="12"/>
    </row>
    <row r="18428" spans="1:1" x14ac:dyDescent="0.3">
      <c r="A18428" s="12"/>
    </row>
    <row r="18429" spans="1:1" x14ac:dyDescent="0.3">
      <c r="A18429" s="12"/>
    </row>
    <row r="18430" spans="1:1" x14ac:dyDescent="0.3">
      <c r="A18430" s="12"/>
    </row>
    <row r="18431" spans="1:1" x14ac:dyDescent="0.3">
      <c r="A18431" s="12"/>
    </row>
    <row r="18432" spans="1:1" x14ac:dyDescent="0.3">
      <c r="A18432" s="12"/>
    </row>
    <row r="18433" spans="1:1" x14ac:dyDescent="0.3">
      <c r="A18433" s="12"/>
    </row>
    <row r="18434" spans="1:1" x14ac:dyDescent="0.3">
      <c r="A18434" s="12"/>
    </row>
    <row r="18435" spans="1:1" x14ac:dyDescent="0.3">
      <c r="A18435" s="12"/>
    </row>
    <row r="18436" spans="1:1" x14ac:dyDescent="0.3">
      <c r="A18436" s="12"/>
    </row>
    <row r="18437" spans="1:1" x14ac:dyDescent="0.3">
      <c r="A18437" s="12"/>
    </row>
    <row r="18438" spans="1:1" x14ac:dyDescent="0.3">
      <c r="A18438" s="12"/>
    </row>
    <row r="18439" spans="1:1" x14ac:dyDescent="0.3">
      <c r="A18439" s="12"/>
    </row>
    <row r="18440" spans="1:1" x14ac:dyDescent="0.3">
      <c r="A18440" s="12"/>
    </row>
    <row r="18441" spans="1:1" x14ac:dyDescent="0.3">
      <c r="A18441" s="12"/>
    </row>
    <row r="18442" spans="1:1" x14ac:dyDescent="0.3">
      <c r="A18442" s="12"/>
    </row>
    <row r="18443" spans="1:1" x14ac:dyDescent="0.3">
      <c r="A18443" s="12"/>
    </row>
    <row r="18444" spans="1:1" x14ac:dyDescent="0.3">
      <c r="A18444" s="12"/>
    </row>
    <row r="18445" spans="1:1" x14ac:dyDescent="0.3">
      <c r="A18445" s="12"/>
    </row>
    <row r="18446" spans="1:1" x14ac:dyDescent="0.3">
      <c r="A18446" s="12"/>
    </row>
    <row r="18447" spans="1:1" x14ac:dyDescent="0.3">
      <c r="A18447" s="12"/>
    </row>
    <row r="18448" spans="1:1" x14ac:dyDescent="0.3">
      <c r="A18448" s="12"/>
    </row>
    <row r="18449" spans="1:1" x14ac:dyDescent="0.3">
      <c r="A18449" s="12"/>
    </row>
    <row r="18450" spans="1:1" x14ac:dyDescent="0.3">
      <c r="A18450" s="12"/>
    </row>
    <row r="18451" spans="1:1" x14ac:dyDescent="0.3">
      <c r="A18451" s="12"/>
    </row>
    <row r="18452" spans="1:1" x14ac:dyDescent="0.3">
      <c r="A18452" s="12"/>
    </row>
    <row r="18453" spans="1:1" x14ac:dyDescent="0.3">
      <c r="A18453" s="12"/>
    </row>
    <row r="18454" spans="1:1" x14ac:dyDescent="0.3">
      <c r="A18454" s="12"/>
    </row>
    <row r="18455" spans="1:1" x14ac:dyDescent="0.3">
      <c r="A18455" s="12"/>
    </row>
    <row r="18456" spans="1:1" x14ac:dyDescent="0.3">
      <c r="A18456" s="12"/>
    </row>
    <row r="18457" spans="1:1" x14ac:dyDescent="0.3">
      <c r="A18457" s="12"/>
    </row>
    <row r="18458" spans="1:1" x14ac:dyDescent="0.3">
      <c r="A18458" s="12"/>
    </row>
    <row r="18459" spans="1:1" x14ac:dyDescent="0.3">
      <c r="A18459" s="12"/>
    </row>
    <row r="18460" spans="1:1" x14ac:dyDescent="0.3">
      <c r="A18460" s="12"/>
    </row>
    <row r="18461" spans="1:1" x14ac:dyDescent="0.3">
      <c r="A18461" s="12"/>
    </row>
    <row r="18462" spans="1:1" x14ac:dyDescent="0.3">
      <c r="A18462" s="12"/>
    </row>
    <row r="18463" spans="1:1" x14ac:dyDescent="0.3">
      <c r="A18463" s="12"/>
    </row>
    <row r="18464" spans="1:1" x14ac:dyDescent="0.3">
      <c r="A18464" s="12"/>
    </row>
    <row r="18465" spans="1:1" x14ac:dyDescent="0.3">
      <c r="A18465" s="12"/>
    </row>
    <row r="18466" spans="1:1" x14ac:dyDescent="0.3">
      <c r="A18466" s="12"/>
    </row>
    <row r="18467" spans="1:1" x14ac:dyDescent="0.3">
      <c r="A18467" s="12"/>
    </row>
    <row r="18468" spans="1:1" x14ac:dyDescent="0.3">
      <c r="A18468" s="12"/>
    </row>
    <row r="18469" spans="1:1" x14ac:dyDescent="0.3">
      <c r="A18469" s="12"/>
    </row>
    <row r="18470" spans="1:1" x14ac:dyDescent="0.3">
      <c r="A18470" s="12"/>
    </row>
    <row r="18471" spans="1:1" x14ac:dyDescent="0.3">
      <c r="A18471" s="12"/>
    </row>
    <row r="18472" spans="1:1" x14ac:dyDescent="0.3">
      <c r="A18472" s="12"/>
    </row>
    <row r="18473" spans="1:1" x14ac:dyDescent="0.3">
      <c r="A18473" s="12"/>
    </row>
    <row r="18474" spans="1:1" x14ac:dyDescent="0.3">
      <c r="A18474" s="12"/>
    </row>
    <row r="18475" spans="1:1" x14ac:dyDescent="0.3">
      <c r="A18475" s="12"/>
    </row>
    <row r="18476" spans="1:1" x14ac:dyDescent="0.3">
      <c r="A18476" s="12"/>
    </row>
    <row r="18477" spans="1:1" x14ac:dyDescent="0.3">
      <c r="A18477" s="12"/>
    </row>
    <row r="18478" spans="1:1" x14ac:dyDescent="0.3">
      <c r="A18478" s="12"/>
    </row>
    <row r="18479" spans="1:1" x14ac:dyDescent="0.3">
      <c r="A18479" s="12"/>
    </row>
    <row r="18480" spans="1:1" x14ac:dyDescent="0.3">
      <c r="A18480" s="12"/>
    </row>
    <row r="18481" spans="1:1" x14ac:dyDescent="0.3">
      <c r="A18481" s="12"/>
    </row>
    <row r="18482" spans="1:1" x14ac:dyDescent="0.3">
      <c r="A18482" s="12"/>
    </row>
    <row r="18483" spans="1:1" x14ac:dyDescent="0.3">
      <c r="A18483" s="12"/>
    </row>
    <row r="18484" spans="1:1" x14ac:dyDescent="0.3">
      <c r="A18484" s="12"/>
    </row>
    <row r="18485" spans="1:1" x14ac:dyDescent="0.3">
      <c r="A18485" s="12"/>
    </row>
    <row r="18486" spans="1:1" x14ac:dyDescent="0.3">
      <c r="A18486" s="12"/>
    </row>
    <row r="18487" spans="1:1" x14ac:dyDescent="0.3">
      <c r="A18487" s="12"/>
    </row>
    <row r="18488" spans="1:1" x14ac:dyDescent="0.3">
      <c r="A18488" s="12"/>
    </row>
    <row r="18489" spans="1:1" x14ac:dyDescent="0.3">
      <c r="A18489" s="12"/>
    </row>
    <row r="18490" spans="1:1" x14ac:dyDescent="0.3">
      <c r="A18490" s="12"/>
    </row>
    <row r="18491" spans="1:1" x14ac:dyDescent="0.3">
      <c r="A18491" s="12"/>
    </row>
    <row r="18492" spans="1:1" x14ac:dyDescent="0.3">
      <c r="A18492" s="12"/>
    </row>
    <row r="18493" spans="1:1" x14ac:dyDescent="0.3">
      <c r="A18493" s="12"/>
    </row>
    <row r="18494" spans="1:1" x14ac:dyDescent="0.3">
      <c r="A18494" s="12"/>
    </row>
    <row r="18495" spans="1:1" x14ac:dyDescent="0.3">
      <c r="A18495" s="12"/>
    </row>
    <row r="18496" spans="1:1" x14ac:dyDescent="0.3">
      <c r="A18496" s="12"/>
    </row>
    <row r="18497" spans="1:1" x14ac:dyDescent="0.3">
      <c r="A18497" s="12"/>
    </row>
    <row r="18498" spans="1:1" x14ac:dyDescent="0.3">
      <c r="A18498" s="12"/>
    </row>
    <row r="18499" spans="1:1" x14ac:dyDescent="0.3">
      <c r="A18499" s="12"/>
    </row>
    <row r="18500" spans="1:1" x14ac:dyDescent="0.3">
      <c r="A18500" s="12"/>
    </row>
    <row r="18501" spans="1:1" x14ac:dyDescent="0.3">
      <c r="A18501" s="12"/>
    </row>
    <row r="18502" spans="1:1" x14ac:dyDescent="0.3">
      <c r="A18502" s="12"/>
    </row>
    <row r="18503" spans="1:1" x14ac:dyDescent="0.3">
      <c r="A18503" s="12"/>
    </row>
    <row r="18504" spans="1:1" x14ac:dyDescent="0.3">
      <c r="A18504" s="12"/>
    </row>
    <row r="18505" spans="1:1" x14ac:dyDescent="0.3">
      <c r="A18505" s="12"/>
    </row>
    <row r="18506" spans="1:1" x14ac:dyDescent="0.3">
      <c r="A18506" s="12"/>
    </row>
    <row r="18507" spans="1:1" x14ac:dyDescent="0.3">
      <c r="A18507" s="12"/>
    </row>
    <row r="18508" spans="1:1" x14ac:dyDescent="0.3">
      <c r="A18508" s="12"/>
    </row>
    <row r="18509" spans="1:1" x14ac:dyDescent="0.3">
      <c r="A18509" s="12"/>
    </row>
    <row r="18510" spans="1:1" x14ac:dyDescent="0.3">
      <c r="A18510" s="12"/>
    </row>
    <row r="18511" spans="1:1" x14ac:dyDescent="0.3">
      <c r="A18511" s="12"/>
    </row>
    <row r="18512" spans="1:1" x14ac:dyDescent="0.3">
      <c r="A18512" s="12"/>
    </row>
    <row r="18513" spans="1:1" x14ac:dyDescent="0.3">
      <c r="A18513" s="12"/>
    </row>
    <row r="18514" spans="1:1" x14ac:dyDescent="0.3">
      <c r="A18514" s="12"/>
    </row>
    <row r="18515" spans="1:1" x14ac:dyDescent="0.3">
      <c r="A18515" s="12"/>
    </row>
    <row r="18516" spans="1:1" x14ac:dyDescent="0.3">
      <c r="A18516" s="12"/>
    </row>
    <row r="18517" spans="1:1" x14ac:dyDescent="0.3">
      <c r="A18517" s="12"/>
    </row>
    <row r="18518" spans="1:1" x14ac:dyDescent="0.3">
      <c r="A18518" s="12"/>
    </row>
    <row r="18519" spans="1:1" x14ac:dyDescent="0.3">
      <c r="A18519" s="12"/>
    </row>
    <row r="18520" spans="1:1" x14ac:dyDescent="0.3">
      <c r="A18520" s="12"/>
    </row>
    <row r="18521" spans="1:1" x14ac:dyDescent="0.3">
      <c r="A18521" s="12"/>
    </row>
    <row r="18522" spans="1:1" x14ac:dyDescent="0.3">
      <c r="A18522" s="12"/>
    </row>
    <row r="18523" spans="1:1" x14ac:dyDescent="0.3">
      <c r="A18523" s="12"/>
    </row>
    <row r="18524" spans="1:1" x14ac:dyDescent="0.3">
      <c r="A18524" s="12"/>
    </row>
    <row r="18525" spans="1:1" x14ac:dyDescent="0.3">
      <c r="A18525" s="12"/>
    </row>
    <row r="18526" spans="1:1" x14ac:dyDescent="0.3">
      <c r="A18526" s="12"/>
    </row>
    <row r="18527" spans="1:1" x14ac:dyDescent="0.3">
      <c r="A18527" s="12"/>
    </row>
    <row r="18528" spans="1:1" x14ac:dyDescent="0.3">
      <c r="A18528" s="12"/>
    </row>
    <row r="18529" spans="1:1" x14ac:dyDescent="0.3">
      <c r="A18529" s="12"/>
    </row>
    <row r="18530" spans="1:1" x14ac:dyDescent="0.3">
      <c r="A18530" s="12"/>
    </row>
    <row r="18531" spans="1:1" x14ac:dyDescent="0.3">
      <c r="A18531" s="12"/>
    </row>
    <row r="18532" spans="1:1" x14ac:dyDescent="0.3">
      <c r="A18532" s="12"/>
    </row>
    <row r="18533" spans="1:1" x14ac:dyDescent="0.3">
      <c r="A18533" s="12"/>
    </row>
    <row r="18534" spans="1:1" x14ac:dyDescent="0.3">
      <c r="A18534" s="12"/>
    </row>
    <row r="18535" spans="1:1" x14ac:dyDescent="0.3">
      <c r="A18535" s="12"/>
    </row>
    <row r="18536" spans="1:1" x14ac:dyDescent="0.3">
      <c r="A18536" s="12"/>
    </row>
    <row r="18537" spans="1:1" x14ac:dyDescent="0.3">
      <c r="A18537" s="12"/>
    </row>
    <row r="18538" spans="1:1" x14ac:dyDescent="0.3">
      <c r="A18538" s="12"/>
    </row>
    <row r="18539" spans="1:1" x14ac:dyDescent="0.3">
      <c r="A18539" s="12"/>
    </row>
    <row r="18540" spans="1:1" x14ac:dyDescent="0.3">
      <c r="A18540" s="12"/>
    </row>
    <row r="18541" spans="1:1" x14ac:dyDescent="0.3">
      <c r="A18541" s="12"/>
    </row>
    <row r="18542" spans="1:1" x14ac:dyDescent="0.3">
      <c r="A18542" s="12"/>
    </row>
    <row r="18543" spans="1:1" x14ac:dyDescent="0.3">
      <c r="A18543" s="12"/>
    </row>
    <row r="18544" spans="1:1" x14ac:dyDescent="0.3">
      <c r="A18544" s="12"/>
    </row>
    <row r="18545" spans="1:1" x14ac:dyDescent="0.3">
      <c r="A18545" s="12"/>
    </row>
    <row r="18546" spans="1:1" x14ac:dyDescent="0.3">
      <c r="A18546" s="12"/>
    </row>
    <row r="18547" spans="1:1" x14ac:dyDescent="0.3">
      <c r="A18547" s="12"/>
    </row>
    <row r="18548" spans="1:1" x14ac:dyDescent="0.3">
      <c r="A18548" s="12"/>
    </row>
    <row r="18549" spans="1:1" x14ac:dyDescent="0.3">
      <c r="A18549" s="12"/>
    </row>
    <row r="18550" spans="1:1" x14ac:dyDescent="0.3">
      <c r="A18550" s="12"/>
    </row>
    <row r="18551" spans="1:1" x14ac:dyDescent="0.3">
      <c r="A18551" s="12"/>
    </row>
    <row r="18552" spans="1:1" x14ac:dyDescent="0.3">
      <c r="A18552" s="12"/>
    </row>
    <row r="18553" spans="1:1" x14ac:dyDescent="0.3">
      <c r="A18553" s="12"/>
    </row>
    <row r="18554" spans="1:1" x14ac:dyDescent="0.3">
      <c r="A18554" s="12"/>
    </row>
    <row r="18555" spans="1:1" x14ac:dyDescent="0.3">
      <c r="A18555" s="12"/>
    </row>
    <row r="18556" spans="1:1" x14ac:dyDescent="0.3">
      <c r="A18556" s="12"/>
    </row>
    <row r="18557" spans="1:1" x14ac:dyDescent="0.3">
      <c r="A18557" s="12"/>
    </row>
    <row r="18558" spans="1:1" x14ac:dyDescent="0.3">
      <c r="A18558" s="12"/>
    </row>
    <row r="18559" spans="1:1" x14ac:dyDescent="0.3">
      <c r="A18559" s="12"/>
    </row>
    <row r="18560" spans="1:1" x14ac:dyDescent="0.3">
      <c r="A18560" s="12"/>
    </row>
    <row r="18561" spans="1:1" x14ac:dyDescent="0.3">
      <c r="A18561" s="12"/>
    </row>
    <row r="18562" spans="1:1" x14ac:dyDescent="0.3">
      <c r="A18562" s="12"/>
    </row>
    <row r="18563" spans="1:1" x14ac:dyDescent="0.3">
      <c r="A18563" s="12"/>
    </row>
    <row r="18564" spans="1:1" x14ac:dyDescent="0.3">
      <c r="A18564" s="12"/>
    </row>
    <row r="18565" spans="1:1" x14ac:dyDescent="0.3">
      <c r="A18565" s="12"/>
    </row>
    <row r="18566" spans="1:1" x14ac:dyDescent="0.3">
      <c r="A18566" s="12"/>
    </row>
    <row r="18567" spans="1:1" x14ac:dyDescent="0.3">
      <c r="A18567" s="12"/>
    </row>
    <row r="18568" spans="1:1" x14ac:dyDescent="0.3">
      <c r="A18568" s="12"/>
    </row>
    <row r="18569" spans="1:1" x14ac:dyDescent="0.3">
      <c r="A18569" s="12"/>
    </row>
    <row r="18570" spans="1:1" x14ac:dyDescent="0.3">
      <c r="A18570" s="12"/>
    </row>
    <row r="18571" spans="1:1" x14ac:dyDescent="0.3">
      <c r="A18571" s="12"/>
    </row>
    <row r="18572" spans="1:1" x14ac:dyDescent="0.3">
      <c r="A18572" s="12"/>
    </row>
    <row r="18573" spans="1:1" x14ac:dyDescent="0.3">
      <c r="A18573" s="12"/>
    </row>
    <row r="18574" spans="1:1" x14ac:dyDescent="0.3">
      <c r="A18574" s="12"/>
    </row>
    <row r="18575" spans="1:1" x14ac:dyDescent="0.3">
      <c r="A18575" s="12"/>
    </row>
    <row r="18576" spans="1:1" x14ac:dyDescent="0.3">
      <c r="A18576" s="12"/>
    </row>
    <row r="18577" spans="1:1" x14ac:dyDescent="0.3">
      <c r="A18577" s="12"/>
    </row>
    <row r="18578" spans="1:1" x14ac:dyDescent="0.3">
      <c r="A18578" s="12"/>
    </row>
    <row r="18579" spans="1:1" x14ac:dyDescent="0.3">
      <c r="A18579" s="12"/>
    </row>
    <row r="18580" spans="1:1" x14ac:dyDescent="0.3">
      <c r="A18580" s="12"/>
    </row>
    <row r="18581" spans="1:1" x14ac:dyDescent="0.3">
      <c r="A18581" s="12"/>
    </row>
    <row r="18582" spans="1:1" x14ac:dyDescent="0.3">
      <c r="A18582" s="12"/>
    </row>
    <row r="18583" spans="1:1" x14ac:dyDescent="0.3">
      <c r="A18583" s="12"/>
    </row>
    <row r="18584" spans="1:1" x14ac:dyDescent="0.3">
      <c r="A18584" s="12"/>
    </row>
    <row r="18585" spans="1:1" x14ac:dyDescent="0.3">
      <c r="A18585" s="12"/>
    </row>
    <row r="18586" spans="1:1" x14ac:dyDescent="0.3">
      <c r="A18586" s="12"/>
    </row>
    <row r="18587" spans="1:1" x14ac:dyDescent="0.3">
      <c r="A18587" s="12"/>
    </row>
    <row r="18588" spans="1:1" x14ac:dyDescent="0.3">
      <c r="A18588" s="12"/>
    </row>
    <row r="18589" spans="1:1" x14ac:dyDescent="0.3">
      <c r="A18589" s="12"/>
    </row>
    <row r="18590" spans="1:1" x14ac:dyDescent="0.3">
      <c r="A18590" s="12"/>
    </row>
    <row r="18591" spans="1:1" x14ac:dyDescent="0.3">
      <c r="A18591" s="12"/>
    </row>
    <row r="18592" spans="1:1" x14ac:dyDescent="0.3">
      <c r="A18592" s="12"/>
    </row>
    <row r="18593" spans="1:1" x14ac:dyDescent="0.3">
      <c r="A18593" s="12"/>
    </row>
    <row r="18594" spans="1:1" x14ac:dyDescent="0.3">
      <c r="A18594" s="12"/>
    </row>
    <row r="18595" spans="1:1" x14ac:dyDescent="0.3">
      <c r="A18595" s="12"/>
    </row>
    <row r="18596" spans="1:1" x14ac:dyDescent="0.3">
      <c r="A18596" s="12"/>
    </row>
    <row r="18597" spans="1:1" x14ac:dyDescent="0.3">
      <c r="A18597" s="12"/>
    </row>
    <row r="18598" spans="1:1" x14ac:dyDescent="0.3">
      <c r="A18598" s="12"/>
    </row>
    <row r="18599" spans="1:1" x14ac:dyDescent="0.3">
      <c r="A18599" s="12"/>
    </row>
    <row r="18600" spans="1:1" x14ac:dyDescent="0.3">
      <c r="A18600" s="12"/>
    </row>
    <row r="18601" spans="1:1" x14ac:dyDescent="0.3">
      <c r="A18601" s="12"/>
    </row>
    <row r="18602" spans="1:1" x14ac:dyDescent="0.3">
      <c r="A18602" s="12"/>
    </row>
    <row r="18603" spans="1:1" x14ac:dyDescent="0.3">
      <c r="A18603" s="12"/>
    </row>
    <row r="18604" spans="1:1" x14ac:dyDescent="0.3">
      <c r="A18604" s="12"/>
    </row>
    <row r="18605" spans="1:1" x14ac:dyDescent="0.3">
      <c r="A18605" s="12"/>
    </row>
    <row r="18606" spans="1:1" x14ac:dyDescent="0.3">
      <c r="A18606" s="12"/>
    </row>
    <row r="18607" spans="1:1" x14ac:dyDescent="0.3">
      <c r="A18607" s="12"/>
    </row>
    <row r="18608" spans="1:1" x14ac:dyDescent="0.3">
      <c r="A18608" s="12"/>
    </row>
    <row r="18609" spans="1:1" x14ac:dyDescent="0.3">
      <c r="A18609" s="12"/>
    </row>
    <row r="18610" spans="1:1" x14ac:dyDescent="0.3">
      <c r="A18610" s="12"/>
    </row>
    <row r="18611" spans="1:1" x14ac:dyDescent="0.3">
      <c r="A18611" s="12"/>
    </row>
    <row r="18612" spans="1:1" x14ac:dyDescent="0.3">
      <c r="A18612" s="12"/>
    </row>
    <row r="18613" spans="1:1" x14ac:dyDescent="0.3">
      <c r="A18613" s="12"/>
    </row>
    <row r="18614" spans="1:1" x14ac:dyDescent="0.3">
      <c r="A18614" s="12"/>
    </row>
    <row r="18615" spans="1:1" x14ac:dyDescent="0.3">
      <c r="A18615" s="12"/>
    </row>
    <row r="18616" spans="1:1" x14ac:dyDescent="0.3">
      <c r="A18616" s="12"/>
    </row>
    <row r="18617" spans="1:1" x14ac:dyDescent="0.3">
      <c r="A18617" s="12"/>
    </row>
    <row r="18618" spans="1:1" x14ac:dyDescent="0.3">
      <c r="A18618" s="12"/>
    </row>
    <row r="18619" spans="1:1" x14ac:dyDescent="0.3">
      <c r="A18619" s="12"/>
    </row>
    <row r="18620" spans="1:1" x14ac:dyDescent="0.3">
      <c r="A18620" s="12"/>
    </row>
    <row r="18621" spans="1:1" x14ac:dyDescent="0.3">
      <c r="A18621" s="12"/>
    </row>
    <row r="18622" spans="1:1" x14ac:dyDescent="0.3">
      <c r="A18622" s="12"/>
    </row>
    <row r="18623" spans="1:1" x14ac:dyDescent="0.3">
      <c r="A18623" s="12"/>
    </row>
    <row r="18624" spans="1:1" x14ac:dyDescent="0.3">
      <c r="A18624" s="12"/>
    </row>
    <row r="18625" spans="1:1" x14ac:dyDescent="0.3">
      <c r="A18625" s="12"/>
    </row>
    <row r="18626" spans="1:1" x14ac:dyDescent="0.3">
      <c r="A18626" s="12"/>
    </row>
    <row r="18627" spans="1:1" x14ac:dyDescent="0.3">
      <c r="A18627" s="12"/>
    </row>
    <row r="18628" spans="1:1" x14ac:dyDescent="0.3">
      <c r="A18628" s="12"/>
    </row>
    <row r="18629" spans="1:1" x14ac:dyDescent="0.3">
      <c r="A18629" s="12"/>
    </row>
    <row r="18630" spans="1:1" x14ac:dyDescent="0.3">
      <c r="A18630" s="12"/>
    </row>
    <row r="18631" spans="1:1" x14ac:dyDescent="0.3">
      <c r="A18631" s="12"/>
    </row>
    <row r="18632" spans="1:1" x14ac:dyDescent="0.3">
      <c r="A18632" s="12"/>
    </row>
    <row r="18633" spans="1:1" x14ac:dyDescent="0.3">
      <c r="A18633" s="12"/>
    </row>
    <row r="18634" spans="1:1" x14ac:dyDescent="0.3">
      <c r="A18634" s="12"/>
    </row>
    <row r="18635" spans="1:1" x14ac:dyDescent="0.3">
      <c r="A18635" s="12"/>
    </row>
    <row r="18636" spans="1:1" x14ac:dyDescent="0.3">
      <c r="A18636" s="12"/>
    </row>
    <row r="18637" spans="1:1" x14ac:dyDescent="0.3">
      <c r="A18637" s="12"/>
    </row>
    <row r="18638" spans="1:1" x14ac:dyDescent="0.3">
      <c r="A18638" s="12"/>
    </row>
    <row r="18639" spans="1:1" x14ac:dyDescent="0.3">
      <c r="A18639" s="12"/>
    </row>
    <row r="18640" spans="1:1" x14ac:dyDescent="0.3">
      <c r="A18640" s="12"/>
    </row>
    <row r="18641" spans="1:1" x14ac:dyDescent="0.3">
      <c r="A18641" s="12"/>
    </row>
    <row r="18642" spans="1:1" x14ac:dyDescent="0.3">
      <c r="A18642" s="12"/>
    </row>
    <row r="18643" spans="1:1" x14ac:dyDescent="0.3">
      <c r="A18643" s="12"/>
    </row>
    <row r="18644" spans="1:1" x14ac:dyDescent="0.3">
      <c r="A18644" s="12"/>
    </row>
    <row r="18645" spans="1:1" x14ac:dyDescent="0.3">
      <c r="A18645" s="12"/>
    </row>
    <row r="18646" spans="1:1" x14ac:dyDescent="0.3">
      <c r="A18646" s="12"/>
    </row>
    <row r="18647" spans="1:1" x14ac:dyDescent="0.3">
      <c r="A18647" s="12"/>
    </row>
    <row r="18648" spans="1:1" x14ac:dyDescent="0.3">
      <c r="A18648" s="12"/>
    </row>
    <row r="18649" spans="1:1" x14ac:dyDescent="0.3">
      <c r="A18649" s="12"/>
    </row>
    <row r="18650" spans="1:1" x14ac:dyDescent="0.3">
      <c r="A18650" s="12"/>
    </row>
    <row r="18651" spans="1:1" x14ac:dyDescent="0.3">
      <c r="A18651" s="12"/>
    </row>
    <row r="18652" spans="1:1" x14ac:dyDescent="0.3">
      <c r="A18652" s="12"/>
    </row>
    <row r="18653" spans="1:1" x14ac:dyDescent="0.3">
      <c r="A18653" s="12"/>
    </row>
    <row r="18654" spans="1:1" x14ac:dyDescent="0.3">
      <c r="A18654" s="12"/>
    </row>
    <row r="18655" spans="1:1" x14ac:dyDescent="0.3">
      <c r="A18655" s="12"/>
    </row>
    <row r="18656" spans="1:1" x14ac:dyDescent="0.3">
      <c r="A18656" s="12"/>
    </row>
    <row r="18657" spans="1:1" x14ac:dyDescent="0.3">
      <c r="A18657" s="12"/>
    </row>
    <row r="18658" spans="1:1" x14ac:dyDescent="0.3">
      <c r="A18658" s="12"/>
    </row>
    <row r="18659" spans="1:1" x14ac:dyDescent="0.3">
      <c r="A18659" s="12"/>
    </row>
    <row r="18660" spans="1:1" x14ac:dyDescent="0.3">
      <c r="A18660" s="12"/>
    </row>
    <row r="18661" spans="1:1" x14ac:dyDescent="0.3">
      <c r="A18661" s="12"/>
    </row>
    <row r="18662" spans="1:1" x14ac:dyDescent="0.3">
      <c r="A18662" s="12"/>
    </row>
    <row r="18663" spans="1:1" x14ac:dyDescent="0.3">
      <c r="A18663" s="12"/>
    </row>
    <row r="18664" spans="1:1" x14ac:dyDescent="0.3">
      <c r="A18664" s="12"/>
    </row>
    <row r="18665" spans="1:1" x14ac:dyDescent="0.3">
      <c r="A18665" s="12"/>
    </row>
    <row r="18666" spans="1:1" x14ac:dyDescent="0.3">
      <c r="A18666" s="12"/>
    </row>
    <row r="18667" spans="1:1" x14ac:dyDescent="0.3">
      <c r="A18667" s="12"/>
    </row>
    <row r="18668" spans="1:1" x14ac:dyDescent="0.3">
      <c r="A18668" s="12"/>
    </row>
    <row r="18669" spans="1:1" x14ac:dyDescent="0.3">
      <c r="A18669" s="12"/>
    </row>
    <row r="18670" spans="1:1" x14ac:dyDescent="0.3">
      <c r="A18670" s="12"/>
    </row>
    <row r="18671" spans="1:1" x14ac:dyDescent="0.3">
      <c r="A18671" s="12"/>
    </row>
    <row r="18672" spans="1:1" x14ac:dyDescent="0.3">
      <c r="A18672" s="12"/>
    </row>
    <row r="18673" spans="1:1" x14ac:dyDescent="0.3">
      <c r="A18673" s="12"/>
    </row>
    <row r="18674" spans="1:1" x14ac:dyDescent="0.3">
      <c r="A18674" s="12"/>
    </row>
    <row r="18675" spans="1:1" x14ac:dyDescent="0.3">
      <c r="A18675" s="12"/>
    </row>
    <row r="18676" spans="1:1" x14ac:dyDescent="0.3">
      <c r="A18676" s="12"/>
    </row>
    <row r="18677" spans="1:1" x14ac:dyDescent="0.3">
      <c r="A18677" s="12"/>
    </row>
    <row r="18678" spans="1:1" x14ac:dyDescent="0.3">
      <c r="A18678" s="12"/>
    </row>
    <row r="18679" spans="1:1" x14ac:dyDescent="0.3">
      <c r="A18679" s="12"/>
    </row>
    <row r="18680" spans="1:1" x14ac:dyDescent="0.3">
      <c r="A18680" s="12"/>
    </row>
    <row r="18681" spans="1:1" x14ac:dyDescent="0.3">
      <c r="A18681" s="12"/>
    </row>
    <row r="18682" spans="1:1" x14ac:dyDescent="0.3">
      <c r="A18682" s="12"/>
    </row>
    <row r="18683" spans="1:1" x14ac:dyDescent="0.3">
      <c r="A18683" s="12"/>
    </row>
    <row r="18684" spans="1:1" x14ac:dyDescent="0.3">
      <c r="A18684" s="12"/>
    </row>
    <row r="18685" spans="1:1" x14ac:dyDescent="0.3">
      <c r="A18685" s="12"/>
    </row>
    <row r="18686" spans="1:1" x14ac:dyDescent="0.3">
      <c r="A18686" s="12"/>
    </row>
    <row r="18687" spans="1:1" x14ac:dyDescent="0.3">
      <c r="A18687" s="12"/>
    </row>
    <row r="18688" spans="1:1" x14ac:dyDescent="0.3">
      <c r="A18688" s="12"/>
    </row>
    <row r="18689" spans="1:1" x14ac:dyDescent="0.3">
      <c r="A18689" s="12"/>
    </row>
    <row r="18690" spans="1:1" x14ac:dyDescent="0.3">
      <c r="A18690" s="12"/>
    </row>
    <row r="18691" spans="1:1" x14ac:dyDescent="0.3">
      <c r="A18691" s="12"/>
    </row>
    <row r="18692" spans="1:1" x14ac:dyDescent="0.3">
      <c r="A18692" s="12"/>
    </row>
    <row r="18693" spans="1:1" x14ac:dyDescent="0.3">
      <c r="A18693" s="12"/>
    </row>
    <row r="18694" spans="1:1" x14ac:dyDescent="0.3">
      <c r="A18694" s="12"/>
    </row>
    <row r="18695" spans="1:1" x14ac:dyDescent="0.3">
      <c r="A18695" s="12"/>
    </row>
    <row r="18696" spans="1:1" x14ac:dyDescent="0.3">
      <c r="A18696" s="12"/>
    </row>
    <row r="18697" spans="1:1" x14ac:dyDescent="0.3">
      <c r="A18697" s="12"/>
    </row>
    <row r="18698" spans="1:1" x14ac:dyDescent="0.3">
      <c r="A18698" s="12"/>
    </row>
    <row r="18699" spans="1:1" x14ac:dyDescent="0.3">
      <c r="A18699" s="12"/>
    </row>
    <row r="18700" spans="1:1" x14ac:dyDescent="0.3">
      <c r="A18700" s="12"/>
    </row>
    <row r="18701" spans="1:1" x14ac:dyDescent="0.3">
      <c r="A18701" s="12"/>
    </row>
    <row r="18702" spans="1:1" x14ac:dyDescent="0.3">
      <c r="A18702" s="12"/>
    </row>
    <row r="18703" spans="1:1" x14ac:dyDescent="0.3">
      <c r="A18703" s="12"/>
    </row>
    <row r="18704" spans="1:1" x14ac:dyDescent="0.3">
      <c r="A18704" s="12"/>
    </row>
    <row r="18705" spans="1:1" x14ac:dyDescent="0.3">
      <c r="A18705" s="12"/>
    </row>
    <row r="18706" spans="1:1" x14ac:dyDescent="0.3">
      <c r="A18706" s="12"/>
    </row>
    <row r="18707" spans="1:1" x14ac:dyDescent="0.3">
      <c r="A18707" s="12"/>
    </row>
    <row r="18708" spans="1:1" x14ac:dyDescent="0.3">
      <c r="A18708" s="12"/>
    </row>
    <row r="18709" spans="1:1" x14ac:dyDescent="0.3">
      <c r="A18709" s="12"/>
    </row>
    <row r="18710" spans="1:1" x14ac:dyDescent="0.3">
      <c r="A18710" s="12"/>
    </row>
    <row r="18711" spans="1:1" x14ac:dyDescent="0.3">
      <c r="A18711" s="12"/>
    </row>
    <row r="18712" spans="1:1" x14ac:dyDescent="0.3">
      <c r="A18712" s="12"/>
    </row>
    <row r="18713" spans="1:1" x14ac:dyDescent="0.3">
      <c r="A18713" s="12"/>
    </row>
    <row r="18714" spans="1:1" x14ac:dyDescent="0.3">
      <c r="A18714" s="12"/>
    </row>
    <row r="18715" spans="1:1" x14ac:dyDescent="0.3">
      <c r="A18715" s="12"/>
    </row>
    <row r="18716" spans="1:1" x14ac:dyDescent="0.3">
      <c r="A18716" s="12"/>
    </row>
    <row r="18717" spans="1:1" x14ac:dyDescent="0.3">
      <c r="A18717" s="12"/>
    </row>
    <row r="18718" spans="1:1" x14ac:dyDescent="0.3">
      <c r="A18718" s="12"/>
    </row>
    <row r="18719" spans="1:1" x14ac:dyDescent="0.3">
      <c r="A18719" s="12"/>
    </row>
    <row r="18720" spans="1:1" x14ac:dyDescent="0.3">
      <c r="A18720" s="12"/>
    </row>
    <row r="18721" spans="1:1" x14ac:dyDescent="0.3">
      <c r="A18721" s="12"/>
    </row>
    <row r="18722" spans="1:1" x14ac:dyDescent="0.3">
      <c r="A18722" s="12"/>
    </row>
    <row r="18723" spans="1:1" x14ac:dyDescent="0.3">
      <c r="A18723" s="12"/>
    </row>
    <row r="18724" spans="1:1" x14ac:dyDescent="0.3">
      <c r="A18724" s="12"/>
    </row>
    <row r="18725" spans="1:1" x14ac:dyDescent="0.3">
      <c r="A18725" s="12"/>
    </row>
    <row r="18726" spans="1:1" x14ac:dyDescent="0.3">
      <c r="A18726" s="12"/>
    </row>
    <row r="18727" spans="1:1" x14ac:dyDescent="0.3">
      <c r="A18727" s="12"/>
    </row>
    <row r="18728" spans="1:1" x14ac:dyDescent="0.3">
      <c r="A18728" s="12"/>
    </row>
    <row r="18729" spans="1:1" x14ac:dyDescent="0.3">
      <c r="A18729" s="12"/>
    </row>
    <row r="18730" spans="1:1" x14ac:dyDescent="0.3">
      <c r="A18730" s="12"/>
    </row>
    <row r="18731" spans="1:1" x14ac:dyDescent="0.3">
      <c r="A18731" s="12"/>
    </row>
    <row r="18732" spans="1:1" x14ac:dyDescent="0.3">
      <c r="A18732" s="12"/>
    </row>
    <row r="18733" spans="1:1" x14ac:dyDescent="0.3">
      <c r="A18733" s="12"/>
    </row>
    <row r="18734" spans="1:1" x14ac:dyDescent="0.3">
      <c r="A18734" s="12"/>
    </row>
    <row r="18735" spans="1:1" x14ac:dyDescent="0.3">
      <c r="A18735" s="12"/>
    </row>
    <row r="18736" spans="1:1" x14ac:dyDescent="0.3">
      <c r="A18736" s="12"/>
    </row>
    <row r="18737" spans="1:1" x14ac:dyDescent="0.3">
      <c r="A18737" s="12"/>
    </row>
    <row r="18738" spans="1:1" x14ac:dyDescent="0.3">
      <c r="A18738" s="12"/>
    </row>
    <row r="18739" spans="1:1" x14ac:dyDescent="0.3">
      <c r="A18739" s="12"/>
    </row>
    <row r="18740" spans="1:1" x14ac:dyDescent="0.3">
      <c r="A18740" s="12"/>
    </row>
    <row r="18741" spans="1:1" x14ac:dyDescent="0.3">
      <c r="A18741" s="12"/>
    </row>
    <row r="18742" spans="1:1" x14ac:dyDescent="0.3">
      <c r="A18742" s="12"/>
    </row>
    <row r="18743" spans="1:1" x14ac:dyDescent="0.3">
      <c r="A18743" s="12"/>
    </row>
    <row r="18744" spans="1:1" x14ac:dyDescent="0.3">
      <c r="A18744" s="12"/>
    </row>
    <row r="18745" spans="1:1" x14ac:dyDescent="0.3">
      <c r="A18745" s="12"/>
    </row>
    <row r="18746" spans="1:1" x14ac:dyDescent="0.3">
      <c r="A18746" s="12"/>
    </row>
    <row r="18747" spans="1:1" x14ac:dyDescent="0.3">
      <c r="A18747" s="12"/>
    </row>
    <row r="18748" spans="1:1" x14ac:dyDescent="0.3">
      <c r="A18748" s="12"/>
    </row>
    <row r="18749" spans="1:1" x14ac:dyDescent="0.3">
      <c r="A18749" s="12"/>
    </row>
    <row r="18750" spans="1:1" x14ac:dyDescent="0.3">
      <c r="A18750" s="12"/>
    </row>
    <row r="18751" spans="1:1" x14ac:dyDescent="0.3">
      <c r="A18751" s="12"/>
    </row>
    <row r="18752" spans="1:1" x14ac:dyDescent="0.3">
      <c r="A18752" s="12"/>
    </row>
    <row r="18753" spans="1:1" x14ac:dyDescent="0.3">
      <c r="A18753" s="12"/>
    </row>
    <row r="18754" spans="1:1" x14ac:dyDescent="0.3">
      <c r="A18754" s="12"/>
    </row>
    <row r="18755" spans="1:1" x14ac:dyDescent="0.3">
      <c r="A18755" s="12"/>
    </row>
    <row r="18756" spans="1:1" x14ac:dyDescent="0.3">
      <c r="A18756" s="12"/>
    </row>
    <row r="18757" spans="1:1" x14ac:dyDescent="0.3">
      <c r="A18757" s="12"/>
    </row>
    <row r="18758" spans="1:1" x14ac:dyDescent="0.3">
      <c r="A18758" s="12"/>
    </row>
    <row r="18759" spans="1:1" x14ac:dyDescent="0.3">
      <c r="A18759" s="12"/>
    </row>
    <row r="18760" spans="1:1" x14ac:dyDescent="0.3">
      <c r="A18760" s="12"/>
    </row>
    <row r="18761" spans="1:1" x14ac:dyDescent="0.3">
      <c r="A18761" s="12"/>
    </row>
    <row r="18762" spans="1:1" x14ac:dyDescent="0.3">
      <c r="A18762" s="12"/>
    </row>
    <row r="18763" spans="1:1" x14ac:dyDescent="0.3">
      <c r="A18763" s="12"/>
    </row>
    <row r="18764" spans="1:1" x14ac:dyDescent="0.3">
      <c r="A18764" s="12"/>
    </row>
    <row r="18765" spans="1:1" x14ac:dyDescent="0.3">
      <c r="A18765" s="12"/>
    </row>
    <row r="18766" spans="1:1" x14ac:dyDescent="0.3">
      <c r="A18766" s="12"/>
    </row>
    <row r="18767" spans="1:1" x14ac:dyDescent="0.3">
      <c r="A18767" s="12"/>
    </row>
    <row r="18768" spans="1:1" x14ac:dyDescent="0.3">
      <c r="A18768" s="12"/>
    </row>
    <row r="18769" spans="1:1" x14ac:dyDescent="0.3">
      <c r="A18769" s="12"/>
    </row>
    <row r="18770" spans="1:1" x14ac:dyDescent="0.3">
      <c r="A18770" s="12"/>
    </row>
    <row r="18771" spans="1:1" x14ac:dyDescent="0.3">
      <c r="A18771" s="12"/>
    </row>
    <row r="18772" spans="1:1" x14ac:dyDescent="0.3">
      <c r="A18772" s="12"/>
    </row>
    <row r="18773" spans="1:1" x14ac:dyDescent="0.3">
      <c r="A18773" s="12"/>
    </row>
    <row r="18774" spans="1:1" x14ac:dyDescent="0.3">
      <c r="A18774" s="12"/>
    </row>
    <row r="18775" spans="1:1" x14ac:dyDescent="0.3">
      <c r="A18775" s="12"/>
    </row>
    <row r="18776" spans="1:1" x14ac:dyDescent="0.3">
      <c r="A18776" s="12"/>
    </row>
    <row r="18777" spans="1:1" x14ac:dyDescent="0.3">
      <c r="A18777" s="12"/>
    </row>
    <row r="18778" spans="1:1" x14ac:dyDescent="0.3">
      <c r="A18778" s="12"/>
    </row>
    <row r="18779" spans="1:1" x14ac:dyDescent="0.3">
      <c r="A18779" s="12"/>
    </row>
    <row r="18780" spans="1:1" x14ac:dyDescent="0.3">
      <c r="A18780" s="12"/>
    </row>
    <row r="18781" spans="1:1" x14ac:dyDescent="0.3">
      <c r="A18781" s="12"/>
    </row>
    <row r="18782" spans="1:1" x14ac:dyDescent="0.3">
      <c r="A18782" s="12"/>
    </row>
    <row r="18783" spans="1:1" x14ac:dyDescent="0.3">
      <c r="A18783" s="12"/>
    </row>
    <row r="18784" spans="1:1" x14ac:dyDescent="0.3">
      <c r="A18784" s="12"/>
    </row>
    <row r="18785" spans="1:1" x14ac:dyDescent="0.3">
      <c r="A18785" s="12"/>
    </row>
    <row r="18786" spans="1:1" x14ac:dyDescent="0.3">
      <c r="A18786" s="12"/>
    </row>
    <row r="18787" spans="1:1" x14ac:dyDescent="0.3">
      <c r="A18787" s="12"/>
    </row>
    <row r="18788" spans="1:1" x14ac:dyDescent="0.3">
      <c r="A18788" s="12"/>
    </row>
    <row r="18789" spans="1:1" x14ac:dyDescent="0.3">
      <c r="A18789" s="12"/>
    </row>
    <row r="18790" spans="1:1" x14ac:dyDescent="0.3">
      <c r="A18790" s="12"/>
    </row>
    <row r="18791" spans="1:1" x14ac:dyDescent="0.3">
      <c r="A18791" s="12"/>
    </row>
    <row r="18792" spans="1:1" x14ac:dyDescent="0.3">
      <c r="A18792" s="12"/>
    </row>
    <row r="18793" spans="1:1" x14ac:dyDescent="0.3">
      <c r="A18793" s="12"/>
    </row>
    <row r="18794" spans="1:1" x14ac:dyDescent="0.3">
      <c r="A18794" s="12"/>
    </row>
    <row r="18795" spans="1:1" x14ac:dyDescent="0.3">
      <c r="A18795" s="12"/>
    </row>
    <row r="18796" spans="1:1" x14ac:dyDescent="0.3">
      <c r="A18796" s="12"/>
    </row>
    <row r="18797" spans="1:1" x14ac:dyDescent="0.3">
      <c r="A18797" s="12"/>
    </row>
    <row r="18798" spans="1:1" x14ac:dyDescent="0.3">
      <c r="A18798" s="12"/>
    </row>
    <row r="18799" spans="1:1" x14ac:dyDescent="0.3">
      <c r="A18799" s="12"/>
    </row>
    <row r="18800" spans="1:1" x14ac:dyDescent="0.3">
      <c r="A18800" s="12"/>
    </row>
    <row r="18801" spans="1:1" x14ac:dyDescent="0.3">
      <c r="A18801" s="12"/>
    </row>
    <row r="18802" spans="1:1" x14ac:dyDescent="0.3">
      <c r="A18802" s="12"/>
    </row>
    <row r="18803" spans="1:1" x14ac:dyDescent="0.3">
      <c r="A18803" s="12"/>
    </row>
    <row r="18804" spans="1:1" x14ac:dyDescent="0.3">
      <c r="A18804" s="12"/>
    </row>
    <row r="18805" spans="1:1" x14ac:dyDescent="0.3">
      <c r="A18805" s="12"/>
    </row>
    <row r="18806" spans="1:1" x14ac:dyDescent="0.3">
      <c r="A18806" s="12"/>
    </row>
    <row r="18807" spans="1:1" x14ac:dyDescent="0.3">
      <c r="A18807" s="12"/>
    </row>
    <row r="18808" spans="1:1" x14ac:dyDescent="0.3">
      <c r="A18808" s="12"/>
    </row>
    <row r="18809" spans="1:1" x14ac:dyDescent="0.3">
      <c r="A18809" s="12"/>
    </row>
    <row r="18810" spans="1:1" x14ac:dyDescent="0.3">
      <c r="A18810" s="12"/>
    </row>
    <row r="18811" spans="1:1" x14ac:dyDescent="0.3">
      <c r="A18811" s="12"/>
    </row>
    <row r="18812" spans="1:1" x14ac:dyDescent="0.3">
      <c r="A18812" s="12"/>
    </row>
    <row r="18813" spans="1:1" x14ac:dyDescent="0.3">
      <c r="A18813" s="12"/>
    </row>
    <row r="18814" spans="1:1" x14ac:dyDescent="0.3">
      <c r="A18814" s="12"/>
    </row>
    <row r="18815" spans="1:1" x14ac:dyDescent="0.3">
      <c r="A18815" s="12"/>
    </row>
    <row r="18816" spans="1:1" x14ac:dyDescent="0.3">
      <c r="A18816" s="12"/>
    </row>
    <row r="18817" spans="1:1" x14ac:dyDescent="0.3">
      <c r="A18817" s="12"/>
    </row>
    <row r="18818" spans="1:1" x14ac:dyDescent="0.3">
      <c r="A18818" s="12"/>
    </row>
    <row r="18819" spans="1:1" x14ac:dyDescent="0.3">
      <c r="A18819" s="12"/>
    </row>
    <row r="18820" spans="1:1" x14ac:dyDescent="0.3">
      <c r="A18820" s="12"/>
    </row>
    <row r="18821" spans="1:1" x14ac:dyDescent="0.3">
      <c r="A18821" s="12"/>
    </row>
    <row r="18822" spans="1:1" x14ac:dyDescent="0.3">
      <c r="A18822" s="12"/>
    </row>
    <row r="18823" spans="1:1" x14ac:dyDescent="0.3">
      <c r="A18823" s="12"/>
    </row>
    <row r="18824" spans="1:1" x14ac:dyDescent="0.3">
      <c r="A18824" s="12"/>
    </row>
    <row r="18825" spans="1:1" x14ac:dyDescent="0.3">
      <c r="A18825" s="12"/>
    </row>
    <row r="18826" spans="1:1" x14ac:dyDescent="0.3">
      <c r="A18826" s="12"/>
    </row>
    <row r="18827" spans="1:1" x14ac:dyDescent="0.3">
      <c r="A18827" s="12"/>
    </row>
    <row r="18828" spans="1:1" x14ac:dyDescent="0.3">
      <c r="A18828" s="12"/>
    </row>
    <row r="18829" spans="1:1" x14ac:dyDescent="0.3">
      <c r="A18829" s="12"/>
    </row>
    <row r="18830" spans="1:1" x14ac:dyDescent="0.3">
      <c r="A18830" s="12"/>
    </row>
    <row r="18831" spans="1:1" x14ac:dyDescent="0.3">
      <c r="A18831" s="12"/>
    </row>
    <row r="18832" spans="1:1" x14ac:dyDescent="0.3">
      <c r="A18832" s="12"/>
    </row>
    <row r="18833" spans="1:1" x14ac:dyDescent="0.3">
      <c r="A18833" s="12"/>
    </row>
    <row r="18834" spans="1:1" x14ac:dyDescent="0.3">
      <c r="A18834" s="12"/>
    </row>
    <row r="18835" spans="1:1" x14ac:dyDescent="0.3">
      <c r="A18835" s="12"/>
    </row>
    <row r="18836" spans="1:1" x14ac:dyDescent="0.3">
      <c r="A18836" s="12"/>
    </row>
    <row r="18837" spans="1:1" x14ac:dyDescent="0.3">
      <c r="A18837" s="12"/>
    </row>
    <row r="18838" spans="1:1" x14ac:dyDescent="0.3">
      <c r="A18838" s="12"/>
    </row>
    <row r="18839" spans="1:1" x14ac:dyDescent="0.3">
      <c r="A18839" s="12"/>
    </row>
    <row r="18840" spans="1:1" x14ac:dyDescent="0.3">
      <c r="A18840" s="12"/>
    </row>
    <row r="18841" spans="1:1" x14ac:dyDescent="0.3">
      <c r="A18841" s="12"/>
    </row>
    <row r="18842" spans="1:1" x14ac:dyDescent="0.3">
      <c r="A18842" s="12"/>
    </row>
    <row r="18843" spans="1:1" x14ac:dyDescent="0.3">
      <c r="A18843" s="12"/>
    </row>
    <row r="18844" spans="1:1" x14ac:dyDescent="0.3">
      <c r="A18844" s="12"/>
    </row>
    <row r="18845" spans="1:1" x14ac:dyDescent="0.3">
      <c r="A18845" s="12"/>
    </row>
    <row r="18846" spans="1:1" x14ac:dyDescent="0.3">
      <c r="A18846" s="12"/>
    </row>
    <row r="18847" spans="1:1" x14ac:dyDescent="0.3">
      <c r="A18847" s="12"/>
    </row>
    <row r="18848" spans="1:1" x14ac:dyDescent="0.3">
      <c r="A18848" s="12"/>
    </row>
    <row r="18849" spans="1:1" x14ac:dyDescent="0.3">
      <c r="A18849" s="12"/>
    </row>
    <row r="18850" spans="1:1" x14ac:dyDescent="0.3">
      <c r="A18850" s="12"/>
    </row>
    <row r="18851" spans="1:1" x14ac:dyDescent="0.3">
      <c r="A18851" s="12"/>
    </row>
    <row r="18852" spans="1:1" x14ac:dyDescent="0.3">
      <c r="A18852" s="12"/>
    </row>
    <row r="18853" spans="1:1" x14ac:dyDescent="0.3">
      <c r="A18853" s="12"/>
    </row>
    <row r="18854" spans="1:1" x14ac:dyDescent="0.3">
      <c r="A18854" s="12"/>
    </row>
    <row r="18855" spans="1:1" x14ac:dyDescent="0.3">
      <c r="A18855" s="12"/>
    </row>
    <row r="18856" spans="1:1" x14ac:dyDescent="0.3">
      <c r="A18856" s="12"/>
    </row>
    <row r="18857" spans="1:1" x14ac:dyDescent="0.3">
      <c r="A18857" s="12"/>
    </row>
    <row r="18858" spans="1:1" x14ac:dyDescent="0.3">
      <c r="A18858" s="12"/>
    </row>
    <row r="18859" spans="1:1" x14ac:dyDescent="0.3">
      <c r="A18859" s="12"/>
    </row>
    <row r="18860" spans="1:1" x14ac:dyDescent="0.3">
      <c r="A18860" s="12"/>
    </row>
    <row r="18861" spans="1:1" x14ac:dyDescent="0.3">
      <c r="A18861" s="12"/>
    </row>
    <row r="18862" spans="1:1" x14ac:dyDescent="0.3">
      <c r="A18862" s="12"/>
    </row>
    <row r="18863" spans="1:1" x14ac:dyDescent="0.3">
      <c r="A18863" s="12"/>
    </row>
    <row r="18864" spans="1:1" x14ac:dyDescent="0.3">
      <c r="A18864" s="12"/>
    </row>
    <row r="18865" spans="1:1" x14ac:dyDescent="0.3">
      <c r="A18865" s="12"/>
    </row>
    <row r="18866" spans="1:1" x14ac:dyDescent="0.3">
      <c r="A18866" s="12"/>
    </row>
    <row r="18867" spans="1:1" x14ac:dyDescent="0.3">
      <c r="A18867" s="12"/>
    </row>
    <row r="18868" spans="1:1" x14ac:dyDescent="0.3">
      <c r="A18868" s="12"/>
    </row>
    <row r="18869" spans="1:1" x14ac:dyDescent="0.3">
      <c r="A18869" s="12"/>
    </row>
    <row r="18870" spans="1:1" x14ac:dyDescent="0.3">
      <c r="A18870" s="12"/>
    </row>
    <row r="18871" spans="1:1" x14ac:dyDescent="0.3">
      <c r="A18871" s="12"/>
    </row>
    <row r="18872" spans="1:1" x14ac:dyDescent="0.3">
      <c r="A18872" s="12"/>
    </row>
    <row r="18873" spans="1:1" x14ac:dyDescent="0.3">
      <c r="A18873" s="12"/>
    </row>
    <row r="18874" spans="1:1" x14ac:dyDescent="0.3">
      <c r="A18874" s="12"/>
    </row>
    <row r="18875" spans="1:1" x14ac:dyDescent="0.3">
      <c r="A18875" s="12"/>
    </row>
    <row r="18876" spans="1:1" x14ac:dyDescent="0.3">
      <c r="A18876" s="12"/>
    </row>
    <row r="18877" spans="1:1" x14ac:dyDescent="0.3">
      <c r="A18877" s="12"/>
    </row>
    <row r="18878" spans="1:1" x14ac:dyDescent="0.3">
      <c r="A18878" s="12"/>
    </row>
    <row r="18879" spans="1:1" x14ac:dyDescent="0.3">
      <c r="A18879" s="12"/>
    </row>
    <row r="18880" spans="1:1" x14ac:dyDescent="0.3">
      <c r="A18880" s="12"/>
    </row>
    <row r="18881" spans="1:1" x14ac:dyDescent="0.3">
      <c r="A18881" s="12"/>
    </row>
    <row r="18882" spans="1:1" x14ac:dyDescent="0.3">
      <c r="A18882" s="12"/>
    </row>
    <row r="18883" spans="1:1" x14ac:dyDescent="0.3">
      <c r="A18883" s="12"/>
    </row>
    <row r="18884" spans="1:1" x14ac:dyDescent="0.3">
      <c r="A18884" s="12"/>
    </row>
    <row r="18885" spans="1:1" x14ac:dyDescent="0.3">
      <c r="A18885" s="12"/>
    </row>
    <row r="18886" spans="1:1" x14ac:dyDescent="0.3">
      <c r="A18886" s="12"/>
    </row>
    <row r="18887" spans="1:1" x14ac:dyDescent="0.3">
      <c r="A18887" s="12"/>
    </row>
    <row r="18888" spans="1:1" x14ac:dyDescent="0.3">
      <c r="A18888" s="12"/>
    </row>
    <row r="18889" spans="1:1" x14ac:dyDescent="0.3">
      <c r="A18889" s="12"/>
    </row>
    <row r="18890" spans="1:1" x14ac:dyDescent="0.3">
      <c r="A18890" s="12"/>
    </row>
    <row r="18891" spans="1:1" x14ac:dyDescent="0.3">
      <c r="A18891" s="12"/>
    </row>
    <row r="18892" spans="1:1" x14ac:dyDescent="0.3">
      <c r="A18892" s="12"/>
    </row>
    <row r="18893" spans="1:1" x14ac:dyDescent="0.3">
      <c r="A18893" s="12"/>
    </row>
    <row r="18894" spans="1:1" x14ac:dyDescent="0.3">
      <c r="A18894" s="12"/>
    </row>
    <row r="18895" spans="1:1" x14ac:dyDescent="0.3">
      <c r="A18895" s="12"/>
    </row>
    <row r="18896" spans="1:1" x14ac:dyDescent="0.3">
      <c r="A18896" s="12"/>
    </row>
    <row r="18897" spans="1:1" x14ac:dyDescent="0.3">
      <c r="A18897" s="12"/>
    </row>
    <row r="18898" spans="1:1" x14ac:dyDescent="0.3">
      <c r="A18898" s="12"/>
    </row>
    <row r="18899" spans="1:1" x14ac:dyDescent="0.3">
      <c r="A18899" s="12"/>
    </row>
    <row r="18900" spans="1:1" x14ac:dyDescent="0.3">
      <c r="A18900" s="12"/>
    </row>
    <row r="18901" spans="1:1" x14ac:dyDescent="0.3">
      <c r="A18901" s="12"/>
    </row>
    <row r="18902" spans="1:1" x14ac:dyDescent="0.3">
      <c r="A18902" s="12"/>
    </row>
    <row r="18903" spans="1:1" x14ac:dyDescent="0.3">
      <c r="A18903" s="12"/>
    </row>
    <row r="18904" spans="1:1" x14ac:dyDescent="0.3">
      <c r="A18904" s="12"/>
    </row>
    <row r="18905" spans="1:1" x14ac:dyDescent="0.3">
      <c r="A18905" s="12"/>
    </row>
    <row r="18906" spans="1:1" x14ac:dyDescent="0.3">
      <c r="A18906" s="12"/>
    </row>
    <row r="18907" spans="1:1" x14ac:dyDescent="0.3">
      <c r="A18907" s="12"/>
    </row>
    <row r="18908" spans="1:1" x14ac:dyDescent="0.3">
      <c r="A18908" s="12"/>
    </row>
    <row r="18909" spans="1:1" x14ac:dyDescent="0.3">
      <c r="A18909" s="12"/>
    </row>
    <row r="18910" spans="1:1" x14ac:dyDescent="0.3">
      <c r="A18910" s="12"/>
    </row>
    <row r="18911" spans="1:1" x14ac:dyDescent="0.3">
      <c r="A18911" s="12"/>
    </row>
    <row r="18912" spans="1:1" x14ac:dyDescent="0.3">
      <c r="A18912" s="12"/>
    </row>
    <row r="18913" spans="1:1" x14ac:dyDescent="0.3">
      <c r="A18913" s="12"/>
    </row>
    <row r="18914" spans="1:1" x14ac:dyDescent="0.3">
      <c r="A18914" s="12"/>
    </row>
    <row r="18915" spans="1:1" x14ac:dyDescent="0.3">
      <c r="A18915" s="12"/>
    </row>
    <row r="18916" spans="1:1" x14ac:dyDescent="0.3">
      <c r="A18916" s="12"/>
    </row>
    <row r="18917" spans="1:1" x14ac:dyDescent="0.3">
      <c r="A18917" s="12"/>
    </row>
    <row r="18918" spans="1:1" x14ac:dyDescent="0.3">
      <c r="A18918" s="12"/>
    </row>
    <row r="18919" spans="1:1" x14ac:dyDescent="0.3">
      <c r="A18919" s="12"/>
    </row>
    <row r="18920" spans="1:1" x14ac:dyDescent="0.3">
      <c r="A18920" s="12"/>
    </row>
    <row r="18921" spans="1:1" x14ac:dyDescent="0.3">
      <c r="A18921" s="12"/>
    </row>
    <row r="18922" spans="1:1" x14ac:dyDescent="0.3">
      <c r="A18922" s="12"/>
    </row>
    <row r="18923" spans="1:1" x14ac:dyDescent="0.3">
      <c r="A18923" s="12"/>
    </row>
    <row r="18924" spans="1:1" x14ac:dyDescent="0.3">
      <c r="A18924" s="12"/>
    </row>
    <row r="18925" spans="1:1" x14ac:dyDescent="0.3">
      <c r="A18925" s="12"/>
    </row>
    <row r="18926" spans="1:1" x14ac:dyDescent="0.3">
      <c r="A18926" s="12"/>
    </row>
    <row r="18927" spans="1:1" x14ac:dyDescent="0.3">
      <c r="A18927" s="12"/>
    </row>
    <row r="18928" spans="1:1" x14ac:dyDescent="0.3">
      <c r="A18928" s="12"/>
    </row>
    <row r="18929" spans="1:1" x14ac:dyDescent="0.3">
      <c r="A18929" s="12"/>
    </row>
    <row r="18930" spans="1:1" x14ac:dyDescent="0.3">
      <c r="A18930" s="12"/>
    </row>
    <row r="18931" spans="1:1" x14ac:dyDescent="0.3">
      <c r="A18931" s="12"/>
    </row>
    <row r="18932" spans="1:1" x14ac:dyDescent="0.3">
      <c r="A18932" s="12"/>
    </row>
    <row r="18933" spans="1:1" x14ac:dyDescent="0.3">
      <c r="A18933" s="12"/>
    </row>
    <row r="18934" spans="1:1" x14ac:dyDescent="0.3">
      <c r="A18934" s="12"/>
    </row>
    <row r="18935" spans="1:1" x14ac:dyDescent="0.3">
      <c r="A18935" s="12"/>
    </row>
    <row r="18936" spans="1:1" x14ac:dyDescent="0.3">
      <c r="A18936" s="12"/>
    </row>
    <row r="18937" spans="1:1" x14ac:dyDescent="0.3">
      <c r="A18937" s="12"/>
    </row>
    <row r="18938" spans="1:1" x14ac:dyDescent="0.3">
      <c r="A18938" s="12"/>
    </row>
    <row r="18939" spans="1:1" x14ac:dyDescent="0.3">
      <c r="A18939" s="12"/>
    </row>
    <row r="18940" spans="1:1" x14ac:dyDescent="0.3">
      <c r="A18940" s="12"/>
    </row>
    <row r="18941" spans="1:1" x14ac:dyDescent="0.3">
      <c r="A18941" s="12"/>
    </row>
    <row r="18942" spans="1:1" x14ac:dyDescent="0.3">
      <c r="A18942" s="12"/>
    </row>
    <row r="18943" spans="1:1" x14ac:dyDescent="0.3">
      <c r="A18943" s="12"/>
    </row>
    <row r="18944" spans="1:1" x14ac:dyDescent="0.3">
      <c r="A18944" s="12"/>
    </row>
    <row r="18945" spans="1:1" x14ac:dyDescent="0.3">
      <c r="A18945" s="12"/>
    </row>
    <row r="18946" spans="1:1" x14ac:dyDescent="0.3">
      <c r="A18946" s="12"/>
    </row>
    <row r="18947" spans="1:1" x14ac:dyDescent="0.3">
      <c r="A18947" s="12"/>
    </row>
    <row r="18948" spans="1:1" x14ac:dyDescent="0.3">
      <c r="A18948" s="12"/>
    </row>
    <row r="18949" spans="1:1" x14ac:dyDescent="0.3">
      <c r="A18949" s="12"/>
    </row>
    <row r="18950" spans="1:1" x14ac:dyDescent="0.3">
      <c r="A18950" s="12"/>
    </row>
    <row r="18951" spans="1:1" x14ac:dyDescent="0.3">
      <c r="A18951" s="12"/>
    </row>
    <row r="18952" spans="1:1" x14ac:dyDescent="0.3">
      <c r="A18952" s="12"/>
    </row>
    <row r="18953" spans="1:1" x14ac:dyDescent="0.3">
      <c r="A18953" s="12"/>
    </row>
    <row r="18954" spans="1:1" x14ac:dyDescent="0.3">
      <c r="A18954" s="12"/>
    </row>
    <row r="18955" spans="1:1" x14ac:dyDescent="0.3">
      <c r="A18955" s="12"/>
    </row>
    <row r="18956" spans="1:1" x14ac:dyDescent="0.3">
      <c r="A18956" s="12"/>
    </row>
    <row r="18957" spans="1:1" x14ac:dyDescent="0.3">
      <c r="A18957" s="12"/>
    </row>
    <row r="18958" spans="1:1" x14ac:dyDescent="0.3">
      <c r="A18958" s="12"/>
    </row>
    <row r="18959" spans="1:1" x14ac:dyDescent="0.3">
      <c r="A18959" s="12"/>
    </row>
    <row r="18960" spans="1:1" x14ac:dyDescent="0.3">
      <c r="A18960" s="12"/>
    </row>
    <row r="18961" spans="1:1" x14ac:dyDescent="0.3">
      <c r="A18961" s="12"/>
    </row>
    <row r="18962" spans="1:1" x14ac:dyDescent="0.3">
      <c r="A18962" s="12"/>
    </row>
    <row r="18963" spans="1:1" x14ac:dyDescent="0.3">
      <c r="A18963" s="12"/>
    </row>
    <row r="18964" spans="1:1" x14ac:dyDescent="0.3">
      <c r="A18964" s="12"/>
    </row>
    <row r="18965" spans="1:1" x14ac:dyDescent="0.3">
      <c r="A18965" s="12"/>
    </row>
    <row r="18966" spans="1:1" x14ac:dyDescent="0.3">
      <c r="A18966" s="12"/>
    </row>
    <row r="18967" spans="1:1" x14ac:dyDescent="0.3">
      <c r="A18967" s="12"/>
    </row>
    <row r="18968" spans="1:1" x14ac:dyDescent="0.3">
      <c r="A18968" s="12"/>
    </row>
    <row r="18969" spans="1:1" x14ac:dyDescent="0.3">
      <c r="A18969" s="12"/>
    </row>
    <row r="18970" spans="1:1" x14ac:dyDescent="0.3">
      <c r="A18970" s="12"/>
    </row>
    <row r="18971" spans="1:1" x14ac:dyDescent="0.3">
      <c r="A18971" s="12"/>
    </row>
    <row r="18972" spans="1:1" x14ac:dyDescent="0.3">
      <c r="A18972" s="12"/>
    </row>
    <row r="18973" spans="1:1" x14ac:dyDescent="0.3">
      <c r="A18973" s="12"/>
    </row>
    <row r="18974" spans="1:1" x14ac:dyDescent="0.3">
      <c r="A18974" s="12"/>
    </row>
    <row r="18975" spans="1:1" x14ac:dyDescent="0.3">
      <c r="A18975" s="12"/>
    </row>
    <row r="18976" spans="1:1" x14ac:dyDescent="0.3">
      <c r="A18976" s="12"/>
    </row>
    <row r="18977" spans="1:1" x14ac:dyDescent="0.3">
      <c r="A18977" s="12"/>
    </row>
    <row r="18978" spans="1:1" x14ac:dyDescent="0.3">
      <c r="A18978" s="12"/>
    </row>
    <row r="18979" spans="1:1" x14ac:dyDescent="0.3">
      <c r="A18979" s="12"/>
    </row>
    <row r="18980" spans="1:1" x14ac:dyDescent="0.3">
      <c r="A18980" s="12"/>
    </row>
    <row r="18981" spans="1:1" x14ac:dyDescent="0.3">
      <c r="A18981" s="12"/>
    </row>
    <row r="18982" spans="1:1" x14ac:dyDescent="0.3">
      <c r="A18982" s="12"/>
    </row>
    <row r="18983" spans="1:1" x14ac:dyDescent="0.3">
      <c r="A18983" s="12"/>
    </row>
    <row r="18984" spans="1:1" x14ac:dyDescent="0.3">
      <c r="A18984" s="12"/>
    </row>
    <row r="18985" spans="1:1" x14ac:dyDescent="0.3">
      <c r="A18985" s="12"/>
    </row>
    <row r="18986" spans="1:1" x14ac:dyDescent="0.3">
      <c r="A18986" s="12"/>
    </row>
    <row r="18987" spans="1:1" x14ac:dyDescent="0.3">
      <c r="A18987" s="12"/>
    </row>
    <row r="18988" spans="1:1" x14ac:dyDescent="0.3">
      <c r="A18988" s="12"/>
    </row>
    <row r="18989" spans="1:1" x14ac:dyDescent="0.3">
      <c r="A18989" s="12"/>
    </row>
    <row r="18990" spans="1:1" x14ac:dyDescent="0.3">
      <c r="A18990" s="12"/>
    </row>
    <row r="18991" spans="1:1" x14ac:dyDescent="0.3">
      <c r="A18991" s="12"/>
    </row>
    <row r="18992" spans="1:1" x14ac:dyDescent="0.3">
      <c r="A18992" s="12"/>
    </row>
    <row r="18993" spans="1:1" x14ac:dyDescent="0.3">
      <c r="A18993" s="12"/>
    </row>
    <row r="18994" spans="1:1" x14ac:dyDescent="0.3">
      <c r="A18994" s="12"/>
    </row>
    <row r="18995" spans="1:1" x14ac:dyDescent="0.3">
      <c r="A18995" s="12"/>
    </row>
    <row r="18996" spans="1:1" x14ac:dyDescent="0.3">
      <c r="A18996" s="12"/>
    </row>
    <row r="18997" spans="1:1" x14ac:dyDescent="0.3">
      <c r="A18997" s="12"/>
    </row>
    <row r="18998" spans="1:1" x14ac:dyDescent="0.3">
      <c r="A18998" s="12"/>
    </row>
    <row r="18999" spans="1:1" x14ac:dyDescent="0.3">
      <c r="A18999" s="12"/>
    </row>
    <row r="19000" spans="1:1" x14ac:dyDescent="0.3">
      <c r="A19000" s="12"/>
    </row>
    <row r="19001" spans="1:1" x14ac:dyDescent="0.3">
      <c r="A19001" s="12"/>
    </row>
    <row r="19002" spans="1:1" x14ac:dyDescent="0.3">
      <c r="A19002" s="12"/>
    </row>
    <row r="19003" spans="1:1" x14ac:dyDescent="0.3">
      <c r="A19003" s="12"/>
    </row>
    <row r="19004" spans="1:1" x14ac:dyDescent="0.3">
      <c r="A19004" s="12"/>
    </row>
    <row r="19005" spans="1:1" x14ac:dyDescent="0.3">
      <c r="A19005" s="12"/>
    </row>
    <row r="19006" spans="1:1" x14ac:dyDescent="0.3">
      <c r="A19006" s="12"/>
    </row>
    <row r="19007" spans="1:1" x14ac:dyDescent="0.3">
      <c r="A19007" s="12"/>
    </row>
    <row r="19008" spans="1:1" x14ac:dyDescent="0.3">
      <c r="A19008" s="12"/>
    </row>
    <row r="19009" spans="1:1" x14ac:dyDescent="0.3">
      <c r="A19009" s="12"/>
    </row>
    <row r="19010" spans="1:1" x14ac:dyDescent="0.3">
      <c r="A19010" s="12"/>
    </row>
    <row r="19011" spans="1:1" x14ac:dyDescent="0.3">
      <c r="A19011" s="12"/>
    </row>
    <row r="19012" spans="1:1" x14ac:dyDescent="0.3">
      <c r="A19012" s="12"/>
    </row>
    <row r="19013" spans="1:1" x14ac:dyDescent="0.3">
      <c r="A19013" s="12"/>
    </row>
    <row r="19014" spans="1:1" x14ac:dyDescent="0.3">
      <c r="A19014" s="12"/>
    </row>
    <row r="19015" spans="1:1" x14ac:dyDescent="0.3">
      <c r="A19015" s="12"/>
    </row>
    <row r="19016" spans="1:1" x14ac:dyDescent="0.3">
      <c r="A19016" s="12"/>
    </row>
    <row r="19017" spans="1:1" x14ac:dyDescent="0.3">
      <c r="A19017" s="12"/>
    </row>
    <row r="19018" spans="1:1" x14ac:dyDescent="0.3">
      <c r="A19018" s="12"/>
    </row>
    <row r="19019" spans="1:1" x14ac:dyDescent="0.3">
      <c r="A19019" s="12"/>
    </row>
    <row r="19020" spans="1:1" x14ac:dyDescent="0.3">
      <c r="A19020" s="12"/>
    </row>
    <row r="19021" spans="1:1" x14ac:dyDescent="0.3">
      <c r="A19021" s="12"/>
    </row>
    <row r="19022" spans="1:1" x14ac:dyDescent="0.3">
      <c r="A19022" s="12"/>
    </row>
    <row r="19023" spans="1:1" x14ac:dyDescent="0.3">
      <c r="A19023" s="12"/>
    </row>
    <row r="19024" spans="1:1" x14ac:dyDescent="0.3">
      <c r="A19024" s="12"/>
    </row>
    <row r="19025" spans="1:1" x14ac:dyDescent="0.3">
      <c r="A19025" s="12"/>
    </row>
    <row r="19026" spans="1:1" x14ac:dyDescent="0.3">
      <c r="A19026" s="12"/>
    </row>
    <row r="19027" spans="1:1" x14ac:dyDescent="0.3">
      <c r="A19027" s="12"/>
    </row>
    <row r="19028" spans="1:1" x14ac:dyDescent="0.3">
      <c r="A19028" s="12"/>
    </row>
    <row r="19029" spans="1:1" x14ac:dyDescent="0.3">
      <c r="A19029" s="12"/>
    </row>
    <row r="19030" spans="1:1" x14ac:dyDescent="0.3">
      <c r="A19030" s="12"/>
    </row>
    <row r="19031" spans="1:1" x14ac:dyDescent="0.3">
      <c r="A19031" s="12"/>
    </row>
    <row r="19032" spans="1:1" x14ac:dyDescent="0.3">
      <c r="A19032" s="12"/>
    </row>
    <row r="19033" spans="1:1" x14ac:dyDescent="0.3">
      <c r="A19033" s="12"/>
    </row>
    <row r="19034" spans="1:1" x14ac:dyDescent="0.3">
      <c r="A19034" s="12"/>
    </row>
    <row r="19035" spans="1:1" x14ac:dyDescent="0.3">
      <c r="A19035" s="12"/>
    </row>
    <row r="19036" spans="1:1" x14ac:dyDescent="0.3">
      <c r="A19036" s="12"/>
    </row>
    <row r="19037" spans="1:1" x14ac:dyDescent="0.3">
      <c r="A19037" s="12"/>
    </row>
    <row r="19038" spans="1:1" x14ac:dyDescent="0.3">
      <c r="A19038" s="12"/>
    </row>
    <row r="19039" spans="1:1" x14ac:dyDescent="0.3">
      <c r="A19039" s="12"/>
    </row>
    <row r="19040" spans="1:1" x14ac:dyDescent="0.3">
      <c r="A19040" s="12"/>
    </row>
    <row r="19041" spans="1:1" x14ac:dyDescent="0.3">
      <c r="A19041" s="12"/>
    </row>
    <row r="19042" spans="1:1" x14ac:dyDescent="0.3">
      <c r="A19042" s="12"/>
    </row>
    <row r="19043" spans="1:1" x14ac:dyDescent="0.3">
      <c r="A19043" s="12"/>
    </row>
    <row r="19044" spans="1:1" x14ac:dyDescent="0.3">
      <c r="A19044" s="12"/>
    </row>
    <row r="19045" spans="1:1" x14ac:dyDescent="0.3">
      <c r="A19045" s="12"/>
    </row>
    <row r="19046" spans="1:1" x14ac:dyDescent="0.3">
      <c r="A19046" s="12"/>
    </row>
    <row r="19047" spans="1:1" x14ac:dyDescent="0.3">
      <c r="A19047" s="12"/>
    </row>
    <row r="19048" spans="1:1" x14ac:dyDescent="0.3">
      <c r="A19048" s="12"/>
    </row>
    <row r="19049" spans="1:1" x14ac:dyDescent="0.3">
      <c r="A19049" s="12"/>
    </row>
    <row r="19050" spans="1:1" x14ac:dyDescent="0.3">
      <c r="A19050" s="12"/>
    </row>
    <row r="19051" spans="1:1" x14ac:dyDescent="0.3">
      <c r="A19051" s="12"/>
    </row>
    <row r="19052" spans="1:1" x14ac:dyDescent="0.3">
      <c r="A19052" s="12"/>
    </row>
    <row r="19053" spans="1:1" x14ac:dyDescent="0.3">
      <c r="A19053" s="12"/>
    </row>
    <row r="19054" spans="1:1" x14ac:dyDescent="0.3">
      <c r="A19054" s="12"/>
    </row>
    <row r="19055" spans="1:1" x14ac:dyDescent="0.3">
      <c r="A19055" s="12"/>
    </row>
    <row r="19056" spans="1:1" x14ac:dyDescent="0.3">
      <c r="A19056" s="12"/>
    </row>
    <row r="19057" spans="1:1" x14ac:dyDescent="0.3">
      <c r="A19057" s="12"/>
    </row>
    <row r="19058" spans="1:1" x14ac:dyDescent="0.3">
      <c r="A19058" s="12"/>
    </row>
    <row r="19059" spans="1:1" x14ac:dyDescent="0.3">
      <c r="A19059" s="12"/>
    </row>
    <row r="19060" spans="1:1" x14ac:dyDescent="0.3">
      <c r="A19060" s="12"/>
    </row>
    <row r="19061" spans="1:1" x14ac:dyDescent="0.3">
      <c r="A19061" s="12"/>
    </row>
    <row r="19062" spans="1:1" x14ac:dyDescent="0.3">
      <c r="A19062" s="12"/>
    </row>
    <row r="19063" spans="1:1" x14ac:dyDescent="0.3">
      <c r="A19063" s="12"/>
    </row>
    <row r="19064" spans="1:1" x14ac:dyDescent="0.3">
      <c r="A19064" s="12"/>
    </row>
    <row r="19065" spans="1:1" x14ac:dyDescent="0.3">
      <c r="A19065" s="12"/>
    </row>
    <row r="19066" spans="1:1" x14ac:dyDescent="0.3">
      <c r="A19066" s="12"/>
    </row>
    <row r="19067" spans="1:1" x14ac:dyDescent="0.3">
      <c r="A19067" s="12"/>
    </row>
    <row r="19068" spans="1:1" x14ac:dyDescent="0.3">
      <c r="A19068" s="12"/>
    </row>
    <row r="19069" spans="1:1" x14ac:dyDescent="0.3">
      <c r="A19069" s="12"/>
    </row>
    <row r="19070" spans="1:1" x14ac:dyDescent="0.3">
      <c r="A19070" s="12"/>
    </row>
    <row r="19071" spans="1:1" x14ac:dyDescent="0.3">
      <c r="A19071" s="12"/>
    </row>
    <row r="19072" spans="1:1" x14ac:dyDescent="0.3">
      <c r="A19072" s="12"/>
    </row>
    <row r="19073" spans="1:1" x14ac:dyDescent="0.3">
      <c r="A19073" s="12"/>
    </row>
    <row r="19074" spans="1:1" x14ac:dyDescent="0.3">
      <c r="A19074" s="12"/>
    </row>
    <row r="19075" spans="1:1" x14ac:dyDescent="0.3">
      <c r="A19075" s="12"/>
    </row>
    <row r="19076" spans="1:1" x14ac:dyDescent="0.3">
      <c r="A19076" s="12"/>
    </row>
    <row r="19077" spans="1:1" x14ac:dyDescent="0.3">
      <c r="A19077" s="12"/>
    </row>
    <row r="19078" spans="1:1" x14ac:dyDescent="0.3">
      <c r="A19078" s="12"/>
    </row>
    <row r="19079" spans="1:1" x14ac:dyDescent="0.3">
      <c r="A19079" s="12"/>
    </row>
    <row r="19080" spans="1:1" x14ac:dyDescent="0.3">
      <c r="A19080" s="12"/>
    </row>
    <row r="19081" spans="1:1" x14ac:dyDescent="0.3">
      <c r="A19081" s="12"/>
    </row>
    <row r="19082" spans="1:1" x14ac:dyDescent="0.3">
      <c r="A19082" s="12"/>
    </row>
    <row r="19083" spans="1:1" x14ac:dyDescent="0.3">
      <c r="A19083" s="12"/>
    </row>
    <row r="19084" spans="1:1" x14ac:dyDescent="0.3">
      <c r="A19084" s="12"/>
    </row>
    <row r="19085" spans="1:1" x14ac:dyDescent="0.3">
      <c r="A19085" s="12"/>
    </row>
    <row r="19086" spans="1:1" x14ac:dyDescent="0.3">
      <c r="A19086" s="12"/>
    </row>
    <row r="19087" spans="1:1" x14ac:dyDescent="0.3">
      <c r="A19087" s="12"/>
    </row>
    <row r="19088" spans="1:1" x14ac:dyDescent="0.3">
      <c r="A19088" s="12"/>
    </row>
    <row r="19089" spans="1:1" x14ac:dyDescent="0.3">
      <c r="A19089" s="12"/>
    </row>
    <row r="19090" spans="1:1" x14ac:dyDescent="0.3">
      <c r="A19090" s="12"/>
    </row>
    <row r="19091" spans="1:1" x14ac:dyDescent="0.3">
      <c r="A19091" s="12"/>
    </row>
    <row r="19092" spans="1:1" x14ac:dyDescent="0.3">
      <c r="A19092" s="12"/>
    </row>
    <row r="19093" spans="1:1" x14ac:dyDescent="0.3">
      <c r="A19093" s="12"/>
    </row>
    <row r="19094" spans="1:1" x14ac:dyDescent="0.3">
      <c r="A19094" s="12"/>
    </row>
    <row r="19095" spans="1:1" x14ac:dyDescent="0.3">
      <c r="A19095" s="12"/>
    </row>
    <row r="19096" spans="1:1" x14ac:dyDescent="0.3">
      <c r="A19096" s="12"/>
    </row>
    <row r="19097" spans="1:1" x14ac:dyDescent="0.3">
      <c r="A19097" s="12"/>
    </row>
    <row r="19098" spans="1:1" x14ac:dyDescent="0.3">
      <c r="A19098" s="12"/>
    </row>
    <row r="19099" spans="1:1" x14ac:dyDescent="0.3">
      <c r="A19099" s="12"/>
    </row>
    <row r="19100" spans="1:1" x14ac:dyDescent="0.3">
      <c r="A19100" s="12"/>
    </row>
    <row r="19101" spans="1:1" x14ac:dyDescent="0.3">
      <c r="A19101" s="12"/>
    </row>
    <row r="19102" spans="1:1" x14ac:dyDescent="0.3">
      <c r="A19102" s="12"/>
    </row>
    <row r="19103" spans="1:1" x14ac:dyDescent="0.3">
      <c r="A19103" s="12"/>
    </row>
    <row r="19104" spans="1:1" x14ac:dyDescent="0.3">
      <c r="A19104" s="12"/>
    </row>
    <row r="19105" spans="1:1" x14ac:dyDescent="0.3">
      <c r="A19105" s="12"/>
    </row>
    <row r="19106" spans="1:1" x14ac:dyDescent="0.3">
      <c r="A19106" s="12"/>
    </row>
    <row r="19107" spans="1:1" x14ac:dyDescent="0.3">
      <c r="A19107" s="12"/>
    </row>
    <row r="19108" spans="1:1" x14ac:dyDescent="0.3">
      <c r="A19108" s="12"/>
    </row>
    <row r="19109" spans="1:1" x14ac:dyDescent="0.3">
      <c r="A19109" s="12"/>
    </row>
    <row r="19110" spans="1:1" x14ac:dyDescent="0.3">
      <c r="A19110" s="12"/>
    </row>
    <row r="19111" spans="1:1" x14ac:dyDescent="0.3">
      <c r="A19111" s="12"/>
    </row>
    <row r="19112" spans="1:1" x14ac:dyDescent="0.3">
      <c r="A19112" s="12"/>
    </row>
    <row r="19113" spans="1:1" x14ac:dyDescent="0.3">
      <c r="A19113" s="12"/>
    </row>
    <row r="19114" spans="1:1" x14ac:dyDescent="0.3">
      <c r="A19114" s="12"/>
    </row>
    <row r="19115" spans="1:1" x14ac:dyDescent="0.3">
      <c r="A19115" s="12"/>
    </row>
    <row r="19116" spans="1:1" x14ac:dyDescent="0.3">
      <c r="A19116" s="12"/>
    </row>
    <row r="19117" spans="1:1" x14ac:dyDescent="0.3">
      <c r="A19117" s="12"/>
    </row>
    <row r="19118" spans="1:1" x14ac:dyDescent="0.3">
      <c r="A19118" s="12"/>
    </row>
    <row r="19119" spans="1:1" x14ac:dyDescent="0.3">
      <c r="A19119" s="12"/>
    </row>
    <row r="19120" spans="1:1" x14ac:dyDescent="0.3">
      <c r="A19120" s="12"/>
    </row>
    <row r="19121" spans="1:1" x14ac:dyDescent="0.3">
      <c r="A19121" s="12"/>
    </row>
    <row r="19122" spans="1:1" x14ac:dyDescent="0.3">
      <c r="A19122" s="12"/>
    </row>
    <row r="19123" spans="1:1" x14ac:dyDescent="0.3">
      <c r="A19123" s="12"/>
    </row>
    <row r="19124" spans="1:1" x14ac:dyDescent="0.3">
      <c r="A19124" s="12"/>
    </row>
    <row r="19125" spans="1:1" x14ac:dyDescent="0.3">
      <c r="A19125" s="12"/>
    </row>
    <row r="19126" spans="1:1" x14ac:dyDescent="0.3">
      <c r="A19126" s="12"/>
    </row>
    <row r="19127" spans="1:1" x14ac:dyDescent="0.3">
      <c r="A19127" s="12"/>
    </row>
    <row r="19128" spans="1:1" x14ac:dyDescent="0.3">
      <c r="A19128" s="12"/>
    </row>
    <row r="19129" spans="1:1" x14ac:dyDescent="0.3">
      <c r="A19129" s="12"/>
    </row>
    <row r="19130" spans="1:1" x14ac:dyDescent="0.3">
      <c r="A19130" s="12"/>
    </row>
    <row r="19131" spans="1:1" x14ac:dyDescent="0.3">
      <c r="A19131" s="12"/>
    </row>
    <row r="19132" spans="1:1" x14ac:dyDescent="0.3">
      <c r="A19132" s="12"/>
    </row>
    <row r="19133" spans="1:1" x14ac:dyDescent="0.3">
      <c r="A19133" s="12"/>
    </row>
    <row r="19134" spans="1:1" x14ac:dyDescent="0.3">
      <c r="A19134" s="12"/>
    </row>
    <row r="19135" spans="1:1" x14ac:dyDescent="0.3">
      <c r="A19135" s="12"/>
    </row>
    <row r="19136" spans="1:1" x14ac:dyDescent="0.3">
      <c r="A19136" s="12"/>
    </row>
    <row r="19137" spans="1:1" x14ac:dyDescent="0.3">
      <c r="A19137" s="12"/>
    </row>
    <row r="19138" spans="1:1" x14ac:dyDescent="0.3">
      <c r="A19138" s="12"/>
    </row>
    <row r="19139" spans="1:1" x14ac:dyDescent="0.3">
      <c r="A19139" s="12"/>
    </row>
    <row r="19140" spans="1:1" x14ac:dyDescent="0.3">
      <c r="A19140" s="12"/>
    </row>
    <row r="19141" spans="1:1" x14ac:dyDescent="0.3">
      <c r="A19141" s="12"/>
    </row>
    <row r="19142" spans="1:1" x14ac:dyDescent="0.3">
      <c r="A19142" s="12"/>
    </row>
    <row r="19143" spans="1:1" x14ac:dyDescent="0.3">
      <c r="A19143" s="12"/>
    </row>
    <row r="19144" spans="1:1" x14ac:dyDescent="0.3">
      <c r="A19144" s="12"/>
    </row>
    <row r="19145" spans="1:1" x14ac:dyDescent="0.3">
      <c r="A19145" s="12"/>
    </row>
    <row r="19146" spans="1:1" x14ac:dyDescent="0.3">
      <c r="A19146" s="12"/>
    </row>
    <row r="19147" spans="1:1" x14ac:dyDescent="0.3">
      <c r="A19147" s="12"/>
    </row>
    <row r="19148" spans="1:1" x14ac:dyDescent="0.3">
      <c r="A19148" s="12"/>
    </row>
    <row r="19149" spans="1:1" x14ac:dyDescent="0.3">
      <c r="A19149" s="12"/>
    </row>
    <row r="19150" spans="1:1" x14ac:dyDescent="0.3">
      <c r="A19150" s="12"/>
    </row>
    <row r="19151" spans="1:1" x14ac:dyDescent="0.3">
      <c r="A19151" s="12"/>
    </row>
    <row r="19152" spans="1:1" x14ac:dyDescent="0.3">
      <c r="A19152" s="12"/>
    </row>
    <row r="19153" spans="1:1" x14ac:dyDescent="0.3">
      <c r="A19153" s="12"/>
    </row>
    <row r="19154" spans="1:1" x14ac:dyDescent="0.3">
      <c r="A19154" s="12"/>
    </row>
    <row r="19155" spans="1:1" x14ac:dyDescent="0.3">
      <c r="A19155" s="12"/>
    </row>
    <row r="19156" spans="1:1" x14ac:dyDescent="0.3">
      <c r="A19156" s="12"/>
    </row>
    <row r="19157" spans="1:1" x14ac:dyDescent="0.3">
      <c r="A19157" s="12"/>
    </row>
    <row r="19158" spans="1:1" x14ac:dyDescent="0.3">
      <c r="A19158" s="12"/>
    </row>
    <row r="19159" spans="1:1" x14ac:dyDescent="0.3">
      <c r="A19159" s="12"/>
    </row>
    <row r="19160" spans="1:1" x14ac:dyDescent="0.3">
      <c r="A19160" s="12"/>
    </row>
    <row r="19161" spans="1:1" x14ac:dyDescent="0.3">
      <c r="A19161" s="12"/>
    </row>
    <row r="19162" spans="1:1" x14ac:dyDescent="0.3">
      <c r="A19162" s="12"/>
    </row>
    <row r="19163" spans="1:1" x14ac:dyDescent="0.3">
      <c r="A19163" s="12"/>
    </row>
    <row r="19164" spans="1:1" x14ac:dyDescent="0.3">
      <c r="A19164" s="12"/>
    </row>
    <row r="19165" spans="1:1" x14ac:dyDescent="0.3">
      <c r="A19165" s="12"/>
    </row>
    <row r="19166" spans="1:1" x14ac:dyDescent="0.3">
      <c r="A19166" s="12"/>
    </row>
    <row r="19167" spans="1:1" x14ac:dyDescent="0.3">
      <c r="A19167" s="12"/>
    </row>
    <row r="19168" spans="1:1" x14ac:dyDescent="0.3">
      <c r="A19168" s="12"/>
    </row>
    <row r="19169" spans="1:1" x14ac:dyDescent="0.3">
      <c r="A19169" s="12"/>
    </row>
    <row r="19170" spans="1:1" x14ac:dyDescent="0.3">
      <c r="A19170" s="12"/>
    </row>
    <row r="19171" spans="1:1" x14ac:dyDescent="0.3">
      <c r="A19171" s="12"/>
    </row>
    <row r="19172" spans="1:1" x14ac:dyDescent="0.3">
      <c r="A19172" s="12"/>
    </row>
    <row r="19173" spans="1:1" x14ac:dyDescent="0.3">
      <c r="A19173" s="12"/>
    </row>
    <row r="19174" spans="1:1" x14ac:dyDescent="0.3">
      <c r="A19174" s="12"/>
    </row>
    <row r="19175" spans="1:1" x14ac:dyDescent="0.3">
      <c r="A19175" s="12"/>
    </row>
    <row r="19176" spans="1:1" x14ac:dyDescent="0.3">
      <c r="A19176" s="12"/>
    </row>
    <row r="19177" spans="1:1" x14ac:dyDescent="0.3">
      <c r="A19177" s="12"/>
    </row>
    <row r="19178" spans="1:1" x14ac:dyDescent="0.3">
      <c r="A19178" s="12"/>
    </row>
    <row r="19179" spans="1:1" x14ac:dyDescent="0.3">
      <c r="A19179" s="12"/>
    </row>
    <row r="19180" spans="1:1" x14ac:dyDescent="0.3">
      <c r="A19180" s="12"/>
    </row>
    <row r="19181" spans="1:1" x14ac:dyDescent="0.3">
      <c r="A19181" s="12"/>
    </row>
    <row r="19182" spans="1:1" x14ac:dyDescent="0.3">
      <c r="A19182" s="12"/>
    </row>
    <row r="19183" spans="1:1" x14ac:dyDescent="0.3">
      <c r="A19183" s="12"/>
    </row>
    <row r="19184" spans="1:1" x14ac:dyDescent="0.3">
      <c r="A19184" s="12"/>
    </row>
    <row r="19185" spans="1:1" x14ac:dyDescent="0.3">
      <c r="A19185" s="12"/>
    </row>
    <row r="19186" spans="1:1" x14ac:dyDescent="0.3">
      <c r="A19186" s="12"/>
    </row>
    <row r="19187" spans="1:1" x14ac:dyDescent="0.3">
      <c r="A19187" s="12"/>
    </row>
    <row r="19188" spans="1:1" x14ac:dyDescent="0.3">
      <c r="A19188" s="12"/>
    </row>
    <row r="19189" spans="1:1" x14ac:dyDescent="0.3">
      <c r="A19189" s="12"/>
    </row>
    <row r="19190" spans="1:1" x14ac:dyDescent="0.3">
      <c r="A19190" s="12"/>
    </row>
    <row r="19191" spans="1:1" x14ac:dyDescent="0.3">
      <c r="A19191" s="12"/>
    </row>
    <row r="19192" spans="1:1" x14ac:dyDescent="0.3">
      <c r="A19192" s="12"/>
    </row>
    <row r="19193" spans="1:1" x14ac:dyDescent="0.3">
      <c r="A19193" s="12"/>
    </row>
    <row r="19194" spans="1:1" x14ac:dyDescent="0.3">
      <c r="A19194" s="12"/>
    </row>
    <row r="19195" spans="1:1" x14ac:dyDescent="0.3">
      <c r="A19195" s="12"/>
    </row>
    <row r="19196" spans="1:1" x14ac:dyDescent="0.3">
      <c r="A19196" s="12"/>
    </row>
    <row r="19197" spans="1:1" x14ac:dyDescent="0.3">
      <c r="A19197" s="12"/>
    </row>
    <row r="19198" spans="1:1" x14ac:dyDescent="0.3">
      <c r="A19198" s="12"/>
    </row>
    <row r="19199" spans="1:1" x14ac:dyDescent="0.3">
      <c r="A19199" s="12"/>
    </row>
    <row r="19200" spans="1:1" x14ac:dyDescent="0.3">
      <c r="A19200" s="12"/>
    </row>
    <row r="19201" spans="1:1" x14ac:dyDescent="0.3">
      <c r="A19201" s="12"/>
    </row>
    <row r="19202" spans="1:1" x14ac:dyDescent="0.3">
      <c r="A19202" s="12"/>
    </row>
    <row r="19203" spans="1:1" x14ac:dyDescent="0.3">
      <c r="A19203" s="12"/>
    </row>
    <row r="19204" spans="1:1" x14ac:dyDescent="0.3">
      <c r="A19204" s="12"/>
    </row>
    <row r="19205" spans="1:1" x14ac:dyDescent="0.3">
      <c r="A19205" s="12"/>
    </row>
    <row r="19206" spans="1:1" x14ac:dyDescent="0.3">
      <c r="A19206" s="12"/>
    </row>
    <row r="19207" spans="1:1" x14ac:dyDescent="0.3">
      <c r="A19207" s="12"/>
    </row>
    <row r="19208" spans="1:1" x14ac:dyDescent="0.3">
      <c r="A19208" s="12"/>
    </row>
    <row r="19209" spans="1:1" x14ac:dyDescent="0.3">
      <c r="A19209" s="12"/>
    </row>
    <row r="19210" spans="1:1" x14ac:dyDescent="0.3">
      <c r="A19210" s="12"/>
    </row>
    <row r="19211" spans="1:1" x14ac:dyDescent="0.3">
      <c r="A19211" s="12"/>
    </row>
    <row r="19212" spans="1:1" x14ac:dyDescent="0.3">
      <c r="A19212" s="12"/>
    </row>
    <row r="19213" spans="1:1" x14ac:dyDescent="0.3">
      <c r="A19213" s="12"/>
    </row>
    <row r="19214" spans="1:1" x14ac:dyDescent="0.3">
      <c r="A19214" s="12"/>
    </row>
    <row r="19215" spans="1:1" x14ac:dyDescent="0.3">
      <c r="A19215" s="12"/>
    </row>
    <row r="19216" spans="1:1" x14ac:dyDescent="0.3">
      <c r="A19216" s="12"/>
    </row>
    <row r="19217" spans="1:1" x14ac:dyDescent="0.3">
      <c r="A19217" s="12"/>
    </row>
    <row r="19218" spans="1:1" x14ac:dyDescent="0.3">
      <c r="A19218" s="12"/>
    </row>
    <row r="19219" spans="1:1" x14ac:dyDescent="0.3">
      <c r="A19219" s="12"/>
    </row>
    <row r="19220" spans="1:1" x14ac:dyDescent="0.3">
      <c r="A19220" s="12"/>
    </row>
    <row r="19221" spans="1:1" x14ac:dyDescent="0.3">
      <c r="A19221" s="12"/>
    </row>
    <row r="19222" spans="1:1" x14ac:dyDescent="0.3">
      <c r="A19222" s="12"/>
    </row>
    <row r="19223" spans="1:1" x14ac:dyDescent="0.3">
      <c r="A19223" s="12"/>
    </row>
    <row r="19224" spans="1:1" x14ac:dyDescent="0.3">
      <c r="A19224" s="12"/>
    </row>
    <row r="19225" spans="1:1" x14ac:dyDescent="0.3">
      <c r="A19225" s="12"/>
    </row>
    <row r="19226" spans="1:1" x14ac:dyDescent="0.3">
      <c r="A19226" s="12"/>
    </row>
    <row r="19227" spans="1:1" x14ac:dyDescent="0.3">
      <c r="A19227" s="12"/>
    </row>
    <row r="19228" spans="1:1" x14ac:dyDescent="0.3">
      <c r="A19228" s="12"/>
    </row>
    <row r="19229" spans="1:1" x14ac:dyDescent="0.3">
      <c r="A19229" s="12"/>
    </row>
    <row r="19230" spans="1:1" x14ac:dyDescent="0.3">
      <c r="A19230" s="12"/>
    </row>
    <row r="19231" spans="1:1" x14ac:dyDescent="0.3">
      <c r="A19231" s="12"/>
    </row>
    <row r="19232" spans="1:1" x14ac:dyDescent="0.3">
      <c r="A19232" s="12"/>
    </row>
    <row r="19233" spans="1:1" x14ac:dyDescent="0.3">
      <c r="A19233" s="12"/>
    </row>
    <row r="19234" spans="1:1" x14ac:dyDescent="0.3">
      <c r="A19234" s="12"/>
    </row>
    <row r="19235" spans="1:1" x14ac:dyDescent="0.3">
      <c r="A19235" s="12"/>
    </row>
    <row r="19236" spans="1:1" x14ac:dyDescent="0.3">
      <c r="A19236" s="12"/>
    </row>
    <row r="19237" spans="1:1" x14ac:dyDescent="0.3">
      <c r="A19237" s="12"/>
    </row>
    <row r="19238" spans="1:1" x14ac:dyDescent="0.3">
      <c r="A19238" s="12"/>
    </row>
    <row r="19239" spans="1:1" x14ac:dyDescent="0.3">
      <c r="A19239" s="12"/>
    </row>
    <row r="19240" spans="1:1" x14ac:dyDescent="0.3">
      <c r="A19240" s="12"/>
    </row>
    <row r="19241" spans="1:1" x14ac:dyDescent="0.3">
      <c r="A19241" s="12"/>
    </row>
    <row r="19242" spans="1:1" x14ac:dyDescent="0.3">
      <c r="A19242" s="12"/>
    </row>
    <row r="19243" spans="1:1" x14ac:dyDescent="0.3">
      <c r="A19243" s="12"/>
    </row>
    <row r="19244" spans="1:1" x14ac:dyDescent="0.3">
      <c r="A19244" s="12"/>
    </row>
    <row r="19245" spans="1:1" x14ac:dyDescent="0.3">
      <c r="A19245" s="12"/>
    </row>
    <row r="19246" spans="1:1" x14ac:dyDescent="0.3">
      <c r="A19246" s="12"/>
    </row>
    <row r="19247" spans="1:1" x14ac:dyDescent="0.3">
      <c r="A19247" s="12"/>
    </row>
    <row r="19248" spans="1:1" x14ac:dyDescent="0.3">
      <c r="A19248" s="12"/>
    </row>
    <row r="19249" spans="1:1" x14ac:dyDescent="0.3">
      <c r="A19249" s="12"/>
    </row>
    <row r="19250" spans="1:1" x14ac:dyDescent="0.3">
      <c r="A19250" s="12"/>
    </row>
    <row r="19251" spans="1:1" x14ac:dyDescent="0.3">
      <c r="A19251" s="12"/>
    </row>
    <row r="19252" spans="1:1" x14ac:dyDescent="0.3">
      <c r="A19252" s="12"/>
    </row>
    <row r="19253" spans="1:1" x14ac:dyDescent="0.3">
      <c r="A19253" s="12"/>
    </row>
    <row r="19254" spans="1:1" x14ac:dyDescent="0.3">
      <c r="A19254" s="12"/>
    </row>
    <row r="19255" spans="1:1" x14ac:dyDescent="0.3">
      <c r="A19255" s="12"/>
    </row>
    <row r="19256" spans="1:1" x14ac:dyDescent="0.3">
      <c r="A19256" s="12"/>
    </row>
    <row r="19257" spans="1:1" x14ac:dyDescent="0.3">
      <c r="A19257" s="12"/>
    </row>
    <row r="19258" spans="1:1" x14ac:dyDescent="0.3">
      <c r="A19258" s="12"/>
    </row>
    <row r="19259" spans="1:1" x14ac:dyDescent="0.3">
      <c r="A19259" s="12"/>
    </row>
    <row r="19260" spans="1:1" x14ac:dyDescent="0.3">
      <c r="A19260" s="12"/>
    </row>
    <row r="19261" spans="1:1" x14ac:dyDescent="0.3">
      <c r="A19261" s="12"/>
    </row>
    <row r="19262" spans="1:1" x14ac:dyDescent="0.3">
      <c r="A19262" s="12"/>
    </row>
    <row r="19263" spans="1:1" x14ac:dyDescent="0.3">
      <c r="A19263" s="12"/>
    </row>
    <row r="19264" spans="1:1" x14ac:dyDescent="0.3">
      <c r="A19264" s="12"/>
    </row>
    <row r="19265" spans="1:1" x14ac:dyDescent="0.3">
      <c r="A19265" s="12"/>
    </row>
    <row r="19266" spans="1:1" x14ac:dyDescent="0.3">
      <c r="A19266" s="12"/>
    </row>
    <row r="19267" spans="1:1" x14ac:dyDescent="0.3">
      <c r="A19267" s="12"/>
    </row>
    <row r="19268" spans="1:1" x14ac:dyDescent="0.3">
      <c r="A19268" s="12"/>
    </row>
    <row r="19269" spans="1:1" x14ac:dyDescent="0.3">
      <c r="A19269" s="12"/>
    </row>
    <row r="19270" spans="1:1" x14ac:dyDescent="0.3">
      <c r="A19270" s="12"/>
    </row>
    <row r="19271" spans="1:1" x14ac:dyDescent="0.3">
      <c r="A19271" s="12"/>
    </row>
    <row r="19272" spans="1:1" x14ac:dyDescent="0.3">
      <c r="A19272" s="12"/>
    </row>
    <row r="19273" spans="1:1" x14ac:dyDescent="0.3">
      <c r="A19273" s="12"/>
    </row>
    <row r="19274" spans="1:1" x14ac:dyDescent="0.3">
      <c r="A19274" s="12"/>
    </row>
    <row r="19275" spans="1:1" x14ac:dyDescent="0.3">
      <c r="A19275" s="12"/>
    </row>
    <row r="19276" spans="1:1" x14ac:dyDescent="0.3">
      <c r="A19276" s="12"/>
    </row>
    <row r="19277" spans="1:1" x14ac:dyDescent="0.3">
      <c r="A19277" s="12"/>
    </row>
    <row r="19278" spans="1:1" x14ac:dyDescent="0.3">
      <c r="A19278" s="12"/>
    </row>
    <row r="19279" spans="1:1" x14ac:dyDescent="0.3">
      <c r="A19279" s="12"/>
    </row>
    <row r="19280" spans="1:1" x14ac:dyDescent="0.3">
      <c r="A19280" s="12"/>
    </row>
    <row r="19281" spans="1:1" x14ac:dyDescent="0.3">
      <c r="A19281" s="12"/>
    </row>
    <row r="19282" spans="1:1" x14ac:dyDescent="0.3">
      <c r="A19282" s="12"/>
    </row>
    <row r="19283" spans="1:1" x14ac:dyDescent="0.3">
      <c r="A19283" s="12"/>
    </row>
    <row r="19284" spans="1:1" x14ac:dyDescent="0.3">
      <c r="A19284" s="12"/>
    </row>
    <row r="19285" spans="1:1" x14ac:dyDescent="0.3">
      <c r="A19285" s="12"/>
    </row>
    <row r="19286" spans="1:1" x14ac:dyDescent="0.3">
      <c r="A19286" s="12"/>
    </row>
    <row r="19287" spans="1:1" x14ac:dyDescent="0.3">
      <c r="A19287" s="12"/>
    </row>
    <row r="19288" spans="1:1" x14ac:dyDescent="0.3">
      <c r="A19288" s="12"/>
    </row>
    <row r="19289" spans="1:1" x14ac:dyDescent="0.3">
      <c r="A19289" s="12"/>
    </row>
    <row r="19290" spans="1:1" x14ac:dyDescent="0.3">
      <c r="A19290" s="12"/>
    </row>
    <row r="19291" spans="1:1" x14ac:dyDescent="0.3">
      <c r="A19291" s="12"/>
    </row>
    <row r="19292" spans="1:1" x14ac:dyDescent="0.3">
      <c r="A19292" s="12"/>
    </row>
    <row r="19293" spans="1:1" x14ac:dyDescent="0.3">
      <c r="A19293" s="12"/>
    </row>
    <row r="19294" spans="1:1" x14ac:dyDescent="0.3">
      <c r="A19294" s="12"/>
    </row>
    <row r="19295" spans="1:1" x14ac:dyDescent="0.3">
      <c r="A19295" s="12"/>
    </row>
    <row r="19296" spans="1:1" x14ac:dyDescent="0.3">
      <c r="A19296" s="12"/>
    </row>
    <row r="19297" spans="1:1" x14ac:dyDescent="0.3">
      <c r="A19297" s="12"/>
    </row>
    <row r="19298" spans="1:1" x14ac:dyDescent="0.3">
      <c r="A19298" s="12"/>
    </row>
    <row r="19299" spans="1:1" x14ac:dyDescent="0.3">
      <c r="A19299" s="12"/>
    </row>
    <row r="19300" spans="1:1" x14ac:dyDescent="0.3">
      <c r="A19300" s="12"/>
    </row>
    <row r="19301" spans="1:1" x14ac:dyDescent="0.3">
      <c r="A19301" s="12"/>
    </row>
    <row r="19302" spans="1:1" x14ac:dyDescent="0.3">
      <c r="A19302" s="12"/>
    </row>
    <row r="19303" spans="1:1" x14ac:dyDescent="0.3">
      <c r="A19303" s="12"/>
    </row>
    <row r="19304" spans="1:1" x14ac:dyDescent="0.3">
      <c r="A19304" s="12"/>
    </row>
    <row r="19305" spans="1:1" x14ac:dyDescent="0.3">
      <c r="A19305" s="12"/>
    </row>
    <row r="19306" spans="1:1" x14ac:dyDescent="0.3">
      <c r="A19306" s="12"/>
    </row>
    <row r="19307" spans="1:1" x14ac:dyDescent="0.3">
      <c r="A19307" s="12"/>
    </row>
    <row r="19308" spans="1:1" x14ac:dyDescent="0.3">
      <c r="A19308" s="12"/>
    </row>
    <row r="19309" spans="1:1" x14ac:dyDescent="0.3">
      <c r="A19309" s="12"/>
    </row>
    <row r="19310" spans="1:1" x14ac:dyDescent="0.3">
      <c r="A19310" s="12"/>
    </row>
    <row r="19311" spans="1:1" x14ac:dyDescent="0.3">
      <c r="A19311" s="12"/>
    </row>
    <row r="19312" spans="1:1" x14ac:dyDescent="0.3">
      <c r="A19312" s="12"/>
    </row>
    <row r="19313" spans="1:1" x14ac:dyDescent="0.3">
      <c r="A19313" s="12"/>
    </row>
    <row r="19314" spans="1:1" x14ac:dyDescent="0.3">
      <c r="A19314" s="12"/>
    </row>
    <row r="19315" spans="1:1" x14ac:dyDescent="0.3">
      <c r="A19315" s="12"/>
    </row>
    <row r="19316" spans="1:1" x14ac:dyDescent="0.3">
      <c r="A19316" s="12"/>
    </row>
    <row r="19317" spans="1:1" x14ac:dyDescent="0.3">
      <c r="A19317" s="12"/>
    </row>
    <row r="19318" spans="1:1" x14ac:dyDescent="0.3">
      <c r="A19318" s="12"/>
    </row>
    <row r="19319" spans="1:1" x14ac:dyDescent="0.3">
      <c r="A19319" s="12"/>
    </row>
    <row r="19320" spans="1:1" x14ac:dyDescent="0.3">
      <c r="A19320" s="12"/>
    </row>
    <row r="19321" spans="1:1" x14ac:dyDescent="0.3">
      <c r="A19321" s="12"/>
    </row>
    <row r="19322" spans="1:1" x14ac:dyDescent="0.3">
      <c r="A19322" s="12"/>
    </row>
    <row r="19323" spans="1:1" x14ac:dyDescent="0.3">
      <c r="A19323" s="12"/>
    </row>
    <row r="19324" spans="1:1" x14ac:dyDescent="0.3">
      <c r="A19324" s="12"/>
    </row>
    <row r="19325" spans="1:1" x14ac:dyDescent="0.3">
      <c r="A19325" s="12"/>
    </row>
    <row r="19326" spans="1:1" x14ac:dyDescent="0.3">
      <c r="A19326" s="12"/>
    </row>
    <row r="19327" spans="1:1" x14ac:dyDescent="0.3">
      <c r="A19327" s="12"/>
    </row>
    <row r="19328" spans="1:1" x14ac:dyDescent="0.3">
      <c r="A19328" s="12"/>
    </row>
    <row r="19329" spans="1:1" x14ac:dyDescent="0.3">
      <c r="A19329" s="12"/>
    </row>
    <row r="19330" spans="1:1" x14ac:dyDescent="0.3">
      <c r="A19330" s="12"/>
    </row>
    <row r="19331" spans="1:1" x14ac:dyDescent="0.3">
      <c r="A19331" s="12"/>
    </row>
    <row r="19332" spans="1:1" x14ac:dyDescent="0.3">
      <c r="A19332" s="12"/>
    </row>
    <row r="19333" spans="1:1" x14ac:dyDescent="0.3">
      <c r="A19333" s="12"/>
    </row>
    <row r="19334" spans="1:1" x14ac:dyDescent="0.3">
      <c r="A19334" s="12"/>
    </row>
    <row r="19335" spans="1:1" x14ac:dyDescent="0.3">
      <c r="A19335" s="12"/>
    </row>
    <row r="19336" spans="1:1" x14ac:dyDescent="0.3">
      <c r="A19336" s="12"/>
    </row>
    <row r="19337" spans="1:1" x14ac:dyDescent="0.3">
      <c r="A19337" s="12"/>
    </row>
    <row r="19338" spans="1:1" x14ac:dyDescent="0.3">
      <c r="A19338" s="12"/>
    </row>
    <row r="19339" spans="1:1" x14ac:dyDescent="0.3">
      <c r="A19339" s="12"/>
    </row>
    <row r="19340" spans="1:1" x14ac:dyDescent="0.3">
      <c r="A19340" s="12"/>
    </row>
    <row r="19341" spans="1:1" x14ac:dyDescent="0.3">
      <c r="A19341" s="12"/>
    </row>
    <row r="19342" spans="1:1" x14ac:dyDescent="0.3">
      <c r="A19342" s="12"/>
    </row>
    <row r="19343" spans="1:1" x14ac:dyDescent="0.3">
      <c r="A19343" s="12"/>
    </row>
    <row r="19344" spans="1:1" x14ac:dyDescent="0.3">
      <c r="A19344" s="12"/>
    </row>
    <row r="19345" spans="1:1" x14ac:dyDescent="0.3">
      <c r="A19345" s="12"/>
    </row>
    <row r="19346" spans="1:1" x14ac:dyDescent="0.3">
      <c r="A19346" s="12"/>
    </row>
    <row r="19347" spans="1:1" x14ac:dyDescent="0.3">
      <c r="A19347" s="12"/>
    </row>
    <row r="19348" spans="1:1" x14ac:dyDescent="0.3">
      <c r="A19348" s="12"/>
    </row>
    <row r="19349" spans="1:1" x14ac:dyDescent="0.3">
      <c r="A19349" s="12"/>
    </row>
    <row r="19350" spans="1:1" x14ac:dyDescent="0.3">
      <c r="A19350" s="12"/>
    </row>
    <row r="19351" spans="1:1" x14ac:dyDescent="0.3">
      <c r="A19351" s="12"/>
    </row>
    <row r="19352" spans="1:1" x14ac:dyDescent="0.3">
      <c r="A19352" s="12"/>
    </row>
    <row r="19353" spans="1:1" x14ac:dyDescent="0.3">
      <c r="A19353" s="12"/>
    </row>
    <row r="19354" spans="1:1" x14ac:dyDescent="0.3">
      <c r="A19354" s="12"/>
    </row>
    <row r="19355" spans="1:1" x14ac:dyDescent="0.3">
      <c r="A19355" s="12"/>
    </row>
    <row r="19356" spans="1:1" x14ac:dyDescent="0.3">
      <c r="A19356" s="12"/>
    </row>
    <row r="19357" spans="1:1" x14ac:dyDescent="0.3">
      <c r="A19357" s="12"/>
    </row>
    <row r="19358" spans="1:1" x14ac:dyDescent="0.3">
      <c r="A19358" s="12"/>
    </row>
    <row r="19359" spans="1:1" x14ac:dyDescent="0.3">
      <c r="A19359" s="12"/>
    </row>
    <row r="19360" spans="1:1" x14ac:dyDescent="0.3">
      <c r="A19360" s="12"/>
    </row>
    <row r="19361" spans="1:1" x14ac:dyDescent="0.3">
      <c r="A19361" s="12"/>
    </row>
    <row r="19362" spans="1:1" x14ac:dyDescent="0.3">
      <c r="A19362" s="12"/>
    </row>
    <row r="19363" spans="1:1" x14ac:dyDescent="0.3">
      <c r="A19363" s="12"/>
    </row>
    <row r="19364" spans="1:1" x14ac:dyDescent="0.3">
      <c r="A19364" s="12"/>
    </row>
    <row r="19365" spans="1:1" x14ac:dyDescent="0.3">
      <c r="A19365" s="12"/>
    </row>
    <row r="19366" spans="1:1" x14ac:dyDescent="0.3">
      <c r="A19366" s="12"/>
    </row>
    <row r="19367" spans="1:1" x14ac:dyDescent="0.3">
      <c r="A19367" s="12"/>
    </row>
    <row r="19368" spans="1:1" x14ac:dyDescent="0.3">
      <c r="A19368" s="12"/>
    </row>
    <row r="19369" spans="1:1" x14ac:dyDescent="0.3">
      <c r="A19369" s="12"/>
    </row>
    <row r="19370" spans="1:1" x14ac:dyDescent="0.3">
      <c r="A19370" s="12"/>
    </row>
    <row r="19371" spans="1:1" x14ac:dyDescent="0.3">
      <c r="A19371" s="12"/>
    </row>
    <row r="19372" spans="1:1" x14ac:dyDescent="0.3">
      <c r="A19372" s="12"/>
    </row>
    <row r="19373" spans="1:1" x14ac:dyDescent="0.3">
      <c r="A19373" s="12"/>
    </row>
    <row r="19374" spans="1:1" x14ac:dyDescent="0.3">
      <c r="A19374" s="12"/>
    </row>
    <row r="19375" spans="1:1" x14ac:dyDescent="0.3">
      <c r="A19375" s="12"/>
    </row>
    <row r="19376" spans="1:1" x14ac:dyDescent="0.3">
      <c r="A19376" s="12"/>
    </row>
    <row r="19377" spans="1:1" x14ac:dyDescent="0.3">
      <c r="A19377" s="12"/>
    </row>
    <row r="19378" spans="1:1" x14ac:dyDescent="0.3">
      <c r="A19378" s="12"/>
    </row>
    <row r="19379" spans="1:1" x14ac:dyDescent="0.3">
      <c r="A19379" s="12"/>
    </row>
    <row r="19380" spans="1:1" x14ac:dyDescent="0.3">
      <c r="A19380" s="12"/>
    </row>
    <row r="19381" spans="1:1" x14ac:dyDescent="0.3">
      <c r="A19381" s="12"/>
    </row>
    <row r="19382" spans="1:1" x14ac:dyDescent="0.3">
      <c r="A19382" s="12"/>
    </row>
    <row r="19383" spans="1:1" x14ac:dyDescent="0.3">
      <c r="A19383" s="12"/>
    </row>
    <row r="19384" spans="1:1" x14ac:dyDescent="0.3">
      <c r="A19384" s="12"/>
    </row>
    <row r="19385" spans="1:1" x14ac:dyDescent="0.3">
      <c r="A19385" s="12"/>
    </row>
    <row r="19386" spans="1:1" x14ac:dyDescent="0.3">
      <c r="A19386" s="12"/>
    </row>
    <row r="19387" spans="1:1" x14ac:dyDescent="0.3">
      <c r="A19387" s="12"/>
    </row>
    <row r="19388" spans="1:1" x14ac:dyDescent="0.3">
      <c r="A19388" s="12"/>
    </row>
    <row r="19389" spans="1:1" x14ac:dyDescent="0.3">
      <c r="A19389" s="12"/>
    </row>
    <row r="19390" spans="1:1" x14ac:dyDescent="0.3">
      <c r="A19390" s="12"/>
    </row>
    <row r="19391" spans="1:1" x14ac:dyDescent="0.3">
      <c r="A19391" s="12"/>
    </row>
    <row r="19392" spans="1:1" x14ac:dyDescent="0.3">
      <c r="A19392" s="12"/>
    </row>
    <row r="19393" spans="1:1" x14ac:dyDescent="0.3">
      <c r="A19393" s="12"/>
    </row>
    <row r="19394" spans="1:1" x14ac:dyDescent="0.3">
      <c r="A19394" s="12"/>
    </row>
    <row r="19395" spans="1:1" x14ac:dyDescent="0.3">
      <c r="A19395" s="12"/>
    </row>
    <row r="19396" spans="1:1" x14ac:dyDescent="0.3">
      <c r="A19396" s="12"/>
    </row>
    <row r="19397" spans="1:1" x14ac:dyDescent="0.3">
      <c r="A19397" s="12"/>
    </row>
    <row r="19398" spans="1:1" x14ac:dyDescent="0.3">
      <c r="A19398" s="12"/>
    </row>
    <row r="19399" spans="1:1" x14ac:dyDescent="0.3">
      <c r="A19399" s="12"/>
    </row>
    <row r="19400" spans="1:1" x14ac:dyDescent="0.3">
      <c r="A19400" s="12"/>
    </row>
    <row r="19401" spans="1:1" x14ac:dyDescent="0.3">
      <c r="A19401" s="12"/>
    </row>
    <row r="19402" spans="1:1" x14ac:dyDescent="0.3">
      <c r="A19402" s="12"/>
    </row>
    <row r="19403" spans="1:1" x14ac:dyDescent="0.3">
      <c r="A19403" s="12"/>
    </row>
    <row r="19404" spans="1:1" x14ac:dyDescent="0.3">
      <c r="A19404" s="12"/>
    </row>
    <row r="19405" spans="1:1" x14ac:dyDescent="0.3">
      <c r="A19405" s="12"/>
    </row>
    <row r="19406" spans="1:1" x14ac:dyDescent="0.3">
      <c r="A19406" s="12"/>
    </row>
    <row r="19407" spans="1:1" x14ac:dyDescent="0.3">
      <c r="A19407" s="12"/>
    </row>
    <row r="19408" spans="1:1" x14ac:dyDescent="0.3">
      <c r="A19408" s="12"/>
    </row>
    <row r="19409" spans="1:1" x14ac:dyDescent="0.3">
      <c r="A19409" s="12"/>
    </row>
    <row r="19410" spans="1:1" x14ac:dyDescent="0.3">
      <c r="A19410" s="12"/>
    </row>
    <row r="19411" spans="1:1" x14ac:dyDescent="0.3">
      <c r="A19411" s="12"/>
    </row>
    <row r="19412" spans="1:1" x14ac:dyDescent="0.3">
      <c r="A19412" s="12"/>
    </row>
    <row r="19413" spans="1:1" x14ac:dyDescent="0.3">
      <c r="A19413" s="12"/>
    </row>
    <row r="19414" spans="1:1" x14ac:dyDescent="0.3">
      <c r="A19414" s="12"/>
    </row>
    <row r="19415" spans="1:1" x14ac:dyDescent="0.3">
      <c r="A19415" s="12"/>
    </row>
    <row r="19416" spans="1:1" x14ac:dyDescent="0.3">
      <c r="A19416" s="12"/>
    </row>
    <row r="19417" spans="1:1" x14ac:dyDescent="0.3">
      <c r="A19417" s="12"/>
    </row>
    <row r="19418" spans="1:1" x14ac:dyDescent="0.3">
      <c r="A19418" s="12"/>
    </row>
    <row r="19419" spans="1:1" x14ac:dyDescent="0.3">
      <c r="A19419" s="12"/>
    </row>
    <row r="19420" spans="1:1" x14ac:dyDescent="0.3">
      <c r="A19420" s="12"/>
    </row>
    <row r="19421" spans="1:1" x14ac:dyDescent="0.3">
      <c r="A19421" s="12"/>
    </row>
    <row r="19422" spans="1:1" x14ac:dyDescent="0.3">
      <c r="A19422" s="12"/>
    </row>
    <row r="19423" spans="1:1" x14ac:dyDescent="0.3">
      <c r="A19423" s="12"/>
    </row>
    <row r="19424" spans="1:1" x14ac:dyDescent="0.3">
      <c r="A19424" s="12"/>
    </row>
    <row r="19425" spans="1:1" x14ac:dyDescent="0.3">
      <c r="A19425" s="12"/>
    </row>
    <row r="19426" spans="1:1" x14ac:dyDescent="0.3">
      <c r="A19426" s="12"/>
    </row>
    <row r="19427" spans="1:1" x14ac:dyDescent="0.3">
      <c r="A19427" s="12"/>
    </row>
    <row r="19428" spans="1:1" x14ac:dyDescent="0.3">
      <c r="A19428" s="12"/>
    </row>
    <row r="19429" spans="1:1" x14ac:dyDescent="0.3">
      <c r="A19429" s="12"/>
    </row>
    <row r="19430" spans="1:1" x14ac:dyDescent="0.3">
      <c r="A19430" s="12"/>
    </row>
    <row r="19431" spans="1:1" x14ac:dyDescent="0.3">
      <c r="A19431" s="12"/>
    </row>
    <row r="19432" spans="1:1" x14ac:dyDescent="0.3">
      <c r="A19432" s="12"/>
    </row>
    <row r="19433" spans="1:1" x14ac:dyDescent="0.3">
      <c r="A19433" s="12"/>
    </row>
    <row r="19434" spans="1:1" x14ac:dyDescent="0.3">
      <c r="A19434" s="12"/>
    </row>
    <row r="19435" spans="1:1" x14ac:dyDescent="0.3">
      <c r="A19435" s="12"/>
    </row>
    <row r="19436" spans="1:1" x14ac:dyDescent="0.3">
      <c r="A19436" s="12"/>
    </row>
    <row r="19437" spans="1:1" x14ac:dyDescent="0.3">
      <c r="A19437" s="12"/>
    </row>
    <row r="19438" spans="1:1" x14ac:dyDescent="0.3">
      <c r="A19438" s="12"/>
    </row>
    <row r="19439" spans="1:1" x14ac:dyDescent="0.3">
      <c r="A19439" s="12"/>
    </row>
    <row r="19440" spans="1:1" x14ac:dyDescent="0.3">
      <c r="A19440" s="12"/>
    </row>
    <row r="19441" spans="1:1" x14ac:dyDescent="0.3">
      <c r="A19441" s="12"/>
    </row>
    <row r="19442" spans="1:1" x14ac:dyDescent="0.3">
      <c r="A19442" s="12"/>
    </row>
    <row r="19443" spans="1:1" x14ac:dyDescent="0.3">
      <c r="A19443" s="12"/>
    </row>
    <row r="19444" spans="1:1" x14ac:dyDescent="0.3">
      <c r="A19444" s="12"/>
    </row>
    <row r="19445" spans="1:1" x14ac:dyDescent="0.3">
      <c r="A19445" s="12"/>
    </row>
    <row r="19446" spans="1:1" x14ac:dyDescent="0.3">
      <c r="A19446" s="12"/>
    </row>
    <row r="19447" spans="1:1" x14ac:dyDescent="0.3">
      <c r="A19447" s="12"/>
    </row>
    <row r="19448" spans="1:1" x14ac:dyDescent="0.3">
      <c r="A19448" s="12"/>
    </row>
    <row r="19449" spans="1:1" x14ac:dyDescent="0.3">
      <c r="A19449" s="12"/>
    </row>
    <row r="19450" spans="1:1" x14ac:dyDescent="0.3">
      <c r="A19450" s="12"/>
    </row>
    <row r="19451" spans="1:1" x14ac:dyDescent="0.3">
      <c r="A19451" s="12"/>
    </row>
    <row r="19452" spans="1:1" x14ac:dyDescent="0.3">
      <c r="A19452" s="12"/>
    </row>
    <row r="19453" spans="1:1" x14ac:dyDescent="0.3">
      <c r="A19453" s="12"/>
    </row>
    <row r="19454" spans="1:1" x14ac:dyDescent="0.3">
      <c r="A19454" s="12"/>
    </row>
    <row r="19455" spans="1:1" x14ac:dyDescent="0.3">
      <c r="A19455" s="12"/>
    </row>
    <row r="19456" spans="1:1" x14ac:dyDescent="0.3">
      <c r="A19456" s="12"/>
    </row>
    <row r="19457" spans="1:1" x14ac:dyDescent="0.3">
      <c r="A19457" s="12"/>
    </row>
    <row r="19458" spans="1:1" x14ac:dyDescent="0.3">
      <c r="A19458" s="12"/>
    </row>
    <row r="19459" spans="1:1" x14ac:dyDescent="0.3">
      <c r="A19459" s="12"/>
    </row>
    <row r="19460" spans="1:1" x14ac:dyDescent="0.3">
      <c r="A19460" s="12"/>
    </row>
    <row r="19461" spans="1:1" x14ac:dyDescent="0.3">
      <c r="A19461" s="12"/>
    </row>
    <row r="19462" spans="1:1" x14ac:dyDescent="0.3">
      <c r="A19462" s="12"/>
    </row>
    <row r="19463" spans="1:1" x14ac:dyDescent="0.3">
      <c r="A19463" s="12"/>
    </row>
    <row r="19464" spans="1:1" x14ac:dyDescent="0.3">
      <c r="A19464" s="12"/>
    </row>
    <row r="19465" spans="1:1" x14ac:dyDescent="0.3">
      <c r="A19465" s="12"/>
    </row>
    <row r="19466" spans="1:1" x14ac:dyDescent="0.3">
      <c r="A19466" s="12"/>
    </row>
    <row r="19467" spans="1:1" x14ac:dyDescent="0.3">
      <c r="A19467" s="12"/>
    </row>
    <row r="19468" spans="1:1" x14ac:dyDescent="0.3">
      <c r="A19468" s="12"/>
    </row>
    <row r="19469" spans="1:1" x14ac:dyDescent="0.3">
      <c r="A19469" s="12"/>
    </row>
    <row r="19470" spans="1:1" x14ac:dyDescent="0.3">
      <c r="A19470" s="12"/>
    </row>
    <row r="19471" spans="1:1" x14ac:dyDescent="0.3">
      <c r="A19471" s="12"/>
    </row>
    <row r="19472" spans="1:1" x14ac:dyDescent="0.3">
      <c r="A19472" s="12"/>
    </row>
    <row r="19473" spans="1:1" x14ac:dyDescent="0.3">
      <c r="A19473" s="12"/>
    </row>
    <row r="19474" spans="1:1" x14ac:dyDescent="0.3">
      <c r="A19474" s="12"/>
    </row>
    <row r="19475" spans="1:1" x14ac:dyDescent="0.3">
      <c r="A19475" s="12"/>
    </row>
    <row r="19476" spans="1:1" x14ac:dyDescent="0.3">
      <c r="A19476" s="12"/>
    </row>
    <row r="19477" spans="1:1" x14ac:dyDescent="0.3">
      <c r="A19477" s="12"/>
    </row>
    <row r="19478" spans="1:1" x14ac:dyDescent="0.3">
      <c r="A19478" s="12"/>
    </row>
    <row r="19479" spans="1:1" x14ac:dyDescent="0.3">
      <c r="A19479" s="12"/>
    </row>
    <row r="19480" spans="1:1" x14ac:dyDescent="0.3">
      <c r="A19480" s="12"/>
    </row>
    <row r="19481" spans="1:1" x14ac:dyDescent="0.3">
      <c r="A19481" s="12"/>
    </row>
    <row r="19482" spans="1:1" x14ac:dyDescent="0.3">
      <c r="A19482" s="12"/>
    </row>
    <row r="19483" spans="1:1" x14ac:dyDescent="0.3">
      <c r="A19483" s="12"/>
    </row>
    <row r="19484" spans="1:1" x14ac:dyDescent="0.3">
      <c r="A19484" s="12"/>
    </row>
    <row r="19485" spans="1:1" x14ac:dyDescent="0.3">
      <c r="A19485" s="12"/>
    </row>
    <row r="19486" spans="1:1" x14ac:dyDescent="0.3">
      <c r="A19486" s="12"/>
    </row>
    <row r="19487" spans="1:1" x14ac:dyDescent="0.3">
      <c r="A19487" s="12"/>
    </row>
    <row r="19488" spans="1:1" x14ac:dyDescent="0.3">
      <c r="A19488" s="12"/>
    </row>
    <row r="19489" spans="1:1" x14ac:dyDescent="0.3">
      <c r="A19489" s="12"/>
    </row>
    <row r="19490" spans="1:1" x14ac:dyDescent="0.3">
      <c r="A19490" s="12"/>
    </row>
    <row r="19491" spans="1:1" x14ac:dyDescent="0.3">
      <c r="A19491" s="12"/>
    </row>
    <row r="19492" spans="1:1" x14ac:dyDescent="0.3">
      <c r="A19492" s="12"/>
    </row>
    <row r="19493" spans="1:1" x14ac:dyDescent="0.3">
      <c r="A19493" s="12"/>
    </row>
    <row r="19494" spans="1:1" x14ac:dyDescent="0.3">
      <c r="A19494" s="12"/>
    </row>
    <row r="19495" spans="1:1" x14ac:dyDescent="0.3">
      <c r="A19495" s="12"/>
    </row>
    <row r="19496" spans="1:1" x14ac:dyDescent="0.3">
      <c r="A19496" s="12"/>
    </row>
    <row r="19497" spans="1:1" x14ac:dyDescent="0.3">
      <c r="A19497" s="12"/>
    </row>
    <row r="19498" spans="1:1" x14ac:dyDescent="0.3">
      <c r="A19498" s="12"/>
    </row>
    <row r="19499" spans="1:1" x14ac:dyDescent="0.3">
      <c r="A19499" s="12"/>
    </row>
    <row r="19500" spans="1:1" x14ac:dyDescent="0.3">
      <c r="A19500" s="12"/>
    </row>
    <row r="19501" spans="1:1" x14ac:dyDescent="0.3">
      <c r="A19501" s="12"/>
    </row>
    <row r="19502" spans="1:1" x14ac:dyDescent="0.3">
      <c r="A19502" s="12"/>
    </row>
    <row r="19503" spans="1:1" x14ac:dyDescent="0.3">
      <c r="A19503" s="12"/>
    </row>
    <row r="19504" spans="1:1" x14ac:dyDescent="0.3">
      <c r="A19504" s="12"/>
    </row>
    <row r="19505" spans="1:1" x14ac:dyDescent="0.3">
      <c r="A19505" s="12"/>
    </row>
    <row r="19506" spans="1:1" x14ac:dyDescent="0.3">
      <c r="A19506" s="12"/>
    </row>
    <row r="19507" spans="1:1" x14ac:dyDescent="0.3">
      <c r="A19507" s="12"/>
    </row>
    <row r="19508" spans="1:1" x14ac:dyDescent="0.3">
      <c r="A19508" s="12"/>
    </row>
    <row r="19509" spans="1:1" x14ac:dyDescent="0.3">
      <c r="A19509" s="12"/>
    </row>
    <row r="19510" spans="1:1" x14ac:dyDescent="0.3">
      <c r="A19510" s="12"/>
    </row>
    <row r="19511" spans="1:1" x14ac:dyDescent="0.3">
      <c r="A19511" s="12"/>
    </row>
    <row r="19512" spans="1:1" x14ac:dyDescent="0.3">
      <c r="A19512" s="12"/>
    </row>
    <row r="19513" spans="1:1" x14ac:dyDescent="0.3">
      <c r="A19513" s="12"/>
    </row>
    <row r="19514" spans="1:1" x14ac:dyDescent="0.3">
      <c r="A19514" s="12"/>
    </row>
    <row r="19515" spans="1:1" x14ac:dyDescent="0.3">
      <c r="A19515" s="12"/>
    </row>
    <row r="19516" spans="1:1" x14ac:dyDescent="0.3">
      <c r="A19516" s="12"/>
    </row>
    <row r="19517" spans="1:1" x14ac:dyDescent="0.3">
      <c r="A19517" s="12"/>
    </row>
    <row r="19518" spans="1:1" x14ac:dyDescent="0.3">
      <c r="A19518" s="12"/>
    </row>
    <row r="19519" spans="1:1" x14ac:dyDescent="0.3">
      <c r="A19519" s="12"/>
    </row>
    <row r="19520" spans="1:1" x14ac:dyDescent="0.3">
      <c r="A19520" s="12"/>
    </row>
    <row r="19521" spans="1:1" x14ac:dyDescent="0.3">
      <c r="A19521" s="12"/>
    </row>
    <row r="19522" spans="1:1" x14ac:dyDescent="0.3">
      <c r="A19522" s="12"/>
    </row>
    <row r="19523" spans="1:1" x14ac:dyDescent="0.3">
      <c r="A19523" s="12"/>
    </row>
    <row r="19524" spans="1:1" x14ac:dyDescent="0.3">
      <c r="A19524" s="12"/>
    </row>
    <row r="19525" spans="1:1" x14ac:dyDescent="0.3">
      <c r="A19525" s="12"/>
    </row>
    <row r="19526" spans="1:1" x14ac:dyDescent="0.3">
      <c r="A19526" s="12"/>
    </row>
    <row r="19527" spans="1:1" x14ac:dyDescent="0.3">
      <c r="A19527" s="12"/>
    </row>
    <row r="19528" spans="1:1" x14ac:dyDescent="0.3">
      <c r="A19528" s="12"/>
    </row>
    <row r="19529" spans="1:1" x14ac:dyDescent="0.3">
      <c r="A19529" s="12"/>
    </row>
    <row r="19530" spans="1:1" x14ac:dyDescent="0.3">
      <c r="A19530" s="12"/>
    </row>
    <row r="19531" spans="1:1" x14ac:dyDescent="0.3">
      <c r="A19531" s="12"/>
    </row>
    <row r="19532" spans="1:1" x14ac:dyDescent="0.3">
      <c r="A19532" s="12"/>
    </row>
    <row r="19533" spans="1:1" x14ac:dyDescent="0.3">
      <c r="A19533" s="12"/>
    </row>
    <row r="19534" spans="1:1" x14ac:dyDescent="0.3">
      <c r="A19534" s="12"/>
    </row>
    <row r="19535" spans="1:1" x14ac:dyDescent="0.3">
      <c r="A19535" s="12"/>
    </row>
    <row r="19536" spans="1:1" x14ac:dyDescent="0.3">
      <c r="A19536" s="12"/>
    </row>
    <row r="19537" spans="1:1" x14ac:dyDescent="0.3">
      <c r="A19537" s="12"/>
    </row>
    <row r="19538" spans="1:1" x14ac:dyDescent="0.3">
      <c r="A19538" s="12"/>
    </row>
    <row r="19539" spans="1:1" x14ac:dyDescent="0.3">
      <c r="A19539" s="12"/>
    </row>
    <row r="19540" spans="1:1" x14ac:dyDescent="0.3">
      <c r="A19540" s="12"/>
    </row>
    <row r="19541" spans="1:1" x14ac:dyDescent="0.3">
      <c r="A19541" s="12"/>
    </row>
    <row r="19542" spans="1:1" x14ac:dyDescent="0.3">
      <c r="A19542" s="12"/>
    </row>
    <row r="19543" spans="1:1" x14ac:dyDescent="0.3">
      <c r="A19543" s="12"/>
    </row>
    <row r="19544" spans="1:1" x14ac:dyDescent="0.3">
      <c r="A19544" s="12"/>
    </row>
    <row r="19545" spans="1:1" x14ac:dyDescent="0.3">
      <c r="A19545" s="12"/>
    </row>
    <row r="19546" spans="1:1" x14ac:dyDescent="0.3">
      <c r="A19546" s="12"/>
    </row>
    <row r="19547" spans="1:1" x14ac:dyDescent="0.3">
      <c r="A19547" s="12"/>
    </row>
    <row r="19548" spans="1:1" x14ac:dyDescent="0.3">
      <c r="A19548" s="12"/>
    </row>
    <row r="19549" spans="1:1" x14ac:dyDescent="0.3">
      <c r="A19549" s="12"/>
    </row>
    <row r="19550" spans="1:1" x14ac:dyDescent="0.3">
      <c r="A19550" s="12"/>
    </row>
    <row r="19551" spans="1:1" x14ac:dyDescent="0.3">
      <c r="A19551" s="12"/>
    </row>
    <row r="19552" spans="1:1" x14ac:dyDescent="0.3">
      <c r="A19552" s="12"/>
    </row>
    <row r="19553" spans="1:1" x14ac:dyDescent="0.3">
      <c r="A19553" s="12"/>
    </row>
    <row r="19554" spans="1:1" x14ac:dyDescent="0.3">
      <c r="A19554" s="12"/>
    </row>
    <row r="19555" spans="1:1" x14ac:dyDescent="0.3">
      <c r="A19555" s="12"/>
    </row>
    <row r="19556" spans="1:1" x14ac:dyDescent="0.3">
      <c r="A19556" s="12"/>
    </row>
    <row r="19557" spans="1:1" x14ac:dyDescent="0.3">
      <c r="A19557" s="12"/>
    </row>
    <row r="19558" spans="1:1" x14ac:dyDescent="0.3">
      <c r="A19558" s="12"/>
    </row>
    <row r="19559" spans="1:1" x14ac:dyDescent="0.3">
      <c r="A19559" s="12"/>
    </row>
    <row r="19560" spans="1:1" x14ac:dyDescent="0.3">
      <c r="A19560" s="12"/>
    </row>
    <row r="19561" spans="1:1" x14ac:dyDescent="0.3">
      <c r="A19561" s="12"/>
    </row>
    <row r="19562" spans="1:1" x14ac:dyDescent="0.3">
      <c r="A19562" s="12"/>
    </row>
    <row r="19563" spans="1:1" x14ac:dyDescent="0.3">
      <c r="A19563" s="12"/>
    </row>
    <row r="19564" spans="1:1" x14ac:dyDescent="0.3">
      <c r="A19564" s="12"/>
    </row>
    <row r="19565" spans="1:1" x14ac:dyDescent="0.3">
      <c r="A19565" s="12"/>
    </row>
    <row r="19566" spans="1:1" x14ac:dyDescent="0.3">
      <c r="A19566" s="12"/>
    </row>
    <row r="19567" spans="1:1" x14ac:dyDescent="0.3">
      <c r="A19567" s="12"/>
    </row>
    <row r="19568" spans="1:1" x14ac:dyDescent="0.3">
      <c r="A19568" s="12"/>
    </row>
    <row r="19569" spans="1:1" x14ac:dyDescent="0.3">
      <c r="A19569" s="12"/>
    </row>
    <row r="19570" spans="1:1" x14ac:dyDescent="0.3">
      <c r="A19570" s="12"/>
    </row>
    <row r="19571" spans="1:1" x14ac:dyDescent="0.3">
      <c r="A19571" s="12"/>
    </row>
    <row r="19572" spans="1:1" x14ac:dyDescent="0.3">
      <c r="A19572" s="12"/>
    </row>
    <row r="19573" spans="1:1" x14ac:dyDescent="0.3">
      <c r="A19573" s="12"/>
    </row>
    <row r="19574" spans="1:1" x14ac:dyDescent="0.3">
      <c r="A19574" s="12"/>
    </row>
    <row r="19575" spans="1:1" x14ac:dyDescent="0.3">
      <c r="A19575" s="12"/>
    </row>
    <row r="19576" spans="1:1" x14ac:dyDescent="0.3">
      <c r="A19576" s="12"/>
    </row>
    <row r="19577" spans="1:1" x14ac:dyDescent="0.3">
      <c r="A19577" s="12"/>
    </row>
    <row r="19578" spans="1:1" x14ac:dyDescent="0.3">
      <c r="A19578" s="12"/>
    </row>
    <row r="19579" spans="1:1" x14ac:dyDescent="0.3">
      <c r="A19579" s="12"/>
    </row>
    <row r="19580" spans="1:1" x14ac:dyDescent="0.3">
      <c r="A19580" s="12"/>
    </row>
    <row r="19581" spans="1:1" x14ac:dyDescent="0.3">
      <c r="A19581" s="12"/>
    </row>
    <row r="19582" spans="1:1" x14ac:dyDescent="0.3">
      <c r="A19582" s="12"/>
    </row>
    <row r="19583" spans="1:1" x14ac:dyDescent="0.3">
      <c r="A19583" s="12"/>
    </row>
    <row r="19584" spans="1:1" x14ac:dyDescent="0.3">
      <c r="A19584" s="12"/>
    </row>
    <row r="19585" spans="1:1" x14ac:dyDescent="0.3">
      <c r="A19585" s="12"/>
    </row>
    <row r="19586" spans="1:1" x14ac:dyDescent="0.3">
      <c r="A19586" s="12"/>
    </row>
    <row r="19587" spans="1:1" x14ac:dyDescent="0.3">
      <c r="A19587" s="12"/>
    </row>
    <row r="19588" spans="1:1" x14ac:dyDescent="0.3">
      <c r="A19588" s="12"/>
    </row>
    <row r="19589" spans="1:1" x14ac:dyDescent="0.3">
      <c r="A19589" s="12"/>
    </row>
    <row r="19590" spans="1:1" x14ac:dyDescent="0.3">
      <c r="A19590" s="12"/>
    </row>
    <row r="19591" spans="1:1" x14ac:dyDescent="0.3">
      <c r="A19591" s="12"/>
    </row>
    <row r="19592" spans="1:1" x14ac:dyDescent="0.3">
      <c r="A19592" s="12"/>
    </row>
    <row r="19593" spans="1:1" x14ac:dyDescent="0.3">
      <c r="A19593" s="12"/>
    </row>
    <row r="19594" spans="1:1" x14ac:dyDescent="0.3">
      <c r="A19594" s="12"/>
    </row>
    <row r="19595" spans="1:1" x14ac:dyDescent="0.3">
      <c r="A19595" s="12"/>
    </row>
    <row r="19596" spans="1:1" x14ac:dyDescent="0.3">
      <c r="A19596" s="12"/>
    </row>
    <row r="19597" spans="1:1" x14ac:dyDescent="0.3">
      <c r="A19597" s="12"/>
    </row>
    <row r="19598" spans="1:1" x14ac:dyDescent="0.3">
      <c r="A19598" s="12"/>
    </row>
    <row r="19599" spans="1:1" x14ac:dyDescent="0.3">
      <c r="A19599" s="12"/>
    </row>
    <row r="19600" spans="1:1" x14ac:dyDescent="0.3">
      <c r="A19600" s="12"/>
    </row>
    <row r="19601" spans="1:1" x14ac:dyDescent="0.3">
      <c r="A19601" s="12"/>
    </row>
    <row r="19602" spans="1:1" x14ac:dyDescent="0.3">
      <c r="A19602" s="12"/>
    </row>
    <row r="19603" spans="1:1" x14ac:dyDescent="0.3">
      <c r="A19603" s="12"/>
    </row>
    <row r="19604" spans="1:1" x14ac:dyDescent="0.3">
      <c r="A19604" s="12"/>
    </row>
    <row r="19605" spans="1:1" x14ac:dyDescent="0.3">
      <c r="A19605" s="12"/>
    </row>
    <row r="19606" spans="1:1" x14ac:dyDescent="0.3">
      <c r="A19606" s="12"/>
    </row>
    <row r="19607" spans="1:1" x14ac:dyDescent="0.3">
      <c r="A19607" s="12"/>
    </row>
    <row r="19608" spans="1:1" x14ac:dyDescent="0.3">
      <c r="A19608" s="12"/>
    </row>
    <row r="19609" spans="1:1" x14ac:dyDescent="0.3">
      <c r="A19609" s="12"/>
    </row>
    <row r="19610" spans="1:1" x14ac:dyDescent="0.3">
      <c r="A19610" s="12"/>
    </row>
    <row r="19611" spans="1:1" x14ac:dyDescent="0.3">
      <c r="A19611" s="12"/>
    </row>
    <row r="19612" spans="1:1" x14ac:dyDescent="0.3">
      <c r="A19612" s="12"/>
    </row>
    <row r="19613" spans="1:1" x14ac:dyDescent="0.3">
      <c r="A19613" s="12"/>
    </row>
    <row r="19614" spans="1:1" x14ac:dyDescent="0.3">
      <c r="A19614" s="12"/>
    </row>
    <row r="19615" spans="1:1" x14ac:dyDescent="0.3">
      <c r="A19615" s="12"/>
    </row>
    <row r="19616" spans="1:1" x14ac:dyDescent="0.3">
      <c r="A19616" s="12"/>
    </row>
    <row r="19617" spans="1:1" x14ac:dyDescent="0.3">
      <c r="A19617" s="12"/>
    </row>
    <row r="19618" spans="1:1" x14ac:dyDescent="0.3">
      <c r="A19618" s="12"/>
    </row>
    <row r="19619" spans="1:1" x14ac:dyDescent="0.3">
      <c r="A19619" s="12"/>
    </row>
    <row r="19620" spans="1:1" x14ac:dyDescent="0.3">
      <c r="A19620" s="12"/>
    </row>
    <row r="19621" spans="1:1" x14ac:dyDescent="0.3">
      <c r="A19621" s="12"/>
    </row>
    <row r="19622" spans="1:1" x14ac:dyDescent="0.3">
      <c r="A19622" s="12"/>
    </row>
    <row r="19623" spans="1:1" x14ac:dyDescent="0.3">
      <c r="A19623" s="12"/>
    </row>
    <row r="19624" spans="1:1" x14ac:dyDescent="0.3">
      <c r="A19624" s="12"/>
    </row>
    <row r="19625" spans="1:1" x14ac:dyDescent="0.3">
      <c r="A19625" s="12"/>
    </row>
    <row r="19626" spans="1:1" x14ac:dyDescent="0.3">
      <c r="A19626" s="12"/>
    </row>
    <row r="19627" spans="1:1" x14ac:dyDescent="0.3">
      <c r="A19627" s="12"/>
    </row>
    <row r="19628" spans="1:1" x14ac:dyDescent="0.3">
      <c r="A19628" s="12"/>
    </row>
    <row r="19629" spans="1:1" x14ac:dyDescent="0.3">
      <c r="A19629" s="12"/>
    </row>
    <row r="19630" spans="1:1" x14ac:dyDescent="0.3">
      <c r="A19630" s="12"/>
    </row>
    <row r="19631" spans="1:1" x14ac:dyDescent="0.3">
      <c r="A19631" s="12"/>
    </row>
    <row r="19632" spans="1:1" x14ac:dyDescent="0.3">
      <c r="A19632" s="12"/>
    </row>
    <row r="19633" spans="1:1" x14ac:dyDescent="0.3">
      <c r="A19633" s="12"/>
    </row>
    <row r="19634" spans="1:1" x14ac:dyDescent="0.3">
      <c r="A19634" s="12"/>
    </row>
    <row r="19635" spans="1:1" x14ac:dyDescent="0.3">
      <c r="A19635" s="12"/>
    </row>
    <row r="19636" spans="1:1" x14ac:dyDescent="0.3">
      <c r="A19636" s="12"/>
    </row>
    <row r="19637" spans="1:1" x14ac:dyDescent="0.3">
      <c r="A19637" s="12"/>
    </row>
    <row r="19638" spans="1:1" x14ac:dyDescent="0.3">
      <c r="A19638" s="12"/>
    </row>
    <row r="19639" spans="1:1" x14ac:dyDescent="0.3">
      <c r="A19639" s="12"/>
    </row>
    <row r="19640" spans="1:1" x14ac:dyDescent="0.3">
      <c r="A19640" s="12"/>
    </row>
    <row r="19641" spans="1:1" x14ac:dyDescent="0.3">
      <c r="A19641" s="12"/>
    </row>
    <row r="19642" spans="1:1" x14ac:dyDescent="0.3">
      <c r="A19642" s="12"/>
    </row>
    <row r="19643" spans="1:1" x14ac:dyDescent="0.3">
      <c r="A19643" s="12"/>
    </row>
    <row r="19644" spans="1:1" x14ac:dyDescent="0.3">
      <c r="A19644" s="12"/>
    </row>
    <row r="19645" spans="1:1" x14ac:dyDescent="0.3">
      <c r="A19645" s="12"/>
    </row>
    <row r="19646" spans="1:1" x14ac:dyDescent="0.3">
      <c r="A19646" s="12"/>
    </row>
    <row r="19647" spans="1:1" x14ac:dyDescent="0.3">
      <c r="A19647" s="12"/>
    </row>
    <row r="19648" spans="1:1" x14ac:dyDescent="0.3">
      <c r="A19648" s="12"/>
    </row>
    <row r="19649" spans="1:1" x14ac:dyDescent="0.3">
      <c r="A19649" s="12"/>
    </row>
    <row r="19650" spans="1:1" x14ac:dyDescent="0.3">
      <c r="A19650" s="12"/>
    </row>
    <row r="19651" spans="1:1" x14ac:dyDescent="0.3">
      <c r="A19651" s="12"/>
    </row>
    <row r="19652" spans="1:1" x14ac:dyDescent="0.3">
      <c r="A19652" s="12"/>
    </row>
    <row r="19653" spans="1:1" x14ac:dyDescent="0.3">
      <c r="A19653" s="12"/>
    </row>
    <row r="19654" spans="1:1" x14ac:dyDescent="0.3">
      <c r="A19654" s="12"/>
    </row>
    <row r="19655" spans="1:1" x14ac:dyDescent="0.3">
      <c r="A19655" s="12"/>
    </row>
    <row r="19656" spans="1:1" x14ac:dyDescent="0.3">
      <c r="A19656" s="12"/>
    </row>
    <row r="19657" spans="1:1" x14ac:dyDescent="0.3">
      <c r="A19657" s="12"/>
    </row>
    <row r="19658" spans="1:1" x14ac:dyDescent="0.3">
      <c r="A19658" s="12"/>
    </row>
    <row r="19659" spans="1:1" x14ac:dyDescent="0.3">
      <c r="A19659" s="12"/>
    </row>
    <row r="19660" spans="1:1" x14ac:dyDescent="0.3">
      <c r="A19660" s="12"/>
    </row>
    <row r="19661" spans="1:1" x14ac:dyDescent="0.3">
      <c r="A19661" s="12"/>
    </row>
    <row r="19662" spans="1:1" x14ac:dyDescent="0.3">
      <c r="A19662" s="12"/>
    </row>
    <row r="19663" spans="1:1" x14ac:dyDescent="0.3">
      <c r="A19663" s="12"/>
    </row>
    <row r="19664" spans="1:1" x14ac:dyDescent="0.3">
      <c r="A19664" s="12"/>
    </row>
    <row r="19665" spans="1:1" x14ac:dyDescent="0.3">
      <c r="A19665" s="12"/>
    </row>
    <row r="19666" spans="1:1" x14ac:dyDescent="0.3">
      <c r="A19666" s="12"/>
    </row>
    <row r="19667" spans="1:1" x14ac:dyDescent="0.3">
      <c r="A19667" s="12"/>
    </row>
    <row r="19668" spans="1:1" x14ac:dyDescent="0.3">
      <c r="A19668" s="12"/>
    </row>
    <row r="19669" spans="1:1" x14ac:dyDescent="0.3">
      <c r="A19669" s="12"/>
    </row>
    <row r="19670" spans="1:1" x14ac:dyDescent="0.3">
      <c r="A19670" s="12"/>
    </row>
    <row r="19671" spans="1:1" x14ac:dyDescent="0.3">
      <c r="A19671" s="12"/>
    </row>
    <row r="19672" spans="1:1" x14ac:dyDescent="0.3">
      <c r="A19672" s="12"/>
    </row>
    <row r="19673" spans="1:1" x14ac:dyDescent="0.3">
      <c r="A19673" s="12"/>
    </row>
    <row r="19674" spans="1:1" x14ac:dyDescent="0.3">
      <c r="A19674" s="12"/>
    </row>
    <row r="19675" spans="1:1" x14ac:dyDescent="0.3">
      <c r="A19675" s="12"/>
    </row>
    <row r="19676" spans="1:1" x14ac:dyDescent="0.3">
      <c r="A19676" s="12"/>
    </row>
    <row r="19677" spans="1:1" x14ac:dyDescent="0.3">
      <c r="A19677" s="12"/>
    </row>
    <row r="19678" spans="1:1" x14ac:dyDescent="0.3">
      <c r="A19678" s="12"/>
    </row>
    <row r="19679" spans="1:1" x14ac:dyDescent="0.3">
      <c r="A19679" s="12"/>
    </row>
    <row r="19680" spans="1:1" x14ac:dyDescent="0.3">
      <c r="A19680" s="12"/>
    </row>
    <row r="19681" spans="1:1" x14ac:dyDescent="0.3">
      <c r="A19681" s="12"/>
    </row>
    <row r="19682" spans="1:1" x14ac:dyDescent="0.3">
      <c r="A19682" s="12"/>
    </row>
    <row r="19683" spans="1:1" x14ac:dyDescent="0.3">
      <c r="A19683" s="12"/>
    </row>
    <row r="19684" spans="1:1" x14ac:dyDescent="0.3">
      <c r="A19684" s="12"/>
    </row>
    <row r="19685" spans="1:1" x14ac:dyDescent="0.3">
      <c r="A19685" s="12"/>
    </row>
    <row r="19686" spans="1:1" x14ac:dyDescent="0.3">
      <c r="A19686" s="12"/>
    </row>
    <row r="19687" spans="1:1" x14ac:dyDescent="0.3">
      <c r="A19687" s="12"/>
    </row>
    <row r="19688" spans="1:1" x14ac:dyDescent="0.3">
      <c r="A19688" s="12"/>
    </row>
    <row r="19689" spans="1:1" x14ac:dyDescent="0.3">
      <c r="A19689" s="12"/>
    </row>
    <row r="19690" spans="1:1" x14ac:dyDescent="0.3">
      <c r="A19690" s="12"/>
    </row>
    <row r="19691" spans="1:1" x14ac:dyDescent="0.3">
      <c r="A19691" s="12"/>
    </row>
    <row r="19692" spans="1:1" x14ac:dyDescent="0.3">
      <c r="A19692" s="12"/>
    </row>
    <row r="19693" spans="1:1" x14ac:dyDescent="0.3">
      <c r="A19693" s="12"/>
    </row>
    <row r="19694" spans="1:1" x14ac:dyDescent="0.3">
      <c r="A19694" s="12"/>
    </row>
    <row r="19695" spans="1:1" x14ac:dyDescent="0.3">
      <c r="A19695" s="12"/>
    </row>
    <row r="19696" spans="1:1" x14ac:dyDescent="0.3">
      <c r="A19696" s="12"/>
    </row>
    <row r="19697" spans="1:1" x14ac:dyDescent="0.3">
      <c r="A19697" s="12"/>
    </row>
    <row r="19698" spans="1:1" x14ac:dyDescent="0.3">
      <c r="A19698" s="12"/>
    </row>
    <row r="19699" spans="1:1" x14ac:dyDescent="0.3">
      <c r="A19699" s="12"/>
    </row>
    <row r="19700" spans="1:1" x14ac:dyDescent="0.3">
      <c r="A19700" s="12"/>
    </row>
    <row r="19701" spans="1:1" x14ac:dyDescent="0.3">
      <c r="A19701" s="12"/>
    </row>
    <row r="19702" spans="1:1" x14ac:dyDescent="0.3">
      <c r="A19702" s="12"/>
    </row>
    <row r="19703" spans="1:1" x14ac:dyDescent="0.3">
      <c r="A19703" s="12"/>
    </row>
    <row r="19704" spans="1:1" x14ac:dyDescent="0.3">
      <c r="A19704" s="12"/>
    </row>
    <row r="19705" spans="1:1" x14ac:dyDescent="0.3">
      <c r="A19705" s="12"/>
    </row>
    <row r="19706" spans="1:1" x14ac:dyDescent="0.3">
      <c r="A19706" s="12"/>
    </row>
    <row r="19707" spans="1:1" x14ac:dyDescent="0.3">
      <c r="A19707" s="12"/>
    </row>
    <row r="19708" spans="1:1" x14ac:dyDescent="0.3">
      <c r="A19708" s="12"/>
    </row>
    <row r="19709" spans="1:1" x14ac:dyDescent="0.3">
      <c r="A19709" s="12"/>
    </row>
    <row r="19710" spans="1:1" x14ac:dyDescent="0.3">
      <c r="A19710" s="12"/>
    </row>
    <row r="19711" spans="1:1" x14ac:dyDescent="0.3">
      <c r="A19711" s="12"/>
    </row>
    <row r="19712" spans="1:1" x14ac:dyDescent="0.3">
      <c r="A19712" s="12"/>
    </row>
    <row r="19713" spans="1:1" x14ac:dyDescent="0.3">
      <c r="A19713" s="12"/>
    </row>
    <row r="19714" spans="1:1" x14ac:dyDescent="0.3">
      <c r="A19714" s="12"/>
    </row>
    <row r="19715" spans="1:1" x14ac:dyDescent="0.3">
      <c r="A19715" s="12"/>
    </row>
    <row r="19716" spans="1:1" x14ac:dyDescent="0.3">
      <c r="A19716" s="12"/>
    </row>
    <row r="19717" spans="1:1" x14ac:dyDescent="0.3">
      <c r="A19717" s="12"/>
    </row>
    <row r="19718" spans="1:1" x14ac:dyDescent="0.3">
      <c r="A19718" s="12"/>
    </row>
    <row r="19719" spans="1:1" x14ac:dyDescent="0.3">
      <c r="A19719" s="12"/>
    </row>
    <row r="19720" spans="1:1" x14ac:dyDescent="0.3">
      <c r="A19720" s="12"/>
    </row>
    <row r="19721" spans="1:1" x14ac:dyDescent="0.3">
      <c r="A19721" s="12"/>
    </row>
    <row r="19722" spans="1:1" x14ac:dyDescent="0.3">
      <c r="A19722" s="12"/>
    </row>
    <row r="19723" spans="1:1" x14ac:dyDescent="0.3">
      <c r="A19723" s="12"/>
    </row>
    <row r="19724" spans="1:1" x14ac:dyDescent="0.3">
      <c r="A19724" s="12"/>
    </row>
    <row r="19725" spans="1:1" x14ac:dyDescent="0.3">
      <c r="A19725" s="12"/>
    </row>
    <row r="19726" spans="1:1" x14ac:dyDescent="0.3">
      <c r="A19726" s="12"/>
    </row>
    <row r="19727" spans="1:1" x14ac:dyDescent="0.3">
      <c r="A19727" s="12"/>
    </row>
    <row r="19728" spans="1:1" x14ac:dyDescent="0.3">
      <c r="A19728" s="12"/>
    </row>
    <row r="19729" spans="1:1" x14ac:dyDescent="0.3">
      <c r="A19729" s="12"/>
    </row>
    <row r="19730" spans="1:1" x14ac:dyDescent="0.3">
      <c r="A19730" s="12"/>
    </row>
    <row r="19731" spans="1:1" x14ac:dyDescent="0.3">
      <c r="A19731" s="12"/>
    </row>
    <row r="19732" spans="1:1" x14ac:dyDescent="0.3">
      <c r="A19732" s="12"/>
    </row>
    <row r="19733" spans="1:1" x14ac:dyDescent="0.3">
      <c r="A19733" s="12"/>
    </row>
    <row r="19734" spans="1:1" x14ac:dyDescent="0.3">
      <c r="A19734" s="12"/>
    </row>
    <row r="19735" spans="1:1" x14ac:dyDescent="0.3">
      <c r="A19735" s="12"/>
    </row>
    <row r="19736" spans="1:1" x14ac:dyDescent="0.3">
      <c r="A19736" s="12"/>
    </row>
    <row r="19737" spans="1:1" x14ac:dyDescent="0.3">
      <c r="A19737" s="12"/>
    </row>
    <row r="19738" spans="1:1" x14ac:dyDescent="0.3">
      <c r="A19738" s="12"/>
    </row>
    <row r="19739" spans="1:1" x14ac:dyDescent="0.3">
      <c r="A19739" s="12"/>
    </row>
    <row r="19740" spans="1:1" x14ac:dyDescent="0.3">
      <c r="A19740" s="12"/>
    </row>
    <row r="19741" spans="1:1" x14ac:dyDescent="0.3">
      <c r="A19741" s="12"/>
    </row>
    <row r="19742" spans="1:1" x14ac:dyDescent="0.3">
      <c r="A19742" s="12"/>
    </row>
    <row r="19743" spans="1:1" x14ac:dyDescent="0.3">
      <c r="A19743" s="12"/>
    </row>
    <row r="19744" spans="1:1" x14ac:dyDescent="0.3">
      <c r="A19744" s="12"/>
    </row>
    <row r="19745" spans="1:1" x14ac:dyDescent="0.3">
      <c r="A19745" s="12"/>
    </row>
    <row r="19746" spans="1:1" x14ac:dyDescent="0.3">
      <c r="A19746" s="12"/>
    </row>
    <row r="19747" spans="1:1" x14ac:dyDescent="0.3">
      <c r="A19747" s="12"/>
    </row>
    <row r="19748" spans="1:1" x14ac:dyDescent="0.3">
      <c r="A19748" s="12"/>
    </row>
    <row r="19749" spans="1:1" x14ac:dyDescent="0.3">
      <c r="A19749" s="12"/>
    </row>
    <row r="19750" spans="1:1" x14ac:dyDescent="0.3">
      <c r="A19750" s="12"/>
    </row>
    <row r="19751" spans="1:1" x14ac:dyDescent="0.3">
      <c r="A19751" s="12"/>
    </row>
    <row r="19752" spans="1:1" x14ac:dyDescent="0.3">
      <c r="A19752" s="12"/>
    </row>
    <row r="19753" spans="1:1" x14ac:dyDescent="0.3">
      <c r="A19753" s="12"/>
    </row>
    <row r="19754" spans="1:1" x14ac:dyDescent="0.3">
      <c r="A19754" s="12"/>
    </row>
    <row r="19755" spans="1:1" x14ac:dyDescent="0.3">
      <c r="A19755" s="12"/>
    </row>
    <row r="19756" spans="1:1" x14ac:dyDescent="0.3">
      <c r="A19756" s="12"/>
    </row>
    <row r="19757" spans="1:1" x14ac:dyDescent="0.3">
      <c r="A19757" s="12"/>
    </row>
    <row r="19758" spans="1:1" x14ac:dyDescent="0.3">
      <c r="A19758" s="12"/>
    </row>
    <row r="19759" spans="1:1" x14ac:dyDescent="0.3">
      <c r="A19759" s="12"/>
    </row>
    <row r="19760" spans="1:1" x14ac:dyDescent="0.3">
      <c r="A19760" s="12"/>
    </row>
    <row r="19761" spans="1:1" x14ac:dyDescent="0.3">
      <c r="A19761" s="12"/>
    </row>
    <row r="19762" spans="1:1" x14ac:dyDescent="0.3">
      <c r="A19762" s="12"/>
    </row>
    <row r="19763" spans="1:1" x14ac:dyDescent="0.3">
      <c r="A19763" s="12"/>
    </row>
    <row r="19764" spans="1:1" x14ac:dyDescent="0.3">
      <c r="A19764" s="12"/>
    </row>
    <row r="19765" spans="1:1" x14ac:dyDescent="0.3">
      <c r="A19765" s="12"/>
    </row>
    <row r="19766" spans="1:1" x14ac:dyDescent="0.3">
      <c r="A19766" s="12"/>
    </row>
    <row r="19767" spans="1:1" x14ac:dyDescent="0.3">
      <c r="A19767" s="12"/>
    </row>
    <row r="19768" spans="1:1" x14ac:dyDescent="0.3">
      <c r="A19768" s="12"/>
    </row>
    <row r="19769" spans="1:1" x14ac:dyDescent="0.3">
      <c r="A19769" s="12"/>
    </row>
    <row r="19770" spans="1:1" x14ac:dyDescent="0.3">
      <c r="A19770" s="12"/>
    </row>
    <row r="19771" spans="1:1" x14ac:dyDescent="0.3">
      <c r="A19771" s="12"/>
    </row>
    <row r="19772" spans="1:1" x14ac:dyDescent="0.3">
      <c r="A19772" s="12"/>
    </row>
    <row r="19773" spans="1:1" x14ac:dyDescent="0.3">
      <c r="A19773" s="12"/>
    </row>
    <row r="19774" spans="1:1" x14ac:dyDescent="0.3">
      <c r="A19774" s="12"/>
    </row>
    <row r="19775" spans="1:1" x14ac:dyDescent="0.3">
      <c r="A19775" s="12"/>
    </row>
    <row r="19776" spans="1:1" x14ac:dyDescent="0.3">
      <c r="A19776" s="12"/>
    </row>
    <row r="19777" spans="1:1" x14ac:dyDescent="0.3">
      <c r="A19777" s="12"/>
    </row>
    <row r="19778" spans="1:1" x14ac:dyDescent="0.3">
      <c r="A19778" s="12"/>
    </row>
    <row r="19779" spans="1:1" x14ac:dyDescent="0.3">
      <c r="A19779" s="12"/>
    </row>
    <row r="19780" spans="1:1" x14ac:dyDescent="0.3">
      <c r="A19780" s="12"/>
    </row>
    <row r="19781" spans="1:1" x14ac:dyDescent="0.3">
      <c r="A19781" s="12"/>
    </row>
    <row r="19782" spans="1:1" x14ac:dyDescent="0.3">
      <c r="A19782" s="12"/>
    </row>
    <row r="19783" spans="1:1" x14ac:dyDescent="0.3">
      <c r="A19783" s="12"/>
    </row>
    <row r="19784" spans="1:1" x14ac:dyDescent="0.3">
      <c r="A19784" s="12"/>
    </row>
    <row r="19785" spans="1:1" x14ac:dyDescent="0.3">
      <c r="A19785" s="12"/>
    </row>
    <row r="19786" spans="1:1" x14ac:dyDescent="0.3">
      <c r="A19786" s="12"/>
    </row>
    <row r="19787" spans="1:1" x14ac:dyDescent="0.3">
      <c r="A19787" s="12"/>
    </row>
    <row r="19788" spans="1:1" x14ac:dyDescent="0.3">
      <c r="A19788" s="12"/>
    </row>
    <row r="19789" spans="1:1" x14ac:dyDescent="0.3">
      <c r="A19789" s="12"/>
    </row>
    <row r="19790" spans="1:1" x14ac:dyDescent="0.3">
      <c r="A19790" s="12"/>
    </row>
    <row r="19791" spans="1:1" x14ac:dyDescent="0.3">
      <c r="A19791" s="12"/>
    </row>
    <row r="19792" spans="1:1" x14ac:dyDescent="0.3">
      <c r="A19792" s="12"/>
    </row>
    <row r="19793" spans="1:1" x14ac:dyDescent="0.3">
      <c r="A19793" s="12"/>
    </row>
    <row r="19794" spans="1:1" x14ac:dyDescent="0.3">
      <c r="A19794" s="12"/>
    </row>
    <row r="19795" spans="1:1" x14ac:dyDescent="0.3">
      <c r="A19795" s="12"/>
    </row>
    <row r="19796" spans="1:1" x14ac:dyDescent="0.3">
      <c r="A19796" s="12"/>
    </row>
    <row r="19797" spans="1:1" x14ac:dyDescent="0.3">
      <c r="A19797" s="12"/>
    </row>
    <row r="19798" spans="1:1" x14ac:dyDescent="0.3">
      <c r="A19798" s="12"/>
    </row>
    <row r="19799" spans="1:1" x14ac:dyDescent="0.3">
      <c r="A19799" s="12"/>
    </row>
    <row r="19800" spans="1:1" x14ac:dyDescent="0.3">
      <c r="A19800" s="12"/>
    </row>
    <row r="19801" spans="1:1" x14ac:dyDescent="0.3">
      <c r="A19801" s="12"/>
    </row>
    <row r="19802" spans="1:1" x14ac:dyDescent="0.3">
      <c r="A19802" s="12"/>
    </row>
    <row r="19803" spans="1:1" x14ac:dyDescent="0.3">
      <c r="A19803" s="12"/>
    </row>
    <row r="19804" spans="1:1" x14ac:dyDescent="0.3">
      <c r="A19804" s="12"/>
    </row>
    <row r="19805" spans="1:1" x14ac:dyDescent="0.3">
      <c r="A19805" s="12"/>
    </row>
    <row r="19806" spans="1:1" x14ac:dyDescent="0.3">
      <c r="A19806" s="12"/>
    </row>
    <row r="19807" spans="1:1" x14ac:dyDescent="0.3">
      <c r="A19807" s="12"/>
    </row>
    <row r="19808" spans="1:1" x14ac:dyDescent="0.3">
      <c r="A19808" s="12"/>
    </row>
    <row r="19809" spans="1:1" x14ac:dyDescent="0.3">
      <c r="A19809" s="12"/>
    </row>
    <row r="19810" spans="1:1" x14ac:dyDescent="0.3">
      <c r="A19810" s="12"/>
    </row>
    <row r="19811" spans="1:1" x14ac:dyDescent="0.3">
      <c r="A19811" s="12"/>
    </row>
    <row r="19812" spans="1:1" x14ac:dyDescent="0.3">
      <c r="A19812" s="12"/>
    </row>
    <row r="19813" spans="1:1" x14ac:dyDescent="0.3">
      <c r="A19813" s="12"/>
    </row>
    <row r="19814" spans="1:1" x14ac:dyDescent="0.3">
      <c r="A19814" s="12"/>
    </row>
    <row r="19815" spans="1:1" x14ac:dyDescent="0.3">
      <c r="A19815" s="12"/>
    </row>
    <row r="19816" spans="1:1" x14ac:dyDescent="0.3">
      <c r="A19816" s="12"/>
    </row>
    <row r="19817" spans="1:1" x14ac:dyDescent="0.3">
      <c r="A19817" s="12"/>
    </row>
    <row r="19818" spans="1:1" x14ac:dyDescent="0.3">
      <c r="A19818" s="12"/>
    </row>
    <row r="19819" spans="1:1" x14ac:dyDescent="0.3">
      <c r="A19819" s="12"/>
    </row>
    <row r="19820" spans="1:1" x14ac:dyDescent="0.3">
      <c r="A19820" s="12"/>
    </row>
    <row r="19821" spans="1:1" x14ac:dyDescent="0.3">
      <c r="A19821" s="12"/>
    </row>
    <row r="19822" spans="1:1" x14ac:dyDescent="0.3">
      <c r="A19822" s="12"/>
    </row>
    <row r="19823" spans="1:1" x14ac:dyDescent="0.3">
      <c r="A19823" s="12"/>
    </row>
    <row r="19824" spans="1:1" x14ac:dyDescent="0.3">
      <c r="A19824" s="12"/>
    </row>
    <row r="19825" spans="1:1" x14ac:dyDescent="0.3">
      <c r="A19825" s="12"/>
    </row>
    <row r="19826" spans="1:1" x14ac:dyDescent="0.3">
      <c r="A19826" s="12"/>
    </row>
    <row r="19827" spans="1:1" x14ac:dyDescent="0.3">
      <c r="A19827" s="12"/>
    </row>
    <row r="19828" spans="1:1" x14ac:dyDescent="0.3">
      <c r="A19828" s="12"/>
    </row>
    <row r="19829" spans="1:1" x14ac:dyDescent="0.3">
      <c r="A19829" s="12"/>
    </row>
    <row r="19830" spans="1:1" x14ac:dyDescent="0.3">
      <c r="A19830" s="12"/>
    </row>
    <row r="19831" spans="1:1" x14ac:dyDescent="0.3">
      <c r="A19831" s="12"/>
    </row>
    <row r="19832" spans="1:1" x14ac:dyDescent="0.3">
      <c r="A19832" s="12"/>
    </row>
    <row r="19833" spans="1:1" x14ac:dyDescent="0.3">
      <c r="A19833" s="12"/>
    </row>
    <row r="19834" spans="1:1" x14ac:dyDescent="0.3">
      <c r="A19834" s="12"/>
    </row>
    <row r="19835" spans="1:1" x14ac:dyDescent="0.3">
      <c r="A19835" s="12"/>
    </row>
    <row r="19836" spans="1:1" x14ac:dyDescent="0.3">
      <c r="A19836" s="12"/>
    </row>
    <row r="19837" spans="1:1" x14ac:dyDescent="0.3">
      <c r="A19837" s="12"/>
    </row>
    <row r="19838" spans="1:1" x14ac:dyDescent="0.3">
      <c r="A19838" s="12"/>
    </row>
    <row r="19839" spans="1:1" x14ac:dyDescent="0.3">
      <c r="A19839" s="12"/>
    </row>
    <row r="19840" spans="1:1" x14ac:dyDescent="0.3">
      <c r="A19840" s="12"/>
    </row>
    <row r="19841" spans="1:1" x14ac:dyDescent="0.3">
      <c r="A19841" s="12"/>
    </row>
    <row r="19842" spans="1:1" x14ac:dyDescent="0.3">
      <c r="A19842" s="12"/>
    </row>
    <row r="19843" spans="1:1" x14ac:dyDescent="0.3">
      <c r="A19843" s="12"/>
    </row>
    <row r="19844" spans="1:1" x14ac:dyDescent="0.3">
      <c r="A19844" s="12"/>
    </row>
    <row r="19845" spans="1:1" x14ac:dyDescent="0.3">
      <c r="A19845" s="12"/>
    </row>
    <row r="19846" spans="1:1" x14ac:dyDescent="0.3">
      <c r="A19846" s="12"/>
    </row>
    <row r="19847" spans="1:1" x14ac:dyDescent="0.3">
      <c r="A19847" s="12"/>
    </row>
    <row r="19848" spans="1:1" x14ac:dyDescent="0.3">
      <c r="A19848" s="12"/>
    </row>
    <row r="19849" spans="1:1" x14ac:dyDescent="0.3">
      <c r="A19849" s="12"/>
    </row>
    <row r="19850" spans="1:1" x14ac:dyDescent="0.3">
      <c r="A19850" s="12"/>
    </row>
    <row r="19851" spans="1:1" x14ac:dyDescent="0.3">
      <c r="A19851" s="12"/>
    </row>
    <row r="19852" spans="1:1" x14ac:dyDescent="0.3">
      <c r="A19852" s="12"/>
    </row>
    <row r="19853" spans="1:1" x14ac:dyDescent="0.3">
      <c r="A19853" s="12"/>
    </row>
    <row r="19854" spans="1:1" x14ac:dyDescent="0.3">
      <c r="A19854" s="12"/>
    </row>
    <row r="19855" spans="1:1" x14ac:dyDescent="0.3">
      <c r="A19855" s="12"/>
    </row>
    <row r="19856" spans="1:1" x14ac:dyDescent="0.3">
      <c r="A19856" s="12"/>
    </row>
    <row r="19857" spans="1:1" x14ac:dyDescent="0.3">
      <c r="A19857" s="12"/>
    </row>
    <row r="19858" spans="1:1" x14ac:dyDescent="0.3">
      <c r="A19858" s="12"/>
    </row>
    <row r="19859" spans="1:1" x14ac:dyDescent="0.3">
      <c r="A19859" s="12"/>
    </row>
    <row r="19860" spans="1:1" x14ac:dyDescent="0.3">
      <c r="A19860" s="12"/>
    </row>
    <row r="19861" spans="1:1" x14ac:dyDescent="0.3">
      <c r="A19861" s="12"/>
    </row>
    <row r="19862" spans="1:1" x14ac:dyDescent="0.3">
      <c r="A19862" s="12"/>
    </row>
    <row r="19863" spans="1:1" x14ac:dyDescent="0.3">
      <c r="A19863" s="12"/>
    </row>
    <row r="19864" spans="1:1" x14ac:dyDescent="0.3">
      <c r="A19864" s="12"/>
    </row>
    <row r="19865" spans="1:1" x14ac:dyDescent="0.3">
      <c r="A19865" s="12"/>
    </row>
    <row r="19866" spans="1:1" x14ac:dyDescent="0.3">
      <c r="A19866" s="12"/>
    </row>
    <row r="19867" spans="1:1" x14ac:dyDescent="0.3">
      <c r="A19867" s="12"/>
    </row>
    <row r="19868" spans="1:1" x14ac:dyDescent="0.3">
      <c r="A19868" s="12"/>
    </row>
    <row r="19869" spans="1:1" x14ac:dyDescent="0.3">
      <c r="A19869" s="12"/>
    </row>
    <row r="19870" spans="1:1" x14ac:dyDescent="0.3">
      <c r="A19870" s="12"/>
    </row>
    <row r="19871" spans="1:1" x14ac:dyDescent="0.3">
      <c r="A19871" s="12"/>
    </row>
    <row r="19872" spans="1:1" x14ac:dyDescent="0.3">
      <c r="A19872" s="12"/>
    </row>
    <row r="19873" spans="1:1" x14ac:dyDescent="0.3">
      <c r="A19873" s="12"/>
    </row>
    <row r="19874" spans="1:1" x14ac:dyDescent="0.3">
      <c r="A19874" s="12"/>
    </row>
    <row r="19875" spans="1:1" x14ac:dyDescent="0.3">
      <c r="A19875" s="12"/>
    </row>
    <row r="19876" spans="1:1" x14ac:dyDescent="0.3">
      <c r="A19876" s="12"/>
    </row>
    <row r="19877" spans="1:1" x14ac:dyDescent="0.3">
      <c r="A19877" s="12"/>
    </row>
    <row r="19878" spans="1:1" x14ac:dyDescent="0.3">
      <c r="A19878" s="12"/>
    </row>
    <row r="19879" spans="1:1" x14ac:dyDescent="0.3">
      <c r="A19879" s="12"/>
    </row>
    <row r="19880" spans="1:1" x14ac:dyDescent="0.3">
      <c r="A19880" s="12"/>
    </row>
    <row r="19881" spans="1:1" x14ac:dyDescent="0.3">
      <c r="A19881" s="12"/>
    </row>
    <row r="19882" spans="1:1" x14ac:dyDescent="0.3">
      <c r="A19882" s="12"/>
    </row>
    <row r="19883" spans="1:1" x14ac:dyDescent="0.3">
      <c r="A19883" s="12"/>
    </row>
    <row r="19884" spans="1:1" x14ac:dyDescent="0.3">
      <c r="A19884" s="12"/>
    </row>
    <row r="19885" spans="1:1" x14ac:dyDescent="0.3">
      <c r="A19885" s="12"/>
    </row>
    <row r="19886" spans="1:1" x14ac:dyDescent="0.3">
      <c r="A19886" s="12"/>
    </row>
    <row r="19887" spans="1:1" x14ac:dyDescent="0.3">
      <c r="A19887" s="12"/>
    </row>
    <row r="19888" spans="1:1" x14ac:dyDescent="0.3">
      <c r="A19888" s="12"/>
    </row>
    <row r="19889" spans="1:1" x14ac:dyDescent="0.3">
      <c r="A19889" s="12"/>
    </row>
    <row r="19890" spans="1:1" x14ac:dyDescent="0.3">
      <c r="A19890" s="12"/>
    </row>
    <row r="19891" spans="1:1" x14ac:dyDescent="0.3">
      <c r="A19891" s="12"/>
    </row>
    <row r="19892" spans="1:1" x14ac:dyDescent="0.3">
      <c r="A19892" s="12"/>
    </row>
    <row r="19893" spans="1:1" x14ac:dyDescent="0.3">
      <c r="A19893" s="12"/>
    </row>
    <row r="19894" spans="1:1" x14ac:dyDescent="0.3">
      <c r="A19894" s="12"/>
    </row>
    <row r="19895" spans="1:1" x14ac:dyDescent="0.3">
      <c r="A19895" s="12"/>
    </row>
    <row r="19896" spans="1:1" x14ac:dyDescent="0.3">
      <c r="A19896" s="12"/>
    </row>
    <row r="19897" spans="1:1" x14ac:dyDescent="0.3">
      <c r="A19897" s="12"/>
    </row>
    <row r="19898" spans="1:1" x14ac:dyDescent="0.3">
      <c r="A19898" s="12"/>
    </row>
    <row r="19899" spans="1:1" x14ac:dyDescent="0.3">
      <c r="A19899" s="12"/>
    </row>
    <row r="19900" spans="1:1" x14ac:dyDescent="0.3">
      <c r="A19900" s="12"/>
    </row>
    <row r="19901" spans="1:1" x14ac:dyDescent="0.3">
      <c r="A19901" s="12"/>
    </row>
    <row r="19902" spans="1:1" x14ac:dyDescent="0.3">
      <c r="A19902" s="12"/>
    </row>
    <row r="19903" spans="1:1" x14ac:dyDescent="0.3">
      <c r="A19903" s="12"/>
    </row>
    <row r="19904" spans="1:1" x14ac:dyDescent="0.3">
      <c r="A19904" s="12"/>
    </row>
    <row r="19905" spans="1:1" x14ac:dyDescent="0.3">
      <c r="A19905" s="12"/>
    </row>
    <row r="19906" spans="1:1" x14ac:dyDescent="0.3">
      <c r="A19906" s="12"/>
    </row>
    <row r="19907" spans="1:1" x14ac:dyDescent="0.3">
      <c r="A19907" s="12"/>
    </row>
    <row r="19908" spans="1:1" x14ac:dyDescent="0.3">
      <c r="A19908" s="12"/>
    </row>
    <row r="19909" spans="1:1" x14ac:dyDescent="0.3">
      <c r="A19909" s="12"/>
    </row>
    <row r="19910" spans="1:1" x14ac:dyDescent="0.3">
      <c r="A19910" s="12"/>
    </row>
    <row r="19911" spans="1:1" x14ac:dyDescent="0.3">
      <c r="A19911" s="12"/>
    </row>
    <row r="19912" spans="1:1" x14ac:dyDescent="0.3">
      <c r="A19912" s="12"/>
    </row>
    <row r="19913" spans="1:1" x14ac:dyDescent="0.3">
      <c r="A19913" s="12"/>
    </row>
    <row r="19914" spans="1:1" x14ac:dyDescent="0.3">
      <c r="A19914" s="12"/>
    </row>
    <row r="19915" spans="1:1" x14ac:dyDescent="0.3">
      <c r="A19915" s="12"/>
    </row>
    <row r="19916" spans="1:1" x14ac:dyDescent="0.3">
      <c r="A19916" s="12"/>
    </row>
    <row r="19917" spans="1:1" x14ac:dyDescent="0.3">
      <c r="A19917" s="12"/>
    </row>
    <row r="19918" spans="1:1" x14ac:dyDescent="0.3">
      <c r="A19918" s="12"/>
    </row>
    <row r="19919" spans="1:1" x14ac:dyDescent="0.3">
      <c r="A19919" s="12"/>
    </row>
    <row r="19920" spans="1:1" x14ac:dyDescent="0.3">
      <c r="A19920" s="12"/>
    </row>
    <row r="19921" spans="1:1" x14ac:dyDescent="0.3">
      <c r="A19921" s="12"/>
    </row>
    <row r="19922" spans="1:1" x14ac:dyDescent="0.3">
      <c r="A19922" s="12"/>
    </row>
    <row r="19923" spans="1:1" x14ac:dyDescent="0.3">
      <c r="A19923" s="12"/>
    </row>
    <row r="19924" spans="1:1" x14ac:dyDescent="0.3">
      <c r="A19924" s="12"/>
    </row>
    <row r="19925" spans="1:1" x14ac:dyDescent="0.3">
      <c r="A19925" s="12"/>
    </row>
    <row r="19926" spans="1:1" x14ac:dyDescent="0.3">
      <c r="A19926" s="12"/>
    </row>
    <row r="19927" spans="1:1" x14ac:dyDescent="0.3">
      <c r="A19927" s="12"/>
    </row>
    <row r="19928" spans="1:1" x14ac:dyDescent="0.3">
      <c r="A19928" s="12"/>
    </row>
    <row r="19929" spans="1:1" x14ac:dyDescent="0.3">
      <c r="A19929" s="12"/>
    </row>
    <row r="19930" spans="1:1" x14ac:dyDescent="0.3">
      <c r="A19930" s="12"/>
    </row>
    <row r="19931" spans="1:1" x14ac:dyDescent="0.3">
      <c r="A19931" s="12"/>
    </row>
    <row r="19932" spans="1:1" x14ac:dyDescent="0.3">
      <c r="A19932" s="12"/>
    </row>
    <row r="19933" spans="1:1" x14ac:dyDescent="0.3">
      <c r="A19933" s="12"/>
    </row>
    <row r="19934" spans="1:1" x14ac:dyDescent="0.3">
      <c r="A19934" s="12"/>
    </row>
    <row r="19935" spans="1:1" x14ac:dyDescent="0.3">
      <c r="A19935" s="12"/>
    </row>
    <row r="19936" spans="1:1" x14ac:dyDescent="0.3">
      <c r="A19936" s="12"/>
    </row>
    <row r="19937" spans="1:1" x14ac:dyDescent="0.3">
      <c r="A19937" s="12"/>
    </row>
    <row r="19938" spans="1:1" x14ac:dyDescent="0.3">
      <c r="A19938" s="12"/>
    </row>
    <row r="19939" spans="1:1" x14ac:dyDescent="0.3">
      <c r="A19939" s="12"/>
    </row>
    <row r="19940" spans="1:1" x14ac:dyDescent="0.3">
      <c r="A19940" s="12"/>
    </row>
    <row r="19941" spans="1:1" x14ac:dyDescent="0.3">
      <c r="A19941" s="12"/>
    </row>
    <row r="19942" spans="1:1" x14ac:dyDescent="0.3">
      <c r="A19942" s="12"/>
    </row>
    <row r="19943" spans="1:1" x14ac:dyDescent="0.3">
      <c r="A19943" s="12"/>
    </row>
    <row r="19944" spans="1:1" x14ac:dyDescent="0.3">
      <c r="A19944" s="12"/>
    </row>
    <row r="19945" spans="1:1" x14ac:dyDescent="0.3">
      <c r="A19945" s="12"/>
    </row>
    <row r="19946" spans="1:1" x14ac:dyDescent="0.3">
      <c r="A19946" s="12"/>
    </row>
    <row r="19947" spans="1:1" x14ac:dyDescent="0.3">
      <c r="A19947" s="12"/>
    </row>
    <row r="19948" spans="1:1" x14ac:dyDescent="0.3">
      <c r="A19948" s="12"/>
    </row>
    <row r="19949" spans="1:1" x14ac:dyDescent="0.3">
      <c r="A19949" s="12"/>
    </row>
    <row r="19950" spans="1:1" x14ac:dyDescent="0.3">
      <c r="A19950" s="12"/>
    </row>
    <row r="19951" spans="1:1" x14ac:dyDescent="0.3">
      <c r="A19951" s="12"/>
    </row>
    <row r="19952" spans="1:1" x14ac:dyDescent="0.3">
      <c r="A19952" s="12"/>
    </row>
    <row r="19953" spans="1:1" x14ac:dyDescent="0.3">
      <c r="A19953" s="12"/>
    </row>
    <row r="19954" spans="1:1" x14ac:dyDescent="0.3">
      <c r="A19954" s="12"/>
    </row>
    <row r="19955" spans="1:1" x14ac:dyDescent="0.3">
      <c r="A19955" s="12"/>
    </row>
    <row r="19956" spans="1:1" x14ac:dyDescent="0.3">
      <c r="A19956" s="12"/>
    </row>
    <row r="19957" spans="1:1" x14ac:dyDescent="0.3">
      <c r="A19957" s="12"/>
    </row>
    <row r="19958" spans="1:1" x14ac:dyDescent="0.3">
      <c r="A19958" s="12"/>
    </row>
    <row r="19959" spans="1:1" x14ac:dyDescent="0.3">
      <c r="A19959" s="12"/>
    </row>
    <row r="19960" spans="1:1" x14ac:dyDescent="0.3">
      <c r="A19960" s="12"/>
    </row>
    <row r="19961" spans="1:1" x14ac:dyDescent="0.3">
      <c r="A19961" s="12"/>
    </row>
    <row r="19962" spans="1:1" x14ac:dyDescent="0.3">
      <c r="A19962" s="12"/>
    </row>
    <row r="19963" spans="1:1" x14ac:dyDescent="0.3">
      <c r="A19963" s="12"/>
    </row>
    <row r="19964" spans="1:1" x14ac:dyDescent="0.3">
      <c r="A19964" s="12"/>
    </row>
    <row r="19965" spans="1:1" x14ac:dyDescent="0.3">
      <c r="A19965" s="12"/>
    </row>
    <row r="19966" spans="1:1" x14ac:dyDescent="0.3">
      <c r="A19966" s="12"/>
    </row>
    <row r="19967" spans="1:1" x14ac:dyDescent="0.3">
      <c r="A19967" s="12"/>
    </row>
    <row r="19968" spans="1:1" x14ac:dyDescent="0.3">
      <c r="A19968" s="12"/>
    </row>
    <row r="19969" spans="1:1" x14ac:dyDescent="0.3">
      <c r="A19969" s="12"/>
    </row>
    <row r="19970" spans="1:1" x14ac:dyDescent="0.3">
      <c r="A19970" s="12"/>
    </row>
    <row r="19971" spans="1:1" x14ac:dyDescent="0.3">
      <c r="A19971" s="12"/>
    </row>
    <row r="19972" spans="1:1" x14ac:dyDescent="0.3">
      <c r="A19972" s="12"/>
    </row>
    <row r="19973" spans="1:1" x14ac:dyDescent="0.3">
      <c r="A19973" s="12"/>
    </row>
    <row r="19974" spans="1:1" x14ac:dyDescent="0.3">
      <c r="A19974" s="12"/>
    </row>
    <row r="19975" spans="1:1" x14ac:dyDescent="0.3">
      <c r="A19975" s="12"/>
    </row>
    <row r="19976" spans="1:1" x14ac:dyDescent="0.3">
      <c r="A19976" s="12"/>
    </row>
    <row r="19977" spans="1:1" x14ac:dyDescent="0.3">
      <c r="A19977" s="12"/>
    </row>
    <row r="19978" spans="1:1" x14ac:dyDescent="0.3">
      <c r="A19978" s="12"/>
    </row>
    <row r="19979" spans="1:1" x14ac:dyDescent="0.3">
      <c r="A19979" s="12"/>
    </row>
    <row r="19980" spans="1:1" x14ac:dyDescent="0.3">
      <c r="A19980" s="12"/>
    </row>
    <row r="19981" spans="1:1" x14ac:dyDescent="0.3">
      <c r="A19981" s="12"/>
    </row>
    <row r="19982" spans="1:1" x14ac:dyDescent="0.3">
      <c r="A19982" s="12"/>
    </row>
    <row r="19983" spans="1:1" x14ac:dyDescent="0.3">
      <c r="A19983" s="12"/>
    </row>
    <row r="19984" spans="1:1" x14ac:dyDescent="0.3">
      <c r="A19984" s="12"/>
    </row>
    <row r="19985" spans="1:1" x14ac:dyDescent="0.3">
      <c r="A19985" s="12"/>
    </row>
    <row r="19986" spans="1:1" x14ac:dyDescent="0.3">
      <c r="A19986" s="12"/>
    </row>
    <row r="19987" spans="1:1" x14ac:dyDescent="0.3">
      <c r="A19987" s="12"/>
    </row>
    <row r="19988" spans="1:1" x14ac:dyDescent="0.3">
      <c r="A19988" s="12"/>
    </row>
    <row r="19989" spans="1:1" x14ac:dyDescent="0.3">
      <c r="A19989" s="12"/>
    </row>
    <row r="19990" spans="1:1" x14ac:dyDescent="0.3">
      <c r="A19990" s="12"/>
    </row>
    <row r="19991" spans="1:1" x14ac:dyDescent="0.3">
      <c r="A19991" s="12"/>
    </row>
    <row r="19992" spans="1:1" x14ac:dyDescent="0.3">
      <c r="A19992" s="12"/>
    </row>
    <row r="19993" spans="1:1" x14ac:dyDescent="0.3">
      <c r="A19993" s="12"/>
    </row>
    <row r="19994" spans="1:1" x14ac:dyDescent="0.3">
      <c r="A19994" s="12"/>
    </row>
    <row r="19995" spans="1:1" x14ac:dyDescent="0.3">
      <c r="A19995" s="12"/>
    </row>
    <row r="19996" spans="1:1" x14ac:dyDescent="0.3">
      <c r="A19996" s="12"/>
    </row>
    <row r="19997" spans="1:1" x14ac:dyDescent="0.3">
      <c r="A19997" s="12"/>
    </row>
    <row r="19998" spans="1:1" x14ac:dyDescent="0.3">
      <c r="A19998" s="12"/>
    </row>
    <row r="19999" spans="1:1" x14ac:dyDescent="0.3">
      <c r="A19999" s="12"/>
    </row>
    <row r="20000" spans="1:1" x14ac:dyDescent="0.3">
      <c r="A20000" s="12"/>
    </row>
    <row r="20001" spans="1:1" x14ac:dyDescent="0.3">
      <c r="A20001" s="12"/>
    </row>
    <row r="20002" spans="1:1" x14ac:dyDescent="0.3">
      <c r="A20002" s="12"/>
    </row>
    <row r="20003" spans="1:1" x14ac:dyDescent="0.3">
      <c r="A20003" s="12"/>
    </row>
    <row r="20004" spans="1:1" x14ac:dyDescent="0.3">
      <c r="A20004" s="12"/>
    </row>
    <row r="20005" spans="1:1" x14ac:dyDescent="0.3">
      <c r="A20005" s="12"/>
    </row>
    <row r="20006" spans="1:1" x14ac:dyDescent="0.3">
      <c r="A20006" s="12"/>
    </row>
    <row r="20007" spans="1:1" x14ac:dyDescent="0.3">
      <c r="A20007" s="12"/>
    </row>
    <row r="20008" spans="1:1" x14ac:dyDescent="0.3">
      <c r="A20008" s="12"/>
    </row>
    <row r="20009" spans="1:1" x14ac:dyDescent="0.3">
      <c r="A20009" s="12"/>
    </row>
    <row r="20010" spans="1:1" x14ac:dyDescent="0.3">
      <c r="A20010" s="12"/>
    </row>
    <row r="20011" spans="1:1" x14ac:dyDescent="0.3">
      <c r="A20011" s="12"/>
    </row>
    <row r="20012" spans="1:1" x14ac:dyDescent="0.3">
      <c r="A20012" s="12"/>
    </row>
    <row r="20013" spans="1:1" x14ac:dyDescent="0.3">
      <c r="A20013" s="12"/>
    </row>
    <row r="20014" spans="1:1" x14ac:dyDescent="0.3">
      <c r="A20014" s="12"/>
    </row>
    <row r="20015" spans="1:1" x14ac:dyDescent="0.3">
      <c r="A20015" s="12"/>
    </row>
    <row r="20016" spans="1:1" x14ac:dyDescent="0.3">
      <c r="A20016" s="12"/>
    </row>
    <row r="20017" spans="1:1" x14ac:dyDescent="0.3">
      <c r="A20017" s="12"/>
    </row>
    <row r="20018" spans="1:1" x14ac:dyDescent="0.3">
      <c r="A20018" s="12"/>
    </row>
    <row r="20019" spans="1:1" x14ac:dyDescent="0.3">
      <c r="A20019" s="12"/>
    </row>
    <row r="20020" spans="1:1" x14ac:dyDescent="0.3">
      <c r="A20020" s="12"/>
    </row>
    <row r="20021" spans="1:1" x14ac:dyDescent="0.3">
      <c r="A20021" s="12"/>
    </row>
    <row r="20022" spans="1:1" x14ac:dyDescent="0.3">
      <c r="A20022" s="12"/>
    </row>
    <row r="20023" spans="1:1" x14ac:dyDescent="0.3">
      <c r="A20023" s="12"/>
    </row>
    <row r="20024" spans="1:1" x14ac:dyDescent="0.3">
      <c r="A20024" s="12"/>
    </row>
    <row r="20025" spans="1:1" x14ac:dyDescent="0.3">
      <c r="A20025" s="12"/>
    </row>
    <row r="20026" spans="1:1" x14ac:dyDescent="0.3">
      <c r="A20026" s="12"/>
    </row>
    <row r="20027" spans="1:1" x14ac:dyDescent="0.3">
      <c r="A20027" s="12"/>
    </row>
    <row r="20028" spans="1:1" x14ac:dyDescent="0.3">
      <c r="A20028" s="12"/>
    </row>
    <row r="20029" spans="1:1" x14ac:dyDescent="0.3">
      <c r="A20029" s="12"/>
    </row>
    <row r="20030" spans="1:1" x14ac:dyDescent="0.3">
      <c r="A20030" s="12"/>
    </row>
    <row r="20031" spans="1:1" x14ac:dyDescent="0.3">
      <c r="A20031" s="12"/>
    </row>
    <row r="20032" spans="1:1" x14ac:dyDescent="0.3">
      <c r="A20032" s="12"/>
    </row>
    <row r="20033" spans="1:1" x14ac:dyDescent="0.3">
      <c r="A20033" s="12"/>
    </row>
    <row r="20034" spans="1:1" x14ac:dyDescent="0.3">
      <c r="A20034" s="12"/>
    </row>
    <row r="20035" spans="1:1" x14ac:dyDescent="0.3">
      <c r="A20035" s="12"/>
    </row>
    <row r="20036" spans="1:1" x14ac:dyDescent="0.3">
      <c r="A20036" s="12"/>
    </row>
    <row r="20037" spans="1:1" x14ac:dyDescent="0.3">
      <c r="A20037" s="12"/>
    </row>
    <row r="20038" spans="1:1" x14ac:dyDescent="0.3">
      <c r="A20038" s="12"/>
    </row>
    <row r="20039" spans="1:1" x14ac:dyDescent="0.3">
      <c r="A20039" s="12"/>
    </row>
    <row r="20040" spans="1:1" x14ac:dyDescent="0.3">
      <c r="A20040" s="12"/>
    </row>
    <row r="20041" spans="1:1" x14ac:dyDescent="0.3">
      <c r="A20041" s="12"/>
    </row>
    <row r="20042" spans="1:1" x14ac:dyDescent="0.3">
      <c r="A20042" s="12"/>
    </row>
    <row r="20043" spans="1:1" x14ac:dyDescent="0.3">
      <c r="A20043" s="12"/>
    </row>
    <row r="20044" spans="1:1" x14ac:dyDescent="0.3">
      <c r="A20044" s="12"/>
    </row>
    <row r="20045" spans="1:1" x14ac:dyDescent="0.3">
      <c r="A20045" s="12"/>
    </row>
    <row r="20046" spans="1:1" x14ac:dyDescent="0.3">
      <c r="A20046" s="12"/>
    </row>
    <row r="20047" spans="1:1" x14ac:dyDescent="0.3">
      <c r="A20047" s="12"/>
    </row>
    <row r="20048" spans="1:1" x14ac:dyDescent="0.3">
      <c r="A20048" s="12"/>
    </row>
    <row r="20049" spans="1:1" x14ac:dyDescent="0.3">
      <c r="A20049" s="12"/>
    </row>
    <row r="20050" spans="1:1" x14ac:dyDescent="0.3">
      <c r="A20050" s="12"/>
    </row>
    <row r="20051" spans="1:1" x14ac:dyDescent="0.3">
      <c r="A20051" s="12"/>
    </row>
    <row r="20052" spans="1:1" x14ac:dyDescent="0.3">
      <c r="A20052" s="12"/>
    </row>
    <row r="20053" spans="1:1" x14ac:dyDescent="0.3">
      <c r="A20053" s="12"/>
    </row>
    <row r="20054" spans="1:1" x14ac:dyDescent="0.3">
      <c r="A20054" s="12"/>
    </row>
    <row r="20055" spans="1:1" x14ac:dyDescent="0.3">
      <c r="A20055" s="12"/>
    </row>
    <row r="20056" spans="1:1" x14ac:dyDescent="0.3">
      <c r="A20056" s="12"/>
    </row>
    <row r="20057" spans="1:1" x14ac:dyDescent="0.3">
      <c r="A20057" s="12"/>
    </row>
    <row r="20058" spans="1:1" x14ac:dyDescent="0.3">
      <c r="A20058" s="12"/>
    </row>
    <row r="20059" spans="1:1" x14ac:dyDescent="0.3">
      <c r="A20059" s="12"/>
    </row>
    <row r="20060" spans="1:1" x14ac:dyDescent="0.3">
      <c r="A20060" s="12"/>
    </row>
    <row r="20061" spans="1:1" x14ac:dyDescent="0.3">
      <c r="A20061" s="12"/>
    </row>
    <row r="20062" spans="1:1" x14ac:dyDescent="0.3">
      <c r="A20062" s="12"/>
    </row>
    <row r="20063" spans="1:1" x14ac:dyDescent="0.3">
      <c r="A20063" s="12"/>
    </row>
    <row r="20064" spans="1:1" x14ac:dyDescent="0.3">
      <c r="A20064" s="12"/>
    </row>
    <row r="20065" spans="1:1" x14ac:dyDescent="0.3">
      <c r="A20065" s="12"/>
    </row>
    <row r="20066" spans="1:1" x14ac:dyDescent="0.3">
      <c r="A20066" s="12"/>
    </row>
    <row r="20067" spans="1:1" x14ac:dyDescent="0.3">
      <c r="A20067" s="12"/>
    </row>
    <row r="20068" spans="1:1" x14ac:dyDescent="0.3">
      <c r="A20068" s="12"/>
    </row>
    <row r="20069" spans="1:1" x14ac:dyDescent="0.3">
      <c r="A20069" s="12"/>
    </row>
    <row r="20070" spans="1:1" x14ac:dyDescent="0.3">
      <c r="A20070" s="12"/>
    </row>
    <row r="20071" spans="1:1" x14ac:dyDescent="0.3">
      <c r="A20071" s="12"/>
    </row>
    <row r="20072" spans="1:1" x14ac:dyDescent="0.3">
      <c r="A20072" s="12"/>
    </row>
    <row r="20073" spans="1:1" x14ac:dyDescent="0.3">
      <c r="A20073" s="12"/>
    </row>
    <row r="20074" spans="1:1" x14ac:dyDescent="0.3">
      <c r="A20074" s="12"/>
    </row>
    <row r="20075" spans="1:1" x14ac:dyDescent="0.3">
      <c r="A20075" s="12"/>
    </row>
    <row r="20076" spans="1:1" x14ac:dyDescent="0.3">
      <c r="A20076" s="12"/>
    </row>
    <row r="20077" spans="1:1" x14ac:dyDescent="0.3">
      <c r="A20077" s="12"/>
    </row>
    <row r="20078" spans="1:1" x14ac:dyDescent="0.3">
      <c r="A20078" s="12"/>
    </row>
    <row r="20079" spans="1:1" x14ac:dyDescent="0.3">
      <c r="A20079" s="12"/>
    </row>
    <row r="20080" spans="1:1" x14ac:dyDescent="0.3">
      <c r="A20080" s="12"/>
    </row>
    <row r="20081" spans="1:1" x14ac:dyDescent="0.3">
      <c r="A20081" s="12"/>
    </row>
    <row r="20082" spans="1:1" x14ac:dyDescent="0.3">
      <c r="A20082" s="12"/>
    </row>
    <row r="20083" spans="1:1" x14ac:dyDescent="0.3">
      <c r="A20083" s="12"/>
    </row>
    <row r="20084" spans="1:1" x14ac:dyDescent="0.3">
      <c r="A20084" s="12"/>
    </row>
    <row r="20085" spans="1:1" x14ac:dyDescent="0.3">
      <c r="A20085" s="12"/>
    </row>
    <row r="20086" spans="1:1" x14ac:dyDescent="0.3">
      <c r="A20086" s="12"/>
    </row>
    <row r="20087" spans="1:1" x14ac:dyDescent="0.3">
      <c r="A20087" s="12"/>
    </row>
    <row r="20088" spans="1:1" x14ac:dyDescent="0.3">
      <c r="A20088" s="12"/>
    </row>
    <row r="20089" spans="1:1" x14ac:dyDescent="0.3">
      <c r="A20089" s="12"/>
    </row>
    <row r="20090" spans="1:1" x14ac:dyDescent="0.3">
      <c r="A20090" s="12"/>
    </row>
    <row r="20091" spans="1:1" x14ac:dyDescent="0.3">
      <c r="A20091" s="12"/>
    </row>
    <row r="20092" spans="1:1" x14ac:dyDescent="0.3">
      <c r="A20092" s="12"/>
    </row>
    <row r="20093" spans="1:1" x14ac:dyDescent="0.3">
      <c r="A20093" s="12"/>
    </row>
    <row r="20094" spans="1:1" x14ac:dyDescent="0.3">
      <c r="A20094" s="12"/>
    </row>
    <row r="20095" spans="1:1" x14ac:dyDescent="0.3">
      <c r="A20095" s="12"/>
    </row>
    <row r="20096" spans="1:1" x14ac:dyDescent="0.3">
      <c r="A20096" s="12"/>
    </row>
    <row r="20097" spans="1:1" x14ac:dyDescent="0.3">
      <c r="A20097" s="12"/>
    </row>
    <row r="20098" spans="1:1" x14ac:dyDescent="0.3">
      <c r="A20098" s="12"/>
    </row>
    <row r="20099" spans="1:1" x14ac:dyDescent="0.3">
      <c r="A20099" s="12"/>
    </row>
    <row r="20100" spans="1:1" x14ac:dyDescent="0.3">
      <c r="A20100" s="12"/>
    </row>
    <row r="20101" spans="1:1" x14ac:dyDescent="0.3">
      <c r="A20101" s="12"/>
    </row>
    <row r="20102" spans="1:1" x14ac:dyDescent="0.3">
      <c r="A20102" s="12"/>
    </row>
    <row r="20103" spans="1:1" x14ac:dyDescent="0.3">
      <c r="A20103" s="12"/>
    </row>
    <row r="20104" spans="1:1" x14ac:dyDescent="0.3">
      <c r="A20104" s="12"/>
    </row>
    <row r="20105" spans="1:1" x14ac:dyDescent="0.3">
      <c r="A20105" s="12"/>
    </row>
    <row r="20106" spans="1:1" x14ac:dyDescent="0.3">
      <c r="A20106" s="12"/>
    </row>
    <row r="20107" spans="1:1" x14ac:dyDescent="0.3">
      <c r="A20107" s="12"/>
    </row>
    <row r="20108" spans="1:1" x14ac:dyDescent="0.3">
      <c r="A20108" s="12"/>
    </row>
    <row r="20109" spans="1:1" x14ac:dyDescent="0.3">
      <c r="A20109" s="12"/>
    </row>
    <row r="20110" spans="1:1" x14ac:dyDescent="0.3">
      <c r="A20110" s="12"/>
    </row>
    <row r="20111" spans="1:1" x14ac:dyDescent="0.3">
      <c r="A20111" s="12"/>
    </row>
    <row r="20112" spans="1:1" x14ac:dyDescent="0.3">
      <c r="A20112" s="12"/>
    </row>
    <row r="20113" spans="1:1" x14ac:dyDescent="0.3">
      <c r="A20113" s="12"/>
    </row>
    <row r="20114" spans="1:1" x14ac:dyDescent="0.3">
      <c r="A20114" s="12"/>
    </row>
    <row r="20115" spans="1:1" x14ac:dyDescent="0.3">
      <c r="A20115" s="12"/>
    </row>
    <row r="20116" spans="1:1" x14ac:dyDescent="0.3">
      <c r="A20116" s="12"/>
    </row>
    <row r="20117" spans="1:1" x14ac:dyDescent="0.3">
      <c r="A20117" s="12"/>
    </row>
    <row r="20118" spans="1:1" x14ac:dyDescent="0.3">
      <c r="A20118" s="12"/>
    </row>
    <row r="20119" spans="1:1" x14ac:dyDescent="0.3">
      <c r="A20119" s="12"/>
    </row>
    <row r="20120" spans="1:1" x14ac:dyDescent="0.3">
      <c r="A20120" s="12"/>
    </row>
    <row r="20121" spans="1:1" x14ac:dyDescent="0.3">
      <c r="A20121" s="12"/>
    </row>
    <row r="20122" spans="1:1" x14ac:dyDescent="0.3">
      <c r="A20122" s="12"/>
    </row>
    <row r="20123" spans="1:1" x14ac:dyDescent="0.3">
      <c r="A20123" s="12"/>
    </row>
    <row r="20124" spans="1:1" x14ac:dyDescent="0.3">
      <c r="A20124" s="12"/>
    </row>
    <row r="20125" spans="1:1" x14ac:dyDescent="0.3">
      <c r="A20125" s="12"/>
    </row>
    <row r="20126" spans="1:1" x14ac:dyDescent="0.3">
      <c r="A20126" s="12"/>
    </row>
    <row r="20127" spans="1:1" x14ac:dyDescent="0.3">
      <c r="A20127" s="12"/>
    </row>
    <row r="20128" spans="1:1" x14ac:dyDescent="0.3">
      <c r="A20128" s="12"/>
    </row>
    <row r="20129" spans="1:1" x14ac:dyDescent="0.3">
      <c r="A20129" s="12"/>
    </row>
    <row r="20130" spans="1:1" x14ac:dyDescent="0.3">
      <c r="A20130" s="12"/>
    </row>
    <row r="20131" spans="1:1" x14ac:dyDescent="0.3">
      <c r="A20131" s="12"/>
    </row>
    <row r="20132" spans="1:1" x14ac:dyDescent="0.3">
      <c r="A20132" s="12"/>
    </row>
    <row r="20133" spans="1:1" x14ac:dyDescent="0.3">
      <c r="A20133" s="12"/>
    </row>
    <row r="20134" spans="1:1" x14ac:dyDescent="0.3">
      <c r="A20134" s="12"/>
    </row>
    <row r="20135" spans="1:1" x14ac:dyDescent="0.3">
      <c r="A20135" s="12"/>
    </row>
    <row r="20136" spans="1:1" x14ac:dyDescent="0.3">
      <c r="A20136" s="12"/>
    </row>
    <row r="20137" spans="1:1" x14ac:dyDescent="0.3">
      <c r="A20137" s="12"/>
    </row>
    <row r="20138" spans="1:1" x14ac:dyDescent="0.3">
      <c r="A20138" s="12"/>
    </row>
    <row r="20139" spans="1:1" x14ac:dyDescent="0.3">
      <c r="A20139" s="12"/>
    </row>
    <row r="20140" spans="1:1" x14ac:dyDescent="0.3">
      <c r="A20140" s="12"/>
    </row>
    <row r="20141" spans="1:1" x14ac:dyDescent="0.3">
      <c r="A20141" s="12"/>
    </row>
    <row r="20142" spans="1:1" x14ac:dyDescent="0.3">
      <c r="A20142" s="12"/>
    </row>
    <row r="20143" spans="1:1" x14ac:dyDescent="0.3">
      <c r="A20143" s="12"/>
    </row>
    <row r="20144" spans="1:1" x14ac:dyDescent="0.3">
      <c r="A20144" s="12"/>
    </row>
    <row r="20145" spans="1:1" x14ac:dyDescent="0.3">
      <c r="A20145" s="12"/>
    </row>
    <row r="20146" spans="1:1" x14ac:dyDescent="0.3">
      <c r="A20146" s="12"/>
    </row>
    <row r="20147" spans="1:1" x14ac:dyDescent="0.3">
      <c r="A20147" s="12"/>
    </row>
    <row r="20148" spans="1:1" x14ac:dyDescent="0.3">
      <c r="A20148" s="12"/>
    </row>
    <row r="20149" spans="1:1" x14ac:dyDescent="0.3">
      <c r="A20149" s="12"/>
    </row>
    <row r="20150" spans="1:1" x14ac:dyDescent="0.3">
      <c r="A20150" s="12"/>
    </row>
    <row r="20151" spans="1:1" x14ac:dyDescent="0.3">
      <c r="A20151" s="12"/>
    </row>
    <row r="20152" spans="1:1" x14ac:dyDescent="0.3">
      <c r="A20152" s="12"/>
    </row>
    <row r="20153" spans="1:1" x14ac:dyDescent="0.3">
      <c r="A20153" s="12"/>
    </row>
    <row r="20154" spans="1:1" x14ac:dyDescent="0.3">
      <c r="A20154" s="12"/>
    </row>
    <row r="20155" spans="1:1" x14ac:dyDescent="0.3">
      <c r="A20155" s="12"/>
    </row>
    <row r="20156" spans="1:1" x14ac:dyDescent="0.3">
      <c r="A20156" s="12"/>
    </row>
    <row r="20157" spans="1:1" x14ac:dyDescent="0.3">
      <c r="A20157" s="12"/>
    </row>
    <row r="20158" spans="1:1" x14ac:dyDescent="0.3">
      <c r="A20158" s="12"/>
    </row>
    <row r="20159" spans="1:1" x14ac:dyDescent="0.3">
      <c r="A20159" s="12"/>
    </row>
    <row r="20160" spans="1:1" x14ac:dyDescent="0.3">
      <c r="A20160" s="12"/>
    </row>
    <row r="20161" spans="1:1" x14ac:dyDescent="0.3">
      <c r="A20161" s="12"/>
    </row>
    <row r="20162" spans="1:1" x14ac:dyDescent="0.3">
      <c r="A20162" s="12"/>
    </row>
    <row r="20163" spans="1:1" x14ac:dyDescent="0.3">
      <c r="A20163" s="12"/>
    </row>
    <row r="20164" spans="1:1" x14ac:dyDescent="0.3">
      <c r="A20164" s="12"/>
    </row>
    <row r="20165" spans="1:1" x14ac:dyDescent="0.3">
      <c r="A20165" s="12"/>
    </row>
    <row r="20166" spans="1:1" x14ac:dyDescent="0.3">
      <c r="A20166" s="12"/>
    </row>
    <row r="20167" spans="1:1" x14ac:dyDescent="0.3">
      <c r="A20167" s="12"/>
    </row>
    <row r="20168" spans="1:1" x14ac:dyDescent="0.3">
      <c r="A20168" s="12"/>
    </row>
    <row r="20169" spans="1:1" x14ac:dyDescent="0.3">
      <c r="A20169" s="12"/>
    </row>
    <row r="20170" spans="1:1" x14ac:dyDescent="0.3">
      <c r="A20170" s="12"/>
    </row>
    <row r="20171" spans="1:1" x14ac:dyDescent="0.3">
      <c r="A20171" s="12"/>
    </row>
    <row r="20172" spans="1:1" x14ac:dyDescent="0.3">
      <c r="A20172" s="12"/>
    </row>
    <row r="20173" spans="1:1" x14ac:dyDescent="0.3">
      <c r="A20173" s="12"/>
    </row>
    <row r="20174" spans="1:1" x14ac:dyDescent="0.3">
      <c r="A20174" s="12"/>
    </row>
    <row r="20175" spans="1:1" x14ac:dyDescent="0.3">
      <c r="A20175" s="12"/>
    </row>
    <row r="20176" spans="1:1" x14ac:dyDescent="0.3">
      <c r="A20176" s="12"/>
    </row>
    <row r="20177" spans="1:1" x14ac:dyDescent="0.3">
      <c r="A20177" s="12"/>
    </row>
    <row r="20178" spans="1:1" x14ac:dyDescent="0.3">
      <c r="A20178" s="12"/>
    </row>
    <row r="20179" spans="1:1" x14ac:dyDescent="0.3">
      <c r="A20179" s="12"/>
    </row>
    <row r="20180" spans="1:1" x14ac:dyDescent="0.3">
      <c r="A20180" s="12"/>
    </row>
    <row r="20181" spans="1:1" x14ac:dyDescent="0.3">
      <c r="A20181" s="12"/>
    </row>
    <row r="20182" spans="1:1" x14ac:dyDescent="0.3">
      <c r="A20182" s="12"/>
    </row>
    <row r="20183" spans="1:1" x14ac:dyDescent="0.3">
      <c r="A20183" s="12"/>
    </row>
    <row r="20184" spans="1:1" x14ac:dyDescent="0.3">
      <c r="A20184" s="12"/>
    </row>
    <row r="20185" spans="1:1" x14ac:dyDescent="0.3">
      <c r="A20185" s="12"/>
    </row>
    <row r="20186" spans="1:1" x14ac:dyDescent="0.3">
      <c r="A20186" s="12"/>
    </row>
    <row r="20187" spans="1:1" x14ac:dyDescent="0.3">
      <c r="A20187" s="12"/>
    </row>
    <row r="20188" spans="1:1" x14ac:dyDescent="0.3">
      <c r="A20188" s="12"/>
    </row>
    <row r="20189" spans="1:1" x14ac:dyDescent="0.3">
      <c r="A20189" s="12"/>
    </row>
    <row r="20190" spans="1:1" x14ac:dyDescent="0.3">
      <c r="A20190" s="12"/>
    </row>
    <row r="20191" spans="1:1" x14ac:dyDescent="0.3">
      <c r="A20191" s="12"/>
    </row>
    <row r="20192" spans="1:1" x14ac:dyDescent="0.3">
      <c r="A20192" s="12"/>
    </row>
    <row r="20193" spans="1:1" x14ac:dyDescent="0.3">
      <c r="A20193" s="12"/>
    </row>
    <row r="20194" spans="1:1" x14ac:dyDescent="0.3">
      <c r="A20194" s="12"/>
    </row>
    <row r="20195" spans="1:1" x14ac:dyDescent="0.3">
      <c r="A20195" s="12"/>
    </row>
    <row r="20196" spans="1:1" x14ac:dyDescent="0.3">
      <c r="A20196" s="12"/>
    </row>
    <row r="20197" spans="1:1" x14ac:dyDescent="0.3">
      <c r="A20197" s="12"/>
    </row>
    <row r="20198" spans="1:1" x14ac:dyDescent="0.3">
      <c r="A20198" s="12"/>
    </row>
    <row r="20199" spans="1:1" x14ac:dyDescent="0.3">
      <c r="A20199" s="12"/>
    </row>
    <row r="20200" spans="1:1" x14ac:dyDescent="0.3">
      <c r="A20200" s="12"/>
    </row>
    <row r="20201" spans="1:1" x14ac:dyDescent="0.3">
      <c r="A20201" s="12"/>
    </row>
    <row r="20202" spans="1:1" x14ac:dyDescent="0.3">
      <c r="A20202" s="12"/>
    </row>
    <row r="20203" spans="1:1" x14ac:dyDescent="0.3">
      <c r="A20203" s="12"/>
    </row>
    <row r="20204" spans="1:1" x14ac:dyDescent="0.3">
      <c r="A20204" s="12"/>
    </row>
    <row r="20205" spans="1:1" x14ac:dyDescent="0.3">
      <c r="A20205" s="12"/>
    </row>
    <row r="20206" spans="1:1" x14ac:dyDescent="0.3">
      <c r="A20206" s="12"/>
    </row>
    <row r="20207" spans="1:1" x14ac:dyDescent="0.3">
      <c r="A20207" s="12"/>
    </row>
    <row r="20208" spans="1:1" x14ac:dyDescent="0.3">
      <c r="A20208" s="12"/>
    </row>
    <row r="20209" spans="1:1" x14ac:dyDescent="0.3">
      <c r="A20209" s="12"/>
    </row>
    <row r="20210" spans="1:1" x14ac:dyDescent="0.3">
      <c r="A20210" s="12"/>
    </row>
    <row r="20211" spans="1:1" x14ac:dyDescent="0.3">
      <c r="A20211" s="12"/>
    </row>
    <row r="20212" spans="1:1" x14ac:dyDescent="0.3">
      <c r="A20212" s="12"/>
    </row>
    <row r="20213" spans="1:1" x14ac:dyDescent="0.3">
      <c r="A20213" s="12"/>
    </row>
    <row r="20214" spans="1:1" x14ac:dyDescent="0.3">
      <c r="A20214" s="12"/>
    </row>
    <row r="20215" spans="1:1" x14ac:dyDescent="0.3">
      <c r="A20215" s="12"/>
    </row>
    <row r="20216" spans="1:1" x14ac:dyDescent="0.3">
      <c r="A20216" s="12"/>
    </row>
    <row r="20217" spans="1:1" x14ac:dyDescent="0.3">
      <c r="A20217" s="12"/>
    </row>
    <row r="20218" spans="1:1" x14ac:dyDescent="0.3">
      <c r="A20218" s="12"/>
    </row>
    <row r="20219" spans="1:1" x14ac:dyDescent="0.3">
      <c r="A20219" s="12"/>
    </row>
    <row r="20220" spans="1:1" x14ac:dyDescent="0.3">
      <c r="A20220" s="12"/>
    </row>
    <row r="20221" spans="1:1" x14ac:dyDescent="0.3">
      <c r="A20221" s="12"/>
    </row>
    <row r="20222" spans="1:1" x14ac:dyDescent="0.3">
      <c r="A20222" s="12"/>
    </row>
    <row r="20223" spans="1:1" x14ac:dyDescent="0.3">
      <c r="A20223" s="12"/>
    </row>
    <row r="20224" spans="1:1" x14ac:dyDescent="0.3">
      <c r="A20224" s="12"/>
    </row>
    <row r="20225" spans="1:1" x14ac:dyDescent="0.3">
      <c r="A20225" s="12"/>
    </row>
    <row r="20226" spans="1:1" x14ac:dyDescent="0.3">
      <c r="A20226" s="12"/>
    </row>
    <row r="20227" spans="1:1" x14ac:dyDescent="0.3">
      <c r="A20227" s="12"/>
    </row>
    <row r="20228" spans="1:1" x14ac:dyDescent="0.3">
      <c r="A20228" s="12"/>
    </row>
    <row r="20229" spans="1:1" x14ac:dyDescent="0.3">
      <c r="A20229" s="12"/>
    </row>
    <row r="20230" spans="1:1" x14ac:dyDescent="0.3">
      <c r="A20230" s="12"/>
    </row>
    <row r="20231" spans="1:1" x14ac:dyDescent="0.3">
      <c r="A20231" s="12"/>
    </row>
    <row r="20232" spans="1:1" x14ac:dyDescent="0.3">
      <c r="A20232" s="12"/>
    </row>
    <row r="20233" spans="1:1" x14ac:dyDescent="0.3">
      <c r="A20233" s="12"/>
    </row>
    <row r="20234" spans="1:1" x14ac:dyDescent="0.3">
      <c r="A20234" s="12"/>
    </row>
    <row r="20235" spans="1:1" x14ac:dyDescent="0.3">
      <c r="A20235" s="12"/>
    </row>
    <row r="20236" spans="1:1" x14ac:dyDescent="0.3">
      <c r="A20236" s="12"/>
    </row>
    <row r="20237" spans="1:1" x14ac:dyDescent="0.3">
      <c r="A20237" s="12"/>
    </row>
    <row r="20238" spans="1:1" x14ac:dyDescent="0.3">
      <c r="A20238" s="12"/>
    </row>
    <row r="20239" spans="1:1" x14ac:dyDescent="0.3">
      <c r="A20239" s="12"/>
    </row>
    <row r="20240" spans="1:1" x14ac:dyDescent="0.3">
      <c r="A20240" s="12"/>
    </row>
    <row r="20241" spans="1:1" x14ac:dyDescent="0.3">
      <c r="A20241" s="12"/>
    </row>
    <row r="20242" spans="1:1" x14ac:dyDescent="0.3">
      <c r="A20242" s="12"/>
    </row>
    <row r="20243" spans="1:1" x14ac:dyDescent="0.3">
      <c r="A20243" s="12"/>
    </row>
    <row r="20244" spans="1:1" x14ac:dyDescent="0.3">
      <c r="A20244" s="12"/>
    </row>
    <row r="20245" spans="1:1" x14ac:dyDescent="0.3">
      <c r="A20245" s="12"/>
    </row>
    <row r="20246" spans="1:1" x14ac:dyDescent="0.3">
      <c r="A20246" s="12"/>
    </row>
    <row r="20247" spans="1:1" x14ac:dyDescent="0.3">
      <c r="A20247" s="12"/>
    </row>
    <row r="20248" spans="1:1" x14ac:dyDescent="0.3">
      <c r="A20248" s="12"/>
    </row>
    <row r="20249" spans="1:1" x14ac:dyDescent="0.3">
      <c r="A20249" s="12"/>
    </row>
    <row r="20250" spans="1:1" x14ac:dyDescent="0.3">
      <c r="A20250" s="12"/>
    </row>
    <row r="20251" spans="1:1" x14ac:dyDescent="0.3">
      <c r="A20251" s="12"/>
    </row>
    <row r="20252" spans="1:1" x14ac:dyDescent="0.3">
      <c r="A20252" s="12"/>
    </row>
    <row r="20253" spans="1:1" x14ac:dyDescent="0.3">
      <c r="A20253" s="12"/>
    </row>
    <row r="20254" spans="1:1" x14ac:dyDescent="0.3">
      <c r="A20254" s="12"/>
    </row>
    <row r="20255" spans="1:1" x14ac:dyDescent="0.3">
      <c r="A20255" s="12"/>
    </row>
    <row r="20256" spans="1:1" x14ac:dyDescent="0.3">
      <c r="A20256" s="12"/>
    </row>
    <row r="20257" spans="1:1" x14ac:dyDescent="0.3">
      <c r="A20257" s="12"/>
    </row>
    <row r="20258" spans="1:1" x14ac:dyDescent="0.3">
      <c r="A20258" s="12"/>
    </row>
    <row r="20259" spans="1:1" x14ac:dyDescent="0.3">
      <c r="A20259" s="12"/>
    </row>
    <row r="20260" spans="1:1" x14ac:dyDescent="0.3">
      <c r="A20260" s="12"/>
    </row>
    <row r="20261" spans="1:1" x14ac:dyDescent="0.3">
      <c r="A20261" s="12"/>
    </row>
    <row r="20262" spans="1:1" x14ac:dyDescent="0.3">
      <c r="A20262" s="12"/>
    </row>
    <row r="20263" spans="1:1" x14ac:dyDescent="0.3">
      <c r="A20263" s="12"/>
    </row>
    <row r="20264" spans="1:1" x14ac:dyDescent="0.3">
      <c r="A20264" s="12"/>
    </row>
    <row r="20265" spans="1:1" x14ac:dyDescent="0.3">
      <c r="A20265" s="12"/>
    </row>
    <row r="20266" spans="1:1" x14ac:dyDescent="0.3">
      <c r="A20266" s="12"/>
    </row>
    <row r="20267" spans="1:1" x14ac:dyDescent="0.3">
      <c r="A20267" s="12"/>
    </row>
    <row r="20268" spans="1:1" x14ac:dyDescent="0.3">
      <c r="A20268" s="12"/>
    </row>
    <row r="20269" spans="1:1" x14ac:dyDescent="0.3">
      <c r="A20269" s="12"/>
    </row>
    <row r="20270" spans="1:1" x14ac:dyDescent="0.3">
      <c r="A20270" s="12"/>
    </row>
    <row r="20271" spans="1:1" x14ac:dyDescent="0.3">
      <c r="A20271" s="12"/>
    </row>
    <row r="20272" spans="1:1" x14ac:dyDescent="0.3">
      <c r="A20272" s="12"/>
    </row>
    <row r="20273" spans="1:1" x14ac:dyDescent="0.3">
      <c r="A20273" s="12"/>
    </row>
    <row r="20274" spans="1:1" x14ac:dyDescent="0.3">
      <c r="A20274" s="12"/>
    </row>
    <row r="20275" spans="1:1" x14ac:dyDescent="0.3">
      <c r="A20275" s="12"/>
    </row>
    <row r="20276" spans="1:1" x14ac:dyDescent="0.3">
      <c r="A20276" s="12"/>
    </row>
    <row r="20277" spans="1:1" x14ac:dyDescent="0.3">
      <c r="A20277" s="12"/>
    </row>
    <row r="20278" spans="1:1" x14ac:dyDescent="0.3">
      <c r="A20278" s="12"/>
    </row>
    <row r="20279" spans="1:1" x14ac:dyDescent="0.3">
      <c r="A20279" s="12"/>
    </row>
    <row r="20280" spans="1:1" x14ac:dyDescent="0.3">
      <c r="A20280" s="12"/>
    </row>
    <row r="20281" spans="1:1" x14ac:dyDescent="0.3">
      <c r="A20281" s="12"/>
    </row>
    <row r="20282" spans="1:1" x14ac:dyDescent="0.3">
      <c r="A20282" s="12"/>
    </row>
    <row r="20283" spans="1:1" x14ac:dyDescent="0.3">
      <c r="A20283" s="12"/>
    </row>
    <row r="20284" spans="1:1" x14ac:dyDescent="0.3">
      <c r="A20284" s="12"/>
    </row>
    <row r="20285" spans="1:1" x14ac:dyDescent="0.3">
      <c r="A20285" s="12"/>
    </row>
    <row r="20286" spans="1:1" x14ac:dyDescent="0.3">
      <c r="A20286" s="12"/>
    </row>
    <row r="20287" spans="1:1" x14ac:dyDescent="0.3">
      <c r="A20287" s="12"/>
    </row>
    <row r="20288" spans="1:1" x14ac:dyDescent="0.3">
      <c r="A20288" s="12"/>
    </row>
    <row r="20289" spans="1:1" x14ac:dyDescent="0.3">
      <c r="A20289" s="12"/>
    </row>
    <row r="20290" spans="1:1" x14ac:dyDescent="0.3">
      <c r="A20290" s="12"/>
    </row>
    <row r="20291" spans="1:1" x14ac:dyDescent="0.3">
      <c r="A20291" s="12"/>
    </row>
    <row r="20292" spans="1:1" x14ac:dyDescent="0.3">
      <c r="A20292" s="12"/>
    </row>
    <row r="20293" spans="1:1" x14ac:dyDescent="0.3">
      <c r="A20293" s="12"/>
    </row>
    <row r="20294" spans="1:1" x14ac:dyDescent="0.3">
      <c r="A20294" s="12"/>
    </row>
    <row r="20295" spans="1:1" x14ac:dyDescent="0.3">
      <c r="A20295" s="12"/>
    </row>
    <row r="20296" spans="1:1" x14ac:dyDescent="0.3">
      <c r="A20296" s="12"/>
    </row>
    <row r="20297" spans="1:1" x14ac:dyDescent="0.3">
      <c r="A20297" s="12"/>
    </row>
    <row r="20298" spans="1:1" x14ac:dyDescent="0.3">
      <c r="A20298" s="12"/>
    </row>
    <row r="20299" spans="1:1" x14ac:dyDescent="0.3">
      <c r="A20299" s="12"/>
    </row>
    <row r="20300" spans="1:1" x14ac:dyDescent="0.3">
      <c r="A20300" s="12"/>
    </row>
    <row r="20301" spans="1:1" x14ac:dyDescent="0.3">
      <c r="A20301" s="12"/>
    </row>
    <row r="20302" spans="1:1" x14ac:dyDescent="0.3">
      <c r="A20302" s="12"/>
    </row>
    <row r="20303" spans="1:1" x14ac:dyDescent="0.3">
      <c r="A20303" s="12"/>
    </row>
    <row r="20304" spans="1:1" x14ac:dyDescent="0.3">
      <c r="A20304" s="12"/>
    </row>
    <row r="20305" spans="1:1" x14ac:dyDescent="0.3">
      <c r="A20305" s="12"/>
    </row>
    <row r="20306" spans="1:1" x14ac:dyDescent="0.3">
      <c r="A20306" s="12"/>
    </row>
    <row r="20307" spans="1:1" x14ac:dyDescent="0.3">
      <c r="A20307" s="12"/>
    </row>
    <row r="20308" spans="1:1" x14ac:dyDescent="0.3">
      <c r="A20308" s="12"/>
    </row>
    <row r="20309" spans="1:1" x14ac:dyDescent="0.3">
      <c r="A20309" s="12"/>
    </row>
    <row r="20310" spans="1:1" x14ac:dyDescent="0.3">
      <c r="A20310" s="12"/>
    </row>
    <row r="20311" spans="1:1" x14ac:dyDescent="0.3">
      <c r="A20311" s="12"/>
    </row>
    <row r="20312" spans="1:1" x14ac:dyDescent="0.3">
      <c r="A20312" s="12"/>
    </row>
    <row r="20313" spans="1:1" x14ac:dyDescent="0.3">
      <c r="A20313" s="12"/>
    </row>
    <row r="20314" spans="1:1" x14ac:dyDescent="0.3">
      <c r="A20314" s="12"/>
    </row>
    <row r="20315" spans="1:1" x14ac:dyDescent="0.3">
      <c r="A20315" s="12"/>
    </row>
    <row r="20316" spans="1:1" x14ac:dyDescent="0.3">
      <c r="A20316" s="12"/>
    </row>
    <row r="20317" spans="1:1" x14ac:dyDescent="0.3">
      <c r="A20317" s="12"/>
    </row>
    <row r="20318" spans="1:1" x14ac:dyDescent="0.3">
      <c r="A20318" s="12"/>
    </row>
    <row r="20319" spans="1:1" x14ac:dyDescent="0.3">
      <c r="A20319" s="12"/>
    </row>
    <row r="20320" spans="1:1" x14ac:dyDescent="0.3">
      <c r="A20320" s="12"/>
    </row>
    <row r="20321" spans="1:1" x14ac:dyDescent="0.3">
      <c r="A20321" s="12"/>
    </row>
    <row r="20322" spans="1:1" x14ac:dyDescent="0.3">
      <c r="A20322" s="12"/>
    </row>
    <row r="20323" spans="1:1" x14ac:dyDescent="0.3">
      <c r="A20323" s="12"/>
    </row>
    <row r="20324" spans="1:1" x14ac:dyDescent="0.3">
      <c r="A20324" s="12"/>
    </row>
    <row r="20325" spans="1:1" x14ac:dyDescent="0.3">
      <c r="A20325" s="12"/>
    </row>
    <row r="20326" spans="1:1" x14ac:dyDescent="0.3">
      <c r="A20326" s="12"/>
    </row>
    <row r="20327" spans="1:1" x14ac:dyDescent="0.3">
      <c r="A20327" s="12"/>
    </row>
    <row r="20328" spans="1:1" x14ac:dyDescent="0.3">
      <c r="A20328" s="12"/>
    </row>
    <row r="20329" spans="1:1" x14ac:dyDescent="0.3">
      <c r="A20329" s="12"/>
    </row>
    <row r="20330" spans="1:1" x14ac:dyDescent="0.3">
      <c r="A20330" s="12"/>
    </row>
    <row r="20331" spans="1:1" x14ac:dyDescent="0.3">
      <c r="A20331" s="12"/>
    </row>
    <row r="20332" spans="1:1" x14ac:dyDescent="0.3">
      <c r="A20332" s="12"/>
    </row>
    <row r="20333" spans="1:1" x14ac:dyDescent="0.3">
      <c r="A20333" s="12"/>
    </row>
    <row r="20334" spans="1:1" x14ac:dyDescent="0.3">
      <c r="A20334" s="12"/>
    </row>
    <row r="20335" spans="1:1" x14ac:dyDescent="0.3">
      <c r="A20335" s="12"/>
    </row>
    <row r="20336" spans="1:1" x14ac:dyDescent="0.3">
      <c r="A20336" s="12"/>
    </row>
    <row r="20337" spans="1:1" x14ac:dyDescent="0.3">
      <c r="A20337" s="12"/>
    </row>
    <row r="20338" spans="1:1" x14ac:dyDescent="0.3">
      <c r="A20338" s="12"/>
    </row>
    <row r="20339" spans="1:1" x14ac:dyDescent="0.3">
      <c r="A20339" s="12"/>
    </row>
    <row r="20340" spans="1:1" x14ac:dyDescent="0.3">
      <c r="A20340" s="12"/>
    </row>
    <row r="20341" spans="1:1" x14ac:dyDescent="0.3">
      <c r="A20341" s="12"/>
    </row>
    <row r="20342" spans="1:1" x14ac:dyDescent="0.3">
      <c r="A20342" s="12"/>
    </row>
    <row r="20343" spans="1:1" x14ac:dyDescent="0.3">
      <c r="A20343" s="12"/>
    </row>
    <row r="20344" spans="1:1" x14ac:dyDescent="0.3">
      <c r="A20344" s="12"/>
    </row>
    <row r="20345" spans="1:1" x14ac:dyDescent="0.3">
      <c r="A20345" s="12"/>
    </row>
    <row r="20346" spans="1:1" x14ac:dyDescent="0.3">
      <c r="A20346" s="12"/>
    </row>
    <row r="20347" spans="1:1" x14ac:dyDescent="0.3">
      <c r="A20347" s="12"/>
    </row>
    <row r="20348" spans="1:1" x14ac:dyDescent="0.3">
      <c r="A20348" s="12"/>
    </row>
    <row r="20349" spans="1:1" x14ac:dyDescent="0.3">
      <c r="A20349" s="12"/>
    </row>
    <row r="20350" spans="1:1" x14ac:dyDescent="0.3">
      <c r="A20350" s="12"/>
    </row>
    <row r="20351" spans="1:1" x14ac:dyDescent="0.3">
      <c r="A20351" s="12"/>
    </row>
    <row r="20352" spans="1:1" x14ac:dyDescent="0.3">
      <c r="A20352" s="12"/>
    </row>
    <row r="20353" spans="1:1" x14ac:dyDescent="0.3">
      <c r="A20353" s="12"/>
    </row>
    <row r="20354" spans="1:1" x14ac:dyDescent="0.3">
      <c r="A20354" s="12"/>
    </row>
    <row r="20355" spans="1:1" x14ac:dyDescent="0.3">
      <c r="A20355" s="12"/>
    </row>
    <row r="20356" spans="1:1" x14ac:dyDescent="0.3">
      <c r="A20356" s="12"/>
    </row>
    <row r="20357" spans="1:1" x14ac:dyDescent="0.3">
      <c r="A20357" s="12"/>
    </row>
    <row r="20358" spans="1:1" x14ac:dyDescent="0.3">
      <c r="A20358" s="12"/>
    </row>
    <row r="20359" spans="1:1" x14ac:dyDescent="0.3">
      <c r="A20359" s="12"/>
    </row>
    <row r="20360" spans="1:1" x14ac:dyDescent="0.3">
      <c r="A20360" s="12"/>
    </row>
    <row r="20361" spans="1:1" x14ac:dyDescent="0.3">
      <c r="A20361" s="12"/>
    </row>
    <row r="20362" spans="1:1" x14ac:dyDescent="0.3">
      <c r="A20362" s="12"/>
    </row>
    <row r="20363" spans="1:1" x14ac:dyDescent="0.3">
      <c r="A20363" s="12"/>
    </row>
    <row r="20364" spans="1:1" x14ac:dyDescent="0.3">
      <c r="A20364" s="12"/>
    </row>
    <row r="20365" spans="1:1" x14ac:dyDescent="0.3">
      <c r="A20365" s="12"/>
    </row>
    <row r="20366" spans="1:1" x14ac:dyDescent="0.3">
      <c r="A20366" s="12"/>
    </row>
    <row r="20367" spans="1:1" x14ac:dyDescent="0.3">
      <c r="A20367" s="12"/>
    </row>
    <row r="20368" spans="1:1" x14ac:dyDescent="0.3">
      <c r="A20368" s="12"/>
    </row>
    <row r="20369" spans="1:1" x14ac:dyDescent="0.3">
      <c r="A20369" s="12"/>
    </row>
    <row r="20370" spans="1:1" x14ac:dyDescent="0.3">
      <c r="A20370" s="12"/>
    </row>
    <row r="20371" spans="1:1" x14ac:dyDescent="0.3">
      <c r="A20371" s="12"/>
    </row>
    <row r="20372" spans="1:1" x14ac:dyDescent="0.3">
      <c r="A20372" s="12"/>
    </row>
    <row r="20373" spans="1:1" x14ac:dyDescent="0.3">
      <c r="A20373" s="12"/>
    </row>
    <row r="20374" spans="1:1" x14ac:dyDescent="0.3">
      <c r="A20374" s="12"/>
    </row>
    <row r="20375" spans="1:1" x14ac:dyDescent="0.3">
      <c r="A20375" s="12"/>
    </row>
    <row r="20376" spans="1:1" x14ac:dyDescent="0.3">
      <c r="A20376" s="12"/>
    </row>
    <row r="20377" spans="1:1" x14ac:dyDescent="0.3">
      <c r="A20377" s="12"/>
    </row>
    <row r="20378" spans="1:1" x14ac:dyDescent="0.3">
      <c r="A20378" s="12"/>
    </row>
    <row r="20379" spans="1:1" x14ac:dyDescent="0.3">
      <c r="A20379" s="12"/>
    </row>
    <row r="20380" spans="1:1" x14ac:dyDescent="0.3">
      <c r="A20380" s="12"/>
    </row>
    <row r="20381" spans="1:1" x14ac:dyDescent="0.3">
      <c r="A20381" s="12"/>
    </row>
    <row r="20382" spans="1:1" x14ac:dyDescent="0.3">
      <c r="A20382" s="12"/>
    </row>
    <row r="20383" spans="1:1" x14ac:dyDescent="0.3">
      <c r="A20383" s="12"/>
    </row>
    <row r="20384" spans="1:1" x14ac:dyDescent="0.3">
      <c r="A20384" s="12"/>
    </row>
    <row r="20385" spans="1:1" x14ac:dyDescent="0.3">
      <c r="A20385" s="12"/>
    </row>
    <row r="20386" spans="1:1" x14ac:dyDescent="0.3">
      <c r="A20386" s="12"/>
    </row>
    <row r="20387" spans="1:1" x14ac:dyDescent="0.3">
      <c r="A20387" s="12"/>
    </row>
    <row r="20388" spans="1:1" x14ac:dyDescent="0.3">
      <c r="A20388" s="12"/>
    </row>
    <row r="20389" spans="1:1" x14ac:dyDescent="0.3">
      <c r="A20389" s="12"/>
    </row>
    <row r="20390" spans="1:1" x14ac:dyDescent="0.3">
      <c r="A20390" s="12"/>
    </row>
    <row r="20391" spans="1:1" x14ac:dyDescent="0.3">
      <c r="A20391" s="12"/>
    </row>
    <row r="20392" spans="1:1" x14ac:dyDescent="0.3">
      <c r="A20392" s="12"/>
    </row>
    <row r="20393" spans="1:1" x14ac:dyDescent="0.3">
      <c r="A20393" s="12"/>
    </row>
    <row r="20394" spans="1:1" x14ac:dyDescent="0.3">
      <c r="A20394" s="12"/>
    </row>
    <row r="20395" spans="1:1" x14ac:dyDescent="0.3">
      <c r="A20395" s="12"/>
    </row>
    <row r="20396" spans="1:1" x14ac:dyDescent="0.3">
      <c r="A20396" s="12"/>
    </row>
    <row r="20397" spans="1:1" x14ac:dyDescent="0.3">
      <c r="A20397" s="12"/>
    </row>
    <row r="20398" spans="1:1" x14ac:dyDescent="0.3">
      <c r="A20398" s="12"/>
    </row>
    <row r="20399" spans="1:1" x14ac:dyDescent="0.3">
      <c r="A20399" s="12"/>
    </row>
    <row r="20400" spans="1:1" x14ac:dyDescent="0.3">
      <c r="A20400" s="12"/>
    </row>
    <row r="20401" spans="1:1" x14ac:dyDescent="0.3">
      <c r="A20401" s="12"/>
    </row>
    <row r="20402" spans="1:1" x14ac:dyDescent="0.3">
      <c r="A20402" s="12"/>
    </row>
    <row r="20403" spans="1:1" x14ac:dyDescent="0.3">
      <c r="A20403" s="12"/>
    </row>
    <row r="20404" spans="1:1" x14ac:dyDescent="0.3">
      <c r="A20404" s="12"/>
    </row>
    <row r="20405" spans="1:1" x14ac:dyDescent="0.3">
      <c r="A20405" s="12"/>
    </row>
    <row r="20406" spans="1:1" x14ac:dyDescent="0.3">
      <c r="A20406" s="12"/>
    </row>
    <row r="20407" spans="1:1" x14ac:dyDescent="0.3">
      <c r="A20407" s="12"/>
    </row>
    <row r="20408" spans="1:1" x14ac:dyDescent="0.3">
      <c r="A20408" s="12"/>
    </row>
    <row r="20409" spans="1:1" x14ac:dyDescent="0.3">
      <c r="A20409" s="12"/>
    </row>
    <row r="20410" spans="1:1" x14ac:dyDescent="0.3">
      <c r="A20410" s="12"/>
    </row>
    <row r="20411" spans="1:1" x14ac:dyDescent="0.3">
      <c r="A20411" s="12"/>
    </row>
    <row r="20412" spans="1:1" x14ac:dyDescent="0.3">
      <c r="A20412" s="12"/>
    </row>
    <row r="20413" spans="1:1" x14ac:dyDescent="0.3">
      <c r="A20413" s="12"/>
    </row>
    <row r="20414" spans="1:1" x14ac:dyDescent="0.3">
      <c r="A20414" s="12"/>
    </row>
    <row r="20415" spans="1:1" x14ac:dyDescent="0.3">
      <c r="A20415" s="12"/>
    </row>
    <row r="20416" spans="1:1" x14ac:dyDescent="0.3">
      <c r="A20416" s="12"/>
    </row>
    <row r="20417" spans="1:1" x14ac:dyDescent="0.3">
      <c r="A20417" s="12"/>
    </row>
    <row r="20418" spans="1:1" x14ac:dyDescent="0.3">
      <c r="A20418" s="12"/>
    </row>
    <row r="20419" spans="1:1" x14ac:dyDescent="0.3">
      <c r="A20419" s="12"/>
    </row>
    <row r="20420" spans="1:1" x14ac:dyDescent="0.3">
      <c r="A20420" s="12"/>
    </row>
    <row r="20421" spans="1:1" x14ac:dyDescent="0.3">
      <c r="A20421" s="12"/>
    </row>
    <row r="20422" spans="1:1" x14ac:dyDescent="0.3">
      <c r="A20422" s="12"/>
    </row>
    <row r="20423" spans="1:1" x14ac:dyDescent="0.3">
      <c r="A20423" s="12"/>
    </row>
    <row r="20424" spans="1:1" x14ac:dyDescent="0.3">
      <c r="A20424" s="12"/>
    </row>
    <row r="20425" spans="1:1" x14ac:dyDescent="0.3">
      <c r="A20425" s="12"/>
    </row>
    <row r="20426" spans="1:1" x14ac:dyDescent="0.3">
      <c r="A20426" s="12"/>
    </row>
    <row r="20427" spans="1:1" x14ac:dyDescent="0.3">
      <c r="A20427" s="12"/>
    </row>
    <row r="20428" spans="1:1" x14ac:dyDescent="0.3">
      <c r="A20428" s="12"/>
    </row>
    <row r="20429" spans="1:1" x14ac:dyDescent="0.3">
      <c r="A20429" s="12"/>
    </row>
    <row r="20430" spans="1:1" x14ac:dyDescent="0.3">
      <c r="A20430" s="12"/>
    </row>
    <row r="20431" spans="1:1" x14ac:dyDescent="0.3">
      <c r="A20431" s="12"/>
    </row>
    <row r="20432" spans="1:1" x14ac:dyDescent="0.3">
      <c r="A20432" s="12"/>
    </row>
    <row r="20433" spans="1:1" x14ac:dyDescent="0.3">
      <c r="A20433" s="12"/>
    </row>
    <row r="20434" spans="1:1" x14ac:dyDescent="0.3">
      <c r="A20434" s="12"/>
    </row>
    <row r="20435" spans="1:1" x14ac:dyDescent="0.3">
      <c r="A20435" s="12"/>
    </row>
    <row r="20436" spans="1:1" x14ac:dyDescent="0.3">
      <c r="A20436" s="12"/>
    </row>
    <row r="20437" spans="1:1" x14ac:dyDescent="0.3">
      <c r="A20437" s="12"/>
    </row>
    <row r="20438" spans="1:1" x14ac:dyDescent="0.3">
      <c r="A20438" s="12"/>
    </row>
    <row r="20439" spans="1:1" x14ac:dyDescent="0.3">
      <c r="A20439" s="12"/>
    </row>
    <row r="20440" spans="1:1" x14ac:dyDescent="0.3">
      <c r="A20440" s="12"/>
    </row>
    <row r="20441" spans="1:1" x14ac:dyDescent="0.3">
      <c r="A20441" s="12"/>
    </row>
    <row r="20442" spans="1:1" x14ac:dyDescent="0.3">
      <c r="A20442" s="12"/>
    </row>
    <row r="20443" spans="1:1" x14ac:dyDescent="0.3">
      <c r="A20443" s="12"/>
    </row>
    <row r="20444" spans="1:1" x14ac:dyDescent="0.3">
      <c r="A20444" s="12"/>
    </row>
    <row r="20445" spans="1:1" x14ac:dyDescent="0.3">
      <c r="A20445" s="12"/>
    </row>
    <row r="20446" spans="1:1" x14ac:dyDescent="0.3">
      <c r="A20446" s="12"/>
    </row>
    <row r="20447" spans="1:1" x14ac:dyDescent="0.3">
      <c r="A20447" s="12"/>
    </row>
    <row r="20448" spans="1:1" x14ac:dyDescent="0.3">
      <c r="A20448" s="12"/>
    </row>
    <row r="20449" spans="1:1" x14ac:dyDescent="0.3">
      <c r="A20449" s="12"/>
    </row>
    <row r="20450" spans="1:1" x14ac:dyDescent="0.3">
      <c r="A20450" s="12"/>
    </row>
    <row r="20451" spans="1:1" x14ac:dyDescent="0.3">
      <c r="A20451" s="12"/>
    </row>
    <row r="20452" spans="1:1" x14ac:dyDescent="0.3">
      <c r="A20452" s="12"/>
    </row>
    <row r="20453" spans="1:1" x14ac:dyDescent="0.3">
      <c r="A20453" s="12"/>
    </row>
    <row r="20454" spans="1:1" x14ac:dyDescent="0.3">
      <c r="A20454" s="12"/>
    </row>
    <row r="20455" spans="1:1" x14ac:dyDescent="0.3">
      <c r="A20455" s="12"/>
    </row>
    <row r="20456" spans="1:1" x14ac:dyDescent="0.3">
      <c r="A20456" s="12"/>
    </row>
    <row r="20457" spans="1:1" x14ac:dyDescent="0.3">
      <c r="A20457" s="12"/>
    </row>
    <row r="20458" spans="1:1" x14ac:dyDescent="0.3">
      <c r="A20458" s="12"/>
    </row>
    <row r="20459" spans="1:1" x14ac:dyDescent="0.3">
      <c r="A20459" s="12"/>
    </row>
    <row r="20460" spans="1:1" x14ac:dyDescent="0.3">
      <c r="A20460" s="12"/>
    </row>
    <row r="20461" spans="1:1" x14ac:dyDescent="0.3">
      <c r="A20461" s="12"/>
    </row>
    <row r="20462" spans="1:1" x14ac:dyDescent="0.3">
      <c r="A20462" s="12"/>
    </row>
    <row r="20463" spans="1:1" x14ac:dyDescent="0.3">
      <c r="A20463" s="12"/>
    </row>
    <row r="20464" spans="1:1" x14ac:dyDescent="0.3">
      <c r="A20464" s="12"/>
    </row>
    <row r="20465" spans="1:1" x14ac:dyDescent="0.3">
      <c r="A20465" s="12"/>
    </row>
    <row r="20466" spans="1:1" x14ac:dyDescent="0.3">
      <c r="A20466" s="12"/>
    </row>
    <row r="20467" spans="1:1" x14ac:dyDescent="0.3">
      <c r="A20467" s="12"/>
    </row>
    <row r="20468" spans="1:1" x14ac:dyDescent="0.3">
      <c r="A20468" s="12"/>
    </row>
    <row r="20469" spans="1:1" x14ac:dyDescent="0.3">
      <c r="A20469" s="12"/>
    </row>
    <row r="20470" spans="1:1" x14ac:dyDescent="0.3">
      <c r="A20470" s="12"/>
    </row>
    <row r="20471" spans="1:1" x14ac:dyDescent="0.3">
      <c r="A20471" s="12"/>
    </row>
    <row r="20472" spans="1:1" x14ac:dyDescent="0.3">
      <c r="A20472" s="12"/>
    </row>
    <row r="20473" spans="1:1" x14ac:dyDescent="0.3">
      <c r="A20473" s="12"/>
    </row>
    <row r="20474" spans="1:1" x14ac:dyDescent="0.3">
      <c r="A20474" s="12"/>
    </row>
    <row r="20475" spans="1:1" x14ac:dyDescent="0.3">
      <c r="A20475" s="12"/>
    </row>
    <row r="20476" spans="1:1" x14ac:dyDescent="0.3">
      <c r="A20476" s="12"/>
    </row>
    <row r="20477" spans="1:1" x14ac:dyDescent="0.3">
      <c r="A20477" s="12"/>
    </row>
    <row r="20478" spans="1:1" x14ac:dyDescent="0.3">
      <c r="A20478" s="12"/>
    </row>
    <row r="20479" spans="1:1" x14ac:dyDescent="0.3">
      <c r="A20479" s="12"/>
    </row>
    <row r="20480" spans="1:1" x14ac:dyDescent="0.3">
      <c r="A20480" s="12"/>
    </row>
    <row r="20481" spans="1:1" x14ac:dyDescent="0.3">
      <c r="A20481" s="12"/>
    </row>
    <row r="20482" spans="1:1" x14ac:dyDescent="0.3">
      <c r="A20482" s="12"/>
    </row>
    <row r="20483" spans="1:1" x14ac:dyDescent="0.3">
      <c r="A20483" s="12"/>
    </row>
    <row r="20484" spans="1:1" x14ac:dyDescent="0.3">
      <c r="A20484" s="12"/>
    </row>
    <row r="20485" spans="1:1" x14ac:dyDescent="0.3">
      <c r="A20485" s="12"/>
    </row>
    <row r="20486" spans="1:1" x14ac:dyDescent="0.3">
      <c r="A20486" s="12"/>
    </row>
    <row r="20487" spans="1:1" x14ac:dyDescent="0.3">
      <c r="A20487" s="12"/>
    </row>
    <row r="20488" spans="1:1" x14ac:dyDescent="0.3">
      <c r="A20488" s="12"/>
    </row>
    <row r="20489" spans="1:1" x14ac:dyDescent="0.3">
      <c r="A20489" s="12"/>
    </row>
    <row r="20490" spans="1:1" x14ac:dyDescent="0.3">
      <c r="A20490" s="12"/>
    </row>
    <row r="20491" spans="1:1" x14ac:dyDescent="0.3">
      <c r="A20491" s="12"/>
    </row>
    <row r="20492" spans="1:1" x14ac:dyDescent="0.3">
      <c r="A20492" s="12"/>
    </row>
    <row r="20493" spans="1:1" x14ac:dyDescent="0.3">
      <c r="A20493" s="12"/>
    </row>
    <row r="20494" spans="1:1" x14ac:dyDescent="0.3">
      <c r="A20494" s="12"/>
    </row>
    <row r="20495" spans="1:1" x14ac:dyDescent="0.3">
      <c r="A20495" s="12"/>
    </row>
    <row r="20496" spans="1:1" x14ac:dyDescent="0.3">
      <c r="A20496" s="12"/>
    </row>
    <row r="20497" spans="1:1" x14ac:dyDescent="0.3">
      <c r="A20497" s="12"/>
    </row>
    <row r="20498" spans="1:1" x14ac:dyDescent="0.3">
      <c r="A20498" s="12"/>
    </row>
    <row r="20499" spans="1:1" x14ac:dyDescent="0.3">
      <c r="A20499" s="12"/>
    </row>
    <row r="20500" spans="1:1" x14ac:dyDescent="0.3">
      <c r="A20500" s="12"/>
    </row>
    <row r="20501" spans="1:1" x14ac:dyDescent="0.3">
      <c r="A20501" s="12"/>
    </row>
    <row r="20502" spans="1:1" x14ac:dyDescent="0.3">
      <c r="A20502" s="12"/>
    </row>
    <row r="20503" spans="1:1" x14ac:dyDescent="0.3">
      <c r="A20503" s="12"/>
    </row>
    <row r="20504" spans="1:1" x14ac:dyDescent="0.3">
      <c r="A20504" s="12"/>
    </row>
    <row r="20505" spans="1:1" x14ac:dyDescent="0.3">
      <c r="A20505" s="12"/>
    </row>
    <row r="20506" spans="1:1" x14ac:dyDescent="0.3">
      <c r="A20506" s="12"/>
    </row>
    <row r="20507" spans="1:1" x14ac:dyDescent="0.3">
      <c r="A20507" s="12"/>
    </row>
    <row r="20508" spans="1:1" x14ac:dyDescent="0.3">
      <c r="A20508" s="12"/>
    </row>
    <row r="20509" spans="1:1" x14ac:dyDescent="0.3">
      <c r="A20509" s="12"/>
    </row>
    <row r="20510" spans="1:1" x14ac:dyDescent="0.3">
      <c r="A20510" s="12"/>
    </row>
    <row r="20511" spans="1:1" x14ac:dyDescent="0.3">
      <c r="A20511" s="12"/>
    </row>
    <row r="20512" spans="1:1" x14ac:dyDescent="0.3">
      <c r="A20512" s="12"/>
    </row>
    <row r="20513" spans="1:1" x14ac:dyDescent="0.3">
      <c r="A20513" s="12"/>
    </row>
    <row r="20514" spans="1:1" x14ac:dyDescent="0.3">
      <c r="A20514" s="12"/>
    </row>
    <row r="20515" spans="1:1" x14ac:dyDescent="0.3">
      <c r="A20515" s="12"/>
    </row>
    <row r="20516" spans="1:1" x14ac:dyDescent="0.3">
      <c r="A20516" s="12"/>
    </row>
    <row r="20517" spans="1:1" x14ac:dyDescent="0.3">
      <c r="A20517" s="12"/>
    </row>
    <row r="20518" spans="1:1" x14ac:dyDescent="0.3">
      <c r="A20518" s="12"/>
    </row>
    <row r="20519" spans="1:1" x14ac:dyDescent="0.3">
      <c r="A20519" s="12"/>
    </row>
    <row r="20520" spans="1:1" x14ac:dyDescent="0.3">
      <c r="A20520" s="12"/>
    </row>
    <row r="20521" spans="1:1" x14ac:dyDescent="0.3">
      <c r="A20521" s="12"/>
    </row>
    <row r="20522" spans="1:1" x14ac:dyDescent="0.3">
      <c r="A20522" s="12"/>
    </row>
    <row r="20523" spans="1:1" x14ac:dyDescent="0.3">
      <c r="A20523" s="12"/>
    </row>
    <row r="20524" spans="1:1" x14ac:dyDescent="0.3">
      <c r="A20524" s="12"/>
    </row>
    <row r="20525" spans="1:1" x14ac:dyDescent="0.3">
      <c r="A20525" s="12"/>
    </row>
    <row r="20526" spans="1:1" x14ac:dyDescent="0.3">
      <c r="A20526" s="12"/>
    </row>
    <row r="20527" spans="1:1" x14ac:dyDescent="0.3">
      <c r="A20527" s="12"/>
    </row>
    <row r="20528" spans="1:1" x14ac:dyDescent="0.3">
      <c r="A20528" s="12"/>
    </row>
    <row r="20529" spans="1:1" x14ac:dyDescent="0.3">
      <c r="A20529" s="12"/>
    </row>
    <row r="20530" spans="1:1" x14ac:dyDescent="0.3">
      <c r="A20530" s="12"/>
    </row>
    <row r="20531" spans="1:1" x14ac:dyDescent="0.3">
      <c r="A20531" s="12"/>
    </row>
    <row r="20532" spans="1:1" x14ac:dyDescent="0.3">
      <c r="A20532" s="12"/>
    </row>
    <row r="20533" spans="1:1" x14ac:dyDescent="0.3">
      <c r="A20533" s="12"/>
    </row>
    <row r="20534" spans="1:1" x14ac:dyDescent="0.3">
      <c r="A20534" s="12"/>
    </row>
    <row r="20535" spans="1:1" x14ac:dyDescent="0.3">
      <c r="A20535" s="12"/>
    </row>
    <row r="20536" spans="1:1" x14ac:dyDescent="0.3">
      <c r="A20536" s="12"/>
    </row>
    <row r="20537" spans="1:1" x14ac:dyDescent="0.3">
      <c r="A20537" s="12"/>
    </row>
    <row r="20538" spans="1:1" x14ac:dyDescent="0.3">
      <c r="A20538" s="12"/>
    </row>
    <row r="20539" spans="1:1" x14ac:dyDescent="0.3">
      <c r="A20539" s="12"/>
    </row>
    <row r="20540" spans="1:1" x14ac:dyDescent="0.3">
      <c r="A20540" s="12"/>
    </row>
    <row r="20541" spans="1:1" x14ac:dyDescent="0.3">
      <c r="A20541" s="12"/>
    </row>
    <row r="20542" spans="1:1" x14ac:dyDescent="0.3">
      <c r="A20542" s="12"/>
    </row>
    <row r="20543" spans="1:1" x14ac:dyDescent="0.3">
      <c r="A20543" s="12"/>
    </row>
    <row r="20544" spans="1:1" x14ac:dyDescent="0.3">
      <c r="A20544" s="12"/>
    </row>
    <row r="20545" spans="1:1" x14ac:dyDescent="0.3">
      <c r="A20545" s="12"/>
    </row>
    <row r="20546" spans="1:1" x14ac:dyDescent="0.3">
      <c r="A20546" s="12"/>
    </row>
    <row r="20547" spans="1:1" x14ac:dyDescent="0.3">
      <c r="A20547" s="12"/>
    </row>
    <row r="20548" spans="1:1" x14ac:dyDescent="0.3">
      <c r="A20548" s="12"/>
    </row>
    <row r="20549" spans="1:1" x14ac:dyDescent="0.3">
      <c r="A20549" s="12"/>
    </row>
    <row r="20550" spans="1:1" x14ac:dyDescent="0.3">
      <c r="A20550" s="12"/>
    </row>
    <row r="20551" spans="1:1" x14ac:dyDescent="0.3">
      <c r="A20551" s="12"/>
    </row>
    <row r="20552" spans="1:1" x14ac:dyDescent="0.3">
      <c r="A20552" s="12"/>
    </row>
    <row r="20553" spans="1:1" x14ac:dyDescent="0.3">
      <c r="A20553" s="12"/>
    </row>
    <row r="20554" spans="1:1" x14ac:dyDescent="0.3">
      <c r="A20554" s="12"/>
    </row>
    <row r="20555" spans="1:1" x14ac:dyDescent="0.3">
      <c r="A20555" s="12"/>
    </row>
    <row r="20556" spans="1:1" x14ac:dyDescent="0.3">
      <c r="A20556" s="12"/>
    </row>
    <row r="20557" spans="1:1" x14ac:dyDescent="0.3">
      <c r="A20557" s="12"/>
    </row>
    <row r="20558" spans="1:1" x14ac:dyDescent="0.3">
      <c r="A20558" s="12"/>
    </row>
    <row r="20559" spans="1:1" x14ac:dyDescent="0.3">
      <c r="A20559" s="12"/>
    </row>
    <row r="20560" spans="1:1" x14ac:dyDescent="0.3">
      <c r="A20560" s="12"/>
    </row>
    <row r="20561" spans="1:1" x14ac:dyDescent="0.3">
      <c r="A20561" s="12"/>
    </row>
    <row r="20562" spans="1:1" x14ac:dyDescent="0.3">
      <c r="A20562" s="12"/>
    </row>
    <row r="20563" spans="1:1" x14ac:dyDescent="0.3">
      <c r="A20563" s="12"/>
    </row>
    <row r="20564" spans="1:1" x14ac:dyDescent="0.3">
      <c r="A20564" s="12"/>
    </row>
    <row r="20565" spans="1:1" x14ac:dyDescent="0.3">
      <c r="A20565" s="12"/>
    </row>
    <row r="20566" spans="1:1" x14ac:dyDescent="0.3">
      <c r="A20566" s="12"/>
    </row>
    <row r="20567" spans="1:1" x14ac:dyDescent="0.3">
      <c r="A20567" s="12"/>
    </row>
    <row r="20568" spans="1:1" x14ac:dyDescent="0.3">
      <c r="A20568" s="12"/>
    </row>
    <row r="20569" spans="1:1" x14ac:dyDescent="0.3">
      <c r="A20569" s="12"/>
    </row>
    <row r="20570" spans="1:1" x14ac:dyDescent="0.3">
      <c r="A20570" s="12"/>
    </row>
    <row r="20571" spans="1:1" x14ac:dyDescent="0.3">
      <c r="A20571" s="12"/>
    </row>
    <row r="20572" spans="1:1" x14ac:dyDescent="0.3">
      <c r="A20572" s="12"/>
    </row>
    <row r="20573" spans="1:1" x14ac:dyDescent="0.3">
      <c r="A20573" s="12"/>
    </row>
    <row r="20574" spans="1:1" x14ac:dyDescent="0.3">
      <c r="A20574" s="12"/>
    </row>
    <row r="20575" spans="1:1" x14ac:dyDescent="0.3">
      <c r="A20575" s="12"/>
    </row>
    <row r="20576" spans="1:1" x14ac:dyDescent="0.3">
      <c r="A20576" s="12"/>
    </row>
    <row r="20577" spans="1:1" x14ac:dyDescent="0.3">
      <c r="A20577" s="12"/>
    </row>
    <row r="20578" spans="1:1" x14ac:dyDescent="0.3">
      <c r="A20578" s="12"/>
    </row>
    <row r="20579" spans="1:1" x14ac:dyDescent="0.3">
      <c r="A20579" s="12"/>
    </row>
    <row r="20580" spans="1:1" x14ac:dyDescent="0.3">
      <c r="A20580" s="12"/>
    </row>
    <row r="20581" spans="1:1" x14ac:dyDescent="0.3">
      <c r="A20581" s="12"/>
    </row>
    <row r="20582" spans="1:1" x14ac:dyDescent="0.3">
      <c r="A20582" s="12"/>
    </row>
    <row r="20583" spans="1:1" x14ac:dyDescent="0.3">
      <c r="A20583" s="12"/>
    </row>
    <row r="20584" spans="1:1" x14ac:dyDescent="0.3">
      <c r="A20584" s="12"/>
    </row>
    <row r="20585" spans="1:1" x14ac:dyDescent="0.3">
      <c r="A20585" s="12"/>
    </row>
    <row r="20586" spans="1:1" x14ac:dyDescent="0.3">
      <c r="A20586" s="12"/>
    </row>
    <row r="20587" spans="1:1" x14ac:dyDescent="0.3">
      <c r="A20587" s="12"/>
    </row>
    <row r="20588" spans="1:1" x14ac:dyDescent="0.3">
      <c r="A20588" s="12"/>
    </row>
    <row r="20589" spans="1:1" x14ac:dyDescent="0.3">
      <c r="A20589" s="12"/>
    </row>
    <row r="20590" spans="1:1" x14ac:dyDescent="0.3">
      <c r="A20590" s="12"/>
    </row>
    <row r="20591" spans="1:1" x14ac:dyDescent="0.3">
      <c r="A20591" s="12"/>
    </row>
    <row r="20592" spans="1:1" x14ac:dyDescent="0.3">
      <c r="A20592" s="12"/>
    </row>
    <row r="20593" spans="1:1" x14ac:dyDescent="0.3">
      <c r="A20593" s="12"/>
    </row>
    <row r="20594" spans="1:1" x14ac:dyDescent="0.3">
      <c r="A20594" s="12"/>
    </row>
    <row r="20595" spans="1:1" x14ac:dyDescent="0.3">
      <c r="A20595" s="12"/>
    </row>
    <row r="20596" spans="1:1" x14ac:dyDescent="0.3">
      <c r="A20596" s="12"/>
    </row>
    <row r="20597" spans="1:1" x14ac:dyDescent="0.3">
      <c r="A20597" s="12"/>
    </row>
    <row r="20598" spans="1:1" x14ac:dyDescent="0.3">
      <c r="A20598" s="12"/>
    </row>
    <row r="20599" spans="1:1" x14ac:dyDescent="0.3">
      <c r="A20599" s="12"/>
    </row>
    <row r="20600" spans="1:1" x14ac:dyDescent="0.3">
      <c r="A20600" s="12"/>
    </row>
    <row r="20601" spans="1:1" x14ac:dyDescent="0.3">
      <c r="A20601" s="12"/>
    </row>
    <row r="20602" spans="1:1" x14ac:dyDescent="0.3">
      <c r="A20602" s="12"/>
    </row>
    <row r="20603" spans="1:1" x14ac:dyDescent="0.3">
      <c r="A20603" s="12"/>
    </row>
    <row r="20604" spans="1:1" x14ac:dyDescent="0.3">
      <c r="A20604" s="12"/>
    </row>
    <row r="20605" spans="1:1" x14ac:dyDescent="0.3">
      <c r="A20605" s="12"/>
    </row>
    <row r="20606" spans="1:1" x14ac:dyDescent="0.3">
      <c r="A20606" s="12"/>
    </row>
    <row r="20607" spans="1:1" x14ac:dyDescent="0.3">
      <c r="A20607" s="12"/>
    </row>
    <row r="20608" spans="1:1" x14ac:dyDescent="0.3">
      <c r="A20608" s="12"/>
    </row>
    <row r="20609" spans="1:1" x14ac:dyDescent="0.3">
      <c r="A20609" s="12"/>
    </row>
    <row r="20610" spans="1:1" x14ac:dyDescent="0.3">
      <c r="A20610" s="12"/>
    </row>
    <row r="20611" spans="1:1" x14ac:dyDescent="0.3">
      <c r="A20611" s="12"/>
    </row>
    <row r="20612" spans="1:1" x14ac:dyDescent="0.3">
      <c r="A20612" s="12"/>
    </row>
    <row r="20613" spans="1:1" x14ac:dyDescent="0.3">
      <c r="A20613" s="12"/>
    </row>
    <row r="20614" spans="1:1" x14ac:dyDescent="0.3">
      <c r="A20614" s="12"/>
    </row>
    <row r="20615" spans="1:1" x14ac:dyDescent="0.3">
      <c r="A20615" s="12"/>
    </row>
    <row r="20616" spans="1:1" x14ac:dyDescent="0.3">
      <c r="A20616" s="12"/>
    </row>
    <row r="20617" spans="1:1" x14ac:dyDescent="0.3">
      <c r="A20617" s="12"/>
    </row>
    <row r="20618" spans="1:1" x14ac:dyDescent="0.3">
      <c r="A20618" s="12"/>
    </row>
    <row r="20619" spans="1:1" x14ac:dyDescent="0.3">
      <c r="A20619" s="12"/>
    </row>
    <row r="20620" spans="1:1" x14ac:dyDescent="0.3">
      <c r="A20620" s="12"/>
    </row>
    <row r="20621" spans="1:1" x14ac:dyDescent="0.3">
      <c r="A20621" s="12"/>
    </row>
    <row r="20622" spans="1:1" x14ac:dyDescent="0.3">
      <c r="A20622" s="12"/>
    </row>
    <row r="20623" spans="1:1" x14ac:dyDescent="0.3">
      <c r="A20623" s="12"/>
    </row>
    <row r="20624" spans="1:1" x14ac:dyDescent="0.3">
      <c r="A20624" s="12"/>
    </row>
    <row r="20625" spans="1:1" x14ac:dyDescent="0.3">
      <c r="A20625" s="12"/>
    </row>
    <row r="20626" spans="1:1" x14ac:dyDescent="0.3">
      <c r="A20626" s="12"/>
    </row>
    <row r="20627" spans="1:1" x14ac:dyDescent="0.3">
      <c r="A20627" s="12"/>
    </row>
    <row r="20628" spans="1:1" x14ac:dyDescent="0.3">
      <c r="A20628" s="12"/>
    </row>
    <row r="20629" spans="1:1" x14ac:dyDescent="0.3">
      <c r="A20629" s="12"/>
    </row>
    <row r="20630" spans="1:1" x14ac:dyDescent="0.3">
      <c r="A20630" s="12"/>
    </row>
    <row r="20631" spans="1:1" x14ac:dyDescent="0.3">
      <c r="A20631" s="12"/>
    </row>
    <row r="20632" spans="1:1" x14ac:dyDescent="0.3">
      <c r="A20632" s="12"/>
    </row>
    <row r="20633" spans="1:1" x14ac:dyDescent="0.3">
      <c r="A20633" s="12"/>
    </row>
    <row r="20634" spans="1:1" x14ac:dyDescent="0.3">
      <c r="A20634" s="12"/>
    </row>
    <row r="20635" spans="1:1" x14ac:dyDescent="0.3">
      <c r="A20635" s="12"/>
    </row>
    <row r="20636" spans="1:1" x14ac:dyDescent="0.3">
      <c r="A20636" s="12"/>
    </row>
    <row r="20637" spans="1:1" x14ac:dyDescent="0.3">
      <c r="A20637" s="12"/>
    </row>
    <row r="20638" spans="1:1" x14ac:dyDescent="0.3">
      <c r="A20638" s="12"/>
    </row>
    <row r="20639" spans="1:1" x14ac:dyDescent="0.3">
      <c r="A20639" s="12"/>
    </row>
    <row r="20640" spans="1:1" x14ac:dyDescent="0.3">
      <c r="A20640" s="12"/>
    </row>
    <row r="20641" spans="1:1" x14ac:dyDescent="0.3">
      <c r="A20641" s="12"/>
    </row>
    <row r="20642" spans="1:1" x14ac:dyDescent="0.3">
      <c r="A20642" s="12"/>
    </row>
    <row r="20643" spans="1:1" x14ac:dyDescent="0.3">
      <c r="A20643" s="12"/>
    </row>
    <row r="20644" spans="1:1" x14ac:dyDescent="0.3">
      <c r="A20644" s="12"/>
    </row>
    <row r="20645" spans="1:1" x14ac:dyDescent="0.3">
      <c r="A20645" s="12"/>
    </row>
    <row r="20646" spans="1:1" x14ac:dyDescent="0.3">
      <c r="A20646" s="12"/>
    </row>
    <row r="20647" spans="1:1" x14ac:dyDescent="0.3">
      <c r="A20647" s="12"/>
    </row>
    <row r="20648" spans="1:1" x14ac:dyDescent="0.3">
      <c r="A20648" s="12"/>
    </row>
    <row r="20649" spans="1:1" x14ac:dyDescent="0.3">
      <c r="A20649" s="12"/>
    </row>
    <row r="20650" spans="1:1" x14ac:dyDescent="0.3">
      <c r="A20650" s="12"/>
    </row>
    <row r="20651" spans="1:1" x14ac:dyDescent="0.3">
      <c r="A20651" s="12"/>
    </row>
    <row r="20652" spans="1:1" x14ac:dyDescent="0.3">
      <c r="A20652" s="12"/>
    </row>
    <row r="20653" spans="1:1" x14ac:dyDescent="0.3">
      <c r="A20653" s="12"/>
    </row>
    <row r="20654" spans="1:1" x14ac:dyDescent="0.3">
      <c r="A20654" s="12"/>
    </row>
    <row r="20655" spans="1:1" x14ac:dyDescent="0.3">
      <c r="A20655" s="12"/>
    </row>
    <row r="20656" spans="1:1" x14ac:dyDescent="0.3">
      <c r="A20656" s="12"/>
    </row>
    <row r="20657" spans="1:1" x14ac:dyDescent="0.3">
      <c r="A20657" s="12"/>
    </row>
    <row r="20658" spans="1:1" x14ac:dyDescent="0.3">
      <c r="A20658" s="12"/>
    </row>
    <row r="20659" spans="1:1" x14ac:dyDescent="0.3">
      <c r="A20659" s="12"/>
    </row>
    <row r="20660" spans="1:1" x14ac:dyDescent="0.3">
      <c r="A20660" s="12"/>
    </row>
    <row r="20661" spans="1:1" x14ac:dyDescent="0.3">
      <c r="A20661" s="12"/>
    </row>
    <row r="20662" spans="1:1" x14ac:dyDescent="0.3">
      <c r="A20662" s="12"/>
    </row>
    <row r="20663" spans="1:1" x14ac:dyDescent="0.3">
      <c r="A20663" s="12"/>
    </row>
    <row r="20664" spans="1:1" x14ac:dyDescent="0.3">
      <c r="A20664" s="12"/>
    </row>
    <row r="20665" spans="1:1" x14ac:dyDescent="0.3">
      <c r="A20665" s="12"/>
    </row>
    <row r="20666" spans="1:1" x14ac:dyDescent="0.3">
      <c r="A20666" s="12"/>
    </row>
    <row r="20667" spans="1:1" x14ac:dyDescent="0.3">
      <c r="A20667" s="12"/>
    </row>
    <row r="20668" spans="1:1" x14ac:dyDescent="0.3">
      <c r="A20668" s="12"/>
    </row>
    <row r="20669" spans="1:1" x14ac:dyDescent="0.3">
      <c r="A20669" s="12"/>
    </row>
    <row r="20670" spans="1:1" x14ac:dyDescent="0.3">
      <c r="A20670" s="12"/>
    </row>
    <row r="20671" spans="1:1" x14ac:dyDescent="0.3">
      <c r="A20671" s="12"/>
    </row>
    <row r="20672" spans="1:1" x14ac:dyDescent="0.3">
      <c r="A20672" s="12"/>
    </row>
    <row r="20673" spans="1:1" x14ac:dyDescent="0.3">
      <c r="A20673" s="12"/>
    </row>
    <row r="20674" spans="1:1" x14ac:dyDescent="0.3">
      <c r="A20674" s="12"/>
    </row>
    <row r="20675" spans="1:1" x14ac:dyDescent="0.3">
      <c r="A20675" s="12"/>
    </row>
    <row r="20676" spans="1:1" x14ac:dyDescent="0.3">
      <c r="A20676" s="12"/>
    </row>
    <row r="20677" spans="1:1" x14ac:dyDescent="0.3">
      <c r="A20677" s="12"/>
    </row>
    <row r="20678" spans="1:1" x14ac:dyDescent="0.3">
      <c r="A20678" s="12"/>
    </row>
    <row r="20679" spans="1:1" x14ac:dyDescent="0.3">
      <c r="A20679" s="12"/>
    </row>
    <row r="20680" spans="1:1" x14ac:dyDescent="0.3">
      <c r="A20680" s="12"/>
    </row>
    <row r="20681" spans="1:1" x14ac:dyDescent="0.3">
      <c r="A20681" s="12"/>
    </row>
    <row r="20682" spans="1:1" x14ac:dyDescent="0.3">
      <c r="A20682" s="12"/>
    </row>
    <row r="20683" spans="1:1" x14ac:dyDescent="0.3">
      <c r="A20683" s="12"/>
    </row>
    <row r="20684" spans="1:1" x14ac:dyDescent="0.3">
      <c r="A20684" s="12"/>
    </row>
    <row r="20685" spans="1:1" x14ac:dyDescent="0.3">
      <c r="A20685" s="12"/>
    </row>
    <row r="20686" spans="1:1" x14ac:dyDescent="0.3">
      <c r="A20686" s="12"/>
    </row>
    <row r="20687" spans="1:1" x14ac:dyDescent="0.3">
      <c r="A20687" s="12"/>
    </row>
    <row r="20688" spans="1:1" x14ac:dyDescent="0.3">
      <c r="A20688" s="12"/>
    </row>
    <row r="20689" spans="1:1" x14ac:dyDescent="0.3">
      <c r="A20689" s="12"/>
    </row>
    <row r="20690" spans="1:1" x14ac:dyDescent="0.3">
      <c r="A20690" s="12"/>
    </row>
    <row r="20691" spans="1:1" x14ac:dyDescent="0.3">
      <c r="A20691" s="12"/>
    </row>
    <row r="20692" spans="1:1" x14ac:dyDescent="0.3">
      <c r="A20692" s="12"/>
    </row>
    <row r="20693" spans="1:1" x14ac:dyDescent="0.3">
      <c r="A20693" s="12"/>
    </row>
    <row r="20694" spans="1:1" x14ac:dyDescent="0.3">
      <c r="A20694" s="12"/>
    </row>
    <row r="20695" spans="1:1" x14ac:dyDescent="0.3">
      <c r="A20695" s="12"/>
    </row>
    <row r="20696" spans="1:1" x14ac:dyDescent="0.3">
      <c r="A20696" s="12"/>
    </row>
    <row r="20697" spans="1:1" x14ac:dyDescent="0.3">
      <c r="A20697" s="12"/>
    </row>
    <row r="20698" spans="1:1" x14ac:dyDescent="0.3">
      <c r="A20698" s="12"/>
    </row>
    <row r="20699" spans="1:1" x14ac:dyDescent="0.3">
      <c r="A20699" s="12"/>
    </row>
    <row r="20700" spans="1:1" x14ac:dyDescent="0.3">
      <c r="A20700" s="12"/>
    </row>
    <row r="20701" spans="1:1" x14ac:dyDescent="0.3">
      <c r="A20701" s="12"/>
    </row>
    <row r="20702" spans="1:1" x14ac:dyDescent="0.3">
      <c r="A20702" s="12"/>
    </row>
    <row r="20703" spans="1:1" x14ac:dyDescent="0.3">
      <c r="A20703" s="12"/>
    </row>
    <row r="20704" spans="1:1" x14ac:dyDescent="0.3">
      <c r="A20704" s="12"/>
    </row>
    <row r="20705" spans="1:1" x14ac:dyDescent="0.3">
      <c r="A20705" s="12"/>
    </row>
    <row r="20706" spans="1:1" x14ac:dyDescent="0.3">
      <c r="A20706" s="12"/>
    </row>
    <row r="20707" spans="1:1" x14ac:dyDescent="0.3">
      <c r="A20707" s="12"/>
    </row>
    <row r="20708" spans="1:1" x14ac:dyDescent="0.3">
      <c r="A20708" s="12"/>
    </row>
    <row r="20709" spans="1:1" x14ac:dyDescent="0.3">
      <c r="A20709" s="12"/>
    </row>
    <row r="20710" spans="1:1" x14ac:dyDescent="0.3">
      <c r="A20710" s="12"/>
    </row>
    <row r="20711" spans="1:1" x14ac:dyDescent="0.3">
      <c r="A20711" s="12"/>
    </row>
    <row r="20712" spans="1:1" x14ac:dyDescent="0.3">
      <c r="A20712" s="12"/>
    </row>
    <row r="20713" spans="1:1" x14ac:dyDescent="0.3">
      <c r="A20713" s="12"/>
    </row>
    <row r="20714" spans="1:1" x14ac:dyDescent="0.3">
      <c r="A20714" s="12"/>
    </row>
    <row r="20715" spans="1:1" x14ac:dyDescent="0.3">
      <c r="A20715" s="12"/>
    </row>
    <row r="20716" spans="1:1" x14ac:dyDescent="0.3">
      <c r="A20716" s="12"/>
    </row>
    <row r="20717" spans="1:1" x14ac:dyDescent="0.3">
      <c r="A20717" s="12"/>
    </row>
    <row r="20718" spans="1:1" x14ac:dyDescent="0.3">
      <c r="A20718" s="12"/>
    </row>
    <row r="20719" spans="1:1" x14ac:dyDescent="0.3">
      <c r="A20719" s="12"/>
    </row>
    <row r="20720" spans="1:1" x14ac:dyDescent="0.3">
      <c r="A20720" s="12"/>
    </row>
    <row r="20721" spans="1:1" x14ac:dyDescent="0.3">
      <c r="A20721" s="12"/>
    </row>
    <row r="20722" spans="1:1" x14ac:dyDescent="0.3">
      <c r="A20722" s="12"/>
    </row>
    <row r="20723" spans="1:1" x14ac:dyDescent="0.3">
      <c r="A20723" s="12"/>
    </row>
    <row r="20724" spans="1:1" x14ac:dyDescent="0.3">
      <c r="A20724" s="12"/>
    </row>
    <row r="20725" spans="1:1" x14ac:dyDescent="0.3">
      <c r="A20725" s="12"/>
    </row>
    <row r="20726" spans="1:1" x14ac:dyDescent="0.3">
      <c r="A20726" s="12"/>
    </row>
    <row r="20727" spans="1:1" x14ac:dyDescent="0.3">
      <c r="A20727" s="12"/>
    </row>
    <row r="20728" spans="1:1" x14ac:dyDescent="0.3">
      <c r="A20728" s="12"/>
    </row>
    <row r="20729" spans="1:1" x14ac:dyDescent="0.3">
      <c r="A20729" s="12"/>
    </row>
    <row r="20730" spans="1:1" x14ac:dyDescent="0.3">
      <c r="A20730" s="12"/>
    </row>
    <row r="20731" spans="1:1" x14ac:dyDescent="0.3">
      <c r="A20731" s="12"/>
    </row>
    <row r="20732" spans="1:1" x14ac:dyDescent="0.3">
      <c r="A20732" s="12"/>
    </row>
    <row r="20733" spans="1:1" x14ac:dyDescent="0.3">
      <c r="A20733" s="12"/>
    </row>
    <row r="20734" spans="1:1" x14ac:dyDescent="0.3">
      <c r="A20734" s="12"/>
    </row>
    <row r="20735" spans="1:1" x14ac:dyDescent="0.3">
      <c r="A20735" s="12"/>
    </row>
    <row r="20736" spans="1:1" x14ac:dyDescent="0.3">
      <c r="A20736" s="12"/>
    </row>
    <row r="20737" spans="1:1" x14ac:dyDescent="0.3">
      <c r="A20737" s="12"/>
    </row>
    <row r="20738" spans="1:1" x14ac:dyDescent="0.3">
      <c r="A20738" s="12"/>
    </row>
    <row r="20739" spans="1:1" x14ac:dyDescent="0.3">
      <c r="A20739" s="12"/>
    </row>
    <row r="20740" spans="1:1" x14ac:dyDescent="0.3">
      <c r="A20740" s="12"/>
    </row>
    <row r="20741" spans="1:1" x14ac:dyDescent="0.3">
      <c r="A20741" s="12"/>
    </row>
    <row r="20742" spans="1:1" x14ac:dyDescent="0.3">
      <c r="A20742" s="12"/>
    </row>
    <row r="20743" spans="1:1" x14ac:dyDescent="0.3">
      <c r="A20743" s="12"/>
    </row>
    <row r="20744" spans="1:1" x14ac:dyDescent="0.3">
      <c r="A20744" s="12"/>
    </row>
    <row r="20745" spans="1:1" x14ac:dyDescent="0.3">
      <c r="A20745" s="12"/>
    </row>
    <row r="20746" spans="1:1" x14ac:dyDescent="0.3">
      <c r="A20746" s="12"/>
    </row>
    <row r="20747" spans="1:1" x14ac:dyDescent="0.3">
      <c r="A20747" s="12"/>
    </row>
    <row r="20748" spans="1:1" x14ac:dyDescent="0.3">
      <c r="A20748" s="12"/>
    </row>
    <row r="20749" spans="1:1" x14ac:dyDescent="0.3">
      <c r="A20749" s="12"/>
    </row>
    <row r="20750" spans="1:1" x14ac:dyDescent="0.3">
      <c r="A20750" s="12"/>
    </row>
    <row r="20751" spans="1:1" x14ac:dyDescent="0.3">
      <c r="A20751" s="12"/>
    </row>
    <row r="20752" spans="1:1" x14ac:dyDescent="0.3">
      <c r="A20752" s="12"/>
    </row>
    <row r="20753" spans="1:1" x14ac:dyDescent="0.3">
      <c r="A20753" s="12"/>
    </row>
    <row r="20754" spans="1:1" x14ac:dyDescent="0.3">
      <c r="A20754" s="12"/>
    </row>
    <row r="20755" spans="1:1" x14ac:dyDescent="0.3">
      <c r="A20755" s="12"/>
    </row>
    <row r="20756" spans="1:1" x14ac:dyDescent="0.3">
      <c r="A20756" s="12"/>
    </row>
    <row r="20757" spans="1:1" x14ac:dyDescent="0.3">
      <c r="A20757" s="12"/>
    </row>
    <row r="20758" spans="1:1" x14ac:dyDescent="0.3">
      <c r="A20758" s="12"/>
    </row>
    <row r="20759" spans="1:1" x14ac:dyDescent="0.3">
      <c r="A20759" s="12"/>
    </row>
    <row r="20760" spans="1:1" x14ac:dyDescent="0.3">
      <c r="A20760" s="12"/>
    </row>
    <row r="20761" spans="1:1" x14ac:dyDescent="0.3">
      <c r="A20761" s="12"/>
    </row>
    <row r="20762" spans="1:1" x14ac:dyDescent="0.3">
      <c r="A20762" s="12"/>
    </row>
    <row r="20763" spans="1:1" x14ac:dyDescent="0.3">
      <c r="A20763" s="12"/>
    </row>
    <row r="20764" spans="1:1" x14ac:dyDescent="0.3">
      <c r="A20764" s="12"/>
    </row>
    <row r="20765" spans="1:1" x14ac:dyDescent="0.3">
      <c r="A20765" s="12"/>
    </row>
    <row r="20766" spans="1:1" x14ac:dyDescent="0.3">
      <c r="A20766" s="12"/>
    </row>
    <row r="20767" spans="1:1" x14ac:dyDescent="0.3">
      <c r="A20767" s="12"/>
    </row>
    <row r="20768" spans="1:1" x14ac:dyDescent="0.3">
      <c r="A20768" s="12"/>
    </row>
    <row r="20769" spans="1:1" x14ac:dyDescent="0.3">
      <c r="A20769" s="12"/>
    </row>
    <row r="20770" spans="1:1" x14ac:dyDescent="0.3">
      <c r="A20770" s="12"/>
    </row>
    <row r="20771" spans="1:1" x14ac:dyDescent="0.3">
      <c r="A20771" s="12"/>
    </row>
    <row r="20772" spans="1:1" x14ac:dyDescent="0.3">
      <c r="A20772" s="12"/>
    </row>
    <row r="20773" spans="1:1" x14ac:dyDescent="0.3">
      <c r="A20773" s="12"/>
    </row>
    <row r="20774" spans="1:1" x14ac:dyDescent="0.3">
      <c r="A20774" s="12"/>
    </row>
    <row r="20775" spans="1:1" x14ac:dyDescent="0.3">
      <c r="A20775" s="12"/>
    </row>
    <row r="20776" spans="1:1" x14ac:dyDescent="0.3">
      <c r="A20776" s="12"/>
    </row>
    <row r="20777" spans="1:1" x14ac:dyDescent="0.3">
      <c r="A20777" s="12"/>
    </row>
    <row r="20778" spans="1:1" x14ac:dyDescent="0.3">
      <c r="A20778" s="12"/>
    </row>
    <row r="20779" spans="1:1" x14ac:dyDescent="0.3">
      <c r="A20779" s="12"/>
    </row>
    <row r="20780" spans="1:1" x14ac:dyDescent="0.3">
      <c r="A20780" s="12"/>
    </row>
    <row r="20781" spans="1:1" x14ac:dyDescent="0.3">
      <c r="A20781" s="12"/>
    </row>
    <row r="20782" spans="1:1" x14ac:dyDescent="0.3">
      <c r="A20782" s="12"/>
    </row>
    <row r="20783" spans="1:1" x14ac:dyDescent="0.3">
      <c r="A20783" s="12"/>
    </row>
    <row r="20784" spans="1:1" x14ac:dyDescent="0.3">
      <c r="A20784" s="12"/>
    </row>
    <row r="20785" spans="1:1" x14ac:dyDescent="0.3">
      <c r="A20785" s="12"/>
    </row>
    <row r="20786" spans="1:1" x14ac:dyDescent="0.3">
      <c r="A20786" s="12"/>
    </row>
    <row r="20787" spans="1:1" x14ac:dyDescent="0.3">
      <c r="A20787" s="12"/>
    </row>
    <row r="20788" spans="1:1" x14ac:dyDescent="0.3">
      <c r="A20788" s="12"/>
    </row>
    <row r="20789" spans="1:1" x14ac:dyDescent="0.3">
      <c r="A20789" s="12"/>
    </row>
    <row r="20790" spans="1:1" x14ac:dyDescent="0.3">
      <c r="A20790" s="12"/>
    </row>
    <row r="20791" spans="1:1" x14ac:dyDescent="0.3">
      <c r="A20791" s="12"/>
    </row>
    <row r="20792" spans="1:1" x14ac:dyDescent="0.3">
      <c r="A20792" s="12"/>
    </row>
    <row r="20793" spans="1:1" x14ac:dyDescent="0.3">
      <c r="A20793" s="12"/>
    </row>
    <row r="20794" spans="1:1" x14ac:dyDescent="0.3">
      <c r="A20794" s="12"/>
    </row>
    <row r="20795" spans="1:1" x14ac:dyDescent="0.3">
      <c r="A20795" s="12"/>
    </row>
    <row r="20796" spans="1:1" x14ac:dyDescent="0.3">
      <c r="A20796" s="12"/>
    </row>
    <row r="20797" spans="1:1" x14ac:dyDescent="0.3">
      <c r="A20797" s="12"/>
    </row>
    <row r="20798" spans="1:1" x14ac:dyDescent="0.3">
      <c r="A20798" s="12"/>
    </row>
    <row r="20799" spans="1:1" x14ac:dyDescent="0.3">
      <c r="A20799" s="12"/>
    </row>
    <row r="20800" spans="1:1" x14ac:dyDescent="0.3">
      <c r="A20800" s="12"/>
    </row>
    <row r="20801" spans="1:1" x14ac:dyDescent="0.3">
      <c r="A20801" s="12"/>
    </row>
    <row r="20802" spans="1:1" x14ac:dyDescent="0.3">
      <c r="A20802" s="12"/>
    </row>
    <row r="20803" spans="1:1" x14ac:dyDescent="0.3">
      <c r="A20803" s="12"/>
    </row>
    <row r="20804" spans="1:1" x14ac:dyDescent="0.3">
      <c r="A20804" s="12"/>
    </row>
    <row r="20805" spans="1:1" x14ac:dyDescent="0.3">
      <c r="A20805" s="12"/>
    </row>
    <row r="20806" spans="1:1" x14ac:dyDescent="0.3">
      <c r="A20806" s="12"/>
    </row>
    <row r="20807" spans="1:1" x14ac:dyDescent="0.3">
      <c r="A20807" s="12"/>
    </row>
    <row r="20808" spans="1:1" x14ac:dyDescent="0.3">
      <c r="A20808" s="12"/>
    </row>
    <row r="20809" spans="1:1" x14ac:dyDescent="0.3">
      <c r="A20809" s="12"/>
    </row>
    <row r="20810" spans="1:1" x14ac:dyDescent="0.3">
      <c r="A20810" s="12"/>
    </row>
    <row r="20811" spans="1:1" x14ac:dyDescent="0.3">
      <c r="A20811" s="12"/>
    </row>
    <row r="20812" spans="1:1" x14ac:dyDescent="0.3">
      <c r="A20812" s="12"/>
    </row>
    <row r="20813" spans="1:1" x14ac:dyDescent="0.3">
      <c r="A20813" s="12"/>
    </row>
    <row r="20814" spans="1:1" x14ac:dyDescent="0.3">
      <c r="A20814" s="12"/>
    </row>
    <row r="20815" spans="1:1" x14ac:dyDescent="0.3">
      <c r="A20815" s="12"/>
    </row>
    <row r="20816" spans="1:1" x14ac:dyDescent="0.3">
      <c r="A20816" s="12"/>
    </row>
    <row r="20817" spans="1:1" x14ac:dyDescent="0.3">
      <c r="A20817" s="12"/>
    </row>
    <row r="20818" spans="1:1" x14ac:dyDescent="0.3">
      <c r="A20818" s="12"/>
    </row>
    <row r="20819" spans="1:1" x14ac:dyDescent="0.3">
      <c r="A20819" s="12"/>
    </row>
    <row r="20820" spans="1:1" x14ac:dyDescent="0.3">
      <c r="A20820" s="12"/>
    </row>
    <row r="20821" spans="1:1" x14ac:dyDescent="0.3">
      <c r="A20821" s="12"/>
    </row>
    <row r="20822" spans="1:1" x14ac:dyDescent="0.3">
      <c r="A20822" s="12"/>
    </row>
    <row r="20823" spans="1:1" x14ac:dyDescent="0.3">
      <c r="A20823" s="12"/>
    </row>
    <row r="20824" spans="1:1" x14ac:dyDescent="0.3">
      <c r="A20824" s="12"/>
    </row>
    <row r="20825" spans="1:1" x14ac:dyDescent="0.3">
      <c r="A20825" s="12"/>
    </row>
    <row r="20826" spans="1:1" x14ac:dyDescent="0.3">
      <c r="A20826" s="12"/>
    </row>
    <row r="20827" spans="1:1" x14ac:dyDescent="0.3">
      <c r="A20827" s="12"/>
    </row>
    <row r="20828" spans="1:1" x14ac:dyDescent="0.3">
      <c r="A20828" s="12"/>
    </row>
    <row r="20829" spans="1:1" x14ac:dyDescent="0.3">
      <c r="A20829" s="12"/>
    </row>
    <row r="20830" spans="1:1" x14ac:dyDescent="0.3">
      <c r="A20830" s="12"/>
    </row>
    <row r="20831" spans="1:1" x14ac:dyDescent="0.3">
      <c r="A20831" s="12"/>
    </row>
    <row r="20832" spans="1:1" x14ac:dyDescent="0.3">
      <c r="A20832" s="12"/>
    </row>
    <row r="20833" spans="1:1" x14ac:dyDescent="0.3">
      <c r="A20833" s="12"/>
    </row>
    <row r="20834" spans="1:1" x14ac:dyDescent="0.3">
      <c r="A20834" s="12"/>
    </row>
    <row r="20835" spans="1:1" x14ac:dyDescent="0.3">
      <c r="A20835" s="12"/>
    </row>
    <row r="20836" spans="1:1" x14ac:dyDescent="0.3">
      <c r="A20836" s="12"/>
    </row>
    <row r="20837" spans="1:1" x14ac:dyDescent="0.3">
      <c r="A20837" s="12"/>
    </row>
    <row r="20838" spans="1:1" x14ac:dyDescent="0.3">
      <c r="A20838" s="12"/>
    </row>
    <row r="20839" spans="1:1" x14ac:dyDescent="0.3">
      <c r="A20839" s="12"/>
    </row>
    <row r="20840" spans="1:1" x14ac:dyDescent="0.3">
      <c r="A20840" s="12"/>
    </row>
    <row r="20841" spans="1:1" x14ac:dyDescent="0.3">
      <c r="A20841" s="12"/>
    </row>
    <row r="20842" spans="1:1" x14ac:dyDescent="0.3">
      <c r="A20842" s="12"/>
    </row>
    <row r="20843" spans="1:1" x14ac:dyDescent="0.3">
      <c r="A20843" s="12"/>
    </row>
    <row r="20844" spans="1:1" x14ac:dyDescent="0.3">
      <c r="A20844" s="12"/>
    </row>
    <row r="20845" spans="1:1" x14ac:dyDescent="0.3">
      <c r="A20845" s="12"/>
    </row>
    <row r="20846" spans="1:1" x14ac:dyDescent="0.3">
      <c r="A20846" s="12"/>
    </row>
    <row r="20847" spans="1:1" x14ac:dyDescent="0.3">
      <c r="A20847" s="12"/>
    </row>
    <row r="20848" spans="1:1" x14ac:dyDescent="0.3">
      <c r="A20848" s="12"/>
    </row>
    <row r="20849" spans="1:1" x14ac:dyDescent="0.3">
      <c r="A20849" s="12"/>
    </row>
    <row r="20850" spans="1:1" x14ac:dyDescent="0.3">
      <c r="A20850" s="12"/>
    </row>
    <row r="20851" spans="1:1" x14ac:dyDescent="0.3">
      <c r="A20851" s="12"/>
    </row>
    <row r="20852" spans="1:1" x14ac:dyDescent="0.3">
      <c r="A20852" s="12"/>
    </row>
    <row r="20853" spans="1:1" x14ac:dyDescent="0.3">
      <c r="A20853" s="12"/>
    </row>
    <row r="20854" spans="1:1" x14ac:dyDescent="0.3">
      <c r="A20854" s="12"/>
    </row>
    <row r="20855" spans="1:1" x14ac:dyDescent="0.3">
      <c r="A20855" s="12"/>
    </row>
    <row r="20856" spans="1:1" x14ac:dyDescent="0.3">
      <c r="A20856" s="12"/>
    </row>
    <row r="20857" spans="1:1" x14ac:dyDescent="0.3">
      <c r="A20857" s="12"/>
    </row>
    <row r="20858" spans="1:1" x14ac:dyDescent="0.3">
      <c r="A20858" s="12"/>
    </row>
    <row r="20859" spans="1:1" x14ac:dyDescent="0.3">
      <c r="A20859" s="12"/>
    </row>
    <row r="20860" spans="1:1" x14ac:dyDescent="0.3">
      <c r="A20860" s="12"/>
    </row>
    <row r="20861" spans="1:1" x14ac:dyDescent="0.3">
      <c r="A20861" s="12"/>
    </row>
    <row r="20862" spans="1:1" x14ac:dyDescent="0.3">
      <c r="A20862" s="12"/>
    </row>
    <row r="20863" spans="1:1" x14ac:dyDescent="0.3">
      <c r="A20863" s="12"/>
    </row>
    <row r="20864" spans="1:1" x14ac:dyDescent="0.3">
      <c r="A20864" s="12"/>
    </row>
    <row r="20865" spans="1:1" x14ac:dyDescent="0.3">
      <c r="A20865" s="12"/>
    </row>
    <row r="20866" spans="1:1" x14ac:dyDescent="0.3">
      <c r="A20866" s="12"/>
    </row>
    <row r="20867" spans="1:1" x14ac:dyDescent="0.3">
      <c r="A20867" s="12"/>
    </row>
    <row r="20868" spans="1:1" x14ac:dyDescent="0.3">
      <c r="A20868" s="12"/>
    </row>
    <row r="20869" spans="1:1" x14ac:dyDescent="0.3">
      <c r="A20869" s="12"/>
    </row>
    <row r="20870" spans="1:1" x14ac:dyDescent="0.3">
      <c r="A20870" s="12"/>
    </row>
    <row r="20871" spans="1:1" x14ac:dyDescent="0.3">
      <c r="A20871" s="12"/>
    </row>
    <row r="20872" spans="1:1" x14ac:dyDescent="0.3">
      <c r="A20872" s="12"/>
    </row>
    <row r="20873" spans="1:1" x14ac:dyDescent="0.3">
      <c r="A20873" s="12"/>
    </row>
    <row r="20874" spans="1:1" x14ac:dyDescent="0.3">
      <c r="A20874" s="12"/>
    </row>
    <row r="20875" spans="1:1" x14ac:dyDescent="0.3">
      <c r="A20875" s="12"/>
    </row>
    <row r="20876" spans="1:1" x14ac:dyDescent="0.3">
      <c r="A20876" s="12"/>
    </row>
    <row r="20877" spans="1:1" x14ac:dyDescent="0.3">
      <c r="A20877" s="12"/>
    </row>
    <row r="20878" spans="1:1" x14ac:dyDescent="0.3">
      <c r="A20878" s="12"/>
    </row>
    <row r="20879" spans="1:1" x14ac:dyDescent="0.3">
      <c r="A20879" s="12"/>
    </row>
    <row r="20880" spans="1:1" x14ac:dyDescent="0.3">
      <c r="A20880" s="12"/>
    </row>
    <row r="20881" spans="1:1" x14ac:dyDescent="0.3">
      <c r="A20881" s="12"/>
    </row>
    <row r="20882" spans="1:1" x14ac:dyDescent="0.3">
      <c r="A20882" s="12"/>
    </row>
    <row r="20883" spans="1:1" x14ac:dyDescent="0.3">
      <c r="A20883" s="12"/>
    </row>
    <row r="20884" spans="1:1" x14ac:dyDescent="0.3">
      <c r="A20884" s="12"/>
    </row>
    <row r="20885" spans="1:1" x14ac:dyDescent="0.3">
      <c r="A20885" s="12"/>
    </row>
    <row r="20886" spans="1:1" x14ac:dyDescent="0.3">
      <c r="A20886" s="12"/>
    </row>
    <row r="20887" spans="1:1" x14ac:dyDescent="0.3">
      <c r="A20887" s="12"/>
    </row>
    <row r="20888" spans="1:1" x14ac:dyDescent="0.3">
      <c r="A20888" s="12"/>
    </row>
    <row r="20889" spans="1:1" x14ac:dyDescent="0.3">
      <c r="A20889" s="12"/>
    </row>
    <row r="20890" spans="1:1" x14ac:dyDescent="0.3">
      <c r="A20890" s="12"/>
    </row>
    <row r="20891" spans="1:1" x14ac:dyDescent="0.3">
      <c r="A20891" s="12"/>
    </row>
    <row r="20892" spans="1:1" x14ac:dyDescent="0.3">
      <c r="A20892" s="12"/>
    </row>
    <row r="20893" spans="1:1" x14ac:dyDescent="0.3">
      <c r="A20893" s="12"/>
    </row>
    <row r="20894" spans="1:1" x14ac:dyDescent="0.3">
      <c r="A20894" s="12"/>
    </row>
    <row r="20895" spans="1:1" x14ac:dyDescent="0.3">
      <c r="A20895" s="12"/>
    </row>
    <row r="20896" spans="1:1" x14ac:dyDescent="0.3">
      <c r="A20896" s="12"/>
    </row>
    <row r="20897" spans="1:1" x14ac:dyDescent="0.3">
      <c r="A20897" s="12"/>
    </row>
    <row r="20898" spans="1:1" x14ac:dyDescent="0.3">
      <c r="A20898" s="12"/>
    </row>
    <row r="20899" spans="1:1" x14ac:dyDescent="0.3">
      <c r="A20899" s="12"/>
    </row>
    <row r="20900" spans="1:1" x14ac:dyDescent="0.3">
      <c r="A20900" s="12"/>
    </row>
    <row r="20901" spans="1:1" x14ac:dyDescent="0.3">
      <c r="A20901" s="12"/>
    </row>
    <row r="20902" spans="1:1" x14ac:dyDescent="0.3">
      <c r="A20902" s="12"/>
    </row>
    <row r="20903" spans="1:1" x14ac:dyDescent="0.3">
      <c r="A20903" s="12"/>
    </row>
    <row r="20904" spans="1:1" x14ac:dyDescent="0.3">
      <c r="A20904" s="12"/>
    </row>
    <row r="20905" spans="1:1" x14ac:dyDescent="0.3">
      <c r="A20905" s="12"/>
    </row>
    <row r="20906" spans="1:1" x14ac:dyDescent="0.3">
      <c r="A20906" s="12"/>
    </row>
    <row r="20907" spans="1:1" x14ac:dyDescent="0.3">
      <c r="A20907" s="12"/>
    </row>
    <row r="20908" spans="1:1" x14ac:dyDescent="0.3">
      <c r="A20908" s="12"/>
    </row>
    <row r="20909" spans="1:1" x14ac:dyDescent="0.3">
      <c r="A20909" s="12"/>
    </row>
    <row r="20910" spans="1:1" x14ac:dyDescent="0.3">
      <c r="A20910" s="12"/>
    </row>
    <row r="20911" spans="1:1" x14ac:dyDescent="0.3">
      <c r="A20911" s="12"/>
    </row>
    <row r="20912" spans="1:1" x14ac:dyDescent="0.3">
      <c r="A20912" s="12"/>
    </row>
    <row r="20913" spans="1:1" x14ac:dyDescent="0.3">
      <c r="A20913" s="12"/>
    </row>
    <row r="20914" spans="1:1" x14ac:dyDescent="0.3">
      <c r="A20914" s="12"/>
    </row>
    <row r="20915" spans="1:1" x14ac:dyDescent="0.3">
      <c r="A20915" s="12"/>
    </row>
    <row r="20916" spans="1:1" x14ac:dyDescent="0.3">
      <c r="A20916" s="12"/>
    </row>
    <row r="20917" spans="1:1" x14ac:dyDescent="0.3">
      <c r="A20917" s="12"/>
    </row>
    <row r="20918" spans="1:1" x14ac:dyDescent="0.3">
      <c r="A20918" s="12"/>
    </row>
    <row r="20919" spans="1:1" x14ac:dyDescent="0.3">
      <c r="A20919" s="12"/>
    </row>
    <row r="20920" spans="1:1" x14ac:dyDescent="0.3">
      <c r="A20920" s="12"/>
    </row>
    <row r="20921" spans="1:1" x14ac:dyDescent="0.3">
      <c r="A20921" s="12"/>
    </row>
    <row r="20922" spans="1:1" x14ac:dyDescent="0.3">
      <c r="A20922" s="12"/>
    </row>
    <row r="20923" spans="1:1" x14ac:dyDescent="0.3">
      <c r="A20923" s="12"/>
    </row>
    <row r="20924" spans="1:1" x14ac:dyDescent="0.3">
      <c r="A20924" s="12"/>
    </row>
    <row r="20925" spans="1:1" x14ac:dyDescent="0.3">
      <c r="A20925" s="12"/>
    </row>
    <row r="20926" spans="1:1" x14ac:dyDescent="0.3">
      <c r="A20926" s="12"/>
    </row>
    <row r="20927" spans="1:1" x14ac:dyDescent="0.3">
      <c r="A20927" s="12"/>
    </row>
    <row r="20928" spans="1:1" x14ac:dyDescent="0.3">
      <c r="A20928" s="12"/>
    </row>
    <row r="20929" spans="1:1" x14ac:dyDescent="0.3">
      <c r="A20929" s="12"/>
    </row>
    <row r="20930" spans="1:1" x14ac:dyDescent="0.3">
      <c r="A20930" s="12"/>
    </row>
    <row r="20931" spans="1:1" x14ac:dyDescent="0.3">
      <c r="A20931" s="12"/>
    </row>
    <row r="20932" spans="1:1" x14ac:dyDescent="0.3">
      <c r="A20932" s="12"/>
    </row>
    <row r="20933" spans="1:1" x14ac:dyDescent="0.3">
      <c r="A20933" s="12"/>
    </row>
    <row r="20934" spans="1:1" x14ac:dyDescent="0.3">
      <c r="A20934" s="12"/>
    </row>
    <row r="20935" spans="1:1" x14ac:dyDescent="0.3">
      <c r="A20935" s="12"/>
    </row>
    <row r="20936" spans="1:1" x14ac:dyDescent="0.3">
      <c r="A20936" s="12"/>
    </row>
    <row r="20937" spans="1:1" x14ac:dyDescent="0.3">
      <c r="A20937" s="12"/>
    </row>
    <row r="20938" spans="1:1" x14ac:dyDescent="0.3">
      <c r="A20938" s="12"/>
    </row>
    <row r="20939" spans="1:1" x14ac:dyDescent="0.3">
      <c r="A20939" s="12"/>
    </row>
    <row r="20940" spans="1:1" x14ac:dyDescent="0.3">
      <c r="A20940" s="12"/>
    </row>
    <row r="20941" spans="1:1" x14ac:dyDescent="0.3">
      <c r="A20941" s="12"/>
    </row>
    <row r="20942" spans="1:1" x14ac:dyDescent="0.3">
      <c r="A20942" s="12"/>
    </row>
    <row r="20943" spans="1:1" x14ac:dyDescent="0.3">
      <c r="A20943" s="12"/>
    </row>
    <row r="20944" spans="1:1" x14ac:dyDescent="0.3">
      <c r="A20944" s="12"/>
    </row>
    <row r="20945" spans="1:1" x14ac:dyDescent="0.3">
      <c r="A20945" s="12"/>
    </row>
    <row r="20946" spans="1:1" x14ac:dyDescent="0.3">
      <c r="A20946" s="12"/>
    </row>
    <row r="20947" spans="1:1" x14ac:dyDescent="0.3">
      <c r="A20947" s="12"/>
    </row>
    <row r="20948" spans="1:1" x14ac:dyDescent="0.3">
      <c r="A20948" s="12"/>
    </row>
    <row r="20949" spans="1:1" x14ac:dyDescent="0.3">
      <c r="A20949" s="12"/>
    </row>
    <row r="20950" spans="1:1" x14ac:dyDescent="0.3">
      <c r="A20950" s="12"/>
    </row>
    <row r="20951" spans="1:1" x14ac:dyDescent="0.3">
      <c r="A20951" s="12"/>
    </row>
    <row r="20952" spans="1:1" x14ac:dyDescent="0.3">
      <c r="A20952" s="12"/>
    </row>
    <row r="20953" spans="1:1" x14ac:dyDescent="0.3">
      <c r="A20953" s="12"/>
    </row>
    <row r="20954" spans="1:1" x14ac:dyDescent="0.3">
      <c r="A20954" s="12"/>
    </row>
    <row r="20955" spans="1:1" x14ac:dyDescent="0.3">
      <c r="A20955" s="12"/>
    </row>
    <row r="20956" spans="1:1" x14ac:dyDescent="0.3">
      <c r="A20956" s="12"/>
    </row>
    <row r="20957" spans="1:1" x14ac:dyDescent="0.3">
      <c r="A20957" s="12"/>
    </row>
    <row r="20958" spans="1:1" x14ac:dyDescent="0.3">
      <c r="A20958" s="12"/>
    </row>
    <row r="20959" spans="1:1" x14ac:dyDescent="0.3">
      <c r="A20959" s="12"/>
    </row>
    <row r="20960" spans="1:1" x14ac:dyDescent="0.3">
      <c r="A20960" s="12"/>
    </row>
    <row r="20961" spans="1:1" x14ac:dyDescent="0.3">
      <c r="A20961" s="12"/>
    </row>
    <row r="20962" spans="1:1" x14ac:dyDescent="0.3">
      <c r="A20962" s="12"/>
    </row>
    <row r="20963" spans="1:1" x14ac:dyDescent="0.3">
      <c r="A20963" s="12"/>
    </row>
    <row r="20964" spans="1:1" x14ac:dyDescent="0.3">
      <c r="A20964" s="12"/>
    </row>
    <row r="20965" spans="1:1" x14ac:dyDescent="0.3">
      <c r="A20965" s="12"/>
    </row>
    <row r="20966" spans="1:1" x14ac:dyDescent="0.3">
      <c r="A20966" s="12"/>
    </row>
    <row r="20967" spans="1:1" x14ac:dyDescent="0.3">
      <c r="A20967" s="12"/>
    </row>
    <row r="20968" spans="1:1" x14ac:dyDescent="0.3">
      <c r="A20968" s="12"/>
    </row>
    <row r="20969" spans="1:1" x14ac:dyDescent="0.3">
      <c r="A20969" s="12"/>
    </row>
    <row r="20970" spans="1:1" x14ac:dyDescent="0.3">
      <c r="A20970" s="12"/>
    </row>
    <row r="20971" spans="1:1" x14ac:dyDescent="0.3">
      <c r="A20971" s="12"/>
    </row>
    <row r="20972" spans="1:1" x14ac:dyDescent="0.3">
      <c r="A20972" s="12"/>
    </row>
    <row r="20973" spans="1:1" x14ac:dyDescent="0.3">
      <c r="A20973" s="12"/>
    </row>
    <row r="20974" spans="1:1" x14ac:dyDescent="0.3">
      <c r="A20974" s="12"/>
    </row>
    <row r="20975" spans="1:1" x14ac:dyDescent="0.3">
      <c r="A20975" s="12"/>
    </row>
    <row r="20976" spans="1:1" x14ac:dyDescent="0.3">
      <c r="A20976" s="12"/>
    </row>
    <row r="20977" spans="1:1" x14ac:dyDescent="0.3">
      <c r="A20977" s="12"/>
    </row>
    <row r="20978" spans="1:1" x14ac:dyDescent="0.3">
      <c r="A20978" s="12"/>
    </row>
    <row r="20979" spans="1:1" x14ac:dyDescent="0.3">
      <c r="A20979" s="12"/>
    </row>
    <row r="20980" spans="1:1" x14ac:dyDescent="0.3">
      <c r="A20980" s="12"/>
    </row>
    <row r="20981" spans="1:1" x14ac:dyDescent="0.3">
      <c r="A20981" s="12"/>
    </row>
    <row r="20982" spans="1:1" x14ac:dyDescent="0.3">
      <c r="A20982" s="12"/>
    </row>
    <row r="20983" spans="1:1" x14ac:dyDescent="0.3">
      <c r="A20983" s="12"/>
    </row>
    <row r="20984" spans="1:1" x14ac:dyDescent="0.3">
      <c r="A20984" s="12"/>
    </row>
    <row r="20985" spans="1:1" x14ac:dyDescent="0.3">
      <c r="A20985" s="12"/>
    </row>
    <row r="20986" spans="1:1" x14ac:dyDescent="0.3">
      <c r="A20986" s="12"/>
    </row>
    <row r="20987" spans="1:1" x14ac:dyDescent="0.3">
      <c r="A20987" s="12"/>
    </row>
    <row r="20988" spans="1:1" x14ac:dyDescent="0.3">
      <c r="A20988" s="12"/>
    </row>
    <row r="20989" spans="1:1" x14ac:dyDescent="0.3">
      <c r="A20989" s="12"/>
    </row>
    <row r="20990" spans="1:1" x14ac:dyDescent="0.3">
      <c r="A20990" s="12"/>
    </row>
    <row r="20991" spans="1:1" x14ac:dyDescent="0.3">
      <c r="A20991" s="12"/>
    </row>
    <row r="20992" spans="1:1" x14ac:dyDescent="0.3">
      <c r="A20992" s="12"/>
    </row>
    <row r="20993" spans="1:1" x14ac:dyDescent="0.3">
      <c r="A20993" s="12"/>
    </row>
    <row r="20994" spans="1:1" x14ac:dyDescent="0.3">
      <c r="A20994" s="12"/>
    </row>
    <row r="20995" spans="1:1" x14ac:dyDescent="0.3">
      <c r="A20995" s="12"/>
    </row>
    <row r="20996" spans="1:1" x14ac:dyDescent="0.3">
      <c r="A20996" s="12"/>
    </row>
    <row r="20997" spans="1:1" x14ac:dyDescent="0.3">
      <c r="A20997" s="12"/>
    </row>
    <row r="20998" spans="1:1" x14ac:dyDescent="0.3">
      <c r="A20998" s="12"/>
    </row>
    <row r="20999" spans="1:1" x14ac:dyDescent="0.3">
      <c r="A20999" s="12"/>
    </row>
    <row r="21000" spans="1:1" x14ac:dyDescent="0.3">
      <c r="A21000" s="12"/>
    </row>
    <row r="21001" spans="1:1" x14ac:dyDescent="0.3">
      <c r="A21001" s="12"/>
    </row>
    <row r="21002" spans="1:1" x14ac:dyDescent="0.3">
      <c r="A21002" s="12"/>
    </row>
    <row r="21003" spans="1:1" x14ac:dyDescent="0.3">
      <c r="A21003" s="12"/>
    </row>
    <row r="21004" spans="1:1" x14ac:dyDescent="0.3">
      <c r="A21004" s="12"/>
    </row>
    <row r="21005" spans="1:1" x14ac:dyDescent="0.3">
      <c r="A21005" s="12"/>
    </row>
    <row r="21006" spans="1:1" x14ac:dyDescent="0.3">
      <c r="A21006" s="12"/>
    </row>
    <row r="21007" spans="1:1" x14ac:dyDescent="0.3">
      <c r="A21007" s="12"/>
    </row>
    <row r="21008" spans="1:1" x14ac:dyDescent="0.3">
      <c r="A21008" s="12"/>
    </row>
    <row r="21009" spans="1:1" x14ac:dyDescent="0.3">
      <c r="A21009" s="12"/>
    </row>
    <row r="21010" spans="1:1" x14ac:dyDescent="0.3">
      <c r="A21010" s="12"/>
    </row>
    <row r="21011" spans="1:1" x14ac:dyDescent="0.3">
      <c r="A21011" s="12"/>
    </row>
    <row r="21012" spans="1:1" x14ac:dyDescent="0.3">
      <c r="A21012" s="12"/>
    </row>
    <row r="21013" spans="1:1" x14ac:dyDescent="0.3">
      <c r="A21013" s="12"/>
    </row>
    <row r="21014" spans="1:1" x14ac:dyDescent="0.3">
      <c r="A21014" s="12"/>
    </row>
    <row r="21015" spans="1:1" x14ac:dyDescent="0.3">
      <c r="A21015" s="12"/>
    </row>
    <row r="21016" spans="1:1" x14ac:dyDescent="0.3">
      <c r="A21016" s="12"/>
    </row>
    <row r="21017" spans="1:1" x14ac:dyDescent="0.3">
      <c r="A21017" s="12"/>
    </row>
    <row r="21018" spans="1:1" x14ac:dyDescent="0.3">
      <c r="A21018" s="12"/>
    </row>
    <row r="21019" spans="1:1" x14ac:dyDescent="0.3">
      <c r="A21019" s="12"/>
    </row>
    <row r="21020" spans="1:1" x14ac:dyDescent="0.3">
      <c r="A21020" s="12"/>
    </row>
    <row r="21021" spans="1:1" x14ac:dyDescent="0.3">
      <c r="A21021" s="12"/>
    </row>
    <row r="21022" spans="1:1" x14ac:dyDescent="0.3">
      <c r="A21022" s="12"/>
    </row>
    <row r="21023" spans="1:1" x14ac:dyDescent="0.3">
      <c r="A21023" s="12"/>
    </row>
    <row r="21024" spans="1:1" x14ac:dyDescent="0.3">
      <c r="A21024" s="12"/>
    </row>
    <row r="21025" spans="1:1" x14ac:dyDescent="0.3">
      <c r="A21025" s="12"/>
    </row>
    <row r="21026" spans="1:1" x14ac:dyDescent="0.3">
      <c r="A21026" s="12"/>
    </row>
    <row r="21027" spans="1:1" x14ac:dyDescent="0.3">
      <c r="A21027" s="12"/>
    </row>
    <row r="21028" spans="1:1" x14ac:dyDescent="0.3">
      <c r="A21028" s="12"/>
    </row>
    <row r="21029" spans="1:1" x14ac:dyDescent="0.3">
      <c r="A21029" s="12"/>
    </row>
    <row r="21030" spans="1:1" x14ac:dyDescent="0.3">
      <c r="A21030" s="12"/>
    </row>
    <row r="21031" spans="1:1" x14ac:dyDescent="0.3">
      <c r="A21031" s="12"/>
    </row>
    <row r="21032" spans="1:1" x14ac:dyDescent="0.3">
      <c r="A21032" s="12"/>
    </row>
    <row r="21033" spans="1:1" x14ac:dyDescent="0.3">
      <c r="A21033" s="12"/>
    </row>
    <row r="21034" spans="1:1" x14ac:dyDescent="0.3">
      <c r="A21034" s="12"/>
    </row>
    <row r="21035" spans="1:1" x14ac:dyDescent="0.3">
      <c r="A21035" s="12"/>
    </row>
    <row r="21036" spans="1:1" x14ac:dyDescent="0.3">
      <c r="A21036" s="12"/>
    </row>
    <row r="21037" spans="1:1" x14ac:dyDescent="0.3">
      <c r="A21037" s="12"/>
    </row>
    <row r="21038" spans="1:1" x14ac:dyDescent="0.3">
      <c r="A21038" s="12"/>
    </row>
    <row r="21039" spans="1:1" x14ac:dyDescent="0.3">
      <c r="A21039" s="12"/>
    </row>
    <row r="21040" spans="1:1" x14ac:dyDescent="0.3">
      <c r="A21040" s="12"/>
    </row>
    <row r="21041" spans="1:1" x14ac:dyDescent="0.3">
      <c r="A21041" s="12"/>
    </row>
    <row r="21042" spans="1:1" x14ac:dyDescent="0.3">
      <c r="A21042" s="12"/>
    </row>
    <row r="21043" spans="1:1" x14ac:dyDescent="0.3">
      <c r="A21043" s="12"/>
    </row>
    <row r="21044" spans="1:1" x14ac:dyDescent="0.3">
      <c r="A21044" s="12"/>
    </row>
    <row r="21045" spans="1:1" x14ac:dyDescent="0.3">
      <c r="A21045" s="12"/>
    </row>
    <row r="21046" spans="1:1" x14ac:dyDescent="0.3">
      <c r="A21046" s="12"/>
    </row>
    <row r="21047" spans="1:1" x14ac:dyDescent="0.3">
      <c r="A21047" s="12"/>
    </row>
    <row r="21048" spans="1:1" x14ac:dyDescent="0.3">
      <c r="A21048" s="12"/>
    </row>
    <row r="21049" spans="1:1" x14ac:dyDescent="0.3">
      <c r="A21049" s="12"/>
    </row>
    <row r="21050" spans="1:1" x14ac:dyDescent="0.3">
      <c r="A21050" s="12"/>
    </row>
    <row r="21051" spans="1:1" x14ac:dyDescent="0.3">
      <c r="A21051" s="12"/>
    </row>
    <row r="21052" spans="1:1" x14ac:dyDescent="0.3">
      <c r="A21052" s="12"/>
    </row>
    <row r="21053" spans="1:1" x14ac:dyDescent="0.3">
      <c r="A21053" s="12"/>
    </row>
    <row r="21054" spans="1:1" x14ac:dyDescent="0.3">
      <c r="A21054" s="12"/>
    </row>
    <row r="21055" spans="1:1" x14ac:dyDescent="0.3">
      <c r="A21055" s="12"/>
    </row>
    <row r="21056" spans="1:1" x14ac:dyDescent="0.3">
      <c r="A21056" s="12"/>
    </row>
    <row r="21057" spans="1:1" x14ac:dyDescent="0.3">
      <c r="A21057" s="12"/>
    </row>
    <row r="21058" spans="1:1" x14ac:dyDescent="0.3">
      <c r="A21058" s="12"/>
    </row>
    <row r="21059" spans="1:1" x14ac:dyDescent="0.3">
      <c r="A21059" s="12"/>
    </row>
    <row r="21060" spans="1:1" x14ac:dyDescent="0.3">
      <c r="A21060" s="12"/>
    </row>
    <row r="21061" spans="1:1" x14ac:dyDescent="0.3">
      <c r="A21061" s="12"/>
    </row>
    <row r="21062" spans="1:1" x14ac:dyDescent="0.3">
      <c r="A21062" s="12"/>
    </row>
    <row r="21063" spans="1:1" x14ac:dyDescent="0.3">
      <c r="A21063" s="12"/>
    </row>
    <row r="21064" spans="1:1" x14ac:dyDescent="0.3">
      <c r="A21064" s="12"/>
    </row>
    <row r="21065" spans="1:1" x14ac:dyDescent="0.3">
      <c r="A21065" s="12"/>
    </row>
    <row r="21066" spans="1:1" x14ac:dyDescent="0.3">
      <c r="A21066" s="12"/>
    </row>
    <row r="21067" spans="1:1" x14ac:dyDescent="0.3">
      <c r="A21067" s="12"/>
    </row>
    <row r="21068" spans="1:1" x14ac:dyDescent="0.3">
      <c r="A21068" s="12"/>
    </row>
    <row r="21069" spans="1:1" x14ac:dyDescent="0.3">
      <c r="A21069" s="12"/>
    </row>
    <row r="21070" spans="1:1" x14ac:dyDescent="0.3">
      <c r="A21070" s="12"/>
    </row>
    <row r="21071" spans="1:1" x14ac:dyDescent="0.3">
      <c r="A21071" s="12"/>
    </row>
    <row r="21072" spans="1:1" x14ac:dyDescent="0.3">
      <c r="A21072" s="12"/>
    </row>
    <row r="21073" spans="1:1" x14ac:dyDescent="0.3">
      <c r="A21073" s="12"/>
    </row>
    <row r="21074" spans="1:1" x14ac:dyDescent="0.3">
      <c r="A21074" s="12"/>
    </row>
    <row r="21075" spans="1:1" x14ac:dyDescent="0.3">
      <c r="A21075" s="12"/>
    </row>
    <row r="21076" spans="1:1" x14ac:dyDescent="0.3">
      <c r="A21076" s="12"/>
    </row>
    <row r="21077" spans="1:1" x14ac:dyDescent="0.3">
      <c r="A21077" s="12"/>
    </row>
    <row r="21078" spans="1:1" x14ac:dyDescent="0.3">
      <c r="A21078" s="12"/>
    </row>
    <row r="21079" spans="1:1" x14ac:dyDescent="0.3">
      <c r="A21079" s="12"/>
    </row>
    <row r="21080" spans="1:1" x14ac:dyDescent="0.3">
      <c r="A21080" s="12"/>
    </row>
    <row r="21081" spans="1:1" x14ac:dyDescent="0.3">
      <c r="A21081" s="12"/>
    </row>
    <row r="21082" spans="1:1" x14ac:dyDescent="0.3">
      <c r="A21082" s="12"/>
    </row>
    <row r="21083" spans="1:1" x14ac:dyDescent="0.3">
      <c r="A21083" s="12"/>
    </row>
    <row r="21084" spans="1:1" x14ac:dyDescent="0.3">
      <c r="A21084" s="12"/>
    </row>
    <row r="21085" spans="1:1" x14ac:dyDescent="0.3">
      <c r="A21085" s="12"/>
    </row>
    <row r="21086" spans="1:1" x14ac:dyDescent="0.3">
      <c r="A21086" s="12"/>
    </row>
    <row r="21087" spans="1:1" x14ac:dyDescent="0.3">
      <c r="A21087" s="12"/>
    </row>
    <row r="21088" spans="1:1" x14ac:dyDescent="0.3">
      <c r="A21088" s="12"/>
    </row>
    <row r="21089" spans="1:1" x14ac:dyDescent="0.3">
      <c r="A21089" s="12"/>
    </row>
    <row r="21090" spans="1:1" x14ac:dyDescent="0.3">
      <c r="A21090" s="12"/>
    </row>
    <row r="21091" spans="1:1" x14ac:dyDescent="0.3">
      <c r="A21091" s="12"/>
    </row>
    <row r="21092" spans="1:1" x14ac:dyDescent="0.3">
      <c r="A21092" s="12"/>
    </row>
    <row r="21093" spans="1:1" x14ac:dyDescent="0.3">
      <c r="A21093" s="12"/>
    </row>
    <row r="21094" spans="1:1" x14ac:dyDescent="0.3">
      <c r="A21094" s="12"/>
    </row>
    <row r="21095" spans="1:1" x14ac:dyDescent="0.3">
      <c r="A21095" s="12"/>
    </row>
    <row r="21096" spans="1:1" x14ac:dyDescent="0.3">
      <c r="A21096" s="12"/>
    </row>
    <row r="21097" spans="1:1" x14ac:dyDescent="0.3">
      <c r="A21097" s="12"/>
    </row>
    <row r="21098" spans="1:1" x14ac:dyDescent="0.3">
      <c r="A21098" s="12"/>
    </row>
    <row r="21099" spans="1:1" x14ac:dyDescent="0.3">
      <c r="A21099" s="12"/>
    </row>
    <row r="21100" spans="1:1" x14ac:dyDescent="0.3">
      <c r="A21100" s="12"/>
    </row>
    <row r="21101" spans="1:1" x14ac:dyDescent="0.3">
      <c r="A21101" s="12"/>
    </row>
    <row r="21102" spans="1:1" x14ac:dyDescent="0.3">
      <c r="A21102" s="12"/>
    </row>
    <row r="21103" spans="1:1" x14ac:dyDescent="0.3">
      <c r="A21103" s="12"/>
    </row>
    <row r="21104" spans="1:1" x14ac:dyDescent="0.3">
      <c r="A21104" s="12"/>
    </row>
    <row r="21105" spans="1:1" x14ac:dyDescent="0.3">
      <c r="A21105" s="12"/>
    </row>
    <row r="21106" spans="1:1" x14ac:dyDescent="0.3">
      <c r="A21106" s="12"/>
    </row>
    <row r="21107" spans="1:1" x14ac:dyDescent="0.3">
      <c r="A21107" s="12"/>
    </row>
    <row r="21108" spans="1:1" x14ac:dyDescent="0.3">
      <c r="A21108" s="12"/>
    </row>
    <row r="21109" spans="1:1" x14ac:dyDescent="0.3">
      <c r="A21109" s="12"/>
    </row>
    <row r="21110" spans="1:1" x14ac:dyDescent="0.3">
      <c r="A21110" s="12"/>
    </row>
    <row r="21111" spans="1:1" x14ac:dyDescent="0.3">
      <c r="A21111" s="12"/>
    </row>
    <row r="21112" spans="1:1" x14ac:dyDescent="0.3">
      <c r="A21112" s="12"/>
    </row>
    <row r="21113" spans="1:1" x14ac:dyDescent="0.3">
      <c r="A21113" s="12"/>
    </row>
    <row r="21114" spans="1:1" x14ac:dyDescent="0.3">
      <c r="A21114" s="12"/>
    </row>
    <row r="21115" spans="1:1" x14ac:dyDescent="0.3">
      <c r="A21115" s="12"/>
    </row>
    <row r="21116" spans="1:1" x14ac:dyDescent="0.3">
      <c r="A21116" s="12"/>
    </row>
    <row r="21117" spans="1:1" x14ac:dyDescent="0.3">
      <c r="A21117" s="12"/>
    </row>
    <row r="21118" spans="1:1" x14ac:dyDescent="0.3">
      <c r="A21118" s="12"/>
    </row>
    <row r="21119" spans="1:1" x14ac:dyDescent="0.3">
      <c r="A21119" s="12"/>
    </row>
    <row r="21120" spans="1:1" x14ac:dyDescent="0.3">
      <c r="A21120" s="12"/>
    </row>
    <row r="21121" spans="1:1" x14ac:dyDescent="0.3">
      <c r="A21121" s="12"/>
    </row>
    <row r="21122" spans="1:1" x14ac:dyDescent="0.3">
      <c r="A21122" s="12"/>
    </row>
    <row r="21123" spans="1:1" x14ac:dyDescent="0.3">
      <c r="A21123" s="12"/>
    </row>
    <row r="21124" spans="1:1" x14ac:dyDescent="0.3">
      <c r="A21124" s="12"/>
    </row>
    <row r="21125" spans="1:1" x14ac:dyDescent="0.3">
      <c r="A21125" s="12"/>
    </row>
    <row r="21126" spans="1:1" x14ac:dyDescent="0.3">
      <c r="A21126" s="12"/>
    </row>
    <row r="21127" spans="1:1" x14ac:dyDescent="0.3">
      <c r="A21127" s="12"/>
    </row>
    <row r="21128" spans="1:1" x14ac:dyDescent="0.3">
      <c r="A21128" s="12"/>
    </row>
    <row r="21129" spans="1:1" x14ac:dyDescent="0.3">
      <c r="A21129" s="12"/>
    </row>
    <row r="21130" spans="1:1" x14ac:dyDescent="0.3">
      <c r="A21130" s="12"/>
    </row>
    <row r="21131" spans="1:1" x14ac:dyDescent="0.3">
      <c r="A21131" s="12"/>
    </row>
    <row r="21132" spans="1:1" x14ac:dyDescent="0.3">
      <c r="A21132" s="12"/>
    </row>
    <row r="21133" spans="1:1" x14ac:dyDescent="0.3">
      <c r="A21133" s="12"/>
    </row>
    <row r="21134" spans="1:1" x14ac:dyDescent="0.3">
      <c r="A21134" s="12"/>
    </row>
    <row r="21135" spans="1:1" x14ac:dyDescent="0.3">
      <c r="A21135" s="12"/>
    </row>
    <row r="21136" spans="1:1" x14ac:dyDescent="0.3">
      <c r="A21136" s="12"/>
    </row>
    <row r="21137" spans="1:1" x14ac:dyDescent="0.3">
      <c r="A21137" s="12"/>
    </row>
    <row r="21138" spans="1:1" x14ac:dyDescent="0.3">
      <c r="A21138" s="12"/>
    </row>
    <row r="21139" spans="1:1" x14ac:dyDescent="0.3">
      <c r="A21139" s="12"/>
    </row>
    <row r="21140" spans="1:1" x14ac:dyDescent="0.3">
      <c r="A21140" s="12"/>
    </row>
    <row r="21141" spans="1:1" x14ac:dyDescent="0.3">
      <c r="A21141" s="12"/>
    </row>
    <row r="21142" spans="1:1" x14ac:dyDescent="0.3">
      <c r="A21142" s="12"/>
    </row>
    <row r="21143" spans="1:1" x14ac:dyDescent="0.3">
      <c r="A21143" s="12"/>
    </row>
    <row r="21144" spans="1:1" x14ac:dyDescent="0.3">
      <c r="A21144" s="12"/>
    </row>
    <row r="21145" spans="1:1" x14ac:dyDescent="0.3">
      <c r="A21145" s="12"/>
    </row>
    <row r="21146" spans="1:1" x14ac:dyDescent="0.3">
      <c r="A21146" s="12"/>
    </row>
    <row r="21147" spans="1:1" x14ac:dyDescent="0.3">
      <c r="A21147" s="12"/>
    </row>
    <row r="21148" spans="1:1" x14ac:dyDescent="0.3">
      <c r="A21148" s="12"/>
    </row>
    <row r="21149" spans="1:1" x14ac:dyDescent="0.3">
      <c r="A21149" s="12"/>
    </row>
    <row r="21150" spans="1:1" x14ac:dyDescent="0.3">
      <c r="A21150" s="12"/>
    </row>
    <row r="21151" spans="1:1" x14ac:dyDescent="0.3">
      <c r="A21151" s="12"/>
    </row>
    <row r="21152" spans="1:1" x14ac:dyDescent="0.3">
      <c r="A21152" s="12"/>
    </row>
    <row r="21153" spans="1:1" x14ac:dyDescent="0.3">
      <c r="A21153" s="12"/>
    </row>
    <row r="21154" spans="1:1" x14ac:dyDescent="0.3">
      <c r="A21154" s="12"/>
    </row>
    <row r="21155" spans="1:1" x14ac:dyDescent="0.3">
      <c r="A21155" s="12"/>
    </row>
    <row r="21156" spans="1:1" x14ac:dyDescent="0.3">
      <c r="A21156" s="12"/>
    </row>
    <row r="21157" spans="1:1" x14ac:dyDescent="0.3">
      <c r="A21157" s="12"/>
    </row>
    <row r="21158" spans="1:1" x14ac:dyDescent="0.3">
      <c r="A21158" s="12"/>
    </row>
    <row r="21159" spans="1:1" x14ac:dyDescent="0.3">
      <c r="A21159" s="12"/>
    </row>
    <row r="21160" spans="1:1" x14ac:dyDescent="0.3">
      <c r="A21160" s="12"/>
    </row>
    <row r="21161" spans="1:1" x14ac:dyDescent="0.3">
      <c r="A21161" s="12"/>
    </row>
    <row r="21162" spans="1:1" x14ac:dyDescent="0.3">
      <c r="A21162" s="12"/>
    </row>
    <row r="21163" spans="1:1" x14ac:dyDescent="0.3">
      <c r="A21163" s="12"/>
    </row>
    <row r="21164" spans="1:1" x14ac:dyDescent="0.3">
      <c r="A21164" s="12"/>
    </row>
    <row r="21165" spans="1:1" x14ac:dyDescent="0.3">
      <c r="A21165" s="12"/>
    </row>
    <row r="21166" spans="1:1" x14ac:dyDescent="0.3">
      <c r="A21166" s="12"/>
    </row>
    <row r="21167" spans="1:1" x14ac:dyDescent="0.3">
      <c r="A21167" s="12"/>
    </row>
    <row r="21168" spans="1:1" x14ac:dyDescent="0.3">
      <c r="A21168" s="12"/>
    </row>
    <row r="21169" spans="1:1" x14ac:dyDescent="0.3">
      <c r="A21169" s="12"/>
    </row>
    <row r="21170" spans="1:1" x14ac:dyDescent="0.3">
      <c r="A21170" s="12"/>
    </row>
    <row r="21171" spans="1:1" x14ac:dyDescent="0.3">
      <c r="A21171" s="12"/>
    </row>
    <row r="21172" spans="1:1" x14ac:dyDescent="0.3">
      <c r="A21172" s="12"/>
    </row>
    <row r="21173" spans="1:1" x14ac:dyDescent="0.3">
      <c r="A21173" s="12"/>
    </row>
    <row r="21174" spans="1:1" x14ac:dyDescent="0.3">
      <c r="A21174" s="12"/>
    </row>
    <row r="21175" spans="1:1" x14ac:dyDescent="0.3">
      <c r="A21175" s="12"/>
    </row>
    <row r="21176" spans="1:1" x14ac:dyDescent="0.3">
      <c r="A21176" s="12"/>
    </row>
    <row r="21177" spans="1:1" x14ac:dyDescent="0.3">
      <c r="A21177" s="12"/>
    </row>
    <row r="21178" spans="1:1" x14ac:dyDescent="0.3">
      <c r="A21178" s="12"/>
    </row>
    <row r="21179" spans="1:1" x14ac:dyDescent="0.3">
      <c r="A21179" s="12"/>
    </row>
    <row r="21180" spans="1:1" x14ac:dyDescent="0.3">
      <c r="A21180" s="12"/>
    </row>
    <row r="21181" spans="1:1" x14ac:dyDescent="0.3">
      <c r="A21181" s="12"/>
    </row>
    <row r="21182" spans="1:1" x14ac:dyDescent="0.3">
      <c r="A21182" s="12"/>
    </row>
    <row r="21183" spans="1:1" x14ac:dyDescent="0.3">
      <c r="A21183" s="12"/>
    </row>
    <row r="21184" spans="1:1" x14ac:dyDescent="0.3">
      <c r="A21184" s="12"/>
    </row>
    <row r="21185" spans="1:1" x14ac:dyDescent="0.3">
      <c r="A21185" s="12"/>
    </row>
    <row r="21186" spans="1:1" x14ac:dyDescent="0.3">
      <c r="A21186" s="12"/>
    </row>
    <row r="21187" spans="1:1" x14ac:dyDescent="0.3">
      <c r="A21187" s="12"/>
    </row>
    <row r="21188" spans="1:1" x14ac:dyDescent="0.3">
      <c r="A21188" s="12"/>
    </row>
    <row r="21189" spans="1:1" x14ac:dyDescent="0.3">
      <c r="A21189" s="12"/>
    </row>
    <row r="21190" spans="1:1" x14ac:dyDescent="0.3">
      <c r="A21190" s="12"/>
    </row>
    <row r="21191" spans="1:1" x14ac:dyDescent="0.3">
      <c r="A21191" s="12"/>
    </row>
    <row r="21192" spans="1:1" x14ac:dyDescent="0.3">
      <c r="A21192" s="12"/>
    </row>
    <row r="21193" spans="1:1" x14ac:dyDescent="0.3">
      <c r="A21193" s="12"/>
    </row>
    <row r="21194" spans="1:1" x14ac:dyDescent="0.3">
      <c r="A21194" s="12"/>
    </row>
    <row r="21195" spans="1:1" x14ac:dyDescent="0.3">
      <c r="A21195" s="12"/>
    </row>
    <row r="21196" spans="1:1" x14ac:dyDescent="0.3">
      <c r="A21196" s="12"/>
    </row>
    <row r="21197" spans="1:1" x14ac:dyDescent="0.3">
      <c r="A21197" s="12"/>
    </row>
    <row r="21198" spans="1:1" x14ac:dyDescent="0.3">
      <c r="A21198" s="12"/>
    </row>
    <row r="21199" spans="1:1" x14ac:dyDescent="0.3">
      <c r="A21199" s="12"/>
    </row>
    <row r="21200" spans="1:1" x14ac:dyDescent="0.3">
      <c r="A21200" s="12"/>
    </row>
    <row r="21201" spans="1:1" x14ac:dyDescent="0.3">
      <c r="A21201" s="12"/>
    </row>
    <row r="21202" spans="1:1" x14ac:dyDescent="0.3">
      <c r="A21202" s="12"/>
    </row>
    <row r="21203" spans="1:1" x14ac:dyDescent="0.3">
      <c r="A21203" s="12"/>
    </row>
    <row r="21204" spans="1:1" x14ac:dyDescent="0.3">
      <c r="A21204" s="12"/>
    </row>
    <row r="21205" spans="1:1" x14ac:dyDescent="0.3">
      <c r="A21205" s="12"/>
    </row>
    <row r="21206" spans="1:1" x14ac:dyDescent="0.3">
      <c r="A21206" s="12"/>
    </row>
    <row r="21207" spans="1:1" x14ac:dyDescent="0.3">
      <c r="A21207" s="12"/>
    </row>
    <row r="21208" spans="1:1" x14ac:dyDescent="0.3">
      <c r="A21208" s="12"/>
    </row>
    <row r="21209" spans="1:1" x14ac:dyDescent="0.3">
      <c r="A21209" s="12"/>
    </row>
    <row r="21210" spans="1:1" x14ac:dyDescent="0.3">
      <c r="A21210" s="12"/>
    </row>
    <row r="21211" spans="1:1" x14ac:dyDescent="0.3">
      <c r="A21211" s="12"/>
    </row>
    <row r="21212" spans="1:1" x14ac:dyDescent="0.3">
      <c r="A21212" s="12"/>
    </row>
    <row r="21213" spans="1:1" x14ac:dyDescent="0.3">
      <c r="A21213" s="12"/>
    </row>
    <row r="21214" spans="1:1" x14ac:dyDescent="0.3">
      <c r="A21214" s="12"/>
    </row>
    <row r="21215" spans="1:1" x14ac:dyDescent="0.3">
      <c r="A21215" s="12"/>
    </row>
    <row r="21216" spans="1:1" x14ac:dyDescent="0.3">
      <c r="A21216" s="12"/>
    </row>
    <row r="21217" spans="1:1" x14ac:dyDescent="0.3">
      <c r="A21217" s="12"/>
    </row>
    <row r="21218" spans="1:1" x14ac:dyDescent="0.3">
      <c r="A21218" s="12"/>
    </row>
    <row r="21219" spans="1:1" x14ac:dyDescent="0.3">
      <c r="A21219" s="12"/>
    </row>
    <row r="21220" spans="1:1" x14ac:dyDescent="0.3">
      <c r="A21220" s="12"/>
    </row>
    <row r="21221" spans="1:1" x14ac:dyDescent="0.3">
      <c r="A21221" s="12"/>
    </row>
    <row r="21222" spans="1:1" x14ac:dyDescent="0.3">
      <c r="A21222" s="12"/>
    </row>
    <row r="21223" spans="1:1" x14ac:dyDescent="0.3">
      <c r="A21223" s="12"/>
    </row>
    <row r="21224" spans="1:1" x14ac:dyDescent="0.3">
      <c r="A21224" s="12"/>
    </row>
    <row r="21225" spans="1:1" x14ac:dyDescent="0.3">
      <c r="A21225" s="12"/>
    </row>
    <row r="21226" spans="1:1" x14ac:dyDescent="0.3">
      <c r="A21226" s="12"/>
    </row>
    <row r="21227" spans="1:1" x14ac:dyDescent="0.3">
      <c r="A21227" s="12"/>
    </row>
    <row r="21228" spans="1:1" x14ac:dyDescent="0.3">
      <c r="A21228" s="12"/>
    </row>
    <row r="21229" spans="1:1" x14ac:dyDescent="0.3">
      <c r="A21229" s="12"/>
    </row>
    <row r="21230" spans="1:1" x14ac:dyDescent="0.3">
      <c r="A21230" s="12"/>
    </row>
    <row r="21231" spans="1:1" x14ac:dyDescent="0.3">
      <c r="A21231" s="12"/>
    </row>
    <row r="21232" spans="1:1" x14ac:dyDescent="0.3">
      <c r="A21232" s="12"/>
    </row>
    <row r="21233" spans="1:1" x14ac:dyDescent="0.3">
      <c r="A21233" s="12"/>
    </row>
    <row r="21234" spans="1:1" x14ac:dyDescent="0.3">
      <c r="A21234" s="12"/>
    </row>
    <row r="21235" spans="1:1" x14ac:dyDescent="0.3">
      <c r="A21235" s="12"/>
    </row>
    <row r="21236" spans="1:1" x14ac:dyDescent="0.3">
      <c r="A21236" s="12"/>
    </row>
    <row r="21237" spans="1:1" x14ac:dyDescent="0.3">
      <c r="A21237" s="12"/>
    </row>
    <row r="21238" spans="1:1" x14ac:dyDescent="0.3">
      <c r="A21238" s="12"/>
    </row>
    <row r="21239" spans="1:1" x14ac:dyDescent="0.3">
      <c r="A21239" s="12"/>
    </row>
    <row r="21240" spans="1:1" x14ac:dyDescent="0.3">
      <c r="A21240" s="12"/>
    </row>
    <row r="21241" spans="1:1" x14ac:dyDescent="0.3">
      <c r="A21241" s="12"/>
    </row>
    <row r="21242" spans="1:1" x14ac:dyDescent="0.3">
      <c r="A21242" s="12"/>
    </row>
    <row r="21243" spans="1:1" x14ac:dyDescent="0.3">
      <c r="A21243" s="12"/>
    </row>
    <row r="21244" spans="1:1" x14ac:dyDescent="0.3">
      <c r="A21244" s="12"/>
    </row>
    <row r="21245" spans="1:1" x14ac:dyDescent="0.3">
      <c r="A21245" s="12"/>
    </row>
    <row r="21246" spans="1:1" x14ac:dyDescent="0.3">
      <c r="A21246" s="12"/>
    </row>
    <row r="21247" spans="1:1" x14ac:dyDescent="0.3">
      <c r="A21247" s="12"/>
    </row>
    <row r="21248" spans="1:1" x14ac:dyDescent="0.3">
      <c r="A21248" s="12"/>
    </row>
    <row r="21249" spans="1:1" x14ac:dyDescent="0.3">
      <c r="A21249" s="12"/>
    </row>
    <row r="21250" spans="1:1" x14ac:dyDescent="0.3">
      <c r="A21250" s="12"/>
    </row>
    <row r="21251" spans="1:1" x14ac:dyDescent="0.3">
      <c r="A21251" s="12"/>
    </row>
    <row r="21252" spans="1:1" x14ac:dyDescent="0.3">
      <c r="A21252" s="12"/>
    </row>
    <row r="21253" spans="1:1" x14ac:dyDescent="0.3">
      <c r="A21253" s="12"/>
    </row>
    <row r="21254" spans="1:1" x14ac:dyDescent="0.3">
      <c r="A21254" s="12"/>
    </row>
    <row r="21255" spans="1:1" x14ac:dyDescent="0.3">
      <c r="A21255" s="12"/>
    </row>
    <row r="21256" spans="1:1" x14ac:dyDescent="0.3">
      <c r="A21256" s="12"/>
    </row>
    <row r="21257" spans="1:1" x14ac:dyDescent="0.3">
      <c r="A21257" s="12"/>
    </row>
    <row r="21258" spans="1:1" x14ac:dyDescent="0.3">
      <c r="A21258" s="12"/>
    </row>
    <row r="21259" spans="1:1" x14ac:dyDescent="0.3">
      <c r="A21259" s="12"/>
    </row>
    <row r="21260" spans="1:1" x14ac:dyDescent="0.3">
      <c r="A21260" s="12"/>
    </row>
    <row r="21261" spans="1:1" x14ac:dyDescent="0.3">
      <c r="A21261" s="12"/>
    </row>
    <row r="21262" spans="1:1" x14ac:dyDescent="0.3">
      <c r="A21262" s="12"/>
    </row>
    <row r="21263" spans="1:1" x14ac:dyDescent="0.3">
      <c r="A21263" s="12"/>
    </row>
    <row r="21264" spans="1:1" x14ac:dyDescent="0.3">
      <c r="A21264" s="12"/>
    </row>
    <row r="21265" spans="1:1" x14ac:dyDescent="0.3">
      <c r="A21265" s="12"/>
    </row>
    <row r="21266" spans="1:1" x14ac:dyDescent="0.3">
      <c r="A21266" s="12"/>
    </row>
    <row r="21267" spans="1:1" x14ac:dyDescent="0.3">
      <c r="A21267" s="12"/>
    </row>
    <row r="21268" spans="1:1" x14ac:dyDescent="0.3">
      <c r="A21268" s="12"/>
    </row>
    <row r="21269" spans="1:1" x14ac:dyDescent="0.3">
      <c r="A21269" s="12"/>
    </row>
    <row r="21270" spans="1:1" x14ac:dyDescent="0.3">
      <c r="A21270" s="12"/>
    </row>
    <row r="21271" spans="1:1" x14ac:dyDescent="0.3">
      <c r="A21271" s="12"/>
    </row>
    <row r="21272" spans="1:1" x14ac:dyDescent="0.3">
      <c r="A21272" s="12"/>
    </row>
    <row r="21273" spans="1:1" x14ac:dyDescent="0.3">
      <c r="A21273" s="12"/>
    </row>
    <row r="21274" spans="1:1" x14ac:dyDescent="0.3">
      <c r="A21274" s="12"/>
    </row>
    <row r="21275" spans="1:1" x14ac:dyDescent="0.3">
      <c r="A21275" s="12"/>
    </row>
    <row r="21276" spans="1:1" x14ac:dyDescent="0.3">
      <c r="A21276" s="12"/>
    </row>
    <row r="21277" spans="1:1" x14ac:dyDescent="0.3">
      <c r="A21277" s="12"/>
    </row>
    <row r="21278" spans="1:1" x14ac:dyDescent="0.3">
      <c r="A21278" s="12"/>
    </row>
    <row r="21279" spans="1:1" x14ac:dyDescent="0.3">
      <c r="A21279" s="12"/>
    </row>
    <row r="21280" spans="1:1" x14ac:dyDescent="0.3">
      <c r="A21280" s="12"/>
    </row>
    <row r="21281" spans="1:1" x14ac:dyDescent="0.3">
      <c r="A21281" s="12"/>
    </row>
    <row r="21282" spans="1:1" x14ac:dyDescent="0.3">
      <c r="A21282" s="12"/>
    </row>
    <row r="21283" spans="1:1" x14ac:dyDescent="0.3">
      <c r="A21283" s="12"/>
    </row>
    <row r="21284" spans="1:1" x14ac:dyDescent="0.3">
      <c r="A21284" s="12"/>
    </row>
    <row r="21285" spans="1:1" x14ac:dyDescent="0.3">
      <c r="A21285" s="12"/>
    </row>
    <row r="21286" spans="1:1" x14ac:dyDescent="0.3">
      <c r="A21286" s="12"/>
    </row>
    <row r="21287" spans="1:1" x14ac:dyDescent="0.3">
      <c r="A21287" s="12"/>
    </row>
    <row r="21288" spans="1:1" x14ac:dyDescent="0.3">
      <c r="A21288" s="12"/>
    </row>
    <row r="21289" spans="1:1" x14ac:dyDescent="0.3">
      <c r="A21289" s="12"/>
    </row>
    <row r="21290" spans="1:1" x14ac:dyDescent="0.3">
      <c r="A21290" s="12"/>
    </row>
    <row r="21291" spans="1:1" x14ac:dyDescent="0.3">
      <c r="A21291" s="12"/>
    </row>
    <row r="21292" spans="1:1" x14ac:dyDescent="0.3">
      <c r="A21292" s="12"/>
    </row>
    <row r="21293" spans="1:1" x14ac:dyDescent="0.3">
      <c r="A21293" s="12"/>
    </row>
    <row r="21294" spans="1:1" x14ac:dyDescent="0.3">
      <c r="A21294" s="12"/>
    </row>
    <row r="21295" spans="1:1" x14ac:dyDescent="0.3">
      <c r="A21295" s="12"/>
    </row>
    <row r="21296" spans="1:1" x14ac:dyDescent="0.3">
      <c r="A21296" s="12"/>
    </row>
    <row r="21297" spans="1:1" x14ac:dyDescent="0.3">
      <c r="A21297" s="12"/>
    </row>
    <row r="21298" spans="1:1" x14ac:dyDescent="0.3">
      <c r="A21298" s="12"/>
    </row>
    <row r="21299" spans="1:1" x14ac:dyDescent="0.3">
      <c r="A21299" s="12"/>
    </row>
    <row r="21300" spans="1:1" x14ac:dyDescent="0.3">
      <c r="A21300" s="12"/>
    </row>
    <row r="21301" spans="1:1" x14ac:dyDescent="0.3">
      <c r="A21301" s="12"/>
    </row>
    <row r="21302" spans="1:1" x14ac:dyDescent="0.3">
      <c r="A21302" s="12"/>
    </row>
    <row r="21303" spans="1:1" x14ac:dyDescent="0.3">
      <c r="A21303" s="12"/>
    </row>
    <row r="21304" spans="1:1" x14ac:dyDescent="0.3">
      <c r="A21304" s="12"/>
    </row>
    <row r="21305" spans="1:1" x14ac:dyDescent="0.3">
      <c r="A21305" s="12"/>
    </row>
    <row r="21306" spans="1:1" x14ac:dyDescent="0.3">
      <c r="A21306" s="12"/>
    </row>
    <row r="21307" spans="1:1" x14ac:dyDescent="0.3">
      <c r="A21307" s="12"/>
    </row>
    <row r="21308" spans="1:1" x14ac:dyDescent="0.3">
      <c r="A21308" s="12"/>
    </row>
    <row r="21309" spans="1:1" x14ac:dyDescent="0.3">
      <c r="A21309" s="12"/>
    </row>
    <row r="21310" spans="1:1" x14ac:dyDescent="0.3">
      <c r="A21310" s="12"/>
    </row>
    <row r="21311" spans="1:1" x14ac:dyDescent="0.3">
      <c r="A21311" s="12"/>
    </row>
    <row r="21312" spans="1:1" x14ac:dyDescent="0.3">
      <c r="A21312" s="12"/>
    </row>
    <row r="21313" spans="1:1" x14ac:dyDescent="0.3">
      <c r="A21313" s="12"/>
    </row>
    <row r="21314" spans="1:1" x14ac:dyDescent="0.3">
      <c r="A21314" s="12"/>
    </row>
    <row r="21315" spans="1:1" x14ac:dyDescent="0.3">
      <c r="A21315" s="12"/>
    </row>
    <row r="21316" spans="1:1" x14ac:dyDescent="0.3">
      <c r="A21316" s="12"/>
    </row>
    <row r="21317" spans="1:1" x14ac:dyDescent="0.3">
      <c r="A21317" s="12"/>
    </row>
    <row r="21318" spans="1:1" x14ac:dyDescent="0.3">
      <c r="A21318" s="12"/>
    </row>
    <row r="21319" spans="1:1" x14ac:dyDescent="0.3">
      <c r="A21319" s="12"/>
    </row>
    <row r="21320" spans="1:1" x14ac:dyDescent="0.3">
      <c r="A21320" s="12"/>
    </row>
    <row r="21321" spans="1:1" x14ac:dyDescent="0.3">
      <c r="A21321" s="12"/>
    </row>
    <row r="21322" spans="1:1" x14ac:dyDescent="0.3">
      <c r="A21322" s="12"/>
    </row>
    <row r="21323" spans="1:1" x14ac:dyDescent="0.3">
      <c r="A21323" s="12"/>
    </row>
    <row r="21324" spans="1:1" x14ac:dyDescent="0.3">
      <c r="A21324" s="12"/>
    </row>
    <row r="21325" spans="1:1" x14ac:dyDescent="0.3">
      <c r="A21325" s="12"/>
    </row>
    <row r="21326" spans="1:1" x14ac:dyDescent="0.3">
      <c r="A21326" s="12"/>
    </row>
    <row r="21327" spans="1:1" x14ac:dyDescent="0.3">
      <c r="A21327" s="12"/>
    </row>
    <row r="21328" spans="1:1" x14ac:dyDescent="0.3">
      <c r="A21328" s="12"/>
    </row>
    <row r="21329" spans="1:1" x14ac:dyDescent="0.3">
      <c r="A21329" s="12"/>
    </row>
    <row r="21330" spans="1:1" x14ac:dyDescent="0.3">
      <c r="A21330" s="12"/>
    </row>
    <row r="21331" spans="1:1" x14ac:dyDescent="0.3">
      <c r="A21331" s="12"/>
    </row>
    <row r="21332" spans="1:1" x14ac:dyDescent="0.3">
      <c r="A21332" s="12"/>
    </row>
    <row r="21333" spans="1:1" x14ac:dyDescent="0.3">
      <c r="A21333" s="12"/>
    </row>
    <row r="21334" spans="1:1" x14ac:dyDescent="0.3">
      <c r="A21334" s="12"/>
    </row>
    <row r="21335" spans="1:1" x14ac:dyDescent="0.3">
      <c r="A21335" s="12"/>
    </row>
    <row r="21336" spans="1:1" x14ac:dyDescent="0.3">
      <c r="A21336" s="12"/>
    </row>
    <row r="21337" spans="1:1" x14ac:dyDescent="0.3">
      <c r="A21337" s="12"/>
    </row>
    <row r="21338" spans="1:1" x14ac:dyDescent="0.3">
      <c r="A21338" s="12"/>
    </row>
    <row r="21339" spans="1:1" x14ac:dyDescent="0.3">
      <c r="A21339" s="12"/>
    </row>
    <row r="21340" spans="1:1" x14ac:dyDescent="0.3">
      <c r="A21340" s="12"/>
    </row>
    <row r="21341" spans="1:1" x14ac:dyDescent="0.3">
      <c r="A21341" s="12"/>
    </row>
    <row r="21342" spans="1:1" x14ac:dyDescent="0.3">
      <c r="A21342" s="12"/>
    </row>
    <row r="21343" spans="1:1" x14ac:dyDescent="0.3">
      <c r="A21343" s="12"/>
    </row>
    <row r="21344" spans="1:1" x14ac:dyDescent="0.3">
      <c r="A21344" s="12"/>
    </row>
    <row r="21345" spans="1:1" x14ac:dyDescent="0.3">
      <c r="A21345" s="12"/>
    </row>
    <row r="21346" spans="1:1" x14ac:dyDescent="0.3">
      <c r="A21346" s="12"/>
    </row>
    <row r="21347" spans="1:1" x14ac:dyDescent="0.3">
      <c r="A21347" s="12"/>
    </row>
    <row r="21348" spans="1:1" x14ac:dyDescent="0.3">
      <c r="A21348" s="12"/>
    </row>
    <row r="21349" spans="1:1" x14ac:dyDescent="0.3">
      <c r="A21349" s="12"/>
    </row>
    <row r="21350" spans="1:1" x14ac:dyDescent="0.3">
      <c r="A21350" s="12"/>
    </row>
    <row r="21351" spans="1:1" x14ac:dyDescent="0.3">
      <c r="A21351" s="12"/>
    </row>
    <row r="21352" spans="1:1" x14ac:dyDescent="0.3">
      <c r="A21352" s="12"/>
    </row>
    <row r="21353" spans="1:1" x14ac:dyDescent="0.3">
      <c r="A21353" s="12"/>
    </row>
    <row r="21354" spans="1:1" x14ac:dyDescent="0.3">
      <c r="A21354" s="12"/>
    </row>
    <row r="21355" spans="1:1" x14ac:dyDescent="0.3">
      <c r="A21355" s="12"/>
    </row>
    <row r="21356" spans="1:1" x14ac:dyDescent="0.3">
      <c r="A21356" s="12"/>
    </row>
    <row r="21357" spans="1:1" x14ac:dyDescent="0.3">
      <c r="A21357" s="12"/>
    </row>
    <row r="21358" spans="1:1" x14ac:dyDescent="0.3">
      <c r="A21358" s="12"/>
    </row>
    <row r="21359" spans="1:1" x14ac:dyDescent="0.3">
      <c r="A21359" s="12"/>
    </row>
    <row r="21360" spans="1:1" x14ac:dyDescent="0.3">
      <c r="A21360" s="12"/>
    </row>
    <row r="21361" spans="1:1" x14ac:dyDescent="0.3">
      <c r="A21361" s="12"/>
    </row>
    <row r="21362" spans="1:1" x14ac:dyDescent="0.3">
      <c r="A21362" s="12"/>
    </row>
    <row r="21363" spans="1:1" x14ac:dyDescent="0.3">
      <c r="A21363" s="12"/>
    </row>
    <row r="21364" spans="1:1" x14ac:dyDescent="0.3">
      <c r="A21364" s="12"/>
    </row>
    <row r="21365" spans="1:1" x14ac:dyDescent="0.3">
      <c r="A21365" s="12"/>
    </row>
    <row r="21366" spans="1:1" x14ac:dyDescent="0.3">
      <c r="A21366" s="12"/>
    </row>
    <row r="21367" spans="1:1" x14ac:dyDescent="0.3">
      <c r="A21367" s="12"/>
    </row>
    <row r="21368" spans="1:1" x14ac:dyDescent="0.3">
      <c r="A21368" s="12"/>
    </row>
    <row r="21369" spans="1:1" x14ac:dyDescent="0.3">
      <c r="A21369" s="12"/>
    </row>
    <row r="21370" spans="1:1" x14ac:dyDescent="0.3">
      <c r="A21370" s="12"/>
    </row>
    <row r="21371" spans="1:1" x14ac:dyDescent="0.3">
      <c r="A21371" s="12"/>
    </row>
    <row r="21372" spans="1:1" x14ac:dyDescent="0.3">
      <c r="A21372" s="12"/>
    </row>
    <row r="21373" spans="1:1" x14ac:dyDescent="0.3">
      <c r="A21373" s="12"/>
    </row>
    <row r="21374" spans="1:1" x14ac:dyDescent="0.3">
      <c r="A21374" s="12"/>
    </row>
    <row r="21375" spans="1:1" x14ac:dyDescent="0.3">
      <c r="A21375" s="12"/>
    </row>
    <row r="21376" spans="1:1" x14ac:dyDescent="0.3">
      <c r="A21376" s="12"/>
    </row>
    <row r="21377" spans="1:1" x14ac:dyDescent="0.3">
      <c r="A21377" s="12"/>
    </row>
    <row r="21378" spans="1:1" x14ac:dyDescent="0.3">
      <c r="A21378" s="12"/>
    </row>
    <row r="21379" spans="1:1" x14ac:dyDescent="0.3">
      <c r="A21379" s="12"/>
    </row>
    <row r="21380" spans="1:1" x14ac:dyDescent="0.3">
      <c r="A21380" s="12"/>
    </row>
    <row r="21381" spans="1:1" x14ac:dyDescent="0.3">
      <c r="A21381" s="12"/>
    </row>
    <row r="21382" spans="1:1" x14ac:dyDescent="0.3">
      <c r="A21382" s="12"/>
    </row>
    <row r="21383" spans="1:1" x14ac:dyDescent="0.3">
      <c r="A21383" s="12"/>
    </row>
    <row r="21384" spans="1:1" x14ac:dyDescent="0.3">
      <c r="A21384" s="12"/>
    </row>
    <row r="21385" spans="1:1" x14ac:dyDescent="0.3">
      <c r="A21385" s="12"/>
    </row>
    <row r="21386" spans="1:1" x14ac:dyDescent="0.3">
      <c r="A21386" s="12"/>
    </row>
    <row r="21387" spans="1:1" x14ac:dyDescent="0.3">
      <c r="A21387" s="12"/>
    </row>
    <row r="21388" spans="1:1" x14ac:dyDescent="0.3">
      <c r="A21388" s="12"/>
    </row>
    <row r="21389" spans="1:1" x14ac:dyDescent="0.3">
      <c r="A21389" s="12"/>
    </row>
    <row r="21390" spans="1:1" x14ac:dyDescent="0.3">
      <c r="A21390" s="12"/>
    </row>
    <row r="21391" spans="1:1" x14ac:dyDescent="0.3">
      <c r="A21391" s="12"/>
    </row>
    <row r="21392" spans="1:1" x14ac:dyDescent="0.3">
      <c r="A21392" s="12"/>
    </row>
    <row r="21393" spans="1:1" x14ac:dyDescent="0.3">
      <c r="A21393" s="12"/>
    </row>
    <row r="21394" spans="1:1" x14ac:dyDescent="0.3">
      <c r="A21394" s="12"/>
    </row>
    <row r="21395" spans="1:1" x14ac:dyDescent="0.3">
      <c r="A21395" s="12"/>
    </row>
    <row r="21396" spans="1:1" x14ac:dyDescent="0.3">
      <c r="A21396" s="12"/>
    </row>
    <row r="21397" spans="1:1" x14ac:dyDescent="0.3">
      <c r="A21397" s="12"/>
    </row>
    <row r="21398" spans="1:1" x14ac:dyDescent="0.3">
      <c r="A21398" s="12"/>
    </row>
    <row r="21399" spans="1:1" x14ac:dyDescent="0.3">
      <c r="A21399" s="12"/>
    </row>
    <row r="21400" spans="1:1" x14ac:dyDescent="0.3">
      <c r="A21400" s="12"/>
    </row>
    <row r="21401" spans="1:1" x14ac:dyDescent="0.3">
      <c r="A21401" s="12"/>
    </row>
    <row r="21402" spans="1:1" x14ac:dyDescent="0.3">
      <c r="A21402" s="12"/>
    </row>
    <row r="21403" spans="1:1" x14ac:dyDescent="0.3">
      <c r="A21403" s="12"/>
    </row>
    <row r="21404" spans="1:1" x14ac:dyDescent="0.3">
      <c r="A21404" s="12"/>
    </row>
    <row r="21405" spans="1:1" x14ac:dyDescent="0.3">
      <c r="A21405" s="12"/>
    </row>
    <row r="21406" spans="1:1" x14ac:dyDescent="0.3">
      <c r="A21406" s="12"/>
    </row>
    <row r="21407" spans="1:1" x14ac:dyDescent="0.3">
      <c r="A21407" s="12"/>
    </row>
    <row r="21408" spans="1:1" x14ac:dyDescent="0.3">
      <c r="A21408" s="12"/>
    </row>
    <row r="21409" spans="1:1" x14ac:dyDescent="0.3">
      <c r="A21409" s="12"/>
    </row>
    <row r="21410" spans="1:1" x14ac:dyDescent="0.3">
      <c r="A21410" s="12"/>
    </row>
    <row r="21411" spans="1:1" x14ac:dyDescent="0.3">
      <c r="A21411" s="12"/>
    </row>
    <row r="21412" spans="1:1" x14ac:dyDescent="0.3">
      <c r="A21412" s="12"/>
    </row>
    <row r="21413" spans="1:1" x14ac:dyDescent="0.3">
      <c r="A21413" s="12"/>
    </row>
    <row r="21414" spans="1:1" x14ac:dyDescent="0.3">
      <c r="A21414" s="12"/>
    </row>
    <row r="21415" spans="1:1" x14ac:dyDescent="0.3">
      <c r="A21415" s="12"/>
    </row>
    <row r="21416" spans="1:1" x14ac:dyDescent="0.3">
      <c r="A21416" s="12"/>
    </row>
    <row r="21417" spans="1:1" x14ac:dyDescent="0.3">
      <c r="A21417" s="12"/>
    </row>
    <row r="21418" spans="1:1" x14ac:dyDescent="0.3">
      <c r="A21418" s="12"/>
    </row>
    <row r="21419" spans="1:1" x14ac:dyDescent="0.3">
      <c r="A21419" s="12"/>
    </row>
    <row r="21420" spans="1:1" x14ac:dyDescent="0.3">
      <c r="A21420" s="12"/>
    </row>
    <row r="21421" spans="1:1" x14ac:dyDescent="0.3">
      <c r="A21421" s="12"/>
    </row>
    <row r="21422" spans="1:1" x14ac:dyDescent="0.3">
      <c r="A21422" s="12"/>
    </row>
    <row r="21423" spans="1:1" x14ac:dyDescent="0.3">
      <c r="A21423" s="12"/>
    </row>
    <row r="21424" spans="1:1" x14ac:dyDescent="0.3">
      <c r="A21424" s="12"/>
    </row>
    <row r="21425" spans="1:1" x14ac:dyDescent="0.3">
      <c r="A21425" s="12"/>
    </row>
    <row r="21426" spans="1:1" x14ac:dyDescent="0.3">
      <c r="A21426" s="12"/>
    </row>
    <row r="21427" spans="1:1" x14ac:dyDescent="0.3">
      <c r="A21427" s="12"/>
    </row>
    <row r="21428" spans="1:1" x14ac:dyDescent="0.3">
      <c r="A21428" s="12"/>
    </row>
    <row r="21429" spans="1:1" x14ac:dyDescent="0.3">
      <c r="A21429" s="12"/>
    </row>
    <row r="21430" spans="1:1" x14ac:dyDescent="0.3">
      <c r="A21430" s="12"/>
    </row>
    <row r="21431" spans="1:1" x14ac:dyDescent="0.3">
      <c r="A21431" s="12"/>
    </row>
    <row r="21432" spans="1:1" x14ac:dyDescent="0.3">
      <c r="A21432" s="12"/>
    </row>
    <row r="21433" spans="1:1" x14ac:dyDescent="0.3">
      <c r="A21433" s="12"/>
    </row>
    <row r="21434" spans="1:1" x14ac:dyDescent="0.3">
      <c r="A21434" s="12"/>
    </row>
    <row r="21435" spans="1:1" x14ac:dyDescent="0.3">
      <c r="A21435" s="12"/>
    </row>
    <row r="21436" spans="1:1" x14ac:dyDescent="0.3">
      <c r="A21436" s="12"/>
    </row>
    <row r="21437" spans="1:1" x14ac:dyDescent="0.3">
      <c r="A21437" s="12"/>
    </row>
    <row r="21438" spans="1:1" x14ac:dyDescent="0.3">
      <c r="A21438" s="12"/>
    </row>
    <row r="21439" spans="1:1" x14ac:dyDescent="0.3">
      <c r="A21439" s="12"/>
    </row>
    <row r="21440" spans="1:1" x14ac:dyDescent="0.3">
      <c r="A21440" s="12"/>
    </row>
    <row r="21441" spans="1:1" x14ac:dyDescent="0.3">
      <c r="A21441" s="12"/>
    </row>
    <row r="21442" spans="1:1" x14ac:dyDescent="0.3">
      <c r="A21442" s="12"/>
    </row>
    <row r="21443" spans="1:1" x14ac:dyDescent="0.3">
      <c r="A21443" s="12"/>
    </row>
    <row r="21444" spans="1:1" x14ac:dyDescent="0.3">
      <c r="A21444" s="12"/>
    </row>
    <row r="21445" spans="1:1" x14ac:dyDescent="0.3">
      <c r="A21445" s="12"/>
    </row>
    <row r="21446" spans="1:1" x14ac:dyDescent="0.3">
      <c r="A21446" s="12"/>
    </row>
    <row r="21447" spans="1:1" x14ac:dyDescent="0.3">
      <c r="A21447" s="12"/>
    </row>
    <row r="21448" spans="1:1" x14ac:dyDescent="0.3">
      <c r="A21448" s="12"/>
    </row>
    <row r="21449" spans="1:1" x14ac:dyDescent="0.3">
      <c r="A21449" s="12"/>
    </row>
    <row r="21450" spans="1:1" x14ac:dyDescent="0.3">
      <c r="A21450" s="12"/>
    </row>
    <row r="21451" spans="1:1" x14ac:dyDescent="0.3">
      <c r="A21451" s="12"/>
    </row>
    <row r="21452" spans="1:1" x14ac:dyDescent="0.3">
      <c r="A21452" s="12"/>
    </row>
    <row r="21453" spans="1:1" x14ac:dyDescent="0.3">
      <c r="A21453" s="12"/>
    </row>
    <row r="21454" spans="1:1" x14ac:dyDescent="0.3">
      <c r="A21454" s="12"/>
    </row>
    <row r="21455" spans="1:1" x14ac:dyDescent="0.3">
      <c r="A21455" s="12"/>
    </row>
    <row r="21456" spans="1:1" x14ac:dyDescent="0.3">
      <c r="A21456" s="12"/>
    </row>
    <row r="21457" spans="1:1" x14ac:dyDescent="0.3">
      <c r="A21457" s="12"/>
    </row>
    <row r="21458" spans="1:1" x14ac:dyDescent="0.3">
      <c r="A21458" s="12"/>
    </row>
    <row r="21459" spans="1:1" x14ac:dyDescent="0.3">
      <c r="A21459" s="12"/>
    </row>
    <row r="21460" spans="1:1" x14ac:dyDescent="0.3">
      <c r="A21460" s="12"/>
    </row>
    <row r="21461" spans="1:1" x14ac:dyDescent="0.3">
      <c r="A21461" s="12"/>
    </row>
    <row r="21462" spans="1:1" x14ac:dyDescent="0.3">
      <c r="A21462" s="12"/>
    </row>
    <row r="21463" spans="1:1" x14ac:dyDescent="0.3">
      <c r="A21463" s="12"/>
    </row>
    <row r="21464" spans="1:1" x14ac:dyDescent="0.3">
      <c r="A21464" s="12"/>
    </row>
    <row r="21465" spans="1:1" x14ac:dyDescent="0.3">
      <c r="A21465" s="12"/>
    </row>
    <row r="21466" spans="1:1" x14ac:dyDescent="0.3">
      <c r="A21466" s="12"/>
    </row>
    <row r="21467" spans="1:1" x14ac:dyDescent="0.3">
      <c r="A21467" s="12"/>
    </row>
    <row r="21468" spans="1:1" x14ac:dyDescent="0.3">
      <c r="A21468" s="12"/>
    </row>
    <row r="21469" spans="1:1" x14ac:dyDescent="0.3">
      <c r="A21469" s="12"/>
    </row>
    <row r="21470" spans="1:1" x14ac:dyDescent="0.3">
      <c r="A21470" s="12"/>
    </row>
    <row r="21471" spans="1:1" x14ac:dyDescent="0.3">
      <c r="A21471" s="12"/>
    </row>
    <row r="21472" spans="1:1" x14ac:dyDescent="0.3">
      <c r="A21472" s="12"/>
    </row>
    <row r="21473" spans="1:1" x14ac:dyDescent="0.3">
      <c r="A21473" s="12"/>
    </row>
    <row r="21474" spans="1:1" x14ac:dyDescent="0.3">
      <c r="A21474" s="12"/>
    </row>
    <row r="21475" spans="1:1" x14ac:dyDescent="0.3">
      <c r="A21475" s="12"/>
    </row>
    <row r="21476" spans="1:1" x14ac:dyDescent="0.3">
      <c r="A21476" s="12"/>
    </row>
    <row r="21477" spans="1:1" x14ac:dyDescent="0.3">
      <c r="A21477" s="12"/>
    </row>
    <row r="21478" spans="1:1" x14ac:dyDescent="0.3">
      <c r="A21478" s="12"/>
    </row>
    <row r="21479" spans="1:1" x14ac:dyDescent="0.3">
      <c r="A21479" s="12"/>
    </row>
    <row r="21480" spans="1:1" x14ac:dyDescent="0.3">
      <c r="A21480" s="12"/>
    </row>
    <row r="21481" spans="1:1" x14ac:dyDescent="0.3">
      <c r="A21481" s="12"/>
    </row>
    <row r="21482" spans="1:1" x14ac:dyDescent="0.3">
      <c r="A21482" s="12"/>
    </row>
    <row r="21483" spans="1:1" x14ac:dyDescent="0.3">
      <c r="A21483" s="12"/>
    </row>
    <row r="21484" spans="1:1" x14ac:dyDescent="0.3">
      <c r="A21484" s="12"/>
    </row>
    <row r="21485" spans="1:1" x14ac:dyDescent="0.3">
      <c r="A21485" s="12"/>
    </row>
    <row r="21486" spans="1:1" x14ac:dyDescent="0.3">
      <c r="A21486" s="12"/>
    </row>
    <row r="21487" spans="1:1" x14ac:dyDescent="0.3">
      <c r="A21487" s="12"/>
    </row>
    <row r="21488" spans="1:1" x14ac:dyDescent="0.3">
      <c r="A21488" s="12"/>
    </row>
    <row r="21489" spans="1:1" x14ac:dyDescent="0.3">
      <c r="A21489" s="12"/>
    </row>
    <row r="21490" spans="1:1" x14ac:dyDescent="0.3">
      <c r="A21490" s="12"/>
    </row>
    <row r="21491" spans="1:1" x14ac:dyDescent="0.3">
      <c r="A21491" s="12"/>
    </row>
    <row r="21492" spans="1:1" x14ac:dyDescent="0.3">
      <c r="A21492" s="12"/>
    </row>
    <row r="21493" spans="1:1" x14ac:dyDescent="0.3">
      <c r="A21493" s="12"/>
    </row>
    <row r="21494" spans="1:1" x14ac:dyDescent="0.3">
      <c r="A21494" s="12"/>
    </row>
    <row r="21495" spans="1:1" x14ac:dyDescent="0.3">
      <c r="A21495" s="12"/>
    </row>
    <row r="21496" spans="1:1" x14ac:dyDescent="0.3">
      <c r="A21496" s="12"/>
    </row>
    <row r="21497" spans="1:1" x14ac:dyDescent="0.3">
      <c r="A21497" s="12"/>
    </row>
    <row r="21498" spans="1:1" x14ac:dyDescent="0.3">
      <c r="A21498" s="12"/>
    </row>
    <row r="21499" spans="1:1" x14ac:dyDescent="0.3">
      <c r="A21499" s="12"/>
    </row>
    <row r="21500" spans="1:1" x14ac:dyDescent="0.3">
      <c r="A21500" s="12"/>
    </row>
    <row r="21501" spans="1:1" x14ac:dyDescent="0.3">
      <c r="A21501" s="12"/>
    </row>
    <row r="21502" spans="1:1" x14ac:dyDescent="0.3">
      <c r="A21502" s="12"/>
    </row>
    <row r="21503" spans="1:1" x14ac:dyDescent="0.3">
      <c r="A21503" s="12"/>
    </row>
    <row r="21504" spans="1:1" x14ac:dyDescent="0.3">
      <c r="A21504" s="12"/>
    </row>
    <row r="21505" spans="1:1" x14ac:dyDescent="0.3">
      <c r="A21505" s="12"/>
    </row>
    <row r="21506" spans="1:1" x14ac:dyDescent="0.3">
      <c r="A21506" s="12"/>
    </row>
    <row r="21507" spans="1:1" x14ac:dyDescent="0.3">
      <c r="A21507" s="12"/>
    </row>
    <row r="21508" spans="1:1" x14ac:dyDescent="0.3">
      <c r="A21508" s="12"/>
    </row>
    <row r="21509" spans="1:1" x14ac:dyDescent="0.3">
      <c r="A21509" s="12"/>
    </row>
    <row r="21510" spans="1:1" x14ac:dyDescent="0.3">
      <c r="A21510" s="12"/>
    </row>
    <row r="21511" spans="1:1" x14ac:dyDescent="0.3">
      <c r="A21511" s="12"/>
    </row>
    <row r="21512" spans="1:1" x14ac:dyDescent="0.3">
      <c r="A21512" s="12"/>
    </row>
    <row r="21513" spans="1:1" x14ac:dyDescent="0.3">
      <c r="A21513" s="12"/>
    </row>
    <row r="21514" spans="1:1" x14ac:dyDescent="0.3">
      <c r="A21514" s="12"/>
    </row>
    <row r="21515" spans="1:1" x14ac:dyDescent="0.3">
      <c r="A21515" s="12"/>
    </row>
    <row r="21516" spans="1:1" x14ac:dyDescent="0.3">
      <c r="A21516" s="12"/>
    </row>
    <row r="21517" spans="1:1" x14ac:dyDescent="0.3">
      <c r="A21517" s="12"/>
    </row>
    <row r="21518" spans="1:1" x14ac:dyDescent="0.3">
      <c r="A21518" s="12"/>
    </row>
    <row r="21519" spans="1:1" x14ac:dyDescent="0.3">
      <c r="A21519" s="12"/>
    </row>
    <row r="21520" spans="1:1" x14ac:dyDescent="0.3">
      <c r="A21520" s="12"/>
    </row>
    <row r="21521" spans="1:1" x14ac:dyDescent="0.3">
      <c r="A21521" s="12"/>
    </row>
    <row r="21522" spans="1:1" x14ac:dyDescent="0.3">
      <c r="A21522" s="12"/>
    </row>
    <row r="21523" spans="1:1" x14ac:dyDescent="0.3">
      <c r="A21523" s="12"/>
    </row>
    <row r="21524" spans="1:1" x14ac:dyDescent="0.3">
      <c r="A21524" s="12"/>
    </row>
    <row r="21525" spans="1:1" x14ac:dyDescent="0.3">
      <c r="A21525" s="12"/>
    </row>
    <row r="21526" spans="1:1" x14ac:dyDescent="0.3">
      <c r="A21526" s="12"/>
    </row>
    <row r="21527" spans="1:1" x14ac:dyDescent="0.3">
      <c r="A21527" s="12"/>
    </row>
    <row r="21528" spans="1:1" x14ac:dyDescent="0.3">
      <c r="A21528" s="12"/>
    </row>
    <row r="21529" spans="1:1" x14ac:dyDescent="0.3">
      <c r="A21529" s="12"/>
    </row>
    <row r="21530" spans="1:1" x14ac:dyDescent="0.3">
      <c r="A21530" s="12"/>
    </row>
    <row r="21531" spans="1:1" x14ac:dyDescent="0.3">
      <c r="A21531" s="12"/>
    </row>
    <row r="21532" spans="1:1" x14ac:dyDescent="0.3">
      <c r="A21532" s="12"/>
    </row>
    <row r="21533" spans="1:1" x14ac:dyDescent="0.3">
      <c r="A21533" s="12"/>
    </row>
    <row r="21534" spans="1:1" x14ac:dyDescent="0.3">
      <c r="A21534" s="12"/>
    </row>
    <row r="21535" spans="1:1" x14ac:dyDescent="0.3">
      <c r="A21535" s="12"/>
    </row>
    <row r="21536" spans="1:1" x14ac:dyDescent="0.3">
      <c r="A21536" s="12"/>
    </row>
    <row r="21537" spans="1:1" x14ac:dyDescent="0.3">
      <c r="A21537" s="12"/>
    </row>
    <row r="21538" spans="1:1" x14ac:dyDescent="0.3">
      <c r="A21538" s="12"/>
    </row>
    <row r="21539" spans="1:1" x14ac:dyDescent="0.3">
      <c r="A21539" s="12"/>
    </row>
    <row r="21540" spans="1:1" x14ac:dyDescent="0.3">
      <c r="A21540" s="12"/>
    </row>
    <row r="21541" spans="1:1" x14ac:dyDescent="0.3">
      <c r="A21541" s="12"/>
    </row>
    <row r="21542" spans="1:1" x14ac:dyDescent="0.3">
      <c r="A21542" s="12"/>
    </row>
    <row r="21543" spans="1:1" x14ac:dyDescent="0.3">
      <c r="A21543" s="12"/>
    </row>
    <row r="21544" spans="1:1" x14ac:dyDescent="0.3">
      <c r="A21544" s="12"/>
    </row>
    <row r="21545" spans="1:1" x14ac:dyDescent="0.3">
      <c r="A21545" s="12"/>
    </row>
    <row r="21546" spans="1:1" x14ac:dyDescent="0.3">
      <c r="A21546" s="12"/>
    </row>
    <row r="21547" spans="1:1" x14ac:dyDescent="0.3">
      <c r="A21547" s="12"/>
    </row>
    <row r="21548" spans="1:1" x14ac:dyDescent="0.3">
      <c r="A21548" s="12"/>
    </row>
    <row r="21549" spans="1:1" x14ac:dyDescent="0.3">
      <c r="A21549" s="12"/>
    </row>
    <row r="21550" spans="1:1" x14ac:dyDescent="0.3">
      <c r="A21550" s="12"/>
    </row>
    <row r="21551" spans="1:1" x14ac:dyDescent="0.3">
      <c r="A21551" s="12"/>
    </row>
    <row r="21552" spans="1:1" x14ac:dyDescent="0.3">
      <c r="A21552" s="12"/>
    </row>
    <row r="21553" spans="1:1" x14ac:dyDescent="0.3">
      <c r="A21553" s="12"/>
    </row>
    <row r="21554" spans="1:1" x14ac:dyDescent="0.3">
      <c r="A21554" s="12"/>
    </row>
    <row r="21555" spans="1:1" x14ac:dyDescent="0.3">
      <c r="A21555" s="12"/>
    </row>
    <row r="21556" spans="1:1" x14ac:dyDescent="0.3">
      <c r="A21556" s="12"/>
    </row>
    <row r="21557" spans="1:1" x14ac:dyDescent="0.3">
      <c r="A21557" s="12"/>
    </row>
    <row r="21558" spans="1:1" x14ac:dyDescent="0.3">
      <c r="A21558" s="12"/>
    </row>
    <row r="21559" spans="1:1" x14ac:dyDescent="0.3">
      <c r="A21559" s="12"/>
    </row>
    <row r="21560" spans="1:1" x14ac:dyDescent="0.3">
      <c r="A21560" s="12"/>
    </row>
    <row r="21561" spans="1:1" x14ac:dyDescent="0.3">
      <c r="A21561" s="12"/>
    </row>
    <row r="21562" spans="1:1" x14ac:dyDescent="0.3">
      <c r="A21562" s="12"/>
    </row>
    <row r="21563" spans="1:1" x14ac:dyDescent="0.3">
      <c r="A21563" s="12"/>
    </row>
    <row r="21564" spans="1:1" x14ac:dyDescent="0.3">
      <c r="A21564" s="12"/>
    </row>
    <row r="21565" spans="1:1" x14ac:dyDescent="0.3">
      <c r="A21565" s="12"/>
    </row>
    <row r="21566" spans="1:1" x14ac:dyDescent="0.3">
      <c r="A21566" s="12"/>
    </row>
    <row r="21567" spans="1:1" x14ac:dyDescent="0.3">
      <c r="A21567" s="12"/>
    </row>
    <row r="21568" spans="1:1" x14ac:dyDescent="0.3">
      <c r="A21568" s="12"/>
    </row>
    <row r="21569" spans="1:1" x14ac:dyDescent="0.3">
      <c r="A21569" s="12"/>
    </row>
    <row r="21570" spans="1:1" x14ac:dyDescent="0.3">
      <c r="A21570" s="12"/>
    </row>
    <row r="21571" spans="1:1" x14ac:dyDescent="0.3">
      <c r="A21571" s="12"/>
    </row>
    <row r="21572" spans="1:1" x14ac:dyDescent="0.3">
      <c r="A21572" s="12"/>
    </row>
    <row r="21573" spans="1:1" x14ac:dyDescent="0.3">
      <c r="A21573" s="12"/>
    </row>
    <row r="21574" spans="1:1" x14ac:dyDescent="0.3">
      <c r="A21574" s="12"/>
    </row>
    <row r="21575" spans="1:1" x14ac:dyDescent="0.3">
      <c r="A21575" s="12"/>
    </row>
    <row r="21576" spans="1:1" x14ac:dyDescent="0.3">
      <c r="A21576" s="12"/>
    </row>
    <row r="21577" spans="1:1" x14ac:dyDescent="0.3">
      <c r="A21577" s="12"/>
    </row>
    <row r="21578" spans="1:1" x14ac:dyDescent="0.3">
      <c r="A21578" s="12"/>
    </row>
    <row r="21579" spans="1:1" x14ac:dyDescent="0.3">
      <c r="A21579" s="12"/>
    </row>
    <row r="21580" spans="1:1" x14ac:dyDescent="0.3">
      <c r="A21580" s="12"/>
    </row>
    <row r="21581" spans="1:1" x14ac:dyDescent="0.3">
      <c r="A21581" s="12"/>
    </row>
    <row r="21582" spans="1:1" x14ac:dyDescent="0.3">
      <c r="A21582" s="12"/>
    </row>
    <row r="21583" spans="1:1" x14ac:dyDescent="0.3">
      <c r="A21583" s="12"/>
    </row>
    <row r="21584" spans="1:1" x14ac:dyDescent="0.3">
      <c r="A21584" s="12"/>
    </row>
    <row r="21585" spans="1:1" x14ac:dyDescent="0.3">
      <c r="A21585" s="12"/>
    </row>
    <row r="21586" spans="1:1" x14ac:dyDescent="0.3">
      <c r="A21586" s="12"/>
    </row>
    <row r="21587" spans="1:1" x14ac:dyDescent="0.3">
      <c r="A21587" s="12"/>
    </row>
    <row r="21588" spans="1:1" x14ac:dyDescent="0.3">
      <c r="A21588" s="12"/>
    </row>
    <row r="21589" spans="1:1" x14ac:dyDescent="0.3">
      <c r="A21589" s="12"/>
    </row>
    <row r="21590" spans="1:1" x14ac:dyDescent="0.3">
      <c r="A21590" s="12"/>
    </row>
    <row r="21591" spans="1:1" x14ac:dyDescent="0.3">
      <c r="A21591" s="12"/>
    </row>
    <row r="21592" spans="1:1" x14ac:dyDescent="0.3">
      <c r="A21592" s="12"/>
    </row>
    <row r="21593" spans="1:1" x14ac:dyDescent="0.3">
      <c r="A21593" s="12"/>
    </row>
    <row r="21594" spans="1:1" x14ac:dyDescent="0.3">
      <c r="A21594" s="12"/>
    </row>
    <row r="21595" spans="1:1" x14ac:dyDescent="0.3">
      <c r="A21595" s="12"/>
    </row>
    <row r="21596" spans="1:1" x14ac:dyDescent="0.3">
      <c r="A21596" s="12"/>
    </row>
    <row r="21597" spans="1:1" x14ac:dyDescent="0.3">
      <c r="A21597" s="12"/>
    </row>
    <row r="21598" spans="1:1" x14ac:dyDescent="0.3">
      <c r="A21598" s="12"/>
    </row>
    <row r="21599" spans="1:1" x14ac:dyDescent="0.3">
      <c r="A21599" s="12"/>
    </row>
    <row r="21600" spans="1:1" x14ac:dyDescent="0.3">
      <c r="A21600" s="12"/>
    </row>
    <row r="21601" spans="1:1" x14ac:dyDescent="0.3">
      <c r="A21601" s="12"/>
    </row>
    <row r="21602" spans="1:1" x14ac:dyDescent="0.3">
      <c r="A21602" s="12"/>
    </row>
    <row r="21603" spans="1:1" x14ac:dyDescent="0.3">
      <c r="A21603" s="12"/>
    </row>
    <row r="21604" spans="1:1" x14ac:dyDescent="0.3">
      <c r="A21604" s="12"/>
    </row>
    <row r="21605" spans="1:1" x14ac:dyDescent="0.3">
      <c r="A21605" s="12"/>
    </row>
    <row r="21606" spans="1:1" x14ac:dyDescent="0.3">
      <c r="A21606" s="12"/>
    </row>
    <row r="21607" spans="1:1" x14ac:dyDescent="0.3">
      <c r="A21607" s="12"/>
    </row>
    <row r="21608" spans="1:1" x14ac:dyDescent="0.3">
      <c r="A21608" s="12"/>
    </row>
    <row r="21609" spans="1:1" x14ac:dyDescent="0.3">
      <c r="A21609" s="12"/>
    </row>
    <row r="21610" spans="1:1" x14ac:dyDescent="0.3">
      <c r="A21610" s="12"/>
    </row>
    <row r="21611" spans="1:1" x14ac:dyDescent="0.3">
      <c r="A21611" s="12"/>
    </row>
    <row r="21612" spans="1:1" x14ac:dyDescent="0.3">
      <c r="A21612" s="12"/>
    </row>
    <row r="21613" spans="1:1" x14ac:dyDescent="0.3">
      <c r="A21613" s="12"/>
    </row>
    <row r="21614" spans="1:1" x14ac:dyDescent="0.3">
      <c r="A21614" s="12"/>
    </row>
    <row r="21615" spans="1:1" x14ac:dyDescent="0.3">
      <c r="A21615" s="12"/>
    </row>
    <row r="21616" spans="1:1" x14ac:dyDescent="0.3">
      <c r="A21616" s="12"/>
    </row>
    <row r="21617" spans="1:1" x14ac:dyDescent="0.3">
      <c r="A21617" s="12"/>
    </row>
    <row r="21618" spans="1:1" x14ac:dyDescent="0.3">
      <c r="A21618" s="12"/>
    </row>
    <row r="21619" spans="1:1" x14ac:dyDescent="0.3">
      <c r="A21619" s="12"/>
    </row>
    <row r="21620" spans="1:1" x14ac:dyDescent="0.3">
      <c r="A21620" s="12"/>
    </row>
    <row r="21621" spans="1:1" x14ac:dyDescent="0.3">
      <c r="A21621" s="12"/>
    </row>
    <row r="21622" spans="1:1" x14ac:dyDescent="0.3">
      <c r="A21622" s="12"/>
    </row>
    <row r="21623" spans="1:1" x14ac:dyDescent="0.3">
      <c r="A21623" s="12"/>
    </row>
    <row r="21624" spans="1:1" x14ac:dyDescent="0.3">
      <c r="A21624" s="12"/>
    </row>
    <row r="21625" spans="1:1" x14ac:dyDescent="0.3">
      <c r="A21625" s="12"/>
    </row>
    <row r="21626" spans="1:1" x14ac:dyDescent="0.3">
      <c r="A21626" s="12"/>
    </row>
    <row r="21627" spans="1:1" x14ac:dyDescent="0.3">
      <c r="A21627" s="12"/>
    </row>
    <row r="21628" spans="1:1" x14ac:dyDescent="0.3">
      <c r="A21628" s="12"/>
    </row>
    <row r="21629" spans="1:1" x14ac:dyDescent="0.3">
      <c r="A21629" s="12"/>
    </row>
    <row r="21630" spans="1:1" x14ac:dyDescent="0.3">
      <c r="A21630" s="12"/>
    </row>
    <row r="21631" spans="1:1" x14ac:dyDescent="0.3">
      <c r="A21631" s="12"/>
    </row>
    <row r="21632" spans="1:1" x14ac:dyDescent="0.3">
      <c r="A21632" s="12"/>
    </row>
    <row r="21633" spans="1:1" x14ac:dyDescent="0.3">
      <c r="A21633" s="12"/>
    </row>
    <row r="21634" spans="1:1" x14ac:dyDescent="0.3">
      <c r="A21634" s="12"/>
    </row>
    <row r="21635" spans="1:1" x14ac:dyDescent="0.3">
      <c r="A21635" s="12"/>
    </row>
    <row r="21636" spans="1:1" x14ac:dyDescent="0.3">
      <c r="A21636" s="12"/>
    </row>
    <row r="21637" spans="1:1" x14ac:dyDescent="0.3">
      <c r="A21637" s="12"/>
    </row>
    <row r="21638" spans="1:1" x14ac:dyDescent="0.3">
      <c r="A21638" s="12"/>
    </row>
    <row r="21639" spans="1:1" x14ac:dyDescent="0.3">
      <c r="A21639" s="12"/>
    </row>
    <row r="21640" spans="1:1" x14ac:dyDescent="0.3">
      <c r="A21640" s="12"/>
    </row>
    <row r="21641" spans="1:1" x14ac:dyDescent="0.3">
      <c r="A21641" s="12"/>
    </row>
    <row r="21642" spans="1:1" x14ac:dyDescent="0.3">
      <c r="A21642" s="12"/>
    </row>
    <row r="21643" spans="1:1" x14ac:dyDescent="0.3">
      <c r="A21643" s="12"/>
    </row>
    <row r="21644" spans="1:1" x14ac:dyDescent="0.3">
      <c r="A21644" s="12"/>
    </row>
    <row r="21645" spans="1:1" x14ac:dyDescent="0.3">
      <c r="A21645" s="12"/>
    </row>
    <row r="21646" spans="1:1" x14ac:dyDescent="0.3">
      <c r="A21646" s="12"/>
    </row>
    <row r="21647" spans="1:1" x14ac:dyDescent="0.3">
      <c r="A21647" s="12"/>
    </row>
    <row r="21648" spans="1:1" x14ac:dyDescent="0.3">
      <c r="A21648" s="12"/>
    </row>
    <row r="21649" spans="1:1" x14ac:dyDescent="0.3">
      <c r="A21649" s="12"/>
    </row>
    <row r="21650" spans="1:1" x14ac:dyDescent="0.3">
      <c r="A21650" s="12"/>
    </row>
    <row r="21651" spans="1:1" x14ac:dyDescent="0.3">
      <c r="A21651" s="12"/>
    </row>
    <row r="21652" spans="1:1" x14ac:dyDescent="0.3">
      <c r="A21652" s="12"/>
    </row>
    <row r="21653" spans="1:1" x14ac:dyDescent="0.3">
      <c r="A21653" s="12"/>
    </row>
    <row r="21654" spans="1:1" x14ac:dyDescent="0.3">
      <c r="A21654" s="12"/>
    </row>
    <row r="21655" spans="1:1" x14ac:dyDescent="0.3">
      <c r="A21655" s="12"/>
    </row>
    <row r="21656" spans="1:1" x14ac:dyDescent="0.3">
      <c r="A21656" s="12"/>
    </row>
    <row r="21657" spans="1:1" x14ac:dyDescent="0.3">
      <c r="A21657" s="12"/>
    </row>
    <row r="21658" spans="1:1" x14ac:dyDescent="0.3">
      <c r="A21658" s="12"/>
    </row>
    <row r="21659" spans="1:1" x14ac:dyDescent="0.3">
      <c r="A21659" s="12"/>
    </row>
    <row r="21660" spans="1:1" x14ac:dyDescent="0.3">
      <c r="A21660" s="12"/>
    </row>
    <row r="21661" spans="1:1" x14ac:dyDescent="0.3">
      <c r="A21661" s="12"/>
    </row>
    <row r="21662" spans="1:1" x14ac:dyDescent="0.3">
      <c r="A21662" s="12"/>
    </row>
    <row r="21663" spans="1:1" x14ac:dyDescent="0.3">
      <c r="A21663" s="12"/>
    </row>
    <row r="21664" spans="1:1" x14ac:dyDescent="0.3">
      <c r="A21664" s="12"/>
    </row>
    <row r="21665" spans="1:1" x14ac:dyDescent="0.3">
      <c r="A21665" s="12"/>
    </row>
    <row r="21666" spans="1:1" x14ac:dyDescent="0.3">
      <c r="A21666" s="12"/>
    </row>
    <row r="21667" spans="1:1" x14ac:dyDescent="0.3">
      <c r="A21667" s="12"/>
    </row>
    <row r="21668" spans="1:1" x14ac:dyDescent="0.3">
      <c r="A21668" s="12"/>
    </row>
    <row r="21669" spans="1:1" x14ac:dyDescent="0.3">
      <c r="A21669" s="12"/>
    </row>
    <row r="21670" spans="1:1" x14ac:dyDescent="0.3">
      <c r="A21670" s="12"/>
    </row>
    <row r="21671" spans="1:1" x14ac:dyDescent="0.3">
      <c r="A21671" s="12"/>
    </row>
    <row r="21672" spans="1:1" x14ac:dyDescent="0.3">
      <c r="A21672" s="12"/>
    </row>
    <row r="21673" spans="1:1" x14ac:dyDescent="0.3">
      <c r="A21673" s="12"/>
    </row>
    <row r="21674" spans="1:1" x14ac:dyDescent="0.3">
      <c r="A21674" s="12"/>
    </row>
    <row r="21675" spans="1:1" x14ac:dyDescent="0.3">
      <c r="A21675" s="12"/>
    </row>
    <row r="21676" spans="1:1" x14ac:dyDescent="0.3">
      <c r="A21676" s="12"/>
    </row>
    <row r="21677" spans="1:1" x14ac:dyDescent="0.3">
      <c r="A21677" s="12"/>
    </row>
    <row r="21678" spans="1:1" x14ac:dyDescent="0.3">
      <c r="A21678" s="12"/>
    </row>
    <row r="21679" spans="1:1" x14ac:dyDescent="0.3">
      <c r="A21679" s="12"/>
    </row>
    <row r="21680" spans="1:1" x14ac:dyDescent="0.3">
      <c r="A21680" s="12"/>
    </row>
    <row r="21681" spans="1:1" x14ac:dyDescent="0.3">
      <c r="A21681" s="12"/>
    </row>
    <row r="21682" spans="1:1" x14ac:dyDescent="0.3">
      <c r="A21682" s="12"/>
    </row>
    <row r="21683" spans="1:1" x14ac:dyDescent="0.3">
      <c r="A21683" s="12"/>
    </row>
    <row r="21684" spans="1:1" x14ac:dyDescent="0.3">
      <c r="A21684" s="12"/>
    </row>
    <row r="21685" spans="1:1" x14ac:dyDescent="0.3">
      <c r="A21685" s="12"/>
    </row>
    <row r="21686" spans="1:1" x14ac:dyDescent="0.3">
      <c r="A21686" s="12"/>
    </row>
    <row r="21687" spans="1:1" x14ac:dyDescent="0.3">
      <c r="A21687" s="12"/>
    </row>
    <row r="21688" spans="1:1" x14ac:dyDescent="0.3">
      <c r="A21688" s="12"/>
    </row>
    <row r="21689" spans="1:1" x14ac:dyDescent="0.3">
      <c r="A21689" s="12"/>
    </row>
    <row r="21690" spans="1:1" x14ac:dyDescent="0.3">
      <c r="A21690" s="12"/>
    </row>
    <row r="21691" spans="1:1" x14ac:dyDescent="0.3">
      <c r="A21691" s="12"/>
    </row>
    <row r="21692" spans="1:1" x14ac:dyDescent="0.3">
      <c r="A21692" s="12"/>
    </row>
    <row r="21693" spans="1:1" x14ac:dyDescent="0.3">
      <c r="A21693" s="12"/>
    </row>
    <row r="21694" spans="1:1" x14ac:dyDescent="0.3">
      <c r="A21694" s="12"/>
    </row>
    <row r="21695" spans="1:1" x14ac:dyDescent="0.3">
      <c r="A21695" s="12"/>
    </row>
    <row r="21696" spans="1:1" x14ac:dyDescent="0.3">
      <c r="A21696" s="12"/>
    </row>
    <row r="21697" spans="1:1" x14ac:dyDescent="0.3">
      <c r="A21697" s="12"/>
    </row>
    <row r="21698" spans="1:1" x14ac:dyDescent="0.3">
      <c r="A21698" s="12"/>
    </row>
    <row r="21699" spans="1:1" x14ac:dyDescent="0.3">
      <c r="A21699" s="12"/>
    </row>
    <row r="21700" spans="1:1" x14ac:dyDescent="0.3">
      <c r="A21700" s="12"/>
    </row>
    <row r="21701" spans="1:1" x14ac:dyDescent="0.3">
      <c r="A21701" s="12"/>
    </row>
    <row r="21702" spans="1:1" x14ac:dyDescent="0.3">
      <c r="A21702" s="12"/>
    </row>
    <row r="21703" spans="1:1" x14ac:dyDescent="0.3">
      <c r="A21703" s="12"/>
    </row>
    <row r="21704" spans="1:1" x14ac:dyDescent="0.3">
      <c r="A21704" s="12"/>
    </row>
    <row r="21705" spans="1:1" x14ac:dyDescent="0.3">
      <c r="A21705" s="12"/>
    </row>
    <row r="21706" spans="1:1" x14ac:dyDescent="0.3">
      <c r="A21706" s="12"/>
    </row>
    <row r="21707" spans="1:1" x14ac:dyDescent="0.3">
      <c r="A21707" s="12"/>
    </row>
    <row r="21708" spans="1:1" x14ac:dyDescent="0.3">
      <c r="A21708" s="12"/>
    </row>
    <row r="21709" spans="1:1" x14ac:dyDescent="0.3">
      <c r="A21709" s="12"/>
    </row>
    <row r="21710" spans="1:1" x14ac:dyDescent="0.3">
      <c r="A21710" s="12"/>
    </row>
    <row r="21711" spans="1:1" x14ac:dyDescent="0.3">
      <c r="A21711" s="12"/>
    </row>
    <row r="21712" spans="1:1" x14ac:dyDescent="0.3">
      <c r="A21712" s="12"/>
    </row>
    <row r="21713" spans="1:1" x14ac:dyDescent="0.3">
      <c r="A21713" s="12"/>
    </row>
    <row r="21714" spans="1:1" x14ac:dyDescent="0.3">
      <c r="A21714" s="12"/>
    </row>
    <row r="21715" spans="1:1" x14ac:dyDescent="0.3">
      <c r="A21715" s="12"/>
    </row>
    <row r="21716" spans="1:1" x14ac:dyDescent="0.3">
      <c r="A21716" s="12"/>
    </row>
    <row r="21717" spans="1:1" x14ac:dyDescent="0.3">
      <c r="A21717" s="12"/>
    </row>
    <row r="21718" spans="1:1" x14ac:dyDescent="0.3">
      <c r="A21718" s="12"/>
    </row>
    <row r="21719" spans="1:1" x14ac:dyDescent="0.3">
      <c r="A21719" s="12"/>
    </row>
    <row r="21720" spans="1:1" x14ac:dyDescent="0.3">
      <c r="A21720" s="12"/>
    </row>
    <row r="21721" spans="1:1" x14ac:dyDescent="0.3">
      <c r="A21721" s="12"/>
    </row>
    <row r="21722" spans="1:1" x14ac:dyDescent="0.3">
      <c r="A21722" s="12"/>
    </row>
    <row r="21723" spans="1:1" x14ac:dyDescent="0.3">
      <c r="A21723" s="12"/>
    </row>
    <row r="21724" spans="1:1" x14ac:dyDescent="0.3">
      <c r="A21724" s="12"/>
    </row>
    <row r="21725" spans="1:1" x14ac:dyDescent="0.3">
      <c r="A21725" s="12"/>
    </row>
    <row r="21726" spans="1:1" x14ac:dyDescent="0.3">
      <c r="A21726" s="12"/>
    </row>
    <row r="21727" spans="1:1" x14ac:dyDescent="0.3">
      <c r="A21727" s="12"/>
    </row>
    <row r="21728" spans="1:1" x14ac:dyDescent="0.3">
      <c r="A21728" s="12"/>
    </row>
    <row r="21729" spans="1:1" x14ac:dyDescent="0.3">
      <c r="A21729" s="12"/>
    </row>
    <row r="21730" spans="1:1" x14ac:dyDescent="0.3">
      <c r="A21730" s="12"/>
    </row>
    <row r="21731" spans="1:1" x14ac:dyDescent="0.3">
      <c r="A21731" s="12"/>
    </row>
    <row r="21732" spans="1:1" x14ac:dyDescent="0.3">
      <c r="A21732" s="12"/>
    </row>
    <row r="21733" spans="1:1" x14ac:dyDescent="0.3">
      <c r="A21733" s="12"/>
    </row>
    <row r="21734" spans="1:1" x14ac:dyDescent="0.3">
      <c r="A21734" s="12"/>
    </row>
    <row r="21735" spans="1:1" x14ac:dyDescent="0.3">
      <c r="A21735" s="12"/>
    </row>
    <row r="21736" spans="1:1" x14ac:dyDescent="0.3">
      <c r="A21736" s="12"/>
    </row>
    <row r="21737" spans="1:1" x14ac:dyDescent="0.3">
      <c r="A21737" s="12"/>
    </row>
    <row r="21738" spans="1:1" x14ac:dyDescent="0.3">
      <c r="A21738" s="12"/>
    </row>
    <row r="21739" spans="1:1" x14ac:dyDescent="0.3">
      <c r="A21739" s="12"/>
    </row>
    <row r="21740" spans="1:1" x14ac:dyDescent="0.3">
      <c r="A21740" s="12"/>
    </row>
    <row r="21741" spans="1:1" x14ac:dyDescent="0.3">
      <c r="A21741" s="12"/>
    </row>
    <row r="21742" spans="1:1" x14ac:dyDescent="0.3">
      <c r="A21742" s="12"/>
    </row>
    <row r="21743" spans="1:1" x14ac:dyDescent="0.3">
      <c r="A21743" s="12"/>
    </row>
    <row r="21744" spans="1:1" x14ac:dyDescent="0.3">
      <c r="A21744" s="12"/>
    </row>
    <row r="21745" spans="1:1" x14ac:dyDescent="0.3">
      <c r="A21745" s="12"/>
    </row>
    <row r="21746" spans="1:1" x14ac:dyDescent="0.3">
      <c r="A21746" s="12"/>
    </row>
    <row r="21747" spans="1:1" x14ac:dyDescent="0.3">
      <c r="A21747" s="12"/>
    </row>
    <row r="21748" spans="1:1" x14ac:dyDescent="0.3">
      <c r="A21748" s="12"/>
    </row>
    <row r="21749" spans="1:1" x14ac:dyDescent="0.3">
      <c r="A21749" s="12"/>
    </row>
    <row r="21750" spans="1:1" x14ac:dyDescent="0.3">
      <c r="A21750" s="12"/>
    </row>
    <row r="21751" spans="1:1" x14ac:dyDescent="0.3">
      <c r="A21751" s="12"/>
    </row>
    <row r="21752" spans="1:1" x14ac:dyDescent="0.3">
      <c r="A21752" s="12"/>
    </row>
    <row r="21753" spans="1:1" x14ac:dyDescent="0.3">
      <c r="A21753" s="12"/>
    </row>
    <row r="21754" spans="1:1" x14ac:dyDescent="0.3">
      <c r="A21754" s="12"/>
    </row>
    <row r="21755" spans="1:1" x14ac:dyDescent="0.3">
      <c r="A21755" s="12"/>
    </row>
    <row r="21756" spans="1:1" x14ac:dyDescent="0.3">
      <c r="A21756" s="12"/>
    </row>
    <row r="21757" spans="1:1" x14ac:dyDescent="0.3">
      <c r="A21757" s="12"/>
    </row>
    <row r="21758" spans="1:1" x14ac:dyDescent="0.3">
      <c r="A21758" s="12"/>
    </row>
    <row r="21759" spans="1:1" x14ac:dyDescent="0.3">
      <c r="A21759" s="12"/>
    </row>
    <row r="21760" spans="1:1" x14ac:dyDescent="0.3">
      <c r="A21760" s="12"/>
    </row>
    <row r="21761" spans="1:1" x14ac:dyDescent="0.3">
      <c r="A21761" s="12"/>
    </row>
    <row r="21762" spans="1:1" x14ac:dyDescent="0.3">
      <c r="A21762" s="12"/>
    </row>
    <row r="21763" spans="1:1" x14ac:dyDescent="0.3">
      <c r="A21763" s="12"/>
    </row>
    <row r="21764" spans="1:1" x14ac:dyDescent="0.3">
      <c r="A21764" s="12"/>
    </row>
    <row r="21765" spans="1:1" x14ac:dyDescent="0.3">
      <c r="A21765" s="12"/>
    </row>
    <row r="21766" spans="1:1" x14ac:dyDescent="0.3">
      <c r="A21766" s="12"/>
    </row>
    <row r="21767" spans="1:1" x14ac:dyDescent="0.3">
      <c r="A21767" s="12"/>
    </row>
    <row r="21768" spans="1:1" x14ac:dyDescent="0.3">
      <c r="A21768" s="12"/>
    </row>
    <row r="21769" spans="1:1" x14ac:dyDescent="0.3">
      <c r="A21769" s="12"/>
    </row>
    <row r="21770" spans="1:1" x14ac:dyDescent="0.3">
      <c r="A21770" s="12"/>
    </row>
    <row r="21771" spans="1:1" x14ac:dyDescent="0.3">
      <c r="A21771" s="12"/>
    </row>
    <row r="21772" spans="1:1" x14ac:dyDescent="0.3">
      <c r="A21772" s="12"/>
    </row>
    <row r="21773" spans="1:1" x14ac:dyDescent="0.3">
      <c r="A21773" s="12"/>
    </row>
    <row r="21774" spans="1:1" x14ac:dyDescent="0.3">
      <c r="A21774" s="12"/>
    </row>
    <row r="21775" spans="1:1" x14ac:dyDescent="0.3">
      <c r="A21775" s="12"/>
    </row>
    <row r="21776" spans="1:1" x14ac:dyDescent="0.3">
      <c r="A21776" s="12"/>
    </row>
    <row r="21777" spans="1:1" x14ac:dyDescent="0.3">
      <c r="A21777" s="12"/>
    </row>
    <row r="21778" spans="1:1" x14ac:dyDescent="0.3">
      <c r="A21778" s="12"/>
    </row>
    <row r="21779" spans="1:1" x14ac:dyDescent="0.3">
      <c r="A21779" s="12"/>
    </row>
    <row r="21780" spans="1:1" x14ac:dyDescent="0.3">
      <c r="A21780" s="12"/>
    </row>
    <row r="21781" spans="1:1" x14ac:dyDescent="0.3">
      <c r="A21781" s="12"/>
    </row>
    <row r="21782" spans="1:1" x14ac:dyDescent="0.3">
      <c r="A21782" s="12"/>
    </row>
    <row r="21783" spans="1:1" x14ac:dyDescent="0.3">
      <c r="A21783" s="12"/>
    </row>
    <row r="21784" spans="1:1" x14ac:dyDescent="0.3">
      <c r="A21784" s="12"/>
    </row>
    <row r="21785" spans="1:1" x14ac:dyDescent="0.3">
      <c r="A21785" s="12"/>
    </row>
    <row r="21786" spans="1:1" x14ac:dyDescent="0.3">
      <c r="A21786" s="12"/>
    </row>
    <row r="21787" spans="1:1" x14ac:dyDescent="0.3">
      <c r="A21787" s="12"/>
    </row>
    <row r="21788" spans="1:1" x14ac:dyDescent="0.3">
      <c r="A21788" s="12"/>
    </row>
    <row r="21789" spans="1:1" x14ac:dyDescent="0.3">
      <c r="A21789" s="12"/>
    </row>
    <row r="21790" spans="1:1" x14ac:dyDescent="0.3">
      <c r="A21790" s="12"/>
    </row>
    <row r="21791" spans="1:1" x14ac:dyDescent="0.3">
      <c r="A21791" s="12"/>
    </row>
    <row r="21792" spans="1:1" x14ac:dyDescent="0.3">
      <c r="A21792" s="12"/>
    </row>
    <row r="21793" spans="1:1" x14ac:dyDescent="0.3">
      <c r="A21793" s="12"/>
    </row>
    <row r="21794" spans="1:1" x14ac:dyDescent="0.3">
      <c r="A21794" s="12"/>
    </row>
    <row r="21795" spans="1:1" x14ac:dyDescent="0.3">
      <c r="A21795" s="12"/>
    </row>
    <row r="21796" spans="1:1" x14ac:dyDescent="0.3">
      <c r="A21796" s="12"/>
    </row>
    <row r="21797" spans="1:1" x14ac:dyDescent="0.3">
      <c r="A21797" s="12"/>
    </row>
    <row r="21798" spans="1:1" x14ac:dyDescent="0.3">
      <c r="A21798" s="12"/>
    </row>
    <row r="21799" spans="1:1" x14ac:dyDescent="0.3">
      <c r="A21799" s="12"/>
    </row>
    <row r="21800" spans="1:1" x14ac:dyDescent="0.3">
      <c r="A21800" s="12"/>
    </row>
    <row r="21801" spans="1:1" x14ac:dyDescent="0.3">
      <c r="A21801" s="12"/>
    </row>
    <row r="21802" spans="1:1" x14ac:dyDescent="0.3">
      <c r="A21802" s="12"/>
    </row>
    <row r="21803" spans="1:1" x14ac:dyDescent="0.3">
      <c r="A21803" s="12"/>
    </row>
    <row r="21804" spans="1:1" x14ac:dyDescent="0.3">
      <c r="A21804" s="12"/>
    </row>
    <row r="21805" spans="1:1" x14ac:dyDescent="0.3">
      <c r="A21805" s="12"/>
    </row>
    <row r="21806" spans="1:1" x14ac:dyDescent="0.3">
      <c r="A21806" s="12"/>
    </row>
    <row r="21807" spans="1:1" x14ac:dyDescent="0.3">
      <c r="A21807" s="12"/>
    </row>
    <row r="21808" spans="1:1" x14ac:dyDescent="0.3">
      <c r="A21808" s="12"/>
    </row>
    <row r="21809" spans="1:1" x14ac:dyDescent="0.3">
      <c r="A21809" s="12"/>
    </row>
    <row r="21810" spans="1:1" x14ac:dyDescent="0.3">
      <c r="A21810" s="12"/>
    </row>
    <row r="21811" spans="1:1" x14ac:dyDescent="0.3">
      <c r="A21811" s="12"/>
    </row>
    <row r="21812" spans="1:1" x14ac:dyDescent="0.3">
      <c r="A21812" s="12"/>
    </row>
    <row r="21813" spans="1:1" x14ac:dyDescent="0.3">
      <c r="A21813" s="12"/>
    </row>
    <row r="21814" spans="1:1" x14ac:dyDescent="0.3">
      <c r="A21814" s="12"/>
    </row>
    <row r="21815" spans="1:1" x14ac:dyDescent="0.3">
      <c r="A21815" s="12"/>
    </row>
    <row r="21816" spans="1:1" x14ac:dyDescent="0.3">
      <c r="A21816" s="12"/>
    </row>
    <row r="21817" spans="1:1" x14ac:dyDescent="0.3">
      <c r="A21817" s="12"/>
    </row>
    <row r="21818" spans="1:1" x14ac:dyDescent="0.3">
      <c r="A21818" s="12"/>
    </row>
    <row r="21819" spans="1:1" x14ac:dyDescent="0.3">
      <c r="A21819" s="12"/>
    </row>
    <row r="21820" spans="1:1" x14ac:dyDescent="0.3">
      <c r="A21820" s="12"/>
    </row>
    <row r="21821" spans="1:1" x14ac:dyDescent="0.3">
      <c r="A21821" s="12"/>
    </row>
    <row r="21822" spans="1:1" x14ac:dyDescent="0.3">
      <c r="A21822" s="12"/>
    </row>
    <row r="21823" spans="1:1" x14ac:dyDescent="0.3">
      <c r="A21823" s="12"/>
    </row>
    <row r="21824" spans="1:1" x14ac:dyDescent="0.3">
      <c r="A21824" s="12"/>
    </row>
    <row r="21825" spans="1:1" x14ac:dyDescent="0.3">
      <c r="A21825" s="12"/>
    </row>
    <row r="21826" spans="1:1" x14ac:dyDescent="0.3">
      <c r="A21826" s="12"/>
    </row>
    <row r="21827" spans="1:1" x14ac:dyDescent="0.3">
      <c r="A21827" s="12"/>
    </row>
    <row r="21828" spans="1:1" x14ac:dyDescent="0.3">
      <c r="A21828" s="12"/>
    </row>
    <row r="21829" spans="1:1" x14ac:dyDescent="0.3">
      <c r="A21829" s="12"/>
    </row>
    <row r="21830" spans="1:1" x14ac:dyDescent="0.3">
      <c r="A21830" s="12"/>
    </row>
    <row r="21831" spans="1:1" x14ac:dyDescent="0.3">
      <c r="A21831" s="12"/>
    </row>
    <row r="21832" spans="1:1" x14ac:dyDescent="0.3">
      <c r="A21832" s="12"/>
    </row>
    <row r="21833" spans="1:1" x14ac:dyDescent="0.3">
      <c r="A21833" s="12"/>
    </row>
    <row r="21834" spans="1:1" x14ac:dyDescent="0.3">
      <c r="A21834" s="12"/>
    </row>
    <row r="21835" spans="1:1" x14ac:dyDescent="0.3">
      <c r="A21835" s="12"/>
    </row>
    <row r="21836" spans="1:1" x14ac:dyDescent="0.3">
      <c r="A21836" s="12"/>
    </row>
    <row r="21837" spans="1:1" x14ac:dyDescent="0.3">
      <c r="A21837" s="12"/>
    </row>
    <row r="21838" spans="1:1" x14ac:dyDescent="0.3">
      <c r="A21838" s="12"/>
    </row>
    <row r="21839" spans="1:1" x14ac:dyDescent="0.3">
      <c r="A21839" s="12"/>
    </row>
    <row r="21840" spans="1:1" x14ac:dyDescent="0.3">
      <c r="A21840" s="12"/>
    </row>
    <row r="21841" spans="1:1" x14ac:dyDescent="0.3">
      <c r="A21841" s="12"/>
    </row>
    <row r="21842" spans="1:1" x14ac:dyDescent="0.3">
      <c r="A21842" s="12"/>
    </row>
    <row r="21843" spans="1:1" x14ac:dyDescent="0.3">
      <c r="A21843" s="12"/>
    </row>
    <row r="21844" spans="1:1" x14ac:dyDescent="0.3">
      <c r="A21844" s="12"/>
    </row>
    <row r="21845" spans="1:1" x14ac:dyDescent="0.3">
      <c r="A21845" s="12"/>
    </row>
    <row r="21846" spans="1:1" x14ac:dyDescent="0.3">
      <c r="A21846" s="12"/>
    </row>
    <row r="21847" spans="1:1" x14ac:dyDescent="0.3">
      <c r="A21847" s="12"/>
    </row>
    <row r="21848" spans="1:1" x14ac:dyDescent="0.3">
      <c r="A21848" s="12"/>
    </row>
    <row r="21849" spans="1:1" x14ac:dyDescent="0.3">
      <c r="A21849" s="12"/>
    </row>
    <row r="21850" spans="1:1" x14ac:dyDescent="0.3">
      <c r="A21850" s="12"/>
    </row>
    <row r="21851" spans="1:1" x14ac:dyDescent="0.3">
      <c r="A21851" s="12"/>
    </row>
    <row r="21852" spans="1:1" x14ac:dyDescent="0.3">
      <c r="A21852" s="12"/>
    </row>
    <row r="21853" spans="1:1" x14ac:dyDescent="0.3">
      <c r="A21853" s="12"/>
    </row>
    <row r="21854" spans="1:1" x14ac:dyDescent="0.3">
      <c r="A21854" s="12"/>
    </row>
    <row r="21855" spans="1:1" x14ac:dyDescent="0.3">
      <c r="A21855" s="12"/>
    </row>
    <row r="21856" spans="1:1" x14ac:dyDescent="0.3">
      <c r="A21856" s="12"/>
    </row>
    <row r="21857" spans="1:1" x14ac:dyDescent="0.3">
      <c r="A21857" s="12"/>
    </row>
    <row r="21858" spans="1:1" x14ac:dyDescent="0.3">
      <c r="A21858" s="12"/>
    </row>
    <row r="21859" spans="1:1" x14ac:dyDescent="0.3">
      <c r="A21859" s="12"/>
    </row>
    <row r="21860" spans="1:1" x14ac:dyDescent="0.3">
      <c r="A21860" s="12"/>
    </row>
    <row r="21861" spans="1:1" x14ac:dyDescent="0.3">
      <c r="A21861" s="12"/>
    </row>
    <row r="21862" spans="1:1" x14ac:dyDescent="0.3">
      <c r="A21862" s="12"/>
    </row>
    <row r="21863" spans="1:1" x14ac:dyDescent="0.3">
      <c r="A21863" s="12"/>
    </row>
    <row r="21864" spans="1:1" x14ac:dyDescent="0.3">
      <c r="A21864" s="12"/>
    </row>
    <row r="21865" spans="1:1" x14ac:dyDescent="0.3">
      <c r="A21865" s="12"/>
    </row>
    <row r="21866" spans="1:1" x14ac:dyDescent="0.3">
      <c r="A21866" s="12"/>
    </row>
    <row r="21867" spans="1:1" x14ac:dyDescent="0.3">
      <c r="A21867" s="12"/>
    </row>
    <row r="21868" spans="1:1" x14ac:dyDescent="0.3">
      <c r="A21868" s="12"/>
    </row>
    <row r="21869" spans="1:1" x14ac:dyDescent="0.3">
      <c r="A21869" s="12"/>
    </row>
    <row r="21870" spans="1:1" x14ac:dyDescent="0.3">
      <c r="A21870" s="12"/>
    </row>
    <row r="21871" spans="1:1" x14ac:dyDescent="0.3">
      <c r="A21871" s="12"/>
    </row>
    <row r="21872" spans="1:1" x14ac:dyDescent="0.3">
      <c r="A21872" s="12"/>
    </row>
    <row r="21873" spans="1:1" x14ac:dyDescent="0.3">
      <c r="A21873" s="12"/>
    </row>
    <row r="21874" spans="1:1" x14ac:dyDescent="0.3">
      <c r="A21874" s="12"/>
    </row>
    <row r="21875" spans="1:1" x14ac:dyDescent="0.3">
      <c r="A21875" s="12"/>
    </row>
    <row r="21876" spans="1:1" x14ac:dyDescent="0.3">
      <c r="A21876" s="12"/>
    </row>
    <row r="21877" spans="1:1" x14ac:dyDescent="0.3">
      <c r="A21877" s="12"/>
    </row>
    <row r="21878" spans="1:1" x14ac:dyDescent="0.3">
      <c r="A21878" s="12"/>
    </row>
    <row r="21879" spans="1:1" x14ac:dyDescent="0.3">
      <c r="A21879" s="12"/>
    </row>
    <row r="21880" spans="1:1" x14ac:dyDescent="0.3">
      <c r="A21880" s="12"/>
    </row>
    <row r="21881" spans="1:1" x14ac:dyDescent="0.3">
      <c r="A21881" s="12"/>
    </row>
    <row r="21882" spans="1:1" x14ac:dyDescent="0.3">
      <c r="A21882" s="12"/>
    </row>
    <row r="21883" spans="1:1" x14ac:dyDescent="0.3">
      <c r="A21883" s="12"/>
    </row>
    <row r="21884" spans="1:1" x14ac:dyDescent="0.3">
      <c r="A21884" s="12"/>
    </row>
    <row r="21885" spans="1:1" x14ac:dyDescent="0.3">
      <c r="A21885" s="12"/>
    </row>
    <row r="21886" spans="1:1" x14ac:dyDescent="0.3">
      <c r="A21886" s="12"/>
    </row>
    <row r="21887" spans="1:1" x14ac:dyDescent="0.3">
      <c r="A21887" s="12"/>
    </row>
    <row r="21888" spans="1:1" x14ac:dyDescent="0.3">
      <c r="A21888" s="12"/>
    </row>
    <row r="21889" spans="1:1" x14ac:dyDescent="0.3">
      <c r="A21889" s="12"/>
    </row>
    <row r="21890" spans="1:1" x14ac:dyDescent="0.3">
      <c r="A21890" s="12"/>
    </row>
    <row r="21891" spans="1:1" x14ac:dyDescent="0.3">
      <c r="A21891" s="12"/>
    </row>
    <row r="21892" spans="1:1" x14ac:dyDescent="0.3">
      <c r="A21892" s="12"/>
    </row>
    <row r="21893" spans="1:1" x14ac:dyDescent="0.3">
      <c r="A21893" s="12"/>
    </row>
    <row r="21894" spans="1:1" x14ac:dyDescent="0.3">
      <c r="A21894" s="12"/>
    </row>
    <row r="21895" spans="1:1" x14ac:dyDescent="0.3">
      <c r="A21895" s="12"/>
    </row>
    <row r="21896" spans="1:1" x14ac:dyDescent="0.3">
      <c r="A21896" s="12"/>
    </row>
    <row r="21897" spans="1:1" x14ac:dyDescent="0.3">
      <c r="A21897" s="12"/>
    </row>
    <row r="21898" spans="1:1" x14ac:dyDescent="0.3">
      <c r="A21898" s="12"/>
    </row>
    <row r="21899" spans="1:1" x14ac:dyDescent="0.3">
      <c r="A21899" s="12"/>
    </row>
    <row r="21900" spans="1:1" x14ac:dyDescent="0.3">
      <c r="A21900" s="12"/>
    </row>
    <row r="21901" spans="1:1" x14ac:dyDescent="0.3">
      <c r="A21901" s="12"/>
    </row>
    <row r="21902" spans="1:1" x14ac:dyDescent="0.3">
      <c r="A21902" s="12"/>
    </row>
    <row r="21903" spans="1:1" x14ac:dyDescent="0.3">
      <c r="A21903" s="12"/>
    </row>
    <row r="21904" spans="1:1" x14ac:dyDescent="0.3">
      <c r="A21904" s="12"/>
    </row>
    <row r="21905" spans="1:1" x14ac:dyDescent="0.3">
      <c r="A21905" s="12"/>
    </row>
    <row r="21906" spans="1:1" x14ac:dyDescent="0.3">
      <c r="A21906" s="12"/>
    </row>
    <row r="21907" spans="1:1" x14ac:dyDescent="0.3">
      <c r="A21907" s="12"/>
    </row>
    <row r="21908" spans="1:1" x14ac:dyDescent="0.3">
      <c r="A21908" s="12"/>
    </row>
    <row r="21909" spans="1:1" x14ac:dyDescent="0.3">
      <c r="A21909" s="12"/>
    </row>
    <row r="21910" spans="1:1" x14ac:dyDescent="0.3">
      <c r="A21910" s="12"/>
    </row>
    <row r="21911" spans="1:1" x14ac:dyDescent="0.3">
      <c r="A21911" s="12"/>
    </row>
    <row r="21912" spans="1:1" x14ac:dyDescent="0.3">
      <c r="A21912" s="12"/>
    </row>
    <row r="21913" spans="1:1" x14ac:dyDescent="0.3">
      <c r="A21913" s="12"/>
    </row>
    <row r="21914" spans="1:1" x14ac:dyDescent="0.3">
      <c r="A21914" s="12"/>
    </row>
    <row r="21915" spans="1:1" x14ac:dyDescent="0.3">
      <c r="A21915" s="12"/>
    </row>
    <row r="21916" spans="1:1" x14ac:dyDescent="0.3">
      <c r="A21916" s="12"/>
    </row>
    <row r="21917" spans="1:1" x14ac:dyDescent="0.3">
      <c r="A21917" s="12"/>
    </row>
    <row r="21918" spans="1:1" x14ac:dyDescent="0.3">
      <c r="A21918" s="12"/>
    </row>
    <row r="21919" spans="1:1" x14ac:dyDescent="0.3">
      <c r="A21919" s="12"/>
    </row>
    <row r="21920" spans="1:1" x14ac:dyDescent="0.3">
      <c r="A21920" s="12"/>
    </row>
    <row r="21921" spans="1:1" x14ac:dyDescent="0.3">
      <c r="A21921" s="12"/>
    </row>
    <row r="21922" spans="1:1" x14ac:dyDescent="0.3">
      <c r="A21922" s="12"/>
    </row>
    <row r="21923" spans="1:1" x14ac:dyDescent="0.3">
      <c r="A21923" s="12"/>
    </row>
    <row r="21924" spans="1:1" x14ac:dyDescent="0.3">
      <c r="A21924" s="12"/>
    </row>
    <row r="21925" spans="1:1" x14ac:dyDescent="0.3">
      <c r="A21925" s="12"/>
    </row>
    <row r="21926" spans="1:1" x14ac:dyDescent="0.3">
      <c r="A21926" s="12"/>
    </row>
    <row r="21927" spans="1:1" x14ac:dyDescent="0.3">
      <c r="A21927" s="12"/>
    </row>
    <row r="21928" spans="1:1" x14ac:dyDescent="0.3">
      <c r="A21928" s="12"/>
    </row>
    <row r="21929" spans="1:1" x14ac:dyDescent="0.3">
      <c r="A21929" s="12"/>
    </row>
    <row r="21930" spans="1:1" x14ac:dyDescent="0.3">
      <c r="A21930" s="12"/>
    </row>
    <row r="21931" spans="1:1" x14ac:dyDescent="0.3">
      <c r="A21931" s="12"/>
    </row>
    <row r="21932" spans="1:1" x14ac:dyDescent="0.3">
      <c r="A21932" s="12"/>
    </row>
    <row r="21933" spans="1:1" x14ac:dyDescent="0.3">
      <c r="A21933" s="12"/>
    </row>
    <row r="21934" spans="1:1" x14ac:dyDescent="0.3">
      <c r="A21934" s="12"/>
    </row>
    <row r="21935" spans="1:1" x14ac:dyDescent="0.3">
      <c r="A21935" s="12"/>
    </row>
    <row r="21936" spans="1:1" x14ac:dyDescent="0.3">
      <c r="A21936" s="12"/>
    </row>
    <row r="21937" spans="1:1" x14ac:dyDescent="0.3">
      <c r="A21937" s="12"/>
    </row>
    <row r="21938" spans="1:1" x14ac:dyDescent="0.3">
      <c r="A21938" s="12"/>
    </row>
    <row r="21939" spans="1:1" x14ac:dyDescent="0.3">
      <c r="A21939" s="12"/>
    </row>
    <row r="21940" spans="1:1" x14ac:dyDescent="0.3">
      <c r="A21940" s="12"/>
    </row>
    <row r="21941" spans="1:1" x14ac:dyDescent="0.3">
      <c r="A21941" s="12"/>
    </row>
    <row r="21942" spans="1:1" x14ac:dyDescent="0.3">
      <c r="A21942" s="12"/>
    </row>
    <row r="21943" spans="1:1" x14ac:dyDescent="0.3">
      <c r="A21943" s="12"/>
    </row>
    <row r="21944" spans="1:1" x14ac:dyDescent="0.3">
      <c r="A21944" s="12"/>
    </row>
    <row r="21945" spans="1:1" x14ac:dyDescent="0.3">
      <c r="A21945" s="12"/>
    </row>
    <row r="21946" spans="1:1" x14ac:dyDescent="0.3">
      <c r="A21946" s="12"/>
    </row>
    <row r="21947" spans="1:1" x14ac:dyDescent="0.3">
      <c r="A21947" s="12"/>
    </row>
    <row r="21948" spans="1:1" x14ac:dyDescent="0.3">
      <c r="A21948" s="12"/>
    </row>
    <row r="21949" spans="1:1" x14ac:dyDescent="0.3">
      <c r="A21949" s="12"/>
    </row>
    <row r="21950" spans="1:1" x14ac:dyDescent="0.3">
      <c r="A21950" s="12"/>
    </row>
    <row r="21951" spans="1:1" x14ac:dyDescent="0.3">
      <c r="A21951" s="12"/>
    </row>
    <row r="21952" spans="1:1" x14ac:dyDescent="0.3">
      <c r="A21952" s="12"/>
    </row>
    <row r="21953" spans="1:1" x14ac:dyDescent="0.3">
      <c r="A21953" s="12"/>
    </row>
    <row r="21954" spans="1:1" x14ac:dyDescent="0.3">
      <c r="A21954" s="12"/>
    </row>
    <row r="21955" spans="1:1" x14ac:dyDescent="0.3">
      <c r="A21955" s="12"/>
    </row>
    <row r="21956" spans="1:1" x14ac:dyDescent="0.3">
      <c r="A21956" s="12"/>
    </row>
    <row r="21957" spans="1:1" x14ac:dyDescent="0.3">
      <c r="A21957" s="12"/>
    </row>
    <row r="21958" spans="1:1" x14ac:dyDescent="0.3">
      <c r="A21958" s="12"/>
    </row>
    <row r="21959" spans="1:1" x14ac:dyDescent="0.3">
      <c r="A21959" s="12"/>
    </row>
    <row r="21960" spans="1:1" x14ac:dyDescent="0.3">
      <c r="A21960" s="12"/>
    </row>
    <row r="21961" spans="1:1" x14ac:dyDescent="0.3">
      <c r="A21961" s="12"/>
    </row>
    <row r="21962" spans="1:1" x14ac:dyDescent="0.3">
      <c r="A21962" s="12"/>
    </row>
    <row r="21963" spans="1:1" x14ac:dyDescent="0.3">
      <c r="A21963" s="12"/>
    </row>
    <row r="21964" spans="1:1" x14ac:dyDescent="0.3">
      <c r="A21964" s="12"/>
    </row>
    <row r="21965" spans="1:1" x14ac:dyDescent="0.3">
      <c r="A21965" s="12"/>
    </row>
    <row r="21966" spans="1:1" x14ac:dyDescent="0.3">
      <c r="A21966" s="12"/>
    </row>
    <row r="21967" spans="1:1" x14ac:dyDescent="0.3">
      <c r="A21967" s="12"/>
    </row>
    <row r="21968" spans="1:1" x14ac:dyDescent="0.3">
      <c r="A21968" s="12"/>
    </row>
    <row r="21969" spans="1:1" x14ac:dyDescent="0.3">
      <c r="A21969" s="12"/>
    </row>
    <row r="21970" spans="1:1" x14ac:dyDescent="0.3">
      <c r="A21970" s="12"/>
    </row>
    <row r="21971" spans="1:1" x14ac:dyDescent="0.3">
      <c r="A21971" s="12"/>
    </row>
    <row r="21972" spans="1:1" x14ac:dyDescent="0.3">
      <c r="A21972" s="12"/>
    </row>
    <row r="21973" spans="1:1" x14ac:dyDescent="0.3">
      <c r="A21973" s="12"/>
    </row>
    <row r="21974" spans="1:1" x14ac:dyDescent="0.3">
      <c r="A21974" s="12"/>
    </row>
    <row r="21975" spans="1:1" x14ac:dyDescent="0.3">
      <c r="A21975" s="12"/>
    </row>
    <row r="21976" spans="1:1" x14ac:dyDescent="0.3">
      <c r="A21976" s="12"/>
    </row>
    <row r="21977" spans="1:1" x14ac:dyDescent="0.3">
      <c r="A21977" s="12"/>
    </row>
    <row r="21978" spans="1:1" x14ac:dyDescent="0.3">
      <c r="A21978" s="12"/>
    </row>
    <row r="21979" spans="1:1" x14ac:dyDescent="0.3">
      <c r="A21979" s="12"/>
    </row>
    <row r="21980" spans="1:1" x14ac:dyDescent="0.3">
      <c r="A21980" s="12"/>
    </row>
    <row r="21981" spans="1:1" x14ac:dyDescent="0.3">
      <c r="A21981" s="12"/>
    </row>
    <row r="21982" spans="1:1" x14ac:dyDescent="0.3">
      <c r="A21982" s="12"/>
    </row>
    <row r="21983" spans="1:1" x14ac:dyDescent="0.3">
      <c r="A21983" s="12"/>
    </row>
    <row r="21984" spans="1:1" x14ac:dyDescent="0.3">
      <c r="A21984" s="12"/>
    </row>
    <row r="21985" spans="1:1" x14ac:dyDescent="0.3">
      <c r="A21985" s="12"/>
    </row>
    <row r="21986" spans="1:1" x14ac:dyDescent="0.3">
      <c r="A21986" s="12"/>
    </row>
    <row r="21987" spans="1:1" x14ac:dyDescent="0.3">
      <c r="A21987" s="12"/>
    </row>
    <row r="21988" spans="1:1" x14ac:dyDescent="0.3">
      <c r="A21988" s="12"/>
    </row>
    <row r="21989" spans="1:1" x14ac:dyDescent="0.3">
      <c r="A21989" s="12"/>
    </row>
    <row r="21990" spans="1:1" x14ac:dyDescent="0.3">
      <c r="A21990" s="12"/>
    </row>
    <row r="21991" spans="1:1" x14ac:dyDescent="0.3">
      <c r="A21991" s="12"/>
    </row>
    <row r="21992" spans="1:1" x14ac:dyDescent="0.3">
      <c r="A21992" s="12"/>
    </row>
    <row r="21993" spans="1:1" x14ac:dyDescent="0.3">
      <c r="A21993" s="12"/>
    </row>
    <row r="21994" spans="1:1" x14ac:dyDescent="0.3">
      <c r="A21994" s="12"/>
    </row>
    <row r="21995" spans="1:1" x14ac:dyDescent="0.3">
      <c r="A21995" s="12"/>
    </row>
    <row r="21996" spans="1:1" x14ac:dyDescent="0.3">
      <c r="A21996" s="12"/>
    </row>
    <row r="21997" spans="1:1" x14ac:dyDescent="0.3">
      <c r="A21997" s="12"/>
    </row>
    <row r="21998" spans="1:1" x14ac:dyDescent="0.3">
      <c r="A21998" s="12"/>
    </row>
    <row r="21999" spans="1:1" x14ac:dyDescent="0.3">
      <c r="A21999" s="12"/>
    </row>
    <row r="22000" spans="1:1" x14ac:dyDescent="0.3">
      <c r="A22000" s="12"/>
    </row>
    <row r="22001" spans="1:1" x14ac:dyDescent="0.3">
      <c r="A22001" s="12"/>
    </row>
    <row r="22002" spans="1:1" x14ac:dyDescent="0.3">
      <c r="A22002" s="12"/>
    </row>
    <row r="22003" spans="1:1" x14ac:dyDescent="0.3">
      <c r="A22003" s="12"/>
    </row>
    <row r="22004" spans="1:1" x14ac:dyDescent="0.3">
      <c r="A22004" s="12"/>
    </row>
    <row r="22005" spans="1:1" x14ac:dyDescent="0.3">
      <c r="A22005" s="12"/>
    </row>
    <row r="22006" spans="1:1" x14ac:dyDescent="0.3">
      <c r="A22006" s="12"/>
    </row>
    <row r="22007" spans="1:1" x14ac:dyDescent="0.3">
      <c r="A22007" s="12"/>
    </row>
    <row r="22008" spans="1:1" x14ac:dyDescent="0.3">
      <c r="A22008" s="12"/>
    </row>
    <row r="22009" spans="1:1" x14ac:dyDescent="0.3">
      <c r="A22009" s="12"/>
    </row>
    <row r="22010" spans="1:1" x14ac:dyDescent="0.3">
      <c r="A22010" s="12"/>
    </row>
    <row r="22011" spans="1:1" x14ac:dyDescent="0.3">
      <c r="A22011" s="12"/>
    </row>
    <row r="22012" spans="1:1" x14ac:dyDescent="0.3">
      <c r="A22012" s="12"/>
    </row>
    <row r="22013" spans="1:1" x14ac:dyDescent="0.3">
      <c r="A22013" s="12"/>
    </row>
    <row r="22014" spans="1:1" x14ac:dyDescent="0.3">
      <c r="A22014" s="12"/>
    </row>
    <row r="22015" spans="1:1" x14ac:dyDescent="0.3">
      <c r="A22015" s="12"/>
    </row>
    <row r="22016" spans="1:1" x14ac:dyDescent="0.3">
      <c r="A22016" s="12"/>
    </row>
    <row r="22017" spans="1:1" x14ac:dyDescent="0.3">
      <c r="A22017" s="12"/>
    </row>
    <row r="22018" spans="1:1" x14ac:dyDescent="0.3">
      <c r="A22018" s="12"/>
    </row>
    <row r="22019" spans="1:1" x14ac:dyDescent="0.3">
      <c r="A22019" s="12"/>
    </row>
    <row r="22020" spans="1:1" x14ac:dyDescent="0.3">
      <c r="A22020" s="12"/>
    </row>
    <row r="22021" spans="1:1" x14ac:dyDescent="0.3">
      <c r="A22021" s="12"/>
    </row>
    <row r="22022" spans="1:1" x14ac:dyDescent="0.3">
      <c r="A22022" s="12"/>
    </row>
    <row r="22023" spans="1:1" x14ac:dyDescent="0.3">
      <c r="A22023" s="12"/>
    </row>
    <row r="22024" spans="1:1" x14ac:dyDescent="0.3">
      <c r="A22024" s="12"/>
    </row>
    <row r="22025" spans="1:1" x14ac:dyDescent="0.3">
      <c r="A22025" s="12"/>
    </row>
    <row r="22026" spans="1:1" x14ac:dyDescent="0.3">
      <c r="A22026" s="12"/>
    </row>
    <row r="22027" spans="1:1" x14ac:dyDescent="0.3">
      <c r="A22027" s="12"/>
    </row>
    <row r="22028" spans="1:1" x14ac:dyDescent="0.3">
      <c r="A22028" s="12"/>
    </row>
    <row r="22029" spans="1:1" x14ac:dyDescent="0.3">
      <c r="A22029" s="12"/>
    </row>
    <row r="22030" spans="1:1" x14ac:dyDescent="0.3">
      <c r="A22030" s="12"/>
    </row>
    <row r="22031" spans="1:1" x14ac:dyDescent="0.3">
      <c r="A22031" s="12"/>
    </row>
    <row r="22032" spans="1:1" x14ac:dyDescent="0.3">
      <c r="A22032" s="12"/>
    </row>
    <row r="22033" spans="1:1" x14ac:dyDescent="0.3">
      <c r="A22033" s="12"/>
    </row>
    <row r="22034" spans="1:1" x14ac:dyDescent="0.3">
      <c r="A22034" s="12"/>
    </row>
    <row r="22035" spans="1:1" x14ac:dyDescent="0.3">
      <c r="A22035" s="12"/>
    </row>
    <row r="22036" spans="1:1" x14ac:dyDescent="0.3">
      <c r="A22036" s="12"/>
    </row>
    <row r="22037" spans="1:1" x14ac:dyDescent="0.3">
      <c r="A22037" s="12"/>
    </row>
    <row r="22038" spans="1:1" x14ac:dyDescent="0.3">
      <c r="A22038" s="12"/>
    </row>
    <row r="22039" spans="1:1" x14ac:dyDescent="0.3">
      <c r="A22039" s="12"/>
    </row>
    <row r="22040" spans="1:1" x14ac:dyDescent="0.3">
      <c r="A22040" s="12"/>
    </row>
    <row r="22041" spans="1:1" x14ac:dyDescent="0.3">
      <c r="A22041" s="12"/>
    </row>
    <row r="22042" spans="1:1" x14ac:dyDescent="0.3">
      <c r="A22042" s="12"/>
    </row>
    <row r="22043" spans="1:1" x14ac:dyDescent="0.3">
      <c r="A22043" s="12"/>
    </row>
    <row r="22044" spans="1:1" x14ac:dyDescent="0.3">
      <c r="A22044" s="12"/>
    </row>
    <row r="22045" spans="1:1" x14ac:dyDescent="0.3">
      <c r="A22045" s="12"/>
    </row>
    <row r="22046" spans="1:1" x14ac:dyDescent="0.3">
      <c r="A22046" s="12"/>
    </row>
    <row r="22047" spans="1:1" x14ac:dyDescent="0.3">
      <c r="A22047" s="12"/>
    </row>
    <row r="22048" spans="1:1" x14ac:dyDescent="0.3">
      <c r="A22048" s="12"/>
    </row>
    <row r="22049" spans="1:1" x14ac:dyDescent="0.3">
      <c r="A22049" s="12"/>
    </row>
    <row r="22050" spans="1:1" x14ac:dyDescent="0.3">
      <c r="A22050" s="12"/>
    </row>
    <row r="22051" spans="1:1" x14ac:dyDescent="0.3">
      <c r="A22051" s="12"/>
    </row>
    <row r="22052" spans="1:1" x14ac:dyDescent="0.3">
      <c r="A22052" s="12"/>
    </row>
    <row r="22053" spans="1:1" x14ac:dyDescent="0.3">
      <c r="A22053" s="12"/>
    </row>
    <row r="22054" spans="1:1" x14ac:dyDescent="0.3">
      <c r="A22054" s="12"/>
    </row>
    <row r="22055" spans="1:1" x14ac:dyDescent="0.3">
      <c r="A22055" s="12"/>
    </row>
    <row r="22056" spans="1:1" x14ac:dyDescent="0.3">
      <c r="A22056" s="12"/>
    </row>
    <row r="22057" spans="1:1" x14ac:dyDescent="0.3">
      <c r="A22057" s="12"/>
    </row>
    <row r="22058" spans="1:1" x14ac:dyDescent="0.3">
      <c r="A22058" s="12"/>
    </row>
    <row r="22059" spans="1:1" x14ac:dyDescent="0.3">
      <c r="A22059" s="12"/>
    </row>
    <row r="22060" spans="1:1" x14ac:dyDescent="0.3">
      <c r="A22060" s="12"/>
    </row>
    <row r="22061" spans="1:1" x14ac:dyDescent="0.3">
      <c r="A22061" s="12"/>
    </row>
    <row r="22062" spans="1:1" x14ac:dyDescent="0.3">
      <c r="A22062" s="12"/>
    </row>
    <row r="22063" spans="1:1" x14ac:dyDescent="0.3">
      <c r="A22063" s="12"/>
    </row>
    <row r="22064" spans="1:1" x14ac:dyDescent="0.3">
      <c r="A22064" s="12"/>
    </row>
    <row r="22065" spans="1:1" x14ac:dyDescent="0.3">
      <c r="A22065" s="12"/>
    </row>
    <row r="22066" spans="1:1" x14ac:dyDescent="0.3">
      <c r="A22066" s="12"/>
    </row>
    <row r="22067" spans="1:1" x14ac:dyDescent="0.3">
      <c r="A22067" s="12"/>
    </row>
    <row r="22068" spans="1:1" x14ac:dyDescent="0.3">
      <c r="A22068" s="12"/>
    </row>
    <row r="22069" spans="1:1" x14ac:dyDescent="0.3">
      <c r="A22069" s="12"/>
    </row>
    <row r="22070" spans="1:1" x14ac:dyDescent="0.3">
      <c r="A22070" s="12"/>
    </row>
    <row r="22071" spans="1:1" x14ac:dyDescent="0.3">
      <c r="A22071" s="12"/>
    </row>
    <row r="22072" spans="1:1" x14ac:dyDescent="0.3">
      <c r="A22072" s="12"/>
    </row>
    <row r="22073" spans="1:1" x14ac:dyDescent="0.3">
      <c r="A22073" s="12"/>
    </row>
    <row r="22074" spans="1:1" x14ac:dyDescent="0.3">
      <c r="A22074" s="12"/>
    </row>
    <row r="22075" spans="1:1" x14ac:dyDescent="0.3">
      <c r="A22075" s="12"/>
    </row>
    <row r="22076" spans="1:1" x14ac:dyDescent="0.3">
      <c r="A22076" s="12"/>
    </row>
    <row r="22077" spans="1:1" x14ac:dyDescent="0.3">
      <c r="A22077" s="12"/>
    </row>
    <row r="22078" spans="1:1" x14ac:dyDescent="0.3">
      <c r="A22078" s="12"/>
    </row>
    <row r="22079" spans="1:1" x14ac:dyDescent="0.3">
      <c r="A22079" s="12"/>
    </row>
    <row r="22080" spans="1:1" x14ac:dyDescent="0.3">
      <c r="A22080" s="12"/>
    </row>
    <row r="22081" spans="1:1" x14ac:dyDescent="0.3">
      <c r="A22081" s="12"/>
    </row>
    <row r="22082" spans="1:1" x14ac:dyDescent="0.3">
      <c r="A22082" s="12"/>
    </row>
    <row r="22083" spans="1:1" x14ac:dyDescent="0.3">
      <c r="A22083" s="12"/>
    </row>
    <row r="22084" spans="1:1" x14ac:dyDescent="0.3">
      <c r="A22084" s="12"/>
    </row>
    <row r="22085" spans="1:1" x14ac:dyDescent="0.3">
      <c r="A22085" s="12"/>
    </row>
    <row r="22086" spans="1:1" x14ac:dyDescent="0.3">
      <c r="A22086" s="12"/>
    </row>
    <row r="22087" spans="1:1" x14ac:dyDescent="0.3">
      <c r="A22087" s="12"/>
    </row>
    <row r="22088" spans="1:1" x14ac:dyDescent="0.3">
      <c r="A22088" s="12"/>
    </row>
    <row r="22089" spans="1:1" x14ac:dyDescent="0.3">
      <c r="A22089" s="12"/>
    </row>
    <row r="22090" spans="1:1" x14ac:dyDescent="0.3">
      <c r="A22090" s="12"/>
    </row>
    <row r="22091" spans="1:1" x14ac:dyDescent="0.3">
      <c r="A22091" s="12"/>
    </row>
    <row r="22092" spans="1:1" x14ac:dyDescent="0.3">
      <c r="A22092" s="12"/>
    </row>
    <row r="22093" spans="1:1" x14ac:dyDescent="0.3">
      <c r="A22093" s="12"/>
    </row>
    <row r="22094" spans="1:1" x14ac:dyDescent="0.3">
      <c r="A22094" s="12"/>
    </row>
    <row r="22095" spans="1:1" x14ac:dyDescent="0.3">
      <c r="A22095" s="12"/>
    </row>
    <row r="22096" spans="1:1" x14ac:dyDescent="0.3">
      <c r="A22096" s="12"/>
    </row>
    <row r="22097" spans="1:1" x14ac:dyDescent="0.3">
      <c r="A22097" s="12"/>
    </row>
    <row r="22098" spans="1:1" x14ac:dyDescent="0.3">
      <c r="A22098" s="12"/>
    </row>
    <row r="22099" spans="1:1" x14ac:dyDescent="0.3">
      <c r="A22099" s="12"/>
    </row>
    <row r="22100" spans="1:1" x14ac:dyDescent="0.3">
      <c r="A22100" s="12"/>
    </row>
    <row r="22101" spans="1:1" x14ac:dyDescent="0.3">
      <c r="A22101" s="12"/>
    </row>
    <row r="22102" spans="1:1" x14ac:dyDescent="0.3">
      <c r="A22102" s="12"/>
    </row>
    <row r="22103" spans="1:1" x14ac:dyDescent="0.3">
      <c r="A22103" s="12"/>
    </row>
    <row r="22104" spans="1:1" x14ac:dyDescent="0.3">
      <c r="A22104" s="12"/>
    </row>
    <row r="22105" spans="1:1" x14ac:dyDescent="0.3">
      <c r="A22105" s="12"/>
    </row>
    <row r="22106" spans="1:1" x14ac:dyDescent="0.3">
      <c r="A22106" s="12"/>
    </row>
    <row r="22107" spans="1:1" x14ac:dyDescent="0.3">
      <c r="A22107" s="12"/>
    </row>
    <row r="22108" spans="1:1" x14ac:dyDescent="0.3">
      <c r="A22108" s="12"/>
    </row>
    <row r="22109" spans="1:1" x14ac:dyDescent="0.3">
      <c r="A22109" s="12"/>
    </row>
    <row r="22110" spans="1:1" x14ac:dyDescent="0.3">
      <c r="A22110" s="12"/>
    </row>
    <row r="22111" spans="1:1" x14ac:dyDescent="0.3">
      <c r="A22111" s="12"/>
    </row>
    <row r="22112" spans="1:1" x14ac:dyDescent="0.3">
      <c r="A22112" s="12"/>
    </row>
    <row r="22113" spans="1:1" x14ac:dyDescent="0.3">
      <c r="A22113" s="12"/>
    </row>
    <row r="22114" spans="1:1" x14ac:dyDescent="0.3">
      <c r="A22114" s="12"/>
    </row>
    <row r="22115" spans="1:1" x14ac:dyDescent="0.3">
      <c r="A22115" s="12"/>
    </row>
    <row r="22116" spans="1:1" x14ac:dyDescent="0.3">
      <c r="A22116" s="12"/>
    </row>
    <row r="22117" spans="1:1" x14ac:dyDescent="0.3">
      <c r="A22117" s="12"/>
    </row>
    <row r="22118" spans="1:1" x14ac:dyDescent="0.3">
      <c r="A22118" s="12"/>
    </row>
    <row r="22119" spans="1:1" x14ac:dyDescent="0.3">
      <c r="A22119" s="12"/>
    </row>
    <row r="22120" spans="1:1" x14ac:dyDescent="0.3">
      <c r="A22120" s="12"/>
    </row>
    <row r="22121" spans="1:1" x14ac:dyDescent="0.3">
      <c r="A22121" s="12"/>
    </row>
    <row r="22122" spans="1:1" x14ac:dyDescent="0.3">
      <c r="A22122" s="12"/>
    </row>
    <row r="22123" spans="1:1" x14ac:dyDescent="0.3">
      <c r="A22123" s="12"/>
    </row>
    <row r="22124" spans="1:1" x14ac:dyDescent="0.3">
      <c r="A22124" s="12"/>
    </row>
    <row r="22125" spans="1:1" x14ac:dyDescent="0.3">
      <c r="A22125" s="12"/>
    </row>
    <row r="22126" spans="1:1" x14ac:dyDescent="0.3">
      <c r="A22126" s="12"/>
    </row>
    <row r="22127" spans="1:1" x14ac:dyDescent="0.3">
      <c r="A22127" s="12"/>
    </row>
    <row r="22128" spans="1:1" x14ac:dyDescent="0.3">
      <c r="A22128" s="12"/>
    </row>
    <row r="22129" spans="1:1" x14ac:dyDescent="0.3">
      <c r="A22129" s="12"/>
    </row>
    <row r="22130" spans="1:1" x14ac:dyDescent="0.3">
      <c r="A22130" s="12"/>
    </row>
    <row r="22131" spans="1:1" x14ac:dyDescent="0.3">
      <c r="A22131" s="12"/>
    </row>
    <row r="22132" spans="1:1" x14ac:dyDescent="0.3">
      <c r="A22132" s="12"/>
    </row>
    <row r="22133" spans="1:1" x14ac:dyDescent="0.3">
      <c r="A22133" s="12"/>
    </row>
    <row r="22134" spans="1:1" x14ac:dyDescent="0.3">
      <c r="A22134" s="12"/>
    </row>
    <row r="22135" spans="1:1" x14ac:dyDescent="0.3">
      <c r="A22135" s="12"/>
    </row>
    <row r="22136" spans="1:1" x14ac:dyDescent="0.3">
      <c r="A22136" s="12"/>
    </row>
    <row r="22137" spans="1:1" x14ac:dyDescent="0.3">
      <c r="A22137" s="12"/>
    </row>
    <row r="22138" spans="1:1" x14ac:dyDescent="0.3">
      <c r="A22138" s="12"/>
    </row>
    <row r="22139" spans="1:1" x14ac:dyDescent="0.3">
      <c r="A22139" s="12"/>
    </row>
    <row r="22140" spans="1:1" x14ac:dyDescent="0.3">
      <c r="A22140" s="12"/>
    </row>
    <row r="22141" spans="1:1" x14ac:dyDescent="0.3">
      <c r="A22141" s="12"/>
    </row>
    <row r="22142" spans="1:1" x14ac:dyDescent="0.3">
      <c r="A22142" s="12"/>
    </row>
    <row r="22143" spans="1:1" x14ac:dyDescent="0.3">
      <c r="A22143" s="12"/>
    </row>
    <row r="22144" spans="1:1" x14ac:dyDescent="0.3">
      <c r="A22144" s="12"/>
    </row>
    <row r="22145" spans="1:1" x14ac:dyDescent="0.3">
      <c r="A22145" s="12"/>
    </row>
    <row r="22146" spans="1:1" x14ac:dyDescent="0.3">
      <c r="A22146" s="12"/>
    </row>
    <row r="22147" spans="1:1" x14ac:dyDescent="0.3">
      <c r="A22147" s="12"/>
    </row>
    <row r="22148" spans="1:1" x14ac:dyDescent="0.3">
      <c r="A22148" s="12"/>
    </row>
    <row r="22149" spans="1:1" x14ac:dyDescent="0.3">
      <c r="A22149" s="12"/>
    </row>
    <row r="22150" spans="1:1" x14ac:dyDescent="0.3">
      <c r="A22150" s="12"/>
    </row>
    <row r="22151" spans="1:1" x14ac:dyDescent="0.3">
      <c r="A22151" s="12"/>
    </row>
    <row r="22152" spans="1:1" x14ac:dyDescent="0.3">
      <c r="A22152" s="12"/>
    </row>
    <row r="22153" spans="1:1" x14ac:dyDescent="0.3">
      <c r="A22153" s="12"/>
    </row>
    <row r="22154" spans="1:1" x14ac:dyDescent="0.3">
      <c r="A22154" s="12"/>
    </row>
    <row r="22155" spans="1:1" x14ac:dyDescent="0.3">
      <c r="A22155" s="12"/>
    </row>
    <row r="22156" spans="1:1" x14ac:dyDescent="0.3">
      <c r="A22156" s="12"/>
    </row>
    <row r="22157" spans="1:1" x14ac:dyDescent="0.3">
      <c r="A22157" s="12"/>
    </row>
    <row r="22158" spans="1:1" x14ac:dyDescent="0.3">
      <c r="A22158" s="12"/>
    </row>
    <row r="22159" spans="1:1" x14ac:dyDescent="0.3">
      <c r="A22159" s="12"/>
    </row>
    <row r="22160" spans="1:1" x14ac:dyDescent="0.3">
      <c r="A22160" s="12"/>
    </row>
    <row r="22161" spans="1:1" x14ac:dyDescent="0.3">
      <c r="A22161" s="12"/>
    </row>
    <row r="22162" spans="1:1" x14ac:dyDescent="0.3">
      <c r="A22162" s="12"/>
    </row>
    <row r="22163" spans="1:1" x14ac:dyDescent="0.3">
      <c r="A22163" s="12"/>
    </row>
    <row r="22164" spans="1:1" x14ac:dyDescent="0.3">
      <c r="A22164" s="12"/>
    </row>
    <row r="22165" spans="1:1" x14ac:dyDescent="0.3">
      <c r="A22165" s="12"/>
    </row>
    <row r="22166" spans="1:1" x14ac:dyDescent="0.3">
      <c r="A22166" s="12"/>
    </row>
    <row r="22167" spans="1:1" x14ac:dyDescent="0.3">
      <c r="A22167" s="12"/>
    </row>
    <row r="22168" spans="1:1" x14ac:dyDescent="0.3">
      <c r="A22168" s="12"/>
    </row>
    <row r="22169" spans="1:1" x14ac:dyDescent="0.3">
      <c r="A22169" s="12"/>
    </row>
    <row r="22170" spans="1:1" x14ac:dyDescent="0.3">
      <c r="A22170" s="12"/>
    </row>
    <row r="22171" spans="1:1" x14ac:dyDescent="0.3">
      <c r="A22171" s="12"/>
    </row>
    <row r="22172" spans="1:1" x14ac:dyDescent="0.3">
      <c r="A22172" s="12"/>
    </row>
    <row r="22173" spans="1:1" x14ac:dyDescent="0.3">
      <c r="A22173" s="12"/>
    </row>
    <row r="22174" spans="1:1" x14ac:dyDescent="0.3">
      <c r="A22174" s="12"/>
    </row>
    <row r="22175" spans="1:1" x14ac:dyDescent="0.3">
      <c r="A22175" s="12"/>
    </row>
    <row r="22176" spans="1:1" x14ac:dyDescent="0.3">
      <c r="A22176" s="12"/>
    </row>
    <row r="22177" spans="1:1" x14ac:dyDescent="0.3">
      <c r="A22177" s="12"/>
    </row>
    <row r="22178" spans="1:1" x14ac:dyDescent="0.3">
      <c r="A22178" s="12"/>
    </row>
    <row r="22179" spans="1:1" x14ac:dyDescent="0.3">
      <c r="A22179" s="12"/>
    </row>
    <row r="22180" spans="1:1" x14ac:dyDescent="0.3">
      <c r="A22180" s="12"/>
    </row>
    <row r="22181" spans="1:1" x14ac:dyDescent="0.3">
      <c r="A22181" s="12"/>
    </row>
    <row r="22182" spans="1:1" x14ac:dyDescent="0.3">
      <c r="A22182" s="12"/>
    </row>
    <row r="22183" spans="1:1" x14ac:dyDescent="0.3">
      <c r="A22183" s="12"/>
    </row>
    <row r="22184" spans="1:1" x14ac:dyDescent="0.3">
      <c r="A22184" s="12"/>
    </row>
    <row r="22185" spans="1:1" x14ac:dyDescent="0.3">
      <c r="A22185" s="12"/>
    </row>
    <row r="22186" spans="1:1" x14ac:dyDescent="0.3">
      <c r="A22186" s="12"/>
    </row>
    <row r="22187" spans="1:1" x14ac:dyDescent="0.3">
      <c r="A22187" s="12"/>
    </row>
    <row r="22188" spans="1:1" x14ac:dyDescent="0.3">
      <c r="A22188" s="12"/>
    </row>
    <row r="22189" spans="1:1" x14ac:dyDescent="0.3">
      <c r="A22189" s="12"/>
    </row>
    <row r="22190" spans="1:1" x14ac:dyDescent="0.3">
      <c r="A22190" s="12"/>
    </row>
    <row r="22191" spans="1:1" x14ac:dyDescent="0.3">
      <c r="A22191" s="12"/>
    </row>
    <row r="22192" spans="1:1" x14ac:dyDescent="0.3">
      <c r="A22192" s="12"/>
    </row>
    <row r="22193" spans="1:1" x14ac:dyDescent="0.3">
      <c r="A22193" s="12"/>
    </row>
    <row r="22194" spans="1:1" x14ac:dyDescent="0.3">
      <c r="A22194" s="12"/>
    </row>
    <row r="22195" spans="1:1" x14ac:dyDescent="0.3">
      <c r="A22195" s="12"/>
    </row>
    <row r="22196" spans="1:1" x14ac:dyDescent="0.3">
      <c r="A22196" s="12"/>
    </row>
    <row r="22197" spans="1:1" x14ac:dyDescent="0.3">
      <c r="A22197" s="12"/>
    </row>
    <row r="22198" spans="1:1" x14ac:dyDescent="0.3">
      <c r="A22198" s="12"/>
    </row>
    <row r="22199" spans="1:1" x14ac:dyDescent="0.3">
      <c r="A22199" s="12"/>
    </row>
    <row r="22200" spans="1:1" x14ac:dyDescent="0.3">
      <c r="A22200" s="12"/>
    </row>
    <row r="22201" spans="1:1" x14ac:dyDescent="0.3">
      <c r="A22201" s="12"/>
    </row>
    <row r="22202" spans="1:1" x14ac:dyDescent="0.3">
      <c r="A22202" s="12"/>
    </row>
    <row r="22203" spans="1:1" x14ac:dyDescent="0.3">
      <c r="A22203" s="12"/>
    </row>
    <row r="22204" spans="1:1" x14ac:dyDescent="0.3">
      <c r="A22204" s="12"/>
    </row>
    <row r="22205" spans="1:1" x14ac:dyDescent="0.3">
      <c r="A22205" s="12"/>
    </row>
    <row r="22206" spans="1:1" x14ac:dyDescent="0.3">
      <c r="A22206" s="12"/>
    </row>
    <row r="22207" spans="1:1" x14ac:dyDescent="0.3">
      <c r="A22207" s="12"/>
    </row>
    <row r="22208" spans="1:1" x14ac:dyDescent="0.3">
      <c r="A22208" s="12"/>
    </row>
    <row r="22209" spans="1:1" x14ac:dyDescent="0.3">
      <c r="A22209" s="12"/>
    </row>
    <row r="22210" spans="1:1" x14ac:dyDescent="0.3">
      <c r="A22210" s="12"/>
    </row>
    <row r="22211" spans="1:1" x14ac:dyDescent="0.3">
      <c r="A22211" s="12"/>
    </row>
    <row r="22212" spans="1:1" x14ac:dyDescent="0.3">
      <c r="A22212" s="12"/>
    </row>
    <row r="22213" spans="1:1" x14ac:dyDescent="0.3">
      <c r="A22213" s="12"/>
    </row>
    <row r="22214" spans="1:1" x14ac:dyDescent="0.3">
      <c r="A22214" s="12"/>
    </row>
    <row r="22215" spans="1:1" x14ac:dyDescent="0.3">
      <c r="A22215" s="12"/>
    </row>
    <row r="22216" spans="1:1" x14ac:dyDescent="0.3">
      <c r="A22216" s="12"/>
    </row>
    <row r="22217" spans="1:1" x14ac:dyDescent="0.3">
      <c r="A22217" s="12"/>
    </row>
    <row r="22218" spans="1:1" x14ac:dyDescent="0.3">
      <c r="A22218" s="12"/>
    </row>
    <row r="22219" spans="1:1" x14ac:dyDescent="0.3">
      <c r="A22219" s="12"/>
    </row>
    <row r="22220" spans="1:1" x14ac:dyDescent="0.3">
      <c r="A22220" s="12"/>
    </row>
    <row r="22221" spans="1:1" x14ac:dyDescent="0.3">
      <c r="A22221" s="12"/>
    </row>
    <row r="22222" spans="1:1" x14ac:dyDescent="0.3">
      <c r="A22222" s="12"/>
    </row>
    <row r="22223" spans="1:1" x14ac:dyDescent="0.3">
      <c r="A22223" s="12"/>
    </row>
    <row r="22224" spans="1:1" x14ac:dyDescent="0.3">
      <c r="A22224" s="12"/>
    </row>
    <row r="22225" spans="1:1" x14ac:dyDescent="0.3">
      <c r="A22225" s="12"/>
    </row>
    <row r="22226" spans="1:1" x14ac:dyDescent="0.3">
      <c r="A22226" s="12"/>
    </row>
    <row r="22227" spans="1:1" x14ac:dyDescent="0.3">
      <c r="A22227" s="12"/>
    </row>
    <row r="22228" spans="1:1" x14ac:dyDescent="0.3">
      <c r="A22228" s="12"/>
    </row>
    <row r="22229" spans="1:1" x14ac:dyDescent="0.3">
      <c r="A22229" s="12"/>
    </row>
    <row r="22230" spans="1:1" x14ac:dyDescent="0.3">
      <c r="A22230" s="12"/>
    </row>
    <row r="22231" spans="1:1" x14ac:dyDescent="0.3">
      <c r="A22231" s="12"/>
    </row>
    <row r="22232" spans="1:1" x14ac:dyDescent="0.3">
      <c r="A22232" s="12"/>
    </row>
    <row r="22233" spans="1:1" x14ac:dyDescent="0.3">
      <c r="A22233" s="12"/>
    </row>
    <row r="22234" spans="1:1" x14ac:dyDescent="0.3">
      <c r="A22234" s="12"/>
    </row>
    <row r="22235" spans="1:1" x14ac:dyDescent="0.3">
      <c r="A22235" s="12"/>
    </row>
    <row r="22236" spans="1:1" x14ac:dyDescent="0.3">
      <c r="A22236" s="12"/>
    </row>
    <row r="22237" spans="1:1" x14ac:dyDescent="0.3">
      <c r="A22237" s="12"/>
    </row>
    <row r="22238" spans="1:1" x14ac:dyDescent="0.3">
      <c r="A22238" s="12"/>
    </row>
    <row r="22239" spans="1:1" x14ac:dyDescent="0.3">
      <c r="A22239" s="12"/>
    </row>
    <row r="22240" spans="1:1" x14ac:dyDescent="0.3">
      <c r="A22240" s="12"/>
    </row>
    <row r="22241" spans="1:1" x14ac:dyDescent="0.3">
      <c r="A22241" s="12"/>
    </row>
    <row r="22242" spans="1:1" x14ac:dyDescent="0.3">
      <c r="A22242" s="12"/>
    </row>
    <row r="22243" spans="1:1" x14ac:dyDescent="0.3">
      <c r="A22243" s="12"/>
    </row>
    <row r="22244" spans="1:1" x14ac:dyDescent="0.3">
      <c r="A22244" s="12"/>
    </row>
    <row r="22245" spans="1:1" x14ac:dyDescent="0.3">
      <c r="A22245" s="12"/>
    </row>
    <row r="22246" spans="1:1" x14ac:dyDescent="0.3">
      <c r="A22246" s="12"/>
    </row>
    <row r="22247" spans="1:1" x14ac:dyDescent="0.3">
      <c r="A22247" s="12"/>
    </row>
    <row r="22248" spans="1:1" x14ac:dyDescent="0.3">
      <c r="A22248" s="12"/>
    </row>
    <row r="22249" spans="1:1" x14ac:dyDescent="0.3">
      <c r="A22249" s="12"/>
    </row>
    <row r="22250" spans="1:1" x14ac:dyDescent="0.3">
      <c r="A22250" s="12"/>
    </row>
    <row r="22251" spans="1:1" x14ac:dyDescent="0.3">
      <c r="A22251" s="12"/>
    </row>
    <row r="22252" spans="1:1" x14ac:dyDescent="0.3">
      <c r="A22252" s="12"/>
    </row>
    <row r="22253" spans="1:1" x14ac:dyDescent="0.3">
      <c r="A22253" s="12"/>
    </row>
    <row r="22254" spans="1:1" x14ac:dyDescent="0.3">
      <c r="A22254" s="12"/>
    </row>
    <row r="22255" spans="1:1" x14ac:dyDescent="0.3">
      <c r="A22255" s="12"/>
    </row>
    <row r="22256" spans="1:1" x14ac:dyDescent="0.3">
      <c r="A22256" s="12"/>
    </row>
    <row r="22257" spans="1:1" x14ac:dyDescent="0.3">
      <c r="A22257" s="12"/>
    </row>
    <row r="22258" spans="1:1" x14ac:dyDescent="0.3">
      <c r="A22258" s="12"/>
    </row>
    <row r="22259" spans="1:1" x14ac:dyDescent="0.3">
      <c r="A22259" s="12"/>
    </row>
    <row r="22260" spans="1:1" x14ac:dyDescent="0.3">
      <c r="A22260" s="12"/>
    </row>
    <row r="22261" spans="1:1" x14ac:dyDescent="0.3">
      <c r="A22261" s="12"/>
    </row>
    <row r="22262" spans="1:1" x14ac:dyDescent="0.3">
      <c r="A22262" s="12"/>
    </row>
    <row r="22263" spans="1:1" x14ac:dyDescent="0.3">
      <c r="A22263" s="12"/>
    </row>
    <row r="22264" spans="1:1" x14ac:dyDescent="0.3">
      <c r="A22264" s="12"/>
    </row>
    <row r="22265" spans="1:1" x14ac:dyDescent="0.3">
      <c r="A22265" s="12"/>
    </row>
    <row r="22266" spans="1:1" x14ac:dyDescent="0.3">
      <c r="A22266" s="12"/>
    </row>
    <row r="22267" spans="1:1" x14ac:dyDescent="0.3">
      <c r="A22267" s="12"/>
    </row>
    <row r="22268" spans="1:1" x14ac:dyDescent="0.3">
      <c r="A22268" s="12"/>
    </row>
    <row r="22269" spans="1:1" x14ac:dyDescent="0.3">
      <c r="A22269" s="12"/>
    </row>
    <row r="22270" spans="1:1" x14ac:dyDescent="0.3">
      <c r="A22270" s="12"/>
    </row>
    <row r="22271" spans="1:1" x14ac:dyDescent="0.3">
      <c r="A22271" s="12"/>
    </row>
    <row r="22272" spans="1:1" x14ac:dyDescent="0.3">
      <c r="A22272" s="12"/>
    </row>
    <row r="22273" spans="1:1" x14ac:dyDescent="0.3">
      <c r="A22273" s="12"/>
    </row>
    <row r="22274" spans="1:1" x14ac:dyDescent="0.3">
      <c r="A22274" s="12"/>
    </row>
    <row r="22275" spans="1:1" x14ac:dyDescent="0.3">
      <c r="A22275" s="12"/>
    </row>
    <row r="22276" spans="1:1" x14ac:dyDescent="0.3">
      <c r="A22276" s="12"/>
    </row>
    <row r="22277" spans="1:1" x14ac:dyDescent="0.3">
      <c r="A22277" s="12"/>
    </row>
    <row r="22278" spans="1:1" x14ac:dyDescent="0.3">
      <c r="A22278" s="12"/>
    </row>
    <row r="22279" spans="1:1" x14ac:dyDescent="0.3">
      <c r="A22279" s="12"/>
    </row>
    <row r="22280" spans="1:1" x14ac:dyDescent="0.3">
      <c r="A22280" s="12"/>
    </row>
    <row r="22281" spans="1:1" x14ac:dyDescent="0.3">
      <c r="A22281" s="12"/>
    </row>
    <row r="22282" spans="1:1" x14ac:dyDescent="0.3">
      <c r="A22282" s="12"/>
    </row>
    <row r="22283" spans="1:1" x14ac:dyDescent="0.3">
      <c r="A22283" s="12"/>
    </row>
    <row r="22284" spans="1:1" x14ac:dyDescent="0.3">
      <c r="A22284" s="12"/>
    </row>
    <row r="22285" spans="1:1" x14ac:dyDescent="0.3">
      <c r="A22285" s="12"/>
    </row>
    <row r="22286" spans="1:1" x14ac:dyDescent="0.3">
      <c r="A22286" s="12"/>
    </row>
    <row r="22287" spans="1:1" x14ac:dyDescent="0.3">
      <c r="A22287" s="12"/>
    </row>
    <row r="22288" spans="1:1" x14ac:dyDescent="0.3">
      <c r="A22288" s="12"/>
    </row>
    <row r="22289" spans="1:1" x14ac:dyDescent="0.3">
      <c r="A22289" s="12"/>
    </row>
    <row r="22290" spans="1:1" x14ac:dyDescent="0.3">
      <c r="A22290" s="12"/>
    </row>
    <row r="22291" spans="1:1" x14ac:dyDescent="0.3">
      <c r="A22291" s="12"/>
    </row>
    <row r="22292" spans="1:1" x14ac:dyDescent="0.3">
      <c r="A22292" s="12"/>
    </row>
    <row r="22293" spans="1:1" x14ac:dyDescent="0.3">
      <c r="A22293" s="12"/>
    </row>
    <row r="22294" spans="1:1" x14ac:dyDescent="0.3">
      <c r="A22294" s="12"/>
    </row>
    <row r="22295" spans="1:1" x14ac:dyDescent="0.3">
      <c r="A22295" s="12"/>
    </row>
    <row r="22296" spans="1:1" x14ac:dyDescent="0.3">
      <c r="A22296" s="12"/>
    </row>
    <row r="22297" spans="1:1" x14ac:dyDescent="0.3">
      <c r="A22297" s="12"/>
    </row>
    <row r="22298" spans="1:1" x14ac:dyDescent="0.3">
      <c r="A22298" s="12"/>
    </row>
    <row r="22299" spans="1:1" x14ac:dyDescent="0.3">
      <c r="A22299" s="12"/>
    </row>
    <row r="22300" spans="1:1" x14ac:dyDescent="0.3">
      <c r="A22300" s="12"/>
    </row>
    <row r="22301" spans="1:1" x14ac:dyDescent="0.3">
      <c r="A22301" s="12"/>
    </row>
    <row r="22302" spans="1:1" x14ac:dyDescent="0.3">
      <c r="A22302" s="12"/>
    </row>
    <row r="22303" spans="1:1" x14ac:dyDescent="0.3">
      <c r="A22303" s="12"/>
    </row>
    <row r="22304" spans="1:1" x14ac:dyDescent="0.3">
      <c r="A22304" s="12"/>
    </row>
    <row r="22305" spans="1:1" x14ac:dyDescent="0.3">
      <c r="A22305" s="12"/>
    </row>
    <row r="22306" spans="1:1" x14ac:dyDescent="0.3">
      <c r="A22306" s="12"/>
    </row>
    <row r="22307" spans="1:1" x14ac:dyDescent="0.3">
      <c r="A22307" s="12"/>
    </row>
    <row r="22308" spans="1:1" x14ac:dyDescent="0.3">
      <c r="A22308" s="12"/>
    </row>
    <row r="22309" spans="1:1" x14ac:dyDescent="0.3">
      <c r="A22309" s="12"/>
    </row>
    <row r="22310" spans="1:1" x14ac:dyDescent="0.3">
      <c r="A22310" s="12"/>
    </row>
    <row r="22311" spans="1:1" x14ac:dyDescent="0.3">
      <c r="A22311" s="12"/>
    </row>
    <row r="22312" spans="1:1" x14ac:dyDescent="0.3">
      <c r="A22312" s="12"/>
    </row>
    <row r="22313" spans="1:1" x14ac:dyDescent="0.3">
      <c r="A22313" s="12"/>
    </row>
    <row r="22314" spans="1:1" x14ac:dyDescent="0.3">
      <c r="A22314" s="12"/>
    </row>
    <row r="22315" spans="1:1" x14ac:dyDescent="0.3">
      <c r="A22315" s="12"/>
    </row>
    <row r="22316" spans="1:1" x14ac:dyDescent="0.3">
      <c r="A22316" s="12"/>
    </row>
    <row r="22317" spans="1:1" x14ac:dyDescent="0.3">
      <c r="A22317" s="12"/>
    </row>
    <row r="22318" spans="1:1" x14ac:dyDescent="0.3">
      <c r="A22318" s="12"/>
    </row>
    <row r="22319" spans="1:1" x14ac:dyDescent="0.3">
      <c r="A22319" s="12"/>
    </row>
    <row r="22320" spans="1:1" x14ac:dyDescent="0.3">
      <c r="A22320" s="12"/>
    </row>
    <row r="22321" spans="1:1" x14ac:dyDescent="0.3">
      <c r="A22321" s="12"/>
    </row>
    <row r="22322" spans="1:1" x14ac:dyDescent="0.3">
      <c r="A22322" s="12"/>
    </row>
    <row r="22323" spans="1:1" x14ac:dyDescent="0.3">
      <c r="A22323" s="12"/>
    </row>
    <row r="22324" spans="1:1" x14ac:dyDescent="0.3">
      <c r="A22324" s="12"/>
    </row>
    <row r="22325" spans="1:1" x14ac:dyDescent="0.3">
      <c r="A22325" s="12"/>
    </row>
    <row r="22326" spans="1:1" x14ac:dyDescent="0.3">
      <c r="A22326" s="12"/>
    </row>
    <row r="22327" spans="1:1" x14ac:dyDescent="0.3">
      <c r="A22327" s="12"/>
    </row>
    <row r="22328" spans="1:1" x14ac:dyDescent="0.3">
      <c r="A22328" s="12"/>
    </row>
    <row r="22329" spans="1:1" x14ac:dyDescent="0.3">
      <c r="A22329" s="12"/>
    </row>
    <row r="22330" spans="1:1" x14ac:dyDescent="0.3">
      <c r="A22330" s="12"/>
    </row>
    <row r="22331" spans="1:1" x14ac:dyDescent="0.3">
      <c r="A22331" s="12"/>
    </row>
    <row r="22332" spans="1:1" x14ac:dyDescent="0.3">
      <c r="A22332" s="12"/>
    </row>
    <row r="22333" spans="1:1" x14ac:dyDescent="0.3">
      <c r="A22333" s="12"/>
    </row>
    <row r="22334" spans="1:1" x14ac:dyDescent="0.3">
      <c r="A22334" s="12"/>
    </row>
    <row r="22335" spans="1:1" x14ac:dyDescent="0.3">
      <c r="A22335" s="12"/>
    </row>
    <row r="22336" spans="1:1" x14ac:dyDescent="0.3">
      <c r="A22336" s="12"/>
    </row>
    <row r="22337" spans="1:1" x14ac:dyDescent="0.3">
      <c r="A22337" s="12"/>
    </row>
    <row r="22338" spans="1:1" x14ac:dyDescent="0.3">
      <c r="A22338" s="12"/>
    </row>
    <row r="22339" spans="1:1" x14ac:dyDescent="0.3">
      <c r="A22339" s="12"/>
    </row>
    <row r="22340" spans="1:1" x14ac:dyDescent="0.3">
      <c r="A22340" s="12"/>
    </row>
    <row r="22341" spans="1:1" x14ac:dyDescent="0.3">
      <c r="A22341" s="12"/>
    </row>
    <row r="22342" spans="1:1" x14ac:dyDescent="0.3">
      <c r="A22342" s="12"/>
    </row>
    <row r="22343" spans="1:1" x14ac:dyDescent="0.3">
      <c r="A22343" s="12"/>
    </row>
    <row r="22344" spans="1:1" x14ac:dyDescent="0.3">
      <c r="A22344" s="12"/>
    </row>
    <row r="22345" spans="1:1" x14ac:dyDescent="0.3">
      <c r="A22345" s="12"/>
    </row>
    <row r="22346" spans="1:1" x14ac:dyDescent="0.3">
      <c r="A22346" s="12"/>
    </row>
    <row r="22347" spans="1:1" x14ac:dyDescent="0.3">
      <c r="A22347" s="12"/>
    </row>
    <row r="22348" spans="1:1" x14ac:dyDescent="0.3">
      <c r="A22348" s="12"/>
    </row>
    <row r="22349" spans="1:1" x14ac:dyDescent="0.3">
      <c r="A22349" s="12"/>
    </row>
    <row r="22350" spans="1:1" x14ac:dyDescent="0.3">
      <c r="A22350" s="12"/>
    </row>
    <row r="22351" spans="1:1" x14ac:dyDescent="0.3">
      <c r="A22351" s="12"/>
    </row>
    <row r="22352" spans="1:1" x14ac:dyDescent="0.3">
      <c r="A22352" s="12"/>
    </row>
    <row r="22353" spans="1:1" x14ac:dyDescent="0.3">
      <c r="A22353" s="12"/>
    </row>
    <row r="22354" spans="1:1" x14ac:dyDescent="0.3">
      <c r="A22354" s="12"/>
    </row>
    <row r="22355" spans="1:1" x14ac:dyDescent="0.3">
      <c r="A22355" s="12"/>
    </row>
    <row r="22356" spans="1:1" x14ac:dyDescent="0.3">
      <c r="A22356" s="12"/>
    </row>
    <row r="22357" spans="1:1" x14ac:dyDescent="0.3">
      <c r="A22357" s="12"/>
    </row>
    <row r="22358" spans="1:1" x14ac:dyDescent="0.3">
      <c r="A22358" s="12"/>
    </row>
    <row r="22359" spans="1:1" x14ac:dyDescent="0.3">
      <c r="A22359" s="12"/>
    </row>
    <row r="22360" spans="1:1" x14ac:dyDescent="0.3">
      <c r="A22360" s="12"/>
    </row>
    <row r="22361" spans="1:1" x14ac:dyDescent="0.3">
      <c r="A22361" s="12"/>
    </row>
    <row r="22362" spans="1:1" x14ac:dyDescent="0.3">
      <c r="A22362" s="12"/>
    </row>
    <row r="22363" spans="1:1" x14ac:dyDescent="0.3">
      <c r="A22363" s="12"/>
    </row>
    <row r="22364" spans="1:1" x14ac:dyDescent="0.3">
      <c r="A22364" s="12"/>
    </row>
    <row r="22365" spans="1:1" x14ac:dyDescent="0.3">
      <c r="A22365" s="12"/>
    </row>
    <row r="22366" spans="1:1" x14ac:dyDescent="0.3">
      <c r="A22366" s="12"/>
    </row>
    <row r="22367" spans="1:1" x14ac:dyDescent="0.3">
      <c r="A22367" s="12"/>
    </row>
    <row r="22368" spans="1:1" x14ac:dyDescent="0.3">
      <c r="A22368" s="12"/>
    </row>
    <row r="22369" spans="1:1" x14ac:dyDescent="0.3">
      <c r="A22369" s="12"/>
    </row>
    <row r="22370" spans="1:1" x14ac:dyDescent="0.3">
      <c r="A22370" s="12"/>
    </row>
    <row r="22371" spans="1:1" x14ac:dyDescent="0.3">
      <c r="A22371" s="12"/>
    </row>
    <row r="22372" spans="1:1" x14ac:dyDescent="0.3">
      <c r="A22372" s="12"/>
    </row>
    <row r="22373" spans="1:1" x14ac:dyDescent="0.3">
      <c r="A22373" s="12"/>
    </row>
    <row r="22374" spans="1:1" x14ac:dyDescent="0.3">
      <c r="A22374" s="12"/>
    </row>
    <row r="22375" spans="1:1" x14ac:dyDescent="0.3">
      <c r="A22375" s="12"/>
    </row>
    <row r="22376" spans="1:1" x14ac:dyDescent="0.3">
      <c r="A22376" s="12"/>
    </row>
    <row r="22377" spans="1:1" x14ac:dyDescent="0.3">
      <c r="A22377" s="12"/>
    </row>
    <row r="22378" spans="1:1" x14ac:dyDescent="0.3">
      <c r="A22378" s="12"/>
    </row>
    <row r="22379" spans="1:1" x14ac:dyDescent="0.3">
      <c r="A22379" s="12"/>
    </row>
    <row r="22380" spans="1:1" x14ac:dyDescent="0.3">
      <c r="A22380" s="12"/>
    </row>
    <row r="22381" spans="1:1" x14ac:dyDescent="0.3">
      <c r="A22381" s="12"/>
    </row>
    <row r="22382" spans="1:1" x14ac:dyDescent="0.3">
      <c r="A22382" s="12"/>
    </row>
    <row r="22383" spans="1:1" x14ac:dyDescent="0.3">
      <c r="A22383" s="12"/>
    </row>
    <row r="22384" spans="1:1" x14ac:dyDescent="0.3">
      <c r="A22384" s="12"/>
    </row>
    <row r="22385" spans="1:1" x14ac:dyDescent="0.3">
      <c r="A22385" s="12"/>
    </row>
    <row r="22386" spans="1:1" x14ac:dyDescent="0.3">
      <c r="A22386" s="12"/>
    </row>
    <row r="22387" spans="1:1" x14ac:dyDescent="0.3">
      <c r="A22387" s="12"/>
    </row>
    <row r="22388" spans="1:1" x14ac:dyDescent="0.3">
      <c r="A22388" s="12"/>
    </row>
    <row r="22389" spans="1:1" x14ac:dyDescent="0.3">
      <c r="A22389" s="12"/>
    </row>
    <row r="22390" spans="1:1" x14ac:dyDescent="0.3">
      <c r="A22390" s="12"/>
    </row>
    <row r="22391" spans="1:1" x14ac:dyDescent="0.3">
      <c r="A22391" s="12"/>
    </row>
    <row r="22392" spans="1:1" x14ac:dyDescent="0.3">
      <c r="A22392" s="12"/>
    </row>
    <row r="22393" spans="1:1" x14ac:dyDescent="0.3">
      <c r="A22393" s="12"/>
    </row>
    <row r="22394" spans="1:1" x14ac:dyDescent="0.3">
      <c r="A22394" s="12"/>
    </row>
    <row r="22395" spans="1:1" x14ac:dyDescent="0.3">
      <c r="A22395" s="12"/>
    </row>
    <row r="22396" spans="1:1" x14ac:dyDescent="0.3">
      <c r="A22396" s="12"/>
    </row>
    <row r="22397" spans="1:1" x14ac:dyDescent="0.3">
      <c r="A22397" s="12"/>
    </row>
    <row r="22398" spans="1:1" x14ac:dyDescent="0.3">
      <c r="A22398" s="12"/>
    </row>
    <row r="22399" spans="1:1" x14ac:dyDescent="0.3">
      <c r="A22399" s="12"/>
    </row>
    <row r="22400" spans="1:1" x14ac:dyDescent="0.3">
      <c r="A22400" s="12"/>
    </row>
    <row r="22401" spans="1:1" x14ac:dyDescent="0.3">
      <c r="A22401" s="12"/>
    </row>
    <row r="22402" spans="1:1" x14ac:dyDescent="0.3">
      <c r="A22402" s="12"/>
    </row>
    <row r="22403" spans="1:1" x14ac:dyDescent="0.3">
      <c r="A22403" s="12"/>
    </row>
    <row r="22404" spans="1:1" x14ac:dyDescent="0.3">
      <c r="A22404" s="12"/>
    </row>
    <row r="22405" spans="1:1" x14ac:dyDescent="0.3">
      <c r="A22405" s="12"/>
    </row>
    <row r="22406" spans="1:1" x14ac:dyDescent="0.3">
      <c r="A22406" s="12"/>
    </row>
    <row r="22407" spans="1:1" x14ac:dyDescent="0.3">
      <c r="A22407" s="12"/>
    </row>
    <row r="22408" spans="1:1" x14ac:dyDescent="0.3">
      <c r="A22408" s="12"/>
    </row>
    <row r="22409" spans="1:1" x14ac:dyDescent="0.3">
      <c r="A22409" s="12"/>
    </row>
    <row r="22410" spans="1:1" x14ac:dyDescent="0.3">
      <c r="A22410" s="12"/>
    </row>
    <row r="22411" spans="1:1" x14ac:dyDescent="0.3">
      <c r="A22411" s="12"/>
    </row>
    <row r="22412" spans="1:1" x14ac:dyDescent="0.3">
      <c r="A22412" s="12"/>
    </row>
    <row r="22413" spans="1:1" x14ac:dyDescent="0.3">
      <c r="A22413" s="12"/>
    </row>
    <row r="22414" spans="1:1" x14ac:dyDescent="0.3">
      <c r="A22414" s="12"/>
    </row>
    <row r="22415" spans="1:1" x14ac:dyDescent="0.3">
      <c r="A22415" s="12"/>
    </row>
    <row r="22416" spans="1:1" x14ac:dyDescent="0.3">
      <c r="A22416" s="12"/>
    </row>
    <row r="22417" spans="1:1" x14ac:dyDescent="0.3">
      <c r="A22417" s="12"/>
    </row>
    <row r="22418" spans="1:1" x14ac:dyDescent="0.3">
      <c r="A22418" s="12"/>
    </row>
    <row r="22419" spans="1:1" x14ac:dyDescent="0.3">
      <c r="A22419" s="12"/>
    </row>
    <row r="22420" spans="1:1" x14ac:dyDescent="0.3">
      <c r="A22420" s="12"/>
    </row>
    <row r="22421" spans="1:1" x14ac:dyDescent="0.3">
      <c r="A22421" s="12"/>
    </row>
    <row r="22422" spans="1:1" x14ac:dyDescent="0.3">
      <c r="A22422" s="12"/>
    </row>
    <row r="22423" spans="1:1" x14ac:dyDescent="0.3">
      <c r="A22423" s="12"/>
    </row>
    <row r="22424" spans="1:1" x14ac:dyDescent="0.3">
      <c r="A22424" s="12"/>
    </row>
    <row r="22425" spans="1:1" x14ac:dyDescent="0.3">
      <c r="A22425" s="12"/>
    </row>
    <row r="22426" spans="1:1" x14ac:dyDescent="0.3">
      <c r="A22426" s="12"/>
    </row>
    <row r="22427" spans="1:1" x14ac:dyDescent="0.3">
      <c r="A22427" s="12"/>
    </row>
    <row r="22428" spans="1:1" x14ac:dyDescent="0.3">
      <c r="A22428" s="12"/>
    </row>
    <row r="22429" spans="1:1" x14ac:dyDescent="0.3">
      <c r="A22429" s="12"/>
    </row>
    <row r="22430" spans="1:1" x14ac:dyDescent="0.3">
      <c r="A22430" s="12"/>
    </row>
    <row r="22431" spans="1:1" x14ac:dyDescent="0.3">
      <c r="A22431" s="12"/>
    </row>
    <row r="22432" spans="1:1" x14ac:dyDescent="0.3">
      <c r="A22432" s="12"/>
    </row>
    <row r="22433" spans="1:1" x14ac:dyDescent="0.3">
      <c r="A22433" s="12"/>
    </row>
    <row r="22434" spans="1:1" x14ac:dyDescent="0.3">
      <c r="A22434" s="12"/>
    </row>
    <row r="22435" spans="1:1" x14ac:dyDescent="0.3">
      <c r="A22435" s="12"/>
    </row>
    <row r="22436" spans="1:1" x14ac:dyDescent="0.3">
      <c r="A22436" s="12"/>
    </row>
    <row r="22437" spans="1:1" x14ac:dyDescent="0.3">
      <c r="A22437" s="12"/>
    </row>
    <row r="22438" spans="1:1" x14ac:dyDescent="0.3">
      <c r="A22438" s="12"/>
    </row>
    <row r="22439" spans="1:1" x14ac:dyDescent="0.3">
      <c r="A22439" s="12"/>
    </row>
    <row r="22440" spans="1:1" x14ac:dyDescent="0.3">
      <c r="A22440" s="12"/>
    </row>
    <row r="22441" spans="1:1" x14ac:dyDescent="0.3">
      <c r="A22441" s="12"/>
    </row>
    <row r="22442" spans="1:1" x14ac:dyDescent="0.3">
      <c r="A22442" s="12"/>
    </row>
    <row r="22443" spans="1:1" x14ac:dyDescent="0.3">
      <c r="A22443" s="12"/>
    </row>
    <row r="22444" spans="1:1" x14ac:dyDescent="0.3">
      <c r="A22444" s="12"/>
    </row>
    <row r="22445" spans="1:1" x14ac:dyDescent="0.3">
      <c r="A22445" s="12"/>
    </row>
    <row r="22446" spans="1:1" x14ac:dyDescent="0.3">
      <c r="A22446" s="12"/>
    </row>
    <row r="22447" spans="1:1" x14ac:dyDescent="0.3">
      <c r="A22447" s="12"/>
    </row>
    <row r="22448" spans="1:1" x14ac:dyDescent="0.3">
      <c r="A22448" s="12"/>
    </row>
    <row r="22449" spans="1:1" x14ac:dyDescent="0.3">
      <c r="A22449" s="12"/>
    </row>
    <row r="22450" spans="1:1" x14ac:dyDescent="0.3">
      <c r="A22450" s="12"/>
    </row>
    <row r="22451" spans="1:1" x14ac:dyDescent="0.3">
      <c r="A22451" s="12"/>
    </row>
    <row r="22452" spans="1:1" x14ac:dyDescent="0.3">
      <c r="A22452" s="12"/>
    </row>
    <row r="22453" spans="1:1" x14ac:dyDescent="0.3">
      <c r="A22453" s="12"/>
    </row>
    <row r="22454" spans="1:1" x14ac:dyDescent="0.3">
      <c r="A22454" s="12"/>
    </row>
    <row r="22455" spans="1:1" x14ac:dyDescent="0.3">
      <c r="A22455" s="12"/>
    </row>
    <row r="22456" spans="1:1" x14ac:dyDescent="0.3">
      <c r="A22456" s="12"/>
    </row>
    <row r="22457" spans="1:1" x14ac:dyDescent="0.3">
      <c r="A22457" s="12"/>
    </row>
    <row r="22458" spans="1:1" x14ac:dyDescent="0.3">
      <c r="A22458" s="12"/>
    </row>
    <row r="22459" spans="1:1" x14ac:dyDescent="0.3">
      <c r="A22459" s="12"/>
    </row>
    <row r="22460" spans="1:1" x14ac:dyDescent="0.3">
      <c r="A22460" s="12"/>
    </row>
    <row r="22461" spans="1:1" x14ac:dyDescent="0.3">
      <c r="A22461" s="12"/>
    </row>
    <row r="22462" spans="1:1" x14ac:dyDescent="0.3">
      <c r="A22462" s="12"/>
    </row>
    <row r="22463" spans="1:1" x14ac:dyDescent="0.3">
      <c r="A22463" s="12"/>
    </row>
    <row r="22464" spans="1:1" x14ac:dyDescent="0.3">
      <c r="A22464" s="12"/>
    </row>
    <row r="22465" spans="1:1" x14ac:dyDescent="0.3">
      <c r="A22465" s="12"/>
    </row>
    <row r="22466" spans="1:1" x14ac:dyDescent="0.3">
      <c r="A22466" s="12"/>
    </row>
    <row r="22467" spans="1:1" x14ac:dyDescent="0.3">
      <c r="A22467" s="12"/>
    </row>
    <row r="22468" spans="1:1" x14ac:dyDescent="0.3">
      <c r="A22468" s="12"/>
    </row>
    <row r="22469" spans="1:1" x14ac:dyDescent="0.3">
      <c r="A22469" s="12"/>
    </row>
    <row r="22470" spans="1:1" x14ac:dyDescent="0.3">
      <c r="A22470" s="12"/>
    </row>
    <row r="22471" spans="1:1" x14ac:dyDescent="0.3">
      <c r="A22471" s="12"/>
    </row>
    <row r="22472" spans="1:1" x14ac:dyDescent="0.3">
      <c r="A22472" s="12"/>
    </row>
    <row r="22473" spans="1:1" x14ac:dyDescent="0.3">
      <c r="A22473" s="12"/>
    </row>
    <row r="22474" spans="1:1" x14ac:dyDescent="0.3">
      <c r="A22474" s="12"/>
    </row>
    <row r="22475" spans="1:1" x14ac:dyDescent="0.3">
      <c r="A22475" s="12"/>
    </row>
    <row r="22476" spans="1:1" x14ac:dyDescent="0.3">
      <c r="A22476" s="12"/>
    </row>
    <row r="22477" spans="1:1" x14ac:dyDescent="0.3">
      <c r="A22477" s="12"/>
    </row>
    <row r="22478" spans="1:1" x14ac:dyDescent="0.3">
      <c r="A22478" s="12"/>
    </row>
    <row r="22479" spans="1:1" x14ac:dyDescent="0.3">
      <c r="A22479" s="12"/>
    </row>
    <row r="22480" spans="1:1" x14ac:dyDescent="0.3">
      <c r="A22480" s="12"/>
    </row>
    <row r="22481" spans="1:1" x14ac:dyDescent="0.3">
      <c r="A22481" s="12"/>
    </row>
    <row r="22482" spans="1:1" x14ac:dyDescent="0.3">
      <c r="A22482" s="12"/>
    </row>
    <row r="22483" spans="1:1" x14ac:dyDescent="0.3">
      <c r="A22483" s="12"/>
    </row>
    <row r="22484" spans="1:1" x14ac:dyDescent="0.3">
      <c r="A22484" s="12"/>
    </row>
    <row r="22485" spans="1:1" x14ac:dyDescent="0.3">
      <c r="A22485" s="12"/>
    </row>
    <row r="22486" spans="1:1" x14ac:dyDescent="0.3">
      <c r="A22486" s="12"/>
    </row>
    <row r="22487" spans="1:1" x14ac:dyDescent="0.3">
      <c r="A22487" s="12"/>
    </row>
    <row r="22488" spans="1:1" x14ac:dyDescent="0.3">
      <c r="A22488" s="12"/>
    </row>
    <row r="22489" spans="1:1" x14ac:dyDescent="0.3">
      <c r="A22489" s="12"/>
    </row>
    <row r="22490" spans="1:1" x14ac:dyDescent="0.3">
      <c r="A22490" s="12"/>
    </row>
    <row r="22491" spans="1:1" x14ac:dyDescent="0.3">
      <c r="A22491" s="12"/>
    </row>
    <row r="22492" spans="1:1" x14ac:dyDescent="0.3">
      <c r="A22492" s="12"/>
    </row>
    <row r="22493" spans="1:1" x14ac:dyDescent="0.3">
      <c r="A22493" s="12"/>
    </row>
    <row r="22494" spans="1:1" x14ac:dyDescent="0.3">
      <c r="A22494" s="12"/>
    </row>
    <row r="22495" spans="1:1" x14ac:dyDescent="0.3">
      <c r="A22495" s="12"/>
    </row>
    <row r="22496" spans="1:1" x14ac:dyDescent="0.3">
      <c r="A22496" s="12"/>
    </row>
    <row r="22497" spans="1:1" x14ac:dyDescent="0.3">
      <c r="A22497" s="12"/>
    </row>
    <row r="22498" spans="1:1" x14ac:dyDescent="0.3">
      <c r="A22498" s="12"/>
    </row>
    <row r="22499" spans="1:1" x14ac:dyDescent="0.3">
      <c r="A22499" s="12"/>
    </row>
    <row r="22500" spans="1:1" x14ac:dyDescent="0.3">
      <c r="A22500" s="12"/>
    </row>
    <row r="22501" spans="1:1" x14ac:dyDescent="0.3">
      <c r="A22501" s="12"/>
    </row>
    <row r="22502" spans="1:1" x14ac:dyDescent="0.3">
      <c r="A22502" s="12"/>
    </row>
    <row r="22503" spans="1:1" x14ac:dyDescent="0.3">
      <c r="A22503" s="12"/>
    </row>
    <row r="22504" spans="1:1" x14ac:dyDescent="0.3">
      <c r="A22504" s="12"/>
    </row>
    <row r="22505" spans="1:1" x14ac:dyDescent="0.3">
      <c r="A22505" s="12"/>
    </row>
    <row r="22506" spans="1:1" x14ac:dyDescent="0.3">
      <c r="A22506" s="12"/>
    </row>
    <row r="22507" spans="1:1" x14ac:dyDescent="0.3">
      <c r="A22507" s="12"/>
    </row>
    <row r="22508" spans="1:1" x14ac:dyDescent="0.3">
      <c r="A22508" s="12"/>
    </row>
    <row r="22509" spans="1:1" x14ac:dyDescent="0.3">
      <c r="A22509" s="12"/>
    </row>
    <row r="22510" spans="1:1" x14ac:dyDescent="0.3">
      <c r="A22510" s="12"/>
    </row>
    <row r="22511" spans="1:1" x14ac:dyDescent="0.3">
      <c r="A22511" s="12"/>
    </row>
    <row r="22512" spans="1:1" x14ac:dyDescent="0.3">
      <c r="A22512" s="12"/>
    </row>
    <row r="22513" spans="1:1" x14ac:dyDescent="0.3">
      <c r="A22513" s="12"/>
    </row>
    <row r="22514" spans="1:1" x14ac:dyDescent="0.3">
      <c r="A22514" s="12"/>
    </row>
    <row r="22515" spans="1:1" x14ac:dyDescent="0.3">
      <c r="A22515" s="12"/>
    </row>
    <row r="22516" spans="1:1" x14ac:dyDescent="0.3">
      <c r="A22516" s="12"/>
    </row>
    <row r="22517" spans="1:1" x14ac:dyDescent="0.3">
      <c r="A22517" s="12"/>
    </row>
    <row r="22518" spans="1:1" x14ac:dyDescent="0.3">
      <c r="A22518" s="12"/>
    </row>
    <row r="22519" spans="1:1" x14ac:dyDescent="0.3">
      <c r="A22519" s="12"/>
    </row>
    <row r="22520" spans="1:1" x14ac:dyDescent="0.3">
      <c r="A22520" s="12"/>
    </row>
    <row r="22521" spans="1:1" x14ac:dyDescent="0.3">
      <c r="A22521" s="12"/>
    </row>
    <row r="22522" spans="1:1" x14ac:dyDescent="0.3">
      <c r="A22522" s="12"/>
    </row>
    <row r="22523" spans="1:1" x14ac:dyDescent="0.3">
      <c r="A22523" s="12"/>
    </row>
    <row r="22524" spans="1:1" x14ac:dyDescent="0.3">
      <c r="A22524" s="12"/>
    </row>
    <row r="22525" spans="1:1" x14ac:dyDescent="0.3">
      <c r="A22525" s="12"/>
    </row>
    <row r="22526" spans="1:1" x14ac:dyDescent="0.3">
      <c r="A22526" s="12"/>
    </row>
    <row r="22527" spans="1:1" x14ac:dyDescent="0.3">
      <c r="A22527" s="12"/>
    </row>
    <row r="22528" spans="1:1" x14ac:dyDescent="0.3">
      <c r="A22528" s="12"/>
    </row>
    <row r="22529" spans="1:1" x14ac:dyDescent="0.3">
      <c r="A22529" s="12"/>
    </row>
    <row r="22530" spans="1:1" x14ac:dyDescent="0.3">
      <c r="A22530" s="12"/>
    </row>
    <row r="22531" spans="1:1" x14ac:dyDescent="0.3">
      <c r="A22531" s="12"/>
    </row>
    <row r="22532" spans="1:1" x14ac:dyDescent="0.3">
      <c r="A22532" s="12"/>
    </row>
    <row r="22533" spans="1:1" x14ac:dyDescent="0.3">
      <c r="A22533" s="12"/>
    </row>
    <row r="22534" spans="1:1" x14ac:dyDescent="0.3">
      <c r="A22534" s="12"/>
    </row>
    <row r="22535" spans="1:1" x14ac:dyDescent="0.3">
      <c r="A22535" s="12"/>
    </row>
    <row r="22536" spans="1:1" x14ac:dyDescent="0.3">
      <c r="A22536" s="12"/>
    </row>
    <row r="22537" spans="1:1" x14ac:dyDescent="0.3">
      <c r="A22537" s="12"/>
    </row>
    <row r="22538" spans="1:1" x14ac:dyDescent="0.3">
      <c r="A22538" s="12"/>
    </row>
    <row r="22539" spans="1:1" x14ac:dyDescent="0.3">
      <c r="A22539" s="12"/>
    </row>
    <row r="22540" spans="1:1" x14ac:dyDescent="0.3">
      <c r="A22540" s="12"/>
    </row>
    <row r="22541" spans="1:1" x14ac:dyDescent="0.3">
      <c r="A22541" s="12"/>
    </row>
    <row r="22542" spans="1:1" x14ac:dyDescent="0.3">
      <c r="A22542" s="12"/>
    </row>
    <row r="22543" spans="1:1" x14ac:dyDescent="0.3">
      <c r="A22543" s="12"/>
    </row>
    <row r="22544" spans="1:1" x14ac:dyDescent="0.3">
      <c r="A22544" s="12"/>
    </row>
    <row r="22545" spans="1:1" x14ac:dyDescent="0.3">
      <c r="A22545" s="12"/>
    </row>
    <row r="22546" spans="1:1" x14ac:dyDescent="0.3">
      <c r="A22546" s="12"/>
    </row>
    <row r="22547" spans="1:1" x14ac:dyDescent="0.3">
      <c r="A22547" s="12"/>
    </row>
    <row r="22548" spans="1:1" x14ac:dyDescent="0.3">
      <c r="A22548" s="12"/>
    </row>
    <row r="22549" spans="1:1" x14ac:dyDescent="0.3">
      <c r="A22549" s="12"/>
    </row>
    <row r="22550" spans="1:1" x14ac:dyDescent="0.3">
      <c r="A22550" s="12"/>
    </row>
    <row r="22551" spans="1:1" x14ac:dyDescent="0.3">
      <c r="A22551" s="12"/>
    </row>
    <row r="22552" spans="1:1" x14ac:dyDescent="0.3">
      <c r="A22552" s="12"/>
    </row>
    <row r="22553" spans="1:1" x14ac:dyDescent="0.3">
      <c r="A22553" s="12"/>
    </row>
    <row r="22554" spans="1:1" x14ac:dyDescent="0.3">
      <c r="A22554" s="12"/>
    </row>
    <row r="22555" spans="1:1" x14ac:dyDescent="0.3">
      <c r="A22555" s="12"/>
    </row>
    <row r="22556" spans="1:1" x14ac:dyDescent="0.3">
      <c r="A22556" s="12"/>
    </row>
    <row r="22557" spans="1:1" x14ac:dyDescent="0.3">
      <c r="A22557" s="12"/>
    </row>
    <row r="22558" spans="1:1" x14ac:dyDescent="0.3">
      <c r="A22558" s="12"/>
    </row>
    <row r="22559" spans="1:1" x14ac:dyDescent="0.3">
      <c r="A22559" s="12"/>
    </row>
    <row r="22560" spans="1:1" x14ac:dyDescent="0.3">
      <c r="A22560" s="12"/>
    </row>
    <row r="22561" spans="1:1" x14ac:dyDescent="0.3">
      <c r="A22561" s="12"/>
    </row>
    <row r="22562" spans="1:1" x14ac:dyDescent="0.3">
      <c r="A22562" s="12"/>
    </row>
    <row r="22563" spans="1:1" x14ac:dyDescent="0.3">
      <c r="A22563" s="12"/>
    </row>
    <row r="22564" spans="1:1" x14ac:dyDescent="0.3">
      <c r="A22564" s="12"/>
    </row>
    <row r="22565" spans="1:1" x14ac:dyDescent="0.3">
      <c r="A22565" s="12"/>
    </row>
    <row r="22566" spans="1:1" x14ac:dyDescent="0.3">
      <c r="A22566" s="12"/>
    </row>
    <row r="22567" spans="1:1" x14ac:dyDescent="0.3">
      <c r="A22567" s="12"/>
    </row>
    <row r="22568" spans="1:1" x14ac:dyDescent="0.3">
      <c r="A22568" s="12"/>
    </row>
    <row r="22569" spans="1:1" x14ac:dyDescent="0.3">
      <c r="A22569" s="12"/>
    </row>
    <row r="22570" spans="1:1" x14ac:dyDescent="0.3">
      <c r="A22570" s="12"/>
    </row>
    <row r="22571" spans="1:1" x14ac:dyDescent="0.3">
      <c r="A22571" s="12"/>
    </row>
    <row r="22572" spans="1:1" x14ac:dyDescent="0.3">
      <c r="A22572" s="12"/>
    </row>
    <row r="22573" spans="1:1" x14ac:dyDescent="0.3">
      <c r="A22573" s="12"/>
    </row>
    <row r="22574" spans="1:1" x14ac:dyDescent="0.3">
      <c r="A22574" s="12"/>
    </row>
    <row r="22575" spans="1:1" x14ac:dyDescent="0.3">
      <c r="A22575" s="12"/>
    </row>
    <row r="22576" spans="1:1" x14ac:dyDescent="0.3">
      <c r="A22576" s="12"/>
    </row>
    <row r="22577" spans="1:1" x14ac:dyDescent="0.3">
      <c r="A22577" s="12"/>
    </row>
    <row r="22578" spans="1:1" x14ac:dyDescent="0.3">
      <c r="A22578" s="12"/>
    </row>
    <row r="22579" spans="1:1" x14ac:dyDescent="0.3">
      <c r="A22579" s="12"/>
    </row>
    <row r="22580" spans="1:1" x14ac:dyDescent="0.3">
      <c r="A22580" s="12"/>
    </row>
    <row r="22581" spans="1:1" x14ac:dyDescent="0.3">
      <c r="A22581" s="12"/>
    </row>
    <row r="22582" spans="1:1" x14ac:dyDescent="0.3">
      <c r="A22582" s="12"/>
    </row>
    <row r="22583" spans="1:1" x14ac:dyDescent="0.3">
      <c r="A22583" s="12"/>
    </row>
    <row r="22584" spans="1:1" x14ac:dyDescent="0.3">
      <c r="A22584" s="12"/>
    </row>
    <row r="22585" spans="1:1" x14ac:dyDescent="0.3">
      <c r="A22585" s="12"/>
    </row>
    <row r="22586" spans="1:1" x14ac:dyDescent="0.3">
      <c r="A22586" s="12"/>
    </row>
    <row r="22587" spans="1:1" x14ac:dyDescent="0.3">
      <c r="A22587" s="12"/>
    </row>
    <row r="22588" spans="1:1" x14ac:dyDescent="0.3">
      <c r="A22588" s="12"/>
    </row>
    <row r="22589" spans="1:1" x14ac:dyDescent="0.3">
      <c r="A22589" s="12"/>
    </row>
    <row r="22590" spans="1:1" x14ac:dyDescent="0.3">
      <c r="A22590" s="12"/>
    </row>
    <row r="22591" spans="1:1" x14ac:dyDescent="0.3">
      <c r="A22591" s="12"/>
    </row>
    <row r="22592" spans="1:1" x14ac:dyDescent="0.3">
      <c r="A22592" s="12"/>
    </row>
    <row r="22593" spans="1:1" x14ac:dyDescent="0.3">
      <c r="A22593" s="12"/>
    </row>
    <row r="22594" spans="1:1" x14ac:dyDescent="0.3">
      <c r="A22594" s="12"/>
    </row>
    <row r="22595" spans="1:1" x14ac:dyDescent="0.3">
      <c r="A22595" s="12"/>
    </row>
    <row r="22596" spans="1:1" x14ac:dyDescent="0.3">
      <c r="A22596" s="12"/>
    </row>
    <row r="22597" spans="1:1" x14ac:dyDescent="0.3">
      <c r="A22597" s="12"/>
    </row>
    <row r="22598" spans="1:1" x14ac:dyDescent="0.3">
      <c r="A22598" s="12"/>
    </row>
    <row r="22599" spans="1:1" x14ac:dyDescent="0.3">
      <c r="A22599" s="12"/>
    </row>
    <row r="22600" spans="1:1" x14ac:dyDescent="0.3">
      <c r="A22600" s="12"/>
    </row>
    <row r="22601" spans="1:1" x14ac:dyDescent="0.3">
      <c r="A22601" s="12"/>
    </row>
    <row r="22602" spans="1:1" x14ac:dyDescent="0.3">
      <c r="A22602" s="12"/>
    </row>
    <row r="22603" spans="1:1" x14ac:dyDescent="0.3">
      <c r="A22603" s="12"/>
    </row>
    <row r="22604" spans="1:1" x14ac:dyDescent="0.3">
      <c r="A22604" s="12"/>
    </row>
    <row r="22605" spans="1:1" x14ac:dyDescent="0.3">
      <c r="A22605" s="12"/>
    </row>
    <row r="22606" spans="1:1" x14ac:dyDescent="0.3">
      <c r="A22606" s="12"/>
    </row>
    <row r="22607" spans="1:1" x14ac:dyDescent="0.3">
      <c r="A22607" s="12"/>
    </row>
    <row r="22608" spans="1:1" x14ac:dyDescent="0.3">
      <c r="A22608" s="12"/>
    </row>
    <row r="22609" spans="1:1" x14ac:dyDescent="0.3">
      <c r="A22609" s="12"/>
    </row>
    <row r="22610" spans="1:1" x14ac:dyDescent="0.3">
      <c r="A22610" s="12"/>
    </row>
    <row r="22611" spans="1:1" x14ac:dyDescent="0.3">
      <c r="A22611" s="12"/>
    </row>
    <row r="22612" spans="1:1" x14ac:dyDescent="0.3">
      <c r="A22612" s="12"/>
    </row>
    <row r="22613" spans="1:1" x14ac:dyDescent="0.3">
      <c r="A22613" s="12"/>
    </row>
    <row r="22614" spans="1:1" x14ac:dyDescent="0.3">
      <c r="A22614" s="12"/>
    </row>
    <row r="22615" spans="1:1" x14ac:dyDescent="0.3">
      <c r="A22615" s="12"/>
    </row>
    <row r="22616" spans="1:1" x14ac:dyDescent="0.3">
      <c r="A22616" s="12"/>
    </row>
    <row r="22617" spans="1:1" x14ac:dyDescent="0.3">
      <c r="A22617" s="12"/>
    </row>
    <row r="22618" spans="1:1" x14ac:dyDescent="0.3">
      <c r="A22618" s="12"/>
    </row>
    <row r="22619" spans="1:1" x14ac:dyDescent="0.3">
      <c r="A22619" s="12"/>
    </row>
    <row r="22620" spans="1:1" x14ac:dyDescent="0.3">
      <c r="A22620" s="12"/>
    </row>
    <row r="22621" spans="1:1" x14ac:dyDescent="0.3">
      <c r="A22621" s="12"/>
    </row>
    <row r="22622" spans="1:1" x14ac:dyDescent="0.3">
      <c r="A22622" s="12"/>
    </row>
    <row r="22623" spans="1:1" x14ac:dyDescent="0.3">
      <c r="A22623" s="12"/>
    </row>
    <row r="22624" spans="1:1" x14ac:dyDescent="0.3">
      <c r="A22624" s="12"/>
    </row>
    <row r="22625" spans="1:1" x14ac:dyDescent="0.3">
      <c r="A22625" s="12"/>
    </row>
    <row r="22626" spans="1:1" x14ac:dyDescent="0.3">
      <c r="A22626" s="12"/>
    </row>
    <row r="22627" spans="1:1" x14ac:dyDescent="0.3">
      <c r="A22627" s="12"/>
    </row>
    <row r="22628" spans="1:1" x14ac:dyDescent="0.3">
      <c r="A22628" s="12"/>
    </row>
    <row r="22629" spans="1:1" x14ac:dyDescent="0.3">
      <c r="A22629" s="12"/>
    </row>
    <row r="22630" spans="1:1" x14ac:dyDescent="0.3">
      <c r="A22630" s="12"/>
    </row>
    <row r="22631" spans="1:1" x14ac:dyDescent="0.3">
      <c r="A22631" s="12"/>
    </row>
    <row r="22632" spans="1:1" x14ac:dyDescent="0.3">
      <c r="A22632" s="12"/>
    </row>
    <row r="22633" spans="1:1" x14ac:dyDescent="0.3">
      <c r="A22633" s="12"/>
    </row>
    <row r="22634" spans="1:1" x14ac:dyDescent="0.3">
      <c r="A22634" s="12"/>
    </row>
    <row r="22635" spans="1:1" x14ac:dyDescent="0.3">
      <c r="A22635" s="12"/>
    </row>
    <row r="22636" spans="1:1" x14ac:dyDescent="0.3">
      <c r="A22636" s="12"/>
    </row>
    <row r="22637" spans="1:1" x14ac:dyDescent="0.3">
      <c r="A22637" s="12"/>
    </row>
    <row r="22638" spans="1:1" x14ac:dyDescent="0.3">
      <c r="A22638" s="12"/>
    </row>
    <row r="22639" spans="1:1" x14ac:dyDescent="0.3">
      <c r="A22639" s="12"/>
    </row>
    <row r="22640" spans="1:1" x14ac:dyDescent="0.3">
      <c r="A22640" s="12"/>
    </row>
    <row r="22641" spans="1:1" x14ac:dyDescent="0.3">
      <c r="A22641" s="12"/>
    </row>
    <row r="22642" spans="1:1" x14ac:dyDescent="0.3">
      <c r="A22642" s="12"/>
    </row>
    <row r="22643" spans="1:1" x14ac:dyDescent="0.3">
      <c r="A22643" s="12"/>
    </row>
    <row r="22644" spans="1:1" x14ac:dyDescent="0.3">
      <c r="A22644" s="12"/>
    </row>
    <row r="22645" spans="1:1" x14ac:dyDescent="0.3">
      <c r="A22645" s="12"/>
    </row>
    <row r="22646" spans="1:1" x14ac:dyDescent="0.3">
      <c r="A22646" s="12"/>
    </row>
    <row r="22647" spans="1:1" x14ac:dyDescent="0.3">
      <c r="A22647" s="12"/>
    </row>
    <row r="22648" spans="1:1" x14ac:dyDescent="0.3">
      <c r="A22648" s="12"/>
    </row>
    <row r="22649" spans="1:1" x14ac:dyDescent="0.3">
      <c r="A22649" s="12"/>
    </row>
    <row r="22650" spans="1:1" x14ac:dyDescent="0.3">
      <c r="A22650" s="12"/>
    </row>
    <row r="22651" spans="1:1" x14ac:dyDescent="0.3">
      <c r="A22651" s="12"/>
    </row>
    <row r="22652" spans="1:1" x14ac:dyDescent="0.3">
      <c r="A22652" s="12"/>
    </row>
    <row r="22653" spans="1:1" x14ac:dyDescent="0.3">
      <c r="A22653" s="12"/>
    </row>
    <row r="22654" spans="1:1" x14ac:dyDescent="0.3">
      <c r="A22654" s="12"/>
    </row>
    <row r="22655" spans="1:1" x14ac:dyDescent="0.3">
      <c r="A22655" s="12"/>
    </row>
    <row r="22656" spans="1:1" x14ac:dyDescent="0.3">
      <c r="A22656" s="12"/>
    </row>
    <row r="22657" spans="1:1" x14ac:dyDescent="0.3">
      <c r="A22657" s="12"/>
    </row>
    <row r="22658" spans="1:1" x14ac:dyDescent="0.3">
      <c r="A22658" s="12"/>
    </row>
    <row r="22659" spans="1:1" x14ac:dyDescent="0.3">
      <c r="A22659" s="12"/>
    </row>
    <row r="22660" spans="1:1" x14ac:dyDescent="0.3">
      <c r="A22660" s="12"/>
    </row>
    <row r="22661" spans="1:1" x14ac:dyDescent="0.3">
      <c r="A22661" s="12"/>
    </row>
    <row r="22662" spans="1:1" x14ac:dyDescent="0.3">
      <c r="A22662" s="12"/>
    </row>
    <row r="22663" spans="1:1" x14ac:dyDescent="0.3">
      <c r="A22663" s="12"/>
    </row>
    <row r="22664" spans="1:1" x14ac:dyDescent="0.3">
      <c r="A22664" s="12"/>
    </row>
    <row r="22665" spans="1:1" x14ac:dyDescent="0.3">
      <c r="A22665" s="12"/>
    </row>
    <row r="22666" spans="1:1" x14ac:dyDescent="0.3">
      <c r="A22666" s="12"/>
    </row>
    <row r="22667" spans="1:1" x14ac:dyDescent="0.3">
      <c r="A22667" s="12"/>
    </row>
    <row r="22668" spans="1:1" x14ac:dyDescent="0.3">
      <c r="A22668" s="12"/>
    </row>
    <row r="22669" spans="1:1" x14ac:dyDescent="0.3">
      <c r="A22669" s="12"/>
    </row>
    <row r="22670" spans="1:1" x14ac:dyDescent="0.3">
      <c r="A22670" s="12"/>
    </row>
    <row r="22671" spans="1:1" x14ac:dyDescent="0.3">
      <c r="A22671" s="12"/>
    </row>
    <row r="22672" spans="1:1" x14ac:dyDescent="0.3">
      <c r="A22672" s="12"/>
    </row>
    <row r="22673" spans="1:1" x14ac:dyDescent="0.3">
      <c r="A22673" s="12"/>
    </row>
    <row r="22674" spans="1:1" x14ac:dyDescent="0.3">
      <c r="A22674" s="12"/>
    </row>
    <row r="22675" spans="1:1" x14ac:dyDescent="0.3">
      <c r="A22675" s="12"/>
    </row>
    <row r="22676" spans="1:1" x14ac:dyDescent="0.3">
      <c r="A22676" s="12"/>
    </row>
    <row r="22677" spans="1:1" x14ac:dyDescent="0.3">
      <c r="A22677" s="12"/>
    </row>
    <row r="22678" spans="1:1" x14ac:dyDescent="0.3">
      <c r="A22678" s="12"/>
    </row>
    <row r="22679" spans="1:1" x14ac:dyDescent="0.3">
      <c r="A22679" s="12"/>
    </row>
    <row r="22680" spans="1:1" x14ac:dyDescent="0.3">
      <c r="A22680" s="12"/>
    </row>
    <row r="22681" spans="1:1" x14ac:dyDescent="0.3">
      <c r="A22681" s="12"/>
    </row>
    <row r="22682" spans="1:1" x14ac:dyDescent="0.3">
      <c r="A22682" s="12"/>
    </row>
    <row r="22683" spans="1:1" x14ac:dyDescent="0.3">
      <c r="A22683" s="12"/>
    </row>
    <row r="22684" spans="1:1" x14ac:dyDescent="0.3">
      <c r="A22684" s="12"/>
    </row>
    <row r="22685" spans="1:1" x14ac:dyDescent="0.3">
      <c r="A22685" s="12"/>
    </row>
    <row r="22686" spans="1:1" x14ac:dyDescent="0.3">
      <c r="A22686" s="12"/>
    </row>
    <row r="22687" spans="1:1" x14ac:dyDescent="0.3">
      <c r="A22687" s="12"/>
    </row>
    <row r="22688" spans="1:1" x14ac:dyDescent="0.3">
      <c r="A22688" s="12"/>
    </row>
    <row r="22689" spans="1:1" x14ac:dyDescent="0.3">
      <c r="A22689" s="12"/>
    </row>
    <row r="22690" spans="1:1" x14ac:dyDescent="0.3">
      <c r="A22690" s="12"/>
    </row>
    <row r="22691" spans="1:1" x14ac:dyDescent="0.3">
      <c r="A22691" s="12"/>
    </row>
    <row r="22692" spans="1:1" x14ac:dyDescent="0.3">
      <c r="A22692" s="12"/>
    </row>
    <row r="22693" spans="1:1" x14ac:dyDescent="0.3">
      <c r="A22693" s="12"/>
    </row>
    <row r="22694" spans="1:1" x14ac:dyDescent="0.3">
      <c r="A22694" s="12"/>
    </row>
    <row r="22695" spans="1:1" x14ac:dyDescent="0.3">
      <c r="A22695" s="12"/>
    </row>
    <row r="22696" spans="1:1" x14ac:dyDescent="0.3">
      <c r="A22696" s="12"/>
    </row>
    <row r="22697" spans="1:1" x14ac:dyDescent="0.3">
      <c r="A22697" s="12"/>
    </row>
    <row r="22698" spans="1:1" x14ac:dyDescent="0.3">
      <c r="A22698" s="12"/>
    </row>
    <row r="22699" spans="1:1" x14ac:dyDescent="0.3">
      <c r="A22699" s="12"/>
    </row>
    <row r="22700" spans="1:1" x14ac:dyDescent="0.3">
      <c r="A22700" s="12"/>
    </row>
    <row r="22701" spans="1:1" x14ac:dyDescent="0.3">
      <c r="A22701" s="12"/>
    </row>
    <row r="22702" spans="1:1" x14ac:dyDescent="0.3">
      <c r="A22702" s="12"/>
    </row>
    <row r="22703" spans="1:1" x14ac:dyDescent="0.3">
      <c r="A22703" s="12"/>
    </row>
    <row r="22704" spans="1:1" x14ac:dyDescent="0.3">
      <c r="A22704" s="12"/>
    </row>
    <row r="22705" spans="1:1" x14ac:dyDescent="0.3">
      <c r="A22705" s="12"/>
    </row>
    <row r="22706" spans="1:1" x14ac:dyDescent="0.3">
      <c r="A22706" s="12"/>
    </row>
    <row r="22707" spans="1:1" x14ac:dyDescent="0.3">
      <c r="A22707" s="12"/>
    </row>
    <row r="22708" spans="1:1" x14ac:dyDescent="0.3">
      <c r="A22708" s="12"/>
    </row>
    <row r="22709" spans="1:1" x14ac:dyDescent="0.3">
      <c r="A22709" s="12"/>
    </row>
    <row r="22710" spans="1:1" x14ac:dyDescent="0.3">
      <c r="A22710" s="12"/>
    </row>
    <row r="22711" spans="1:1" x14ac:dyDescent="0.3">
      <c r="A22711" s="12"/>
    </row>
    <row r="22712" spans="1:1" x14ac:dyDescent="0.3">
      <c r="A22712" s="12"/>
    </row>
    <row r="22713" spans="1:1" x14ac:dyDescent="0.3">
      <c r="A22713" s="12"/>
    </row>
    <row r="22714" spans="1:1" x14ac:dyDescent="0.3">
      <c r="A22714" s="12"/>
    </row>
    <row r="22715" spans="1:1" x14ac:dyDescent="0.3">
      <c r="A22715" s="12"/>
    </row>
    <row r="22716" spans="1:1" x14ac:dyDescent="0.3">
      <c r="A22716" s="12"/>
    </row>
    <row r="22717" spans="1:1" x14ac:dyDescent="0.3">
      <c r="A22717" s="12"/>
    </row>
    <row r="22718" spans="1:1" x14ac:dyDescent="0.3">
      <c r="A22718" s="12"/>
    </row>
    <row r="22719" spans="1:1" x14ac:dyDescent="0.3">
      <c r="A22719" s="12"/>
    </row>
    <row r="22720" spans="1:1" x14ac:dyDescent="0.3">
      <c r="A22720" s="12"/>
    </row>
    <row r="22721" spans="1:1" x14ac:dyDescent="0.3">
      <c r="A22721" s="12"/>
    </row>
    <row r="22722" spans="1:1" x14ac:dyDescent="0.3">
      <c r="A22722" s="12"/>
    </row>
    <row r="22723" spans="1:1" x14ac:dyDescent="0.3">
      <c r="A22723" s="12"/>
    </row>
    <row r="22724" spans="1:1" x14ac:dyDescent="0.3">
      <c r="A22724" s="12"/>
    </row>
    <row r="22725" spans="1:1" x14ac:dyDescent="0.3">
      <c r="A22725" s="12"/>
    </row>
    <row r="22726" spans="1:1" x14ac:dyDescent="0.3">
      <c r="A22726" s="12"/>
    </row>
    <row r="22727" spans="1:1" x14ac:dyDescent="0.3">
      <c r="A22727" s="12"/>
    </row>
    <row r="22728" spans="1:1" x14ac:dyDescent="0.3">
      <c r="A22728" s="12"/>
    </row>
    <row r="22729" spans="1:1" x14ac:dyDescent="0.3">
      <c r="A22729" s="12"/>
    </row>
    <row r="22730" spans="1:1" x14ac:dyDescent="0.3">
      <c r="A22730" s="12"/>
    </row>
    <row r="22731" spans="1:1" x14ac:dyDescent="0.3">
      <c r="A22731" s="12"/>
    </row>
    <row r="22732" spans="1:1" x14ac:dyDescent="0.3">
      <c r="A22732" s="12"/>
    </row>
    <row r="22733" spans="1:1" x14ac:dyDescent="0.3">
      <c r="A22733" s="12"/>
    </row>
    <row r="22734" spans="1:1" x14ac:dyDescent="0.3">
      <c r="A22734" s="12"/>
    </row>
    <row r="22735" spans="1:1" x14ac:dyDescent="0.3">
      <c r="A22735" s="12"/>
    </row>
    <row r="22736" spans="1:1" x14ac:dyDescent="0.3">
      <c r="A22736" s="12"/>
    </row>
    <row r="22737" spans="1:1" x14ac:dyDescent="0.3">
      <c r="A22737" s="12"/>
    </row>
    <row r="22738" spans="1:1" x14ac:dyDescent="0.3">
      <c r="A22738" s="12"/>
    </row>
    <row r="22739" spans="1:1" x14ac:dyDescent="0.3">
      <c r="A22739" s="12"/>
    </row>
    <row r="22740" spans="1:1" x14ac:dyDescent="0.3">
      <c r="A22740" s="12"/>
    </row>
    <row r="22741" spans="1:1" x14ac:dyDescent="0.3">
      <c r="A22741" s="12"/>
    </row>
    <row r="22742" spans="1:1" x14ac:dyDescent="0.3">
      <c r="A22742" s="12"/>
    </row>
    <row r="22743" spans="1:1" x14ac:dyDescent="0.3">
      <c r="A22743" s="12"/>
    </row>
    <row r="22744" spans="1:1" x14ac:dyDescent="0.3">
      <c r="A22744" s="12"/>
    </row>
    <row r="22745" spans="1:1" x14ac:dyDescent="0.3">
      <c r="A22745" s="12"/>
    </row>
    <row r="22746" spans="1:1" x14ac:dyDescent="0.3">
      <c r="A22746" s="12"/>
    </row>
    <row r="22747" spans="1:1" x14ac:dyDescent="0.3">
      <c r="A22747" s="12"/>
    </row>
    <row r="22748" spans="1:1" x14ac:dyDescent="0.3">
      <c r="A22748" s="12"/>
    </row>
    <row r="22749" spans="1:1" x14ac:dyDescent="0.3">
      <c r="A22749" s="12"/>
    </row>
    <row r="22750" spans="1:1" x14ac:dyDescent="0.3">
      <c r="A22750" s="12"/>
    </row>
    <row r="22751" spans="1:1" x14ac:dyDescent="0.3">
      <c r="A22751" s="12"/>
    </row>
    <row r="22752" spans="1:1" x14ac:dyDescent="0.3">
      <c r="A22752" s="12"/>
    </row>
    <row r="22753" spans="1:1" x14ac:dyDescent="0.3">
      <c r="A22753" s="12"/>
    </row>
    <row r="22754" spans="1:1" x14ac:dyDescent="0.3">
      <c r="A22754" s="12"/>
    </row>
    <row r="22755" spans="1:1" x14ac:dyDescent="0.3">
      <c r="A22755" s="12"/>
    </row>
    <row r="22756" spans="1:1" x14ac:dyDescent="0.3">
      <c r="A22756" s="12"/>
    </row>
    <row r="22757" spans="1:1" x14ac:dyDescent="0.3">
      <c r="A22757" s="12"/>
    </row>
    <row r="22758" spans="1:1" x14ac:dyDescent="0.3">
      <c r="A22758" s="12"/>
    </row>
    <row r="22759" spans="1:1" x14ac:dyDescent="0.3">
      <c r="A22759" s="12"/>
    </row>
    <row r="22760" spans="1:1" x14ac:dyDescent="0.3">
      <c r="A22760" s="12"/>
    </row>
    <row r="22761" spans="1:1" x14ac:dyDescent="0.3">
      <c r="A22761" s="12"/>
    </row>
    <row r="22762" spans="1:1" x14ac:dyDescent="0.3">
      <c r="A22762" s="12"/>
    </row>
    <row r="22763" spans="1:1" x14ac:dyDescent="0.3">
      <c r="A22763" s="12"/>
    </row>
    <row r="22764" spans="1:1" x14ac:dyDescent="0.3">
      <c r="A22764" s="12"/>
    </row>
    <row r="22765" spans="1:1" x14ac:dyDescent="0.3">
      <c r="A22765" s="12"/>
    </row>
    <row r="22766" spans="1:1" x14ac:dyDescent="0.3">
      <c r="A22766" s="12"/>
    </row>
    <row r="22767" spans="1:1" x14ac:dyDescent="0.3">
      <c r="A22767" s="12"/>
    </row>
    <row r="22768" spans="1:1" x14ac:dyDescent="0.3">
      <c r="A22768" s="12"/>
    </row>
    <row r="22769" spans="1:1" x14ac:dyDescent="0.3">
      <c r="A22769" s="12"/>
    </row>
    <row r="22770" spans="1:1" x14ac:dyDescent="0.3">
      <c r="A22770" s="12"/>
    </row>
    <row r="22771" spans="1:1" x14ac:dyDescent="0.3">
      <c r="A22771" s="12"/>
    </row>
    <row r="22772" spans="1:1" x14ac:dyDescent="0.3">
      <c r="A22772" s="12"/>
    </row>
    <row r="22773" spans="1:1" x14ac:dyDescent="0.3">
      <c r="A22773" s="12"/>
    </row>
    <row r="22774" spans="1:1" x14ac:dyDescent="0.3">
      <c r="A22774" s="12"/>
    </row>
    <row r="22775" spans="1:1" x14ac:dyDescent="0.3">
      <c r="A22775" s="12"/>
    </row>
    <row r="22776" spans="1:1" x14ac:dyDescent="0.3">
      <c r="A22776" s="12"/>
    </row>
    <row r="22777" spans="1:1" x14ac:dyDescent="0.3">
      <c r="A22777" s="12"/>
    </row>
    <row r="22778" spans="1:1" x14ac:dyDescent="0.3">
      <c r="A22778" s="12"/>
    </row>
    <row r="22779" spans="1:1" x14ac:dyDescent="0.3">
      <c r="A22779" s="12"/>
    </row>
    <row r="22780" spans="1:1" x14ac:dyDescent="0.3">
      <c r="A22780" s="12"/>
    </row>
    <row r="22781" spans="1:1" x14ac:dyDescent="0.3">
      <c r="A22781" s="12"/>
    </row>
    <row r="22782" spans="1:1" x14ac:dyDescent="0.3">
      <c r="A22782" s="12"/>
    </row>
    <row r="22783" spans="1:1" x14ac:dyDescent="0.3">
      <c r="A22783" s="12"/>
    </row>
    <row r="22784" spans="1:1" x14ac:dyDescent="0.3">
      <c r="A22784" s="12"/>
    </row>
    <row r="22785" spans="1:1" x14ac:dyDescent="0.3">
      <c r="A22785" s="12"/>
    </row>
    <row r="22786" spans="1:1" x14ac:dyDescent="0.3">
      <c r="A22786" s="12"/>
    </row>
    <row r="22787" spans="1:1" x14ac:dyDescent="0.3">
      <c r="A22787" s="12"/>
    </row>
    <row r="22788" spans="1:1" x14ac:dyDescent="0.3">
      <c r="A22788" s="12"/>
    </row>
    <row r="22789" spans="1:1" x14ac:dyDescent="0.3">
      <c r="A22789" s="12"/>
    </row>
    <row r="22790" spans="1:1" x14ac:dyDescent="0.3">
      <c r="A22790" s="12"/>
    </row>
    <row r="22791" spans="1:1" x14ac:dyDescent="0.3">
      <c r="A22791" s="12"/>
    </row>
    <row r="22792" spans="1:1" x14ac:dyDescent="0.3">
      <c r="A22792" s="12"/>
    </row>
    <row r="22793" spans="1:1" x14ac:dyDescent="0.3">
      <c r="A22793" s="12"/>
    </row>
    <row r="22794" spans="1:1" x14ac:dyDescent="0.3">
      <c r="A22794" s="12"/>
    </row>
    <row r="22795" spans="1:1" x14ac:dyDescent="0.3">
      <c r="A22795" s="12"/>
    </row>
    <row r="22796" spans="1:1" x14ac:dyDescent="0.3">
      <c r="A22796" s="12"/>
    </row>
    <row r="22797" spans="1:1" x14ac:dyDescent="0.3">
      <c r="A22797" s="12"/>
    </row>
    <row r="22798" spans="1:1" x14ac:dyDescent="0.3">
      <c r="A22798" s="12"/>
    </row>
    <row r="22799" spans="1:1" x14ac:dyDescent="0.3">
      <c r="A22799" s="12"/>
    </row>
    <row r="22800" spans="1:1" x14ac:dyDescent="0.3">
      <c r="A22800" s="12"/>
    </row>
    <row r="22801" spans="1:1" x14ac:dyDescent="0.3">
      <c r="A22801" s="12"/>
    </row>
    <row r="22802" spans="1:1" x14ac:dyDescent="0.3">
      <c r="A22802" s="12"/>
    </row>
    <row r="22803" spans="1:1" x14ac:dyDescent="0.3">
      <c r="A22803" s="12"/>
    </row>
    <row r="22804" spans="1:1" x14ac:dyDescent="0.3">
      <c r="A22804" s="12"/>
    </row>
    <row r="22805" spans="1:1" x14ac:dyDescent="0.3">
      <c r="A22805" s="12"/>
    </row>
    <row r="22806" spans="1:1" x14ac:dyDescent="0.3">
      <c r="A22806" s="12"/>
    </row>
    <row r="22807" spans="1:1" x14ac:dyDescent="0.3">
      <c r="A22807" s="12"/>
    </row>
    <row r="22808" spans="1:1" x14ac:dyDescent="0.3">
      <c r="A22808" s="12"/>
    </row>
    <row r="22809" spans="1:1" x14ac:dyDescent="0.3">
      <c r="A22809" s="12"/>
    </row>
    <row r="22810" spans="1:1" x14ac:dyDescent="0.3">
      <c r="A22810" s="12"/>
    </row>
    <row r="22811" spans="1:1" x14ac:dyDescent="0.3">
      <c r="A22811" s="12"/>
    </row>
    <row r="22812" spans="1:1" x14ac:dyDescent="0.3">
      <c r="A22812" s="12"/>
    </row>
    <row r="22813" spans="1:1" x14ac:dyDescent="0.3">
      <c r="A22813" s="12"/>
    </row>
    <row r="22814" spans="1:1" x14ac:dyDescent="0.3">
      <c r="A22814" s="12"/>
    </row>
    <row r="22815" spans="1:1" x14ac:dyDescent="0.3">
      <c r="A22815" s="12"/>
    </row>
    <row r="22816" spans="1:1" x14ac:dyDescent="0.3">
      <c r="A22816" s="12"/>
    </row>
    <row r="22817" spans="1:1" x14ac:dyDescent="0.3">
      <c r="A22817" s="12"/>
    </row>
    <row r="22818" spans="1:1" x14ac:dyDescent="0.3">
      <c r="A22818" s="12"/>
    </row>
    <row r="22819" spans="1:1" x14ac:dyDescent="0.3">
      <c r="A22819" s="12"/>
    </row>
    <row r="22820" spans="1:1" x14ac:dyDescent="0.3">
      <c r="A22820" s="12"/>
    </row>
    <row r="22821" spans="1:1" x14ac:dyDescent="0.3">
      <c r="A22821" s="12"/>
    </row>
    <row r="22822" spans="1:1" x14ac:dyDescent="0.3">
      <c r="A22822" s="12"/>
    </row>
    <row r="22823" spans="1:1" x14ac:dyDescent="0.3">
      <c r="A22823" s="12"/>
    </row>
    <row r="22824" spans="1:1" x14ac:dyDescent="0.3">
      <c r="A22824" s="12"/>
    </row>
    <row r="22825" spans="1:1" x14ac:dyDescent="0.3">
      <c r="A22825" s="12"/>
    </row>
    <row r="22826" spans="1:1" x14ac:dyDescent="0.3">
      <c r="A22826" s="12"/>
    </row>
    <row r="22827" spans="1:1" x14ac:dyDescent="0.3">
      <c r="A22827" s="12"/>
    </row>
    <row r="22828" spans="1:1" x14ac:dyDescent="0.3">
      <c r="A22828" s="12"/>
    </row>
    <row r="22829" spans="1:1" x14ac:dyDescent="0.3">
      <c r="A22829" s="12"/>
    </row>
    <row r="22830" spans="1:1" x14ac:dyDescent="0.3">
      <c r="A22830" s="12"/>
    </row>
    <row r="22831" spans="1:1" x14ac:dyDescent="0.3">
      <c r="A22831" s="12"/>
    </row>
    <row r="22832" spans="1:1" x14ac:dyDescent="0.3">
      <c r="A22832" s="12"/>
    </row>
    <row r="22833" spans="1:1" x14ac:dyDescent="0.3">
      <c r="A22833" s="12"/>
    </row>
    <row r="22834" spans="1:1" x14ac:dyDescent="0.3">
      <c r="A22834" s="12"/>
    </row>
    <row r="22835" spans="1:1" x14ac:dyDescent="0.3">
      <c r="A22835" s="12"/>
    </row>
    <row r="22836" spans="1:1" x14ac:dyDescent="0.3">
      <c r="A22836" s="12"/>
    </row>
    <row r="22837" spans="1:1" x14ac:dyDescent="0.3">
      <c r="A22837" s="12"/>
    </row>
    <row r="22838" spans="1:1" x14ac:dyDescent="0.3">
      <c r="A22838" s="12"/>
    </row>
    <row r="22839" spans="1:1" x14ac:dyDescent="0.3">
      <c r="A22839" s="12"/>
    </row>
    <row r="22840" spans="1:1" x14ac:dyDescent="0.3">
      <c r="A22840" s="12"/>
    </row>
    <row r="22841" spans="1:1" x14ac:dyDescent="0.3">
      <c r="A22841" s="12"/>
    </row>
    <row r="22842" spans="1:1" x14ac:dyDescent="0.3">
      <c r="A22842" s="12"/>
    </row>
    <row r="22843" spans="1:1" x14ac:dyDescent="0.3">
      <c r="A22843" s="12"/>
    </row>
    <row r="22844" spans="1:1" x14ac:dyDescent="0.3">
      <c r="A22844" s="12"/>
    </row>
    <row r="22845" spans="1:1" x14ac:dyDescent="0.3">
      <c r="A22845" s="12"/>
    </row>
    <row r="22846" spans="1:1" x14ac:dyDescent="0.3">
      <c r="A22846" s="12"/>
    </row>
    <row r="22847" spans="1:1" x14ac:dyDescent="0.3">
      <c r="A22847" s="12"/>
    </row>
    <row r="22848" spans="1:1" x14ac:dyDescent="0.3">
      <c r="A22848" s="12"/>
    </row>
    <row r="22849" spans="1:1" x14ac:dyDescent="0.3">
      <c r="A22849" s="12"/>
    </row>
    <row r="22850" spans="1:1" x14ac:dyDescent="0.3">
      <c r="A22850" s="12"/>
    </row>
    <row r="22851" spans="1:1" x14ac:dyDescent="0.3">
      <c r="A22851" s="12"/>
    </row>
    <row r="22852" spans="1:1" x14ac:dyDescent="0.3">
      <c r="A22852" s="12"/>
    </row>
    <row r="22853" spans="1:1" x14ac:dyDescent="0.3">
      <c r="A22853" s="12"/>
    </row>
    <row r="22854" spans="1:1" x14ac:dyDescent="0.3">
      <c r="A22854" s="12"/>
    </row>
    <row r="22855" spans="1:1" x14ac:dyDescent="0.3">
      <c r="A22855" s="12"/>
    </row>
    <row r="22856" spans="1:1" x14ac:dyDescent="0.3">
      <c r="A22856" s="12"/>
    </row>
    <row r="22857" spans="1:1" x14ac:dyDescent="0.3">
      <c r="A22857" s="12"/>
    </row>
    <row r="22858" spans="1:1" x14ac:dyDescent="0.3">
      <c r="A22858" s="12"/>
    </row>
    <row r="22859" spans="1:1" x14ac:dyDescent="0.3">
      <c r="A22859" s="12"/>
    </row>
    <row r="22860" spans="1:1" x14ac:dyDescent="0.3">
      <c r="A22860" s="12"/>
    </row>
    <row r="22861" spans="1:1" x14ac:dyDescent="0.3">
      <c r="A22861" s="12"/>
    </row>
    <row r="22862" spans="1:1" x14ac:dyDescent="0.3">
      <c r="A22862" s="12"/>
    </row>
    <row r="22863" spans="1:1" x14ac:dyDescent="0.3">
      <c r="A22863" s="12"/>
    </row>
    <row r="22864" spans="1:1" x14ac:dyDescent="0.3">
      <c r="A22864" s="12"/>
    </row>
    <row r="22865" spans="1:1" x14ac:dyDescent="0.3">
      <c r="A22865" s="12"/>
    </row>
    <row r="22866" spans="1:1" x14ac:dyDescent="0.3">
      <c r="A22866" s="12"/>
    </row>
    <row r="22867" spans="1:1" x14ac:dyDescent="0.3">
      <c r="A22867" s="12"/>
    </row>
    <row r="22868" spans="1:1" x14ac:dyDescent="0.3">
      <c r="A22868" s="12"/>
    </row>
    <row r="22869" spans="1:1" x14ac:dyDescent="0.3">
      <c r="A22869" s="12"/>
    </row>
    <row r="22870" spans="1:1" x14ac:dyDescent="0.3">
      <c r="A22870" s="12"/>
    </row>
    <row r="22871" spans="1:1" x14ac:dyDescent="0.3">
      <c r="A22871" s="12"/>
    </row>
    <row r="22872" spans="1:1" x14ac:dyDescent="0.3">
      <c r="A22872" s="12"/>
    </row>
    <row r="22873" spans="1:1" x14ac:dyDescent="0.3">
      <c r="A22873" s="12"/>
    </row>
    <row r="22874" spans="1:1" x14ac:dyDescent="0.3">
      <c r="A22874" s="12"/>
    </row>
    <row r="22875" spans="1:1" x14ac:dyDescent="0.3">
      <c r="A22875" s="12"/>
    </row>
    <row r="22876" spans="1:1" x14ac:dyDescent="0.3">
      <c r="A22876" s="12"/>
    </row>
    <row r="22877" spans="1:1" x14ac:dyDescent="0.3">
      <c r="A22877" s="12"/>
    </row>
    <row r="22878" spans="1:1" x14ac:dyDescent="0.3">
      <c r="A22878" s="12"/>
    </row>
    <row r="22879" spans="1:1" x14ac:dyDescent="0.3">
      <c r="A22879" s="12"/>
    </row>
    <row r="22880" spans="1:1" x14ac:dyDescent="0.3">
      <c r="A22880" s="12"/>
    </row>
    <row r="22881" spans="1:1" x14ac:dyDescent="0.3">
      <c r="A22881" s="12"/>
    </row>
    <row r="22882" spans="1:1" x14ac:dyDescent="0.3">
      <c r="A22882" s="12"/>
    </row>
    <row r="22883" spans="1:1" x14ac:dyDescent="0.3">
      <c r="A22883" s="12"/>
    </row>
    <row r="22884" spans="1:1" x14ac:dyDescent="0.3">
      <c r="A22884" s="12"/>
    </row>
    <row r="22885" spans="1:1" x14ac:dyDescent="0.3">
      <c r="A22885" s="12"/>
    </row>
    <row r="22886" spans="1:1" x14ac:dyDescent="0.3">
      <c r="A22886" s="12"/>
    </row>
    <row r="22887" spans="1:1" x14ac:dyDescent="0.3">
      <c r="A22887" s="12"/>
    </row>
    <row r="22888" spans="1:1" x14ac:dyDescent="0.3">
      <c r="A22888" s="12"/>
    </row>
    <row r="22889" spans="1:1" x14ac:dyDescent="0.3">
      <c r="A22889" s="12"/>
    </row>
    <row r="22890" spans="1:1" x14ac:dyDescent="0.3">
      <c r="A22890" s="12"/>
    </row>
    <row r="22891" spans="1:1" x14ac:dyDescent="0.3">
      <c r="A22891" s="12"/>
    </row>
    <row r="22892" spans="1:1" x14ac:dyDescent="0.3">
      <c r="A22892" s="12"/>
    </row>
    <row r="22893" spans="1:1" x14ac:dyDescent="0.3">
      <c r="A22893" s="12"/>
    </row>
    <row r="22894" spans="1:1" x14ac:dyDescent="0.3">
      <c r="A22894" s="12"/>
    </row>
    <row r="22895" spans="1:1" x14ac:dyDescent="0.3">
      <c r="A22895" s="12"/>
    </row>
    <row r="22896" spans="1:1" x14ac:dyDescent="0.3">
      <c r="A22896" s="12"/>
    </row>
    <row r="22897" spans="1:1" x14ac:dyDescent="0.3">
      <c r="A22897" s="12"/>
    </row>
    <row r="22898" spans="1:1" x14ac:dyDescent="0.3">
      <c r="A22898" s="12"/>
    </row>
    <row r="22899" spans="1:1" x14ac:dyDescent="0.3">
      <c r="A22899" s="12"/>
    </row>
    <row r="22900" spans="1:1" x14ac:dyDescent="0.3">
      <c r="A22900" s="12"/>
    </row>
    <row r="22901" spans="1:1" x14ac:dyDescent="0.3">
      <c r="A22901" s="12"/>
    </row>
    <row r="22902" spans="1:1" x14ac:dyDescent="0.3">
      <c r="A22902" s="12"/>
    </row>
    <row r="22903" spans="1:1" x14ac:dyDescent="0.3">
      <c r="A22903" s="12"/>
    </row>
    <row r="22904" spans="1:1" x14ac:dyDescent="0.3">
      <c r="A22904" s="12"/>
    </row>
    <row r="22905" spans="1:1" x14ac:dyDescent="0.3">
      <c r="A22905" s="12"/>
    </row>
    <row r="22906" spans="1:1" x14ac:dyDescent="0.3">
      <c r="A22906" s="12"/>
    </row>
    <row r="22907" spans="1:1" x14ac:dyDescent="0.3">
      <c r="A22907" s="12"/>
    </row>
    <row r="22908" spans="1:1" x14ac:dyDescent="0.3">
      <c r="A22908" s="12"/>
    </row>
    <row r="22909" spans="1:1" x14ac:dyDescent="0.3">
      <c r="A22909" s="12"/>
    </row>
    <row r="22910" spans="1:1" x14ac:dyDescent="0.3">
      <c r="A22910" s="12"/>
    </row>
    <row r="22911" spans="1:1" x14ac:dyDescent="0.3">
      <c r="A22911" s="12"/>
    </row>
    <row r="22912" spans="1:1" x14ac:dyDescent="0.3">
      <c r="A22912" s="12"/>
    </row>
    <row r="22913" spans="1:1" x14ac:dyDescent="0.3">
      <c r="A22913" s="12"/>
    </row>
    <row r="22914" spans="1:1" x14ac:dyDescent="0.3">
      <c r="A22914" s="12"/>
    </row>
    <row r="22915" spans="1:1" x14ac:dyDescent="0.3">
      <c r="A22915" s="12"/>
    </row>
    <row r="22916" spans="1:1" x14ac:dyDescent="0.3">
      <c r="A22916" s="12"/>
    </row>
    <row r="22917" spans="1:1" x14ac:dyDescent="0.3">
      <c r="A22917" s="12"/>
    </row>
    <row r="22918" spans="1:1" x14ac:dyDescent="0.3">
      <c r="A22918" s="12"/>
    </row>
    <row r="22919" spans="1:1" x14ac:dyDescent="0.3">
      <c r="A22919" s="12"/>
    </row>
    <row r="22920" spans="1:1" x14ac:dyDescent="0.3">
      <c r="A22920" s="12"/>
    </row>
    <row r="22921" spans="1:1" x14ac:dyDescent="0.3">
      <c r="A22921" s="12"/>
    </row>
    <row r="22922" spans="1:1" x14ac:dyDescent="0.3">
      <c r="A22922" s="12"/>
    </row>
    <row r="22923" spans="1:1" x14ac:dyDescent="0.3">
      <c r="A22923" s="12"/>
    </row>
    <row r="22924" spans="1:1" x14ac:dyDescent="0.3">
      <c r="A22924" s="12"/>
    </row>
    <row r="22925" spans="1:1" x14ac:dyDescent="0.3">
      <c r="A22925" s="12"/>
    </row>
    <row r="22926" spans="1:1" x14ac:dyDescent="0.3">
      <c r="A22926" s="12"/>
    </row>
    <row r="22927" spans="1:1" x14ac:dyDescent="0.3">
      <c r="A22927" s="12"/>
    </row>
    <row r="22928" spans="1:1" x14ac:dyDescent="0.3">
      <c r="A22928" s="12"/>
    </row>
    <row r="22929" spans="1:1" x14ac:dyDescent="0.3">
      <c r="A22929" s="12"/>
    </row>
    <row r="22930" spans="1:1" x14ac:dyDescent="0.3">
      <c r="A22930" s="12"/>
    </row>
    <row r="22931" spans="1:1" x14ac:dyDescent="0.3">
      <c r="A22931" s="12"/>
    </row>
    <row r="22932" spans="1:1" x14ac:dyDescent="0.3">
      <c r="A22932" s="12"/>
    </row>
    <row r="22933" spans="1:1" x14ac:dyDescent="0.3">
      <c r="A22933" s="12"/>
    </row>
    <row r="22934" spans="1:1" x14ac:dyDescent="0.3">
      <c r="A22934" s="12"/>
    </row>
    <row r="22935" spans="1:1" x14ac:dyDescent="0.3">
      <c r="A22935" s="12"/>
    </row>
    <row r="22936" spans="1:1" x14ac:dyDescent="0.3">
      <c r="A22936" s="12"/>
    </row>
    <row r="22937" spans="1:1" x14ac:dyDescent="0.3">
      <c r="A22937" s="12"/>
    </row>
    <row r="22938" spans="1:1" x14ac:dyDescent="0.3">
      <c r="A22938" s="12"/>
    </row>
    <row r="22939" spans="1:1" x14ac:dyDescent="0.3">
      <c r="A22939" s="12"/>
    </row>
    <row r="22940" spans="1:1" x14ac:dyDescent="0.3">
      <c r="A22940" s="12"/>
    </row>
    <row r="22941" spans="1:1" x14ac:dyDescent="0.3">
      <c r="A22941" s="12"/>
    </row>
    <row r="22942" spans="1:1" x14ac:dyDescent="0.3">
      <c r="A22942" s="12"/>
    </row>
    <row r="22943" spans="1:1" x14ac:dyDescent="0.3">
      <c r="A22943" s="12"/>
    </row>
    <row r="22944" spans="1:1" x14ac:dyDescent="0.3">
      <c r="A22944" s="12"/>
    </row>
    <row r="22945" spans="1:1" x14ac:dyDescent="0.3">
      <c r="A22945" s="12"/>
    </row>
    <row r="22946" spans="1:1" x14ac:dyDescent="0.3">
      <c r="A22946" s="12"/>
    </row>
    <row r="22947" spans="1:1" x14ac:dyDescent="0.3">
      <c r="A22947" s="12"/>
    </row>
    <row r="22948" spans="1:1" x14ac:dyDescent="0.3">
      <c r="A22948" s="12"/>
    </row>
    <row r="22949" spans="1:1" x14ac:dyDescent="0.3">
      <c r="A22949" s="12"/>
    </row>
    <row r="22950" spans="1:1" x14ac:dyDescent="0.3">
      <c r="A22950" s="12"/>
    </row>
    <row r="22951" spans="1:1" x14ac:dyDescent="0.3">
      <c r="A22951" s="12"/>
    </row>
    <row r="22952" spans="1:1" x14ac:dyDescent="0.3">
      <c r="A22952" s="12"/>
    </row>
    <row r="22953" spans="1:1" x14ac:dyDescent="0.3">
      <c r="A22953" s="12"/>
    </row>
    <row r="22954" spans="1:1" x14ac:dyDescent="0.3">
      <c r="A22954" s="12"/>
    </row>
    <row r="22955" spans="1:1" x14ac:dyDescent="0.3">
      <c r="A22955" s="12"/>
    </row>
    <row r="22956" spans="1:1" x14ac:dyDescent="0.3">
      <c r="A22956" s="12"/>
    </row>
    <row r="22957" spans="1:1" x14ac:dyDescent="0.3">
      <c r="A22957" s="12"/>
    </row>
    <row r="22958" spans="1:1" x14ac:dyDescent="0.3">
      <c r="A22958" s="12"/>
    </row>
    <row r="22959" spans="1:1" x14ac:dyDescent="0.3">
      <c r="A22959" s="12"/>
    </row>
    <row r="22960" spans="1:1" x14ac:dyDescent="0.3">
      <c r="A22960" s="12"/>
    </row>
    <row r="22961" spans="1:1" x14ac:dyDescent="0.3">
      <c r="A22961" s="12"/>
    </row>
    <row r="22962" spans="1:1" x14ac:dyDescent="0.3">
      <c r="A22962" s="12"/>
    </row>
    <row r="22963" spans="1:1" x14ac:dyDescent="0.3">
      <c r="A22963" s="12"/>
    </row>
    <row r="22964" spans="1:1" x14ac:dyDescent="0.3">
      <c r="A22964" s="12"/>
    </row>
    <row r="22965" spans="1:1" x14ac:dyDescent="0.3">
      <c r="A22965" s="12"/>
    </row>
    <row r="22966" spans="1:1" x14ac:dyDescent="0.3">
      <c r="A22966" s="12"/>
    </row>
    <row r="22967" spans="1:1" x14ac:dyDescent="0.3">
      <c r="A22967" s="12"/>
    </row>
    <row r="22968" spans="1:1" x14ac:dyDescent="0.3">
      <c r="A22968" s="12"/>
    </row>
    <row r="22969" spans="1:1" x14ac:dyDescent="0.3">
      <c r="A22969" s="12"/>
    </row>
    <row r="22970" spans="1:1" x14ac:dyDescent="0.3">
      <c r="A22970" s="12"/>
    </row>
    <row r="22971" spans="1:1" x14ac:dyDescent="0.3">
      <c r="A22971" s="12"/>
    </row>
    <row r="22972" spans="1:1" x14ac:dyDescent="0.3">
      <c r="A22972" s="12"/>
    </row>
    <row r="22973" spans="1:1" x14ac:dyDescent="0.3">
      <c r="A22973" s="12"/>
    </row>
    <row r="22974" spans="1:1" x14ac:dyDescent="0.3">
      <c r="A22974" s="12"/>
    </row>
    <row r="22975" spans="1:1" x14ac:dyDescent="0.3">
      <c r="A22975" s="12"/>
    </row>
    <row r="22976" spans="1:1" x14ac:dyDescent="0.3">
      <c r="A22976" s="12"/>
    </row>
    <row r="22977" spans="1:1" x14ac:dyDescent="0.3">
      <c r="A22977" s="12"/>
    </row>
    <row r="22978" spans="1:1" x14ac:dyDescent="0.3">
      <c r="A22978" s="12"/>
    </row>
    <row r="22979" spans="1:1" x14ac:dyDescent="0.3">
      <c r="A22979" s="12"/>
    </row>
    <row r="22980" spans="1:1" x14ac:dyDescent="0.3">
      <c r="A22980" s="12"/>
    </row>
    <row r="22981" spans="1:1" x14ac:dyDescent="0.3">
      <c r="A22981" s="12"/>
    </row>
    <row r="22982" spans="1:1" x14ac:dyDescent="0.3">
      <c r="A22982" s="12"/>
    </row>
    <row r="22983" spans="1:1" x14ac:dyDescent="0.3">
      <c r="A22983" s="12"/>
    </row>
    <row r="22984" spans="1:1" x14ac:dyDescent="0.3">
      <c r="A22984" s="12"/>
    </row>
    <row r="22985" spans="1:1" x14ac:dyDescent="0.3">
      <c r="A22985" s="12"/>
    </row>
    <row r="22986" spans="1:1" x14ac:dyDescent="0.3">
      <c r="A22986" s="12"/>
    </row>
    <row r="22987" spans="1:1" x14ac:dyDescent="0.3">
      <c r="A22987" s="12"/>
    </row>
    <row r="22988" spans="1:1" x14ac:dyDescent="0.3">
      <c r="A22988" s="12"/>
    </row>
    <row r="22989" spans="1:1" x14ac:dyDescent="0.3">
      <c r="A22989" s="12"/>
    </row>
    <row r="22990" spans="1:1" x14ac:dyDescent="0.3">
      <c r="A22990" s="12"/>
    </row>
    <row r="22991" spans="1:1" x14ac:dyDescent="0.3">
      <c r="A22991" s="12"/>
    </row>
    <row r="22992" spans="1:1" x14ac:dyDescent="0.3">
      <c r="A22992" s="12"/>
    </row>
    <row r="22993" spans="1:1" x14ac:dyDescent="0.3">
      <c r="A22993" s="12"/>
    </row>
    <row r="22994" spans="1:1" x14ac:dyDescent="0.3">
      <c r="A22994" s="12"/>
    </row>
    <row r="22995" spans="1:1" x14ac:dyDescent="0.3">
      <c r="A22995" s="12"/>
    </row>
    <row r="22996" spans="1:1" x14ac:dyDescent="0.3">
      <c r="A22996" s="12"/>
    </row>
    <row r="22997" spans="1:1" x14ac:dyDescent="0.3">
      <c r="A22997" s="12"/>
    </row>
    <row r="22998" spans="1:1" x14ac:dyDescent="0.3">
      <c r="A22998" s="12"/>
    </row>
    <row r="22999" spans="1:1" x14ac:dyDescent="0.3">
      <c r="A22999" s="12"/>
    </row>
    <row r="23000" spans="1:1" x14ac:dyDescent="0.3">
      <c r="A23000" s="12"/>
    </row>
    <row r="23001" spans="1:1" x14ac:dyDescent="0.3">
      <c r="A23001" s="12"/>
    </row>
    <row r="23002" spans="1:1" x14ac:dyDescent="0.3">
      <c r="A23002" s="12"/>
    </row>
    <row r="23003" spans="1:1" x14ac:dyDescent="0.3">
      <c r="A23003" s="12"/>
    </row>
    <row r="23004" spans="1:1" x14ac:dyDescent="0.3">
      <c r="A23004" s="12"/>
    </row>
    <row r="23005" spans="1:1" x14ac:dyDescent="0.3">
      <c r="A23005" s="12"/>
    </row>
    <row r="23006" spans="1:1" x14ac:dyDescent="0.3">
      <c r="A23006" s="12"/>
    </row>
    <row r="23007" spans="1:1" x14ac:dyDescent="0.3">
      <c r="A23007" s="12"/>
    </row>
    <row r="23008" spans="1:1" x14ac:dyDescent="0.3">
      <c r="A23008" s="12"/>
    </row>
    <row r="23009" spans="1:1" x14ac:dyDescent="0.3">
      <c r="A23009" s="12"/>
    </row>
    <row r="23010" spans="1:1" x14ac:dyDescent="0.3">
      <c r="A23010" s="12"/>
    </row>
    <row r="23011" spans="1:1" x14ac:dyDescent="0.3">
      <c r="A23011" s="12"/>
    </row>
    <row r="23012" spans="1:1" x14ac:dyDescent="0.3">
      <c r="A23012" s="12"/>
    </row>
    <row r="23013" spans="1:1" x14ac:dyDescent="0.3">
      <c r="A23013" s="12"/>
    </row>
    <row r="23014" spans="1:1" x14ac:dyDescent="0.3">
      <c r="A23014" s="12"/>
    </row>
    <row r="23015" spans="1:1" x14ac:dyDescent="0.3">
      <c r="A23015" s="12"/>
    </row>
    <row r="23016" spans="1:1" x14ac:dyDescent="0.3">
      <c r="A23016" s="12"/>
    </row>
    <row r="23017" spans="1:1" x14ac:dyDescent="0.3">
      <c r="A23017" s="12"/>
    </row>
    <row r="23018" spans="1:1" x14ac:dyDescent="0.3">
      <c r="A23018" s="12"/>
    </row>
    <row r="23019" spans="1:1" x14ac:dyDescent="0.3">
      <c r="A23019" s="12"/>
    </row>
    <row r="23020" spans="1:1" x14ac:dyDescent="0.3">
      <c r="A23020" s="12"/>
    </row>
    <row r="23021" spans="1:1" x14ac:dyDescent="0.3">
      <c r="A23021" s="12"/>
    </row>
    <row r="23022" spans="1:1" x14ac:dyDescent="0.3">
      <c r="A23022" s="12"/>
    </row>
    <row r="23023" spans="1:1" x14ac:dyDescent="0.3">
      <c r="A23023" s="12"/>
    </row>
    <row r="23024" spans="1:1" x14ac:dyDescent="0.3">
      <c r="A23024" s="12"/>
    </row>
    <row r="23025" spans="1:1" x14ac:dyDescent="0.3">
      <c r="A23025" s="12"/>
    </row>
    <row r="23026" spans="1:1" x14ac:dyDescent="0.3">
      <c r="A23026" s="12"/>
    </row>
    <row r="23027" spans="1:1" x14ac:dyDescent="0.3">
      <c r="A23027" s="12"/>
    </row>
    <row r="23028" spans="1:1" x14ac:dyDescent="0.3">
      <c r="A23028" s="12"/>
    </row>
    <row r="23029" spans="1:1" x14ac:dyDescent="0.3">
      <c r="A23029" s="12"/>
    </row>
    <row r="23030" spans="1:1" x14ac:dyDescent="0.3">
      <c r="A23030" s="12"/>
    </row>
    <row r="23031" spans="1:1" x14ac:dyDescent="0.3">
      <c r="A23031" s="12"/>
    </row>
    <row r="23032" spans="1:1" x14ac:dyDescent="0.3">
      <c r="A23032" s="12"/>
    </row>
    <row r="23033" spans="1:1" x14ac:dyDescent="0.3">
      <c r="A23033" s="12"/>
    </row>
    <row r="23034" spans="1:1" x14ac:dyDescent="0.3">
      <c r="A23034" s="12"/>
    </row>
    <row r="23035" spans="1:1" x14ac:dyDescent="0.3">
      <c r="A23035" s="12"/>
    </row>
    <row r="23036" spans="1:1" x14ac:dyDescent="0.3">
      <c r="A23036" s="12"/>
    </row>
    <row r="23037" spans="1:1" x14ac:dyDescent="0.3">
      <c r="A23037" s="12"/>
    </row>
    <row r="23038" spans="1:1" x14ac:dyDescent="0.3">
      <c r="A23038" s="12"/>
    </row>
    <row r="23039" spans="1:1" x14ac:dyDescent="0.3">
      <c r="A23039" s="12"/>
    </row>
    <row r="23040" spans="1:1" x14ac:dyDescent="0.3">
      <c r="A23040" s="12"/>
    </row>
    <row r="23041" spans="1:1" x14ac:dyDescent="0.3">
      <c r="A23041" s="12"/>
    </row>
    <row r="23042" spans="1:1" x14ac:dyDescent="0.3">
      <c r="A23042" s="12"/>
    </row>
    <row r="23043" spans="1:1" x14ac:dyDescent="0.3">
      <c r="A23043" s="12"/>
    </row>
    <row r="23044" spans="1:1" x14ac:dyDescent="0.3">
      <c r="A23044" s="12"/>
    </row>
    <row r="23045" spans="1:1" x14ac:dyDescent="0.3">
      <c r="A23045" s="12"/>
    </row>
    <row r="23046" spans="1:1" x14ac:dyDescent="0.3">
      <c r="A23046" s="12"/>
    </row>
    <row r="23047" spans="1:1" x14ac:dyDescent="0.3">
      <c r="A23047" s="12"/>
    </row>
    <row r="23048" spans="1:1" x14ac:dyDescent="0.3">
      <c r="A23048" s="12"/>
    </row>
    <row r="23049" spans="1:1" x14ac:dyDescent="0.3">
      <c r="A23049" s="12"/>
    </row>
    <row r="23050" spans="1:1" x14ac:dyDescent="0.3">
      <c r="A23050" s="12"/>
    </row>
    <row r="23051" spans="1:1" x14ac:dyDescent="0.3">
      <c r="A23051" s="12"/>
    </row>
    <row r="23052" spans="1:1" x14ac:dyDescent="0.3">
      <c r="A23052" s="12"/>
    </row>
    <row r="23053" spans="1:1" x14ac:dyDescent="0.3">
      <c r="A23053" s="12"/>
    </row>
    <row r="23054" spans="1:1" x14ac:dyDescent="0.3">
      <c r="A23054" s="12"/>
    </row>
    <row r="23055" spans="1:1" x14ac:dyDescent="0.3">
      <c r="A23055" s="12"/>
    </row>
    <row r="23056" spans="1:1" x14ac:dyDescent="0.3">
      <c r="A23056" s="12"/>
    </row>
    <row r="23057" spans="1:1" x14ac:dyDescent="0.3">
      <c r="A23057" s="12"/>
    </row>
    <row r="23058" spans="1:1" x14ac:dyDescent="0.3">
      <c r="A23058" s="12"/>
    </row>
    <row r="23059" spans="1:1" x14ac:dyDescent="0.3">
      <c r="A23059" s="12"/>
    </row>
    <row r="23060" spans="1:1" x14ac:dyDescent="0.3">
      <c r="A23060" s="12"/>
    </row>
    <row r="23061" spans="1:1" x14ac:dyDescent="0.3">
      <c r="A23061" s="12"/>
    </row>
    <row r="23062" spans="1:1" x14ac:dyDescent="0.3">
      <c r="A23062" s="12"/>
    </row>
    <row r="23063" spans="1:1" x14ac:dyDescent="0.3">
      <c r="A23063" s="12"/>
    </row>
    <row r="23064" spans="1:1" x14ac:dyDescent="0.3">
      <c r="A23064" s="12"/>
    </row>
    <row r="23065" spans="1:1" x14ac:dyDescent="0.3">
      <c r="A23065" s="12"/>
    </row>
    <row r="23066" spans="1:1" x14ac:dyDescent="0.3">
      <c r="A23066" s="12"/>
    </row>
    <row r="23067" spans="1:1" x14ac:dyDescent="0.3">
      <c r="A23067" s="12"/>
    </row>
    <row r="23068" spans="1:1" x14ac:dyDescent="0.3">
      <c r="A23068" s="12"/>
    </row>
    <row r="23069" spans="1:1" x14ac:dyDescent="0.3">
      <c r="A23069" s="12"/>
    </row>
    <row r="23070" spans="1:1" x14ac:dyDescent="0.3">
      <c r="A23070" s="12"/>
    </row>
    <row r="23071" spans="1:1" x14ac:dyDescent="0.3">
      <c r="A23071" s="12"/>
    </row>
    <row r="23072" spans="1:1" x14ac:dyDescent="0.3">
      <c r="A23072" s="12"/>
    </row>
    <row r="23073" spans="1:1" x14ac:dyDescent="0.3">
      <c r="A23073" s="12"/>
    </row>
    <row r="23074" spans="1:1" x14ac:dyDescent="0.3">
      <c r="A23074" s="12"/>
    </row>
    <row r="23075" spans="1:1" x14ac:dyDescent="0.3">
      <c r="A23075" s="12"/>
    </row>
    <row r="23076" spans="1:1" x14ac:dyDescent="0.3">
      <c r="A23076" s="12"/>
    </row>
    <row r="23077" spans="1:1" x14ac:dyDescent="0.3">
      <c r="A23077" s="12"/>
    </row>
    <row r="23078" spans="1:1" x14ac:dyDescent="0.3">
      <c r="A23078" s="12"/>
    </row>
    <row r="23079" spans="1:1" x14ac:dyDescent="0.3">
      <c r="A23079" s="12"/>
    </row>
    <row r="23080" spans="1:1" x14ac:dyDescent="0.3">
      <c r="A23080" s="12"/>
    </row>
    <row r="23081" spans="1:1" x14ac:dyDescent="0.3">
      <c r="A23081" s="12"/>
    </row>
    <row r="23082" spans="1:1" x14ac:dyDescent="0.3">
      <c r="A23082" s="12"/>
    </row>
    <row r="23083" spans="1:1" x14ac:dyDescent="0.3">
      <c r="A23083" s="12"/>
    </row>
    <row r="23084" spans="1:1" x14ac:dyDescent="0.3">
      <c r="A23084" s="12"/>
    </row>
    <row r="23085" spans="1:1" x14ac:dyDescent="0.3">
      <c r="A23085" s="12"/>
    </row>
    <row r="23086" spans="1:1" x14ac:dyDescent="0.3">
      <c r="A23086" s="12"/>
    </row>
    <row r="23087" spans="1:1" x14ac:dyDescent="0.3">
      <c r="A23087" s="12"/>
    </row>
    <row r="23088" spans="1:1" x14ac:dyDescent="0.3">
      <c r="A23088" s="12"/>
    </row>
    <row r="23089" spans="1:1" x14ac:dyDescent="0.3">
      <c r="A23089" s="12"/>
    </row>
    <row r="23090" spans="1:1" x14ac:dyDescent="0.3">
      <c r="A23090" s="12"/>
    </row>
    <row r="23091" spans="1:1" x14ac:dyDescent="0.3">
      <c r="A23091" s="12"/>
    </row>
    <row r="23092" spans="1:1" x14ac:dyDescent="0.3">
      <c r="A23092" s="12"/>
    </row>
    <row r="23093" spans="1:1" x14ac:dyDescent="0.3">
      <c r="A23093" s="12"/>
    </row>
    <row r="23094" spans="1:1" x14ac:dyDescent="0.3">
      <c r="A23094" s="12"/>
    </row>
    <row r="23095" spans="1:1" x14ac:dyDescent="0.3">
      <c r="A23095" s="12"/>
    </row>
    <row r="23096" spans="1:1" x14ac:dyDescent="0.3">
      <c r="A23096" s="12"/>
    </row>
    <row r="23097" spans="1:1" x14ac:dyDescent="0.3">
      <c r="A23097" s="12"/>
    </row>
    <row r="23098" spans="1:1" x14ac:dyDescent="0.3">
      <c r="A23098" s="12"/>
    </row>
    <row r="23099" spans="1:1" x14ac:dyDescent="0.3">
      <c r="A23099" s="12"/>
    </row>
    <row r="23100" spans="1:1" x14ac:dyDescent="0.3">
      <c r="A23100" s="12"/>
    </row>
    <row r="23101" spans="1:1" x14ac:dyDescent="0.3">
      <c r="A23101" s="12"/>
    </row>
    <row r="23102" spans="1:1" x14ac:dyDescent="0.3">
      <c r="A23102" s="12"/>
    </row>
    <row r="23103" spans="1:1" x14ac:dyDescent="0.3">
      <c r="A23103" s="12"/>
    </row>
    <row r="23104" spans="1:1" x14ac:dyDescent="0.3">
      <c r="A23104" s="12"/>
    </row>
    <row r="23105" spans="1:1" x14ac:dyDescent="0.3">
      <c r="A23105" s="12"/>
    </row>
    <row r="23106" spans="1:1" x14ac:dyDescent="0.3">
      <c r="A23106" s="12"/>
    </row>
    <row r="23107" spans="1:1" x14ac:dyDescent="0.3">
      <c r="A23107" s="12"/>
    </row>
    <row r="23108" spans="1:1" x14ac:dyDescent="0.3">
      <c r="A23108" s="12"/>
    </row>
    <row r="23109" spans="1:1" x14ac:dyDescent="0.3">
      <c r="A23109" s="12"/>
    </row>
    <row r="23110" spans="1:1" x14ac:dyDescent="0.3">
      <c r="A23110" s="12"/>
    </row>
    <row r="23111" spans="1:1" x14ac:dyDescent="0.3">
      <c r="A23111" s="12"/>
    </row>
    <row r="23112" spans="1:1" x14ac:dyDescent="0.3">
      <c r="A23112" s="12"/>
    </row>
    <row r="23113" spans="1:1" x14ac:dyDescent="0.3">
      <c r="A23113" s="12"/>
    </row>
    <row r="23114" spans="1:1" x14ac:dyDescent="0.3">
      <c r="A23114" s="12"/>
    </row>
    <row r="23115" spans="1:1" x14ac:dyDescent="0.3">
      <c r="A23115" s="12"/>
    </row>
    <row r="23116" spans="1:1" x14ac:dyDescent="0.3">
      <c r="A23116" s="12"/>
    </row>
    <row r="23117" spans="1:1" x14ac:dyDescent="0.3">
      <c r="A23117" s="12"/>
    </row>
    <row r="23118" spans="1:1" x14ac:dyDescent="0.3">
      <c r="A23118" s="12"/>
    </row>
    <row r="23119" spans="1:1" x14ac:dyDescent="0.3">
      <c r="A23119" s="12"/>
    </row>
    <row r="23120" spans="1:1" x14ac:dyDescent="0.3">
      <c r="A23120" s="12"/>
    </row>
    <row r="23121" spans="1:1" x14ac:dyDescent="0.3">
      <c r="A23121" s="12"/>
    </row>
    <row r="23122" spans="1:1" x14ac:dyDescent="0.3">
      <c r="A23122" s="12"/>
    </row>
    <row r="23123" spans="1:1" x14ac:dyDescent="0.3">
      <c r="A23123" s="12"/>
    </row>
    <row r="23124" spans="1:1" x14ac:dyDescent="0.3">
      <c r="A23124" s="12"/>
    </row>
    <row r="23125" spans="1:1" x14ac:dyDescent="0.3">
      <c r="A23125" s="12"/>
    </row>
    <row r="23126" spans="1:1" x14ac:dyDescent="0.3">
      <c r="A23126" s="12"/>
    </row>
    <row r="23127" spans="1:1" x14ac:dyDescent="0.3">
      <c r="A23127" s="12"/>
    </row>
    <row r="23128" spans="1:1" x14ac:dyDescent="0.3">
      <c r="A23128" s="12"/>
    </row>
    <row r="23129" spans="1:1" x14ac:dyDescent="0.3">
      <c r="A23129" s="12"/>
    </row>
    <row r="23130" spans="1:1" x14ac:dyDescent="0.3">
      <c r="A23130" s="12"/>
    </row>
    <row r="23131" spans="1:1" x14ac:dyDescent="0.3">
      <c r="A23131" s="12"/>
    </row>
    <row r="23132" spans="1:1" x14ac:dyDescent="0.3">
      <c r="A23132" s="12"/>
    </row>
    <row r="23133" spans="1:1" x14ac:dyDescent="0.3">
      <c r="A23133" s="12"/>
    </row>
    <row r="23134" spans="1:1" x14ac:dyDescent="0.3">
      <c r="A23134" s="12"/>
    </row>
    <row r="23135" spans="1:1" x14ac:dyDescent="0.3">
      <c r="A23135" s="12"/>
    </row>
    <row r="23136" spans="1:1" x14ac:dyDescent="0.3">
      <c r="A23136" s="12"/>
    </row>
    <row r="23137" spans="1:1" x14ac:dyDescent="0.3">
      <c r="A23137" s="12"/>
    </row>
    <row r="23138" spans="1:1" x14ac:dyDescent="0.3">
      <c r="A23138" s="12"/>
    </row>
    <row r="23139" spans="1:1" x14ac:dyDescent="0.3">
      <c r="A23139" s="12"/>
    </row>
    <row r="23140" spans="1:1" x14ac:dyDescent="0.3">
      <c r="A23140" s="12"/>
    </row>
    <row r="23141" spans="1:1" x14ac:dyDescent="0.3">
      <c r="A23141" s="12"/>
    </row>
    <row r="23142" spans="1:1" x14ac:dyDescent="0.3">
      <c r="A23142" s="12"/>
    </row>
    <row r="23143" spans="1:1" x14ac:dyDescent="0.3">
      <c r="A23143" s="12"/>
    </row>
    <row r="23144" spans="1:1" x14ac:dyDescent="0.3">
      <c r="A23144" s="12"/>
    </row>
    <row r="23145" spans="1:1" x14ac:dyDescent="0.3">
      <c r="A23145" s="12"/>
    </row>
    <row r="23146" spans="1:1" x14ac:dyDescent="0.3">
      <c r="A23146" s="12"/>
    </row>
    <row r="23147" spans="1:1" x14ac:dyDescent="0.3">
      <c r="A23147" s="12"/>
    </row>
    <row r="23148" spans="1:1" x14ac:dyDescent="0.3">
      <c r="A23148" s="12"/>
    </row>
    <row r="23149" spans="1:1" x14ac:dyDescent="0.3">
      <c r="A23149" s="12"/>
    </row>
    <row r="23150" spans="1:1" x14ac:dyDescent="0.3">
      <c r="A23150" s="12"/>
    </row>
    <row r="23151" spans="1:1" x14ac:dyDescent="0.3">
      <c r="A23151" s="12"/>
    </row>
    <row r="23152" spans="1:1" x14ac:dyDescent="0.3">
      <c r="A23152" s="12"/>
    </row>
    <row r="23153" spans="1:1" x14ac:dyDescent="0.3">
      <c r="A23153" s="12"/>
    </row>
    <row r="23154" spans="1:1" x14ac:dyDescent="0.3">
      <c r="A23154" s="12"/>
    </row>
    <row r="23155" spans="1:1" x14ac:dyDescent="0.3">
      <c r="A23155" s="12"/>
    </row>
    <row r="23156" spans="1:1" x14ac:dyDescent="0.3">
      <c r="A23156" s="12"/>
    </row>
    <row r="23157" spans="1:1" x14ac:dyDescent="0.3">
      <c r="A23157" s="12"/>
    </row>
    <row r="23158" spans="1:1" x14ac:dyDescent="0.3">
      <c r="A23158" s="12"/>
    </row>
    <row r="23159" spans="1:1" x14ac:dyDescent="0.3">
      <c r="A23159" s="12"/>
    </row>
    <row r="23160" spans="1:1" x14ac:dyDescent="0.3">
      <c r="A23160" s="12"/>
    </row>
    <row r="23161" spans="1:1" x14ac:dyDescent="0.3">
      <c r="A23161" s="12"/>
    </row>
    <row r="23162" spans="1:1" x14ac:dyDescent="0.3">
      <c r="A23162" s="12"/>
    </row>
    <row r="23163" spans="1:1" x14ac:dyDescent="0.3">
      <c r="A23163" s="12"/>
    </row>
    <row r="23164" spans="1:1" x14ac:dyDescent="0.3">
      <c r="A23164" s="12"/>
    </row>
    <row r="23165" spans="1:1" x14ac:dyDescent="0.3">
      <c r="A23165" s="12"/>
    </row>
    <row r="23166" spans="1:1" x14ac:dyDescent="0.3">
      <c r="A23166" s="12"/>
    </row>
    <row r="23167" spans="1:1" x14ac:dyDescent="0.3">
      <c r="A23167" s="12"/>
    </row>
    <row r="23168" spans="1:1" x14ac:dyDescent="0.3">
      <c r="A23168" s="12"/>
    </row>
    <row r="23169" spans="1:1" x14ac:dyDescent="0.3">
      <c r="A23169" s="12"/>
    </row>
    <row r="23170" spans="1:1" x14ac:dyDescent="0.3">
      <c r="A23170" s="12"/>
    </row>
    <row r="23171" spans="1:1" x14ac:dyDescent="0.3">
      <c r="A23171" s="12"/>
    </row>
    <row r="23172" spans="1:1" x14ac:dyDescent="0.3">
      <c r="A23172" s="12"/>
    </row>
    <row r="23173" spans="1:1" x14ac:dyDescent="0.3">
      <c r="A23173" s="12"/>
    </row>
    <row r="23174" spans="1:1" x14ac:dyDescent="0.3">
      <c r="A23174" s="12"/>
    </row>
    <row r="23175" spans="1:1" x14ac:dyDescent="0.3">
      <c r="A23175" s="12"/>
    </row>
    <row r="23176" spans="1:1" x14ac:dyDescent="0.3">
      <c r="A23176" s="12"/>
    </row>
    <row r="23177" spans="1:1" x14ac:dyDescent="0.3">
      <c r="A23177" s="12"/>
    </row>
    <row r="23178" spans="1:1" x14ac:dyDescent="0.3">
      <c r="A23178" s="12"/>
    </row>
    <row r="23179" spans="1:1" x14ac:dyDescent="0.3">
      <c r="A23179" s="12"/>
    </row>
    <row r="23180" spans="1:1" x14ac:dyDescent="0.3">
      <c r="A23180" s="12"/>
    </row>
    <row r="23181" spans="1:1" x14ac:dyDescent="0.3">
      <c r="A23181" s="12"/>
    </row>
    <row r="23182" spans="1:1" x14ac:dyDescent="0.3">
      <c r="A23182" s="12"/>
    </row>
    <row r="23183" spans="1:1" x14ac:dyDescent="0.3">
      <c r="A23183" s="12"/>
    </row>
    <row r="23184" spans="1:1" x14ac:dyDescent="0.3">
      <c r="A23184" s="12"/>
    </row>
    <row r="23185" spans="1:1" x14ac:dyDescent="0.3">
      <c r="A23185" s="12"/>
    </row>
    <row r="23186" spans="1:1" x14ac:dyDescent="0.3">
      <c r="A23186" s="12"/>
    </row>
    <row r="23187" spans="1:1" x14ac:dyDescent="0.3">
      <c r="A23187" s="12"/>
    </row>
    <row r="23188" spans="1:1" x14ac:dyDescent="0.3">
      <c r="A23188" s="12"/>
    </row>
    <row r="23189" spans="1:1" x14ac:dyDescent="0.3">
      <c r="A23189" s="12"/>
    </row>
    <row r="23190" spans="1:1" x14ac:dyDescent="0.3">
      <c r="A23190" s="12"/>
    </row>
    <row r="23191" spans="1:1" x14ac:dyDescent="0.3">
      <c r="A23191" s="12"/>
    </row>
    <row r="23192" spans="1:1" x14ac:dyDescent="0.3">
      <c r="A23192" s="12"/>
    </row>
    <row r="23193" spans="1:1" x14ac:dyDescent="0.3">
      <c r="A23193" s="12"/>
    </row>
    <row r="23194" spans="1:1" x14ac:dyDescent="0.3">
      <c r="A23194" s="12"/>
    </row>
    <row r="23195" spans="1:1" x14ac:dyDescent="0.3">
      <c r="A23195" s="12"/>
    </row>
    <row r="23196" spans="1:1" x14ac:dyDescent="0.3">
      <c r="A23196" s="12"/>
    </row>
    <row r="23197" spans="1:1" x14ac:dyDescent="0.3">
      <c r="A23197" s="12"/>
    </row>
    <row r="23198" spans="1:1" x14ac:dyDescent="0.3">
      <c r="A23198" s="12"/>
    </row>
    <row r="23199" spans="1:1" x14ac:dyDescent="0.3">
      <c r="A23199" s="12"/>
    </row>
    <row r="23200" spans="1:1" x14ac:dyDescent="0.3">
      <c r="A23200" s="12"/>
    </row>
    <row r="23201" spans="1:1" x14ac:dyDescent="0.3">
      <c r="A23201" s="12"/>
    </row>
    <row r="23202" spans="1:1" x14ac:dyDescent="0.3">
      <c r="A23202" s="12"/>
    </row>
    <row r="23203" spans="1:1" x14ac:dyDescent="0.3">
      <c r="A23203" s="12"/>
    </row>
    <row r="23204" spans="1:1" x14ac:dyDescent="0.3">
      <c r="A23204" s="12"/>
    </row>
    <row r="23205" spans="1:1" x14ac:dyDescent="0.3">
      <c r="A23205" s="12"/>
    </row>
    <row r="23206" spans="1:1" x14ac:dyDescent="0.3">
      <c r="A23206" s="12"/>
    </row>
    <row r="23207" spans="1:1" x14ac:dyDescent="0.3">
      <c r="A23207" s="12"/>
    </row>
    <row r="23208" spans="1:1" x14ac:dyDescent="0.3">
      <c r="A23208" s="12"/>
    </row>
    <row r="23209" spans="1:1" x14ac:dyDescent="0.3">
      <c r="A23209" s="12"/>
    </row>
    <row r="23210" spans="1:1" x14ac:dyDescent="0.3">
      <c r="A23210" s="12"/>
    </row>
    <row r="23211" spans="1:1" x14ac:dyDescent="0.3">
      <c r="A23211" s="12"/>
    </row>
    <row r="23212" spans="1:1" x14ac:dyDescent="0.3">
      <c r="A23212" s="12"/>
    </row>
    <row r="23213" spans="1:1" x14ac:dyDescent="0.3">
      <c r="A23213" s="12"/>
    </row>
    <row r="23214" spans="1:1" x14ac:dyDescent="0.3">
      <c r="A23214" s="12"/>
    </row>
    <row r="23215" spans="1:1" x14ac:dyDescent="0.3">
      <c r="A23215" s="12"/>
    </row>
    <row r="23216" spans="1:1" x14ac:dyDescent="0.3">
      <c r="A23216" s="12"/>
    </row>
    <row r="23217" spans="1:1" x14ac:dyDescent="0.3">
      <c r="A23217" s="12"/>
    </row>
    <row r="23218" spans="1:1" x14ac:dyDescent="0.3">
      <c r="A23218" s="12"/>
    </row>
    <row r="23219" spans="1:1" x14ac:dyDescent="0.3">
      <c r="A23219" s="12"/>
    </row>
    <row r="23220" spans="1:1" x14ac:dyDescent="0.3">
      <c r="A23220" s="12"/>
    </row>
    <row r="23221" spans="1:1" x14ac:dyDescent="0.3">
      <c r="A23221" s="12"/>
    </row>
    <row r="23222" spans="1:1" x14ac:dyDescent="0.3">
      <c r="A23222" s="12"/>
    </row>
    <row r="23223" spans="1:1" x14ac:dyDescent="0.3">
      <c r="A23223" s="12"/>
    </row>
    <row r="23224" spans="1:1" x14ac:dyDescent="0.3">
      <c r="A23224" s="12"/>
    </row>
    <row r="23225" spans="1:1" x14ac:dyDescent="0.3">
      <c r="A23225" s="12"/>
    </row>
    <row r="23226" spans="1:1" x14ac:dyDescent="0.3">
      <c r="A23226" s="12"/>
    </row>
    <row r="23227" spans="1:1" x14ac:dyDescent="0.3">
      <c r="A23227" s="12"/>
    </row>
    <row r="23228" spans="1:1" x14ac:dyDescent="0.3">
      <c r="A23228" s="12"/>
    </row>
    <row r="23229" spans="1:1" x14ac:dyDescent="0.3">
      <c r="A23229" s="12"/>
    </row>
    <row r="23230" spans="1:1" x14ac:dyDescent="0.3">
      <c r="A23230" s="12"/>
    </row>
    <row r="23231" spans="1:1" x14ac:dyDescent="0.3">
      <c r="A23231" s="12"/>
    </row>
    <row r="23232" spans="1:1" x14ac:dyDescent="0.3">
      <c r="A23232" s="12"/>
    </row>
    <row r="23233" spans="1:1" x14ac:dyDescent="0.3">
      <c r="A23233" s="12"/>
    </row>
    <row r="23234" spans="1:1" x14ac:dyDescent="0.3">
      <c r="A23234" s="12"/>
    </row>
    <row r="23235" spans="1:1" x14ac:dyDescent="0.3">
      <c r="A23235" s="12"/>
    </row>
    <row r="23236" spans="1:1" x14ac:dyDescent="0.3">
      <c r="A23236" s="12"/>
    </row>
    <row r="23237" spans="1:1" x14ac:dyDescent="0.3">
      <c r="A23237" s="12"/>
    </row>
    <row r="23238" spans="1:1" x14ac:dyDescent="0.3">
      <c r="A23238" s="12"/>
    </row>
    <row r="23239" spans="1:1" x14ac:dyDescent="0.3">
      <c r="A23239" s="12"/>
    </row>
    <row r="23240" spans="1:1" x14ac:dyDescent="0.3">
      <c r="A23240" s="12"/>
    </row>
    <row r="23241" spans="1:1" x14ac:dyDescent="0.3">
      <c r="A23241" s="12"/>
    </row>
    <row r="23242" spans="1:1" x14ac:dyDescent="0.3">
      <c r="A23242" s="12"/>
    </row>
    <row r="23243" spans="1:1" x14ac:dyDescent="0.3">
      <c r="A23243" s="12"/>
    </row>
    <row r="23244" spans="1:1" x14ac:dyDescent="0.3">
      <c r="A23244" s="12"/>
    </row>
    <row r="23245" spans="1:1" x14ac:dyDescent="0.3">
      <c r="A23245" s="12"/>
    </row>
    <row r="23246" spans="1:1" x14ac:dyDescent="0.3">
      <c r="A23246" s="12"/>
    </row>
    <row r="23247" spans="1:1" x14ac:dyDescent="0.3">
      <c r="A23247" s="12"/>
    </row>
    <row r="23248" spans="1:1" x14ac:dyDescent="0.3">
      <c r="A23248" s="12"/>
    </row>
    <row r="23249" spans="1:1" x14ac:dyDescent="0.3">
      <c r="A23249" s="12"/>
    </row>
    <row r="23250" spans="1:1" x14ac:dyDescent="0.3">
      <c r="A23250" s="12"/>
    </row>
    <row r="23251" spans="1:1" x14ac:dyDescent="0.3">
      <c r="A23251" s="12"/>
    </row>
    <row r="23252" spans="1:1" x14ac:dyDescent="0.3">
      <c r="A23252" s="12"/>
    </row>
    <row r="23253" spans="1:1" x14ac:dyDescent="0.3">
      <c r="A23253" s="12"/>
    </row>
    <row r="23254" spans="1:1" x14ac:dyDescent="0.3">
      <c r="A23254" s="12"/>
    </row>
    <row r="23255" spans="1:1" x14ac:dyDescent="0.3">
      <c r="A23255" s="12"/>
    </row>
    <row r="23256" spans="1:1" x14ac:dyDescent="0.3">
      <c r="A23256" s="12"/>
    </row>
    <row r="23257" spans="1:1" x14ac:dyDescent="0.3">
      <c r="A23257" s="12"/>
    </row>
    <row r="23258" spans="1:1" x14ac:dyDescent="0.3">
      <c r="A23258" s="12"/>
    </row>
    <row r="23259" spans="1:1" x14ac:dyDescent="0.3">
      <c r="A23259" s="12"/>
    </row>
    <row r="23260" spans="1:1" x14ac:dyDescent="0.3">
      <c r="A23260" s="12"/>
    </row>
    <row r="23261" spans="1:1" x14ac:dyDescent="0.3">
      <c r="A23261" s="12"/>
    </row>
    <row r="23262" spans="1:1" x14ac:dyDescent="0.3">
      <c r="A23262" s="12"/>
    </row>
    <row r="23263" spans="1:1" x14ac:dyDescent="0.3">
      <c r="A23263" s="12"/>
    </row>
    <row r="23264" spans="1:1" x14ac:dyDescent="0.3">
      <c r="A23264" s="12"/>
    </row>
    <row r="23265" spans="1:1" x14ac:dyDescent="0.3">
      <c r="A23265" s="12"/>
    </row>
    <row r="23266" spans="1:1" x14ac:dyDescent="0.3">
      <c r="A23266" s="12"/>
    </row>
    <row r="23267" spans="1:1" x14ac:dyDescent="0.3">
      <c r="A23267" s="12"/>
    </row>
    <row r="23268" spans="1:1" x14ac:dyDescent="0.3">
      <c r="A23268" s="12"/>
    </row>
    <row r="23269" spans="1:1" x14ac:dyDescent="0.3">
      <c r="A23269" s="12"/>
    </row>
    <row r="23270" spans="1:1" x14ac:dyDescent="0.3">
      <c r="A23270" s="12"/>
    </row>
    <row r="23271" spans="1:1" x14ac:dyDescent="0.3">
      <c r="A23271" s="12"/>
    </row>
    <row r="23272" spans="1:1" x14ac:dyDescent="0.3">
      <c r="A23272" s="12"/>
    </row>
    <row r="23273" spans="1:1" x14ac:dyDescent="0.3">
      <c r="A23273" s="12"/>
    </row>
    <row r="23274" spans="1:1" x14ac:dyDescent="0.3">
      <c r="A23274" s="12"/>
    </row>
    <row r="23275" spans="1:1" x14ac:dyDescent="0.3">
      <c r="A23275" s="12"/>
    </row>
    <row r="23276" spans="1:1" x14ac:dyDescent="0.3">
      <c r="A23276" s="12"/>
    </row>
    <row r="23277" spans="1:1" x14ac:dyDescent="0.3">
      <c r="A23277" s="12"/>
    </row>
    <row r="23278" spans="1:1" x14ac:dyDescent="0.3">
      <c r="A23278" s="12"/>
    </row>
    <row r="23279" spans="1:1" x14ac:dyDescent="0.3">
      <c r="A23279" s="12"/>
    </row>
    <row r="23280" spans="1:1" x14ac:dyDescent="0.3">
      <c r="A23280" s="12"/>
    </row>
    <row r="23281" spans="1:1" x14ac:dyDescent="0.3">
      <c r="A23281" s="12"/>
    </row>
    <row r="23282" spans="1:1" x14ac:dyDescent="0.3">
      <c r="A23282" s="12"/>
    </row>
    <row r="23283" spans="1:1" x14ac:dyDescent="0.3">
      <c r="A23283" s="12"/>
    </row>
    <row r="23284" spans="1:1" x14ac:dyDescent="0.3">
      <c r="A23284" s="12"/>
    </row>
    <row r="23285" spans="1:1" x14ac:dyDescent="0.3">
      <c r="A23285" s="12"/>
    </row>
    <row r="23286" spans="1:1" x14ac:dyDescent="0.3">
      <c r="A23286" s="12"/>
    </row>
    <row r="23287" spans="1:1" x14ac:dyDescent="0.3">
      <c r="A23287" s="12"/>
    </row>
    <row r="23288" spans="1:1" x14ac:dyDescent="0.3">
      <c r="A23288" s="12"/>
    </row>
    <row r="23289" spans="1:1" x14ac:dyDescent="0.3">
      <c r="A23289" s="12"/>
    </row>
    <row r="23290" spans="1:1" x14ac:dyDescent="0.3">
      <c r="A23290" s="12"/>
    </row>
    <row r="23291" spans="1:1" x14ac:dyDescent="0.3">
      <c r="A23291" s="12"/>
    </row>
    <row r="23292" spans="1:1" x14ac:dyDescent="0.3">
      <c r="A23292" s="12"/>
    </row>
    <row r="23293" spans="1:1" x14ac:dyDescent="0.3">
      <c r="A23293" s="12"/>
    </row>
    <row r="23294" spans="1:1" x14ac:dyDescent="0.3">
      <c r="A23294" s="12"/>
    </row>
    <row r="23295" spans="1:1" x14ac:dyDescent="0.3">
      <c r="A23295" s="12"/>
    </row>
    <row r="23296" spans="1:1" x14ac:dyDescent="0.3">
      <c r="A23296" s="12"/>
    </row>
    <row r="23297" spans="1:1" x14ac:dyDescent="0.3">
      <c r="A23297" s="12"/>
    </row>
    <row r="23298" spans="1:1" x14ac:dyDescent="0.3">
      <c r="A23298" s="12"/>
    </row>
    <row r="23299" spans="1:1" x14ac:dyDescent="0.3">
      <c r="A23299" s="12"/>
    </row>
    <row r="23300" spans="1:1" x14ac:dyDescent="0.3">
      <c r="A23300" s="12"/>
    </row>
    <row r="23301" spans="1:1" x14ac:dyDescent="0.3">
      <c r="A23301" s="12"/>
    </row>
    <row r="23302" spans="1:1" x14ac:dyDescent="0.3">
      <c r="A23302" s="12"/>
    </row>
    <row r="23303" spans="1:1" x14ac:dyDescent="0.3">
      <c r="A23303" s="12"/>
    </row>
    <row r="23304" spans="1:1" x14ac:dyDescent="0.3">
      <c r="A23304" s="12"/>
    </row>
    <row r="23305" spans="1:1" x14ac:dyDescent="0.3">
      <c r="A23305" s="12"/>
    </row>
    <row r="23306" spans="1:1" x14ac:dyDescent="0.3">
      <c r="A23306" s="12"/>
    </row>
    <row r="23307" spans="1:1" x14ac:dyDescent="0.3">
      <c r="A23307" s="12"/>
    </row>
    <row r="23308" spans="1:1" x14ac:dyDescent="0.3">
      <c r="A23308" s="12"/>
    </row>
    <row r="23309" spans="1:1" x14ac:dyDescent="0.3">
      <c r="A23309" s="12"/>
    </row>
    <row r="23310" spans="1:1" x14ac:dyDescent="0.3">
      <c r="A23310" s="12"/>
    </row>
    <row r="23311" spans="1:1" x14ac:dyDescent="0.3">
      <c r="A23311" s="12"/>
    </row>
    <row r="23312" spans="1:1" x14ac:dyDescent="0.3">
      <c r="A23312" s="12"/>
    </row>
    <row r="23313" spans="1:1" x14ac:dyDescent="0.3">
      <c r="A23313" s="12"/>
    </row>
    <row r="23314" spans="1:1" x14ac:dyDescent="0.3">
      <c r="A23314" s="12"/>
    </row>
    <row r="23315" spans="1:1" x14ac:dyDescent="0.3">
      <c r="A23315" s="12"/>
    </row>
    <row r="23316" spans="1:1" x14ac:dyDescent="0.3">
      <c r="A23316" s="12"/>
    </row>
    <row r="23317" spans="1:1" x14ac:dyDescent="0.3">
      <c r="A23317" s="12"/>
    </row>
    <row r="23318" spans="1:1" x14ac:dyDescent="0.3">
      <c r="A23318" s="12"/>
    </row>
    <row r="23319" spans="1:1" x14ac:dyDescent="0.3">
      <c r="A23319" s="12"/>
    </row>
    <row r="23320" spans="1:1" x14ac:dyDescent="0.3">
      <c r="A23320" s="12"/>
    </row>
    <row r="23321" spans="1:1" x14ac:dyDescent="0.3">
      <c r="A23321" s="12"/>
    </row>
    <row r="23322" spans="1:1" x14ac:dyDescent="0.3">
      <c r="A23322" s="12"/>
    </row>
    <row r="23323" spans="1:1" x14ac:dyDescent="0.3">
      <c r="A23323" s="12"/>
    </row>
    <row r="23324" spans="1:1" x14ac:dyDescent="0.3">
      <c r="A23324" s="12"/>
    </row>
    <row r="23325" spans="1:1" x14ac:dyDescent="0.3">
      <c r="A23325" s="12"/>
    </row>
    <row r="23326" spans="1:1" x14ac:dyDescent="0.3">
      <c r="A23326" s="12"/>
    </row>
    <row r="23327" spans="1:1" x14ac:dyDescent="0.3">
      <c r="A23327" s="12"/>
    </row>
    <row r="23328" spans="1:1" x14ac:dyDescent="0.3">
      <c r="A23328" s="12"/>
    </row>
    <row r="23329" spans="1:1" x14ac:dyDescent="0.3">
      <c r="A23329" s="12"/>
    </row>
    <row r="23330" spans="1:1" x14ac:dyDescent="0.3">
      <c r="A23330" s="12"/>
    </row>
    <row r="23331" spans="1:1" x14ac:dyDescent="0.3">
      <c r="A23331" s="12"/>
    </row>
    <row r="23332" spans="1:1" x14ac:dyDescent="0.3">
      <c r="A23332" s="12"/>
    </row>
    <row r="23333" spans="1:1" x14ac:dyDescent="0.3">
      <c r="A23333" s="12"/>
    </row>
    <row r="23334" spans="1:1" x14ac:dyDescent="0.3">
      <c r="A23334" s="12"/>
    </row>
    <row r="23335" spans="1:1" x14ac:dyDescent="0.3">
      <c r="A23335" s="12"/>
    </row>
    <row r="23336" spans="1:1" x14ac:dyDescent="0.3">
      <c r="A23336" s="12"/>
    </row>
    <row r="23337" spans="1:1" x14ac:dyDescent="0.3">
      <c r="A23337" s="12"/>
    </row>
    <row r="23338" spans="1:1" x14ac:dyDescent="0.3">
      <c r="A23338" s="12"/>
    </row>
    <row r="23339" spans="1:1" x14ac:dyDescent="0.3">
      <c r="A23339" s="12"/>
    </row>
    <row r="23340" spans="1:1" x14ac:dyDescent="0.3">
      <c r="A23340" s="12"/>
    </row>
    <row r="23341" spans="1:1" x14ac:dyDescent="0.3">
      <c r="A23341" s="12"/>
    </row>
    <row r="23342" spans="1:1" x14ac:dyDescent="0.3">
      <c r="A23342" s="12"/>
    </row>
    <row r="23343" spans="1:1" x14ac:dyDescent="0.3">
      <c r="A23343" s="12"/>
    </row>
    <row r="23344" spans="1:1" x14ac:dyDescent="0.3">
      <c r="A23344" s="12"/>
    </row>
    <row r="23345" spans="1:1" x14ac:dyDescent="0.3">
      <c r="A23345" s="12"/>
    </row>
    <row r="23346" spans="1:1" x14ac:dyDescent="0.3">
      <c r="A23346" s="12"/>
    </row>
    <row r="23347" spans="1:1" x14ac:dyDescent="0.3">
      <c r="A23347" s="12"/>
    </row>
    <row r="23348" spans="1:1" x14ac:dyDescent="0.3">
      <c r="A23348" s="12"/>
    </row>
    <row r="23349" spans="1:1" x14ac:dyDescent="0.3">
      <c r="A23349" s="12"/>
    </row>
    <row r="23350" spans="1:1" x14ac:dyDescent="0.3">
      <c r="A23350" s="12"/>
    </row>
    <row r="23351" spans="1:1" x14ac:dyDescent="0.3">
      <c r="A23351" s="12"/>
    </row>
    <row r="23352" spans="1:1" x14ac:dyDescent="0.3">
      <c r="A23352" s="12"/>
    </row>
    <row r="23353" spans="1:1" x14ac:dyDescent="0.3">
      <c r="A23353" s="12"/>
    </row>
    <row r="23354" spans="1:1" x14ac:dyDescent="0.3">
      <c r="A23354" s="12"/>
    </row>
    <row r="23355" spans="1:1" x14ac:dyDescent="0.3">
      <c r="A23355" s="12"/>
    </row>
    <row r="23356" spans="1:1" x14ac:dyDescent="0.3">
      <c r="A23356" s="12"/>
    </row>
    <row r="23357" spans="1:1" x14ac:dyDescent="0.3">
      <c r="A23357" s="12"/>
    </row>
    <row r="23358" spans="1:1" x14ac:dyDescent="0.3">
      <c r="A23358" s="12"/>
    </row>
    <row r="23359" spans="1:1" x14ac:dyDescent="0.3">
      <c r="A23359" s="12"/>
    </row>
    <row r="23360" spans="1:1" x14ac:dyDescent="0.3">
      <c r="A23360" s="12"/>
    </row>
    <row r="23361" spans="1:1" x14ac:dyDescent="0.3">
      <c r="A23361" s="12"/>
    </row>
    <row r="23362" spans="1:1" x14ac:dyDescent="0.3">
      <c r="A23362" s="12"/>
    </row>
    <row r="23363" spans="1:1" x14ac:dyDescent="0.3">
      <c r="A23363" s="12"/>
    </row>
    <row r="23364" spans="1:1" x14ac:dyDescent="0.3">
      <c r="A23364" s="12"/>
    </row>
    <row r="23365" spans="1:1" x14ac:dyDescent="0.3">
      <c r="A23365" s="12"/>
    </row>
    <row r="23366" spans="1:1" x14ac:dyDescent="0.3">
      <c r="A23366" s="12"/>
    </row>
    <row r="23367" spans="1:1" x14ac:dyDescent="0.3">
      <c r="A23367" s="12"/>
    </row>
    <row r="23368" spans="1:1" x14ac:dyDescent="0.3">
      <c r="A23368" s="12"/>
    </row>
    <row r="23369" spans="1:1" x14ac:dyDescent="0.3">
      <c r="A23369" s="12"/>
    </row>
    <row r="23370" spans="1:1" x14ac:dyDescent="0.3">
      <c r="A23370" s="12"/>
    </row>
    <row r="23371" spans="1:1" x14ac:dyDescent="0.3">
      <c r="A23371" s="12"/>
    </row>
    <row r="23372" spans="1:1" x14ac:dyDescent="0.3">
      <c r="A23372" s="12"/>
    </row>
    <row r="23373" spans="1:1" x14ac:dyDescent="0.3">
      <c r="A23373" s="12"/>
    </row>
    <row r="23374" spans="1:1" x14ac:dyDescent="0.3">
      <c r="A23374" s="12"/>
    </row>
    <row r="23375" spans="1:1" x14ac:dyDescent="0.3">
      <c r="A23375" s="12"/>
    </row>
    <row r="23376" spans="1:1" x14ac:dyDescent="0.3">
      <c r="A23376" s="12"/>
    </row>
    <row r="23377" spans="1:1" x14ac:dyDescent="0.3">
      <c r="A23377" s="12"/>
    </row>
    <row r="23378" spans="1:1" x14ac:dyDescent="0.3">
      <c r="A23378" s="12"/>
    </row>
    <row r="23379" spans="1:1" x14ac:dyDescent="0.3">
      <c r="A23379" s="12"/>
    </row>
    <row r="23380" spans="1:1" x14ac:dyDescent="0.3">
      <c r="A23380" s="12"/>
    </row>
    <row r="23381" spans="1:1" x14ac:dyDescent="0.3">
      <c r="A23381" s="12"/>
    </row>
    <row r="23382" spans="1:1" x14ac:dyDescent="0.3">
      <c r="A23382" s="12"/>
    </row>
    <row r="23383" spans="1:1" x14ac:dyDescent="0.3">
      <c r="A23383" s="12"/>
    </row>
    <row r="23384" spans="1:1" x14ac:dyDescent="0.3">
      <c r="A23384" s="12"/>
    </row>
    <row r="23385" spans="1:1" x14ac:dyDescent="0.3">
      <c r="A23385" s="12"/>
    </row>
    <row r="23386" spans="1:1" x14ac:dyDescent="0.3">
      <c r="A23386" s="12"/>
    </row>
    <row r="23387" spans="1:1" x14ac:dyDescent="0.3">
      <c r="A23387" s="12"/>
    </row>
    <row r="23388" spans="1:1" x14ac:dyDescent="0.3">
      <c r="A23388" s="12"/>
    </row>
    <row r="23389" spans="1:1" x14ac:dyDescent="0.3">
      <c r="A23389" s="12"/>
    </row>
    <row r="23390" spans="1:1" x14ac:dyDescent="0.3">
      <c r="A23390" s="12"/>
    </row>
    <row r="23391" spans="1:1" x14ac:dyDescent="0.3">
      <c r="A23391" s="12"/>
    </row>
    <row r="23392" spans="1:1" x14ac:dyDescent="0.3">
      <c r="A23392" s="12"/>
    </row>
    <row r="23393" spans="1:1" x14ac:dyDescent="0.3">
      <c r="A23393" s="12"/>
    </row>
    <row r="23394" spans="1:1" x14ac:dyDescent="0.3">
      <c r="A23394" s="12"/>
    </row>
    <row r="23395" spans="1:1" x14ac:dyDescent="0.3">
      <c r="A23395" s="12"/>
    </row>
    <row r="23396" spans="1:1" x14ac:dyDescent="0.3">
      <c r="A23396" s="12"/>
    </row>
    <row r="23397" spans="1:1" x14ac:dyDescent="0.3">
      <c r="A23397" s="12"/>
    </row>
    <row r="23398" spans="1:1" x14ac:dyDescent="0.3">
      <c r="A23398" s="12"/>
    </row>
    <row r="23399" spans="1:1" x14ac:dyDescent="0.3">
      <c r="A23399" s="12"/>
    </row>
    <row r="23400" spans="1:1" x14ac:dyDescent="0.3">
      <c r="A23400" s="12"/>
    </row>
    <row r="23401" spans="1:1" x14ac:dyDescent="0.3">
      <c r="A23401" s="12"/>
    </row>
    <row r="23402" spans="1:1" x14ac:dyDescent="0.3">
      <c r="A23402" s="12"/>
    </row>
    <row r="23403" spans="1:1" x14ac:dyDescent="0.3">
      <c r="A23403" s="12"/>
    </row>
    <row r="23404" spans="1:1" x14ac:dyDescent="0.3">
      <c r="A23404" s="12"/>
    </row>
    <row r="23405" spans="1:1" x14ac:dyDescent="0.3">
      <c r="A23405" s="12"/>
    </row>
    <row r="23406" spans="1:1" x14ac:dyDescent="0.3">
      <c r="A23406" s="12"/>
    </row>
    <row r="23407" spans="1:1" x14ac:dyDescent="0.3">
      <c r="A23407" s="12"/>
    </row>
    <row r="23408" spans="1:1" x14ac:dyDescent="0.3">
      <c r="A23408" s="12"/>
    </row>
    <row r="23409" spans="1:1" x14ac:dyDescent="0.3">
      <c r="A23409" s="12"/>
    </row>
    <row r="23410" spans="1:1" x14ac:dyDescent="0.3">
      <c r="A23410" s="12"/>
    </row>
    <row r="23411" spans="1:1" x14ac:dyDescent="0.3">
      <c r="A23411" s="12"/>
    </row>
    <row r="23412" spans="1:1" x14ac:dyDescent="0.3">
      <c r="A23412" s="12"/>
    </row>
    <row r="23413" spans="1:1" x14ac:dyDescent="0.3">
      <c r="A23413" s="12"/>
    </row>
    <row r="23414" spans="1:1" x14ac:dyDescent="0.3">
      <c r="A23414" s="12"/>
    </row>
    <row r="23415" spans="1:1" x14ac:dyDescent="0.3">
      <c r="A23415" s="12"/>
    </row>
    <row r="23416" spans="1:1" x14ac:dyDescent="0.3">
      <c r="A23416" s="12"/>
    </row>
    <row r="23417" spans="1:1" x14ac:dyDescent="0.3">
      <c r="A23417" s="12"/>
    </row>
    <row r="23418" spans="1:1" x14ac:dyDescent="0.3">
      <c r="A23418" s="12"/>
    </row>
    <row r="23419" spans="1:1" x14ac:dyDescent="0.3">
      <c r="A23419" s="12"/>
    </row>
    <row r="23420" spans="1:1" x14ac:dyDescent="0.3">
      <c r="A23420" s="12"/>
    </row>
    <row r="23421" spans="1:1" x14ac:dyDescent="0.3">
      <c r="A23421" s="12"/>
    </row>
    <row r="23422" spans="1:1" x14ac:dyDescent="0.3">
      <c r="A23422" s="12"/>
    </row>
    <row r="23423" spans="1:1" x14ac:dyDescent="0.3">
      <c r="A23423" s="12"/>
    </row>
    <row r="23424" spans="1:1" x14ac:dyDescent="0.3">
      <c r="A23424" s="12"/>
    </row>
    <row r="23425" spans="1:1" x14ac:dyDescent="0.3">
      <c r="A23425" s="12"/>
    </row>
    <row r="23426" spans="1:1" x14ac:dyDescent="0.3">
      <c r="A23426" s="12"/>
    </row>
    <row r="23427" spans="1:1" x14ac:dyDescent="0.3">
      <c r="A23427" s="12"/>
    </row>
    <row r="23428" spans="1:1" x14ac:dyDescent="0.3">
      <c r="A23428" s="12"/>
    </row>
    <row r="23429" spans="1:1" x14ac:dyDescent="0.3">
      <c r="A23429" s="12"/>
    </row>
    <row r="23430" spans="1:1" x14ac:dyDescent="0.3">
      <c r="A23430" s="12"/>
    </row>
    <row r="23431" spans="1:1" x14ac:dyDescent="0.3">
      <c r="A23431" s="12"/>
    </row>
    <row r="23432" spans="1:1" x14ac:dyDescent="0.3">
      <c r="A23432" s="12"/>
    </row>
    <row r="23433" spans="1:1" x14ac:dyDescent="0.3">
      <c r="A23433" s="12"/>
    </row>
    <row r="23434" spans="1:1" x14ac:dyDescent="0.3">
      <c r="A23434" s="12"/>
    </row>
    <row r="23435" spans="1:1" x14ac:dyDescent="0.3">
      <c r="A23435" s="12"/>
    </row>
    <row r="23436" spans="1:1" x14ac:dyDescent="0.3">
      <c r="A23436" s="12"/>
    </row>
    <row r="23437" spans="1:1" x14ac:dyDescent="0.3">
      <c r="A23437" s="12"/>
    </row>
    <row r="23438" spans="1:1" x14ac:dyDescent="0.3">
      <c r="A23438" s="12"/>
    </row>
    <row r="23439" spans="1:1" x14ac:dyDescent="0.3">
      <c r="A23439" s="12"/>
    </row>
    <row r="23440" spans="1:1" x14ac:dyDescent="0.3">
      <c r="A23440" s="12"/>
    </row>
    <row r="23441" spans="1:1" x14ac:dyDescent="0.3">
      <c r="A23441" s="12"/>
    </row>
    <row r="23442" spans="1:1" x14ac:dyDescent="0.3">
      <c r="A23442" s="12"/>
    </row>
    <row r="23443" spans="1:1" x14ac:dyDescent="0.3">
      <c r="A23443" s="12"/>
    </row>
    <row r="23444" spans="1:1" x14ac:dyDescent="0.3">
      <c r="A23444" s="12"/>
    </row>
    <row r="23445" spans="1:1" x14ac:dyDescent="0.3">
      <c r="A23445" s="12"/>
    </row>
    <row r="23446" spans="1:1" x14ac:dyDescent="0.3">
      <c r="A23446" s="12"/>
    </row>
    <row r="23447" spans="1:1" x14ac:dyDescent="0.3">
      <c r="A23447" s="12"/>
    </row>
    <row r="23448" spans="1:1" x14ac:dyDescent="0.3">
      <c r="A23448" s="12"/>
    </row>
    <row r="23449" spans="1:1" x14ac:dyDescent="0.3">
      <c r="A23449" s="12"/>
    </row>
    <row r="23450" spans="1:1" x14ac:dyDescent="0.3">
      <c r="A23450" s="12"/>
    </row>
    <row r="23451" spans="1:1" x14ac:dyDescent="0.3">
      <c r="A23451" s="12"/>
    </row>
    <row r="23452" spans="1:1" x14ac:dyDescent="0.3">
      <c r="A23452" s="12"/>
    </row>
    <row r="23453" spans="1:1" x14ac:dyDescent="0.3">
      <c r="A23453" s="12"/>
    </row>
    <row r="23454" spans="1:1" x14ac:dyDescent="0.3">
      <c r="A23454" s="12"/>
    </row>
    <row r="23455" spans="1:1" x14ac:dyDescent="0.3">
      <c r="A23455" s="12"/>
    </row>
    <row r="23456" spans="1:1" x14ac:dyDescent="0.3">
      <c r="A23456" s="12"/>
    </row>
    <row r="23457" spans="1:1" x14ac:dyDescent="0.3">
      <c r="A23457" s="12"/>
    </row>
    <row r="23458" spans="1:1" x14ac:dyDescent="0.3">
      <c r="A23458" s="12"/>
    </row>
    <row r="23459" spans="1:1" x14ac:dyDescent="0.3">
      <c r="A23459" s="12"/>
    </row>
    <row r="23460" spans="1:1" x14ac:dyDescent="0.3">
      <c r="A23460" s="12"/>
    </row>
    <row r="23461" spans="1:1" x14ac:dyDescent="0.3">
      <c r="A23461" s="12"/>
    </row>
    <row r="23462" spans="1:1" x14ac:dyDescent="0.3">
      <c r="A23462" s="12"/>
    </row>
    <row r="23463" spans="1:1" x14ac:dyDescent="0.3">
      <c r="A23463" s="12"/>
    </row>
    <row r="23464" spans="1:1" x14ac:dyDescent="0.3">
      <c r="A23464" s="12"/>
    </row>
    <row r="23465" spans="1:1" x14ac:dyDescent="0.3">
      <c r="A23465" s="12"/>
    </row>
    <row r="23466" spans="1:1" x14ac:dyDescent="0.3">
      <c r="A23466" s="12"/>
    </row>
    <row r="23467" spans="1:1" x14ac:dyDescent="0.3">
      <c r="A23467" s="12"/>
    </row>
    <row r="23468" spans="1:1" x14ac:dyDescent="0.3">
      <c r="A23468" s="12"/>
    </row>
    <row r="23469" spans="1:1" x14ac:dyDescent="0.3">
      <c r="A23469" s="12"/>
    </row>
    <row r="23470" spans="1:1" x14ac:dyDescent="0.3">
      <c r="A23470" s="12"/>
    </row>
    <row r="23471" spans="1:1" x14ac:dyDescent="0.3">
      <c r="A23471" s="12"/>
    </row>
    <row r="23472" spans="1:1" x14ac:dyDescent="0.3">
      <c r="A23472" s="12"/>
    </row>
    <row r="23473" spans="1:1" x14ac:dyDescent="0.3">
      <c r="A23473" s="12"/>
    </row>
    <row r="23474" spans="1:1" x14ac:dyDescent="0.3">
      <c r="A23474" s="12"/>
    </row>
    <row r="23475" spans="1:1" x14ac:dyDescent="0.3">
      <c r="A23475" s="12"/>
    </row>
    <row r="23476" spans="1:1" x14ac:dyDescent="0.3">
      <c r="A23476" s="12"/>
    </row>
    <row r="23477" spans="1:1" x14ac:dyDescent="0.3">
      <c r="A23477" s="12"/>
    </row>
    <row r="23478" spans="1:1" x14ac:dyDescent="0.3">
      <c r="A23478" s="12"/>
    </row>
    <row r="23479" spans="1:1" x14ac:dyDescent="0.3">
      <c r="A23479" s="12"/>
    </row>
    <row r="23480" spans="1:1" x14ac:dyDescent="0.3">
      <c r="A23480" s="12"/>
    </row>
    <row r="23481" spans="1:1" x14ac:dyDescent="0.3">
      <c r="A23481" s="12"/>
    </row>
    <row r="23482" spans="1:1" x14ac:dyDescent="0.3">
      <c r="A23482" s="12"/>
    </row>
    <row r="23483" spans="1:1" x14ac:dyDescent="0.3">
      <c r="A23483" s="12"/>
    </row>
    <row r="23484" spans="1:1" x14ac:dyDescent="0.3">
      <c r="A23484" s="12"/>
    </row>
    <row r="23485" spans="1:1" x14ac:dyDescent="0.3">
      <c r="A23485" s="12"/>
    </row>
    <row r="23486" spans="1:1" x14ac:dyDescent="0.3">
      <c r="A23486" s="12"/>
    </row>
    <row r="23487" spans="1:1" x14ac:dyDescent="0.3">
      <c r="A23487" s="12"/>
    </row>
    <row r="23488" spans="1:1" x14ac:dyDescent="0.3">
      <c r="A23488" s="12"/>
    </row>
    <row r="23489" spans="1:1" x14ac:dyDescent="0.3">
      <c r="A23489" s="12"/>
    </row>
    <row r="23490" spans="1:1" x14ac:dyDescent="0.3">
      <c r="A23490" s="12"/>
    </row>
    <row r="23491" spans="1:1" x14ac:dyDescent="0.3">
      <c r="A23491" s="12"/>
    </row>
    <row r="23492" spans="1:1" x14ac:dyDescent="0.3">
      <c r="A23492" s="12"/>
    </row>
    <row r="23493" spans="1:1" x14ac:dyDescent="0.3">
      <c r="A23493" s="12"/>
    </row>
    <row r="23494" spans="1:1" x14ac:dyDescent="0.3">
      <c r="A23494" s="12"/>
    </row>
    <row r="23495" spans="1:1" x14ac:dyDescent="0.3">
      <c r="A23495" s="12"/>
    </row>
    <row r="23496" spans="1:1" x14ac:dyDescent="0.3">
      <c r="A23496" s="12"/>
    </row>
    <row r="23497" spans="1:1" x14ac:dyDescent="0.3">
      <c r="A23497" s="12"/>
    </row>
    <row r="23498" spans="1:1" x14ac:dyDescent="0.3">
      <c r="A23498" s="12"/>
    </row>
    <row r="23499" spans="1:1" x14ac:dyDescent="0.3">
      <c r="A23499" s="12"/>
    </row>
    <row r="23500" spans="1:1" x14ac:dyDescent="0.3">
      <c r="A23500" s="12"/>
    </row>
    <row r="23501" spans="1:1" x14ac:dyDescent="0.3">
      <c r="A23501" s="12"/>
    </row>
    <row r="23502" spans="1:1" x14ac:dyDescent="0.3">
      <c r="A23502" s="12"/>
    </row>
    <row r="23503" spans="1:1" x14ac:dyDescent="0.3">
      <c r="A23503" s="12"/>
    </row>
    <row r="23504" spans="1:1" x14ac:dyDescent="0.3">
      <c r="A23504" s="12"/>
    </row>
    <row r="23505" spans="1:1" x14ac:dyDescent="0.3">
      <c r="A23505" s="12"/>
    </row>
    <row r="23506" spans="1:1" x14ac:dyDescent="0.3">
      <c r="A23506" s="12"/>
    </row>
    <row r="23507" spans="1:1" x14ac:dyDescent="0.3">
      <c r="A23507" s="12"/>
    </row>
    <row r="23508" spans="1:1" x14ac:dyDescent="0.3">
      <c r="A23508" s="12"/>
    </row>
    <row r="23509" spans="1:1" x14ac:dyDescent="0.3">
      <c r="A23509" s="12"/>
    </row>
    <row r="23510" spans="1:1" x14ac:dyDescent="0.3">
      <c r="A23510" s="12"/>
    </row>
    <row r="23511" spans="1:1" x14ac:dyDescent="0.3">
      <c r="A23511" s="12"/>
    </row>
    <row r="23512" spans="1:1" x14ac:dyDescent="0.3">
      <c r="A23512" s="12"/>
    </row>
    <row r="23513" spans="1:1" x14ac:dyDescent="0.3">
      <c r="A23513" s="12"/>
    </row>
    <row r="23514" spans="1:1" x14ac:dyDescent="0.3">
      <c r="A23514" s="12"/>
    </row>
    <row r="23515" spans="1:1" x14ac:dyDescent="0.3">
      <c r="A23515" s="12"/>
    </row>
    <row r="23516" spans="1:1" x14ac:dyDescent="0.3">
      <c r="A23516" s="12"/>
    </row>
    <row r="23517" spans="1:1" x14ac:dyDescent="0.3">
      <c r="A23517" s="12"/>
    </row>
    <row r="23518" spans="1:1" x14ac:dyDescent="0.3">
      <c r="A23518" s="12"/>
    </row>
    <row r="23519" spans="1:1" x14ac:dyDescent="0.3">
      <c r="A23519" s="12"/>
    </row>
    <row r="23520" spans="1:1" x14ac:dyDescent="0.3">
      <c r="A23520" s="12"/>
    </row>
    <row r="23521" spans="1:1" x14ac:dyDescent="0.3">
      <c r="A23521" s="12"/>
    </row>
    <row r="23522" spans="1:1" x14ac:dyDescent="0.3">
      <c r="A23522" s="12"/>
    </row>
    <row r="23523" spans="1:1" x14ac:dyDescent="0.3">
      <c r="A23523" s="12"/>
    </row>
    <row r="23524" spans="1:1" x14ac:dyDescent="0.3">
      <c r="A23524" s="12"/>
    </row>
    <row r="23525" spans="1:1" x14ac:dyDescent="0.3">
      <c r="A23525" s="12"/>
    </row>
    <row r="23526" spans="1:1" x14ac:dyDescent="0.3">
      <c r="A23526" s="12"/>
    </row>
    <row r="23527" spans="1:1" x14ac:dyDescent="0.3">
      <c r="A23527" s="12"/>
    </row>
    <row r="23528" spans="1:1" x14ac:dyDescent="0.3">
      <c r="A23528" s="12"/>
    </row>
    <row r="23529" spans="1:1" x14ac:dyDescent="0.3">
      <c r="A23529" s="12"/>
    </row>
    <row r="23530" spans="1:1" x14ac:dyDescent="0.3">
      <c r="A23530" s="12"/>
    </row>
    <row r="23531" spans="1:1" x14ac:dyDescent="0.3">
      <c r="A23531" s="12"/>
    </row>
    <row r="23532" spans="1:1" x14ac:dyDescent="0.3">
      <c r="A23532" s="12"/>
    </row>
    <row r="23533" spans="1:1" x14ac:dyDescent="0.3">
      <c r="A23533" s="12"/>
    </row>
    <row r="23534" spans="1:1" x14ac:dyDescent="0.3">
      <c r="A23534" s="12"/>
    </row>
    <row r="23535" spans="1:1" x14ac:dyDescent="0.3">
      <c r="A23535" s="12"/>
    </row>
    <row r="23536" spans="1:1" x14ac:dyDescent="0.3">
      <c r="A23536" s="12"/>
    </row>
    <row r="23537" spans="1:1" x14ac:dyDescent="0.3">
      <c r="A23537" s="12"/>
    </row>
    <row r="23538" spans="1:1" x14ac:dyDescent="0.3">
      <c r="A23538" s="12"/>
    </row>
    <row r="23539" spans="1:1" x14ac:dyDescent="0.3">
      <c r="A23539" s="12"/>
    </row>
    <row r="23540" spans="1:1" x14ac:dyDescent="0.3">
      <c r="A23540" s="12"/>
    </row>
    <row r="23541" spans="1:1" x14ac:dyDescent="0.3">
      <c r="A23541" s="12"/>
    </row>
    <row r="23542" spans="1:1" x14ac:dyDescent="0.3">
      <c r="A23542" s="12"/>
    </row>
    <row r="23543" spans="1:1" x14ac:dyDescent="0.3">
      <c r="A23543" s="12"/>
    </row>
    <row r="23544" spans="1:1" x14ac:dyDescent="0.3">
      <c r="A23544" s="12"/>
    </row>
    <row r="23545" spans="1:1" x14ac:dyDescent="0.3">
      <c r="A23545" s="12"/>
    </row>
    <row r="23546" spans="1:1" x14ac:dyDescent="0.3">
      <c r="A23546" s="12"/>
    </row>
    <row r="23547" spans="1:1" x14ac:dyDescent="0.3">
      <c r="A23547" s="12"/>
    </row>
    <row r="23548" spans="1:1" x14ac:dyDescent="0.3">
      <c r="A23548" s="12"/>
    </row>
    <row r="23549" spans="1:1" x14ac:dyDescent="0.3">
      <c r="A23549" s="12"/>
    </row>
    <row r="23550" spans="1:1" x14ac:dyDescent="0.3">
      <c r="A23550" s="12"/>
    </row>
    <row r="23551" spans="1:1" x14ac:dyDescent="0.3">
      <c r="A23551" s="12"/>
    </row>
    <row r="23552" spans="1:1" x14ac:dyDescent="0.3">
      <c r="A23552" s="12"/>
    </row>
    <row r="23553" spans="1:1" x14ac:dyDescent="0.3">
      <c r="A23553" s="12"/>
    </row>
    <row r="23554" spans="1:1" x14ac:dyDescent="0.3">
      <c r="A23554" s="12"/>
    </row>
    <row r="23555" spans="1:1" x14ac:dyDescent="0.3">
      <c r="A23555" s="12"/>
    </row>
    <row r="23556" spans="1:1" x14ac:dyDescent="0.3">
      <c r="A23556" s="12"/>
    </row>
    <row r="23557" spans="1:1" x14ac:dyDescent="0.3">
      <c r="A23557" s="12"/>
    </row>
    <row r="23558" spans="1:1" x14ac:dyDescent="0.3">
      <c r="A23558" s="12"/>
    </row>
    <row r="23559" spans="1:1" x14ac:dyDescent="0.3">
      <c r="A23559" s="12"/>
    </row>
    <row r="23560" spans="1:1" x14ac:dyDescent="0.3">
      <c r="A23560" s="12"/>
    </row>
    <row r="23561" spans="1:1" x14ac:dyDescent="0.3">
      <c r="A23561" s="12"/>
    </row>
    <row r="23562" spans="1:1" x14ac:dyDescent="0.3">
      <c r="A23562" s="12"/>
    </row>
    <row r="23563" spans="1:1" x14ac:dyDescent="0.3">
      <c r="A23563" s="12"/>
    </row>
    <row r="23564" spans="1:1" x14ac:dyDescent="0.3">
      <c r="A23564" s="12"/>
    </row>
    <row r="23565" spans="1:1" x14ac:dyDescent="0.3">
      <c r="A23565" s="12"/>
    </row>
    <row r="23566" spans="1:1" x14ac:dyDescent="0.3">
      <c r="A23566" s="12"/>
    </row>
    <row r="23567" spans="1:1" x14ac:dyDescent="0.3">
      <c r="A23567" s="12"/>
    </row>
    <row r="23568" spans="1:1" x14ac:dyDescent="0.3">
      <c r="A23568" s="12"/>
    </row>
    <row r="23569" spans="1:1" x14ac:dyDescent="0.3">
      <c r="A23569" s="12"/>
    </row>
    <row r="23570" spans="1:1" x14ac:dyDescent="0.3">
      <c r="A23570" s="12"/>
    </row>
    <row r="23571" spans="1:1" x14ac:dyDescent="0.3">
      <c r="A23571" s="12"/>
    </row>
    <row r="23572" spans="1:1" x14ac:dyDescent="0.3">
      <c r="A23572" s="12"/>
    </row>
    <row r="23573" spans="1:1" x14ac:dyDescent="0.3">
      <c r="A23573" s="12"/>
    </row>
    <row r="23574" spans="1:1" x14ac:dyDescent="0.3">
      <c r="A23574" s="12"/>
    </row>
    <row r="23575" spans="1:1" x14ac:dyDescent="0.3">
      <c r="A23575" s="12"/>
    </row>
    <row r="23576" spans="1:1" x14ac:dyDescent="0.3">
      <c r="A23576" s="12"/>
    </row>
    <row r="23577" spans="1:1" x14ac:dyDescent="0.3">
      <c r="A23577" s="12"/>
    </row>
    <row r="23578" spans="1:1" x14ac:dyDescent="0.3">
      <c r="A23578" s="12"/>
    </row>
    <row r="23579" spans="1:1" x14ac:dyDescent="0.3">
      <c r="A23579" s="12"/>
    </row>
    <row r="23580" spans="1:1" x14ac:dyDescent="0.3">
      <c r="A23580" s="12"/>
    </row>
    <row r="23581" spans="1:1" x14ac:dyDescent="0.3">
      <c r="A23581" s="12"/>
    </row>
    <row r="23582" spans="1:1" x14ac:dyDescent="0.3">
      <c r="A23582" s="12"/>
    </row>
    <row r="23583" spans="1:1" x14ac:dyDescent="0.3">
      <c r="A23583" s="12"/>
    </row>
    <row r="23584" spans="1:1" x14ac:dyDescent="0.3">
      <c r="A23584" s="12"/>
    </row>
    <row r="23585" spans="1:1" x14ac:dyDescent="0.3">
      <c r="A23585" s="12"/>
    </row>
    <row r="23586" spans="1:1" x14ac:dyDescent="0.3">
      <c r="A23586" s="12"/>
    </row>
    <row r="23587" spans="1:1" x14ac:dyDescent="0.3">
      <c r="A23587" s="12"/>
    </row>
    <row r="23588" spans="1:1" x14ac:dyDescent="0.3">
      <c r="A23588" s="12"/>
    </row>
    <row r="23589" spans="1:1" x14ac:dyDescent="0.3">
      <c r="A23589" s="12"/>
    </row>
    <row r="23590" spans="1:1" x14ac:dyDescent="0.3">
      <c r="A23590" s="12"/>
    </row>
    <row r="23591" spans="1:1" x14ac:dyDescent="0.3">
      <c r="A23591" s="12"/>
    </row>
    <row r="23592" spans="1:1" x14ac:dyDescent="0.3">
      <c r="A23592" s="12"/>
    </row>
    <row r="23593" spans="1:1" x14ac:dyDescent="0.3">
      <c r="A23593" s="12"/>
    </row>
    <row r="23594" spans="1:1" x14ac:dyDescent="0.3">
      <c r="A23594" s="12"/>
    </row>
    <row r="23595" spans="1:1" x14ac:dyDescent="0.3">
      <c r="A23595" s="12"/>
    </row>
    <row r="23596" spans="1:1" x14ac:dyDescent="0.3">
      <c r="A23596" s="12"/>
    </row>
    <row r="23597" spans="1:1" x14ac:dyDescent="0.3">
      <c r="A23597" s="12"/>
    </row>
    <row r="23598" spans="1:1" x14ac:dyDescent="0.3">
      <c r="A23598" s="12"/>
    </row>
    <row r="23599" spans="1:1" x14ac:dyDescent="0.3">
      <c r="A23599" s="12"/>
    </row>
    <row r="23600" spans="1:1" x14ac:dyDescent="0.3">
      <c r="A23600" s="12"/>
    </row>
    <row r="23601" spans="1:1" x14ac:dyDescent="0.3">
      <c r="A23601" s="12"/>
    </row>
    <row r="23602" spans="1:1" x14ac:dyDescent="0.3">
      <c r="A23602" s="12"/>
    </row>
    <row r="23603" spans="1:1" x14ac:dyDescent="0.3">
      <c r="A23603" s="12"/>
    </row>
    <row r="23604" spans="1:1" x14ac:dyDescent="0.3">
      <c r="A23604" s="12"/>
    </row>
    <row r="23605" spans="1:1" x14ac:dyDescent="0.3">
      <c r="A23605" s="12"/>
    </row>
    <row r="23606" spans="1:1" x14ac:dyDescent="0.3">
      <c r="A23606" s="12"/>
    </row>
    <row r="23607" spans="1:1" x14ac:dyDescent="0.3">
      <c r="A23607" s="12"/>
    </row>
    <row r="23608" spans="1:1" x14ac:dyDescent="0.3">
      <c r="A23608" s="12"/>
    </row>
    <row r="23609" spans="1:1" x14ac:dyDescent="0.3">
      <c r="A23609" s="12"/>
    </row>
    <row r="23610" spans="1:1" x14ac:dyDescent="0.3">
      <c r="A23610" s="12"/>
    </row>
    <row r="23611" spans="1:1" x14ac:dyDescent="0.3">
      <c r="A23611" s="12"/>
    </row>
    <row r="23612" spans="1:1" x14ac:dyDescent="0.3">
      <c r="A23612" s="12"/>
    </row>
    <row r="23613" spans="1:1" x14ac:dyDescent="0.3">
      <c r="A23613" s="12"/>
    </row>
    <row r="23614" spans="1:1" x14ac:dyDescent="0.3">
      <c r="A23614" s="12"/>
    </row>
    <row r="23615" spans="1:1" x14ac:dyDescent="0.3">
      <c r="A23615" s="12"/>
    </row>
    <row r="23616" spans="1:1" x14ac:dyDescent="0.3">
      <c r="A23616" s="12"/>
    </row>
    <row r="23617" spans="1:1" x14ac:dyDescent="0.3">
      <c r="A23617" s="12"/>
    </row>
    <row r="23618" spans="1:1" x14ac:dyDescent="0.3">
      <c r="A23618" s="12"/>
    </row>
    <row r="23619" spans="1:1" x14ac:dyDescent="0.3">
      <c r="A23619" s="12"/>
    </row>
    <row r="23620" spans="1:1" x14ac:dyDescent="0.3">
      <c r="A23620" s="12"/>
    </row>
    <row r="23621" spans="1:1" x14ac:dyDescent="0.3">
      <c r="A23621" s="12"/>
    </row>
    <row r="23622" spans="1:1" x14ac:dyDescent="0.3">
      <c r="A23622" s="12"/>
    </row>
    <row r="23623" spans="1:1" x14ac:dyDescent="0.3">
      <c r="A23623" s="12"/>
    </row>
    <row r="23624" spans="1:1" x14ac:dyDescent="0.3">
      <c r="A23624" s="12"/>
    </row>
    <row r="23625" spans="1:1" x14ac:dyDescent="0.3">
      <c r="A23625" s="12"/>
    </row>
    <row r="23626" spans="1:1" x14ac:dyDescent="0.3">
      <c r="A23626" s="12"/>
    </row>
    <row r="23627" spans="1:1" x14ac:dyDescent="0.3">
      <c r="A23627" s="12"/>
    </row>
    <row r="23628" spans="1:1" x14ac:dyDescent="0.3">
      <c r="A23628" s="12"/>
    </row>
    <row r="23629" spans="1:1" x14ac:dyDescent="0.3">
      <c r="A23629" s="12"/>
    </row>
    <row r="23630" spans="1:1" x14ac:dyDescent="0.3">
      <c r="A23630" s="12"/>
    </row>
    <row r="23631" spans="1:1" x14ac:dyDescent="0.3">
      <c r="A23631" s="12"/>
    </row>
    <row r="23632" spans="1:1" x14ac:dyDescent="0.3">
      <c r="A23632" s="12"/>
    </row>
    <row r="23633" spans="1:1" x14ac:dyDescent="0.3">
      <c r="A23633" s="12"/>
    </row>
    <row r="23634" spans="1:1" x14ac:dyDescent="0.3">
      <c r="A23634" s="12"/>
    </row>
    <row r="23635" spans="1:1" x14ac:dyDescent="0.3">
      <c r="A23635" s="12"/>
    </row>
    <row r="23636" spans="1:1" x14ac:dyDescent="0.3">
      <c r="A23636" s="12"/>
    </row>
    <row r="23637" spans="1:1" x14ac:dyDescent="0.3">
      <c r="A23637" s="12"/>
    </row>
    <row r="23638" spans="1:1" x14ac:dyDescent="0.3">
      <c r="A23638" s="12"/>
    </row>
    <row r="23639" spans="1:1" x14ac:dyDescent="0.3">
      <c r="A23639" s="12"/>
    </row>
    <row r="23640" spans="1:1" x14ac:dyDescent="0.3">
      <c r="A23640" s="12"/>
    </row>
    <row r="23641" spans="1:1" x14ac:dyDescent="0.3">
      <c r="A23641" s="12"/>
    </row>
    <row r="23642" spans="1:1" x14ac:dyDescent="0.3">
      <c r="A23642" s="12"/>
    </row>
    <row r="23643" spans="1:1" x14ac:dyDescent="0.3">
      <c r="A23643" s="12"/>
    </row>
    <row r="23644" spans="1:1" x14ac:dyDescent="0.3">
      <c r="A23644" s="12"/>
    </row>
    <row r="23645" spans="1:1" x14ac:dyDescent="0.3">
      <c r="A23645" s="12"/>
    </row>
    <row r="23646" spans="1:1" x14ac:dyDescent="0.3">
      <c r="A23646" s="12"/>
    </row>
    <row r="23647" spans="1:1" x14ac:dyDescent="0.3">
      <c r="A23647" s="12"/>
    </row>
    <row r="23648" spans="1:1" x14ac:dyDescent="0.3">
      <c r="A23648" s="12"/>
    </row>
    <row r="23649" spans="1:1" x14ac:dyDescent="0.3">
      <c r="A23649" s="12"/>
    </row>
    <row r="23650" spans="1:1" x14ac:dyDescent="0.3">
      <c r="A23650" s="12"/>
    </row>
    <row r="23651" spans="1:1" x14ac:dyDescent="0.3">
      <c r="A23651" s="12"/>
    </row>
    <row r="23652" spans="1:1" x14ac:dyDescent="0.3">
      <c r="A23652" s="12"/>
    </row>
    <row r="23653" spans="1:1" x14ac:dyDescent="0.3">
      <c r="A23653" s="12"/>
    </row>
    <row r="23654" spans="1:1" x14ac:dyDescent="0.3">
      <c r="A23654" s="12"/>
    </row>
    <row r="23655" spans="1:1" x14ac:dyDescent="0.3">
      <c r="A23655" s="12"/>
    </row>
    <row r="23656" spans="1:1" x14ac:dyDescent="0.3">
      <c r="A23656" s="12"/>
    </row>
    <row r="23657" spans="1:1" x14ac:dyDescent="0.3">
      <c r="A23657" s="12"/>
    </row>
    <row r="23658" spans="1:1" x14ac:dyDescent="0.3">
      <c r="A23658" s="12"/>
    </row>
    <row r="23659" spans="1:1" x14ac:dyDescent="0.3">
      <c r="A23659" s="12"/>
    </row>
    <row r="23660" spans="1:1" x14ac:dyDescent="0.3">
      <c r="A23660" s="12"/>
    </row>
    <row r="23661" spans="1:1" x14ac:dyDescent="0.3">
      <c r="A23661" s="12"/>
    </row>
    <row r="23662" spans="1:1" x14ac:dyDescent="0.3">
      <c r="A23662" s="12"/>
    </row>
    <row r="23663" spans="1:1" x14ac:dyDescent="0.3">
      <c r="A23663" s="12"/>
    </row>
    <row r="23664" spans="1:1" x14ac:dyDescent="0.3">
      <c r="A23664" s="12"/>
    </row>
    <row r="23665" spans="1:1" x14ac:dyDescent="0.3">
      <c r="A23665" s="12"/>
    </row>
    <row r="23666" spans="1:1" x14ac:dyDescent="0.3">
      <c r="A23666" s="12"/>
    </row>
    <row r="23667" spans="1:1" x14ac:dyDescent="0.3">
      <c r="A23667" s="12"/>
    </row>
    <row r="23668" spans="1:1" x14ac:dyDescent="0.3">
      <c r="A23668" s="12"/>
    </row>
    <row r="23669" spans="1:1" x14ac:dyDescent="0.3">
      <c r="A23669" s="12"/>
    </row>
    <row r="23670" spans="1:1" x14ac:dyDescent="0.3">
      <c r="A23670" s="12"/>
    </row>
    <row r="23671" spans="1:1" x14ac:dyDescent="0.3">
      <c r="A23671" s="12"/>
    </row>
    <row r="23672" spans="1:1" x14ac:dyDescent="0.3">
      <c r="A23672" s="12"/>
    </row>
    <row r="23673" spans="1:1" x14ac:dyDescent="0.3">
      <c r="A23673" s="12"/>
    </row>
    <row r="23674" spans="1:1" x14ac:dyDescent="0.3">
      <c r="A23674" s="12"/>
    </row>
    <row r="23675" spans="1:1" x14ac:dyDescent="0.3">
      <c r="A23675" s="12"/>
    </row>
    <row r="23676" spans="1:1" x14ac:dyDescent="0.3">
      <c r="A23676" s="12"/>
    </row>
    <row r="23677" spans="1:1" x14ac:dyDescent="0.3">
      <c r="A23677" s="12"/>
    </row>
    <row r="23678" spans="1:1" x14ac:dyDescent="0.3">
      <c r="A23678" s="12"/>
    </row>
    <row r="23679" spans="1:1" x14ac:dyDescent="0.3">
      <c r="A23679" s="12"/>
    </row>
    <row r="23680" spans="1:1" x14ac:dyDescent="0.3">
      <c r="A23680" s="12"/>
    </row>
    <row r="23681" spans="1:1" x14ac:dyDescent="0.3">
      <c r="A23681" s="12"/>
    </row>
    <row r="23682" spans="1:1" x14ac:dyDescent="0.3">
      <c r="A23682" s="12"/>
    </row>
    <row r="23683" spans="1:1" x14ac:dyDescent="0.3">
      <c r="A23683" s="12"/>
    </row>
    <row r="23684" spans="1:1" x14ac:dyDescent="0.3">
      <c r="A23684" s="12"/>
    </row>
    <row r="23685" spans="1:1" x14ac:dyDescent="0.3">
      <c r="A23685" s="12"/>
    </row>
    <row r="23686" spans="1:1" x14ac:dyDescent="0.3">
      <c r="A23686" s="12"/>
    </row>
    <row r="23687" spans="1:1" x14ac:dyDescent="0.3">
      <c r="A23687" s="12"/>
    </row>
    <row r="23688" spans="1:1" x14ac:dyDescent="0.3">
      <c r="A23688" s="12"/>
    </row>
    <row r="23689" spans="1:1" x14ac:dyDescent="0.3">
      <c r="A23689" s="12"/>
    </row>
    <row r="23690" spans="1:1" x14ac:dyDescent="0.3">
      <c r="A23690" s="12"/>
    </row>
    <row r="23691" spans="1:1" x14ac:dyDescent="0.3">
      <c r="A23691" s="12"/>
    </row>
    <row r="23692" spans="1:1" x14ac:dyDescent="0.3">
      <c r="A23692" s="12"/>
    </row>
    <row r="23693" spans="1:1" x14ac:dyDescent="0.3">
      <c r="A23693" s="12"/>
    </row>
    <row r="23694" spans="1:1" x14ac:dyDescent="0.3">
      <c r="A23694" s="12"/>
    </row>
    <row r="23695" spans="1:1" x14ac:dyDescent="0.3">
      <c r="A23695" s="12"/>
    </row>
    <row r="23696" spans="1:1" x14ac:dyDescent="0.3">
      <c r="A23696" s="12"/>
    </row>
    <row r="23697" spans="1:1" x14ac:dyDescent="0.3">
      <c r="A23697" s="12"/>
    </row>
    <row r="23698" spans="1:1" x14ac:dyDescent="0.3">
      <c r="A23698" s="12"/>
    </row>
    <row r="23699" spans="1:1" x14ac:dyDescent="0.3">
      <c r="A23699" s="12"/>
    </row>
    <row r="23700" spans="1:1" x14ac:dyDescent="0.3">
      <c r="A23700" s="12"/>
    </row>
    <row r="23701" spans="1:1" x14ac:dyDescent="0.3">
      <c r="A23701" s="12"/>
    </row>
    <row r="23702" spans="1:1" x14ac:dyDescent="0.3">
      <c r="A23702" s="12"/>
    </row>
    <row r="23703" spans="1:1" x14ac:dyDescent="0.3">
      <c r="A23703" s="12"/>
    </row>
    <row r="23704" spans="1:1" x14ac:dyDescent="0.3">
      <c r="A23704" s="12"/>
    </row>
    <row r="23705" spans="1:1" x14ac:dyDescent="0.3">
      <c r="A23705" s="12"/>
    </row>
    <row r="23706" spans="1:1" x14ac:dyDescent="0.3">
      <c r="A23706" s="12"/>
    </row>
    <row r="23707" spans="1:1" x14ac:dyDescent="0.3">
      <c r="A23707" s="12"/>
    </row>
    <row r="23708" spans="1:1" x14ac:dyDescent="0.3">
      <c r="A23708" s="12"/>
    </row>
    <row r="23709" spans="1:1" x14ac:dyDescent="0.3">
      <c r="A23709" s="12"/>
    </row>
    <row r="23710" spans="1:1" x14ac:dyDescent="0.3">
      <c r="A23710" s="12"/>
    </row>
    <row r="23711" spans="1:1" x14ac:dyDescent="0.3">
      <c r="A23711" s="12"/>
    </row>
    <row r="23712" spans="1:1" x14ac:dyDescent="0.3">
      <c r="A23712" s="12"/>
    </row>
    <row r="23713" spans="1:1" x14ac:dyDescent="0.3">
      <c r="A23713" s="12"/>
    </row>
    <row r="23714" spans="1:1" x14ac:dyDescent="0.3">
      <c r="A23714" s="12"/>
    </row>
    <row r="23715" spans="1:1" x14ac:dyDescent="0.3">
      <c r="A23715" s="12"/>
    </row>
    <row r="23716" spans="1:1" x14ac:dyDescent="0.3">
      <c r="A23716" s="12"/>
    </row>
    <row r="23717" spans="1:1" x14ac:dyDescent="0.3">
      <c r="A23717" s="12"/>
    </row>
    <row r="23718" spans="1:1" x14ac:dyDescent="0.3">
      <c r="A23718" s="12"/>
    </row>
    <row r="23719" spans="1:1" x14ac:dyDescent="0.3">
      <c r="A23719" s="12"/>
    </row>
    <row r="23720" spans="1:1" x14ac:dyDescent="0.3">
      <c r="A23720" s="12"/>
    </row>
    <row r="23721" spans="1:1" x14ac:dyDescent="0.3">
      <c r="A23721" s="12"/>
    </row>
    <row r="23722" spans="1:1" x14ac:dyDescent="0.3">
      <c r="A23722" s="12"/>
    </row>
    <row r="23723" spans="1:1" x14ac:dyDescent="0.3">
      <c r="A23723" s="12"/>
    </row>
    <row r="23724" spans="1:1" x14ac:dyDescent="0.3">
      <c r="A23724" s="12"/>
    </row>
    <row r="23725" spans="1:1" x14ac:dyDescent="0.3">
      <c r="A23725" s="12"/>
    </row>
    <row r="23726" spans="1:1" x14ac:dyDescent="0.3">
      <c r="A23726" s="12"/>
    </row>
    <row r="23727" spans="1:1" x14ac:dyDescent="0.3">
      <c r="A23727" s="12"/>
    </row>
    <row r="23728" spans="1:1" x14ac:dyDescent="0.3">
      <c r="A23728" s="12"/>
    </row>
    <row r="23729" spans="1:1" x14ac:dyDescent="0.3">
      <c r="A23729" s="12"/>
    </row>
    <row r="23730" spans="1:1" x14ac:dyDescent="0.3">
      <c r="A23730" s="12"/>
    </row>
    <row r="23731" spans="1:1" x14ac:dyDescent="0.3">
      <c r="A23731" s="12"/>
    </row>
    <row r="23732" spans="1:1" x14ac:dyDescent="0.3">
      <c r="A23732" s="12"/>
    </row>
    <row r="23733" spans="1:1" x14ac:dyDescent="0.3">
      <c r="A23733" s="12"/>
    </row>
    <row r="23734" spans="1:1" x14ac:dyDescent="0.3">
      <c r="A23734" s="12"/>
    </row>
    <row r="23735" spans="1:1" x14ac:dyDescent="0.3">
      <c r="A23735" s="12"/>
    </row>
    <row r="23736" spans="1:1" x14ac:dyDescent="0.3">
      <c r="A23736" s="12"/>
    </row>
    <row r="23737" spans="1:1" x14ac:dyDescent="0.3">
      <c r="A23737" s="12"/>
    </row>
    <row r="23738" spans="1:1" x14ac:dyDescent="0.3">
      <c r="A23738" s="12"/>
    </row>
    <row r="23739" spans="1:1" x14ac:dyDescent="0.3">
      <c r="A23739" s="12"/>
    </row>
    <row r="23740" spans="1:1" x14ac:dyDescent="0.3">
      <c r="A23740" s="12"/>
    </row>
    <row r="23741" spans="1:1" x14ac:dyDescent="0.3">
      <c r="A23741" s="12"/>
    </row>
    <row r="23742" spans="1:1" x14ac:dyDescent="0.3">
      <c r="A23742" s="12"/>
    </row>
    <row r="23743" spans="1:1" x14ac:dyDescent="0.3">
      <c r="A23743" s="12"/>
    </row>
    <row r="23744" spans="1:1" x14ac:dyDescent="0.3">
      <c r="A23744" s="12"/>
    </row>
    <row r="23745" spans="1:1" x14ac:dyDescent="0.3">
      <c r="A23745" s="12"/>
    </row>
    <row r="23746" spans="1:1" x14ac:dyDescent="0.3">
      <c r="A23746" s="12"/>
    </row>
    <row r="23747" spans="1:1" x14ac:dyDescent="0.3">
      <c r="A23747" s="12"/>
    </row>
    <row r="23748" spans="1:1" x14ac:dyDescent="0.3">
      <c r="A23748" s="12"/>
    </row>
    <row r="23749" spans="1:1" x14ac:dyDescent="0.3">
      <c r="A23749" s="12"/>
    </row>
    <row r="23750" spans="1:1" x14ac:dyDescent="0.3">
      <c r="A23750" s="12"/>
    </row>
    <row r="23751" spans="1:1" x14ac:dyDescent="0.3">
      <c r="A23751" s="12"/>
    </row>
    <row r="23752" spans="1:1" x14ac:dyDescent="0.3">
      <c r="A23752" s="12"/>
    </row>
    <row r="23753" spans="1:1" x14ac:dyDescent="0.3">
      <c r="A23753" s="12"/>
    </row>
    <row r="23754" spans="1:1" x14ac:dyDescent="0.3">
      <c r="A23754" s="12"/>
    </row>
    <row r="23755" spans="1:1" x14ac:dyDescent="0.3">
      <c r="A23755" s="12"/>
    </row>
    <row r="23756" spans="1:1" x14ac:dyDescent="0.3">
      <c r="A23756" s="12"/>
    </row>
    <row r="23757" spans="1:1" x14ac:dyDescent="0.3">
      <c r="A23757" s="12"/>
    </row>
    <row r="23758" spans="1:1" x14ac:dyDescent="0.3">
      <c r="A23758" s="12"/>
    </row>
    <row r="23759" spans="1:1" x14ac:dyDescent="0.3">
      <c r="A23759" s="12"/>
    </row>
    <row r="23760" spans="1:1" x14ac:dyDescent="0.3">
      <c r="A23760" s="12"/>
    </row>
    <row r="23761" spans="1:1" x14ac:dyDescent="0.3">
      <c r="A23761" s="12"/>
    </row>
    <row r="23762" spans="1:1" x14ac:dyDescent="0.3">
      <c r="A23762" s="12"/>
    </row>
    <row r="23763" spans="1:1" x14ac:dyDescent="0.3">
      <c r="A23763" s="12"/>
    </row>
    <row r="23764" spans="1:1" x14ac:dyDescent="0.3">
      <c r="A23764" s="12"/>
    </row>
    <row r="23765" spans="1:1" x14ac:dyDescent="0.3">
      <c r="A23765" s="12"/>
    </row>
    <row r="23766" spans="1:1" x14ac:dyDescent="0.3">
      <c r="A23766" s="12"/>
    </row>
    <row r="23767" spans="1:1" x14ac:dyDescent="0.3">
      <c r="A23767" s="12"/>
    </row>
    <row r="23768" spans="1:1" x14ac:dyDescent="0.3">
      <c r="A23768" s="12"/>
    </row>
    <row r="23769" spans="1:1" x14ac:dyDescent="0.3">
      <c r="A23769" s="12"/>
    </row>
    <row r="23770" spans="1:1" x14ac:dyDescent="0.3">
      <c r="A23770" s="12"/>
    </row>
    <row r="23771" spans="1:1" x14ac:dyDescent="0.3">
      <c r="A23771" s="12"/>
    </row>
    <row r="23772" spans="1:1" x14ac:dyDescent="0.3">
      <c r="A23772" s="12"/>
    </row>
    <row r="23773" spans="1:1" x14ac:dyDescent="0.3">
      <c r="A23773" s="12"/>
    </row>
    <row r="23774" spans="1:1" x14ac:dyDescent="0.3">
      <c r="A23774" s="12"/>
    </row>
    <row r="23775" spans="1:1" x14ac:dyDescent="0.3">
      <c r="A23775" s="12"/>
    </row>
    <row r="23776" spans="1:1" x14ac:dyDescent="0.3">
      <c r="A23776" s="12"/>
    </row>
    <row r="23777" spans="1:1" x14ac:dyDescent="0.3">
      <c r="A23777" s="12"/>
    </row>
    <row r="23778" spans="1:1" x14ac:dyDescent="0.3">
      <c r="A23778" s="12"/>
    </row>
    <row r="23779" spans="1:1" x14ac:dyDescent="0.3">
      <c r="A23779" s="12"/>
    </row>
    <row r="23780" spans="1:1" x14ac:dyDescent="0.3">
      <c r="A23780" s="12"/>
    </row>
    <row r="23781" spans="1:1" x14ac:dyDescent="0.3">
      <c r="A23781" s="12"/>
    </row>
    <row r="23782" spans="1:1" x14ac:dyDescent="0.3">
      <c r="A23782" s="12"/>
    </row>
    <row r="23783" spans="1:1" x14ac:dyDescent="0.3">
      <c r="A23783" s="12"/>
    </row>
    <row r="23784" spans="1:1" x14ac:dyDescent="0.3">
      <c r="A23784" s="12"/>
    </row>
    <row r="23785" spans="1:1" x14ac:dyDescent="0.3">
      <c r="A23785" s="12"/>
    </row>
    <row r="23786" spans="1:1" x14ac:dyDescent="0.3">
      <c r="A23786" s="12"/>
    </row>
    <row r="23787" spans="1:1" x14ac:dyDescent="0.3">
      <c r="A23787" s="12"/>
    </row>
    <row r="23788" spans="1:1" x14ac:dyDescent="0.3">
      <c r="A23788" s="12"/>
    </row>
    <row r="23789" spans="1:1" x14ac:dyDescent="0.3">
      <c r="A23789" s="12"/>
    </row>
    <row r="23790" spans="1:1" x14ac:dyDescent="0.3">
      <c r="A23790" s="12"/>
    </row>
    <row r="23791" spans="1:1" x14ac:dyDescent="0.3">
      <c r="A23791" s="12"/>
    </row>
    <row r="23792" spans="1:1" x14ac:dyDescent="0.3">
      <c r="A23792" s="12"/>
    </row>
    <row r="23793" spans="1:1" x14ac:dyDescent="0.3">
      <c r="A23793" s="12"/>
    </row>
    <row r="23794" spans="1:1" x14ac:dyDescent="0.3">
      <c r="A23794" s="12"/>
    </row>
    <row r="23795" spans="1:1" x14ac:dyDescent="0.3">
      <c r="A23795" s="12"/>
    </row>
    <row r="23796" spans="1:1" x14ac:dyDescent="0.3">
      <c r="A23796" s="12"/>
    </row>
    <row r="23797" spans="1:1" x14ac:dyDescent="0.3">
      <c r="A23797" s="12"/>
    </row>
    <row r="23798" spans="1:1" x14ac:dyDescent="0.3">
      <c r="A23798" s="12"/>
    </row>
    <row r="23799" spans="1:1" x14ac:dyDescent="0.3">
      <c r="A23799" s="12"/>
    </row>
    <row r="23800" spans="1:1" x14ac:dyDescent="0.3">
      <c r="A23800" s="12"/>
    </row>
    <row r="23801" spans="1:1" x14ac:dyDescent="0.3">
      <c r="A23801" s="12"/>
    </row>
    <row r="23802" spans="1:1" x14ac:dyDescent="0.3">
      <c r="A23802" s="12"/>
    </row>
    <row r="23803" spans="1:1" x14ac:dyDescent="0.3">
      <c r="A23803" s="12"/>
    </row>
    <row r="23804" spans="1:1" x14ac:dyDescent="0.3">
      <c r="A23804" s="12"/>
    </row>
    <row r="23805" spans="1:1" x14ac:dyDescent="0.3">
      <c r="A23805" s="12"/>
    </row>
    <row r="23806" spans="1:1" x14ac:dyDescent="0.3">
      <c r="A23806" s="12"/>
    </row>
    <row r="23807" spans="1:1" x14ac:dyDescent="0.3">
      <c r="A23807" s="12"/>
    </row>
    <row r="23808" spans="1:1" x14ac:dyDescent="0.3">
      <c r="A23808" s="12"/>
    </row>
    <row r="23809" spans="1:1" x14ac:dyDescent="0.3">
      <c r="A23809" s="12"/>
    </row>
    <row r="23810" spans="1:1" x14ac:dyDescent="0.3">
      <c r="A23810" s="12"/>
    </row>
    <row r="23811" spans="1:1" x14ac:dyDescent="0.3">
      <c r="A23811" s="12"/>
    </row>
    <row r="23812" spans="1:1" x14ac:dyDescent="0.3">
      <c r="A23812" s="12"/>
    </row>
    <row r="23813" spans="1:1" x14ac:dyDescent="0.3">
      <c r="A23813" s="12"/>
    </row>
    <row r="23814" spans="1:1" x14ac:dyDescent="0.3">
      <c r="A23814" s="12"/>
    </row>
    <row r="23815" spans="1:1" x14ac:dyDescent="0.3">
      <c r="A23815" s="12"/>
    </row>
    <row r="23816" spans="1:1" x14ac:dyDescent="0.3">
      <c r="A23816" s="12"/>
    </row>
    <row r="23817" spans="1:1" x14ac:dyDescent="0.3">
      <c r="A23817" s="12"/>
    </row>
    <row r="23818" spans="1:1" x14ac:dyDescent="0.3">
      <c r="A23818" s="12"/>
    </row>
    <row r="23819" spans="1:1" x14ac:dyDescent="0.3">
      <c r="A23819" s="12"/>
    </row>
    <row r="23820" spans="1:1" x14ac:dyDescent="0.3">
      <c r="A23820" s="12"/>
    </row>
    <row r="23821" spans="1:1" x14ac:dyDescent="0.3">
      <c r="A23821" s="12"/>
    </row>
    <row r="23822" spans="1:1" x14ac:dyDescent="0.3">
      <c r="A23822" s="12"/>
    </row>
    <row r="23823" spans="1:1" x14ac:dyDescent="0.3">
      <c r="A23823" s="12"/>
    </row>
    <row r="23824" spans="1:1" x14ac:dyDescent="0.3">
      <c r="A23824" s="12"/>
    </row>
    <row r="23825" spans="1:1" x14ac:dyDescent="0.3">
      <c r="A23825" s="12"/>
    </row>
    <row r="23826" spans="1:1" x14ac:dyDescent="0.3">
      <c r="A23826" s="12"/>
    </row>
    <row r="23827" spans="1:1" x14ac:dyDescent="0.3">
      <c r="A23827" s="12"/>
    </row>
    <row r="23828" spans="1:1" x14ac:dyDescent="0.3">
      <c r="A23828" s="12"/>
    </row>
    <row r="23829" spans="1:1" x14ac:dyDescent="0.3">
      <c r="A23829" s="12"/>
    </row>
    <row r="23830" spans="1:1" x14ac:dyDescent="0.3">
      <c r="A23830" s="12"/>
    </row>
    <row r="23831" spans="1:1" x14ac:dyDescent="0.3">
      <c r="A23831" s="12"/>
    </row>
    <row r="23832" spans="1:1" x14ac:dyDescent="0.3">
      <c r="A23832" s="12"/>
    </row>
    <row r="23833" spans="1:1" x14ac:dyDescent="0.3">
      <c r="A23833" s="12"/>
    </row>
    <row r="23834" spans="1:1" x14ac:dyDescent="0.3">
      <c r="A23834" s="12"/>
    </row>
    <row r="23835" spans="1:1" x14ac:dyDescent="0.3">
      <c r="A23835" s="12"/>
    </row>
    <row r="23836" spans="1:1" x14ac:dyDescent="0.3">
      <c r="A23836" s="12"/>
    </row>
    <row r="23837" spans="1:1" x14ac:dyDescent="0.3">
      <c r="A23837" s="12"/>
    </row>
    <row r="23838" spans="1:1" x14ac:dyDescent="0.3">
      <c r="A23838" s="12"/>
    </row>
    <row r="23839" spans="1:1" x14ac:dyDescent="0.3">
      <c r="A23839" s="12"/>
    </row>
    <row r="23840" spans="1:1" x14ac:dyDescent="0.3">
      <c r="A23840" s="12"/>
    </row>
    <row r="23841" spans="1:1" x14ac:dyDescent="0.3">
      <c r="A23841" s="12"/>
    </row>
    <row r="23842" spans="1:1" x14ac:dyDescent="0.3">
      <c r="A23842" s="12"/>
    </row>
    <row r="23843" spans="1:1" x14ac:dyDescent="0.3">
      <c r="A23843" s="12"/>
    </row>
    <row r="23844" spans="1:1" x14ac:dyDescent="0.3">
      <c r="A23844" s="12"/>
    </row>
    <row r="23845" spans="1:1" x14ac:dyDescent="0.3">
      <c r="A23845" s="12"/>
    </row>
    <row r="23846" spans="1:1" x14ac:dyDescent="0.3">
      <c r="A23846" s="12"/>
    </row>
    <row r="23847" spans="1:1" x14ac:dyDescent="0.3">
      <c r="A23847" s="12"/>
    </row>
    <row r="23848" spans="1:1" x14ac:dyDescent="0.3">
      <c r="A23848" s="12"/>
    </row>
    <row r="23849" spans="1:1" x14ac:dyDescent="0.3">
      <c r="A23849" s="12"/>
    </row>
    <row r="23850" spans="1:1" x14ac:dyDescent="0.3">
      <c r="A23850" s="12"/>
    </row>
    <row r="23851" spans="1:1" x14ac:dyDescent="0.3">
      <c r="A23851" s="12"/>
    </row>
    <row r="23852" spans="1:1" x14ac:dyDescent="0.3">
      <c r="A23852" s="12"/>
    </row>
    <row r="23853" spans="1:1" x14ac:dyDescent="0.3">
      <c r="A23853" s="12"/>
    </row>
    <row r="23854" spans="1:1" x14ac:dyDescent="0.3">
      <c r="A23854" s="12"/>
    </row>
    <row r="23855" spans="1:1" x14ac:dyDescent="0.3">
      <c r="A23855" s="12"/>
    </row>
    <row r="23856" spans="1:1" x14ac:dyDescent="0.3">
      <c r="A23856" s="12"/>
    </row>
    <row r="23857" spans="1:1" x14ac:dyDescent="0.3">
      <c r="A23857" s="12"/>
    </row>
    <row r="23858" spans="1:1" x14ac:dyDescent="0.3">
      <c r="A23858" s="12"/>
    </row>
    <row r="23859" spans="1:1" x14ac:dyDescent="0.3">
      <c r="A23859" s="12"/>
    </row>
    <row r="23860" spans="1:1" x14ac:dyDescent="0.3">
      <c r="A23860" s="12"/>
    </row>
    <row r="23861" spans="1:1" x14ac:dyDescent="0.3">
      <c r="A23861" s="12"/>
    </row>
    <row r="23862" spans="1:1" x14ac:dyDescent="0.3">
      <c r="A23862" s="12"/>
    </row>
    <row r="23863" spans="1:1" x14ac:dyDescent="0.3">
      <c r="A23863" s="12"/>
    </row>
    <row r="23864" spans="1:1" x14ac:dyDescent="0.3">
      <c r="A23864" s="12"/>
    </row>
    <row r="23865" spans="1:1" x14ac:dyDescent="0.3">
      <c r="A23865" s="12"/>
    </row>
    <row r="23866" spans="1:1" x14ac:dyDescent="0.3">
      <c r="A23866" s="12"/>
    </row>
    <row r="23867" spans="1:1" x14ac:dyDescent="0.3">
      <c r="A23867" s="12"/>
    </row>
    <row r="23868" spans="1:1" x14ac:dyDescent="0.3">
      <c r="A23868" s="12"/>
    </row>
    <row r="23869" spans="1:1" x14ac:dyDescent="0.3">
      <c r="A23869" s="12"/>
    </row>
    <row r="23870" spans="1:1" x14ac:dyDescent="0.3">
      <c r="A23870" s="12"/>
    </row>
    <row r="23871" spans="1:1" x14ac:dyDescent="0.3">
      <c r="A23871" s="12"/>
    </row>
    <row r="23872" spans="1:1" x14ac:dyDescent="0.3">
      <c r="A23872" s="12"/>
    </row>
    <row r="23873" spans="1:1" x14ac:dyDescent="0.3">
      <c r="A23873" s="12"/>
    </row>
    <row r="23874" spans="1:1" x14ac:dyDescent="0.3">
      <c r="A23874" s="12"/>
    </row>
    <row r="23875" spans="1:1" x14ac:dyDescent="0.3">
      <c r="A23875" s="12"/>
    </row>
    <row r="23876" spans="1:1" x14ac:dyDescent="0.3">
      <c r="A23876" s="12"/>
    </row>
    <row r="23877" spans="1:1" x14ac:dyDescent="0.3">
      <c r="A23877" s="12"/>
    </row>
    <row r="23878" spans="1:1" x14ac:dyDescent="0.3">
      <c r="A23878" s="12"/>
    </row>
    <row r="23879" spans="1:1" x14ac:dyDescent="0.3">
      <c r="A23879" s="12"/>
    </row>
    <row r="23880" spans="1:1" x14ac:dyDescent="0.3">
      <c r="A23880" s="12"/>
    </row>
    <row r="23881" spans="1:1" x14ac:dyDescent="0.3">
      <c r="A23881" s="12"/>
    </row>
    <row r="23882" spans="1:1" x14ac:dyDescent="0.3">
      <c r="A23882" s="12"/>
    </row>
    <row r="23883" spans="1:1" x14ac:dyDescent="0.3">
      <c r="A23883" s="12"/>
    </row>
    <row r="23884" spans="1:1" x14ac:dyDescent="0.3">
      <c r="A23884" s="12"/>
    </row>
    <row r="23885" spans="1:1" x14ac:dyDescent="0.3">
      <c r="A23885" s="12"/>
    </row>
    <row r="23886" spans="1:1" x14ac:dyDescent="0.3">
      <c r="A23886" s="12"/>
    </row>
    <row r="23887" spans="1:1" x14ac:dyDescent="0.3">
      <c r="A23887" s="12"/>
    </row>
    <row r="23888" spans="1:1" x14ac:dyDescent="0.3">
      <c r="A23888" s="12"/>
    </row>
    <row r="23889" spans="1:1" x14ac:dyDescent="0.3">
      <c r="A23889" s="12"/>
    </row>
    <row r="23890" spans="1:1" x14ac:dyDescent="0.3">
      <c r="A23890" s="12"/>
    </row>
    <row r="23891" spans="1:1" x14ac:dyDescent="0.3">
      <c r="A23891" s="12"/>
    </row>
    <row r="23892" spans="1:1" x14ac:dyDescent="0.3">
      <c r="A23892" s="12"/>
    </row>
    <row r="23893" spans="1:1" x14ac:dyDescent="0.3">
      <c r="A23893" s="12"/>
    </row>
    <row r="23894" spans="1:1" x14ac:dyDescent="0.3">
      <c r="A23894" s="12"/>
    </row>
    <row r="23895" spans="1:1" x14ac:dyDescent="0.3">
      <c r="A23895" s="12"/>
    </row>
    <row r="23896" spans="1:1" x14ac:dyDescent="0.3">
      <c r="A23896" s="12"/>
    </row>
    <row r="23897" spans="1:1" x14ac:dyDescent="0.3">
      <c r="A23897" s="12"/>
    </row>
    <row r="23898" spans="1:1" x14ac:dyDescent="0.3">
      <c r="A23898" s="12"/>
    </row>
    <row r="23899" spans="1:1" x14ac:dyDescent="0.3">
      <c r="A23899" s="12"/>
    </row>
    <row r="23900" spans="1:1" x14ac:dyDescent="0.3">
      <c r="A23900" s="12"/>
    </row>
    <row r="23901" spans="1:1" x14ac:dyDescent="0.3">
      <c r="A23901" s="12"/>
    </row>
    <row r="23902" spans="1:1" x14ac:dyDescent="0.3">
      <c r="A23902" s="12"/>
    </row>
    <row r="23903" spans="1:1" x14ac:dyDescent="0.3">
      <c r="A23903" s="12"/>
    </row>
    <row r="23904" spans="1:1" x14ac:dyDescent="0.3">
      <c r="A23904" s="12"/>
    </row>
    <row r="23905" spans="1:1" x14ac:dyDescent="0.3">
      <c r="A23905" s="12"/>
    </row>
    <row r="23906" spans="1:1" x14ac:dyDescent="0.3">
      <c r="A23906" s="12"/>
    </row>
    <row r="23907" spans="1:1" x14ac:dyDescent="0.3">
      <c r="A23907" s="12"/>
    </row>
    <row r="23908" spans="1:1" x14ac:dyDescent="0.3">
      <c r="A23908" s="12"/>
    </row>
    <row r="23909" spans="1:1" x14ac:dyDescent="0.3">
      <c r="A23909" s="12"/>
    </row>
    <row r="23910" spans="1:1" x14ac:dyDescent="0.3">
      <c r="A23910" s="12"/>
    </row>
    <row r="23911" spans="1:1" x14ac:dyDescent="0.3">
      <c r="A23911" s="12"/>
    </row>
    <row r="23912" spans="1:1" x14ac:dyDescent="0.3">
      <c r="A23912" s="12"/>
    </row>
    <row r="23913" spans="1:1" x14ac:dyDescent="0.3">
      <c r="A23913" s="12"/>
    </row>
    <row r="23914" spans="1:1" x14ac:dyDescent="0.3">
      <c r="A23914" s="12"/>
    </row>
    <row r="23915" spans="1:1" x14ac:dyDescent="0.3">
      <c r="A23915" s="12"/>
    </row>
    <row r="23916" spans="1:1" x14ac:dyDescent="0.3">
      <c r="A23916" s="12"/>
    </row>
    <row r="23917" spans="1:1" x14ac:dyDescent="0.3">
      <c r="A23917" s="12"/>
    </row>
    <row r="23918" spans="1:1" x14ac:dyDescent="0.3">
      <c r="A23918" s="12"/>
    </row>
    <row r="23919" spans="1:1" x14ac:dyDescent="0.3">
      <c r="A23919" s="12"/>
    </row>
    <row r="23920" spans="1:1" x14ac:dyDescent="0.3">
      <c r="A23920" s="12"/>
    </row>
    <row r="23921" spans="1:1" x14ac:dyDescent="0.3">
      <c r="A23921" s="12"/>
    </row>
    <row r="23922" spans="1:1" x14ac:dyDescent="0.3">
      <c r="A23922" s="12"/>
    </row>
    <row r="23923" spans="1:1" x14ac:dyDescent="0.3">
      <c r="A23923" s="12"/>
    </row>
    <row r="23924" spans="1:1" x14ac:dyDescent="0.3">
      <c r="A23924" s="12"/>
    </row>
    <row r="23925" spans="1:1" x14ac:dyDescent="0.3">
      <c r="A23925" s="12"/>
    </row>
    <row r="23926" spans="1:1" x14ac:dyDescent="0.3">
      <c r="A23926" s="12"/>
    </row>
    <row r="23927" spans="1:1" x14ac:dyDescent="0.3">
      <c r="A23927" s="12"/>
    </row>
    <row r="23928" spans="1:1" x14ac:dyDescent="0.3">
      <c r="A23928" s="12"/>
    </row>
    <row r="23929" spans="1:1" x14ac:dyDescent="0.3">
      <c r="A23929" s="12"/>
    </row>
    <row r="23930" spans="1:1" x14ac:dyDescent="0.3">
      <c r="A23930" s="12"/>
    </row>
    <row r="23931" spans="1:1" x14ac:dyDescent="0.3">
      <c r="A23931" s="12"/>
    </row>
    <row r="23932" spans="1:1" x14ac:dyDescent="0.3">
      <c r="A23932" s="12"/>
    </row>
    <row r="23933" spans="1:1" x14ac:dyDescent="0.3">
      <c r="A23933" s="12"/>
    </row>
    <row r="23934" spans="1:1" x14ac:dyDescent="0.3">
      <c r="A23934" s="12"/>
    </row>
    <row r="23935" spans="1:1" x14ac:dyDescent="0.3">
      <c r="A23935" s="12"/>
    </row>
    <row r="23936" spans="1:1" x14ac:dyDescent="0.3">
      <c r="A23936" s="12"/>
    </row>
    <row r="23937" spans="1:1" x14ac:dyDescent="0.3">
      <c r="A23937" s="12"/>
    </row>
    <row r="23938" spans="1:1" x14ac:dyDescent="0.3">
      <c r="A23938" s="12"/>
    </row>
    <row r="23939" spans="1:1" x14ac:dyDescent="0.3">
      <c r="A23939" s="12"/>
    </row>
    <row r="23940" spans="1:1" x14ac:dyDescent="0.3">
      <c r="A23940" s="12"/>
    </row>
    <row r="23941" spans="1:1" x14ac:dyDescent="0.3">
      <c r="A23941" s="12"/>
    </row>
    <row r="23942" spans="1:1" x14ac:dyDescent="0.3">
      <c r="A23942" s="12"/>
    </row>
    <row r="23943" spans="1:1" x14ac:dyDescent="0.3">
      <c r="A23943" s="12"/>
    </row>
    <row r="23944" spans="1:1" x14ac:dyDescent="0.3">
      <c r="A23944" s="12"/>
    </row>
    <row r="23945" spans="1:1" x14ac:dyDescent="0.3">
      <c r="A23945" s="12"/>
    </row>
    <row r="23946" spans="1:1" x14ac:dyDescent="0.3">
      <c r="A23946" s="12"/>
    </row>
    <row r="23947" spans="1:1" x14ac:dyDescent="0.3">
      <c r="A23947" s="12"/>
    </row>
    <row r="23948" spans="1:1" x14ac:dyDescent="0.3">
      <c r="A23948" s="12"/>
    </row>
    <row r="23949" spans="1:1" x14ac:dyDescent="0.3">
      <c r="A23949" s="12"/>
    </row>
    <row r="23950" spans="1:1" x14ac:dyDescent="0.3">
      <c r="A23950" s="12"/>
    </row>
    <row r="23951" spans="1:1" x14ac:dyDescent="0.3">
      <c r="A23951" s="12"/>
    </row>
    <row r="23952" spans="1:1" x14ac:dyDescent="0.3">
      <c r="A23952" s="12"/>
    </row>
    <row r="23953" spans="1:1" x14ac:dyDescent="0.3">
      <c r="A23953" s="12"/>
    </row>
    <row r="23954" spans="1:1" x14ac:dyDescent="0.3">
      <c r="A23954" s="12"/>
    </row>
    <row r="23955" spans="1:1" x14ac:dyDescent="0.3">
      <c r="A23955" s="12"/>
    </row>
    <row r="23956" spans="1:1" x14ac:dyDescent="0.3">
      <c r="A23956" s="12"/>
    </row>
    <row r="23957" spans="1:1" x14ac:dyDescent="0.3">
      <c r="A23957" s="12"/>
    </row>
    <row r="23958" spans="1:1" x14ac:dyDescent="0.3">
      <c r="A23958" s="12"/>
    </row>
    <row r="23959" spans="1:1" x14ac:dyDescent="0.3">
      <c r="A23959" s="12"/>
    </row>
    <row r="23960" spans="1:1" x14ac:dyDescent="0.3">
      <c r="A23960" s="12"/>
    </row>
    <row r="23961" spans="1:1" x14ac:dyDescent="0.3">
      <c r="A23961" s="12"/>
    </row>
    <row r="23962" spans="1:1" x14ac:dyDescent="0.3">
      <c r="A23962" s="12"/>
    </row>
    <row r="23963" spans="1:1" x14ac:dyDescent="0.3">
      <c r="A23963" s="12"/>
    </row>
    <row r="23964" spans="1:1" x14ac:dyDescent="0.3">
      <c r="A23964" s="12"/>
    </row>
    <row r="23965" spans="1:1" x14ac:dyDescent="0.3">
      <c r="A23965" s="12"/>
    </row>
    <row r="23966" spans="1:1" x14ac:dyDescent="0.3">
      <c r="A23966" s="12"/>
    </row>
    <row r="23967" spans="1:1" x14ac:dyDescent="0.3">
      <c r="A23967" s="12"/>
    </row>
    <row r="23968" spans="1:1" x14ac:dyDescent="0.3">
      <c r="A23968" s="12"/>
    </row>
    <row r="23969" spans="1:1" x14ac:dyDescent="0.3">
      <c r="A23969" s="12"/>
    </row>
    <row r="23970" spans="1:1" x14ac:dyDescent="0.3">
      <c r="A23970" s="12"/>
    </row>
    <row r="23971" spans="1:1" x14ac:dyDescent="0.3">
      <c r="A23971" s="12"/>
    </row>
    <row r="23972" spans="1:1" x14ac:dyDescent="0.3">
      <c r="A23972" s="12"/>
    </row>
    <row r="23973" spans="1:1" x14ac:dyDescent="0.3">
      <c r="A23973" s="12"/>
    </row>
    <row r="23974" spans="1:1" x14ac:dyDescent="0.3">
      <c r="A23974" s="12"/>
    </row>
    <row r="23975" spans="1:1" x14ac:dyDescent="0.3">
      <c r="A23975" s="12"/>
    </row>
    <row r="23976" spans="1:1" x14ac:dyDescent="0.3">
      <c r="A23976" s="12"/>
    </row>
    <row r="23977" spans="1:1" x14ac:dyDescent="0.3">
      <c r="A23977" s="12"/>
    </row>
    <row r="23978" spans="1:1" x14ac:dyDescent="0.3">
      <c r="A23978" s="12"/>
    </row>
    <row r="23979" spans="1:1" x14ac:dyDescent="0.3">
      <c r="A23979" s="12"/>
    </row>
    <row r="23980" spans="1:1" x14ac:dyDescent="0.3">
      <c r="A23980" s="12"/>
    </row>
    <row r="23981" spans="1:1" x14ac:dyDescent="0.3">
      <c r="A23981" s="12"/>
    </row>
    <row r="23982" spans="1:1" x14ac:dyDescent="0.3">
      <c r="A23982" s="12"/>
    </row>
    <row r="23983" spans="1:1" x14ac:dyDescent="0.3">
      <c r="A23983" s="12"/>
    </row>
    <row r="23984" spans="1:1" x14ac:dyDescent="0.3">
      <c r="A23984" s="12"/>
    </row>
    <row r="23985" spans="1:1" x14ac:dyDescent="0.3">
      <c r="A23985" s="12"/>
    </row>
    <row r="23986" spans="1:1" x14ac:dyDescent="0.3">
      <c r="A23986" s="12"/>
    </row>
    <row r="23987" spans="1:1" x14ac:dyDescent="0.3">
      <c r="A23987" s="12"/>
    </row>
    <row r="23988" spans="1:1" x14ac:dyDescent="0.3">
      <c r="A23988" s="12"/>
    </row>
    <row r="23989" spans="1:1" x14ac:dyDescent="0.3">
      <c r="A23989" s="12"/>
    </row>
    <row r="23990" spans="1:1" x14ac:dyDescent="0.3">
      <c r="A23990" s="12"/>
    </row>
    <row r="23991" spans="1:1" x14ac:dyDescent="0.3">
      <c r="A23991" s="12"/>
    </row>
    <row r="23992" spans="1:1" x14ac:dyDescent="0.3">
      <c r="A23992" s="12"/>
    </row>
    <row r="23993" spans="1:1" x14ac:dyDescent="0.3">
      <c r="A23993" s="12"/>
    </row>
    <row r="23994" spans="1:1" x14ac:dyDescent="0.3">
      <c r="A23994" s="12"/>
    </row>
    <row r="23995" spans="1:1" x14ac:dyDescent="0.3">
      <c r="A23995" s="12"/>
    </row>
    <row r="23996" spans="1:1" x14ac:dyDescent="0.3">
      <c r="A23996" s="12"/>
    </row>
    <row r="23997" spans="1:1" x14ac:dyDescent="0.3">
      <c r="A23997" s="12"/>
    </row>
    <row r="23998" spans="1:1" x14ac:dyDescent="0.3">
      <c r="A23998" s="12"/>
    </row>
    <row r="23999" spans="1:1" x14ac:dyDescent="0.3">
      <c r="A23999" s="12"/>
    </row>
    <row r="24000" spans="1:1" x14ac:dyDescent="0.3">
      <c r="A24000" s="12"/>
    </row>
    <row r="24001" spans="1:1" x14ac:dyDescent="0.3">
      <c r="A24001" s="12"/>
    </row>
    <row r="24002" spans="1:1" x14ac:dyDescent="0.3">
      <c r="A24002" s="12"/>
    </row>
    <row r="24003" spans="1:1" x14ac:dyDescent="0.3">
      <c r="A24003" s="12"/>
    </row>
    <row r="24004" spans="1:1" x14ac:dyDescent="0.3">
      <c r="A24004" s="12"/>
    </row>
    <row r="24005" spans="1:1" x14ac:dyDescent="0.3">
      <c r="A24005" s="12"/>
    </row>
    <row r="24006" spans="1:1" x14ac:dyDescent="0.3">
      <c r="A24006" s="12"/>
    </row>
    <row r="24007" spans="1:1" x14ac:dyDescent="0.3">
      <c r="A24007" s="12"/>
    </row>
    <row r="24008" spans="1:1" x14ac:dyDescent="0.3">
      <c r="A24008" s="12"/>
    </row>
    <row r="24009" spans="1:1" x14ac:dyDescent="0.3">
      <c r="A24009" s="12"/>
    </row>
    <row r="24010" spans="1:1" x14ac:dyDescent="0.3">
      <c r="A24010" s="12"/>
    </row>
    <row r="24011" spans="1:1" x14ac:dyDescent="0.3">
      <c r="A24011" s="12"/>
    </row>
    <row r="24012" spans="1:1" x14ac:dyDescent="0.3">
      <c r="A24012" s="12"/>
    </row>
    <row r="24013" spans="1:1" x14ac:dyDescent="0.3">
      <c r="A24013" s="12"/>
    </row>
    <row r="24014" spans="1:1" x14ac:dyDescent="0.3">
      <c r="A24014" s="12"/>
    </row>
    <row r="24015" spans="1:1" x14ac:dyDescent="0.3">
      <c r="A24015" s="12"/>
    </row>
    <row r="24016" spans="1:1" x14ac:dyDescent="0.3">
      <c r="A24016" s="12"/>
    </row>
    <row r="24017" spans="1:1" x14ac:dyDescent="0.3">
      <c r="A24017" s="12"/>
    </row>
    <row r="24018" spans="1:1" x14ac:dyDescent="0.3">
      <c r="A24018" s="12"/>
    </row>
    <row r="24019" spans="1:1" x14ac:dyDescent="0.3">
      <c r="A24019" s="12"/>
    </row>
    <row r="24020" spans="1:1" x14ac:dyDescent="0.3">
      <c r="A24020" s="12"/>
    </row>
    <row r="24021" spans="1:1" x14ac:dyDescent="0.3">
      <c r="A24021" s="12"/>
    </row>
    <row r="24022" spans="1:1" x14ac:dyDescent="0.3">
      <c r="A24022" s="12"/>
    </row>
    <row r="24023" spans="1:1" x14ac:dyDescent="0.3">
      <c r="A24023" s="12"/>
    </row>
    <row r="24024" spans="1:1" x14ac:dyDescent="0.3">
      <c r="A24024" s="12"/>
    </row>
    <row r="24025" spans="1:1" x14ac:dyDescent="0.3">
      <c r="A24025" s="12"/>
    </row>
    <row r="24026" spans="1:1" x14ac:dyDescent="0.3">
      <c r="A24026" s="12"/>
    </row>
    <row r="24027" spans="1:1" x14ac:dyDescent="0.3">
      <c r="A24027" s="12"/>
    </row>
    <row r="24028" spans="1:1" x14ac:dyDescent="0.3">
      <c r="A24028" s="12"/>
    </row>
    <row r="24029" spans="1:1" x14ac:dyDescent="0.3">
      <c r="A24029" s="12"/>
    </row>
    <row r="24030" spans="1:1" x14ac:dyDescent="0.3">
      <c r="A24030" s="12"/>
    </row>
    <row r="24031" spans="1:1" x14ac:dyDescent="0.3">
      <c r="A24031" s="12"/>
    </row>
    <row r="24032" spans="1:1" x14ac:dyDescent="0.3">
      <c r="A24032" s="12"/>
    </row>
    <row r="24033" spans="1:1" x14ac:dyDescent="0.3">
      <c r="A24033" s="12"/>
    </row>
    <row r="24034" spans="1:1" x14ac:dyDescent="0.3">
      <c r="A24034" s="12"/>
    </row>
    <row r="24035" spans="1:1" x14ac:dyDescent="0.3">
      <c r="A24035" s="12"/>
    </row>
    <row r="24036" spans="1:1" x14ac:dyDescent="0.3">
      <c r="A24036" s="12"/>
    </row>
    <row r="24037" spans="1:1" x14ac:dyDescent="0.3">
      <c r="A24037" s="12"/>
    </row>
    <row r="24038" spans="1:1" x14ac:dyDescent="0.3">
      <c r="A24038" s="12"/>
    </row>
    <row r="24039" spans="1:1" x14ac:dyDescent="0.3">
      <c r="A24039" s="12"/>
    </row>
    <row r="24040" spans="1:1" x14ac:dyDescent="0.3">
      <c r="A24040" s="12"/>
    </row>
    <row r="24041" spans="1:1" x14ac:dyDescent="0.3">
      <c r="A24041" s="12"/>
    </row>
    <row r="24042" spans="1:1" x14ac:dyDescent="0.3">
      <c r="A24042" s="12"/>
    </row>
    <row r="24043" spans="1:1" x14ac:dyDescent="0.3">
      <c r="A24043" s="12"/>
    </row>
    <row r="24044" spans="1:1" x14ac:dyDescent="0.3">
      <c r="A24044" s="12"/>
    </row>
    <row r="24045" spans="1:1" x14ac:dyDescent="0.3">
      <c r="A24045" s="12"/>
    </row>
    <row r="24046" spans="1:1" x14ac:dyDescent="0.3">
      <c r="A24046" s="12"/>
    </row>
    <row r="24047" spans="1:1" x14ac:dyDescent="0.3">
      <c r="A24047" s="12"/>
    </row>
    <row r="24048" spans="1:1" x14ac:dyDescent="0.3">
      <c r="A24048" s="12"/>
    </row>
    <row r="24049" spans="1:1" x14ac:dyDescent="0.3">
      <c r="A24049" s="12"/>
    </row>
    <row r="24050" spans="1:1" x14ac:dyDescent="0.3">
      <c r="A24050" s="12"/>
    </row>
    <row r="24051" spans="1:1" x14ac:dyDescent="0.3">
      <c r="A24051" s="12"/>
    </row>
    <row r="24052" spans="1:1" x14ac:dyDescent="0.3">
      <c r="A24052" s="12"/>
    </row>
    <row r="24053" spans="1:1" x14ac:dyDescent="0.3">
      <c r="A24053" s="12"/>
    </row>
    <row r="24054" spans="1:1" x14ac:dyDescent="0.3">
      <c r="A24054" s="12"/>
    </row>
    <row r="24055" spans="1:1" x14ac:dyDescent="0.3">
      <c r="A24055" s="12"/>
    </row>
    <row r="24056" spans="1:1" x14ac:dyDescent="0.3">
      <c r="A24056" s="12"/>
    </row>
    <row r="24057" spans="1:1" x14ac:dyDescent="0.3">
      <c r="A24057" s="12"/>
    </row>
    <row r="24058" spans="1:1" x14ac:dyDescent="0.3">
      <c r="A24058" s="12"/>
    </row>
    <row r="24059" spans="1:1" x14ac:dyDescent="0.3">
      <c r="A24059" s="12"/>
    </row>
    <row r="24060" spans="1:1" x14ac:dyDescent="0.3">
      <c r="A24060" s="12"/>
    </row>
    <row r="24061" spans="1:1" x14ac:dyDescent="0.3">
      <c r="A24061" s="12"/>
    </row>
    <row r="24062" spans="1:1" x14ac:dyDescent="0.3">
      <c r="A24062" s="12"/>
    </row>
    <row r="24063" spans="1:1" x14ac:dyDescent="0.3">
      <c r="A24063" s="12"/>
    </row>
    <row r="24064" spans="1:1" x14ac:dyDescent="0.3">
      <c r="A24064" s="12"/>
    </row>
    <row r="24065" spans="1:1" x14ac:dyDescent="0.3">
      <c r="A24065" s="12"/>
    </row>
    <row r="24066" spans="1:1" x14ac:dyDescent="0.3">
      <c r="A24066" s="12"/>
    </row>
    <row r="24067" spans="1:1" x14ac:dyDescent="0.3">
      <c r="A24067" s="12"/>
    </row>
    <row r="24068" spans="1:1" x14ac:dyDescent="0.3">
      <c r="A24068" s="12"/>
    </row>
    <row r="24069" spans="1:1" x14ac:dyDescent="0.3">
      <c r="A24069" s="12"/>
    </row>
    <row r="24070" spans="1:1" x14ac:dyDescent="0.3">
      <c r="A24070" s="12"/>
    </row>
    <row r="24071" spans="1:1" x14ac:dyDescent="0.3">
      <c r="A24071" s="12"/>
    </row>
    <row r="24072" spans="1:1" x14ac:dyDescent="0.3">
      <c r="A24072" s="12"/>
    </row>
    <row r="24073" spans="1:1" x14ac:dyDescent="0.3">
      <c r="A24073" s="12"/>
    </row>
    <row r="24074" spans="1:1" x14ac:dyDescent="0.3">
      <c r="A24074" s="12"/>
    </row>
    <row r="24075" spans="1:1" x14ac:dyDescent="0.3">
      <c r="A24075" s="12"/>
    </row>
    <row r="24076" spans="1:1" x14ac:dyDescent="0.3">
      <c r="A24076" s="12"/>
    </row>
    <row r="24077" spans="1:1" x14ac:dyDescent="0.3">
      <c r="A24077" s="12"/>
    </row>
    <row r="24078" spans="1:1" x14ac:dyDescent="0.3">
      <c r="A24078" s="12"/>
    </row>
    <row r="24079" spans="1:1" x14ac:dyDescent="0.3">
      <c r="A24079" s="12"/>
    </row>
    <row r="24080" spans="1:1" x14ac:dyDescent="0.3">
      <c r="A24080" s="12"/>
    </row>
    <row r="24081" spans="1:1" x14ac:dyDescent="0.3">
      <c r="A24081" s="12"/>
    </row>
    <row r="24082" spans="1:1" x14ac:dyDescent="0.3">
      <c r="A24082" s="12"/>
    </row>
    <row r="24083" spans="1:1" x14ac:dyDescent="0.3">
      <c r="A24083" s="12"/>
    </row>
    <row r="24084" spans="1:1" x14ac:dyDescent="0.3">
      <c r="A24084" s="12"/>
    </row>
    <row r="24085" spans="1:1" x14ac:dyDescent="0.3">
      <c r="A24085" s="12"/>
    </row>
    <row r="24086" spans="1:1" x14ac:dyDescent="0.3">
      <c r="A24086" s="12"/>
    </row>
    <row r="24087" spans="1:1" x14ac:dyDescent="0.3">
      <c r="A24087" s="12"/>
    </row>
    <row r="24088" spans="1:1" x14ac:dyDescent="0.3">
      <c r="A24088" s="12"/>
    </row>
    <row r="24089" spans="1:1" x14ac:dyDescent="0.3">
      <c r="A24089" s="12"/>
    </row>
    <row r="24090" spans="1:1" x14ac:dyDescent="0.3">
      <c r="A24090" s="12"/>
    </row>
    <row r="24091" spans="1:1" x14ac:dyDescent="0.3">
      <c r="A24091" s="12"/>
    </row>
    <row r="24092" spans="1:1" x14ac:dyDescent="0.3">
      <c r="A24092" s="12"/>
    </row>
    <row r="24093" spans="1:1" x14ac:dyDescent="0.3">
      <c r="A24093" s="12"/>
    </row>
    <row r="24094" spans="1:1" x14ac:dyDescent="0.3">
      <c r="A24094" s="12"/>
    </row>
    <row r="24095" spans="1:1" x14ac:dyDescent="0.3">
      <c r="A24095" s="12"/>
    </row>
    <row r="24096" spans="1:1" x14ac:dyDescent="0.3">
      <c r="A24096" s="12"/>
    </row>
    <row r="24097" spans="1:1" x14ac:dyDescent="0.3">
      <c r="A24097" s="12"/>
    </row>
    <row r="24098" spans="1:1" x14ac:dyDescent="0.3">
      <c r="A24098" s="12"/>
    </row>
    <row r="24099" spans="1:1" x14ac:dyDescent="0.3">
      <c r="A24099" s="12"/>
    </row>
    <row r="24100" spans="1:1" x14ac:dyDescent="0.3">
      <c r="A24100" s="12"/>
    </row>
    <row r="24101" spans="1:1" x14ac:dyDescent="0.3">
      <c r="A24101" s="12"/>
    </row>
    <row r="24102" spans="1:1" x14ac:dyDescent="0.3">
      <c r="A24102" s="12"/>
    </row>
    <row r="24103" spans="1:1" x14ac:dyDescent="0.3">
      <c r="A24103" s="12"/>
    </row>
    <row r="24104" spans="1:1" x14ac:dyDescent="0.3">
      <c r="A24104" s="12"/>
    </row>
    <row r="24105" spans="1:1" x14ac:dyDescent="0.3">
      <c r="A24105" s="12"/>
    </row>
    <row r="24106" spans="1:1" x14ac:dyDescent="0.3">
      <c r="A24106" s="12"/>
    </row>
    <row r="24107" spans="1:1" x14ac:dyDescent="0.3">
      <c r="A24107" s="12"/>
    </row>
    <row r="24108" spans="1:1" x14ac:dyDescent="0.3">
      <c r="A24108" s="12"/>
    </row>
    <row r="24109" spans="1:1" x14ac:dyDescent="0.3">
      <c r="A24109" s="12"/>
    </row>
    <row r="24110" spans="1:1" x14ac:dyDescent="0.3">
      <c r="A24110" s="12"/>
    </row>
    <row r="24111" spans="1:1" x14ac:dyDescent="0.3">
      <c r="A24111" s="12"/>
    </row>
    <row r="24112" spans="1:1" x14ac:dyDescent="0.3">
      <c r="A24112" s="12"/>
    </row>
    <row r="24113" spans="1:1" x14ac:dyDescent="0.3">
      <c r="A24113" s="12"/>
    </row>
    <row r="24114" spans="1:1" x14ac:dyDescent="0.3">
      <c r="A24114" s="12"/>
    </row>
    <row r="24115" spans="1:1" x14ac:dyDescent="0.3">
      <c r="A24115" s="12"/>
    </row>
    <row r="24116" spans="1:1" x14ac:dyDescent="0.3">
      <c r="A24116" s="12"/>
    </row>
    <row r="24117" spans="1:1" x14ac:dyDescent="0.3">
      <c r="A24117" s="12"/>
    </row>
    <row r="24118" spans="1:1" x14ac:dyDescent="0.3">
      <c r="A24118" s="12"/>
    </row>
    <row r="24119" spans="1:1" x14ac:dyDescent="0.3">
      <c r="A24119" s="12"/>
    </row>
    <row r="24120" spans="1:1" x14ac:dyDescent="0.3">
      <c r="A24120" s="12"/>
    </row>
    <row r="24121" spans="1:1" x14ac:dyDescent="0.3">
      <c r="A24121" s="12"/>
    </row>
    <row r="24122" spans="1:1" x14ac:dyDescent="0.3">
      <c r="A24122" s="12"/>
    </row>
    <row r="24123" spans="1:1" x14ac:dyDescent="0.3">
      <c r="A24123" s="12"/>
    </row>
    <row r="24124" spans="1:1" x14ac:dyDescent="0.3">
      <c r="A24124" s="12"/>
    </row>
    <row r="24125" spans="1:1" x14ac:dyDescent="0.3">
      <c r="A24125" s="12"/>
    </row>
    <row r="24126" spans="1:1" x14ac:dyDescent="0.3">
      <c r="A24126" s="12"/>
    </row>
    <row r="24127" spans="1:1" x14ac:dyDescent="0.3">
      <c r="A24127" s="12"/>
    </row>
    <row r="24128" spans="1:1" x14ac:dyDescent="0.3">
      <c r="A24128" s="12"/>
    </row>
    <row r="24129" spans="1:1" x14ac:dyDescent="0.3">
      <c r="A24129" s="12"/>
    </row>
    <row r="24130" spans="1:1" x14ac:dyDescent="0.3">
      <c r="A24130" s="12"/>
    </row>
    <row r="24131" spans="1:1" x14ac:dyDescent="0.3">
      <c r="A24131" s="12"/>
    </row>
    <row r="24132" spans="1:1" x14ac:dyDescent="0.3">
      <c r="A24132" s="12"/>
    </row>
    <row r="24133" spans="1:1" x14ac:dyDescent="0.3">
      <c r="A24133" s="12"/>
    </row>
    <row r="24134" spans="1:1" x14ac:dyDescent="0.3">
      <c r="A24134" s="12"/>
    </row>
    <row r="24135" spans="1:1" x14ac:dyDescent="0.3">
      <c r="A24135" s="12"/>
    </row>
    <row r="24136" spans="1:1" x14ac:dyDescent="0.3">
      <c r="A24136" s="12"/>
    </row>
    <row r="24137" spans="1:1" x14ac:dyDescent="0.3">
      <c r="A24137" s="12"/>
    </row>
    <row r="24138" spans="1:1" x14ac:dyDescent="0.3">
      <c r="A24138" s="12"/>
    </row>
    <row r="24139" spans="1:1" x14ac:dyDescent="0.3">
      <c r="A24139" s="12"/>
    </row>
    <row r="24140" spans="1:1" x14ac:dyDescent="0.3">
      <c r="A24140" s="12"/>
    </row>
    <row r="24141" spans="1:1" x14ac:dyDescent="0.3">
      <c r="A24141" s="12"/>
    </row>
    <row r="24142" spans="1:1" x14ac:dyDescent="0.3">
      <c r="A24142" s="12"/>
    </row>
    <row r="24143" spans="1:1" x14ac:dyDescent="0.3">
      <c r="A24143" s="12"/>
    </row>
    <row r="24144" spans="1:1" x14ac:dyDescent="0.3">
      <c r="A24144" s="12"/>
    </row>
    <row r="24145" spans="1:1" x14ac:dyDescent="0.3">
      <c r="A24145" s="12"/>
    </row>
    <row r="24146" spans="1:1" x14ac:dyDescent="0.3">
      <c r="A24146" s="12"/>
    </row>
    <row r="24147" spans="1:1" x14ac:dyDescent="0.3">
      <c r="A24147" s="12"/>
    </row>
    <row r="24148" spans="1:1" x14ac:dyDescent="0.3">
      <c r="A24148" s="12"/>
    </row>
    <row r="24149" spans="1:1" x14ac:dyDescent="0.3">
      <c r="A24149" s="12"/>
    </row>
    <row r="24150" spans="1:1" x14ac:dyDescent="0.3">
      <c r="A24150" s="12"/>
    </row>
    <row r="24151" spans="1:1" x14ac:dyDescent="0.3">
      <c r="A24151" s="12"/>
    </row>
    <row r="24152" spans="1:1" x14ac:dyDescent="0.3">
      <c r="A24152" s="12"/>
    </row>
    <row r="24153" spans="1:1" x14ac:dyDescent="0.3">
      <c r="A24153" s="12"/>
    </row>
    <row r="24154" spans="1:1" x14ac:dyDescent="0.3">
      <c r="A24154" s="12"/>
    </row>
    <row r="24155" spans="1:1" x14ac:dyDescent="0.3">
      <c r="A24155" s="12"/>
    </row>
    <row r="24156" spans="1:1" x14ac:dyDescent="0.3">
      <c r="A24156" s="12"/>
    </row>
    <row r="24157" spans="1:1" x14ac:dyDescent="0.3">
      <c r="A24157" s="12"/>
    </row>
    <row r="24158" spans="1:1" x14ac:dyDescent="0.3">
      <c r="A24158" s="12"/>
    </row>
    <row r="24159" spans="1:1" x14ac:dyDescent="0.3">
      <c r="A24159" s="12"/>
    </row>
    <row r="24160" spans="1:1" x14ac:dyDescent="0.3">
      <c r="A24160" s="12"/>
    </row>
    <row r="24161" spans="1:1" x14ac:dyDescent="0.3">
      <c r="A24161" s="12"/>
    </row>
    <row r="24162" spans="1:1" x14ac:dyDescent="0.3">
      <c r="A24162" s="12"/>
    </row>
    <row r="24163" spans="1:1" x14ac:dyDescent="0.3">
      <c r="A24163" s="12"/>
    </row>
    <row r="24164" spans="1:1" x14ac:dyDescent="0.3">
      <c r="A24164" s="12"/>
    </row>
    <row r="24165" spans="1:1" x14ac:dyDescent="0.3">
      <c r="A24165" s="12"/>
    </row>
    <row r="24166" spans="1:1" x14ac:dyDescent="0.3">
      <c r="A24166" s="12"/>
    </row>
    <row r="24167" spans="1:1" x14ac:dyDescent="0.3">
      <c r="A24167" s="12"/>
    </row>
    <row r="24168" spans="1:1" x14ac:dyDescent="0.3">
      <c r="A24168" s="12"/>
    </row>
    <row r="24169" spans="1:1" x14ac:dyDescent="0.3">
      <c r="A24169" s="12"/>
    </row>
    <row r="24170" spans="1:1" x14ac:dyDescent="0.3">
      <c r="A24170" s="12"/>
    </row>
    <row r="24171" spans="1:1" x14ac:dyDescent="0.3">
      <c r="A24171" s="12"/>
    </row>
    <row r="24172" spans="1:1" x14ac:dyDescent="0.3">
      <c r="A24172" s="12"/>
    </row>
    <row r="24173" spans="1:1" x14ac:dyDescent="0.3">
      <c r="A24173" s="12"/>
    </row>
    <row r="24174" spans="1:1" x14ac:dyDescent="0.3">
      <c r="A24174" s="12"/>
    </row>
    <row r="24175" spans="1:1" x14ac:dyDescent="0.3">
      <c r="A24175" s="12"/>
    </row>
    <row r="24176" spans="1:1" x14ac:dyDescent="0.3">
      <c r="A24176" s="12"/>
    </row>
    <row r="24177" spans="1:1" x14ac:dyDescent="0.3">
      <c r="A24177" s="12"/>
    </row>
    <row r="24178" spans="1:1" x14ac:dyDescent="0.3">
      <c r="A24178" s="12"/>
    </row>
    <row r="24179" spans="1:1" x14ac:dyDescent="0.3">
      <c r="A24179" s="12"/>
    </row>
    <row r="24180" spans="1:1" x14ac:dyDescent="0.3">
      <c r="A24180" s="12"/>
    </row>
    <row r="24181" spans="1:1" x14ac:dyDescent="0.3">
      <c r="A24181" s="12"/>
    </row>
    <row r="24182" spans="1:1" x14ac:dyDescent="0.3">
      <c r="A24182" s="12"/>
    </row>
    <row r="24183" spans="1:1" x14ac:dyDescent="0.3">
      <c r="A24183" s="12"/>
    </row>
    <row r="24184" spans="1:1" x14ac:dyDescent="0.3">
      <c r="A24184" s="12"/>
    </row>
    <row r="24185" spans="1:1" x14ac:dyDescent="0.3">
      <c r="A24185" s="12"/>
    </row>
    <row r="24186" spans="1:1" x14ac:dyDescent="0.3">
      <c r="A24186" s="12"/>
    </row>
    <row r="24187" spans="1:1" x14ac:dyDescent="0.3">
      <c r="A24187" s="12"/>
    </row>
    <row r="24188" spans="1:1" x14ac:dyDescent="0.3">
      <c r="A24188" s="12"/>
    </row>
    <row r="24189" spans="1:1" x14ac:dyDescent="0.3">
      <c r="A24189" s="12"/>
    </row>
    <row r="24190" spans="1:1" x14ac:dyDescent="0.3">
      <c r="A24190" s="12"/>
    </row>
    <row r="24191" spans="1:1" x14ac:dyDescent="0.3">
      <c r="A24191" s="12"/>
    </row>
    <row r="24192" spans="1:1" x14ac:dyDescent="0.3">
      <c r="A24192" s="12"/>
    </row>
    <row r="24193" spans="1:1" x14ac:dyDescent="0.3">
      <c r="A24193" s="12"/>
    </row>
    <row r="24194" spans="1:1" x14ac:dyDescent="0.3">
      <c r="A24194" s="12"/>
    </row>
    <row r="24195" spans="1:1" x14ac:dyDescent="0.3">
      <c r="A24195" s="12"/>
    </row>
    <row r="24196" spans="1:1" x14ac:dyDescent="0.3">
      <c r="A24196" s="12"/>
    </row>
    <row r="24197" spans="1:1" x14ac:dyDescent="0.3">
      <c r="A24197" s="12"/>
    </row>
    <row r="24198" spans="1:1" x14ac:dyDescent="0.3">
      <c r="A24198" s="12"/>
    </row>
    <row r="24199" spans="1:1" x14ac:dyDescent="0.3">
      <c r="A24199" s="12"/>
    </row>
    <row r="24200" spans="1:1" x14ac:dyDescent="0.3">
      <c r="A24200" s="12"/>
    </row>
    <row r="24201" spans="1:1" x14ac:dyDescent="0.3">
      <c r="A24201" s="12"/>
    </row>
    <row r="24202" spans="1:1" x14ac:dyDescent="0.3">
      <c r="A24202" s="12"/>
    </row>
    <row r="24203" spans="1:1" x14ac:dyDescent="0.3">
      <c r="A24203" s="12"/>
    </row>
    <row r="24204" spans="1:1" x14ac:dyDescent="0.3">
      <c r="A24204" s="12"/>
    </row>
    <row r="24205" spans="1:1" x14ac:dyDescent="0.3">
      <c r="A24205" s="12"/>
    </row>
    <row r="24206" spans="1:1" x14ac:dyDescent="0.3">
      <c r="A24206" s="12"/>
    </row>
    <row r="24207" spans="1:1" x14ac:dyDescent="0.3">
      <c r="A24207" s="12"/>
    </row>
    <row r="24208" spans="1:1" x14ac:dyDescent="0.3">
      <c r="A24208" s="12"/>
    </row>
    <row r="24209" spans="1:1" x14ac:dyDescent="0.3">
      <c r="A24209" s="12"/>
    </row>
    <row r="24210" spans="1:1" x14ac:dyDescent="0.3">
      <c r="A24210" s="12"/>
    </row>
    <row r="24211" spans="1:1" x14ac:dyDescent="0.3">
      <c r="A24211" s="12"/>
    </row>
    <row r="24212" spans="1:1" x14ac:dyDescent="0.3">
      <c r="A24212" s="12"/>
    </row>
    <row r="24213" spans="1:1" x14ac:dyDescent="0.3">
      <c r="A24213" s="12"/>
    </row>
    <row r="24214" spans="1:1" x14ac:dyDescent="0.3">
      <c r="A24214" s="12"/>
    </row>
    <row r="24215" spans="1:1" x14ac:dyDescent="0.3">
      <c r="A24215" s="12"/>
    </row>
    <row r="24216" spans="1:1" x14ac:dyDescent="0.3">
      <c r="A24216" s="12"/>
    </row>
    <row r="24217" spans="1:1" x14ac:dyDescent="0.3">
      <c r="A24217" s="12"/>
    </row>
    <row r="24218" spans="1:1" x14ac:dyDescent="0.3">
      <c r="A24218" s="12"/>
    </row>
    <row r="24219" spans="1:1" x14ac:dyDescent="0.3">
      <c r="A24219" s="12"/>
    </row>
    <row r="24220" spans="1:1" x14ac:dyDescent="0.3">
      <c r="A24220" s="12"/>
    </row>
    <row r="24221" spans="1:1" x14ac:dyDescent="0.3">
      <c r="A24221" s="12"/>
    </row>
    <row r="24222" spans="1:1" x14ac:dyDescent="0.3">
      <c r="A24222" s="12"/>
    </row>
    <row r="24223" spans="1:1" x14ac:dyDescent="0.3">
      <c r="A24223" s="12"/>
    </row>
    <row r="24224" spans="1:1" x14ac:dyDescent="0.3">
      <c r="A24224" s="12"/>
    </row>
    <row r="24225" spans="1:1" x14ac:dyDescent="0.3">
      <c r="A24225" s="12"/>
    </row>
    <row r="24226" spans="1:1" x14ac:dyDescent="0.3">
      <c r="A24226" s="12"/>
    </row>
    <row r="24227" spans="1:1" x14ac:dyDescent="0.3">
      <c r="A24227" s="12"/>
    </row>
    <row r="24228" spans="1:1" x14ac:dyDescent="0.3">
      <c r="A24228" s="12"/>
    </row>
    <row r="24229" spans="1:1" x14ac:dyDescent="0.3">
      <c r="A24229" s="12"/>
    </row>
    <row r="24230" spans="1:1" x14ac:dyDescent="0.3">
      <c r="A24230" s="12"/>
    </row>
    <row r="24231" spans="1:1" x14ac:dyDescent="0.3">
      <c r="A24231" s="12"/>
    </row>
    <row r="24232" spans="1:1" x14ac:dyDescent="0.3">
      <c r="A24232" s="12"/>
    </row>
    <row r="24233" spans="1:1" x14ac:dyDescent="0.3">
      <c r="A24233" s="12"/>
    </row>
    <row r="24234" spans="1:1" x14ac:dyDescent="0.3">
      <c r="A24234" s="12"/>
    </row>
    <row r="24235" spans="1:1" x14ac:dyDescent="0.3">
      <c r="A24235" s="12"/>
    </row>
    <row r="24236" spans="1:1" x14ac:dyDescent="0.3">
      <c r="A24236" s="12"/>
    </row>
    <row r="24237" spans="1:1" x14ac:dyDescent="0.3">
      <c r="A24237" s="12"/>
    </row>
    <row r="24238" spans="1:1" x14ac:dyDescent="0.3">
      <c r="A24238" s="12"/>
    </row>
    <row r="24239" spans="1:1" x14ac:dyDescent="0.3">
      <c r="A24239" s="12"/>
    </row>
    <row r="24240" spans="1:1" x14ac:dyDescent="0.3">
      <c r="A24240" s="12"/>
    </row>
    <row r="24241" spans="1:1" x14ac:dyDescent="0.3">
      <c r="A24241" s="12"/>
    </row>
    <row r="24242" spans="1:1" x14ac:dyDescent="0.3">
      <c r="A24242" s="12"/>
    </row>
    <row r="24243" spans="1:1" x14ac:dyDescent="0.3">
      <c r="A24243" s="12"/>
    </row>
    <row r="24244" spans="1:1" x14ac:dyDescent="0.3">
      <c r="A24244" s="12"/>
    </row>
    <row r="24245" spans="1:1" x14ac:dyDescent="0.3">
      <c r="A24245" s="12"/>
    </row>
    <row r="24246" spans="1:1" x14ac:dyDescent="0.3">
      <c r="A24246" s="12"/>
    </row>
    <row r="24247" spans="1:1" x14ac:dyDescent="0.3">
      <c r="A24247" s="12"/>
    </row>
    <row r="24248" spans="1:1" x14ac:dyDescent="0.3">
      <c r="A24248" s="12"/>
    </row>
    <row r="24249" spans="1:1" x14ac:dyDescent="0.3">
      <c r="A24249" s="12"/>
    </row>
    <row r="24250" spans="1:1" x14ac:dyDescent="0.3">
      <c r="A24250" s="12"/>
    </row>
    <row r="24251" spans="1:1" x14ac:dyDescent="0.3">
      <c r="A24251" s="12"/>
    </row>
    <row r="24252" spans="1:1" x14ac:dyDescent="0.3">
      <c r="A24252" s="12"/>
    </row>
    <row r="24253" spans="1:1" x14ac:dyDescent="0.3">
      <c r="A24253" s="12"/>
    </row>
    <row r="24254" spans="1:1" x14ac:dyDescent="0.3">
      <c r="A24254" s="12"/>
    </row>
    <row r="24255" spans="1:1" x14ac:dyDescent="0.3">
      <c r="A24255" s="12"/>
    </row>
    <row r="24256" spans="1:1" x14ac:dyDescent="0.3">
      <c r="A24256" s="12"/>
    </row>
    <row r="24257" spans="1:1" x14ac:dyDescent="0.3">
      <c r="A24257" s="12"/>
    </row>
    <row r="24258" spans="1:1" x14ac:dyDescent="0.3">
      <c r="A24258" s="12"/>
    </row>
    <row r="24259" spans="1:1" x14ac:dyDescent="0.3">
      <c r="A24259" s="12"/>
    </row>
    <row r="24260" spans="1:1" x14ac:dyDescent="0.3">
      <c r="A24260" s="12"/>
    </row>
    <row r="24261" spans="1:1" x14ac:dyDescent="0.3">
      <c r="A24261" s="12"/>
    </row>
    <row r="24262" spans="1:1" x14ac:dyDescent="0.3">
      <c r="A24262" s="12"/>
    </row>
    <row r="24263" spans="1:1" x14ac:dyDescent="0.3">
      <c r="A24263" s="12"/>
    </row>
    <row r="24264" spans="1:1" x14ac:dyDescent="0.3">
      <c r="A24264" s="12"/>
    </row>
    <row r="24265" spans="1:1" x14ac:dyDescent="0.3">
      <c r="A24265" s="12"/>
    </row>
    <row r="24266" spans="1:1" x14ac:dyDescent="0.3">
      <c r="A24266" s="12"/>
    </row>
    <row r="24267" spans="1:1" x14ac:dyDescent="0.3">
      <c r="A24267" s="12"/>
    </row>
    <row r="24268" spans="1:1" x14ac:dyDescent="0.3">
      <c r="A24268" s="12"/>
    </row>
    <row r="24269" spans="1:1" x14ac:dyDescent="0.3">
      <c r="A24269" s="12"/>
    </row>
    <row r="24270" spans="1:1" x14ac:dyDescent="0.3">
      <c r="A24270" s="12"/>
    </row>
    <row r="24271" spans="1:1" x14ac:dyDescent="0.3">
      <c r="A24271" s="12"/>
    </row>
    <row r="24272" spans="1:1" x14ac:dyDescent="0.3">
      <c r="A24272" s="12"/>
    </row>
    <row r="24273" spans="1:1" x14ac:dyDescent="0.3">
      <c r="A24273" s="12"/>
    </row>
    <row r="24274" spans="1:1" x14ac:dyDescent="0.3">
      <c r="A24274" s="12"/>
    </row>
    <row r="24275" spans="1:1" x14ac:dyDescent="0.3">
      <c r="A24275" s="12"/>
    </row>
    <row r="24276" spans="1:1" x14ac:dyDescent="0.3">
      <c r="A24276" s="12"/>
    </row>
    <row r="24277" spans="1:1" x14ac:dyDescent="0.3">
      <c r="A24277" s="12"/>
    </row>
    <row r="24278" spans="1:1" x14ac:dyDescent="0.3">
      <c r="A24278" s="12"/>
    </row>
    <row r="24279" spans="1:1" x14ac:dyDescent="0.3">
      <c r="A24279" s="12"/>
    </row>
    <row r="24280" spans="1:1" x14ac:dyDescent="0.3">
      <c r="A24280" s="12"/>
    </row>
    <row r="24281" spans="1:1" x14ac:dyDescent="0.3">
      <c r="A24281" s="12"/>
    </row>
    <row r="24282" spans="1:1" x14ac:dyDescent="0.3">
      <c r="A24282" s="12"/>
    </row>
    <row r="24283" spans="1:1" x14ac:dyDescent="0.3">
      <c r="A24283" s="12"/>
    </row>
    <row r="24284" spans="1:1" x14ac:dyDescent="0.3">
      <c r="A24284" s="12"/>
    </row>
    <row r="24285" spans="1:1" x14ac:dyDescent="0.3">
      <c r="A24285" s="12"/>
    </row>
    <row r="24286" spans="1:1" x14ac:dyDescent="0.3">
      <c r="A24286" s="12"/>
    </row>
    <row r="24287" spans="1:1" x14ac:dyDescent="0.3">
      <c r="A24287" s="12"/>
    </row>
    <row r="24288" spans="1:1" x14ac:dyDescent="0.3">
      <c r="A24288" s="12"/>
    </row>
    <row r="24289" spans="1:1" x14ac:dyDescent="0.3">
      <c r="A24289" s="12"/>
    </row>
    <row r="24290" spans="1:1" x14ac:dyDescent="0.3">
      <c r="A24290" s="12"/>
    </row>
    <row r="24291" spans="1:1" x14ac:dyDescent="0.3">
      <c r="A24291" s="12"/>
    </row>
    <row r="24292" spans="1:1" x14ac:dyDescent="0.3">
      <c r="A24292" s="12"/>
    </row>
    <row r="24293" spans="1:1" x14ac:dyDescent="0.3">
      <c r="A24293" s="12"/>
    </row>
    <row r="24294" spans="1:1" x14ac:dyDescent="0.3">
      <c r="A24294" s="12"/>
    </row>
    <row r="24295" spans="1:1" x14ac:dyDescent="0.3">
      <c r="A24295" s="12"/>
    </row>
    <row r="24296" spans="1:1" x14ac:dyDescent="0.3">
      <c r="A24296" s="12"/>
    </row>
    <row r="24297" spans="1:1" x14ac:dyDescent="0.3">
      <c r="A24297" s="12"/>
    </row>
    <row r="24298" spans="1:1" x14ac:dyDescent="0.3">
      <c r="A24298" s="12"/>
    </row>
    <row r="24299" spans="1:1" x14ac:dyDescent="0.3">
      <c r="A24299" s="12"/>
    </row>
    <row r="24300" spans="1:1" x14ac:dyDescent="0.3">
      <c r="A24300" s="12"/>
    </row>
    <row r="24301" spans="1:1" x14ac:dyDescent="0.3">
      <c r="A24301" s="12"/>
    </row>
    <row r="24302" spans="1:1" x14ac:dyDescent="0.3">
      <c r="A24302" s="12"/>
    </row>
    <row r="24303" spans="1:1" x14ac:dyDescent="0.3">
      <c r="A24303" s="12"/>
    </row>
    <row r="24304" spans="1:1" x14ac:dyDescent="0.3">
      <c r="A24304" s="12"/>
    </row>
    <row r="24305" spans="1:1" x14ac:dyDescent="0.3">
      <c r="A24305" s="12"/>
    </row>
    <row r="24306" spans="1:1" x14ac:dyDescent="0.3">
      <c r="A24306" s="12"/>
    </row>
    <row r="24307" spans="1:1" x14ac:dyDescent="0.3">
      <c r="A24307" s="12"/>
    </row>
    <row r="24308" spans="1:1" x14ac:dyDescent="0.3">
      <c r="A24308" s="12"/>
    </row>
    <row r="24309" spans="1:1" x14ac:dyDescent="0.3">
      <c r="A24309" s="12"/>
    </row>
    <row r="24310" spans="1:1" x14ac:dyDescent="0.3">
      <c r="A24310" s="12"/>
    </row>
    <row r="24311" spans="1:1" x14ac:dyDescent="0.3">
      <c r="A24311" s="12"/>
    </row>
    <row r="24312" spans="1:1" x14ac:dyDescent="0.3">
      <c r="A24312" s="12"/>
    </row>
    <row r="24313" spans="1:1" x14ac:dyDescent="0.3">
      <c r="A24313" s="12"/>
    </row>
    <row r="24314" spans="1:1" x14ac:dyDescent="0.3">
      <c r="A24314" s="12"/>
    </row>
    <row r="24315" spans="1:1" x14ac:dyDescent="0.3">
      <c r="A24315" s="12"/>
    </row>
    <row r="24316" spans="1:1" x14ac:dyDescent="0.3">
      <c r="A24316" s="12"/>
    </row>
    <row r="24317" spans="1:1" x14ac:dyDescent="0.3">
      <c r="A24317" s="12"/>
    </row>
    <row r="24318" spans="1:1" x14ac:dyDescent="0.3">
      <c r="A24318" s="12"/>
    </row>
    <row r="24319" spans="1:1" x14ac:dyDescent="0.3">
      <c r="A24319" s="12"/>
    </row>
    <row r="24320" spans="1:1" x14ac:dyDescent="0.3">
      <c r="A24320" s="12"/>
    </row>
    <row r="24321" spans="1:1" x14ac:dyDescent="0.3">
      <c r="A24321" s="12"/>
    </row>
    <row r="24322" spans="1:1" x14ac:dyDescent="0.3">
      <c r="A24322" s="12"/>
    </row>
    <row r="24323" spans="1:1" x14ac:dyDescent="0.3">
      <c r="A24323" s="12"/>
    </row>
    <row r="24324" spans="1:1" x14ac:dyDescent="0.3">
      <c r="A24324" s="12"/>
    </row>
    <row r="24325" spans="1:1" x14ac:dyDescent="0.3">
      <c r="A24325" s="12"/>
    </row>
    <row r="24326" spans="1:1" x14ac:dyDescent="0.3">
      <c r="A24326" s="12"/>
    </row>
    <row r="24327" spans="1:1" x14ac:dyDescent="0.3">
      <c r="A24327" s="12"/>
    </row>
    <row r="24328" spans="1:1" x14ac:dyDescent="0.3">
      <c r="A24328" s="12"/>
    </row>
    <row r="24329" spans="1:1" x14ac:dyDescent="0.3">
      <c r="A24329" s="12"/>
    </row>
    <row r="24330" spans="1:1" x14ac:dyDescent="0.3">
      <c r="A24330" s="12"/>
    </row>
    <row r="24331" spans="1:1" x14ac:dyDescent="0.3">
      <c r="A24331" s="12"/>
    </row>
    <row r="24332" spans="1:1" x14ac:dyDescent="0.3">
      <c r="A24332" s="12"/>
    </row>
    <row r="24333" spans="1:1" x14ac:dyDescent="0.3">
      <c r="A24333" s="12"/>
    </row>
    <row r="24334" spans="1:1" x14ac:dyDescent="0.3">
      <c r="A24334" s="12"/>
    </row>
    <row r="24335" spans="1:1" x14ac:dyDescent="0.3">
      <c r="A24335" s="12"/>
    </row>
    <row r="24336" spans="1:1" x14ac:dyDescent="0.3">
      <c r="A24336" s="12"/>
    </row>
    <row r="24337" spans="1:1" x14ac:dyDescent="0.3">
      <c r="A24337" s="12"/>
    </row>
    <row r="24338" spans="1:1" x14ac:dyDescent="0.3">
      <c r="A24338" s="12"/>
    </row>
    <row r="24339" spans="1:1" x14ac:dyDescent="0.3">
      <c r="A24339" s="12"/>
    </row>
    <row r="24340" spans="1:1" x14ac:dyDescent="0.3">
      <c r="A24340" s="12"/>
    </row>
    <row r="24341" spans="1:1" x14ac:dyDescent="0.3">
      <c r="A24341" s="12"/>
    </row>
    <row r="24342" spans="1:1" x14ac:dyDescent="0.3">
      <c r="A24342" s="12"/>
    </row>
    <row r="24343" spans="1:1" x14ac:dyDescent="0.3">
      <c r="A24343" s="12"/>
    </row>
    <row r="24344" spans="1:1" x14ac:dyDescent="0.3">
      <c r="A24344" s="12"/>
    </row>
    <row r="24345" spans="1:1" x14ac:dyDescent="0.3">
      <c r="A24345" s="12"/>
    </row>
    <row r="24346" spans="1:1" x14ac:dyDescent="0.3">
      <c r="A24346" s="12"/>
    </row>
    <row r="24347" spans="1:1" x14ac:dyDescent="0.3">
      <c r="A24347" s="12"/>
    </row>
    <row r="24348" spans="1:1" x14ac:dyDescent="0.3">
      <c r="A24348" s="12"/>
    </row>
    <row r="24349" spans="1:1" x14ac:dyDescent="0.3">
      <c r="A24349" s="12"/>
    </row>
    <row r="24350" spans="1:1" x14ac:dyDescent="0.3">
      <c r="A24350" s="12"/>
    </row>
    <row r="24351" spans="1:1" x14ac:dyDescent="0.3">
      <c r="A24351" s="12"/>
    </row>
    <row r="24352" spans="1:1" x14ac:dyDescent="0.3">
      <c r="A24352" s="12"/>
    </row>
    <row r="24353" spans="1:1" x14ac:dyDescent="0.3">
      <c r="A24353" s="12"/>
    </row>
    <row r="24354" spans="1:1" x14ac:dyDescent="0.3">
      <c r="A24354" s="12"/>
    </row>
    <row r="24355" spans="1:1" x14ac:dyDescent="0.3">
      <c r="A24355" s="12"/>
    </row>
    <row r="24356" spans="1:1" x14ac:dyDescent="0.3">
      <c r="A24356" s="12"/>
    </row>
    <row r="24357" spans="1:1" x14ac:dyDescent="0.3">
      <c r="A24357" s="12"/>
    </row>
    <row r="24358" spans="1:1" x14ac:dyDescent="0.3">
      <c r="A24358" s="12"/>
    </row>
    <row r="24359" spans="1:1" x14ac:dyDescent="0.3">
      <c r="A24359" s="12"/>
    </row>
    <row r="24360" spans="1:1" x14ac:dyDescent="0.3">
      <c r="A24360" s="12"/>
    </row>
    <row r="24361" spans="1:1" x14ac:dyDescent="0.3">
      <c r="A24361" s="12"/>
    </row>
    <row r="24362" spans="1:1" x14ac:dyDescent="0.3">
      <c r="A24362" s="12"/>
    </row>
    <row r="24363" spans="1:1" x14ac:dyDescent="0.3">
      <c r="A24363" s="12"/>
    </row>
    <row r="24364" spans="1:1" x14ac:dyDescent="0.3">
      <c r="A24364" s="12"/>
    </row>
    <row r="24365" spans="1:1" x14ac:dyDescent="0.3">
      <c r="A24365" s="12"/>
    </row>
    <row r="24366" spans="1:1" x14ac:dyDescent="0.3">
      <c r="A24366" s="12"/>
    </row>
    <row r="24367" spans="1:1" x14ac:dyDescent="0.3">
      <c r="A24367" s="12"/>
    </row>
    <row r="24368" spans="1:1" x14ac:dyDescent="0.3">
      <c r="A24368" s="12"/>
    </row>
    <row r="24369" spans="1:1" x14ac:dyDescent="0.3">
      <c r="A24369" s="12"/>
    </row>
    <row r="24370" spans="1:1" x14ac:dyDescent="0.3">
      <c r="A24370" s="12"/>
    </row>
    <row r="24371" spans="1:1" x14ac:dyDescent="0.3">
      <c r="A24371" s="12"/>
    </row>
    <row r="24372" spans="1:1" x14ac:dyDescent="0.3">
      <c r="A24372" s="12"/>
    </row>
    <row r="24373" spans="1:1" x14ac:dyDescent="0.3">
      <c r="A24373" s="12"/>
    </row>
    <row r="24374" spans="1:1" x14ac:dyDescent="0.3">
      <c r="A24374" s="12"/>
    </row>
    <row r="24375" spans="1:1" x14ac:dyDescent="0.3">
      <c r="A24375" s="12"/>
    </row>
    <row r="24376" spans="1:1" x14ac:dyDescent="0.3">
      <c r="A24376" s="12"/>
    </row>
    <row r="24377" spans="1:1" x14ac:dyDescent="0.3">
      <c r="A24377" s="12"/>
    </row>
    <row r="24378" spans="1:1" x14ac:dyDescent="0.3">
      <c r="A24378" s="12"/>
    </row>
    <row r="24379" spans="1:1" x14ac:dyDescent="0.3">
      <c r="A24379" s="12"/>
    </row>
    <row r="24380" spans="1:1" x14ac:dyDescent="0.3">
      <c r="A24380" s="12"/>
    </row>
    <row r="24381" spans="1:1" x14ac:dyDescent="0.3">
      <c r="A24381" s="12"/>
    </row>
    <row r="24382" spans="1:1" x14ac:dyDescent="0.3">
      <c r="A24382" s="12"/>
    </row>
    <row r="24383" spans="1:1" x14ac:dyDescent="0.3">
      <c r="A24383" s="12"/>
    </row>
    <row r="24384" spans="1:1" x14ac:dyDescent="0.3">
      <c r="A24384" s="12"/>
    </row>
    <row r="24385" spans="1:1" x14ac:dyDescent="0.3">
      <c r="A24385" s="12"/>
    </row>
    <row r="24386" spans="1:1" x14ac:dyDescent="0.3">
      <c r="A24386" s="12"/>
    </row>
    <row r="24387" spans="1:1" x14ac:dyDescent="0.3">
      <c r="A24387" s="12"/>
    </row>
    <row r="24388" spans="1:1" x14ac:dyDescent="0.3">
      <c r="A24388" s="12"/>
    </row>
    <row r="24389" spans="1:1" x14ac:dyDescent="0.3">
      <c r="A24389" s="12"/>
    </row>
    <row r="24390" spans="1:1" x14ac:dyDescent="0.3">
      <c r="A24390" s="12"/>
    </row>
    <row r="24391" spans="1:1" x14ac:dyDescent="0.3">
      <c r="A24391" s="12"/>
    </row>
    <row r="24392" spans="1:1" x14ac:dyDescent="0.3">
      <c r="A24392" s="12"/>
    </row>
    <row r="24393" spans="1:1" x14ac:dyDescent="0.3">
      <c r="A24393" s="12"/>
    </row>
    <row r="24394" spans="1:1" x14ac:dyDescent="0.3">
      <c r="A24394" s="12"/>
    </row>
    <row r="24395" spans="1:1" x14ac:dyDescent="0.3">
      <c r="A24395" s="12"/>
    </row>
    <row r="24396" spans="1:1" x14ac:dyDescent="0.3">
      <c r="A24396" s="12"/>
    </row>
    <row r="24397" spans="1:1" x14ac:dyDescent="0.3">
      <c r="A24397" s="12"/>
    </row>
    <row r="24398" spans="1:1" x14ac:dyDescent="0.3">
      <c r="A24398" s="12"/>
    </row>
    <row r="24399" spans="1:1" x14ac:dyDescent="0.3">
      <c r="A24399" s="12"/>
    </row>
    <row r="24400" spans="1:1" x14ac:dyDescent="0.3">
      <c r="A24400" s="12"/>
    </row>
    <row r="24401" spans="1:1" x14ac:dyDescent="0.3">
      <c r="A24401" s="12"/>
    </row>
    <row r="24402" spans="1:1" x14ac:dyDescent="0.3">
      <c r="A24402" s="12"/>
    </row>
    <row r="24403" spans="1:1" x14ac:dyDescent="0.3">
      <c r="A24403" s="12"/>
    </row>
    <row r="24404" spans="1:1" x14ac:dyDescent="0.3">
      <c r="A24404" s="12"/>
    </row>
    <row r="24405" spans="1:1" x14ac:dyDescent="0.3">
      <c r="A24405" s="12"/>
    </row>
    <row r="24406" spans="1:1" x14ac:dyDescent="0.3">
      <c r="A24406" s="12"/>
    </row>
    <row r="24407" spans="1:1" x14ac:dyDescent="0.3">
      <c r="A24407" s="12"/>
    </row>
    <row r="24408" spans="1:1" x14ac:dyDescent="0.3">
      <c r="A24408" s="12"/>
    </row>
    <row r="24409" spans="1:1" x14ac:dyDescent="0.3">
      <c r="A24409" s="12"/>
    </row>
    <row r="24410" spans="1:1" x14ac:dyDescent="0.3">
      <c r="A24410" s="12"/>
    </row>
    <row r="24411" spans="1:1" x14ac:dyDescent="0.3">
      <c r="A24411" s="12"/>
    </row>
    <row r="24412" spans="1:1" x14ac:dyDescent="0.3">
      <c r="A24412" s="12"/>
    </row>
    <row r="24413" spans="1:1" x14ac:dyDescent="0.3">
      <c r="A24413" s="12"/>
    </row>
    <row r="24414" spans="1:1" x14ac:dyDescent="0.3">
      <c r="A24414" s="12"/>
    </row>
    <row r="24415" spans="1:1" x14ac:dyDescent="0.3">
      <c r="A24415" s="12"/>
    </row>
    <row r="24416" spans="1:1" x14ac:dyDescent="0.3">
      <c r="A24416" s="12"/>
    </row>
    <row r="24417" spans="1:1" x14ac:dyDescent="0.3">
      <c r="A24417" s="12"/>
    </row>
    <row r="24418" spans="1:1" x14ac:dyDescent="0.3">
      <c r="A24418" s="12"/>
    </row>
    <row r="24419" spans="1:1" x14ac:dyDescent="0.3">
      <c r="A24419" s="12"/>
    </row>
    <row r="24420" spans="1:1" x14ac:dyDescent="0.3">
      <c r="A24420" s="12"/>
    </row>
    <row r="24421" spans="1:1" x14ac:dyDescent="0.3">
      <c r="A24421" s="12"/>
    </row>
    <row r="24422" spans="1:1" x14ac:dyDescent="0.3">
      <c r="A24422" s="12"/>
    </row>
    <row r="24423" spans="1:1" x14ac:dyDescent="0.3">
      <c r="A24423" s="12"/>
    </row>
    <row r="24424" spans="1:1" x14ac:dyDescent="0.3">
      <c r="A24424" s="12"/>
    </row>
    <row r="24425" spans="1:1" x14ac:dyDescent="0.3">
      <c r="A24425" s="12"/>
    </row>
    <row r="24426" spans="1:1" x14ac:dyDescent="0.3">
      <c r="A24426" s="12"/>
    </row>
    <row r="24427" spans="1:1" x14ac:dyDescent="0.3">
      <c r="A24427" s="12"/>
    </row>
    <row r="24428" spans="1:1" x14ac:dyDescent="0.3">
      <c r="A24428" s="12"/>
    </row>
    <row r="24429" spans="1:1" x14ac:dyDescent="0.3">
      <c r="A24429" s="12"/>
    </row>
    <row r="24430" spans="1:1" x14ac:dyDescent="0.3">
      <c r="A24430" s="12"/>
    </row>
    <row r="24431" spans="1:1" x14ac:dyDescent="0.3">
      <c r="A24431" s="12"/>
    </row>
    <row r="24432" spans="1:1" x14ac:dyDescent="0.3">
      <c r="A24432" s="12"/>
    </row>
    <row r="24433" spans="1:1" x14ac:dyDescent="0.3">
      <c r="A24433" s="12"/>
    </row>
    <row r="24434" spans="1:1" x14ac:dyDescent="0.3">
      <c r="A24434" s="12"/>
    </row>
    <row r="24435" spans="1:1" x14ac:dyDescent="0.3">
      <c r="A24435" s="12"/>
    </row>
    <row r="24436" spans="1:1" x14ac:dyDescent="0.3">
      <c r="A24436" s="12"/>
    </row>
    <row r="24437" spans="1:1" x14ac:dyDescent="0.3">
      <c r="A24437" s="12"/>
    </row>
    <row r="24438" spans="1:1" x14ac:dyDescent="0.3">
      <c r="A24438" s="12"/>
    </row>
    <row r="24439" spans="1:1" x14ac:dyDescent="0.3">
      <c r="A24439" s="12"/>
    </row>
    <row r="24440" spans="1:1" x14ac:dyDescent="0.3">
      <c r="A24440" s="12"/>
    </row>
    <row r="24441" spans="1:1" x14ac:dyDescent="0.3">
      <c r="A24441" s="12"/>
    </row>
    <row r="24442" spans="1:1" x14ac:dyDescent="0.3">
      <c r="A24442" s="12"/>
    </row>
    <row r="24443" spans="1:1" x14ac:dyDescent="0.3">
      <c r="A24443" s="12"/>
    </row>
    <row r="24444" spans="1:1" x14ac:dyDescent="0.3">
      <c r="A24444" s="12"/>
    </row>
    <row r="24445" spans="1:1" x14ac:dyDescent="0.3">
      <c r="A24445" s="12"/>
    </row>
    <row r="24446" spans="1:1" x14ac:dyDescent="0.3">
      <c r="A24446" s="12"/>
    </row>
    <row r="24447" spans="1:1" x14ac:dyDescent="0.3">
      <c r="A24447" s="12"/>
    </row>
    <row r="24448" spans="1:1" x14ac:dyDescent="0.3">
      <c r="A24448" s="12"/>
    </row>
    <row r="24449" spans="1:1" x14ac:dyDescent="0.3">
      <c r="A24449" s="12"/>
    </row>
    <row r="24450" spans="1:1" x14ac:dyDescent="0.3">
      <c r="A24450" s="12"/>
    </row>
    <row r="24451" spans="1:1" x14ac:dyDescent="0.3">
      <c r="A24451" s="12"/>
    </row>
    <row r="24452" spans="1:1" x14ac:dyDescent="0.3">
      <c r="A24452" s="12"/>
    </row>
    <row r="24453" spans="1:1" x14ac:dyDescent="0.3">
      <c r="A24453" s="12"/>
    </row>
    <row r="24454" spans="1:1" x14ac:dyDescent="0.3">
      <c r="A24454" s="12"/>
    </row>
    <row r="24455" spans="1:1" x14ac:dyDescent="0.3">
      <c r="A24455" s="12"/>
    </row>
    <row r="24456" spans="1:1" x14ac:dyDescent="0.3">
      <c r="A24456" s="12"/>
    </row>
    <row r="24457" spans="1:1" x14ac:dyDescent="0.3">
      <c r="A24457" s="12"/>
    </row>
    <row r="24458" spans="1:1" x14ac:dyDescent="0.3">
      <c r="A24458" s="12"/>
    </row>
    <row r="24459" spans="1:1" x14ac:dyDescent="0.3">
      <c r="A24459" s="12"/>
    </row>
    <row r="24460" spans="1:1" x14ac:dyDescent="0.3">
      <c r="A24460" s="12"/>
    </row>
    <row r="24461" spans="1:1" x14ac:dyDescent="0.3">
      <c r="A24461" s="12"/>
    </row>
    <row r="24462" spans="1:1" x14ac:dyDescent="0.3">
      <c r="A24462" s="12"/>
    </row>
    <row r="24463" spans="1:1" x14ac:dyDescent="0.3">
      <c r="A24463" s="12"/>
    </row>
    <row r="24464" spans="1:1" x14ac:dyDescent="0.3">
      <c r="A24464" s="12"/>
    </row>
    <row r="24465" spans="1:1" x14ac:dyDescent="0.3">
      <c r="A24465" s="12"/>
    </row>
    <row r="24466" spans="1:1" x14ac:dyDescent="0.3">
      <c r="A24466" s="12"/>
    </row>
    <row r="24467" spans="1:1" x14ac:dyDescent="0.3">
      <c r="A24467" s="12"/>
    </row>
    <row r="24468" spans="1:1" x14ac:dyDescent="0.3">
      <c r="A24468" s="12"/>
    </row>
    <row r="24469" spans="1:1" x14ac:dyDescent="0.3">
      <c r="A24469" s="12"/>
    </row>
    <row r="24470" spans="1:1" x14ac:dyDescent="0.3">
      <c r="A24470" s="12"/>
    </row>
    <row r="24471" spans="1:1" x14ac:dyDescent="0.3">
      <c r="A24471" s="12"/>
    </row>
    <row r="24472" spans="1:1" x14ac:dyDescent="0.3">
      <c r="A24472" s="12"/>
    </row>
    <row r="24473" spans="1:1" x14ac:dyDescent="0.3">
      <c r="A24473" s="12"/>
    </row>
    <row r="24474" spans="1:1" x14ac:dyDescent="0.3">
      <c r="A24474" s="12"/>
    </row>
    <row r="24475" spans="1:1" x14ac:dyDescent="0.3">
      <c r="A24475" s="12"/>
    </row>
    <row r="24476" spans="1:1" x14ac:dyDescent="0.3">
      <c r="A24476" s="12"/>
    </row>
    <row r="24477" spans="1:1" x14ac:dyDescent="0.3">
      <c r="A24477" s="12"/>
    </row>
    <row r="24478" spans="1:1" x14ac:dyDescent="0.3">
      <c r="A24478" s="12"/>
    </row>
    <row r="24479" spans="1:1" x14ac:dyDescent="0.3">
      <c r="A24479" s="12"/>
    </row>
    <row r="24480" spans="1:1" x14ac:dyDescent="0.3">
      <c r="A24480" s="12"/>
    </row>
    <row r="24481" spans="1:1" x14ac:dyDescent="0.3">
      <c r="A24481" s="12"/>
    </row>
    <row r="24482" spans="1:1" x14ac:dyDescent="0.3">
      <c r="A24482" s="12"/>
    </row>
    <row r="24483" spans="1:1" x14ac:dyDescent="0.3">
      <c r="A24483" s="12"/>
    </row>
    <row r="24484" spans="1:1" x14ac:dyDescent="0.3">
      <c r="A24484" s="12"/>
    </row>
    <row r="24485" spans="1:1" x14ac:dyDescent="0.3">
      <c r="A24485" s="12"/>
    </row>
    <row r="24486" spans="1:1" x14ac:dyDescent="0.3">
      <c r="A24486" s="12"/>
    </row>
    <row r="24487" spans="1:1" x14ac:dyDescent="0.3">
      <c r="A24487" s="12"/>
    </row>
    <row r="24488" spans="1:1" x14ac:dyDescent="0.3">
      <c r="A24488" s="12"/>
    </row>
    <row r="24489" spans="1:1" x14ac:dyDescent="0.3">
      <c r="A24489" s="12"/>
    </row>
    <row r="24490" spans="1:1" x14ac:dyDescent="0.3">
      <c r="A24490" s="12"/>
    </row>
    <row r="24491" spans="1:1" x14ac:dyDescent="0.3">
      <c r="A24491" s="12"/>
    </row>
    <row r="24492" spans="1:1" x14ac:dyDescent="0.3">
      <c r="A24492" s="12"/>
    </row>
    <row r="24493" spans="1:1" x14ac:dyDescent="0.3">
      <c r="A24493" s="12"/>
    </row>
    <row r="24494" spans="1:1" x14ac:dyDescent="0.3">
      <c r="A24494" s="12"/>
    </row>
    <row r="24495" spans="1:1" x14ac:dyDescent="0.3">
      <c r="A24495" s="12"/>
    </row>
    <row r="24496" spans="1:1" x14ac:dyDescent="0.3">
      <c r="A24496" s="12"/>
    </row>
    <row r="24497" spans="1:1" x14ac:dyDescent="0.3">
      <c r="A24497" s="12"/>
    </row>
    <row r="24498" spans="1:1" x14ac:dyDescent="0.3">
      <c r="A24498" s="12"/>
    </row>
    <row r="24499" spans="1:1" x14ac:dyDescent="0.3">
      <c r="A24499" s="12"/>
    </row>
    <row r="24500" spans="1:1" x14ac:dyDescent="0.3">
      <c r="A24500" s="12"/>
    </row>
    <row r="24501" spans="1:1" x14ac:dyDescent="0.3">
      <c r="A24501" s="12"/>
    </row>
    <row r="24502" spans="1:1" x14ac:dyDescent="0.3">
      <c r="A24502" s="12"/>
    </row>
    <row r="24503" spans="1:1" x14ac:dyDescent="0.3">
      <c r="A24503" s="12"/>
    </row>
    <row r="24504" spans="1:1" x14ac:dyDescent="0.3">
      <c r="A24504" s="12"/>
    </row>
    <row r="24505" spans="1:1" x14ac:dyDescent="0.3">
      <c r="A24505" s="12"/>
    </row>
    <row r="24506" spans="1:1" x14ac:dyDescent="0.3">
      <c r="A24506" s="12"/>
    </row>
    <row r="24507" spans="1:1" x14ac:dyDescent="0.3">
      <c r="A24507" s="12"/>
    </row>
    <row r="24508" spans="1:1" x14ac:dyDescent="0.3">
      <c r="A24508" s="12"/>
    </row>
    <row r="24509" spans="1:1" x14ac:dyDescent="0.3">
      <c r="A24509" s="12"/>
    </row>
    <row r="24510" spans="1:1" x14ac:dyDescent="0.3">
      <c r="A24510" s="12"/>
    </row>
    <row r="24511" spans="1:1" x14ac:dyDescent="0.3">
      <c r="A24511" s="12"/>
    </row>
    <row r="24512" spans="1:1" x14ac:dyDescent="0.3">
      <c r="A24512" s="12"/>
    </row>
    <row r="24513" spans="1:1" x14ac:dyDescent="0.3">
      <c r="A24513" s="12"/>
    </row>
    <row r="24514" spans="1:1" x14ac:dyDescent="0.3">
      <c r="A24514" s="12"/>
    </row>
    <row r="24515" spans="1:1" x14ac:dyDescent="0.3">
      <c r="A24515" s="12"/>
    </row>
    <row r="24516" spans="1:1" x14ac:dyDescent="0.3">
      <c r="A24516" s="12"/>
    </row>
    <row r="24517" spans="1:1" x14ac:dyDescent="0.3">
      <c r="A24517" s="12"/>
    </row>
    <row r="24518" spans="1:1" x14ac:dyDescent="0.3">
      <c r="A24518" s="12"/>
    </row>
    <row r="24519" spans="1:1" x14ac:dyDescent="0.3">
      <c r="A24519" s="12"/>
    </row>
    <row r="24520" spans="1:1" x14ac:dyDescent="0.3">
      <c r="A24520" s="12"/>
    </row>
    <row r="24521" spans="1:1" x14ac:dyDescent="0.3">
      <c r="A24521" s="12"/>
    </row>
    <row r="24522" spans="1:1" x14ac:dyDescent="0.3">
      <c r="A24522" s="12"/>
    </row>
    <row r="24523" spans="1:1" x14ac:dyDescent="0.3">
      <c r="A24523" s="12"/>
    </row>
    <row r="24524" spans="1:1" x14ac:dyDescent="0.3">
      <c r="A24524" s="12"/>
    </row>
    <row r="24525" spans="1:1" x14ac:dyDescent="0.3">
      <c r="A24525" s="12"/>
    </row>
    <row r="24526" spans="1:1" x14ac:dyDescent="0.3">
      <c r="A24526" s="12"/>
    </row>
    <row r="24527" spans="1:1" x14ac:dyDescent="0.3">
      <c r="A24527" s="12"/>
    </row>
    <row r="24528" spans="1:1" x14ac:dyDescent="0.3">
      <c r="A24528" s="12"/>
    </row>
    <row r="24529" spans="1:1" x14ac:dyDescent="0.3">
      <c r="A24529" s="12"/>
    </row>
    <row r="24530" spans="1:1" x14ac:dyDescent="0.3">
      <c r="A24530" s="12"/>
    </row>
    <row r="24531" spans="1:1" x14ac:dyDescent="0.3">
      <c r="A24531" s="12"/>
    </row>
    <row r="24532" spans="1:1" x14ac:dyDescent="0.3">
      <c r="A24532" s="12"/>
    </row>
    <row r="24533" spans="1:1" x14ac:dyDescent="0.3">
      <c r="A24533" s="12"/>
    </row>
    <row r="24534" spans="1:1" x14ac:dyDescent="0.3">
      <c r="A24534" s="12"/>
    </row>
    <row r="24535" spans="1:1" x14ac:dyDescent="0.3">
      <c r="A24535" s="12"/>
    </row>
    <row r="24536" spans="1:1" x14ac:dyDescent="0.3">
      <c r="A24536" s="12"/>
    </row>
    <row r="24537" spans="1:1" x14ac:dyDescent="0.3">
      <c r="A24537" s="12"/>
    </row>
    <row r="24538" spans="1:1" x14ac:dyDescent="0.3">
      <c r="A24538" s="12"/>
    </row>
    <row r="24539" spans="1:1" x14ac:dyDescent="0.3">
      <c r="A24539" s="12"/>
    </row>
    <row r="24540" spans="1:1" x14ac:dyDescent="0.3">
      <c r="A24540" s="12"/>
    </row>
    <row r="24541" spans="1:1" x14ac:dyDescent="0.3">
      <c r="A24541" s="12"/>
    </row>
    <row r="24542" spans="1:1" x14ac:dyDescent="0.3">
      <c r="A24542" s="12"/>
    </row>
    <row r="24543" spans="1:1" x14ac:dyDescent="0.3">
      <c r="A24543" s="12"/>
    </row>
    <row r="24544" spans="1:1" x14ac:dyDescent="0.3">
      <c r="A24544" s="12"/>
    </row>
    <row r="24545" spans="1:1" x14ac:dyDescent="0.3">
      <c r="A24545" s="12"/>
    </row>
    <row r="24546" spans="1:1" x14ac:dyDescent="0.3">
      <c r="A24546" s="12"/>
    </row>
    <row r="24547" spans="1:1" x14ac:dyDescent="0.3">
      <c r="A24547" s="12"/>
    </row>
    <row r="24548" spans="1:1" x14ac:dyDescent="0.3">
      <c r="A24548" s="12"/>
    </row>
    <row r="24549" spans="1:1" x14ac:dyDescent="0.3">
      <c r="A24549" s="12"/>
    </row>
    <row r="24550" spans="1:1" x14ac:dyDescent="0.3">
      <c r="A24550" s="12"/>
    </row>
    <row r="24551" spans="1:1" x14ac:dyDescent="0.3">
      <c r="A24551" s="12"/>
    </row>
    <row r="24552" spans="1:1" x14ac:dyDescent="0.3">
      <c r="A24552" s="12"/>
    </row>
    <row r="24553" spans="1:1" x14ac:dyDescent="0.3">
      <c r="A24553" s="12"/>
    </row>
    <row r="24554" spans="1:1" x14ac:dyDescent="0.3">
      <c r="A24554" s="12"/>
    </row>
    <row r="24555" spans="1:1" x14ac:dyDescent="0.3">
      <c r="A24555" s="12"/>
    </row>
    <row r="24556" spans="1:1" x14ac:dyDescent="0.3">
      <c r="A24556" s="12"/>
    </row>
    <row r="24557" spans="1:1" x14ac:dyDescent="0.3">
      <c r="A24557" s="12"/>
    </row>
    <row r="24558" spans="1:1" x14ac:dyDescent="0.3">
      <c r="A24558" s="12"/>
    </row>
    <row r="24559" spans="1:1" x14ac:dyDescent="0.3">
      <c r="A24559" s="12"/>
    </row>
    <row r="24560" spans="1:1" x14ac:dyDescent="0.3">
      <c r="A24560" s="12"/>
    </row>
    <row r="24561" spans="1:1" x14ac:dyDescent="0.3">
      <c r="A24561" s="12"/>
    </row>
    <row r="24562" spans="1:1" x14ac:dyDescent="0.3">
      <c r="A24562" s="12"/>
    </row>
    <row r="24563" spans="1:1" x14ac:dyDescent="0.3">
      <c r="A24563" s="12"/>
    </row>
    <row r="24564" spans="1:1" x14ac:dyDescent="0.3">
      <c r="A24564" s="12"/>
    </row>
    <row r="24565" spans="1:1" x14ac:dyDescent="0.3">
      <c r="A24565" s="12"/>
    </row>
    <row r="24566" spans="1:1" x14ac:dyDescent="0.3">
      <c r="A24566" s="12"/>
    </row>
    <row r="24567" spans="1:1" x14ac:dyDescent="0.3">
      <c r="A24567" s="12"/>
    </row>
    <row r="24568" spans="1:1" x14ac:dyDescent="0.3">
      <c r="A24568" s="12"/>
    </row>
    <row r="24569" spans="1:1" x14ac:dyDescent="0.3">
      <c r="A24569" s="12"/>
    </row>
    <row r="24570" spans="1:1" x14ac:dyDescent="0.3">
      <c r="A24570" s="12"/>
    </row>
    <row r="24571" spans="1:1" x14ac:dyDescent="0.3">
      <c r="A24571" s="12"/>
    </row>
    <row r="24572" spans="1:1" x14ac:dyDescent="0.3">
      <c r="A24572" s="12"/>
    </row>
    <row r="24573" spans="1:1" x14ac:dyDescent="0.3">
      <c r="A24573" s="12"/>
    </row>
    <row r="24574" spans="1:1" x14ac:dyDescent="0.3">
      <c r="A24574" s="12"/>
    </row>
    <row r="24575" spans="1:1" x14ac:dyDescent="0.3">
      <c r="A24575" s="12"/>
    </row>
    <row r="24576" spans="1:1" x14ac:dyDescent="0.3">
      <c r="A24576" s="12"/>
    </row>
    <row r="24577" spans="1:1" x14ac:dyDescent="0.3">
      <c r="A24577" s="12"/>
    </row>
    <row r="24578" spans="1:1" x14ac:dyDescent="0.3">
      <c r="A24578" s="12"/>
    </row>
    <row r="24579" spans="1:1" x14ac:dyDescent="0.3">
      <c r="A24579" s="12"/>
    </row>
    <row r="24580" spans="1:1" x14ac:dyDescent="0.3">
      <c r="A24580" s="12"/>
    </row>
    <row r="24581" spans="1:1" x14ac:dyDescent="0.3">
      <c r="A24581" s="12"/>
    </row>
    <row r="24582" spans="1:1" x14ac:dyDescent="0.3">
      <c r="A24582" s="12"/>
    </row>
    <row r="24583" spans="1:1" x14ac:dyDescent="0.3">
      <c r="A24583" s="12"/>
    </row>
    <row r="24584" spans="1:1" x14ac:dyDescent="0.3">
      <c r="A24584" s="12"/>
    </row>
    <row r="24585" spans="1:1" x14ac:dyDescent="0.3">
      <c r="A24585" s="12"/>
    </row>
    <row r="24586" spans="1:1" x14ac:dyDescent="0.3">
      <c r="A24586" s="12"/>
    </row>
    <row r="24587" spans="1:1" x14ac:dyDescent="0.3">
      <c r="A24587" s="12"/>
    </row>
    <row r="24588" spans="1:1" x14ac:dyDescent="0.3">
      <c r="A24588" s="12"/>
    </row>
    <row r="24589" spans="1:1" x14ac:dyDescent="0.3">
      <c r="A24589" s="12"/>
    </row>
    <row r="24590" spans="1:1" x14ac:dyDescent="0.3">
      <c r="A24590" s="12"/>
    </row>
    <row r="24591" spans="1:1" x14ac:dyDescent="0.3">
      <c r="A24591" s="12"/>
    </row>
    <row r="24592" spans="1:1" x14ac:dyDescent="0.3">
      <c r="A24592" s="12"/>
    </row>
    <row r="24593" spans="1:1" x14ac:dyDescent="0.3">
      <c r="A24593" s="12"/>
    </row>
    <row r="24594" spans="1:1" x14ac:dyDescent="0.3">
      <c r="A24594" s="12"/>
    </row>
    <row r="24595" spans="1:1" x14ac:dyDescent="0.3">
      <c r="A24595" s="12"/>
    </row>
    <row r="24596" spans="1:1" x14ac:dyDescent="0.3">
      <c r="A24596" s="12"/>
    </row>
    <row r="24597" spans="1:1" x14ac:dyDescent="0.3">
      <c r="A24597" s="12"/>
    </row>
    <row r="24598" spans="1:1" x14ac:dyDescent="0.3">
      <c r="A24598" s="12"/>
    </row>
    <row r="24599" spans="1:1" x14ac:dyDescent="0.3">
      <c r="A24599" s="12"/>
    </row>
    <row r="24600" spans="1:1" x14ac:dyDescent="0.3">
      <c r="A24600" s="12"/>
    </row>
    <row r="24601" spans="1:1" x14ac:dyDescent="0.3">
      <c r="A24601" s="12"/>
    </row>
    <row r="24602" spans="1:1" x14ac:dyDescent="0.3">
      <c r="A24602" s="12"/>
    </row>
    <row r="24603" spans="1:1" x14ac:dyDescent="0.3">
      <c r="A24603" s="12"/>
    </row>
    <row r="24604" spans="1:1" x14ac:dyDescent="0.3">
      <c r="A24604" s="12"/>
    </row>
    <row r="24605" spans="1:1" x14ac:dyDescent="0.3">
      <c r="A24605" s="12"/>
    </row>
    <row r="24606" spans="1:1" x14ac:dyDescent="0.3">
      <c r="A24606" s="12"/>
    </row>
    <row r="24607" spans="1:1" x14ac:dyDescent="0.3">
      <c r="A24607" s="12"/>
    </row>
    <row r="24608" spans="1:1" x14ac:dyDescent="0.3">
      <c r="A24608" s="12"/>
    </row>
    <row r="24609" spans="1:1" x14ac:dyDescent="0.3">
      <c r="A24609" s="12"/>
    </row>
    <row r="24610" spans="1:1" x14ac:dyDescent="0.3">
      <c r="A24610" s="12"/>
    </row>
    <row r="24611" spans="1:1" x14ac:dyDescent="0.3">
      <c r="A24611" s="12"/>
    </row>
    <row r="24612" spans="1:1" x14ac:dyDescent="0.3">
      <c r="A24612" s="12"/>
    </row>
    <row r="24613" spans="1:1" x14ac:dyDescent="0.3">
      <c r="A24613" s="12"/>
    </row>
    <row r="24614" spans="1:1" x14ac:dyDescent="0.3">
      <c r="A24614" s="12"/>
    </row>
    <row r="24615" spans="1:1" x14ac:dyDescent="0.3">
      <c r="A24615" s="12"/>
    </row>
    <row r="24616" spans="1:1" x14ac:dyDescent="0.3">
      <c r="A24616" s="12"/>
    </row>
    <row r="24617" spans="1:1" x14ac:dyDescent="0.3">
      <c r="A24617" s="12"/>
    </row>
    <row r="24618" spans="1:1" x14ac:dyDescent="0.3">
      <c r="A24618" s="12"/>
    </row>
    <row r="24619" spans="1:1" x14ac:dyDescent="0.3">
      <c r="A24619" s="12"/>
    </row>
    <row r="24620" spans="1:1" x14ac:dyDescent="0.3">
      <c r="A24620" s="12"/>
    </row>
    <row r="24621" spans="1:1" x14ac:dyDescent="0.3">
      <c r="A24621" s="12"/>
    </row>
    <row r="24622" spans="1:1" x14ac:dyDescent="0.3">
      <c r="A24622" s="12"/>
    </row>
    <row r="24623" spans="1:1" x14ac:dyDescent="0.3">
      <c r="A24623" s="12"/>
    </row>
    <row r="24624" spans="1:1" x14ac:dyDescent="0.3">
      <c r="A24624" s="12"/>
    </row>
    <row r="24625" spans="1:1" x14ac:dyDescent="0.3">
      <c r="A24625" s="12"/>
    </row>
    <row r="24626" spans="1:1" x14ac:dyDescent="0.3">
      <c r="A24626" s="12"/>
    </row>
    <row r="24627" spans="1:1" x14ac:dyDescent="0.3">
      <c r="A24627" s="12"/>
    </row>
    <row r="24628" spans="1:1" x14ac:dyDescent="0.3">
      <c r="A24628" s="12"/>
    </row>
    <row r="24629" spans="1:1" x14ac:dyDescent="0.3">
      <c r="A24629" s="12"/>
    </row>
    <row r="24630" spans="1:1" x14ac:dyDescent="0.3">
      <c r="A24630" s="12"/>
    </row>
    <row r="24631" spans="1:1" x14ac:dyDescent="0.3">
      <c r="A24631" s="12"/>
    </row>
    <row r="24632" spans="1:1" x14ac:dyDescent="0.3">
      <c r="A24632" s="12"/>
    </row>
    <row r="24633" spans="1:1" x14ac:dyDescent="0.3">
      <c r="A24633" s="12"/>
    </row>
    <row r="24634" spans="1:1" x14ac:dyDescent="0.3">
      <c r="A24634" s="12"/>
    </row>
    <row r="24635" spans="1:1" x14ac:dyDescent="0.3">
      <c r="A24635" s="12"/>
    </row>
    <row r="24636" spans="1:1" x14ac:dyDescent="0.3">
      <c r="A24636" s="12"/>
    </row>
    <row r="24637" spans="1:1" x14ac:dyDescent="0.3">
      <c r="A24637" s="12"/>
    </row>
    <row r="24638" spans="1:1" x14ac:dyDescent="0.3">
      <c r="A24638" s="12"/>
    </row>
    <row r="24639" spans="1:1" x14ac:dyDescent="0.3">
      <c r="A24639" s="12"/>
    </row>
    <row r="24640" spans="1:1" x14ac:dyDescent="0.3">
      <c r="A24640" s="12"/>
    </row>
    <row r="24641" spans="1:1" x14ac:dyDescent="0.3">
      <c r="A24641" s="12"/>
    </row>
    <row r="24642" spans="1:1" x14ac:dyDescent="0.3">
      <c r="A24642" s="12"/>
    </row>
    <row r="24643" spans="1:1" x14ac:dyDescent="0.3">
      <c r="A24643" s="12"/>
    </row>
    <row r="24644" spans="1:1" x14ac:dyDescent="0.3">
      <c r="A24644" s="12"/>
    </row>
    <row r="24645" spans="1:1" x14ac:dyDescent="0.3">
      <c r="A24645" s="12"/>
    </row>
    <row r="24646" spans="1:1" x14ac:dyDescent="0.3">
      <c r="A24646" s="12"/>
    </row>
    <row r="24647" spans="1:1" x14ac:dyDescent="0.3">
      <c r="A24647" s="12"/>
    </row>
    <row r="24648" spans="1:1" x14ac:dyDescent="0.3">
      <c r="A24648" s="12"/>
    </row>
    <row r="24649" spans="1:1" x14ac:dyDescent="0.3">
      <c r="A24649" s="12"/>
    </row>
    <row r="24650" spans="1:1" x14ac:dyDescent="0.3">
      <c r="A24650" s="12"/>
    </row>
    <row r="24651" spans="1:1" x14ac:dyDescent="0.3">
      <c r="A24651" s="12"/>
    </row>
    <row r="24652" spans="1:1" x14ac:dyDescent="0.3">
      <c r="A24652" s="12"/>
    </row>
    <row r="24653" spans="1:1" x14ac:dyDescent="0.3">
      <c r="A24653" s="12"/>
    </row>
    <row r="24654" spans="1:1" x14ac:dyDescent="0.3">
      <c r="A24654" s="12"/>
    </row>
    <row r="24655" spans="1:1" x14ac:dyDescent="0.3">
      <c r="A24655" s="12"/>
    </row>
    <row r="24656" spans="1:1" x14ac:dyDescent="0.3">
      <c r="A24656" s="12"/>
    </row>
    <row r="24657" spans="1:1" x14ac:dyDescent="0.3">
      <c r="A24657" s="12"/>
    </row>
    <row r="24658" spans="1:1" x14ac:dyDescent="0.3">
      <c r="A24658" s="12"/>
    </row>
    <row r="24659" spans="1:1" x14ac:dyDescent="0.3">
      <c r="A24659" s="12"/>
    </row>
    <row r="24660" spans="1:1" x14ac:dyDescent="0.3">
      <c r="A24660" s="12"/>
    </row>
    <row r="24661" spans="1:1" x14ac:dyDescent="0.3">
      <c r="A24661" s="12"/>
    </row>
    <row r="24662" spans="1:1" x14ac:dyDescent="0.3">
      <c r="A24662" s="12"/>
    </row>
    <row r="24663" spans="1:1" x14ac:dyDescent="0.3">
      <c r="A24663" s="12"/>
    </row>
    <row r="24664" spans="1:1" x14ac:dyDescent="0.3">
      <c r="A24664" s="12"/>
    </row>
    <row r="24665" spans="1:1" x14ac:dyDescent="0.3">
      <c r="A24665" s="12"/>
    </row>
    <row r="24666" spans="1:1" x14ac:dyDescent="0.3">
      <c r="A24666" s="12"/>
    </row>
    <row r="24667" spans="1:1" x14ac:dyDescent="0.3">
      <c r="A24667" s="12"/>
    </row>
    <row r="24668" spans="1:1" x14ac:dyDescent="0.3">
      <c r="A24668" s="12"/>
    </row>
    <row r="24669" spans="1:1" x14ac:dyDescent="0.3">
      <c r="A24669" s="12"/>
    </row>
    <row r="24670" spans="1:1" x14ac:dyDescent="0.3">
      <c r="A24670" s="12"/>
    </row>
    <row r="24671" spans="1:1" x14ac:dyDescent="0.3">
      <c r="A24671" s="12"/>
    </row>
    <row r="24672" spans="1:1" x14ac:dyDescent="0.3">
      <c r="A24672" s="12"/>
    </row>
    <row r="24673" spans="1:1" x14ac:dyDescent="0.3">
      <c r="A24673" s="12"/>
    </row>
    <row r="24674" spans="1:1" x14ac:dyDescent="0.3">
      <c r="A24674" s="12"/>
    </row>
    <row r="24675" spans="1:1" x14ac:dyDescent="0.3">
      <c r="A24675" s="12"/>
    </row>
    <row r="24676" spans="1:1" x14ac:dyDescent="0.3">
      <c r="A24676" s="12"/>
    </row>
    <row r="24677" spans="1:1" x14ac:dyDescent="0.3">
      <c r="A24677" s="12"/>
    </row>
    <row r="24678" spans="1:1" x14ac:dyDescent="0.3">
      <c r="A24678" s="12"/>
    </row>
    <row r="24679" spans="1:1" x14ac:dyDescent="0.3">
      <c r="A24679" s="12"/>
    </row>
    <row r="24680" spans="1:1" x14ac:dyDescent="0.3">
      <c r="A24680" s="12"/>
    </row>
    <row r="24681" spans="1:1" x14ac:dyDescent="0.3">
      <c r="A24681" s="12"/>
    </row>
    <row r="24682" spans="1:1" x14ac:dyDescent="0.3">
      <c r="A24682" s="12"/>
    </row>
    <row r="24683" spans="1:1" x14ac:dyDescent="0.3">
      <c r="A24683" s="12"/>
    </row>
    <row r="24684" spans="1:1" x14ac:dyDescent="0.3">
      <c r="A24684" s="12"/>
    </row>
    <row r="24685" spans="1:1" x14ac:dyDescent="0.3">
      <c r="A24685" s="12"/>
    </row>
    <row r="24686" spans="1:1" x14ac:dyDescent="0.3">
      <c r="A24686" s="12"/>
    </row>
    <row r="24687" spans="1:1" x14ac:dyDescent="0.3">
      <c r="A24687" s="12"/>
    </row>
    <row r="24688" spans="1:1" x14ac:dyDescent="0.3">
      <c r="A24688" s="12"/>
    </row>
    <row r="24689" spans="1:1" x14ac:dyDescent="0.3">
      <c r="A24689" s="12"/>
    </row>
    <row r="24690" spans="1:1" x14ac:dyDescent="0.3">
      <c r="A24690" s="12"/>
    </row>
    <row r="24691" spans="1:1" x14ac:dyDescent="0.3">
      <c r="A24691" s="12"/>
    </row>
    <row r="24692" spans="1:1" x14ac:dyDescent="0.3">
      <c r="A24692" s="12"/>
    </row>
    <row r="24693" spans="1:1" x14ac:dyDescent="0.3">
      <c r="A24693" s="12"/>
    </row>
    <row r="24694" spans="1:1" x14ac:dyDescent="0.3">
      <c r="A24694" s="12"/>
    </row>
    <row r="24695" spans="1:1" x14ac:dyDescent="0.3">
      <c r="A24695" s="12"/>
    </row>
    <row r="24696" spans="1:1" x14ac:dyDescent="0.3">
      <c r="A24696" s="12"/>
    </row>
    <row r="24697" spans="1:1" x14ac:dyDescent="0.3">
      <c r="A24697" s="12"/>
    </row>
    <row r="24698" spans="1:1" x14ac:dyDescent="0.3">
      <c r="A24698" s="12"/>
    </row>
    <row r="24699" spans="1:1" x14ac:dyDescent="0.3">
      <c r="A24699" s="12"/>
    </row>
    <row r="24700" spans="1:1" x14ac:dyDescent="0.3">
      <c r="A24700" s="12"/>
    </row>
    <row r="24701" spans="1:1" x14ac:dyDescent="0.3">
      <c r="A24701" s="12"/>
    </row>
    <row r="24702" spans="1:1" x14ac:dyDescent="0.3">
      <c r="A24702" s="12"/>
    </row>
    <row r="24703" spans="1:1" x14ac:dyDescent="0.3">
      <c r="A24703" s="12"/>
    </row>
    <row r="24704" spans="1:1" x14ac:dyDescent="0.3">
      <c r="A24704" s="12"/>
    </row>
    <row r="24705" spans="1:1" x14ac:dyDescent="0.3">
      <c r="A24705" s="12"/>
    </row>
    <row r="24706" spans="1:1" x14ac:dyDescent="0.3">
      <c r="A24706" s="12"/>
    </row>
    <row r="24707" spans="1:1" x14ac:dyDescent="0.3">
      <c r="A24707" s="12"/>
    </row>
    <row r="24708" spans="1:1" x14ac:dyDescent="0.3">
      <c r="A24708" s="12"/>
    </row>
    <row r="24709" spans="1:1" x14ac:dyDescent="0.3">
      <c r="A24709" s="12"/>
    </row>
    <row r="24710" spans="1:1" x14ac:dyDescent="0.3">
      <c r="A24710" s="12"/>
    </row>
    <row r="24711" spans="1:1" x14ac:dyDescent="0.3">
      <c r="A24711" s="12"/>
    </row>
    <row r="24712" spans="1:1" x14ac:dyDescent="0.3">
      <c r="A24712" s="12"/>
    </row>
    <row r="24713" spans="1:1" x14ac:dyDescent="0.3">
      <c r="A24713" s="12"/>
    </row>
    <row r="24714" spans="1:1" x14ac:dyDescent="0.3">
      <c r="A24714" s="12"/>
    </row>
    <row r="24715" spans="1:1" x14ac:dyDescent="0.3">
      <c r="A24715" s="12"/>
    </row>
    <row r="24716" spans="1:1" x14ac:dyDescent="0.3">
      <c r="A24716" s="12"/>
    </row>
    <row r="24717" spans="1:1" x14ac:dyDescent="0.3">
      <c r="A24717" s="12"/>
    </row>
    <row r="24718" spans="1:1" x14ac:dyDescent="0.3">
      <c r="A24718" s="12"/>
    </row>
    <row r="24719" spans="1:1" x14ac:dyDescent="0.3">
      <c r="A24719" s="12"/>
    </row>
    <row r="24720" spans="1:1" x14ac:dyDescent="0.3">
      <c r="A24720" s="12"/>
    </row>
    <row r="24721" spans="1:1" x14ac:dyDescent="0.3">
      <c r="A24721" s="12"/>
    </row>
    <row r="24722" spans="1:1" x14ac:dyDescent="0.3">
      <c r="A24722" s="12"/>
    </row>
    <row r="24723" spans="1:1" x14ac:dyDescent="0.3">
      <c r="A24723" s="12"/>
    </row>
    <row r="24724" spans="1:1" x14ac:dyDescent="0.3">
      <c r="A24724" s="12"/>
    </row>
    <row r="24725" spans="1:1" x14ac:dyDescent="0.3">
      <c r="A24725" s="12"/>
    </row>
    <row r="24726" spans="1:1" x14ac:dyDescent="0.3">
      <c r="A24726" s="12"/>
    </row>
    <row r="24727" spans="1:1" x14ac:dyDescent="0.3">
      <c r="A24727" s="12"/>
    </row>
    <row r="24728" spans="1:1" x14ac:dyDescent="0.3">
      <c r="A24728" s="12"/>
    </row>
    <row r="24729" spans="1:1" x14ac:dyDescent="0.3">
      <c r="A24729" s="12"/>
    </row>
    <row r="24730" spans="1:1" x14ac:dyDescent="0.3">
      <c r="A24730" s="12"/>
    </row>
    <row r="24731" spans="1:1" x14ac:dyDescent="0.3">
      <c r="A24731" s="12"/>
    </row>
    <row r="24732" spans="1:1" x14ac:dyDescent="0.3">
      <c r="A24732" s="12"/>
    </row>
    <row r="24733" spans="1:1" x14ac:dyDescent="0.3">
      <c r="A24733" s="12"/>
    </row>
    <row r="24734" spans="1:1" x14ac:dyDescent="0.3">
      <c r="A24734" s="12"/>
    </row>
    <row r="24735" spans="1:1" x14ac:dyDescent="0.3">
      <c r="A24735" s="12"/>
    </row>
    <row r="24736" spans="1:1" x14ac:dyDescent="0.3">
      <c r="A24736" s="12"/>
    </row>
    <row r="24737" spans="1:1" x14ac:dyDescent="0.3">
      <c r="A24737" s="12"/>
    </row>
    <row r="24738" spans="1:1" x14ac:dyDescent="0.3">
      <c r="A24738" s="12"/>
    </row>
    <row r="24739" spans="1:1" x14ac:dyDescent="0.3">
      <c r="A24739" s="12"/>
    </row>
    <row r="24740" spans="1:1" x14ac:dyDescent="0.3">
      <c r="A24740" s="12"/>
    </row>
    <row r="24741" spans="1:1" x14ac:dyDescent="0.3">
      <c r="A24741" s="12"/>
    </row>
    <row r="24742" spans="1:1" x14ac:dyDescent="0.3">
      <c r="A24742" s="12"/>
    </row>
    <row r="24743" spans="1:1" x14ac:dyDescent="0.3">
      <c r="A24743" s="12"/>
    </row>
    <row r="24744" spans="1:1" x14ac:dyDescent="0.3">
      <c r="A24744" s="12"/>
    </row>
    <row r="24745" spans="1:1" x14ac:dyDescent="0.3">
      <c r="A24745" s="12"/>
    </row>
    <row r="24746" spans="1:1" x14ac:dyDescent="0.3">
      <c r="A24746" s="12"/>
    </row>
    <row r="24747" spans="1:1" x14ac:dyDescent="0.3">
      <c r="A24747" s="12"/>
    </row>
    <row r="24748" spans="1:1" x14ac:dyDescent="0.3">
      <c r="A24748" s="12"/>
    </row>
    <row r="24749" spans="1:1" x14ac:dyDescent="0.3">
      <c r="A24749" s="12"/>
    </row>
    <row r="24750" spans="1:1" x14ac:dyDescent="0.3">
      <c r="A24750" s="12"/>
    </row>
    <row r="24751" spans="1:1" x14ac:dyDescent="0.3">
      <c r="A24751" s="12"/>
    </row>
    <row r="24752" spans="1:1" x14ac:dyDescent="0.3">
      <c r="A24752" s="12"/>
    </row>
    <row r="24753" spans="1:1" x14ac:dyDescent="0.3">
      <c r="A24753" s="12"/>
    </row>
    <row r="24754" spans="1:1" x14ac:dyDescent="0.3">
      <c r="A24754" s="12"/>
    </row>
    <row r="24755" spans="1:1" x14ac:dyDescent="0.3">
      <c r="A24755" s="12"/>
    </row>
    <row r="24756" spans="1:1" x14ac:dyDescent="0.3">
      <c r="A24756" s="12"/>
    </row>
    <row r="24757" spans="1:1" x14ac:dyDescent="0.3">
      <c r="A24757" s="12"/>
    </row>
    <row r="24758" spans="1:1" x14ac:dyDescent="0.3">
      <c r="A24758" s="12"/>
    </row>
    <row r="24759" spans="1:1" x14ac:dyDescent="0.3">
      <c r="A24759" s="12"/>
    </row>
    <row r="24760" spans="1:1" x14ac:dyDescent="0.3">
      <c r="A24760" s="12"/>
    </row>
    <row r="24761" spans="1:1" x14ac:dyDescent="0.3">
      <c r="A24761" s="12"/>
    </row>
    <row r="24762" spans="1:1" x14ac:dyDescent="0.3">
      <c r="A24762" s="12"/>
    </row>
    <row r="24763" spans="1:1" x14ac:dyDescent="0.3">
      <c r="A24763" s="12"/>
    </row>
    <row r="24764" spans="1:1" x14ac:dyDescent="0.3">
      <c r="A24764" s="12"/>
    </row>
    <row r="24765" spans="1:1" x14ac:dyDescent="0.3">
      <c r="A24765" s="12"/>
    </row>
    <row r="24766" spans="1:1" x14ac:dyDescent="0.3">
      <c r="A24766" s="12"/>
    </row>
    <row r="24767" spans="1:1" x14ac:dyDescent="0.3">
      <c r="A24767" s="12"/>
    </row>
    <row r="24768" spans="1:1" x14ac:dyDescent="0.3">
      <c r="A24768" s="12"/>
    </row>
    <row r="24769" spans="1:1" x14ac:dyDescent="0.3">
      <c r="A24769" s="12"/>
    </row>
    <row r="24770" spans="1:1" x14ac:dyDescent="0.3">
      <c r="A24770" s="12"/>
    </row>
    <row r="24771" spans="1:1" x14ac:dyDescent="0.3">
      <c r="A24771" s="12"/>
    </row>
    <row r="24772" spans="1:1" x14ac:dyDescent="0.3">
      <c r="A24772" s="12"/>
    </row>
    <row r="24773" spans="1:1" x14ac:dyDescent="0.3">
      <c r="A24773" s="12"/>
    </row>
    <row r="24774" spans="1:1" x14ac:dyDescent="0.3">
      <c r="A24774" s="12"/>
    </row>
    <row r="24775" spans="1:1" x14ac:dyDescent="0.3">
      <c r="A24775" s="12"/>
    </row>
    <row r="24776" spans="1:1" x14ac:dyDescent="0.3">
      <c r="A24776" s="12"/>
    </row>
    <row r="24777" spans="1:1" x14ac:dyDescent="0.3">
      <c r="A24777" s="12"/>
    </row>
    <row r="24778" spans="1:1" x14ac:dyDescent="0.3">
      <c r="A24778" s="12"/>
    </row>
    <row r="24779" spans="1:1" x14ac:dyDescent="0.3">
      <c r="A24779" s="12"/>
    </row>
    <row r="24780" spans="1:1" x14ac:dyDescent="0.3">
      <c r="A24780" s="12"/>
    </row>
    <row r="24781" spans="1:1" x14ac:dyDescent="0.3">
      <c r="A24781" s="12"/>
    </row>
    <row r="24782" spans="1:1" x14ac:dyDescent="0.3">
      <c r="A24782" s="12"/>
    </row>
    <row r="24783" spans="1:1" x14ac:dyDescent="0.3">
      <c r="A24783" s="12"/>
    </row>
    <row r="24784" spans="1:1" x14ac:dyDescent="0.3">
      <c r="A24784" s="12"/>
    </row>
    <row r="24785" spans="1:1" x14ac:dyDescent="0.3">
      <c r="A24785" s="12"/>
    </row>
    <row r="24786" spans="1:1" x14ac:dyDescent="0.3">
      <c r="A24786" s="12"/>
    </row>
    <row r="24787" spans="1:1" x14ac:dyDescent="0.3">
      <c r="A24787" s="12"/>
    </row>
    <row r="24788" spans="1:1" x14ac:dyDescent="0.3">
      <c r="A24788" s="12"/>
    </row>
    <row r="24789" spans="1:1" x14ac:dyDescent="0.3">
      <c r="A24789" s="12"/>
    </row>
    <row r="24790" spans="1:1" x14ac:dyDescent="0.3">
      <c r="A24790" s="12"/>
    </row>
    <row r="24791" spans="1:1" x14ac:dyDescent="0.3">
      <c r="A24791" s="12"/>
    </row>
    <row r="24792" spans="1:1" x14ac:dyDescent="0.3">
      <c r="A24792" s="12"/>
    </row>
    <row r="24793" spans="1:1" x14ac:dyDescent="0.3">
      <c r="A24793" s="12"/>
    </row>
    <row r="24794" spans="1:1" x14ac:dyDescent="0.3">
      <c r="A24794" s="12"/>
    </row>
    <row r="24795" spans="1:1" x14ac:dyDescent="0.3">
      <c r="A24795" s="12"/>
    </row>
    <row r="24796" spans="1:1" x14ac:dyDescent="0.3">
      <c r="A24796" s="12"/>
    </row>
    <row r="24797" spans="1:1" x14ac:dyDescent="0.3">
      <c r="A24797" s="12"/>
    </row>
    <row r="24798" spans="1:1" x14ac:dyDescent="0.3">
      <c r="A24798" s="12"/>
    </row>
    <row r="24799" spans="1:1" x14ac:dyDescent="0.3">
      <c r="A24799" s="12"/>
    </row>
    <row r="24800" spans="1:1" x14ac:dyDescent="0.3">
      <c r="A24800" s="12"/>
    </row>
    <row r="24801" spans="1:1" x14ac:dyDescent="0.3">
      <c r="A24801" s="12"/>
    </row>
    <row r="24802" spans="1:1" x14ac:dyDescent="0.3">
      <c r="A24802" s="12"/>
    </row>
    <row r="24803" spans="1:1" x14ac:dyDescent="0.3">
      <c r="A24803" s="12"/>
    </row>
    <row r="24804" spans="1:1" x14ac:dyDescent="0.3">
      <c r="A24804" s="12"/>
    </row>
    <row r="24805" spans="1:1" x14ac:dyDescent="0.3">
      <c r="A24805" s="12"/>
    </row>
    <row r="24806" spans="1:1" x14ac:dyDescent="0.3">
      <c r="A24806" s="12"/>
    </row>
    <row r="24807" spans="1:1" x14ac:dyDescent="0.3">
      <c r="A24807" s="12"/>
    </row>
    <row r="24808" spans="1:1" x14ac:dyDescent="0.3">
      <c r="A24808" s="12"/>
    </row>
    <row r="24809" spans="1:1" x14ac:dyDescent="0.3">
      <c r="A24809" s="12"/>
    </row>
    <row r="24810" spans="1:1" x14ac:dyDescent="0.3">
      <c r="A24810" s="12"/>
    </row>
    <row r="24811" spans="1:1" x14ac:dyDescent="0.3">
      <c r="A24811" s="12"/>
    </row>
    <row r="24812" spans="1:1" x14ac:dyDescent="0.3">
      <c r="A24812" s="12"/>
    </row>
    <row r="24813" spans="1:1" x14ac:dyDescent="0.3">
      <c r="A24813" s="12"/>
    </row>
    <row r="24814" spans="1:1" x14ac:dyDescent="0.3">
      <c r="A24814" s="12"/>
    </row>
    <row r="24815" spans="1:1" x14ac:dyDescent="0.3">
      <c r="A24815" s="12"/>
    </row>
    <row r="24816" spans="1:1" x14ac:dyDescent="0.3">
      <c r="A24816" s="12"/>
    </row>
    <row r="24817" spans="1:1" x14ac:dyDescent="0.3">
      <c r="A24817" s="12"/>
    </row>
    <row r="24818" spans="1:1" x14ac:dyDescent="0.3">
      <c r="A24818" s="12"/>
    </row>
    <row r="24819" spans="1:1" x14ac:dyDescent="0.3">
      <c r="A24819" s="12"/>
    </row>
    <row r="24820" spans="1:1" x14ac:dyDescent="0.3">
      <c r="A24820" s="12"/>
    </row>
    <row r="24821" spans="1:1" x14ac:dyDescent="0.3">
      <c r="A24821" s="12"/>
    </row>
    <row r="24822" spans="1:1" x14ac:dyDescent="0.3">
      <c r="A24822" s="12"/>
    </row>
    <row r="24823" spans="1:1" x14ac:dyDescent="0.3">
      <c r="A24823" s="12"/>
    </row>
    <row r="24824" spans="1:1" x14ac:dyDescent="0.3">
      <c r="A24824" s="12"/>
    </row>
    <row r="24825" spans="1:1" x14ac:dyDescent="0.3">
      <c r="A24825" s="12"/>
    </row>
    <row r="24826" spans="1:1" x14ac:dyDescent="0.3">
      <c r="A24826" s="12"/>
    </row>
    <row r="24827" spans="1:1" x14ac:dyDescent="0.3">
      <c r="A24827" s="12"/>
    </row>
    <row r="24828" spans="1:1" x14ac:dyDescent="0.3">
      <c r="A24828" s="12"/>
    </row>
    <row r="24829" spans="1:1" x14ac:dyDescent="0.3">
      <c r="A24829" s="12"/>
    </row>
    <row r="24830" spans="1:1" x14ac:dyDescent="0.3">
      <c r="A24830" s="12"/>
    </row>
    <row r="24831" spans="1:1" x14ac:dyDescent="0.3">
      <c r="A24831" s="12"/>
    </row>
    <row r="24832" spans="1:1" x14ac:dyDescent="0.3">
      <c r="A24832" s="12"/>
    </row>
    <row r="24833" spans="1:1" x14ac:dyDescent="0.3">
      <c r="A24833" s="12"/>
    </row>
    <row r="24834" spans="1:1" x14ac:dyDescent="0.3">
      <c r="A24834" s="12"/>
    </row>
    <row r="24835" spans="1:1" x14ac:dyDescent="0.3">
      <c r="A24835" s="12"/>
    </row>
    <row r="24836" spans="1:1" x14ac:dyDescent="0.3">
      <c r="A24836" s="12"/>
    </row>
    <row r="24837" spans="1:1" x14ac:dyDescent="0.3">
      <c r="A24837" s="12"/>
    </row>
    <row r="24838" spans="1:1" x14ac:dyDescent="0.3">
      <c r="A24838" s="12"/>
    </row>
    <row r="24839" spans="1:1" x14ac:dyDescent="0.3">
      <c r="A24839" s="12"/>
    </row>
    <row r="24840" spans="1:1" x14ac:dyDescent="0.3">
      <c r="A24840" s="12"/>
    </row>
    <row r="24841" spans="1:1" x14ac:dyDescent="0.3">
      <c r="A24841" s="12"/>
    </row>
    <row r="24842" spans="1:1" x14ac:dyDescent="0.3">
      <c r="A24842" s="12"/>
    </row>
    <row r="24843" spans="1:1" x14ac:dyDescent="0.3">
      <c r="A24843" s="12"/>
    </row>
    <row r="24844" spans="1:1" x14ac:dyDescent="0.3">
      <c r="A24844" s="12"/>
    </row>
    <row r="24845" spans="1:1" x14ac:dyDescent="0.3">
      <c r="A24845" s="12"/>
    </row>
    <row r="24846" spans="1:1" x14ac:dyDescent="0.3">
      <c r="A24846" s="12"/>
    </row>
    <row r="24847" spans="1:1" x14ac:dyDescent="0.3">
      <c r="A24847" s="12"/>
    </row>
    <row r="24848" spans="1:1" x14ac:dyDescent="0.3">
      <c r="A24848" s="12"/>
    </row>
    <row r="24849" spans="1:1" x14ac:dyDescent="0.3">
      <c r="A24849" s="12"/>
    </row>
    <row r="24850" spans="1:1" x14ac:dyDescent="0.3">
      <c r="A24850" s="12"/>
    </row>
    <row r="24851" spans="1:1" x14ac:dyDescent="0.3">
      <c r="A24851" s="12"/>
    </row>
    <row r="24852" spans="1:1" x14ac:dyDescent="0.3">
      <c r="A24852" s="12"/>
    </row>
    <row r="24853" spans="1:1" x14ac:dyDescent="0.3">
      <c r="A24853" s="12"/>
    </row>
    <row r="24854" spans="1:1" x14ac:dyDescent="0.3">
      <c r="A24854" s="12"/>
    </row>
    <row r="24855" spans="1:1" x14ac:dyDescent="0.3">
      <c r="A24855" s="12"/>
    </row>
    <row r="24856" spans="1:1" x14ac:dyDescent="0.3">
      <c r="A24856" s="12"/>
    </row>
    <row r="24857" spans="1:1" x14ac:dyDescent="0.3">
      <c r="A24857" s="12"/>
    </row>
    <row r="24858" spans="1:1" x14ac:dyDescent="0.3">
      <c r="A24858" s="12"/>
    </row>
    <row r="24859" spans="1:1" x14ac:dyDescent="0.3">
      <c r="A24859" s="12"/>
    </row>
    <row r="24860" spans="1:1" x14ac:dyDescent="0.3">
      <c r="A24860" s="12"/>
    </row>
    <row r="24861" spans="1:1" x14ac:dyDescent="0.3">
      <c r="A24861" s="12"/>
    </row>
    <row r="24862" spans="1:1" x14ac:dyDescent="0.3">
      <c r="A24862" s="12"/>
    </row>
    <row r="24863" spans="1:1" x14ac:dyDescent="0.3">
      <c r="A24863" s="12"/>
    </row>
    <row r="24864" spans="1:1" x14ac:dyDescent="0.3">
      <c r="A24864" s="12"/>
    </row>
    <row r="24865" spans="1:1" x14ac:dyDescent="0.3">
      <c r="A24865" s="12"/>
    </row>
    <row r="24866" spans="1:1" x14ac:dyDescent="0.3">
      <c r="A24866" s="12"/>
    </row>
    <row r="24867" spans="1:1" x14ac:dyDescent="0.3">
      <c r="A24867" s="12"/>
    </row>
    <row r="24868" spans="1:1" x14ac:dyDescent="0.3">
      <c r="A24868" s="12"/>
    </row>
    <row r="24869" spans="1:1" x14ac:dyDescent="0.3">
      <c r="A24869" s="12"/>
    </row>
    <row r="24870" spans="1:1" x14ac:dyDescent="0.3">
      <c r="A24870" s="12"/>
    </row>
    <row r="24871" spans="1:1" x14ac:dyDescent="0.3">
      <c r="A24871" s="12"/>
    </row>
    <row r="24872" spans="1:1" x14ac:dyDescent="0.3">
      <c r="A24872" s="12"/>
    </row>
    <row r="24873" spans="1:1" x14ac:dyDescent="0.3">
      <c r="A24873" s="12"/>
    </row>
    <row r="24874" spans="1:1" x14ac:dyDescent="0.3">
      <c r="A24874" s="12"/>
    </row>
    <row r="24875" spans="1:1" x14ac:dyDescent="0.3">
      <c r="A24875" s="12"/>
    </row>
    <row r="24876" spans="1:1" x14ac:dyDescent="0.3">
      <c r="A24876" s="12"/>
    </row>
    <row r="24877" spans="1:1" x14ac:dyDescent="0.3">
      <c r="A24877" s="12"/>
    </row>
    <row r="24878" spans="1:1" x14ac:dyDescent="0.3">
      <c r="A24878" s="12"/>
    </row>
    <row r="24879" spans="1:1" x14ac:dyDescent="0.3">
      <c r="A24879" s="12"/>
    </row>
    <row r="24880" spans="1:1" x14ac:dyDescent="0.3">
      <c r="A24880" s="12"/>
    </row>
    <row r="24881" spans="1:1" x14ac:dyDescent="0.3">
      <c r="A24881" s="12"/>
    </row>
    <row r="24882" spans="1:1" x14ac:dyDescent="0.3">
      <c r="A24882" s="12"/>
    </row>
    <row r="24883" spans="1:1" x14ac:dyDescent="0.3">
      <c r="A24883" s="12"/>
    </row>
    <row r="24884" spans="1:1" x14ac:dyDescent="0.3">
      <c r="A24884" s="12"/>
    </row>
    <row r="24885" spans="1:1" x14ac:dyDescent="0.3">
      <c r="A24885" s="12"/>
    </row>
    <row r="24886" spans="1:1" x14ac:dyDescent="0.3">
      <c r="A24886" s="12"/>
    </row>
    <row r="24887" spans="1:1" x14ac:dyDescent="0.3">
      <c r="A24887" s="12"/>
    </row>
    <row r="24888" spans="1:1" x14ac:dyDescent="0.3">
      <c r="A24888" s="12"/>
    </row>
    <row r="24889" spans="1:1" x14ac:dyDescent="0.3">
      <c r="A24889" s="12"/>
    </row>
    <row r="24890" spans="1:1" x14ac:dyDescent="0.3">
      <c r="A24890" s="12"/>
    </row>
    <row r="24891" spans="1:1" x14ac:dyDescent="0.3">
      <c r="A24891" s="12"/>
    </row>
    <row r="24892" spans="1:1" x14ac:dyDescent="0.3">
      <c r="A24892" s="12"/>
    </row>
    <row r="24893" spans="1:1" x14ac:dyDescent="0.3">
      <c r="A24893" s="12"/>
    </row>
    <row r="24894" spans="1:1" x14ac:dyDescent="0.3">
      <c r="A24894" s="12"/>
    </row>
    <row r="24895" spans="1:1" x14ac:dyDescent="0.3">
      <c r="A24895" s="12"/>
    </row>
    <row r="24896" spans="1:1" x14ac:dyDescent="0.3">
      <c r="A24896" s="12"/>
    </row>
    <row r="24897" spans="1:1" x14ac:dyDescent="0.3">
      <c r="A24897" s="12"/>
    </row>
    <row r="24898" spans="1:1" x14ac:dyDescent="0.3">
      <c r="A24898" s="12"/>
    </row>
    <row r="24899" spans="1:1" x14ac:dyDescent="0.3">
      <c r="A24899" s="12"/>
    </row>
    <row r="24900" spans="1:1" x14ac:dyDescent="0.3">
      <c r="A24900" s="12"/>
    </row>
    <row r="24901" spans="1:1" x14ac:dyDescent="0.3">
      <c r="A24901" s="12"/>
    </row>
    <row r="24902" spans="1:1" x14ac:dyDescent="0.3">
      <c r="A24902" s="12"/>
    </row>
    <row r="24903" spans="1:1" x14ac:dyDescent="0.3">
      <c r="A24903" s="12"/>
    </row>
    <row r="24904" spans="1:1" x14ac:dyDescent="0.3">
      <c r="A24904" s="12"/>
    </row>
    <row r="24905" spans="1:1" x14ac:dyDescent="0.3">
      <c r="A24905" s="12"/>
    </row>
    <row r="24906" spans="1:1" x14ac:dyDescent="0.3">
      <c r="A24906" s="12"/>
    </row>
    <row r="24907" spans="1:1" x14ac:dyDescent="0.3">
      <c r="A24907" s="12"/>
    </row>
    <row r="24908" spans="1:1" x14ac:dyDescent="0.3">
      <c r="A24908" s="12"/>
    </row>
    <row r="24909" spans="1:1" x14ac:dyDescent="0.3">
      <c r="A24909" s="12"/>
    </row>
    <row r="24910" spans="1:1" x14ac:dyDescent="0.3">
      <c r="A24910" s="12"/>
    </row>
    <row r="24911" spans="1:1" x14ac:dyDescent="0.3">
      <c r="A24911" s="12"/>
    </row>
    <row r="24912" spans="1:1" x14ac:dyDescent="0.3">
      <c r="A24912" s="12"/>
    </row>
    <row r="24913" spans="1:1" x14ac:dyDescent="0.3">
      <c r="A24913" s="12"/>
    </row>
    <row r="24914" spans="1:1" x14ac:dyDescent="0.3">
      <c r="A24914" s="12"/>
    </row>
    <row r="24915" spans="1:1" x14ac:dyDescent="0.3">
      <c r="A24915" s="12"/>
    </row>
    <row r="24916" spans="1:1" x14ac:dyDescent="0.3">
      <c r="A24916" s="12"/>
    </row>
    <row r="24917" spans="1:1" x14ac:dyDescent="0.3">
      <c r="A24917" s="12"/>
    </row>
    <row r="24918" spans="1:1" x14ac:dyDescent="0.3">
      <c r="A24918" s="12"/>
    </row>
    <row r="24919" spans="1:1" x14ac:dyDescent="0.3">
      <c r="A24919" s="12"/>
    </row>
    <row r="24920" spans="1:1" x14ac:dyDescent="0.3">
      <c r="A24920" s="12"/>
    </row>
    <row r="24921" spans="1:1" x14ac:dyDescent="0.3">
      <c r="A24921" s="12"/>
    </row>
    <row r="24922" spans="1:1" x14ac:dyDescent="0.3">
      <c r="A24922" s="12"/>
    </row>
    <row r="24923" spans="1:1" x14ac:dyDescent="0.3">
      <c r="A24923" s="12"/>
    </row>
    <row r="24924" spans="1:1" x14ac:dyDescent="0.3">
      <c r="A24924" s="12"/>
    </row>
    <row r="24925" spans="1:1" x14ac:dyDescent="0.3">
      <c r="A24925" s="12"/>
    </row>
    <row r="24926" spans="1:1" x14ac:dyDescent="0.3">
      <c r="A24926" s="12"/>
    </row>
    <row r="24927" spans="1:1" x14ac:dyDescent="0.3">
      <c r="A24927" s="12"/>
    </row>
    <row r="24928" spans="1:1" x14ac:dyDescent="0.3">
      <c r="A24928" s="12"/>
    </row>
    <row r="24929" spans="1:1" x14ac:dyDescent="0.3">
      <c r="A24929" s="12"/>
    </row>
    <row r="24930" spans="1:1" x14ac:dyDescent="0.3">
      <c r="A24930" s="12"/>
    </row>
    <row r="24931" spans="1:1" x14ac:dyDescent="0.3">
      <c r="A24931" s="12"/>
    </row>
    <row r="24932" spans="1:1" x14ac:dyDescent="0.3">
      <c r="A24932" s="12"/>
    </row>
    <row r="24933" spans="1:1" x14ac:dyDescent="0.3">
      <c r="A24933" s="12"/>
    </row>
    <row r="24934" spans="1:1" x14ac:dyDescent="0.3">
      <c r="A24934" s="12"/>
    </row>
    <row r="24935" spans="1:1" x14ac:dyDescent="0.3">
      <c r="A24935" s="12"/>
    </row>
    <row r="24936" spans="1:1" x14ac:dyDescent="0.3">
      <c r="A24936" s="12"/>
    </row>
    <row r="24937" spans="1:1" x14ac:dyDescent="0.3">
      <c r="A24937" s="12"/>
    </row>
    <row r="24938" spans="1:1" x14ac:dyDescent="0.3">
      <c r="A24938" s="12"/>
    </row>
    <row r="24939" spans="1:1" x14ac:dyDescent="0.3">
      <c r="A24939" s="12"/>
    </row>
    <row r="24940" spans="1:1" x14ac:dyDescent="0.3">
      <c r="A24940" s="12"/>
    </row>
    <row r="24941" spans="1:1" x14ac:dyDescent="0.3">
      <c r="A24941" s="12"/>
    </row>
    <row r="24942" spans="1:1" x14ac:dyDescent="0.3">
      <c r="A24942" s="12"/>
    </row>
    <row r="24943" spans="1:1" x14ac:dyDescent="0.3">
      <c r="A24943" s="12"/>
    </row>
    <row r="24944" spans="1:1" x14ac:dyDescent="0.3">
      <c r="A24944" s="12"/>
    </row>
    <row r="24945" spans="1:1" x14ac:dyDescent="0.3">
      <c r="A24945" s="12"/>
    </row>
    <row r="24946" spans="1:1" x14ac:dyDescent="0.3">
      <c r="A24946" s="12"/>
    </row>
    <row r="24947" spans="1:1" x14ac:dyDescent="0.3">
      <c r="A24947" s="12"/>
    </row>
    <row r="24948" spans="1:1" x14ac:dyDescent="0.3">
      <c r="A24948" s="12"/>
    </row>
    <row r="24949" spans="1:1" x14ac:dyDescent="0.3">
      <c r="A24949" s="12"/>
    </row>
    <row r="24950" spans="1:1" x14ac:dyDescent="0.3">
      <c r="A24950" s="12"/>
    </row>
    <row r="24951" spans="1:1" x14ac:dyDescent="0.3">
      <c r="A24951" s="12"/>
    </row>
    <row r="24952" spans="1:1" x14ac:dyDescent="0.3">
      <c r="A24952" s="12"/>
    </row>
    <row r="24953" spans="1:1" x14ac:dyDescent="0.3">
      <c r="A24953" s="12"/>
    </row>
    <row r="24954" spans="1:1" x14ac:dyDescent="0.3">
      <c r="A24954" s="12"/>
    </row>
    <row r="24955" spans="1:1" x14ac:dyDescent="0.3">
      <c r="A24955" s="12"/>
    </row>
    <row r="24956" spans="1:1" x14ac:dyDescent="0.3">
      <c r="A24956" s="12"/>
    </row>
    <row r="24957" spans="1:1" x14ac:dyDescent="0.3">
      <c r="A24957" s="12"/>
    </row>
    <row r="24958" spans="1:1" x14ac:dyDescent="0.3">
      <c r="A24958" s="12"/>
    </row>
    <row r="24959" spans="1:1" x14ac:dyDescent="0.3">
      <c r="A24959" s="12"/>
    </row>
    <row r="24960" spans="1:1" x14ac:dyDescent="0.3">
      <c r="A24960" s="12"/>
    </row>
    <row r="24961" spans="1:1" x14ac:dyDescent="0.3">
      <c r="A24961" s="12"/>
    </row>
    <row r="24962" spans="1:1" x14ac:dyDescent="0.3">
      <c r="A24962" s="12"/>
    </row>
    <row r="24963" spans="1:1" x14ac:dyDescent="0.3">
      <c r="A24963" s="12"/>
    </row>
    <row r="24964" spans="1:1" x14ac:dyDescent="0.3">
      <c r="A24964" s="12"/>
    </row>
    <row r="24965" spans="1:1" x14ac:dyDescent="0.3">
      <c r="A24965" s="12"/>
    </row>
    <row r="24966" spans="1:1" x14ac:dyDescent="0.3">
      <c r="A24966" s="12"/>
    </row>
    <row r="24967" spans="1:1" x14ac:dyDescent="0.3">
      <c r="A24967" s="12"/>
    </row>
    <row r="24968" spans="1:1" x14ac:dyDescent="0.3">
      <c r="A24968" s="12"/>
    </row>
    <row r="24969" spans="1:1" x14ac:dyDescent="0.3">
      <c r="A24969" s="12"/>
    </row>
    <row r="24970" spans="1:1" x14ac:dyDescent="0.3">
      <c r="A24970" s="12"/>
    </row>
    <row r="24971" spans="1:1" x14ac:dyDescent="0.3">
      <c r="A24971" s="12"/>
    </row>
    <row r="24972" spans="1:1" x14ac:dyDescent="0.3">
      <c r="A24972" s="12"/>
    </row>
    <row r="24973" spans="1:1" x14ac:dyDescent="0.3">
      <c r="A24973" s="12"/>
    </row>
    <row r="24974" spans="1:1" x14ac:dyDescent="0.3">
      <c r="A24974" s="12"/>
    </row>
    <row r="24975" spans="1:1" x14ac:dyDescent="0.3">
      <c r="A24975" s="12"/>
    </row>
    <row r="24976" spans="1:1" x14ac:dyDescent="0.3">
      <c r="A24976" s="12"/>
    </row>
    <row r="24977" spans="1:1" x14ac:dyDescent="0.3">
      <c r="A24977" s="12"/>
    </row>
    <row r="24978" spans="1:1" x14ac:dyDescent="0.3">
      <c r="A24978" s="12"/>
    </row>
    <row r="24979" spans="1:1" x14ac:dyDescent="0.3">
      <c r="A24979" s="12"/>
    </row>
    <row r="24980" spans="1:1" x14ac:dyDescent="0.3">
      <c r="A24980" s="12"/>
    </row>
    <row r="24981" spans="1:1" x14ac:dyDescent="0.3">
      <c r="A24981" s="12"/>
    </row>
    <row r="24982" spans="1:1" x14ac:dyDescent="0.3">
      <c r="A24982" s="12"/>
    </row>
    <row r="24983" spans="1:1" x14ac:dyDescent="0.3">
      <c r="A24983" s="12"/>
    </row>
    <row r="24984" spans="1:1" x14ac:dyDescent="0.3">
      <c r="A24984" s="12"/>
    </row>
    <row r="24985" spans="1:1" x14ac:dyDescent="0.3">
      <c r="A24985" s="12"/>
    </row>
    <row r="24986" spans="1:1" x14ac:dyDescent="0.3">
      <c r="A24986" s="12"/>
    </row>
    <row r="24987" spans="1:1" x14ac:dyDescent="0.3">
      <c r="A24987" s="12"/>
    </row>
    <row r="24988" spans="1:1" x14ac:dyDescent="0.3">
      <c r="A24988" s="12"/>
    </row>
    <row r="24989" spans="1:1" x14ac:dyDescent="0.3">
      <c r="A24989" s="12"/>
    </row>
    <row r="24990" spans="1:1" x14ac:dyDescent="0.3">
      <c r="A24990" s="12"/>
    </row>
    <row r="24991" spans="1:1" x14ac:dyDescent="0.3">
      <c r="A24991" s="12"/>
    </row>
    <row r="24992" spans="1:1" x14ac:dyDescent="0.3">
      <c r="A24992" s="12"/>
    </row>
    <row r="24993" spans="1:1" x14ac:dyDescent="0.3">
      <c r="A24993" s="12"/>
    </row>
    <row r="24994" spans="1:1" x14ac:dyDescent="0.3">
      <c r="A24994" s="12"/>
    </row>
    <row r="24995" spans="1:1" x14ac:dyDescent="0.3">
      <c r="A24995" s="12"/>
    </row>
    <row r="24996" spans="1:1" x14ac:dyDescent="0.3">
      <c r="A24996" s="12"/>
    </row>
    <row r="24997" spans="1:1" x14ac:dyDescent="0.3">
      <c r="A24997" s="12"/>
    </row>
    <row r="24998" spans="1:1" x14ac:dyDescent="0.3">
      <c r="A24998" s="12"/>
    </row>
    <row r="24999" spans="1:1" x14ac:dyDescent="0.3">
      <c r="A24999" s="12"/>
    </row>
    <row r="25000" spans="1:1" x14ac:dyDescent="0.3">
      <c r="A25000" s="12"/>
    </row>
    <row r="25001" spans="1:1" x14ac:dyDescent="0.3">
      <c r="A25001" s="12"/>
    </row>
    <row r="25002" spans="1:1" x14ac:dyDescent="0.3">
      <c r="A25002" s="12"/>
    </row>
    <row r="25003" spans="1:1" x14ac:dyDescent="0.3">
      <c r="A25003" s="12"/>
    </row>
    <row r="25004" spans="1:1" x14ac:dyDescent="0.3">
      <c r="A25004" s="12"/>
    </row>
    <row r="25005" spans="1:1" x14ac:dyDescent="0.3">
      <c r="A25005" s="12"/>
    </row>
    <row r="25006" spans="1:1" x14ac:dyDescent="0.3">
      <c r="A25006" s="12"/>
    </row>
    <row r="25007" spans="1:1" x14ac:dyDescent="0.3">
      <c r="A25007" s="12"/>
    </row>
    <row r="25008" spans="1:1" x14ac:dyDescent="0.3">
      <c r="A25008" s="12"/>
    </row>
    <row r="25009" spans="1:1" x14ac:dyDescent="0.3">
      <c r="A25009" s="12"/>
    </row>
    <row r="25010" spans="1:1" x14ac:dyDescent="0.3">
      <c r="A25010" s="12"/>
    </row>
    <row r="25011" spans="1:1" x14ac:dyDescent="0.3">
      <c r="A25011" s="12"/>
    </row>
    <row r="25012" spans="1:1" x14ac:dyDescent="0.3">
      <c r="A25012" s="12"/>
    </row>
    <row r="25013" spans="1:1" x14ac:dyDescent="0.3">
      <c r="A25013" s="12"/>
    </row>
    <row r="25014" spans="1:1" x14ac:dyDescent="0.3">
      <c r="A25014" s="12"/>
    </row>
    <row r="25015" spans="1:1" x14ac:dyDescent="0.3">
      <c r="A25015" s="12"/>
    </row>
    <row r="25016" spans="1:1" x14ac:dyDescent="0.3">
      <c r="A25016" s="12"/>
    </row>
    <row r="25017" spans="1:1" x14ac:dyDescent="0.3">
      <c r="A25017" s="12"/>
    </row>
    <row r="25018" spans="1:1" x14ac:dyDescent="0.3">
      <c r="A25018" s="12"/>
    </row>
    <row r="25019" spans="1:1" x14ac:dyDescent="0.3">
      <c r="A25019" s="12"/>
    </row>
    <row r="25020" spans="1:1" x14ac:dyDescent="0.3">
      <c r="A25020" s="12"/>
    </row>
    <row r="25021" spans="1:1" x14ac:dyDescent="0.3">
      <c r="A25021" s="12"/>
    </row>
    <row r="25022" spans="1:1" x14ac:dyDescent="0.3">
      <c r="A25022" s="12"/>
    </row>
    <row r="25023" spans="1:1" x14ac:dyDescent="0.3">
      <c r="A25023" s="12"/>
    </row>
    <row r="25024" spans="1:1" x14ac:dyDescent="0.3">
      <c r="A25024" s="12"/>
    </row>
    <row r="25025" spans="1:1" x14ac:dyDescent="0.3">
      <c r="A25025" s="12"/>
    </row>
    <row r="25026" spans="1:1" x14ac:dyDescent="0.3">
      <c r="A25026" s="12"/>
    </row>
    <row r="25027" spans="1:1" x14ac:dyDescent="0.3">
      <c r="A25027" s="12"/>
    </row>
    <row r="25028" spans="1:1" x14ac:dyDescent="0.3">
      <c r="A25028" s="12"/>
    </row>
    <row r="25029" spans="1:1" x14ac:dyDescent="0.3">
      <c r="A25029" s="12"/>
    </row>
    <row r="25030" spans="1:1" x14ac:dyDescent="0.3">
      <c r="A25030" s="12"/>
    </row>
    <row r="25031" spans="1:1" x14ac:dyDescent="0.3">
      <c r="A25031" s="12"/>
    </row>
    <row r="25032" spans="1:1" x14ac:dyDescent="0.3">
      <c r="A25032" s="12"/>
    </row>
    <row r="25033" spans="1:1" x14ac:dyDescent="0.3">
      <c r="A25033" s="12"/>
    </row>
    <row r="25034" spans="1:1" x14ac:dyDescent="0.3">
      <c r="A25034" s="12"/>
    </row>
    <row r="25035" spans="1:1" x14ac:dyDescent="0.3">
      <c r="A25035" s="12"/>
    </row>
    <row r="25036" spans="1:1" x14ac:dyDescent="0.3">
      <c r="A25036" s="12"/>
    </row>
    <row r="25037" spans="1:1" x14ac:dyDescent="0.3">
      <c r="A25037" s="12"/>
    </row>
    <row r="25038" spans="1:1" x14ac:dyDescent="0.3">
      <c r="A25038" s="12"/>
    </row>
    <row r="25039" spans="1:1" x14ac:dyDescent="0.3">
      <c r="A25039" s="12"/>
    </row>
    <row r="25040" spans="1:1" x14ac:dyDescent="0.3">
      <c r="A25040" s="12"/>
    </row>
    <row r="25041" spans="1:1" x14ac:dyDescent="0.3">
      <c r="A25041" s="12"/>
    </row>
    <row r="25042" spans="1:1" x14ac:dyDescent="0.3">
      <c r="A25042" s="12"/>
    </row>
    <row r="25043" spans="1:1" x14ac:dyDescent="0.3">
      <c r="A25043" s="12"/>
    </row>
    <row r="25044" spans="1:1" x14ac:dyDescent="0.3">
      <c r="A25044" s="12"/>
    </row>
    <row r="25045" spans="1:1" x14ac:dyDescent="0.3">
      <c r="A25045" s="12"/>
    </row>
    <row r="25046" spans="1:1" x14ac:dyDescent="0.3">
      <c r="A25046" s="12"/>
    </row>
    <row r="25047" spans="1:1" x14ac:dyDescent="0.3">
      <c r="A25047" s="12"/>
    </row>
    <row r="25048" spans="1:1" x14ac:dyDescent="0.3">
      <c r="A25048" s="12"/>
    </row>
    <row r="25049" spans="1:1" x14ac:dyDescent="0.3">
      <c r="A25049" s="12"/>
    </row>
    <row r="25050" spans="1:1" x14ac:dyDescent="0.3">
      <c r="A25050" s="12"/>
    </row>
    <row r="25051" spans="1:1" x14ac:dyDescent="0.3">
      <c r="A25051" s="12"/>
    </row>
    <row r="25052" spans="1:1" x14ac:dyDescent="0.3">
      <c r="A25052" s="12"/>
    </row>
    <row r="25053" spans="1:1" x14ac:dyDescent="0.3">
      <c r="A25053" s="12"/>
    </row>
    <row r="25054" spans="1:1" x14ac:dyDescent="0.3">
      <c r="A25054" s="12"/>
    </row>
    <row r="25055" spans="1:1" x14ac:dyDescent="0.3">
      <c r="A25055" s="12"/>
    </row>
    <row r="25056" spans="1:1" x14ac:dyDescent="0.3">
      <c r="A25056" s="12"/>
    </row>
    <row r="25057" spans="1:1" x14ac:dyDescent="0.3">
      <c r="A25057" s="12"/>
    </row>
    <row r="25058" spans="1:1" x14ac:dyDescent="0.3">
      <c r="A25058" s="12"/>
    </row>
    <row r="25059" spans="1:1" x14ac:dyDescent="0.3">
      <c r="A25059" s="12"/>
    </row>
    <row r="25060" spans="1:1" x14ac:dyDescent="0.3">
      <c r="A25060" s="12"/>
    </row>
    <row r="25061" spans="1:1" x14ac:dyDescent="0.3">
      <c r="A25061" s="12"/>
    </row>
    <row r="25062" spans="1:1" x14ac:dyDescent="0.3">
      <c r="A25062" s="12"/>
    </row>
    <row r="25063" spans="1:1" x14ac:dyDescent="0.3">
      <c r="A25063" s="12"/>
    </row>
    <row r="25064" spans="1:1" x14ac:dyDescent="0.3">
      <c r="A25064" s="12"/>
    </row>
    <row r="25065" spans="1:1" x14ac:dyDescent="0.3">
      <c r="A25065" s="12"/>
    </row>
    <row r="25066" spans="1:1" x14ac:dyDescent="0.3">
      <c r="A25066" s="12"/>
    </row>
    <row r="25067" spans="1:1" x14ac:dyDescent="0.3">
      <c r="A25067" s="12"/>
    </row>
    <row r="25068" spans="1:1" x14ac:dyDescent="0.3">
      <c r="A25068" s="12"/>
    </row>
    <row r="25069" spans="1:1" x14ac:dyDescent="0.3">
      <c r="A25069" s="12"/>
    </row>
    <row r="25070" spans="1:1" x14ac:dyDescent="0.3">
      <c r="A25070" s="12"/>
    </row>
    <row r="25071" spans="1:1" x14ac:dyDescent="0.3">
      <c r="A25071" s="12"/>
    </row>
    <row r="25072" spans="1:1" x14ac:dyDescent="0.3">
      <c r="A25072" s="12"/>
    </row>
    <row r="25073" spans="1:1" x14ac:dyDescent="0.3">
      <c r="A25073" s="12"/>
    </row>
    <row r="25074" spans="1:1" x14ac:dyDescent="0.3">
      <c r="A25074" s="12"/>
    </row>
    <row r="25075" spans="1:1" x14ac:dyDescent="0.3">
      <c r="A25075" s="12"/>
    </row>
    <row r="25076" spans="1:1" x14ac:dyDescent="0.3">
      <c r="A25076" s="12"/>
    </row>
    <row r="25077" spans="1:1" x14ac:dyDescent="0.3">
      <c r="A25077" s="12"/>
    </row>
    <row r="25078" spans="1:1" x14ac:dyDescent="0.3">
      <c r="A25078" s="12"/>
    </row>
    <row r="25079" spans="1:1" x14ac:dyDescent="0.3">
      <c r="A25079" s="12"/>
    </row>
    <row r="25080" spans="1:1" x14ac:dyDescent="0.3">
      <c r="A25080" s="12"/>
    </row>
    <row r="25081" spans="1:1" x14ac:dyDescent="0.3">
      <c r="A25081" s="12"/>
    </row>
    <row r="25082" spans="1:1" x14ac:dyDescent="0.3">
      <c r="A25082" s="12"/>
    </row>
    <row r="25083" spans="1:1" x14ac:dyDescent="0.3">
      <c r="A25083" s="12"/>
    </row>
    <row r="25084" spans="1:1" x14ac:dyDescent="0.3">
      <c r="A25084" s="12"/>
    </row>
    <row r="25085" spans="1:1" x14ac:dyDescent="0.3">
      <c r="A25085" s="12"/>
    </row>
    <row r="25086" spans="1:1" x14ac:dyDescent="0.3">
      <c r="A25086" s="12"/>
    </row>
    <row r="25087" spans="1:1" x14ac:dyDescent="0.3">
      <c r="A25087" s="12"/>
    </row>
    <row r="25088" spans="1:1" x14ac:dyDescent="0.3">
      <c r="A25088" s="12"/>
    </row>
    <row r="25089" spans="1:1" x14ac:dyDescent="0.3">
      <c r="A25089" s="12"/>
    </row>
    <row r="25090" spans="1:1" x14ac:dyDescent="0.3">
      <c r="A25090" s="12"/>
    </row>
    <row r="25091" spans="1:1" x14ac:dyDescent="0.3">
      <c r="A25091" s="12"/>
    </row>
    <row r="25092" spans="1:1" x14ac:dyDescent="0.3">
      <c r="A25092" s="12"/>
    </row>
    <row r="25093" spans="1:1" x14ac:dyDescent="0.3">
      <c r="A25093" s="12"/>
    </row>
    <row r="25094" spans="1:1" x14ac:dyDescent="0.3">
      <c r="A25094" s="12"/>
    </row>
    <row r="25095" spans="1:1" x14ac:dyDescent="0.3">
      <c r="A25095" s="12"/>
    </row>
    <row r="25096" spans="1:1" x14ac:dyDescent="0.3">
      <c r="A25096" s="12"/>
    </row>
    <row r="25097" spans="1:1" x14ac:dyDescent="0.3">
      <c r="A25097" s="12"/>
    </row>
    <row r="25098" spans="1:1" x14ac:dyDescent="0.3">
      <c r="A25098" s="12"/>
    </row>
    <row r="25099" spans="1:1" x14ac:dyDescent="0.3">
      <c r="A25099" s="12"/>
    </row>
    <row r="25100" spans="1:1" x14ac:dyDescent="0.3">
      <c r="A25100" s="12"/>
    </row>
    <row r="25101" spans="1:1" x14ac:dyDescent="0.3">
      <c r="A25101" s="12"/>
    </row>
    <row r="25102" spans="1:1" x14ac:dyDescent="0.3">
      <c r="A25102" s="12"/>
    </row>
    <row r="25103" spans="1:1" x14ac:dyDescent="0.3">
      <c r="A25103" s="12"/>
    </row>
    <row r="25104" spans="1:1" x14ac:dyDescent="0.3">
      <c r="A25104" s="12"/>
    </row>
    <row r="25105" spans="1:1" x14ac:dyDescent="0.3">
      <c r="A25105" s="12"/>
    </row>
    <row r="25106" spans="1:1" x14ac:dyDescent="0.3">
      <c r="A25106" s="12"/>
    </row>
    <row r="25107" spans="1:1" x14ac:dyDescent="0.3">
      <c r="A25107" s="12"/>
    </row>
    <row r="25108" spans="1:1" x14ac:dyDescent="0.3">
      <c r="A25108" s="12"/>
    </row>
    <row r="25109" spans="1:1" x14ac:dyDescent="0.3">
      <c r="A25109" s="12"/>
    </row>
    <row r="25110" spans="1:1" x14ac:dyDescent="0.3">
      <c r="A25110" s="12"/>
    </row>
    <row r="25111" spans="1:1" x14ac:dyDescent="0.3">
      <c r="A25111" s="12"/>
    </row>
    <row r="25112" spans="1:1" x14ac:dyDescent="0.3">
      <c r="A25112" s="12"/>
    </row>
    <row r="25113" spans="1:1" x14ac:dyDescent="0.3">
      <c r="A25113" s="12"/>
    </row>
    <row r="25114" spans="1:1" x14ac:dyDescent="0.3">
      <c r="A25114" s="12"/>
    </row>
    <row r="25115" spans="1:1" x14ac:dyDescent="0.3">
      <c r="A25115" s="12"/>
    </row>
    <row r="25116" spans="1:1" x14ac:dyDescent="0.3">
      <c r="A25116" s="12"/>
    </row>
    <row r="25117" spans="1:1" x14ac:dyDescent="0.3">
      <c r="A25117" s="12"/>
    </row>
    <row r="25118" spans="1:1" x14ac:dyDescent="0.3">
      <c r="A25118" s="12"/>
    </row>
    <row r="25119" spans="1:1" x14ac:dyDescent="0.3">
      <c r="A25119" s="12"/>
    </row>
    <row r="25120" spans="1:1" x14ac:dyDescent="0.3">
      <c r="A25120" s="12"/>
    </row>
    <row r="25121" spans="1:1" x14ac:dyDescent="0.3">
      <c r="A25121" s="12"/>
    </row>
    <row r="25122" spans="1:1" x14ac:dyDescent="0.3">
      <c r="A25122" s="12"/>
    </row>
    <row r="25123" spans="1:1" x14ac:dyDescent="0.3">
      <c r="A25123" s="12"/>
    </row>
    <row r="25124" spans="1:1" x14ac:dyDescent="0.3">
      <c r="A25124" s="12"/>
    </row>
    <row r="25125" spans="1:1" x14ac:dyDescent="0.3">
      <c r="A25125" s="12"/>
    </row>
    <row r="25126" spans="1:1" x14ac:dyDescent="0.3">
      <c r="A25126" s="12"/>
    </row>
    <row r="25127" spans="1:1" x14ac:dyDescent="0.3">
      <c r="A25127" s="12"/>
    </row>
    <row r="25128" spans="1:1" x14ac:dyDescent="0.3">
      <c r="A25128" s="12"/>
    </row>
    <row r="25129" spans="1:1" x14ac:dyDescent="0.3">
      <c r="A25129" s="12"/>
    </row>
    <row r="25130" spans="1:1" x14ac:dyDescent="0.3">
      <c r="A25130" s="12"/>
    </row>
    <row r="25131" spans="1:1" x14ac:dyDescent="0.3">
      <c r="A25131" s="12"/>
    </row>
    <row r="25132" spans="1:1" x14ac:dyDescent="0.3">
      <c r="A25132" s="12"/>
    </row>
    <row r="25133" spans="1:1" x14ac:dyDescent="0.3">
      <c r="A25133" s="12"/>
    </row>
    <row r="25134" spans="1:1" x14ac:dyDescent="0.3">
      <c r="A25134" s="12"/>
    </row>
    <row r="25135" spans="1:1" x14ac:dyDescent="0.3">
      <c r="A25135" s="12"/>
    </row>
    <row r="25136" spans="1:1" x14ac:dyDescent="0.3">
      <c r="A25136" s="12"/>
    </row>
    <row r="25137" spans="1:1" x14ac:dyDescent="0.3">
      <c r="A25137" s="12"/>
    </row>
    <row r="25138" spans="1:1" x14ac:dyDescent="0.3">
      <c r="A25138" s="12"/>
    </row>
    <row r="25139" spans="1:1" x14ac:dyDescent="0.3">
      <c r="A25139" s="12"/>
    </row>
    <row r="25140" spans="1:1" x14ac:dyDescent="0.3">
      <c r="A25140" s="12"/>
    </row>
    <row r="25141" spans="1:1" x14ac:dyDescent="0.3">
      <c r="A25141" s="12"/>
    </row>
    <row r="25142" spans="1:1" x14ac:dyDescent="0.3">
      <c r="A25142" s="12"/>
    </row>
    <row r="25143" spans="1:1" x14ac:dyDescent="0.3">
      <c r="A25143" s="12"/>
    </row>
    <row r="25144" spans="1:1" x14ac:dyDescent="0.3">
      <c r="A25144" s="12"/>
    </row>
    <row r="25145" spans="1:1" x14ac:dyDescent="0.3">
      <c r="A25145" s="12"/>
    </row>
    <row r="25146" spans="1:1" x14ac:dyDescent="0.3">
      <c r="A25146" s="12"/>
    </row>
    <row r="25147" spans="1:1" x14ac:dyDescent="0.3">
      <c r="A25147" s="12"/>
    </row>
    <row r="25148" spans="1:1" x14ac:dyDescent="0.3">
      <c r="A25148" s="12"/>
    </row>
    <row r="25149" spans="1:1" x14ac:dyDescent="0.3">
      <c r="A25149" s="12"/>
    </row>
    <row r="25150" spans="1:1" x14ac:dyDescent="0.3">
      <c r="A25150" s="12"/>
    </row>
    <row r="25151" spans="1:1" x14ac:dyDescent="0.3">
      <c r="A25151" s="12"/>
    </row>
    <row r="25152" spans="1:1" x14ac:dyDescent="0.3">
      <c r="A25152" s="12"/>
    </row>
    <row r="25153" spans="1:1" x14ac:dyDescent="0.3">
      <c r="A25153" s="12"/>
    </row>
    <row r="25154" spans="1:1" x14ac:dyDescent="0.3">
      <c r="A25154" s="12"/>
    </row>
    <row r="25155" spans="1:1" x14ac:dyDescent="0.3">
      <c r="A25155" s="12"/>
    </row>
    <row r="25156" spans="1:1" x14ac:dyDescent="0.3">
      <c r="A25156" s="12"/>
    </row>
    <row r="25157" spans="1:1" x14ac:dyDescent="0.3">
      <c r="A25157" s="12"/>
    </row>
    <row r="25158" spans="1:1" x14ac:dyDescent="0.3">
      <c r="A25158" s="12"/>
    </row>
    <row r="25159" spans="1:1" x14ac:dyDescent="0.3">
      <c r="A25159" s="12"/>
    </row>
    <row r="25160" spans="1:1" x14ac:dyDescent="0.3">
      <c r="A25160" s="12"/>
    </row>
    <row r="25161" spans="1:1" x14ac:dyDescent="0.3">
      <c r="A25161" s="12"/>
    </row>
    <row r="25162" spans="1:1" x14ac:dyDescent="0.3">
      <c r="A25162" s="12"/>
    </row>
    <row r="25163" spans="1:1" x14ac:dyDescent="0.3">
      <c r="A25163" s="12"/>
    </row>
    <row r="25164" spans="1:1" x14ac:dyDescent="0.3">
      <c r="A25164" s="12"/>
    </row>
    <row r="25165" spans="1:1" x14ac:dyDescent="0.3">
      <c r="A25165" s="12"/>
    </row>
    <row r="25166" spans="1:1" x14ac:dyDescent="0.3">
      <c r="A25166" s="12"/>
    </row>
    <row r="25167" spans="1:1" x14ac:dyDescent="0.3">
      <c r="A25167" s="12"/>
    </row>
    <row r="25168" spans="1:1" x14ac:dyDescent="0.3">
      <c r="A25168" s="12"/>
    </row>
    <row r="25169" spans="1:1" x14ac:dyDescent="0.3">
      <c r="A25169" s="12"/>
    </row>
    <row r="25170" spans="1:1" x14ac:dyDescent="0.3">
      <c r="A25170" s="12"/>
    </row>
    <row r="25171" spans="1:1" x14ac:dyDescent="0.3">
      <c r="A25171" s="12"/>
    </row>
    <row r="25172" spans="1:1" x14ac:dyDescent="0.3">
      <c r="A25172" s="12"/>
    </row>
    <row r="25173" spans="1:1" x14ac:dyDescent="0.3">
      <c r="A25173" s="12"/>
    </row>
    <row r="25174" spans="1:1" x14ac:dyDescent="0.3">
      <c r="A25174" s="12"/>
    </row>
    <row r="25175" spans="1:1" x14ac:dyDescent="0.3">
      <c r="A25175" s="12"/>
    </row>
    <row r="25176" spans="1:1" x14ac:dyDescent="0.3">
      <c r="A25176" s="12"/>
    </row>
    <row r="25177" spans="1:1" x14ac:dyDescent="0.3">
      <c r="A25177" s="12"/>
    </row>
    <row r="25178" spans="1:1" x14ac:dyDescent="0.3">
      <c r="A25178" s="12"/>
    </row>
    <row r="25179" spans="1:1" x14ac:dyDescent="0.3">
      <c r="A25179" s="12"/>
    </row>
    <row r="25180" spans="1:1" x14ac:dyDescent="0.3">
      <c r="A25180" s="12"/>
    </row>
    <row r="25181" spans="1:1" x14ac:dyDescent="0.3">
      <c r="A25181" s="12"/>
    </row>
    <row r="25182" spans="1:1" x14ac:dyDescent="0.3">
      <c r="A25182" s="12"/>
    </row>
    <row r="25183" spans="1:1" x14ac:dyDescent="0.3">
      <c r="A25183" s="12"/>
    </row>
    <row r="25184" spans="1:1" x14ac:dyDescent="0.3">
      <c r="A25184" s="12"/>
    </row>
    <row r="25185" spans="1:1" x14ac:dyDescent="0.3">
      <c r="A25185" s="12"/>
    </row>
    <row r="25186" spans="1:1" x14ac:dyDescent="0.3">
      <c r="A25186" s="12"/>
    </row>
    <row r="25187" spans="1:1" x14ac:dyDescent="0.3">
      <c r="A25187" s="12"/>
    </row>
    <row r="25188" spans="1:1" x14ac:dyDescent="0.3">
      <c r="A25188" s="12"/>
    </row>
    <row r="25189" spans="1:1" x14ac:dyDescent="0.3">
      <c r="A25189" s="12"/>
    </row>
    <row r="25190" spans="1:1" x14ac:dyDescent="0.3">
      <c r="A25190" s="12"/>
    </row>
    <row r="25191" spans="1:1" x14ac:dyDescent="0.3">
      <c r="A25191" s="12"/>
    </row>
    <row r="25192" spans="1:1" x14ac:dyDescent="0.3">
      <c r="A25192" s="12"/>
    </row>
    <row r="25193" spans="1:1" x14ac:dyDescent="0.3">
      <c r="A25193" s="12"/>
    </row>
    <row r="25194" spans="1:1" x14ac:dyDescent="0.3">
      <c r="A25194" s="12"/>
    </row>
    <row r="25195" spans="1:1" x14ac:dyDescent="0.3">
      <c r="A25195" s="12"/>
    </row>
    <row r="25196" spans="1:1" x14ac:dyDescent="0.3">
      <c r="A25196" s="12"/>
    </row>
    <row r="25197" spans="1:1" x14ac:dyDescent="0.3">
      <c r="A25197" s="12"/>
    </row>
    <row r="25198" spans="1:1" x14ac:dyDescent="0.3">
      <c r="A25198" s="12"/>
    </row>
    <row r="25199" spans="1:1" x14ac:dyDescent="0.3">
      <c r="A25199" s="12"/>
    </row>
    <row r="25200" spans="1:1" x14ac:dyDescent="0.3">
      <c r="A25200" s="12"/>
    </row>
    <row r="25201" spans="1:1" x14ac:dyDescent="0.3">
      <c r="A25201" s="12"/>
    </row>
    <row r="25202" spans="1:1" x14ac:dyDescent="0.3">
      <c r="A25202" s="12"/>
    </row>
    <row r="25203" spans="1:1" x14ac:dyDescent="0.3">
      <c r="A25203" s="12"/>
    </row>
    <row r="25204" spans="1:1" x14ac:dyDescent="0.3">
      <c r="A25204" s="12"/>
    </row>
    <row r="25205" spans="1:1" x14ac:dyDescent="0.3">
      <c r="A25205" s="12"/>
    </row>
    <row r="25206" spans="1:1" x14ac:dyDescent="0.3">
      <c r="A25206" s="12"/>
    </row>
    <row r="25207" spans="1:1" x14ac:dyDescent="0.3">
      <c r="A25207" s="12"/>
    </row>
    <row r="25208" spans="1:1" x14ac:dyDescent="0.3">
      <c r="A25208" s="12"/>
    </row>
    <row r="25209" spans="1:1" x14ac:dyDescent="0.3">
      <c r="A25209" s="12"/>
    </row>
    <row r="25210" spans="1:1" x14ac:dyDescent="0.3">
      <c r="A25210" s="12"/>
    </row>
    <row r="25211" spans="1:1" x14ac:dyDescent="0.3">
      <c r="A25211" s="12"/>
    </row>
    <row r="25212" spans="1:1" x14ac:dyDescent="0.3">
      <c r="A25212" s="12"/>
    </row>
    <row r="25213" spans="1:1" x14ac:dyDescent="0.3">
      <c r="A25213" s="12"/>
    </row>
    <row r="25214" spans="1:1" x14ac:dyDescent="0.3">
      <c r="A25214" s="12"/>
    </row>
    <row r="25215" spans="1:1" x14ac:dyDescent="0.3">
      <c r="A25215" s="12"/>
    </row>
    <row r="25216" spans="1:1" x14ac:dyDescent="0.3">
      <c r="A25216" s="12"/>
    </row>
    <row r="25217" spans="1:1" x14ac:dyDescent="0.3">
      <c r="A25217" s="12"/>
    </row>
    <row r="25218" spans="1:1" x14ac:dyDescent="0.3">
      <c r="A25218" s="12"/>
    </row>
    <row r="25219" spans="1:1" x14ac:dyDescent="0.3">
      <c r="A25219" s="12"/>
    </row>
    <row r="25220" spans="1:1" x14ac:dyDescent="0.3">
      <c r="A25220" s="12"/>
    </row>
    <row r="25221" spans="1:1" x14ac:dyDescent="0.3">
      <c r="A25221" s="12"/>
    </row>
    <row r="25222" spans="1:1" x14ac:dyDescent="0.3">
      <c r="A25222" s="12"/>
    </row>
    <row r="25223" spans="1:1" x14ac:dyDescent="0.3">
      <c r="A25223" s="12"/>
    </row>
    <row r="25224" spans="1:1" x14ac:dyDescent="0.3">
      <c r="A25224" s="12"/>
    </row>
    <row r="25225" spans="1:1" x14ac:dyDescent="0.3">
      <c r="A25225" s="12"/>
    </row>
    <row r="25226" spans="1:1" x14ac:dyDescent="0.3">
      <c r="A25226" s="12"/>
    </row>
    <row r="25227" spans="1:1" x14ac:dyDescent="0.3">
      <c r="A25227" s="12"/>
    </row>
    <row r="25228" spans="1:1" x14ac:dyDescent="0.3">
      <c r="A25228" s="12"/>
    </row>
    <row r="25229" spans="1:1" x14ac:dyDescent="0.3">
      <c r="A25229" s="12"/>
    </row>
    <row r="25230" spans="1:1" x14ac:dyDescent="0.3">
      <c r="A25230" s="12"/>
    </row>
    <row r="25231" spans="1:1" x14ac:dyDescent="0.3">
      <c r="A25231" s="12"/>
    </row>
    <row r="25232" spans="1:1" x14ac:dyDescent="0.3">
      <c r="A25232" s="12"/>
    </row>
    <row r="25233" spans="1:1" x14ac:dyDescent="0.3">
      <c r="A25233" s="12"/>
    </row>
    <row r="25234" spans="1:1" x14ac:dyDescent="0.3">
      <c r="A25234" s="12"/>
    </row>
    <row r="25235" spans="1:1" x14ac:dyDescent="0.3">
      <c r="A25235" s="12"/>
    </row>
    <row r="25236" spans="1:1" x14ac:dyDescent="0.3">
      <c r="A25236" s="12"/>
    </row>
    <row r="25237" spans="1:1" x14ac:dyDescent="0.3">
      <c r="A25237" s="12"/>
    </row>
    <row r="25238" spans="1:1" x14ac:dyDescent="0.3">
      <c r="A25238" s="12"/>
    </row>
    <row r="25239" spans="1:1" x14ac:dyDescent="0.3">
      <c r="A25239" s="12"/>
    </row>
    <row r="25240" spans="1:1" x14ac:dyDescent="0.3">
      <c r="A25240" s="12"/>
    </row>
    <row r="25241" spans="1:1" x14ac:dyDescent="0.3">
      <c r="A25241" s="12"/>
    </row>
    <row r="25242" spans="1:1" x14ac:dyDescent="0.3">
      <c r="A25242" s="12"/>
    </row>
    <row r="25243" spans="1:1" x14ac:dyDescent="0.3">
      <c r="A25243" s="12"/>
    </row>
    <row r="25244" spans="1:1" x14ac:dyDescent="0.3">
      <c r="A25244" s="12"/>
    </row>
    <row r="25245" spans="1:1" x14ac:dyDescent="0.3">
      <c r="A25245" s="12"/>
    </row>
    <row r="25246" spans="1:1" x14ac:dyDescent="0.3">
      <c r="A25246" s="12"/>
    </row>
    <row r="25247" spans="1:1" x14ac:dyDescent="0.3">
      <c r="A25247" s="12"/>
    </row>
    <row r="25248" spans="1:1" x14ac:dyDescent="0.3">
      <c r="A25248" s="12"/>
    </row>
    <row r="25249" spans="1:1" x14ac:dyDescent="0.3">
      <c r="A25249" s="12"/>
    </row>
    <row r="25250" spans="1:1" x14ac:dyDescent="0.3">
      <c r="A25250" s="12"/>
    </row>
    <row r="25251" spans="1:1" x14ac:dyDescent="0.3">
      <c r="A25251" s="12"/>
    </row>
    <row r="25252" spans="1:1" x14ac:dyDescent="0.3">
      <c r="A25252" s="12"/>
    </row>
    <row r="25253" spans="1:1" x14ac:dyDescent="0.3">
      <c r="A25253" s="12"/>
    </row>
    <row r="25254" spans="1:1" x14ac:dyDescent="0.3">
      <c r="A25254" s="12"/>
    </row>
    <row r="25255" spans="1:1" x14ac:dyDescent="0.3">
      <c r="A25255" s="12"/>
    </row>
    <row r="25256" spans="1:1" x14ac:dyDescent="0.3">
      <c r="A25256" s="12"/>
    </row>
    <row r="25257" spans="1:1" x14ac:dyDescent="0.3">
      <c r="A25257" s="12"/>
    </row>
    <row r="25258" spans="1:1" x14ac:dyDescent="0.3">
      <c r="A25258" s="12"/>
    </row>
    <row r="25259" spans="1:1" x14ac:dyDescent="0.3">
      <c r="A25259" s="12"/>
    </row>
    <row r="25260" spans="1:1" x14ac:dyDescent="0.3">
      <c r="A25260" s="12"/>
    </row>
    <row r="25261" spans="1:1" x14ac:dyDescent="0.3">
      <c r="A25261" s="12"/>
    </row>
    <row r="25262" spans="1:1" x14ac:dyDescent="0.3">
      <c r="A25262" s="12"/>
    </row>
    <row r="25263" spans="1:1" x14ac:dyDescent="0.3">
      <c r="A25263" s="12"/>
    </row>
    <row r="25264" spans="1:1" x14ac:dyDescent="0.3">
      <c r="A25264" s="12"/>
    </row>
    <row r="25265" spans="1:1" x14ac:dyDescent="0.3">
      <c r="A25265" s="12"/>
    </row>
    <row r="25266" spans="1:1" x14ac:dyDescent="0.3">
      <c r="A25266" s="12"/>
    </row>
    <row r="25267" spans="1:1" x14ac:dyDescent="0.3">
      <c r="A25267" s="12"/>
    </row>
    <row r="25268" spans="1:1" x14ac:dyDescent="0.3">
      <c r="A25268" s="12"/>
    </row>
    <row r="25269" spans="1:1" x14ac:dyDescent="0.3">
      <c r="A25269" s="12"/>
    </row>
    <row r="25270" spans="1:1" x14ac:dyDescent="0.3">
      <c r="A25270" s="12"/>
    </row>
    <row r="25271" spans="1:1" x14ac:dyDescent="0.3">
      <c r="A25271" s="12"/>
    </row>
    <row r="25272" spans="1:1" x14ac:dyDescent="0.3">
      <c r="A25272" s="12"/>
    </row>
    <row r="25273" spans="1:1" x14ac:dyDescent="0.3">
      <c r="A25273" s="12"/>
    </row>
    <row r="25274" spans="1:1" x14ac:dyDescent="0.3">
      <c r="A25274" s="12"/>
    </row>
    <row r="25275" spans="1:1" x14ac:dyDescent="0.3">
      <c r="A25275" s="12"/>
    </row>
    <row r="25276" spans="1:1" x14ac:dyDescent="0.3">
      <c r="A25276" s="12"/>
    </row>
    <row r="25277" spans="1:1" x14ac:dyDescent="0.3">
      <c r="A25277" s="12"/>
    </row>
    <row r="25278" spans="1:1" x14ac:dyDescent="0.3">
      <c r="A25278" s="12"/>
    </row>
    <row r="25279" spans="1:1" x14ac:dyDescent="0.3">
      <c r="A25279" s="12"/>
    </row>
    <row r="25280" spans="1:1" x14ac:dyDescent="0.3">
      <c r="A25280" s="12"/>
    </row>
    <row r="25281" spans="1:1" x14ac:dyDescent="0.3">
      <c r="A25281" s="12"/>
    </row>
    <row r="25282" spans="1:1" x14ac:dyDescent="0.3">
      <c r="A25282" s="12"/>
    </row>
    <row r="25283" spans="1:1" x14ac:dyDescent="0.3">
      <c r="A25283" s="12"/>
    </row>
    <row r="25284" spans="1:1" x14ac:dyDescent="0.3">
      <c r="A25284" s="12"/>
    </row>
    <row r="25285" spans="1:1" x14ac:dyDescent="0.3">
      <c r="A25285" s="12"/>
    </row>
    <row r="25286" spans="1:1" x14ac:dyDescent="0.3">
      <c r="A25286" s="12"/>
    </row>
    <row r="25287" spans="1:1" x14ac:dyDescent="0.3">
      <c r="A25287" s="12"/>
    </row>
    <row r="25288" spans="1:1" x14ac:dyDescent="0.3">
      <c r="A25288" s="12"/>
    </row>
    <row r="25289" spans="1:1" x14ac:dyDescent="0.3">
      <c r="A25289" s="12"/>
    </row>
    <row r="25290" spans="1:1" x14ac:dyDescent="0.3">
      <c r="A25290" s="12"/>
    </row>
    <row r="25291" spans="1:1" x14ac:dyDescent="0.3">
      <c r="A25291" s="12"/>
    </row>
    <row r="25292" spans="1:1" x14ac:dyDescent="0.3">
      <c r="A25292" s="12"/>
    </row>
    <row r="25293" spans="1:1" x14ac:dyDescent="0.3">
      <c r="A25293" s="12"/>
    </row>
    <row r="25294" spans="1:1" x14ac:dyDescent="0.3">
      <c r="A25294" s="12"/>
    </row>
    <row r="25295" spans="1:1" x14ac:dyDescent="0.3">
      <c r="A25295" s="12"/>
    </row>
    <row r="25296" spans="1:1" x14ac:dyDescent="0.3">
      <c r="A25296" s="12"/>
    </row>
    <row r="25297" spans="1:1" x14ac:dyDescent="0.3">
      <c r="A25297" s="12"/>
    </row>
    <row r="25298" spans="1:1" x14ac:dyDescent="0.3">
      <c r="A25298" s="12"/>
    </row>
    <row r="25299" spans="1:1" x14ac:dyDescent="0.3">
      <c r="A25299" s="12"/>
    </row>
    <row r="25300" spans="1:1" x14ac:dyDescent="0.3">
      <c r="A25300" s="12"/>
    </row>
    <row r="25301" spans="1:1" x14ac:dyDescent="0.3">
      <c r="A25301" s="12"/>
    </row>
    <row r="25302" spans="1:1" x14ac:dyDescent="0.3">
      <c r="A25302" s="12"/>
    </row>
    <row r="25303" spans="1:1" x14ac:dyDescent="0.3">
      <c r="A25303" s="12"/>
    </row>
    <row r="25304" spans="1:1" x14ac:dyDescent="0.3">
      <c r="A25304" s="12"/>
    </row>
    <row r="25305" spans="1:1" x14ac:dyDescent="0.3">
      <c r="A25305" s="12"/>
    </row>
    <row r="25306" spans="1:1" x14ac:dyDescent="0.3">
      <c r="A25306" s="12"/>
    </row>
    <row r="25307" spans="1:1" x14ac:dyDescent="0.3">
      <c r="A25307" s="12"/>
    </row>
    <row r="25308" spans="1:1" x14ac:dyDescent="0.3">
      <c r="A25308" s="12"/>
    </row>
    <row r="25309" spans="1:1" x14ac:dyDescent="0.3">
      <c r="A25309" s="12"/>
    </row>
    <row r="25310" spans="1:1" x14ac:dyDescent="0.3">
      <c r="A25310" s="12"/>
    </row>
    <row r="25311" spans="1:1" x14ac:dyDescent="0.3">
      <c r="A25311" s="12"/>
    </row>
    <row r="25312" spans="1:1" x14ac:dyDescent="0.3">
      <c r="A25312" s="12"/>
    </row>
    <row r="25313" spans="1:1" x14ac:dyDescent="0.3">
      <c r="A25313" s="12"/>
    </row>
    <row r="25314" spans="1:1" x14ac:dyDescent="0.3">
      <c r="A25314" s="12"/>
    </row>
    <row r="25315" spans="1:1" x14ac:dyDescent="0.3">
      <c r="A25315" s="12"/>
    </row>
    <row r="25316" spans="1:1" x14ac:dyDescent="0.3">
      <c r="A25316" s="12"/>
    </row>
    <row r="25317" spans="1:1" x14ac:dyDescent="0.3">
      <c r="A25317" s="12"/>
    </row>
    <row r="25318" spans="1:1" x14ac:dyDescent="0.3">
      <c r="A25318" s="12"/>
    </row>
    <row r="25319" spans="1:1" x14ac:dyDescent="0.3">
      <c r="A25319" s="12"/>
    </row>
    <row r="25320" spans="1:1" x14ac:dyDescent="0.3">
      <c r="A25320" s="12"/>
    </row>
    <row r="25321" spans="1:1" x14ac:dyDescent="0.3">
      <c r="A25321" s="12"/>
    </row>
    <row r="25322" spans="1:1" x14ac:dyDescent="0.3">
      <c r="A25322" s="12"/>
    </row>
    <row r="25323" spans="1:1" x14ac:dyDescent="0.3">
      <c r="A25323" s="12"/>
    </row>
    <row r="25324" spans="1:1" x14ac:dyDescent="0.3">
      <c r="A25324" s="12"/>
    </row>
    <row r="25325" spans="1:1" x14ac:dyDescent="0.3">
      <c r="A25325" s="12"/>
    </row>
    <row r="25326" spans="1:1" x14ac:dyDescent="0.3">
      <c r="A25326" s="12"/>
    </row>
    <row r="25327" spans="1:1" x14ac:dyDescent="0.3">
      <c r="A25327" s="12"/>
    </row>
    <row r="25328" spans="1:1" x14ac:dyDescent="0.3">
      <c r="A25328" s="12"/>
    </row>
    <row r="25329" spans="1:1" x14ac:dyDescent="0.3">
      <c r="A25329" s="12"/>
    </row>
    <row r="25330" spans="1:1" x14ac:dyDescent="0.3">
      <c r="A25330" s="12"/>
    </row>
    <row r="25331" spans="1:1" x14ac:dyDescent="0.3">
      <c r="A25331" s="12"/>
    </row>
    <row r="25332" spans="1:1" x14ac:dyDescent="0.3">
      <c r="A25332" s="12"/>
    </row>
    <row r="25333" spans="1:1" x14ac:dyDescent="0.3">
      <c r="A25333" s="12"/>
    </row>
    <row r="25334" spans="1:1" x14ac:dyDescent="0.3">
      <c r="A25334" s="12"/>
    </row>
    <row r="25335" spans="1:1" x14ac:dyDescent="0.3">
      <c r="A25335" s="12"/>
    </row>
    <row r="25336" spans="1:1" x14ac:dyDescent="0.3">
      <c r="A25336" s="12"/>
    </row>
    <row r="25337" spans="1:1" x14ac:dyDescent="0.3">
      <c r="A25337" s="12"/>
    </row>
    <row r="25338" spans="1:1" x14ac:dyDescent="0.3">
      <c r="A25338" s="12"/>
    </row>
    <row r="25339" spans="1:1" x14ac:dyDescent="0.3">
      <c r="A25339" s="12"/>
    </row>
    <row r="25340" spans="1:1" x14ac:dyDescent="0.3">
      <c r="A25340" s="12"/>
    </row>
    <row r="25341" spans="1:1" x14ac:dyDescent="0.3">
      <c r="A25341" s="12"/>
    </row>
    <row r="25342" spans="1:1" x14ac:dyDescent="0.3">
      <c r="A25342" s="12"/>
    </row>
    <row r="25343" spans="1:1" x14ac:dyDescent="0.3">
      <c r="A25343" s="12"/>
    </row>
    <row r="25344" spans="1:1" x14ac:dyDescent="0.3">
      <c r="A25344" s="12"/>
    </row>
    <row r="25345" spans="1:1" x14ac:dyDescent="0.3">
      <c r="A25345" s="12"/>
    </row>
    <row r="25346" spans="1:1" x14ac:dyDescent="0.3">
      <c r="A25346" s="12"/>
    </row>
    <row r="25347" spans="1:1" x14ac:dyDescent="0.3">
      <c r="A25347" s="12"/>
    </row>
    <row r="25348" spans="1:1" x14ac:dyDescent="0.3">
      <c r="A25348" s="12"/>
    </row>
    <row r="25349" spans="1:1" x14ac:dyDescent="0.3">
      <c r="A25349" s="12"/>
    </row>
    <row r="25350" spans="1:1" x14ac:dyDescent="0.3">
      <c r="A25350" s="12"/>
    </row>
    <row r="25351" spans="1:1" x14ac:dyDescent="0.3">
      <c r="A25351" s="12"/>
    </row>
    <row r="25352" spans="1:1" x14ac:dyDescent="0.3">
      <c r="A25352" s="12"/>
    </row>
    <row r="25353" spans="1:1" x14ac:dyDescent="0.3">
      <c r="A25353" s="12"/>
    </row>
    <row r="25354" spans="1:1" x14ac:dyDescent="0.3">
      <c r="A25354" s="12"/>
    </row>
    <row r="25355" spans="1:1" x14ac:dyDescent="0.3">
      <c r="A25355" s="12"/>
    </row>
    <row r="25356" spans="1:1" x14ac:dyDescent="0.3">
      <c r="A25356" s="12"/>
    </row>
    <row r="25357" spans="1:1" x14ac:dyDescent="0.3">
      <c r="A25357" s="12"/>
    </row>
    <row r="25358" spans="1:1" x14ac:dyDescent="0.3">
      <c r="A25358" s="12"/>
    </row>
    <row r="25359" spans="1:1" x14ac:dyDescent="0.3">
      <c r="A25359" s="12"/>
    </row>
    <row r="25360" spans="1:1" x14ac:dyDescent="0.3">
      <c r="A25360" s="12"/>
    </row>
    <row r="25361" spans="1:1" x14ac:dyDescent="0.3">
      <c r="A25361" s="12"/>
    </row>
    <row r="25362" spans="1:1" x14ac:dyDescent="0.3">
      <c r="A25362" s="12"/>
    </row>
    <row r="25363" spans="1:1" x14ac:dyDescent="0.3">
      <c r="A25363" s="12"/>
    </row>
    <row r="25364" spans="1:1" x14ac:dyDescent="0.3">
      <c r="A25364" s="12"/>
    </row>
    <row r="25365" spans="1:1" x14ac:dyDescent="0.3">
      <c r="A25365" s="12"/>
    </row>
    <row r="25366" spans="1:1" x14ac:dyDescent="0.3">
      <c r="A25366" s="12"/>
    </row>
    <row r="25367" spans="1:1" x14ac:dyDescent="0.3">
      <c r="A25367" s="12"/>
    </row>
    <row r="25368" spans="1:1" x14ac:dyDescent="0.3">
      <c r="A25368" s="12"/>
    </row>
    <row r="25369" spans="1:1" x14ac:dyDescent="0.3">
      <c r="A25369" s="12"/>
    </row>
    <row r="25370" spans="1:1" x14ac:dyDescent="0.3">
      <c r="A25370" s="12"/>
    </row>
    <row r="25371" spans="1:1" x14ac:dyDescent="0.3">
      <c r="A25371" s="12"/>
    </row>
    <row r="25372" spans="1:1" x14ac:dyDescent="0.3">
      <c r="A25372" s="12"/>
    </row>
    <row r="25373" spans="1:1" x14ac:dyDescent="0.3">
      <c r="A25373" s="12"/>
    </row>
    <row r="25374" spans="1:1" x14ac:dyDescent="0.3">
      <c r="A25374" s="12"/>
    </row>
    <row r="25375" spans="1:1" x14ac:dyDescent="0.3">
      <c r="A25375" s="12"/>
    </row>
    <row r="25376" spans="1:1" x14ac:dyDescent="0.3">
      <c r="A25376" s="12"/>
    </row>
    <row r="25377" spans="1:1" x14ac:dyDescent="0.3">
      <c r="A25377" s="12"/>
    </row>
    <row r="25378" spans="1:1" x14ac:dyDescent="0.3">
      <c r="A25378" s="12"/>
    </row>
    <row r="25379" spans="1:1" x14ac:dyDescent="0.3">
      <c r="A25379" s="12"/>
    </row>
    <row r="25380" spans="1:1" x14ac:dyDescent="0.3">
      <c r="A25380" s="12"/>
    </row>
    <row r="25381" spans="1:1" x14ac:dyDescent="0.3">
      <c r="A25381" s="12"/>
    </row>
    <row r="25382" spans="1:1" x14ac:dyDescent="0.3">
      <c r="A25382" s="12"/>
    </row>
    <row r="25383" spans="1:1" x14ac:dyDescent="0.3">
      <c r="A25383" s="12"/>
    </row>
    <row r="25384" spans="1:1" x14ac:dyDescent="0.3">
      <c r="A25384" s="12"/>
    </row>
    <row r="25385" spans="1:1" x14ac:dyDescent="0.3">
      <c r="A25385" s="12"/>
    </row>
    <row r="25386" spans="1:1" x14ac:dyDescent="0.3">
      <c r="A25386" s="12"/>
    </row>
    <row r="25387" spans="1:1" x14ac:dyDescent="0.3">
      <c r="A25387" s="12"/>
    </row>
    <row r="25388" spans="1:1" x14ac:dyDescent="0.3">
      <c r="A25388" s="12"/>
    </row>
    <row r="25389" spans="1:1" x14ac:dyDescent="0.3">
      <c r="A25389" s="12"/>
    </row>
    <row r="25390" spans="1:1" x14ac:dyDescent="0.3">
      <c r="A25390" s="12"/>
    </row>
    <row r="25391" spans="1:1" x14ac:dyDescent="0.3">
      <c r="A25391" s="12"/>
    </row>
    <row r="25392" spans="1:1" x14ac:dyDescent="0.3">
      <c r="A25392" s="12"/>
    </row>
    <row r="25393" spans="1:1" x14ac:dyDescent="0.3">
      <c r="A25393" s="12"/>
    </row>
    <row r="25394" spans="1:1" x14ac:dyDescent="0.3">
      <c r="A25394" s="12"/>
    </row>
    <row r="25395" spans="1:1" x14ac:dyDescent="0.3">
      <c r="A25395" s="12"/>
    </row>
    <row r="25396" spans="1:1" x14ac:dyDescent="0.3">
      <c r="A25396" s="12"/>
    </row>
    <row r="25397" spans="1:1" x14ac:dyDescent="0.3">
      <c r="A25397" s="12"/>
    </row>
    <row r="25398" spans="1:1" x14ac:dyDescent="0.3">
      <c r="A25398" s="12"/>
    </row>
    <row r="25399" spans="1:1" x14ac:dyDescent="0.3">
      <c r="A25399" s="12"/>
    </row>
    <row r="25400" spans="1:1" x14ac:dyDescent="0.3">
      <c r="A25400" s="12"/>
    </row>
    <row r="25401" spans="1:1" x14ac:dyDescent="0.3">
      <c r="A25401" s="12"/>
    </row>
    <row r="25402" spans="1:1" x14ac:dyDescent="0.3">
      <c r="A25402" s="12"/>
    </row>
    <row r="25403" spans="1:1" x14ac:dyDescent="0.3">
      <c r="A25403" s="12"/>
    </row>
    <row r="25404" spans="1:1" x14ac:dyDescent="0.3">
      <c r="A25404" s="12"/>
    </row>
    <row r="25405" spans="1:1" x14ac:dyDescent="0.3">
      <c r="A25405" s="12"/>
    </row>
    <row r="25406" spans="1:1" x14ac:dyDescent="0.3">
      <c r="A25406" s="12"/>
    </row>
    <row r="25407" spans="1:1" x14ac:dyDescent="0.3">
      <c r="A25407" s="12"/>
    </row>
    <row r="25408" spans="1:1" x14ac:dyDescent="0.3">
      <c r="A25408" s="12"/>
    </row>
    <row r="25409" spans="1:1" x14ac:dyDescent="0.3">
      <c r="A25409" s="12"/>
    </row>
    <row r="25410" spans="1:1" x14ac:dyDescent="0.3">
      <c r="A25410" s="12"/>
    </row>
    <row r="25411" spans="1:1" x14ac:dyDescent="0.3">
      <c r="A25411" s="12"/>
    </row>
    <row r="25412" spans="1:1" x14ac:dyDescent="0.3">
      <c r="A25412" s="12"/>
    </row>
    <row r="25413" spans="1:1" x14ac:dyDescent="0.3">
      <c r="A25413" s="12"/>
    </row>
    <row r="25414" spans="1:1" x14ac:dyDescent="0.3">
      <c r="A25414" s="12"/>
    </row>
    <row r="25415" spans="1:1" x14ac:dyDescent="0.3">
      <c r="A25415" s="12"/>
    </row>
    <row r="25416" spans="1:1" x14ac:dyDescent="0.3">
      <c r="A25416" s="12"/>
    </row>
    <row r="25417" spans="1:1" x14ac:dyDescent="0.3">
      <c r="A25417" s="12"/>
    </row>
    <row r="25418" spans="1:1" x14ac:dyDescent="0.3">
      <c r="A25418" s="12"/>
    </row>
    <row r="25419" spans="1:1" x14ac:dyDescent="0.3">
      <c r="A25419" s="12"/>
    </row>
    <row r="25420" spans="1:1" x14ac:dyDescent="0.3">
      <c r="A25420" s="12"/>
    </row>
    <row r="25421" spans="1:1" x14ac:dyDescent="0.3">
      <c r="A25421" s="12"/>
    </row>
    <row r="25422" spans="1:1" x14ac:dyDescent="0.3">
      <c r="A25422" s="12"/>
    </row>
    <row r="25423" spans="1:1" x14ac:dyDescent="0.3">
      <c r="A25423" s="12"/>
    </row>
    <row r="25424" spans="1:1" x14ac:dyDescent="0.3">
      <c r="A25424" s="12"/>
    </row>
    <row r="25425" spans="1:1" x14ac:dyDescent="0.3">
      <c r="A25425" s="12"/>
    </row>
    <row r="25426" spans="1:1" x14ac:dyDescent="0.3">
      <c r="A25426" s="12"/>
    </row>
    <row r="25427" spans="1:1" x14ac:dyDescent="0.3">
      <c r="A25427" s="12"/>
    </row>
    <row r="25428" spans="1:1" x14ac:dyDescent="0.3">
      <c r="A25428" s="12"/>
    </row>
    <row r="25429" spans="1:1" x14ac:dyDescent="0.3">
      <c r="A25429" s="12"/>
    </row>
    <row r="25430" spans="1:1" x14ac:dyDescent="0.3">
      <c r="A25430" s="12"/>
    </row>
    <row r="25431" spans="1:1" x14ac:dyDescent="0.3">
      <c r="A25431" s="12"/>
    </row>
    <row r="25432" spans="1:1" x14ac:dyDescent="0.3">
      <c r="A25432" s="12"/>
    </row>
    <row r="25433" spans="1:1" x14ac:dyDescent="0.3">
      <c r="A25433" s="12"/>
    </row>
    <row r="25434" spans="1:1" x14ac:dyDescent="0.3">
      <c r="A25434" s="12"/>
    </row>
    <row r="25435" spans="1:1" x14ac:dyDescent="0.3">
      <c r="A25435" s="12"/>
    </row>
    <row r="25436" spans="1:1" x14ac:dyDescent="0.3">
      <c r="A25436" s="12"/>
    </row>
    <row r="25437" spans="1:1" x14ac:dyDescent="0.3">
      <c r="A25437" s="12"/>
    </row>
    <row r="25438" spans="1:1" x14ac:dyDescent="0.3">
      <c r="A25438" s="12"/>
    </row>
    <row r="25439" spans="1:1" x14ac:dyDescent="0.3">
      <c r="A25439" s="12"/>
    </row>
    <row r="25440" spans="1:1" x14ac:dyDescent="0.3">
      <c r="A25440" s="12"/>
    </row>
    <row r="25441" spans="1:1" x14ac:dyDescent="0.3">
      <c r="A25441" s="12"/>
    </row>
    <row r="25442" spans="1:1" x14ac:dyDescent="0.3">
      <c r="A25442" s="12"/>
    </row>
    <row r="25443" spans="1:1" x14ac:dyDescent="0.3">
      <c r="A25443" s="12"/>
    </row>
    <row r="25444" spans="1:1" x14ac:dyDescent="0.3">
      <c r="A25444" s="12"/>
    </row>
    <row r="25445" spans="1:1" x14ac:dyDescent="0.3">
      <c r="A25445" s="12"/>
    </row>
    <row r="25446" spans="1:1" x14ac:dyDescent="0.3">
      <c r="A25446" s="12"/>
    </row>
    <row r="25447" spans="1:1" x14ac:dyDescent="0.3">
      <c r="A25447" s="12"/>
    </row>
    <row r="25448" spans="1:1" x14ac:dyDescent="0.3">
      <c r="A25448" s="12"/>
    </row>
    <row r="25449" spans="1:1" x14ac:dyDescent="0.3">
      <c r="A25449" s="12"/>
    </row>
    <row r="25450" spans="1:1" x14ac:dyDescent="0.3">
      <c r="A25450" s="12"/>
    </row>
    <row r="25451" spans="1:1" x14ac:dyDescent="0.3">
      <c r="A25451" s="12"/>
    </row>
    <row r="25452" spans="1:1" x14ac:dyDescent="0.3">
      <c r="A25452" s="12"/>
    </row>
    <row r="25453" spans="1:1" x14ac:dyDescent="0.3">
      <c r="A25453" s="12"/>
    </row>
    <row r="25454" spans="1:1" x14ac:dyDescent="0.3">
      <c r="A25454" s="12"/>
    </row>
    <row r="25455" spans="1:1" x14ac:dyDescent="0.3">
      <c r="A25455" s="12"/>
    </row>
    <row r="25456" spans="1:1" x14ac:dyDescent="0.3">
      <c r="A25456" s="12"/>
    </row>
    <row r="25457" spans="1:1" x14ac:dyDescent="0.3">
      <c r="A25457" s="12"/>
    </row>
    <row r="25458" spans="1:1" x14ac:dyDescent="0.3">
      <c r="A25458" s="12"/>
    </row>
    <row r="25459" spans="1:1" x14ac:dyDescent="0.3">
      <c r="A25459" s="12"/>
    </row>
    <row r="25460" spans="1:1" x14ac:dyDescent="0.3">
      <c r="A25460" s="12"/>
    </row>
    <row r="25461" spans="1:1" x14ac:dyDescent="0.3">
      <c r="A25461" s="12"/>
    </row>
    <row r="25462" spans="1:1" x14ac:dyDescent="0.3">
      <c r="A25462" s="12"/>
    </row>
    <row r="25463" spans="1:1" x14ac:dyDescent="0.3">
      <c r="A25463" s="12"/>
    </row>
    <row r="25464" spans="1:1" x14ac:dyDescent="0.3">
      <c r="A25464" s="12"/>
    </row>
    <row r="25465" spans="1:1" x14ac:dyDescent="0.3">
      <c r="A25465" s="12"/>
    </row>
    <row r="25466" spans="1:1" x14ac:dyDescent="0.3">
      <c r="A25466" s="12"/>
    </row>
    <row r="25467" spans="1:1" x14ac:dyDescent="0.3">
      <c r="A25467" s="12"/>
    </row>
    <row r="25468" spans="1:1" x14ac:dyDescent="0.3">
      <c r="A25468" s="12"/>
    </row>
    <row r="25469" spans="1:1" x14ac:dyDescent="0.3">
      <c r="A25469" s="12"/>
    </row>
    <row r="25470" spans="1:1" x14ac:dyDescent="0.3">
      <c r="A25470" s="12"/>
    </row>
    <row r="25471" spans="1:1" x14ac:dyDescent="0.3">
      <c r="A25471" s="12"/>
    </row>
    <row r="25472" spans="1:1" x14ac:dyDescent="0.3">
      <c r="A25472" s="12"/>
    </row>
    <row r="25473" spans="1:1" x14ac:dyDescent="0.3">
      <c r="A25473" s="12"/>
    </row>
    <row r="25474" spans="1:1" x14ac:dyDescent="0.3">
      <c r="A25474" s="12"/>
    </row>
    <row r="25475" spans="1:1" x14ac:dyDescent="0.3">
      <c r="A25475" s="12"/>
    </row>
    <row r="25476" spans="1:1" x14ac:dyDescent="0.3">
      <c r="A25476" s="12"/>
    </row>
    <row r="25477" spans="1:1" x14ac:dyDescent="0.3">
      <c r="A25477" s="12"/>
    </row>
    <row r="25478" spans="1:1" x14ac:dyDescent="0.3">
      <c r="A25478" s="12"/>
    </row>
    <row r="25479" spans="1:1" x14ac:dyDescent="0.3">
      <c r="A25479" s="12"/>
    </row>
    <row r="25480" spans="1:1" x14ac:dyDescent="0.3">
      <c r="A25480" s="12"/>
    </row>
    <row r="25481" spans="1:1" x14ac:dyDescent="0.3">
      <c r="A25481" s="12"/>
    </row>
    <row r="25482" spans="1:1" x14ac:dyDescent="0.3">
      <c r="A25482" s="12"/>
    </row>
    <row r="25483" spans="1:1" x14ac:dyDescent="0.3">
      <c r="A25483" s="12"/>
    </row>
    <row r="25484" spans="1:1" x14ac:dyDescent="0.3">
      <c r="A25484" s="12"/>
    </row>
    <row r="25485" spans="1:1" x14ac:dyDescent="0.3">
      <c r="A25485" s="12"/>
    </row>
    <row r="25486" spans="1:1" x14ac:dyDescent="0.3">
      <c r="A25486" s="12"/>
    </row>
    <row r="25487" spans="1:1" x14ac:dyDescent="0.3">
      <c r="A25487" s="12"/>
    </row>
    <row r="25488" spans="1:1" x14ac:dyDescent="0.3">
      <c r="A25488" s="12"/>
    </row>
    <row r="25489" spans="1:1" x14ac:dyDescent="0.3">
      <c r="A25489" s="12"/>
    </row>
    <row r="25490" spans="1:1" x14ac:dyDescent="0.3">
      <c r="A25490" s="12"/>
    </row>
    <row r="25491" spans="1:1" x14ac:dyDescent="0.3">
      <c r="A25491" s="12"/>
    </row>
    <row r="25492" spans="1:1" x14ac:dyDescent="0.3">
      <c r="A25492" s="12"/>
    </row>
    <row r="25493" spans="1:1" x14ac:dyDescent="0.3">
      <c r="A25493" s="12"/>
    </row>
    <row r="25494" spans="1:1" x14ac:dyDescent="0.3">
      <c r="A25494" s="12"/>
    </row>
    <row r="25495" spans="1:1" x14ac:dyDescent="0.3">
      <c r="A25495" s="12"/>
    </row>
    <row r="25496" spans="1:1" x14ac:dyDescent="0.3">
      <c r="A25496" s="12"/>
    </row>
    <row r="25497" spans="1:1" x14ac:dyDescent="0.3">
      <c r="A25497" s="12"/>
    </row>
    <row r="25498" spans="1:1" x14ac:dyDescent="0.3">
      <c r="A25498" s="12"/>
    </row>
    <row r="25499" spans="1:1" x14ac:dyDescent="0.3">
      <c r="A25499" s="12"/>
    </row>
    <row r="25500" spans="1:1" x14ac:dyDescent="0.3">
      <c r="A25500" s="12"/>
    </row>
    <row r="25501" spans="1:1" x14ac:dyDescent="0.3">
      <c r="A25501" s="12"/>
    </row>
    <row r="25502" spans="1:1" x14ac:dyDescent="0.3">
      <c r="A25502" s="12"/>
    </row>
    <row r="25503" spans="1:1" x14ac:dyDescent="0.3">
      <c r="A25503" s="12"/>
    </row>
    <row r="25504" spans="1:1" x14ac:dyDescent="0.3">
      <c r="A25504" s="12"/>
    </row>
    <row r="25505" spans="1:1" x14ac:dyDescent="0.3">
      <c r="A25505" s="12"/>
    </row>
    <row r="25506" spans="1:1" x14ac:dyDescent="0.3">
      <c r="A25506" s="12"/>
    </row>
    <row r="25507" spans="1:1" x14ac:dyDescent="0.3">
      <c r="A25507" s="12"/>
    </row>
    <row r="25508" spans="1:1" x14ac:dyDescent="0.3">
      <c r="A25508" s="12"/>
    </row>
    <row r="25509" spans="1:1" x14ac:dyDescent="0.3">
      <c r="A25509" s="12"/>
    </row>
    <row r="25510" spans="1:1" x14ac:dyDescent="0.3">
      <c r="A25510" s="12"/>
    </row>
    <row r="25511" spans="1:1" x14ac:dyDescent="0.3">
      <c r="A25511" s="12"/>
    </row>
    <row r="25512" spans="1:1" x14ac:dyDescent="0.3">
      <c r="A25512" s="12"/>
    </row>
    <row r="25513" spans="1:1" x14ac:dyDescent="0.3">
      <c r="A25513" s="12"/>
    </row>
    <row r="25514" spans="1:1" x14ac:dyDescent="0.3">
      <c r="A25514" s="12"/>
    </row>
    <row r="25515" spans="1:1" x14ac:dyDescent="0.3">
      <c r="A25515" s="12"/>
    </row>
    <row r="25516" spans="1:1" x14ac:dyDescent="0.3">
      <c r="A25516" s="12"/>
    </row>
    <row r="25517" spans="1:1" x14ac:dyDescent="0.3">
      <c r="A25517" s="12"/>
    </row>
    <row r="25518" spans="1:1" x14ac:dyDescent="0.3">
      <c r="A25518" s="12"/>
    </row>
    <row r="25519" spans="1:1" x14ac:dyDescent="0.3">
      <c r="A25519" s="12"/>
    </row>
    <row r="25520" spans="1:1" x14ac:dyDescent="0.3">
      <c r="A25520" s="12"/>
    </row>
    <row r="25521" spans="1:1" x14ac:dyDescent="0.3">
      <c r="A25521" s="12"/>
    </row>
    <row r="25522" spans="1:1" x14ac:dyDescent="0.3">
      <c r="A25522" s="12"/>
    </row>
    <row r="25523" spans="1:1" x14ac:dyDescent="0.3">
      <c r="A25523" s="12"/>
    </row>
    <row r="25524" spans="1:1" x14ac:dyDescent="0.3">
      <c r="A25524" s="12"/>
    </row>
    <row r="25525" spans="1:1" x14ac:dyDescent="0.3">
      <c r="A25525" s="12"/>
    </row>
    <row r="25526" spans="1:1" x14ac:dyDescent="0.3">
      <c r="A25526" s="12"/>
    </row>
    <row r="25527" spans="1:1" x14ac:dyDescent="0.3">
      <c r="A25527" s="12"/>
    </row>
    <row r="25528" spans="1:1" x14ac:dyDescent="0.3">
      <c r="A25528" s="12"/>
    </row>
    <row r="25529" spans="1:1" x14ac:dyDescent="0.3">
      <c r="A25529" s="12"/>
    </row>
    <row r="25530" spans="1:1" x14ac:dyDescent="0.3">
      <c r="A25530" s="12"/>
    </row>
    <row r="25531" spans="1:1" x14ac:dyDescent="0.3">
      <c r="A25531" s="12"/>
    </row>
    <row r="25532" spans="1:1" x14ac:dyDescent="0.3">
      <c r="A25532" s="12"/>
    </row>
    <row r="25533" spans="1:1" x14ac:dyDescent="0.3">
      <c r="A25533" s="12"/>
    </row>
    <row r="25534" spans="1:1" x14ac:dyDescent="0.3">
      <c r="A25534" s="12"/>
    </row>
    <row r="25535" spans="1:1" x14ac:dyDescent="0.3">
      <c r="A25535" s="12"/>
    </row>
    <row r="25536" spans="1:1" x14ac:dyDescent="0.3">
      <c r="A25536" s="12"/>
    </row>
    <row r="25537" spans="1:1" x14ac:dyDescent="0.3">
      <c r="A25537" s="12"/>
    </row>
    <row r="25538" spans="1:1" x14ac:dyDescent="0.3">
      <c r="A25538" s="12"/>
    </row>
    <row r="25539" spans="1:1" x14ac:dyDescent="0.3">
      <c r="A25539" s="12"/>
    </row>
    <row r="25540" spans="1:1" x14ac:dyDescent="0.3">
      <c r="A25540" s="12"/>
    </row>
    <row r="25541" spans="1:1" x14ac:dyDescent="0.3">
      <c r="A25541" s="12"/>
    </row>
    <row r="25542" spans="1:1" x14ac:dyDescent="0.3">
      <c r="A25542" s="12"/>
    </row>
    <row r="25543" spans="1:1" x14ac:dyDescent="0.3">
      <c r="A25543" s="12"/>
    </row>
    <row r="25544" spans="1:1" x14ac:dyDescent="0.3">
      <c r="A25544" s="12"/>
    </row>
    <row r="25545" spans="1:1" x14ac:dyDescent="0.3">
      <c r="A25545" s="12"/>
    </row>
    <row r="25546" spans="1:1" x14ac:dyDescent="0.3">
      <c r="A25546" s="12"/>
    </row>
    <row r="25547" spans="1:1" x14ac:dyDescent="0.3">
      <c r="A25547" s="12"/>
    </row>
    <row r="25548" spans="1:1" x14ac:dyDescent="0.3">
      <c r="A25548" s="12"/>
    </row>
    <row r="25549" spans="1:1" x14ac:dyDescent="0.3">
      <c r="A25549" s="12"/>
    </row>
    <row r="25550" spans="1:1" x14ac:dyDescent="0.3">
      <c r="A25550" s="12"/>
    </row>
    <row r="25551" spans="1:1" x14ac:dyDescent="0.3">
      <c r="A25551" s="12"/>
    </row>
    <row r="25552" spans="1:1" x14ac:dyDescent="0.3">
      <c r="A25552" s="12"/>
    </row>
    <row r="25553" spans="1:1" x14ac:dyDescent="0.3">
      <c r="A25553" s="12"/>
    </row>
    <row r="25554" spans="1:1" x14ac:dyDescent="0.3">
      <c r="A25554" s="12"/>
    </row>
    <row r="25555" spans="1:1" x14ac:dyDescent="0.3">
      <c r="A25555" s="12"/>
    </row>
    <row r="25556" spans="1:1" x14ac:dyDescent="0.3">
      <c r="A25556" s="12"/>
    </row>
    <row r="25557" spans="1:1" x14ac:dyDescent="0.3">
      <c r="A25557" s="12"/>
    </row>
    <row r="25558" spans="1:1" x14ac:dyDescent="0.3">
      <c r="A25558" s="12"/>
    </row>
    <row r="25559" spans="1:1" x14ac:dyDescent="0.3">
      <c r="A25559" s="12"/>
    </row>
    <row r="25560" spans="1:1" x14ac:dyDescent="0.3">
      <c r="A25560" s="12"/>
    </row>
    <row r="25561" spans="1:1" x14ac:dyDescent="0.3">
      <c r="A25561" s="12"/>
    </row>
    <row r="25562" spans="1:1" x14ac:dyDescent="0.3">
      <c r="A25562" s="12"/>
    </row>
    <row r="25563" spans="1:1" x14ac:dyDescent="0.3">
      <c r="A25563" s="12"/>
    </row>
    <row r="25564" spans="1:1" x14ac:dyDescent="0.3">
      <c r="A25564" s="12"/>
    </row>
    <row r="25565" spans="1:1" x14ac:dyDescent="0.3">
      <c r="A25565" s="12"/>
    </row>
    <row r="25566" spans="1:1" x14ac:dyDescent="0.3">
      <c r="A25566" s="12"/>
    </row>
    <row r="25567" spans="1:1" x14ac:dyDescent="0.3">
      <c r="A25567" s="12"/>
    </row>
    <row r="25568" spans="1:1" x14ac:dyDescent="0.3">
      <c r="A25568" s="12"/>
    </row>
    <row r="25569" spans="1:1" x14ac:dyDescent="0.3">
      <c r="A25569" s="12"/>
    </row>
    <row r="25570" spans="1:1" x14ac:dyDescent="0.3">
      <c r="A25570" s="12"/>
    </row>
    <row r="25571" spans="1:1" x14ac:dyDescent="0.3">
      <c r="A25571" s="12"/>
    </row>
    <row r="25572" spans="1:1" x14ac:dyDescent="0.3">
      <c r="A25572" s="12"/>
    </row>
    <row r="25573" spans="1:1" x14ac:dyDescent="0.3">
      <c r="A25573" s="12"/>
    </row>
    <row r="25574" spans="1:1" x14ac:dyDescent="0.3">
      <c r="A25574" s="12"/>
    </row>
    <row r="25575" spans="1:1" x14ac:dyDescent="0.3">
      <c r="A25575" s="12"/>
    </row>
    <row r="25576" spans="1:1" x14ac:dyDescent="0.3">
      <c r="A25576" s="12"/>
    </row>
    <row r="25577" spans="1:1" x14ac:dyDescent="0.3">
      <c r="A25577" s="12"/>
    </row>
    <row r="25578" spans="1:1" x14ac:dyDescent="0.3">
      <c r="A25578" s="12"/>
    </row>
    <row r="25579" spans="1:1" x14ac:dyDescent="0.3">
      <c r="A25579" s="12"/>
    </row>
    <row r="25580" spans="1:1" x14ac:dyDescent="0.3">
      <c r="A25580" s="12"/>
    </row>
    <row r="25581" spans="1:1" x14ac:dyDescent="0.3">
      <c r="A25581" s="12"/>
    </row>
    <row r="25582" spans="1:1" x14ac:dyDescent="0.3">
      <c r="A25582" s="12"/>
    </row>
    <row r="25583" spans="1:1" x14ac:dyDescent="0.3">
      <c r="A25583" s="12"/>
    </row>
    <row r="25584" spans="1:1" x14ac:dyDescent="0.3">
      <c r="A25584" s="12"/>
    </row>
    <row r="25585" spans="1:1" x14ac:dyDescent="0.3">
      <c r="A25585" s="12"/>
    </row>
    <row r="25586" spans="1:1" x14ac:dyDescent="0.3">
      <c r="A25586" s="12"/>
    </row>
    <row r="25587" spans="1:1" x14ac:dyDescent="0.3">
      <c r="A25587" s="12"/>
    </row>
    <row r="25588" spans="1:1" x14ac:dyDescent="0.3">
      <c r="A25588" s="12"/>
    </row>
    <row r="25589" spans="1:1" x14ac:dyDescent="0.3">
      <c r="A25589" s="12"/>
    </row>
    <row r="25590" spans="1:1" x14ac:dyDescent="0.3">
      <c r="A25590" s="12"/>
    </row>
    <row r="25591" spans="1:1" x14ac:dyDescent="0.3">
      <c r="A25591" s="12"/>
    </row>
    <row r="25592" spans="1:1" x14ac:dyDescent="0.3">
      <c r="A25592" s="12"/>
    </row>
    <row r="25593" spans="1:1" x14ac:dyDescent="0.3">
      <c r="A25593" s="12"/>
    </row>
    <row r="25594" spans="1:1" x14ac:dyDescent="0.3">
      <c r="A25594" s="12"/>
    </row>
    <row r="25595" spans="1:1" x14ac:dyDescent="0.3">
      <c r="A25595" s="12"/>
    </row>
    <row r="25596" spans="1:1" x14ac:dyDescent="0.3">
      <c r="A25596" s="12"/>
    </row>
    <row r="25597" spans="1:1" x14ac:dyDescent="0.3">
      <c r="A25597" s="12"/>
    </row>
    <row r="25598" spans="1:1" x14ac:dyDescent="0.3">
      <c r="A25598" s="12"/>
    </row>
    <row r="25599" spans="1:1" x14ac:dyDescent="0.3">
      <c r="A25599" s="12"/>
    </row>
    <row r="25600" spans="1:1" x14ac:dyDescent="0.3">
      <c r="A25600" s="12"/>
    </row>
    <row r="25601" spans="1:1" x14ac:dyDescent="0.3">
      <c r="A25601" s="12"/>
    </row>
    <row r="25602" spans="1:1" x14ac:dyDescent="0.3">
      <c r="A25602" s="12"/>
    </row>
    <row r="25603" spans="1:1" x14ac:dyDescent="0.3">
      <c r="A25603" s="12"/>
    </row>
    <row r="25604" spans="1:1" x14ac:dyDescent="0.3">
      <c r="A25604" s="12"/>
    </row>
    <row r="25605" spans="1:1" x14ac:dyDescent="0.3">
      <c r="A25605" s="12"/>
    </row>
    <row r="25606" spans="1:1" x14ac:dyDescent="0.3">
      <c r="A25606" s="12"/>
    </row>
    <row r="25607" spans="1:1" x14ac:dyDescent="0.3">
      <c r="A25607" s="12"/>
    </row>
    <row r="25608" spans="1:1" x14ac:dyDescent="0.3">
      <c r="A25608" s="12"/>
    </row>
    <row r="25609" spans="1:1" x14ac:dyDescent="0.3">
      <c r="A25609" s="12"/>
    </row>
    <row r="25610" spans="1:1" x14ac:dyDescent="0.3">
      <c r="A25610" s="12"/>
    </row>
    <row r="25611" spans="1:1" x14ac:dyDescent="0.3">
      <c r="A25611" s="12"/>
    </row>
    <row r="25612" spans="1:1" x14ac:dyDescent="0.3">
      <c r="A25612" s="12"/>
    </row>
    <row r="25613" spans="1:1" x14ac:dyDescent="0.3">
      <c r="A25613" s="12"/>
    </row>
    <row r="25614" spans="1:1" x14ac:dyDescent="0.3">
      <c r="A25614" s="12"/>
    </row>
    <row r="25615" spans="1:1" x14ac:dyDescent="0.3">
      <c r="A25615" s="12"/>
    </row>
    <row r="25616" spans="1:1" x14ac:dyDescent="0.3">
      <c r="A25616" s="12"/>
    </row>
    <row r="25617" spans="1:1" x14ac:dyDescent="0.3">
      <c r="A25617" s="12"/>
    </row>
    <row r="25618" spans="1:1" x14ac:dyDescent="0.3">
      <c r="A25618" s="12"/>
    </row>
    <row r="25619" spans="1:1" x14ac:dyDescent="0.3">
      <c r="A25619" s="12"/>
    </row>
    <row r="25620" spans="1:1" x14ac:dyDescent="0.3">
      <c r="A25620" s="12"/>
    </row>
    <row r="25621" spans="1:1" x14ac:dyDescent="0.3">
      <c r="A25621" s="12"/>
    </row>
    <row r="25622" spans="1:1" x14ac:dyDescent="0.3">
      <c r="A25622" s="12"/>
    </row>
    <row r="25623" spans="1:1" x14ac:dyDescent="0.3">
      <c r="A25623" s="12"/>
    </row>
    <row r="25624" spans="1:1" x14ac:dyDescent="0.3">
      <c r="A25624" s="12"/>
    </row>
    <row r="25625" spans="1:1" x14ac:dyDescent="0.3">
      <c r="A25625" s="12"/>
    </row>
    <row r="25626" spans="1:1" x14ac:dyDescent="0.3">
      <c r="A25626" s="12"/>
    </row>
    <row r="25627" spans="1:1" x14ac:dyDescent="0.3">
      <c r="A25627" s="12"/>
    </row>
    <row r="25628" spans="1:1" x14ac:dyDescent="0.3">
      <c r="A25628" s="12"/>
    </row>
    <row r="25629" spans="1:1" x14ac:dyDescent="0.3">
      <c r="A25629" s="12"/>
    </row>
    <row r="25630" spans="1:1" x14ac:dyDescent="0.3">
      <c r="A25630" s="12"/>
    </row>
    <row r="25631" spans="1:1" x14ac:dyDescent="0.3">
      <c r="A25631" s="12"/>
    </row>
    <row r="25632" spans="1:1" x14ac:dyDescent="0.3">
      <c r="A25632" s="12"/>
    </row>
    <row r="25633" spans="1:1" x14ac:dyDescent="0.3">
      <c r="A25633" s="12"/>
    </row>
    <row r="25634" spans="1:1" x14ac:dyDescent="0.3">
      <c r="A25634" s="12"/>
    </row>
    <row r="25635" spans="1:1" x14ac:dyDescent="0.3">
      <c r="A25635" s="12"/>
    </row>
    <row r="25636" spans="1:1" x14ac:dyDescent="0.3">
      <c r="A25636" s="12"/>
    </row>
    <row r="25637" spans="1:1" x14ac:dyDescent="0.3">
      <c r="A25637" s="12"/>
    </row>
    <row r="25638" spans="1:1" x14ac:dyDescent="0.3">
      <c r="A25638" s="12"/>
    </row>
    <row r="25639" spans="1:1" x14ac:dyDescent="0.3">
      <c r="A25639" s="12"/>
    </row>
    <row r="25640" spans="1:1" x14ac:dyDescent="0.3">
      <c r="A25640" s="12"/>
    </row>
    <row r="25641" spans="1:1" x14ac:dyDescent="0.3">
      <c r="A25641" s="12"/>
    </row>
    <row r="25642" spans="1:1" x14ac:dyDescent="0.3">
      <c r="A25642" s="12"/>
    </row>
    <row r="25643" spans="1:1" x14ac:dyDescent="0.3">
      <c r="A25643" s="12"/>
    </row>
    <row r="25644" spans="1:1" x14ac:dyDescent="0.3">
      <c r="A25644" s="12"/>
    </row>
    <row r="25645" spans="1:1" x14ac:dyDescent="0.3">
      <c r="A25645" s="12"/>
    </row>
    <row r="25646" spans="1:1" x14ac:dyDescent="0.3">
      <c r="A25646" s="12"/>
    </row>
    <row r="25647" spans="1:1" x14ac:dyDescent="0.3">
      <c r="A25647" s="12"/>
    </row>
    <row r="25648" spans="1:1" x14ac:dyDescent="0.3">
      <c r="A25648" s="12"/>
    </row>
    <row r="25649" spans="1:1" x14ac:dyDescent="0.3">
      <c r="A25649" s="12"/>
    </row>
    <row r="25650" spans="1:1" x14ac:dyDescent="0.3">
      <c r="A25650" s="12"/>
    </row>
    <row r="25651" spans="1:1" x14ac:dyDescent="0.3">
      <c r="A25651" s="12"/>
    </row>
    <row r="25652" spans="1:1" x14ac:dyDescent="0.3">
      <c r="A25652" s="12"/>
    </row>
    <row r="25653" spans="1:1" x14ac:dyDescent="0.3">
      <c r="A25653" s="12"/>
    </row>
    <row r="25654" spans="1:1" x14ac:dyDescent="0.3">
      <c r="A25654" s="12"/>
    </row>
    <row r="25655" spans="1:1" x14ac:dyDescent="0.3">
      <c r="A25655" s="12"/>
    </row>
    <row r="25656" spans="1:1" x14ac:dyDescent="0.3">
      <c r="A25656" s="12"/>
    </row>
    <row r="25657" spans="1:1" x14ac:dyDescent="0.3">
      <c r="A25657" s="12"/>
    </row>
    <row r="25658" spans="1:1" x14ac:dyDescent="0.3">
      <c r="A25658" s="12"/>
    </row>
    <row r="25659" spans="1:1" x14ac:dyDescent="0.3">
      <c r="A25659" s="12"/>
    </row>
    <row r="25660" spans="1:1" x14ac:dyDescent="0.3">
      <c r="A25660" s="12"/>
    </row>
    <row r="25661" spans="1:1" x14ac:dyDescent="0.3">
      <c r="A25661" s="12"/>
    </row>
    <row r="25662" spans="1:1" x14ac:dyDescent="0.3">
      <c r="A25662" s="12"/>
    </row>
    <row r="25663" spans="1:1" x14ac:dyDescent="0.3">
      <c r="A25663" s="12"/>
    </row>
    <row r="25664" spans="1:1" x14ac:dyDescent="0.3">
      <c r="A25664" s="12"/>
    </row>
    <row r="25665" spans="1:1" x14ac:dyDescent="0.3">
      <c r="A25665" s="12"/>
    </row>
    <row r="25666" spans="1:1" x14ac:dyDescent="0.3">
      <c r="A25666" s="12"/>
    </row>
    <row r="25667" spans="1:1" x14ac:dyDescent="0.3">
      <c r="A25667" s="12"/>
    </row>
    <row r="25668" spans="1:1" x14ac:dyDescent="0.3">
      <c r="A25668" s="12"/>
    </row>
    <row r="25669" spans="1:1" x14ac:dyDescent="0.3">
      <c r="A25669" s="12"/>
    </row>
    <row r="25670" spans="1:1" x14ac:dyDescent="0.3">
      <c r="A25670" s="12"/>
    </row>
    <row r="25671" spans="1:1" x14ac:dyDescent="0.3">
      <c r="A25671" s="12"/>
    </row>
    <row r="25672" spans="1:1" x14ac:dyDescent="0.3">
      <c r="A25672" s="12"/>
    </row>
    <row r="25673" spans="1:1" x14ac:dyDescent="0.3">
      <c r="A25673" s="12"/>
    </row>
    <row r="25674" spans="1:1" x14ac:dyDescent="0.3">
      <c r="A25674" s="12"/>
    </row>
    <row r="25675" spans="1:1" x14ac:dyDescent="0.3">
      <c r="A25675" s="12"/>
    </row>
    <row r="25676" spans="1:1" x14ac:dyDescent="0.3">
      <c r="A25676" s="12"/>
    </row>
    <row r="25677" spans="1:1" x14ac:dyDescent="0.3">
      <c r="A25677" s="12"/>
    </row>
    <row r="25678" spans="1:1" x14ac:dyDescent="0.3">
      <c r="A25678" s="12"/>
    </row>
    <row r="25679" spans="1:1" x14ac:dyDescent="0.3">
      <c r="A25679" s="12"/>
    </row>
    <row r="25680" spans="1:1" x14ac:dyDescent="0.3">
      <c r="A25680" s="12"/>
    </row>
    <row r="25681" spans="1:1" x14ac:dyDescent="0.3">
      <c r="A25681" s="12"/>
    </row>
    <row r="25682" spans="1:1" x14ac:dyDescent="0.3">
      <c r="A25682" s="12"/>
    </row>
    <row r="25683" spans="1:1" x14ac:dyDescent="0.3">
      <c r="A25683" s="12"/>
    </row>
    <row r="25684" spans="1:1" x14ac:dyDescent="0.3">
      <c r="A25684" s="12"/>
    </row>
    <row r="25685" spans="1:1" x14ac:dyDescent="0.3">
      <c r="A25685" s="12"/>
    </row>
    <row r="25686" spans="1:1" x14ac:dyDescent="0.3">
      <c r="A25686" s="12"/>
    </row>
    <row r="25687" spans="1:1" x14ac:dyDescent="0.3">
      <c r="A25687" s="12"/>
    </row>
    <row r="25688" spans="1:1" x14ac:dyDescent="0.3">
      <c r="A25688" s="12"/>
    </row>
    <row r="25689" spans="1:1" x14ac:dyDescent="0.3">
      <c r="A25689" s="12"/>
    </row>
    <row r="25690" spans="1:1" x14ac:dyDescent="0.3">
      <c r="A25690" s="12"/>
    </row>
    <row r="25691" spans="1:1" x14ac:dyDescent="0.3">
      <c r="A25691" s="12"/>
    </row>
    <row r="25692" spans="1:1" x14ac:dyDescent="0.3">
      <c r="A25692" s="12"/>
    </row>
    <row r="25693" spans="1:1" x14ac:dyDescent="0.3">
      <c r="A25693" s="12"/>
    </row>
    <row r="25694" spans="1:1" x14ac:dyDescent="0.3">
      <c r="A25694" s="12"/>
    </row>
    <row r="25695" spans="1:1" x14ac:dyDescent="0.3">
      <c r="A25695" s="12"/>
    </row>
    <row r="25696" spans="1:1" x14ac:dyDescent="0.3">
      <c r="A25696" s="12"/>
    </row>
    <row r="25697" spans="1:1" x14ac:dyDescent="0.3">
      <c r="A25697" s="12"/>
    </row>
    <row r="25698" spans="1:1" x14ac:dyDescent="0.3">
      <c r="A25698" s="12"/>
    </row>
    <row r="25699" spans="1:1" x14ac:dyDescent="0.3">
      <c r="A25699" s="12"/>
    </row>
    <row r="25700" spans="1:1" x14ac:dyDescent="0.3">
      <c r="A25700" s="12"/>
    </row>
    <row r="25701" spans="1:1" x14ac:dyDescent="0.3">
      <c r="A25701" s="12"/>
    </row>
    <row r="25702" spans="1:1" x14ac:dyDescent="0.3">
      <c r="A25702" s="12"/>
    </row>
    <row r="25703" spans="1:1" x14ac:dyDescent="0.3">
      <c r="A25703" s="12"/>
    </row>
    <row r="25704" spans="1:1" x14ac:dyDescent="0.3">
      <c r="A25704" s="12"/>
    </row>
    <row r="25705" spans="1:1" x14ac:dyDescent="0.3">
      <c r="A25705" s="12"/>
    </row>
    <row r="25706" spans="1:1" x14ac:dyDescent="0.3">
      <c r="A25706" s="12"/>
    </row>
    <row r="25707" spans="1:1" x14ac:dyDescent="0.3">
      <c r="A25707" s="12"/>
    </row>
    <row r="25708" spans="1:1" x14ac:dyDescent="0.3">
      <c r="A25708" s="12"/>
    </row>
    <row r="25709" spans="1:1" x14ac:dyDescent="0.3">
      <c r="A25709" s="12"/>
    </row>
    <row r="25710" spans="1:1" x14ac:dyDescent="0.3">
      <c r="A25710" s="12"/>
    </row>
    <row r="25711" spans="1:1" x14ac:dyDescent="0.3">
      <c r="A25711" s="12"/>
    </row>
    <row r="25712" spans="1:1" x14ac:dyDescent="0.3">
      <c r="A25712" s="12"/>
    </row>
    <row r="25713" spans="1:1" x14ac:dyDescent="0.3">
      <c r="A25713" s="12"/>
    </row>
    <row r="25714" spans="1:1" x14ac:dyDescent="0.3">
      <c r="A25714" s="12"/>
    </row>
    <row r="25715" spans="1:1" x14ac:dyDescent="0.3">
      <c r="A25715" s="12"/>
    </row>
    <row r="25716" spans="1:1" x14ac:dyDescent="0.3">
      <c r="A25716" s="12"/>
    </row>
    <row r="25717" spans="1:1" x14ac:dyDescent="0.3">
      <c r="A25717" s="12"/>
    </row>
    <row r="25718" spans="1:1" x14ac:dyDescent="0.3">
      <c r="A25718" s="12"/>
    </row>
    <row r="25719" spans="1:1" x14ac:dyDescent="0.3">
      <c r="A25719" s="12"/>
    </row>
    <row r="25720" spans="1:1" x14ac:dyDescent="0.3">
      <c r="A25720" s="12"/>
    </row>
    <row r="25721" spans="1:1" x14ac:dyDescent="0.3">
      <c r="A25721" s="12"/>
    </row>
    <row r="25722" spans="1:1" x14ac:dyDescent="0.3">
      <c r="A25722" s="12"/>
    </row>
    <row r="25723" spans="1:1" x14ac:dyDescent="0.3">
      <c r="A25723" s="12"/>
    </row>
    <row r="25724" spans="1:1" x14ac:dyDescent="0.3">
      <c r="A25724" s="12"/>
    </row>
    <row r="25725" spans="1:1" x14ac:dyDescent="0.3">
      <c r="A25725" s="12"/>
    </row>
    <row r="25726" spans="1:1" x14ac:dyDescent="0.3">
      <c r="A25726" s="12"/>
    </row>
    <row r="25727" spans="1:1" x14ac:dyDescent="0.3">
      <c r="A25727" s="12"/>
    </row>
    <row r="25728" spans="1:1" x14ac:dyDescent="0.3">
      <c r="A25728" s="12"/>
    </row>
    <row r="25729" spans="1:1" x14ac:dyDescent="0.3">
      <c r="A25729" s="12"/>
    </row>
    <row r="25730" spans="1:1" x14ac:dyDescent="0.3">
      <c r="A25730" s="12"/>
    </row>
    <row r="25731" spans="1:1" x14ac:dyDescent="0.3">
      <c r="A25731" s="12"/>
    </row>
    <row r="25732" spans="1:1" x14ac:dyDescent="0.3">
      <c r="A25732" s="12"/>
    </row>
    <row r="25733" spans="1:1" x14ac:dyDescent="0.3">
      <c r="A25733" s="12"/>
    </row>
    <row r="25734" spans="1:1" x14ac:dyDescent="0.3">
      <c r="A25734" s="12"/>
    </row>
    <row r="25735" spans="1:1" x14ac:dyDescent="0.3">
      <c r="A25735" s="12"/>
    </row>
    <row r="25736" spans="1:1" x14ac:dyDescent="0.3">
      <c r="A25736" s="12"/>
    </row>
    <row r="25737" spans="1:1" x14ac:dyDescent="0.3">
      <c r="A25737" s="12"/>
    </row>
    <row r="25738" spans="1:1" x14ac:dyDescent="0.3">
      <c r="A25738" s="12"/>
    </row>
    <row r="25739" spans="1:1" x14ac:dyDescent="0.3">
      <c r="A25739" s="12"/>
    </row>
    <row r="25740" spans="1:1" x14ac:dyDescent="0.3">
      <c r="A25740" s="12"/>
    </row>
    <row r="25741" spans="1:1" x14ac:dyDescent="0.3">
      <c r="A25741" s="12"/>
    </row>
    <row r="25742" spans="1:1" x14ac:dyDescent="0.3">
      <c r="A25742" s="12"/>
    </row>
    <row r="25743" spans="1:1" x14ac:dyDescent="0.3">
      <c r="A25743" s="12"/>
    </row>
    <row r="25744" spans="1:1" x14ac:dyDescent="0.3">
      <c r="A25744" s="12"/>
    </row>
    <row r="25745" spans="1:1" x14ac:dyDescent="0.3">
      <c r="A25745" s="12"/>
    </row>
    <row r="25746" spans="1:1" x14ac:dyDescent="0.3">
      <c r="A25746" s="12"/>
    </row>
    <row r="25747" spans="1:1" x14ac:dyDescent="0.3">
      <c r="A25747" s="12"/>
    </row>
    <row r="25748" spans="1:1" x14ac:dyDescent="0.3">
      <c r="A25748" s="12"/>
    </row>
    <row r="25749" spans="1:1" x14ac:dyDescent="0.3">
      <c r="A25749" s="12"/>
    </row>
    <row r="25750" spans="1:1" x14ac:dyDescent="0.3">
      <c r="A25750" s="12"/>
    </row>
    <row r="25751" spans="1:1" x14ac:dyDescent="0.3">
      <c r="A25751" s="12"/>
    </row>
    <row r="25752" spans="1:1" x14ac:dyDescent="0.3">
      <c r="A25752" s="12"/>
    </row>
    <row r="25753" spans="1:1" x14ac:dyDescent="0.3">
      <c r="A25753" s="12"/>
    </row>
    <row r="25754" spans="1:1" x14ac:dyDescent="0.3">
      <c r="A25754" s="12"/>
    </row>
    <row r="25755" spans="1:1" x14ac:dyDescent="0.3">
      <c r="A25755" s="12"/>
    </row>
    <row r="25756" spans="1:1" x14ac:dyDescent="0.3">
      <c r="A25756" s="12"/>
    </row>
    <row r="25757" spans="1:1" x14ac:dyDescent="0.3">
      <c r="A25757" s="12"/>
    </row>
    <row r="25758" spans="1:1" x14ac:dyDescent="0.3">
      <c r="A25758" s="12"/>
    </row>
    <row r="25759" spans="1:1" x14ac:dyDescent="0.3">
      <c r="A25759" s="12"/>
    </row>
    <row r="25760" spans="1:1" x14ac:dyDescent="0.3">
      <c r="A25760" s="12"/>
    </row>
    <row r="25761" spans="1:1" x14ac:dyDescent="0.3">
      <c r="A25761" s="12"/>
    </row>
    <row r="25762" spans="1:1" x14ac:dyDescent="0.3">
      <c r="A25762" s="12"/>
    </row>
    <row r="25763" spans="1:1" x14ac:dyDescent="0.3">
      <c r="A25763" s="12"/>
    </row>
    <row r="25764" spans="1:1" x14ac:dyDescent="0.3">
      <c r="A25764" s="12"/>
    </row>
    <row r="25765" spans="1:1" x14ac:dyDescent="0.3">
      <c r="A25765" s="12"/>
    </row>
    <row r="25766" spans="1:1" x14ac:dyDescent="0.3">
      <c r="A25766" s="12"/>
    </row>
    <row r="25767" spans="1:1" x14ac:dyDescent="0.3">
      <c r="A25767" s="12"/>
    </row>
    <row r="25768" spans="1:1" x14ac:dyDescent="0.3">
      <c r="A25768" s="12"/>
    </row>
    <row r="25769" spans="1:1" x14ac:dyDescent="0.3">
      <c r="A25769" s="12"/>
    </row>
    <row r="25770" spans="1:1" x14ac:dyDescent="0.3">
      <c r="A25770" s="12"/>
    </row>
    <row r="25771" spans="1:1" x14ac:dyDescent="0.3">
      <c r="A25771" s="12"/>
    </row>
    <row r="25772" spans="1:1" x14ac:dyDescent="0.3">
      <c r="A25772" s="12"/>
    </row>
    <row r="25773" spans="1:1" x14ac:dyDescent="0.3">
      <c r="A25773" s="12"/>
    </row>
    <row r="25774" spans="1:1" x14ac:dyDescent="0.3">
      <c r="A25774" s="12"/>
    </row>
    <row r="25775" spans="1:1" x14ac:dyDescent="0.3">
      <c r="A25775" s="12"/>
    </row>
    <row r="25776" spans="1:1" x14ac:dyDescent="0.3">
      <c r="A25776" s="12"/>
    </row>
    <row r="25777" spans="1:1" x14ac:dyDescent="0.3">
      <c r="A25777" s="12"/>
    </row>
    <row r="25778" spans="1:1" x14ac:dyDescent="0.3">
      <c r="A25778" s="12"/>
    </row>
    <row r="25779" spans="1:1" x14ac:dyDescent="0.3">
      <c r="A25779" s="12"/>
    </row>
    <row r="25780" spans="1:1" x14ac:dyDescent="0.3">
      <c r="A25780" s="12"/>
    </row>
    <row r="25781" spans="1:1" x14ac:dyDescent="0.3">
      <c r="A25781" s="12"/>
    </row>
    <row r="25782" spans="1:1" x14ac:dyDescent="0.3">
      <c r="A25782" s="12"/>
    </row>
    <row r="25783" spans="1:1" x14ac:dyDescent="0.3">
      <c r="A25783" s="12"/>
    </row>
    <row r="25784" spans="1:1" x14ac:dyDescent="0.3">
      <c r="A25784" s="12"/>
    </row>
    <row r="25785" spans="1:1" x14ac:dyDescent="0.3">
      <c r="A25785" s="12"/>
    </row>
    <row r="25786" spans="1:1" x14ac:dyDescent="0.3">
      <c r="A25786" s="12"/>
    </row>
    <row r="25787" spans="1:1" x14ac:dyDescent="0.3">
      <c r="A25787" s="12"/>
    </row>
    <row r="25788" spans="1:1" x14ac:dyDescent="0.3">
      <c r="A25788" s="12"/>
    </row>
    <row r="25789" spans="1:1" x14ac:dyDescent="0.3">
      <c r="A25789" s="12"/>
    </row>
    <row r="25790" spans="1:1" x14ac:dyDescent="0.3">
      <c r="A25790" s="12"/>
    </row>
    <row r="25791" spans="1:1" x14ac:dyDescent="0.3">
      <c r="A25791" s="12"/>
    </row>
    <row r="25792" spans="1:1" x14ac:dyDescent="0.3">
      <c r="A25792" s="12"/>
    </row>
    <row r="25793" spans="1:1" x14ac:dyDescent="0.3">
      <c r="A25793" s="12"/>
    </row>
    <row r="25794" spans="1:1" x14ac:dyDescent="0.3">
      <c r="A25794" s="12"/>
    </row>
    <row r="25795" spans="1:1" x14ac:dyDescent="0.3">
      <c r="A25795" s="12"/>
    </row>
    <row r="25796" spans="1:1" x14ac:dyDescent="0.3">
      <c r="A25796" s="12"/>
    </row>
    <row r="25797" spans="1:1" x14ac:dyDescent="0.3">
      <c r="A25797" s="12"/>
    </row>
    <row r="25798" spans="1:1" x14ac:dyDescent="0.3">
      <c r="A25798" s="12"/>
    </row>
    <row r="25799" spans="1:1" x14ac:dyDescent="0.3">
      <c r="A25799" s="12"/>
    </row>
    <row r="25800" spans="1:1" x14ac:dyDescent="0.3">
      <c r="A25800" s="12"/>
    </row>
    <row r="25801" spans="1:1" x14ac:dyDescent="0.3">
      <c r="A25801" s="12"/>
    </row>
    <row r="25802" spans="1:1" x14ac:dyDescent="0.3">
      <c r="A25802" s="12"/>
    </row>
    <row r="25803" spans="1:1" x14ac:dyDescent="0.3">
      <c r="A25803" s="12"/>
    </row>
    <row r="25804" spans="1:1" x14ac:dyDescent="0.3">
      <c r="A25804" s="12"/>
    </row>
    <row r="25805" spans="1:1" x14ac:dyDescent="0.3">
      <c r="A25805" s="12"/>
    </row>
    <row r="25806" spans="1:1" x14ac:dyDescent="0.3">
      <c r="A25806" s="12"/>
    </row>
    <row r="25807" spans="1:1" x14ac:dyDescent="0.3">
      <c r="A25807" s="12"/>
    </row>
    <row r="25808" spans="1:1" x14ac:dyDescent="0.3">
      <c r="A25808" s="12"/>
    </row>
    <row r="25809" spans="1:1" x14ac:dyDescent="0.3">
      <c r="A25809" s="12"/>
    </row>
    <row r="25810" spans="1:1" x14ac:dyDescent="0.3">
      <c r="A25810" s="12"/>
    </row>
    <row r="25811" spans="1:1" x14ac:dyDescent="0.3">
      <c r="A25811" s="12"/>
    </row>
    <row r="25812" spans="1:1" x14ac:dyDescent="0.3">
      <c r="A25812" s="12"/>
    </row>
    <row r="25813" spans="1:1" x14ac:dyDescent="0.3">
      <c r="A25813" s="12"/>
    </row>
    <row r="25814" spans="1:1" x14ac:dyDescent="0.3">
      <c r="A25814" s="12"/>
    </row>
    <row r="25815" spans="1:1" x14ac:dyDescent="0.3">
      <c r="A25815" s="12"/>
    </row>
    <row r="25816" spans="1:1" x14ac:dyDescent="0.3">
      <c r="A25816" s="12"/>
    </row>
    <row r="25817" spans="1:1" x14ac:dyDescent="0.3">
      <c r="A25817" s="12"/>
    </row>
    <row r="25818" spans="1:1" x14ac:dyDescent="0.3">
      <c r="A25818" s="12"/>
    </row>
    <row r="25819" spans="1:1" x14ac:dyDescent="0.3">
      <c r="A25819" s="12"/>
    </row>
    <row r="25820" spans="1:1" x14ac:dyDescent="0.3">
      <c r="A25820" s="12"/>
    </row>
    <row r="25821" spans="1:1" x14ac:dyDescent="0.3">
      <c r="A25821" s="12"/>
    </row>
    <row r="25822" spans="1:1" x14ac:dyDescent="0.3">
      <c r="A25822" s="12"/>
    </row>
    <row r="25823" spans="1:1" x14ac:dyDescent="0.3">
      <c r="A25823" s="12"/>
    </row>
    <row r="25824" spans="1:1" x14ac:dyDescent="0.3">
      <c r="A25824" s="12"/>
    </row>
    <row r="25825" spans="1:1" x14ac:dyDescent="0.3">
      <c r="A25825" s="12"/>
    </row>
    <row r="25826" spans="1:1" x14ac:dyDescent="0.3">
      <c r="A25826" s="12"/>
    </row>
    <row r="25827" spans="1:1" x14ac:dyDescent="0.3">
      <c r="A25827" s="12"/>
    </row>
    <row r="25828" spans="1:1" x14ac:dyDescent="0.3">
      <c r="A25828" s="12"/>
    </row>
    <row r="25829" spans="1:1" x14ac:dyDescent="0.3">
      <c r="A25829" s="12"/>
    </row>
    <row r="25830" spans="1:1" x14ac:dyDescent="0.3">
      <c r="A25830" s="12"/>
    </row>
    <row r="25831" spans="1:1" x14ac:dyDescent="0.3">
      <c r="A25831" s="12"/>
    </row>
    <row r="25832" spans="1:1" x14ac:dyDescent="0.3">
      <c r="A25832" s="12"/>
    </row>
    <row r="25833" spans="1:1" x14ac:dyDescent="0.3">
      <c r="A25833" s="12"/>
    </row>
    <row r="25834" spans="1:1" x14ac:dyDescent="0.3">
      <c r="A25834" s="12"/>
    </row>
    <row r="25835" spans="1:1" x14ac:dyDescent="0.3">
      <c r="A25835" s="12"/>
    </row>
    <row r="25836" spans="1:1" x14ac:dyDescent="0.3">
      <c r="A25836" s="12"/>
    </row>
    <row r="25837" spans="1:1" x14ac:dyDescent="0.3">
      <c r="A25837" s="12"/>
    </row>
    <row r="25838" spans="1:1" x14ac:dyDescent="0.3">
      <c r="A25838" s="12"/>
    </row>
    <row r="25839" spans="1:1" x14ac:dyDescent="0.3">
      <c r="A25839" s="12"/>
    </row>
    <row r="25840" spans="1:1" x14ac:dyDescent="0.3">
      <c r="A25840" s="12"/>
    </row>
    <row r="25841" spans="1:1" x14ac:dyDescent="0.3">
      <c r="A25841" s="12"/>
    </row>
    <row r="25842" spans="1:1" x14ac:dyDescent="0.3">
      <c r="A25842" s="12"/>
    </row>
    <row r="25843" spans="1:1" x14ac:dyDescent="0.3">
      <c r="A25843" s="12"/>
    </row>
    <row r="25844" spans="1:1" x14ac:dyDescent="0.3">
      <c r="A25844" s="12"/>
    </row>
    <row r="25845" spans="1:1" x14ac:dyDescent="0.3">
      <c r="A25845" s="12"/>
    </row>
    <row r="25846" spans="1:1" x14ac:dyDescent="0.3">
      <c r="A25846" s="12"/>
    </row>
    <row r="25847" spans="1:1" x14ac:dyDescent="0.3">
      <c r="A25847" s="12"/>
    </row>
    <row r="25848" spans="1:1" x14ac:dyDescent="0.3">
      <c r="A25848" s="12"/>
    </row>
    <row r="25849" spans="1:1" x14ac:dyDescent="0.3">
      <c r="A25849" s="12"/>
    </row>
    <row r="25850" spans="1:1" x14ac:dyDescent="0.3">
      <c r="A25850" s="12"/>
    </row>
    <row r="25851" spans="1:1" x14ac:dyDescent="0.3">
      <c r="A25851" s="12"/>
    </row>
    <row r="25852" spans="1:1" x14ac:dyDescent="0.3">
      <c r="A25852" s="12"/>
    </row>
    <row r="25853" spans="1:1" x14ac:dyDescent="0.3">
      <c r="A25853" s="12"/>
    </row>
    <row r="25854" spans="1:1" x14ac:dyDescent="0.3">
      <c r="A25854" s="12"/>
    </row>
    <row r="25855" spans="1:1" x14ac:dyDescent="0.3">
      <c r="A25855" s="12"/>
    </row>
    <row r="25856" spans="1:1" x14ac:dyDescent="0.3">
      <c r="A25856" s="12"/>
    </row>
    <row r="25857" spans="1:1" x14ac:dyDescent="0.3">
      <c r="A25857" s="12"/>
    </row>
    <row r="25858" spans="1:1" x14ac:dyDescent="0.3">
      <c r="A25858" s="12"/>
    </row>
    <row r="25859" spans="1:1" x14ac:dyDescent="0.3">
      <c r="A25859" s="12"/>
    </row>
    <row r="25860" spans="1:1" x14ac:dyDescent="0.3">
      <c r="A25860" s="12"/>
    </row>
    <row r="25861" spans="1:1" x14ac:dyDescent="0.3">
      <c r="A25861" s="12"/>
    </row>
    <row r="25862" spans="1:1" x14ac:dyDescent="0.3">
      <c r="A25862" s="12"/>
    </row>
    <row r="25863" spans="1:1" x14ac:dyDescent="0.3">
      <c r="A25863" s="12"/>
    </row>
    <row r="25864" spans="1:1" x14ac:dyDescent="0.3">
      <c r="A25864" s="12"/>
    </row>
    <row r="25865" spans="1:1" x14ac:dyDescent="0.3">
      <c r="A25865" s="12"/>
    </row>
    <row r="25866" spans="1:1" x14ac:dyDescent="0.3">
      <c r="A25866" s="12"/>
    </row>
    <row r="25867" spans="1:1" x14ac:dyDescent="0.3">
      <c r="A25867" s="12"/>
    </row>
    <row r="25868" spans="1:1" x14ac:dyDescent="0.3">
      <c r="A25868" s="12"/>
    </row>
    <row r="25869" spans="1:1" x14ac:dyDescent="0.3">
      <c r="A25869" s="12"/>
    </row>
    <row r="25870" spans="1:1" x14ac:dyDescent="0.3">
      <c r="A25870" s="12"/>
    </row>
    <row r="25871" spans="1:1" x14ac:dyDescent="0.3">
      <c r="A25871" s="12"/>
    </row>
    <row r="25872" spans="1:1" x14ac:dyDescent="0.3">
      <c r="A25872" s="12"/>
    </row>
    <row r="25873" spans="1:1" x14ac:dyDescent="0.3">
      <c r="A25873" s="12"/>
    </row>
    <row r="25874" spans="1:1" x14ac:dyDescent="0.3">
      <c r="A25874" s="12"/>
    </row>
    <row r="25875" spans="1:1" x14ac:dyDescent="0.3">
      <c r="A25875" s="12"/>
    </row>
    <row r="25876" spans="1:1" x14ac:dyDescent="0.3">
      <c r="A25876" s="12"/>
    </row>
    <row r="25877" spans="1:1" x14ac:dyDescent="0.3">
      <c r="A25877" s="12"/>
    </row>
    <row r="25878" spans="1:1" x14ac:dyDescent="0.3">
      <c r="A25878" s="12"/>
    </row>
    <row r="25879" spans="1:1" x14ac:dyDescent="0.3">
      <c r="A25879" s="12"/>
    </row>
    <row r="25880" spans="1:1" x14ac:dyDescent="0.3">
      <c r="A25880" s="12"/>
    </row>
    <row r="25881" spans="1:1" x14ac:dyDescent="0.3">
      <c r="A25881" s="12"/>
    </row>
    <row r="25882" spans="1:1" x14ac:dyDescent="0.3">
      <c r="A25882" s="12"/>
    </row>
    <row r="25883" spans="1:1" x14ac:dyDescent="0.3">
      <c r="A25883" s="12"/>
    </row>
    <row r="25884" spans="1:1" x14ac:dyDescent="0.3">
      <c r="A25884" s="12"/>
    </row>
    <row r="25885" spans="1:1" x14ac:dyDescent="0.3">
      <c r="A25885" s="12"/>
    </row>
    <row r="25886" spans="1:1" x14ac:dyDescent="0.3">
      <c r="A25886" s="12"/>
    </row>
    <row r="25887" spans="1:1" x14ac:dyDescent="0.3">
      <c r="A25887" s="12"/>
    </row>
    <row r="25888" spans="1:1" x14ac:dyDescent="0.3">
      <c r="A25888" s="12"/>
    </row>
    <row r="25889" spans="1:1" x14ac:dyDescent="0.3">
      <c r="A25889" s="12"/>
    </row>
    <row r="25890" spans="1:1" x14ac:dyDescent="0.3">
      <c r="A25890" s="12"/>
    </row>
    <row r="25891" spans="1:1" x14ac:dyDescent="0.3">
      <c r="A25891" s="12"/>
    </row>
    <row r="25892" spans="1:1" x14ac:dyDescent="0.3">
      <c r="A25892" s="12"/>
    </row>
    <row r="25893" spans="1:1" x14ac:dyDescent="0.3">
      <c r="A25893" s="12"/>
    </row>
    <row r="25894" spans="1:1" x14ac:dyDescent="0.3">
      <c r="A25894" s="12"/>
    </row>
    <row r="25895" spans="1:1" x14ac:dyDescent="0.3">
      <c r="A25895" s="12"/>
    </row>
    <row r="25896" spans="1:1" x14ac:dyDescent="0.3">
      <c r="A25896" s="12"/>
    </row>
    <row r="25897" spans="1:1" x14ac:dyDescent="0.3">
      <c r="A25897" s="12"/>
    </row>
    <row r="25898" spans="1:1" x14ac:dyDescent="0.3">
      <c r="A25898" s="12"/>
    </row>
    <row r="25899" spans="1:1" x14ac:dyDescent="0.3">
      <c r="A25899" s="12"/>
    </row>
    <row r="25900" spans="1:1" x14ac:dyDescent="0.3">
      <c r="A25900" s="12"/>
    </row>
    <row r="25901" spans="1:1" x14ac:dyDescent="0.3">
      <c r="A25901" s="12"/>
    </row>
    <row r="25902" spans="1:1" x14ac:dyDescent="0.3">
      <c r="A25902" s="12"/>
    </row>
    <row r="25903" spans="1:1" x14ac:dyDescent="0.3">
      <c r="A25903" s="12"/>
    </row>
    <row r="25904" spans="1:1" x14ac:dyDescent="0.3">
      <c r="A25904" s="12"/>
    </row>
    <row r="25905" spans="1:1" x14ac:dyDescent="0.3">
      <c r="A25905" s="12"/>
    </row>
    <row r="25906" spans="1:1" x14ac:dyDescent="0.3">
      <c r="A25906" s="12"/>
    </row>
    <row r="25907" spans="1:1" x14ac:dyDescent="0.3">
      <c r="A25907" s="12"/>
    </row>
    <row r="25908" spans="1:1" x14ac:dyDescent="0.3">
      <c r="A25908" s="12"/>
    </row>
    <row r="25909" spans="1:1" x14ac:dyDescent="0.3">
      <c r="A25909" s="12"/>
    </row>
    <row r="25910" spans="1:1" x14ac:dyDescent="0.3">
      <c r="A25910" s="12"/>
    </row>
    <row r="25911" spans="1:1" x14ac:dyDescent="0.3">
      <c r="A25911" s="12"/>
    </row>
    <row r="25912" spans="1:1" x14ac:dyDescent="0.3">
      <c r="A25912" s="12"/>
    </row>
    <row r="25913" spans="1:1" x14ac:dyDescent="0.3">
      <c r="A25913" s="12"/>
    </row>
    <row r="25914" spans="1:1" x14ac:dyDescent="0.3">
      <c r="A25914" s="12"/>
    </row>
    <row r="25915" spans="1:1" x14ac:dyDescent="0.3">
      <c r="A25915" s="12"/>
    </row>
    <row r="25916" spans="1:1" x14ac:dyDescent="0.3">
      <c r="A25916" s="12"/>
    </row>
    <row r="25917" spans="1:1" x14ac:dyDescent="0.3">
      <c r="A25917" s="12"/>
    </row>
    <row r="25918" spans="1:1" x14ac:dyDescent="0.3">
      <c r="A25918" s="12"/>
    </row>
    <row r="25919" spans="1:1" x14ac:dyDescent="0.3">
      <c r="A25919" s="12"/>
    </row>
    <row r="25920" spans="1:1" x14ac:dyDescent="0.3">
      <c r="A25920" s="12"/>
    </row>
    <row r="25921" spans="1:1" x14ac:dyDescent="0.3">
      <c r="A25921" s="12"/>
    </row>
    <row r="25922" spans="1:1" x14ac:dyDescent="0.3">
      <c r="A25922" s="12"/>
    </row>
    <row r="25923" spans="1:1" x14ac:dyDescent="0.3">
      <c r="A25923" s="12"/>
    </row>
    <row r="25924" spans="1:1" x14ac:dyDescent="0.3">
      <c r="A25924" s="12"/>
    </row>
    <row r="25925" spans="1:1" x14ac:dyDescent="0.3">
      <c r="A25925" s="12"/>
    </row>
    <row r="25926" spans="1:1" x14ac:dyDescent="0.3">
      <c r="A25926" s="12"/>
    </row>
    <row r="25927" spans="1:1" x14ac:dyDescent="0.3">
      <c r="A25927" s="12"/>
    </row>
    <row r="25928" spans="1:1" x14ac:dyDescent="0.3">
      <c r="A25928" s="12"/>
    </row>
    <row r="25929" spans="1:1" x14ac:dyDescent="0.3">
      <c r="A25929" s="12"/>
    </row>
    <row r="25930" spans="1:1" x14ac:dyDescent="0.3">
      <c r="A25930" s="12"/>
    </row>
    <row r="25931" spans="1:1" x14ac:dyDescent="0.3">
      <c r="A25931" s="12"/>
    </row>
    <row r="25932" spans="1:1" x14ac:dyDescent="0.3">
      <c r="A25932" s="12"/>
    </row>
    <row r="25933" spans="1:1" x14ac:dyDescent="0.3">
      <c r="A25933" s="12"/>
    </row>
    <row r="25934" spans="1:1" x14ac:dyDescent="0.3">
      <c r="A25934" s="12"/>
    </row>
    <row r="25935" spans="1:1" x14ac:dyDescent="0.3">
      <c r="A25935" s="12"/>
    </row>
    <row r="25936" spans="1:1" x14ac:dyDescent="0.3">
      <c r="A25936" s="12"/>
    </row>
    <row r="25937" spans="1:1" x14ac:dyDescent="0.3">
      <c r="A25937" s="12"/>
    </row>
    <row r="25938" spans="1:1" x14ac:dyDescent="0.3">
      <c r="A25938" s="12"/>
    </row>
    <row r="25939" spans="1:1" x14ac:dyDescent="0.3">
      <c r="A25939" s="12"/>
    </row>
    <row r="25940" spans="1:1" x14ac:dyDescent="0.3">
      <c r="A25940" s="12"/>
    </row>
    <row r="25941" spans="1:1" x14ac:dyDescent="0.3">
      <c r="A25941" s="12"/>
    </row>
    <row r="25942" spans="1:1" x14ac:dyDescent="0.3">
      <c r="A25942" s="12"/>
    </row>
    <row r="25943" spans="1:1" x14ac:dyDescent="0.3">
      <c r="A25943" s="12"/>
    </row>
    <row r="25944" spans="1:1" x14ac:dyDescent="0.3">
      <c r="A25944" s="12"/>
    </row>
    <row r="25945" spans="1:1" x14ac:dyDescent="0.3">
      <c r="A25945" s="12"/>
    </row>
    <row r="25946" spans="1:1" x14ac:dyDescent="0.3">
      <c r="A25946" s="12"/>
    </row>
    <row r="25947" spans="1:1" x14ac:dyDescent="0.3">
      <c r="A25947" s="12"/>
    </row>
    <row r="25948" spans="1:1" x14ac:dyDescent="0.3">
      <c r="A25948" s="12"/>
    </row>
    <row r="25949" spans="1:1" x14ac:dyDescent="0.3">
      <c r="A25949" s="12"/>
    </row>
    <row r="25950" spans="1:1" x14ac:dyDescent="0.3">
      <c r="A25950" s="12"/>
    </row>
    <row r="25951" spans="1:1" x14ac:dyDescent="0.3">
      <c r="A25951" s="12"/>
    </row>
    <row r="25952" spans="1:1" x14ac:dyDescent="0.3">
      <c r="A25952" s="12"/>
    </row>
    <row r="25953" spans="1:1" x14ac:dyDescent="0.3">
      <c r="A25953" s="12"/>
    </row>
    <row r="25954" spans="1:1" x14ac:dyDescent="0.3">
      <c r="A25954" s="12"/>
    </row>
    <row r="25955" spans="1:1" x14ac:dyDescent="0.3">
      <c r="A25955" s="12"/>
    </row>
    <row r="25956" spans="1:1" x14ac:dyDescent="0.3">
      <c r="A25956" s="12"/>
    </row>
    <row r="25957" spans="1:1" x14ac:dyDescent="0.3">
      <c r="A25957" s="12"/>
    </row>
    <row r="25958" spans="1:1" x14ac:dyDescent="0.3">
      <c r="A25958" s="12"/>
    </row>
    <row r="25959" spans="1:1" x14ac:dyDescent="0.3">
      <c r="A25959" s="12"/>
    </row>
    <row r="25960" spans="1:1" x14ac:dyDescent="0.3">
      <c r="A25960" s="12"/>
    </row>
    <row r="25961" spans="1:1" x14ac:dyDescent="0.3">
      <c r="A25961" s="12"/>
    </row>
    <row r="25962" spans="1:1" x14ac:dyDescent="0.3">
      <c r="A25962" s="12"/>
    </row>
    <row r="25963" spans="1:1" x14ac:dyDescent="0.3">
      <c r="A25963" s="12"/>
    </row>
    <row r="25964" spans="1:1" x14ac:dyDescent="0.3">
      <c r="A25964" s="12"/>
    </row>
    <row r="25965" spans="1:1" x14ac:dyDescent="0.3">
      <c r="A25965" s="12"/>
    </row>
    <row r="25966" spans="1:1" x14ac:dyDescent="0.3">
      <c r="A25966" s="12"/>
    </row>
    <row r="25967" spans="1:1" x14ac:dyDescent="0.3">
      <c r="A25967" s="12"/>
    </row>
    <row r="25968" spans="1:1" x14ac:dyDescent="0.3">
      <c r="A25968" s="12"/>
    </row>
    <row r="25969" spans="1:1" x14ac:dyDescent="0.3">
      <c r="A25969" s="12"/>
    </row>
    <row r="25970" spans="1:1" x14ac:dyDescent="0.3">
      <c r="A25970" s="12"/>
    </row>
    <row r="25971" spans="1:1" x14ac:dyDescent="0.3">
      <c r="A25971" s="12"/>
    </row>
    <row r="25972" spans="1:1" x14ac:dyDescent="0.3">
      <c r="A25972" s="12"/>
    </row>
    <row r="25973" spans="1:1" x14ac:dyDescent="0.3">
      <c r="A25973" s="12"/>
    </row>
    <row r="25974" spans="1:1" x14ac:dyDescent="0.3">
      <c r="A25974" s="12"/>
    </row>
    <row r="25975" spans="1:1" x14ac:dyDescent="0.3">
      <c r="A25975" s="12"/>
    </row>
    <row r="25976" spans="1:1" x14ac:dyDescent="0.3">
      <c r="A25976" s="12"/>
    </row>
    <row r="25977" spans="1:1" x14ac:dyDescent="0.3">
      <c r="A25977" s="12"/>
    </row>
    <row r="25978" spans="1:1" x14ac:dyDescent="0.3">
      <c r="A25978" s="12"/>
    </row>
    <row r="25979" spans="1:1" x14ac:dyDescent="0.3">
      <c r="A25979" s="12"/>
    </row>
    <row r="25980" spans="1:1" x14ac:dyDescent="0.3">
      <c r="A25980" s="12"/>
    </row>
    <row r="25981" spans="1:1" x14ac:dyDescent="0.3">
      <c r="A25981" s="12"/>
    </row>
    <row r="25982" spans="1:1" x14ac:dyDescent="0.3">
      <c r="A25982" s="12"/>
    </row>
    <row r="25983" spans="1:1" x14ac:dyDescent="0.3">
      <c r="A25983" s="12"/>
    </row>
    <row r="25984" spans="1:1" x14ac:dyDescent="0.3">
      <c r="A25984" s="12"/>
    </row>
    <row r="25985" spans="1:1" x14ac:dyDescent="0.3">
      <c r="A25985" s="12"/>
    </row>
    <row r="25986" spans="1:1" x14ac:dyDescent="0.3">
      <c r="A25986" s="12"/>
    </row>
    <row r="25987" spans="1:1" x14ac:dyDescent="0.3">
      <c r="A25987" s="12"/>
    </row>
    <row r="25988" spans="1:1" x14ac:dyDescent="0.3">
      <c r="A25988" s="12"/>
    </row>
    <row r="25989" spans="1:1" x14ac:dyDescent="0.3">
      <c r="A25989" s="12"/>
    </row>
    <row r="25990" spans="1:1" x14ac:dyDescent="0.3">
      <c r="A25990" s="12"/>
    </row>
    <row r="25991" spans="1:1" x14ac:dyDescent="0.3">
      <c r="A25991" s="12"/>
    </row>
    <row r="25992" spans="1:1" x14ac:dyDescent="0.3">
      <c r="A25992" s="12"/>
    </row>
    <row r="25993" spans="1:1" x14ac:dyDescent="0.3">
      <c r="A25993" s="12"/>
    </row>
    <row r="25994" spans="1:1" x14ac:dyDescent="0.3">
      <c r="A25994" s="12"/>
    </row>
    <row r="25995" spans="1:1" x14ac:dyDescent="0.3">
      <c r="A25995" s="12"/>
    </row>
    <row r="25996" spans="1:1" x14ac:dyDescent="0.3">
      <c r="A25996" s="12"/>
    </row>
    <row r="25997" spans="1:1" x14ac:dyDescent="0.3">
      <c r="A25997" s="12"/>
    </row>
    <row r="25998" spans="1:1" x14ac:dyDescent="0.3">
      <c r="A25998" s="12"/>
    </row>
    <row r="25999" spans="1:1" x14ac:dyDescent="0.3">
      <c r="A25999" s="12"/>
    </row>
    <row r="26000" spans="1:1" x14ac:dyDescent="0.3">
      <c r="A26000" s="12"/>
    </row>
    <row r="26001" spans="1:1" x14ac:dyDescent="0.3">
      <c r="A26001" s="12"/>
    </row>
    <row r="26002" spans="1:1" x14ac:dyDescent="0.3">
      <c r="A26002" s="12"/>
    </row>
    <row r="26003" spans="1:1" x14ac:dyDescent="0.3">
      <c r="A26003" s="12"/>
    </row>
    <row r="26004" spans="1:1" x14ac:dyDescent="0.3">
      <c r="A26004" s="12"/>
    </row>
    <row r="26005" spans="1:1" x14ac:dyDescent="0.3">
      <c r="A26005" s="12"/>
    </row>
    <row r="26006" spans="1:1" x14ac:dyDescent="0.3">
      <c r="A26006" s="12"/>
    </row>
    <row r="26007" spans="1:1" x14ac:dyDescent="0.3">
      <c r="A26007" s="12"/>
    </row>
    <row r="26008" spans="1:1" x14ac:dyDescent="0.3">
      <c r="A26008" s="12"/>
    </row>
    <row r="26009" spans="1:1" x14ac:dyDescent="0.3">
      <c r="A26009" s="12"/>
    </row>
    <row r="26010" spans="1:1" x14ac:dyDescent="0.3">
      <c r="A26010" s="12"/>
    </row>
    <row r="26011" spans="1:1" x14ac:dyDescent="0.3">
      <c r="A26011" s="12"/>
    </row>
    <row r="26012" spans="1:1" x14ac:dyDescent="0.3">
      <c r="A26012" s="12"/>
    </row>
    <row r="26013" spans="1:1" x14ac:dyDescent="0.3">
      <c r="A26013" s="12"/>
    </row>
    <row r="26014" spans="1:1" x14ac:dyDescent="0.3">
      <c r="A26014" s="12"/>
    </row>
    <row r="26015" spans="1:1" x14ac:dyDescent="0.3">
      <c r="A26015" s="12"/>
    </row>
    <row r="26016" spans="1:1" x14ac:dyDescent="0.3">
      <c r="A26016" s="12"/>
    </row>
    <row r="26017" spans="1:1" x14ac:dyDescent="0.3">
      <c r="A26017" s="12"/>
    </row>
    <row r="26018" spans="1:1" x14ac:dyDescent="0.3">
      <c r="A26018" s="12"/>
    </row>
    <row r="26019" spans="1:1" x14ac:dyDescent="0.3">
      <c r="A26019" s="12"/>
    </row>
    <row r="26020" spans="1:1" x14ac:dyDescent="0.3">
      <c r="A26020" s="12"/>
    </row>
    <row r="26021" spans="1:1" x14ac:dyDescent="0.3">
      <c r="A26021" s="12"/>
    </row>
    <row r="26022" spans="1:1" x14ac:dyDescent="0.3">
      <c r="A26022" s="12"/>
    </row>
    <row r="26023" spans="1:1" x14ac:dyDescent="0.3">
      <c r="A26023" s="12"/>
    </row>
    <row r="26024" spans="1:1" x14ac:dyDescent="0.3">
      <c r="A26024" s="12"/>
    </row>
    <row r="26025" spans="1:1" x14ac:dyDescent="0.3">
      <c r="A26025" s="12"/>
    </row>
    <row r="26026" spans="1:1" x14ac:dyDescent="0.3">
      <c r="A26026" s="12"/>
    </row>
    <row r="26027" spans="1:1" x14ac:dyDescent="0.3">
      <c r="A26027" s="12"/>
    </row>
    <row r="26028" spans="1:1" x14ac:dyDescent="0.3">
      <c r="A26028" s="12"/>
    </row>
    <row r="26029" spans="1:1" x14ac:dyDescent="0.3">
      <c r="A26029" s="12"/>
    </row>
    <row r="26030" spans="1:1" x14ac:dyDescent="0.3">
      <c r="A26030" s="12"/>
    </row>
    <row r="26031" spans="1:1" x14ac:dyDescent="0.3">
      <c r="A26031" s="12"/>
    </row>
    <row r="26032" spans="1:1" x14ac:dyDescent="0.3">
      <c r="A26032" s="12"/>
    </row>
    <row r="26033" spans="1:1" x14ac:dyDescent="0.3">
      <c r="A26033" s="12"/>
    </row>
    <row r="26034" spans="1:1" x14ac:dyDescent="0.3">
      <c r="A26034" s="12"/>
    </row>
    <row r="26035" spans="1:1" x14ac:dyDescent="0.3">
      <c r="A26035" s="12"/>
    </row>
    <row r="26036" spans="1:1" x14ac:dyDescent="0.3">
      <c r="A26036" s="12"/>
    </row>
    <row r="26037" spans="1:1" x14ac:dyDescent="0.3">
      <c r="A26037" s="12"/>
    </row>
    <row r="26038" spans="1:1" x14ac:dyDescent="0.3">
      <c r="A26038" s="12"/>
    </row>
    <row r="26039" spans="1:1" x14ac:dyDescent="0.3">
      <c r="A26039" s="12"/>
    </row>
    <row r="26040" spans="1:1" x14ac:dyDescent="0.3">
      <c r="A26040" s="12"/>
    </row>
    <row r="26041" spans="1:1" x14ac:dyDescent="0.3">
      <c r="A26041" s="12"/>
    </row>
    <row r="26042" spans="1:1" x14ac:dyDescent="0.3">
      <c r="A26042" s="12"/>
    </row>
    <row r="26043" spans="1:1" x14ac:dyDescent="0.3">
      <c r="A26043" s="12"/>
    </row>
    <row r="26044" spans="1:1" x14ac:dyDescent="0.3">
      <c r="A26044" s="12"/>
    </row>
    <row r="26045" spans="1:1" x14ac:dyDescent="0.3">
      <c r="A26045" s="12"/>
    </row>
    <row r="26046" spans="1:1" x14ac:dyDescent="0.3">
      <c r="A26046" s="12"/>
    </row>
    <row r="26047" spans="1:1" x14ac:dyDescent="0.3">
      <c r="A26047" s="12"/>
    </row>
    <row r="26048" spans="1:1" x14ac:dyDescent="0.3">
      <c r="A26048" s="12"/>
    </row>
    <row r="26049" spans="1:1" x14ac:dyDescent="0.3">
      <c r="A26049" s="12"/>
    </row>
    <row r="26050" spans="1:1" x14ac:dyDescent="0.3">
      <c r="A26050" s="12"/>
    </row>
    <row r="26051" spans="1:1" x14ac:dyDescent="0.3">
      <c r="A26051" s="12"/>
    </row>
    <row r="26052" spans="1:1" x14ac:dyDescent="0.3">
      <c r="A26052" s="12"/>
    </row>
    <row r="26053" spans="1:1" x14ac:dyDescent="0.3">
      <c r="A26053" s="12"/>
    </row>
    <row r="26054" spans="1:1" x14ac:dyDescent="0.3">
      <c r="A26054" s="12"/>
    </row>
    <row r="26055" spans="1:1" x14ac:dyDescent="0.3">
      <c r="A26055" s="12"/>
    </row>
    <row r="26056" spans="1:1" x14ac:dyDescent="0.3">
      <c r="A26056" s="12"/>
    </row>
    <row r="26057" spans="1:1" x14ac:dyDescent="0.3">
      <c r="A26057" s="12"/>
    </row>
    <row r="26058" spans="1:1" x14ac:dyDescent="0.3">
      <c r="A26058" s="12"/>
    </row>
    <row r="26059" spans="1:1" x14ac:dyDescent="0.3">
      <c r="A26059" s="12"/>
    </row>
    <row r="26060" spans="1:1" x14ac:dyDescent="0.3">
      <c r="A26060" s="12"/>
    </row>
    <row r="26061" spans="1:1" x14ac:dyDescent="0.3">
      <c r="A26061" s="12"/>
    </row>
    <row r="26062" spans="1:1" x14ac:dyDescent="0.3">
      <c r="A26062" s="12"/>
    </row>
    <row r="26063" spans="1:1" x14ac:dyDescent="0.3">
      <c r="A26063" s="12"/>
    </row>
    <row r="26064" spans="1:1" x14ac:dyDescent="0.3">
      <c r="A26064" s="12"/>
    </row>
    <row r="26065" spans="1:1" x14ac:dyDescent="0.3">
      <c r="A26065" s="12"/>
    </row>
    <row r="26066" spans="1:1" x14ac:dyDescent="0.3">
      <c r="A26066" s="12"/>
    </row>
    <row r="26067" spans="1:1" x14ac:dyDescent="0.3">
      <c r="A26067" s="12"/>
    </row>
    <row r="26068" spans="1:1" x14ac:dyDescent="0.3">
      <c r="A26068" s="12"/>
    </row>
    <row r="26069" spans="1:1" x14ac:dyDescent="0.3">
      <c r="A26069" s="12"/>
    </row>
    <row r="26070" spans="1:1" x14ac:dyDescent="0.3">
      <c r="A26070" s="12"/>
    </row>
    <row r="26071" spans="1:1" x14ac:dyDescent="0.3">
      <c r="A26071" s="12"/>
    </row>
    <row r="26072" spans="1:1" x14ac:dyDescent="0.3">
      <c r="A26072" s="12"/>
    </row>
    <row r="26073" spans="1:1" x14ac:dyDescent="0.3">
      <c r="A26073" s="12"/>
    </row>
    <row r="26074" spans="1:1" x14ac:dyDescent="0.3">
      <c r="A26074" s="12"/>
    </row>
    <row r="26075" spans="1:1" x14ac:dyDescent="0.3">
      <c r="A26075" s="12"/>
    </row>
    <row r="26076" spans="1:1" x14ac:dyDescent="0.3">
      <c r="A26076" s="12"/>
    </row>
    <row r="26077" spans="1:1" x14ac:dyDescent="0.3">
      <c r="A26077" s="12"/>
    </row>
    <row r="26078" spans="1:1" x14ac:dyDescent="0.3">
      <c r="A26078" s="12"/>
    </row>
    <row r="26079" spans="1:1" x14ac:dyDescent="0.3">
      <c r="A26079" s="12"/>
    </row>
    <row r="26080" spans="1:1" x14ac:dyDescent="0.3">
      <c r="A26080" s="12"/>
    </row>
    <row r="26081" spans="1:1" x14ac:dyDescent="0.3">
      <c r="A26081" s="12"/>
    </row>
    <row r="26082" spans="1:1" x14ac:dyDescent="0.3">
      <c r="A26082" s="12"/>
    </row>
    <row r="26083" spans="1:1" x14ac:dyDescent="0.3">
      <c r="A26083" s="12"/>
    </row>
    <row r="26084" spans="1:1" x14ac:dyDescent="0.3">
      <c r="A26084" s="12"/>
    </row>
    <row r="26085" spans="1:1" x14ac:dyDescent="0.3">
      <c r="A26085" s="12"/>
    </row>
    <row r="26086" spans="1:1" x14ac:dyDescent="0.3">
      <c r="A26086" s="12"/>
    </row>
    <row r="26087" spans="1:1" x14ac:dyDescent="0.3">
      <c r="A26087" s="12"/>
    </row>
    <row r="26088" spans="1:1" x14ac:dyDescent="0.3">
      <c r="A26088" s="12"/>
    </row>
    <row r="26089" spans="1:1" x14ac:dyDescent="0.3">
      <c r="A26089" s="12"/>
    </row>
    <row r="26090" spans="1:1" x14ac:dyDescent="0.3">
      <c r="A26090" s="12"/>
    </row>
    <row r="26091" spans="1:1" x14ac:dyDescent="0.3">
      <c r="A26091" s="12"/>
    </row>
    <row r="26092" spans="1:1" x14ac:dyDescent="0.3">
      <c r="A26092" s="12"/>
    </row>
    <row r="26093" spans="1:1" x14ac:dyDescent="0.3">
      <c r="A26093" s="12"/>
    </row>
    <row r="26094" spans="1:1" x14ac:dyDescent="0.3">
      <c r="A26094" s="12"/>
    </row>
    <row r="26095" spans="1:1" x14ac:dyDescent="0.3">
      <c r="A26095" s="12"/>
    </row>
    <row r="26096" spans="1:1" x14ac:dyDescent="0.3">
      <c r="A26096" s="12"/>
    </row>
    <row r="26097" spans="1:1" x14ac:dyDescent="0.3">
      <c r="A26097" s="12"/>
    </row>
    <row r="26098" spans="1:1" x14ac:dyDescent="0.3">
      <c r="A26098" s="12"/>
    </row>
    <row r="26099" spans="1:1" x14ac:dyDescent="0.3">
      <c r="A26099" s="12"/>
    </row>
    <row r="26100" spans="1:1" x14ac:dyDescent="0.3">
      <c r="A26100" s="12"/>
    </row>
    <row r="26101" spans="1:1" x14ac:dyDescent="0.3">
      <c r="A26101" s="12"/>
    </row>
    <row r="26102" spans="1:1" x14ac:dyDescent="0.3">
      <c r="A26102" s="12"/>
    </row>
    <row r="26103" spans="1:1" x14ac:dyDescent="0.3">
      <c r="A26103" s="12"/>
    </row>
    <row r="26104" spans="1:1" x14ac:dyDescent="0.3">
      <c r="A26104" s="12"/>
    </row>
    <row r="26105" spans="1:1" x14ac:dyDescent="0.3">
      <c r="A26105" s="12"/>
    </row>
    <row r="26106" spans="1:1" x14ac:dyDescent="0.3">
      <c r="A26106" s="12"/>
    </row>
    <row r="26107" spans="1:1" x14ac:dyDescent="0.3">
      <c r="A26107" s="12"/>
    </row>
    <row r="26108" spans="1:1" x14ac:dyDescent="0.3">
      <c r="A26108" s="12"/>
    </row>
    <row r="26109" spans="1:1" x14ac:dyDescent="0.3">
      <c r="A26109" s="12"/>
    </row>
    <row r="26110" spans="1:1" x14ac:dyDescent="0.3">
      <c r="A26110" s="12"/>
    </row>
    <row r="26111" spans="1:1" x14ac:dyDescent="0.3">
      <c r="A26111" s="12"/>
    </row>
    <row r="26112" spans="1:1" x14ac:dyDescent="0.3">
      <c r="A26112" s="12"/>
    </row>
    <row r="26113" spans="1:1" x14ac:dyDescent="0.3">
      <c r="A26113" s="12"/>
    </row>
    <row r="26114" spans="1:1" x14ac:dyDescent="0.3">
      <c r="A26114" s="12"/>
    </row>
    <row r="26115" spans="1:1" x14ac:dyDescent="0.3">
      <c r="A26115" s="12"/>
    </row>
    <row r="26116" spans="1:1" x14ac:dyDescent="0.3">
      <c r="A26116" s="12"/>
    </row>
    <row r="26117" spans="1:1" x14ac:dyDescent="0.3">
      <c r="A26117" s="12"/>
    </row>
    <row r="26118" spans="1:1" x14ac:dyDescent="0.3">
      <c r="A26118" s="12"/>
    </row>
    <row r="26119" spans="1:1" x14ac:dyDescent="0.3">
      <c r="A26119" s="12"/>
    </row>
    <row r="26120" spans="1:1" x14ac:dyDescent="0.3">
      <c r="A26120" s="12"/>
    </row>
    <row r="26121" spans="1:1" x14ac:dyDescent="0.3">
      <c r="A26121" s="12"/>
    </row>
    <row r="26122" spans="1:1" x14ac:dyDescent="0.3">
      <c r="A26122" s="12"/>
    </row>
    <row r="26123" spans="1:1" x14ac:dyDescent="0.3">
      <c r="A26123" s="12"/>
    </row>
    <row r="26124" spans="1:1" x14ac:dyDescent="0.3">
      <c r="A26124" s="12"/>
    </row>
    <row r="26125" spans="1:1" x14ac:dyDescent="0.3">
      <c r="A26125" s="12"/>
    </row>
    <row r="26126" spans="1:1" x14ac:dyDescent="0.3">
      <c r="A26126" s="12"/>
    </row>
    <row r="26127" spans="1:1" x14ac:dyDescent="0.3">
      <c r="A26127" s="12"/>
    </row>
    <row r="26128" spans="1:1" x14ac:dyDescent="0.3">
      <c r="A26128" s="12"/>
    </row>
    <row r="26129" spans="1:1" x14ac:dyDescent="0.3">
      <c r="A26129" s="12"/>
    </row>
    <row r="26130" spans="1:1" x14ac:dyDescent="0.3">
      <c r="A26130" s="12"/>
    </row>
    <row r="26131" spans="1:1" x14ac:dyDescent="0.3">
      <c r="A26131" s="12"/>
    </row>
    <row r="26132" spans="1:1" x14ac:dyDescent="0.3">
      <c r="A26132" s="12"/>
    </row>
    <row r="26133" spans="1:1" x14ac:dyDescent="0.3">
      <c r="A26133" s="12"/>
    </row>
    <row r="26134" spans="1:1" x14ac:dyDescent="0.3">
      <c r="A26134" s="12"/>
    </row>
    <row r="26135" spans="1:1" x14ac:dyDescent="0.3">
      <c r="A26135" s="12"/>
    </row>
    <row r="26136" spans="1:1" x14ac:dyDescent="0.3">
      <c r="A26136" s="12"/>
    </row>
    <row r="26137" spans="1:1" x14ac:dyDescent="0.3">
      <c r="A26137" s="12"/>
    </row>
    <row r="26138" spans="1:1" x14ac:dyDescent="0.3">
      <c r="A26138" s="12"/>
    </row>
    <row r="26139" spans="1:1" x14ac:dyDescent="0.3">
      <c r="A26139" s="12"/>
    </row>
    <row r="26140" spans="1:1" x14ac:dyDescent="0.3">
      <c r="A26140" s="12"/>
    </row>
    <row r="26141" spans="1:1" x14ac:dyDescent="0.3">
      <c r="A26141" s="12"/>
    </row>
    <row r="26142" spans="1:1" x14ac:dyDescent="0.3">
      <c r="A26142" s="12"/>
    </row>
    <row r="26143" spans="1:1" x14ac:dyDescent="0.3">
      <c r="A26143" s="12"/>
    </row>
    <row r="26144" spans="1:1" x14ac:dyDescent="0.3">
      <c r="A26144" s="12"/>
    </row>
    <row r="26145" spans="1:1" x14ac:dyDescent="0.3">
      <c r="A26145" s="12"/>
    </row>
    <row r="26146" spans="1:1" x14ac:dyDescent="0.3">
      <c r="A26146" s="12"/>
    </row>
    <row r="26147" spans="1:1" x14ac:dyDescent="0.3">
      <c r="A26147" s="12"/>
    </row>
    <row r="26148" spans="1:1" x14ac:dyDescent="0.3">
      <c r="A26148" s="12"/>
    </row>
    <row r="26149" spans="1:1" x14ac:dyDescent="0.3">
      <c r="A26149" s="12"/>
    </row>
    <row r="26150" spans="1:1" x14ac:dyDescent="0.3">
      <c r="A26150" s="12"/>
    </row>
    <row r="26151" spans="1:1" x14ac:dyDescent="0.3">
      <c r="A26151" s="12"/>
    </row>
    <row r="26152" spans="1:1" x14ac:dyDescent="0.3">
      <c r="A26152" s="12"/>
    </row>
    <row r="26153" spans="1:1" x14ac:dyDescent="0.3">
      <c r="A26153" s="12"/>
    </row>
    <row r="26154" spans="1:1" x14ac:dyDescent="0.3">
      <c r="A26154" s="12"/>
    </row>
    <row r="26155" spans="1:1" x14ac:dyDescent="0.3">
      <c r="A26155" s="12"/>
    </row>
    <row r="26156" spans="1:1" x14ac:dyDescent="0.3">
      <c r="A26156" s="12"/>
    </row>
    <row r="26157" spans="1:1" x14ac:dyDescent="0.3">
      <c r="A26157" s="12"/>
    </row>
    <row r="26158" spans="1:1" x14ac:dyDescent="0.3">
      <c r="A26158" s="12"/>
    </row>
    <row r="26159" spans="1:1" x14ac:dyDescent="0.3">
      <c r="A26159" s="12"/>
    </row>
    <row r="26160" spans="1:1" x14ac:dyDescent="0.3">
      <c r="A26160" s="12"/>
    </row>
    <row r="26161" spans="1:1" x14ac:dyDescent="0.3">
      <c r="A26161" s="12"/>
    </row>
    <row r="26162" spans="1:1" x14ac:dyDescent="0.3">
      <c r="A26162" s="12"/>
    </row>
    <row r="26163" spans="1:1" x14ac:dyDescent="0.3">
      <c r="A26163" s="12"/>
    </row>
    <row r="26164" spans="1:1" x14ac:dyDescent="0.3">
      <c r="A26164" s="12"/>
    </row>
    <row r="26165" spans="1:1" x14ac:dyDescent="0.3">
      <c r="A26165" s="12"/>
    </row>
    <row r="26166" spans="1:1" x14ac:dyDescent="0.3">
      <c r="A26166" s="12"/>
    </row>
    <row r="26167" spans="1:1" x14ac:dyDescent="0.3">
      <c r="A26167" s="12"/>
    </row>
    <row r="26168" spans="1:1" x14ac:dyDescent="0.3">
      <c r="A26168" s="12"/>
    </row>
    <row r="26169" spans="1:1" x14ac:dyDescent="0.3">
      <c r="A26169" s="12"/>
    </row>
    <row r="26170" spans="1:1" x14ac:dyDescent="0.3">
      <c r="A26170" s="12"/>
    </row>
    <row r="26171" spans="1:1" x14ac:dyDescent="0.3">
      <c r="A26171" s="12"/>
    </row>
    <row r="26172" spans="1:1" x14ac:dyDescent="0.3">
      <c r="A26172" s="12"/>
    </row>
    <row r="26173" spans="1:1" x14ac:dyDescent="0.3">
      <c r="A26173" s="12"/>
    </row>
    <row r="26174" spans="1:1" x14ac:dyDescent="0.3">
      <c r="A26174" s="12"/>
    </row>
    <row r="26175" spans="1:1" x14ac:dyDescent="0.3">
      <c r="A26175" s="12"/>
    </row>
    <row r="26176" spans="1:1" x14ac:dyDescent="0.3">
      <c r="A26176" s="12"/>
    </row>
    <row r="26177" spans="1:1" x14ac:dyDescent="0.3">
      <c r="A26177" s="12"/>
    </row>
    <row r="26178" spans="1:1" x14ac:dyDescent="0.3">
      <c r="A26178" s="12"/>
    </row>
    <row r="26179" spans="1:1" x14ac:dyDescent="0.3">
      <c r="A26179" s="12"/>
    </row>
    <row r="26180" spans="1:1" x14ac:dyDescent="0.3">
      <c r="A26180" s="12"/>
    </row>
    <row r="26181" spans="1:1" x14ac:dyDescent="0.3">
      <c r="A26181" s="12"/>
    </row>
    <row r="26182" spans="1:1" x14ac:dyDescent="0.3">
      <c r="A26182" s="12"/>
    </row>
    <row r="26183" spans="1:1" x14ac:dyDescent="0.3">
      <c r="A26183" s="12"/>
    </row>
    <row r="26184" spans="1:1" x14ac:dyDescent="0.3">
      <c r="A26184" s="12"/>
    </row>
    <row r="26185" spans="1:1" x14ac:dyDescent="0.3">
      <c r="A26185" s="12"/>
    </row>
    <row r="26186" spans="1:1" x14ac:dyDescent="0.3">
      <c r="A26186" s="12"/>
    </row>
    <row r="26187" spans="1:1" x14ac:dyDescent="0.3">
      <c r="A26187" s="12"/>
    </row>
    <row r="26188" spans="1:1" x14ac:dyDescent="0.3">
      <c r="A26188" s="12"/>
    </row>
    <row r="26189" spans="1:1" x14ac:dyDescent="0.3">
      <c r="A26189" s="12"/>
    </row>
    <row r="26190" spans="1:1" x14ac:dyDescent="0.3">
      <c r="A26190" s="12"/>
    </row>
    <row r="26191" spans="1:1" x14ac:dyDescent="0.3">
      <c r="A26191" s="12"/>
    </row>
    <row r="26192" spans="1:1" x14ac:dyDescent="0.3">
      <c r="A26192" s="12"/>
    </row>
    <row r="26193" spans="1:1" x14ac:dyDescent="0.3">
      <c r="A26193" s="12"/>
    </row>
    <row r="26194" spans="1:1" x14ac:dyDescent="0.3">
      <c r="A26194" s="12"/>
    </row>
    <row r="26195" spans="1:1" x14ac:dyDescent="0.3">
      <c r="A26195" s="12"/>
    </row>
    <row r="26196" spans="1:1" x14ac:dyDescent="0.3">
      <c r="A26196" s="12"/>
    </row>
    <row r="26197" spans="1:1" x14ac:dyDescent="0.3">
      <c r="A26197" s="12"/>
    </row>
    <row r="26198" spans="1:1" x14ac:dyDescent="0.3">
      <c r="A26198" s="12"/>
    </row>
    <row r="26199" spans="1:1" x14ac:dyDescent="0.3">
      <c r="A26199" s="12"/>
    </row>
    <row r="26200" spans="1:1" x14ac:dyDescent="0.3">
      <c r="A26200" s="12"/>
    </row>
    <row r="26201" spans="1:1" x14ac:dyDescent="0.3">
      <c r="A26201" s="12"/>
    </row>
    <row r="26202" spans="1:1" x14ac:dyDescent="0.3">
      <c r="A26202" s="12"/>
    </row>
    <row r="26203" spans="1:1" x14ac:dyDescent="0.3">
      <c r="A26203" s="12"/>
    </row>
    <row r="26204" spans="1:1" x14ac:dyDescent="0.3">
      <c r="A26204" s="12"/>
    </row>
    <row r="26205" spans="1:1" x14ac:dyDescent="0.3">
      <c r="A26205" s="12"/>
    </row>
    <row r="26206" spans="1:1" x14ac:dyDescent="0.3">
      <c r="A26206" s="12"/>
    </row>
    <row r="26207" spans="1:1" x14ac:dyDescent="0.3">
      <c r="A26207" s="12"/>
    </row>
    <row r="26208" spans="1:1" x14ac:dyDescent="0.3">
      <c r="A26208" s="12"/>
    </row>
    <row r="26209" spans="1:1" x14ac:dyDescent="0.3">
      <c r="A26209" s="12"/>
    </row>
    <row r="26210" spans="1:1" x14ac:dyDescent="0.3">
      <c r="A26210" s="12"/>
    </row>
    <row r="26211" spans="1:1" x14ac:dyDescent="0.3">
      <c r="A26211" s="12"/>
    </row>
    <row r="26212" spans="1:1" x14ac:dyDescent="0.3">
      <c r="A26212" s="12"/>
    </row>
    <row r="26213" spans="1:1" x14ac:dyDescent="0.3">
      <c r="A26213" s="12"/>
    </row>
    <row r="26214" spans="1:1" x14ac:dyDescent="0.3">
      <c r="A26214" s="12"/>
    </row>
    <row r="26215" spans="1:1" x14ac:dyDescent="0.3">
      <c r="A26215" s="12"/>
    </row>
    <row r="26216" spans="1:1" x14ac:dyDescent="0.3">
      <c r="A26216" s="12"/>
    </row>
    <row r="26217" spans="1:1" x14ac:dyDescent="0.3">
      <c r="A26217" s="12"/>
    </row>
    <row r="26218" spans="1:1" x14ac:dyDescent="0.3">
      <c r="A26218" s="12"/>
    </row>
    <row r="26219" spans="1:1" x14ac:dyDescent="0.3">
      <c r="A26219" s="12"/>
    </row>
    <row r="26220" spans="1:1" x14ac:dyDescent="0.3">
      <c r="A26220" s="12"/>
    </row>
    <row r="26221" spans="1:1" x14ac:dyDescent="0.3">
      <c r="A26221" s="12"/>
    </row>
    <row r="26222" spans="1:1" x14ac:dyDescent="0.3">
      <c r="A26222" s="12"/>
    </row>
    <row r="26223" spans="1:1" x14ac:dyDescent="0.3">
      <c r="A26223" s="12"/>
    </row>
    <row r="26224" spans="1:1" x14ac:dyDescent="0.3">
      <c r="A26224" s="12"/>
    </row>
    <row r="26225" spans="1:1" x14ac:dyDescent="0.3">
      <c r="A26225" s="12"/>
    </row>
    <row r="26226" spans="1:1" x14ac:dyDescent="0.3">
      <c r="A26226" s="12"/>
    </row>
    <row r="26227" spans="1:1" x14ac:dyDescent="0.3">
      <c r="A26227" s="12"/>
    </row>
    <row r="26228" spans="1:1" x14ac:dyDescent="0.3">
      <c r="A26228" s="12"/>
    </row>
    <row r="26229" spans="1:1" x14ac:dyDescent="0.3">
      <c r="A26229" s="12"/>
    </row>
    <row r="26230" spans="1:1" x14ac:dyDescent="0.3">
      <c r="A26230" s="12"/>
    </row>
    <row r="26231" spans="1:1" x14ac:dyDescent="0.3">
      <c r="A26231" s="12"/>
    </row>
    <row r="26232" spans="1:1" x14ac:dyDescent="0.3">
      <c r="A26232" s="12"/>
    </row>
    <row r="26233" spans="1:1" x14ac:dyDescent="0.3">
      <c r="A26233" s="12"/>
    </row>
    <row r="26234" spans="1:1" x14ac:dyDescent="0.3">
      <c r="A26234" s="12"/>
    </row>
    <row r="26235" spans="1:1" x14ac:dyDescent="0.3">
      <c r="A26235" s="12"/>
    </row>
    <row r="26236" spans="1:1" x14ac:dyDescent="0.3">
      <c r="A26236" s="12"/>
    </row>
    <row r="26237" spans="1:1" x14ac:dyDescent="0.3">
      <c r="A26237" s="12"/>
    </row>
    <row r="26238" spans="1:1" x14ac:dyDescent="0.3">
      <c r="A26238" s="12"/>
    </row>
    <row r="26239" spans="1:1" x14ac:dyDescent="0.3">
      <c r="A26239" s="12"/>
    </row>
    <row r="26240" spans="1:1" x14ac:dyDescent="0.3">
      <c r="A26240" s="12"/>
    </row>
    <row r="26241" spans="1:1" x14ac:dyDescent="0.3">
      <c r="A26241" s="12"/>
    </row>
    <row r="26242" spans="1:1" x14ac:dyDescent="0.3">
      <c r="A26242" s="12"/>
    </row>
    <row r="26243" spans="1:1" x14ac:dyDescent="0.3">
      <c r="A26243" s="12"/>
    </row>
    <row r="26244" spans="1:1" x14ac:dyDescent="0.3">
      <c r="A26244" s="12"/>
    </row>
    <row r="26245" spans="1:1" x14ac:dyDescent="0.3">
      <c r="A26245" s="12"/>
    </row>
    <row r="26246" spans="1:1" x14ac:dyDescent="0.3">
      <c r="A26246" s="12"/>
    </row>
    <row r="26247" spans="1:1" x14ac:dyDescent="0.3">
      <c r="A26247" s="12"/>
    </row>
    <row r="26248" spans="1:1" x14ac:dyDescent="0.3">
      <c r="A26248" s="12"/>
    </row>
    <row r="26249" spans="1:1" x14ac:dyDescent="0.3">
      <c r="A26249" s="12"/>
    </row>
    <row r="26250" spans="1:1" x14ac:dyDescent="0.3">
      <c r="A26250" s="12"/>
    </row>
    <row r="26251" spans="1:1" x14ac:dyDescent="0.3">
      <c r="A26251" s="12"/>
    </row>
    <row r="26252" spans="1:1" x14ac:dyDescent="0.3">
      <c r="A26252" s="12"/>
    </row>
    <row r="26253" spans="1:1" x14ac:dyDescent="0.3">
      <c r="A26253" s="12"/>
    </row>
    <row r="26254" spans="1:1" x14ac:dyDescent="0.3">
      <c r="A26254" s="12"/>
    </row>
    <row r="26255" spans="1:1" x14ac:dyDescent="0.3">
      <c r="A26255" s="12"/>
    </row>
    <row r="26256" spans="1:1" x14ac:dyDescent="0.3">
      <c r="A26256" s="12"/>
    </row>
    <row r="26257" spans="1:1" x14ac:dyDescent="0.3">
      <c r="A26257" s="12"/>
    </row>
    <row r="26258" spans="1:1" x14ac:dyDescent="0.3">
      <c r="A26258" s="12"/>
    </row>
    <row r="26259" spans="1:1" x14ac:dyDescent="0.3">
      <c r="A26259" s="12"/>
    </row>
    <row r="26260" spans="1:1" x14ac:dyDescent="0.3">
      <c r="A26260" s="12"/>
    </row>
    <row r="26261" spans="1:1" x14ac:dyDescent="0.3">
      <c r="A26261" s="12"/>
    </row>
    <row r="26262" spans="1:1" x14ac:dyDescent="0.3">
      <c r="A26262" s="12"/>
    </row>
    <row r="26263" spans="1:1" x14ac:dyDescent="0.3">
      <c r="A26263" s="12"/>
    </row>
    <row r="26264" spans="1:1" x14ac:dyDescent="0.3">
      <c r="A26264" s="12"/>
    </row>
    <row r="26265" spans="1:1" x14ac:dyDescent="0.3">
      <c r="A26265" s="12"/>
    </row>
    <row r="26266" spans="1:1" x14ac:dyDescent="0.3">
      <c r="A26266" s="12"/>
    </row>
    <row r="26267" spans="1:1" x14ac:dyDescent="0.3">
      <c r="A26267" s="12"/>
    </row>
    <row r="26268" spans="1:1" x14ac:dyDescent="0.3">
      <c r="A26268" s="12"/>
    </row>
    <row r="26269" spans="1:1" x14ac:dyDescent="0.3">
      <c r="A26269" s="12"/>
    </row>
    <row r="26270" spans="1:1" x14ac:dyDescent="0.3">
      <c r="A26270" s="12"/>
    </row>
    <row r="26271" spans="1:1" x14ac:dyDescent="0.3">
      <c r="A26271" s="12"/>
    </row>
    <row r="26272" spans="1:1" x14ac:dyDescent="0.3">
      <c r="A26272" s="12"/>
    </row>
    <row r="26273" spans="1:1" x14ac:dyDescent="0.3">
      <c r="A26273" s="12"/>
    </row>
    <row r="26274" spans="1:1" x14ac:dyDescent="0.3">
      <c r="A26274" s="12"/>
    </row>
    <row r="26275" spans="1:1" x14ac:dyDescent="0.3">
      <c r="A26275" s="12"/>
    </row>
    <row r="26276" spans="1:1" x14ac:dyDescent="0.3">
      <c r="A26276" s="12"/>
    </row>
    <row r="26277" spans="1:1" x14ac:dyDescent="0.3">
      <c r="A26277" s="12"/>
    </row>
    <row r="26278" spans="1:1" x14ac:dyDescent="0.3">
      <c r="A26278" s="12"/>
    </row>
    <row r="26279" spans="1:1" x14ac:dyDescent="0.3">
      <c r="A26279" s="12"/>
    </row>
    <row r="26280" spans="1:1" x14ac:dyDescent="0.3">
      <c r="A26280" s="12"/>
    </row>
    <row r="26281" spans="1:1" x14ac:dyDescent="0.3">
      <c r="A26281" s="12"/>
    </row>
    <row r="26282" spans="1:1" x14ac:dyDescent="0.3">
      <c r="A26282" s="12"/>
    </row>
    <row r="26283" spans="1:1" x14ac:dyDescent="0.3">
      <c r="A26283" s="12"/>
    </row>
    <row r="26284" spans="1:1" x14ac:dyDescent="0.3">
      <c r="A26284" s="12"/>
    </row>
    <row r="26285" spans="1:1" x14ac:dyDescent="0.3">
      <c r="A26285" s="12"/>
    </row>
    <row r="26286" spans="1:1" x14ac:dyDescent="0.3">
      <c r="A26286" s="12"/>
    </row>
    <row r="26287" spans="1:1" x14ac:dyDescent="0.3">
      <c r="A26287" s="12"/>
    </row>
    <row r="26288" spans="1:1" x14ac:dyDescent="0.3">
      <c r="A26288" s="12"/>
    </row>
    <row r="26289" spans="1:1" x14ac:dyDescent="0.3">
      <c r="A26289" s="12"/>
    </row>
    <row r="26290" spans="1:1" x14ac:dyDescent="0.3">
      <c r="A26290" s="12"/>
    </row>
    <row r="26291" spans="1:1" x14ac:dyDescent="0.3">
      <c r="A26291" s="12"/>
    </row>
    <row r="26292" spans="1:1" x14ac:dyDescent="0.3">
      <c r="A26292" s="12"/>
    </row>
    <row r="26293" spans="1:1" x14ac:dyDescent="0.3">
      <c r="A26293" s="12"/>
    </row>
    <row r="26294" spans="1:1" x14ac:dyDescent="0.3">
      <c r="A26294" s="12"/>
    </row>
    <row r="26295" spans="1:1" x14ac:dyDescent="0.3">
      <c r="A26295" s="12"/>
    </row>
    <row r="26296" spans="1:1" x14ac:dyDescent="0.3">
      <c r="A26296" s="12"/>
    </row>
    <row r="26297" spans="1:1" x14ac:dyDescent="0.3">
      <c r="A26297" s="12"/>
    </row>
    <row r="26298" spans="1:1" x14ac:dyDescent="0.3">
      <c r="A26298" s="12"/>
    </row>
    <row r="26299" spans="1:1" x14ac:dyDescent="0.3">
      <c r="A26299" s="12"/>
    </row>
    <row r="26300" spans="1:1" x14ac:dyDescent="0.3">
      <c r="A26300" s="12"/>
    </row>
    <row r="26301" spans="1:1" x14ac:dyDescent="0.3">
      <c r="A26301" s="12"/>
    </row>
    <row r="26302" spans="1:1" x14ac:dyDescent="0.3">
      <c r="A26302" s="12"/>
    </row>
    <row r="26303" spans="1:1" x14ac:dyDescent="0.3">
      <c r="A26303" s="12"/>
    </row>
    <row r="26304" spans="1:1" x14ac:dyDescent="0.3">
      <c r="A26304" s="12"/>
    </row>
    <row r="26305" spans="1:1" x14ac:dyDescent="0.3">
      <c r="A26305" s="12"/>
    </row>
    <row r="26306" spans="1:1" x14ac:dyDescent="0.3">
      <c r="A26306" s="12"/>
    </row>
    <row r="26307" spans="1:1" x14ac:dyDescent="0.3">
      <c r="A26307" s="12"/>
    </row>
    <row r="26308" spans="1:1" x14ac:dyDescent="0.3">
      <c r="A26308" s="12"/>
    </row>
    <row r="26309" spans="1:1" x14ac:dyDescent="0.3">
      <c r="A26309" s="12"/>
    </row>
    <row r="26310" spans="1:1" x14ac:dyDescent="0.3">
      <c r="A26310" s="12"/>
    </row>
    <row r="26311" spans="1:1" x14ac:dyDescent="0.3">
      <c r="A26311" s="12"/>
    </row>
    <row r="26312" spans="1:1" x14ac:dyDescent="0.3">
      <c r="A26312" s="12"/>
    </row>
    <row r="26313" spans="1:1" x14ac:dyDescent="0.3">
      <c r="A26313" s="12"/>
    </row>
    <row r="26314" spans="1:1" x14ac:dyDescent="0.3">
      <c r="A26314" s="12"/>
    </row>
    <row r="26315" spans="1:1" x14ac:dyDescent="0.3">
      <c r="A26315" s="12"/>
    </row>
    <row r="26316" spans="1:1" x14ac:dyDescent="0.3">
      <c r="A26316" s="12"/>
    </row>
    <row r="26317" spans="1:1" x14ac:dyDescent="0.3">
      <c r="A26317" s="12"/>
    </row>
    <row r="26318" spans="1:1" x14ac:dyDescent="0.3">
      <c r="A26318" s="12"/>
    </row>
    <row r="26319" spans="1:1" x14ac:dyDescent="0.3">
      <c r="A26319" s="12"/>
    </row>
    <row r="26320" spans="1:1" x14ac:dyDescent="0.3">
      <c r="A26320" s="12"/>
    </row>
    <row r="26321" spans="1:1" x14ac:dyDescent="0.3">
      <c r="A26321" s="12"/>
    </row>
    <row r="26322" spans="1:1" x14ac:dyDescent="0.3">
      <c r="A26322" s="12"/>
    </row>
    <row r="26323" spans="1:1" x14ac:dyDescent="0.3">
      <c r="A26323" s="12"/>
    </row>
    <row r="26324" spans="1:1" x14ac:dyDescent="0.3">
      <c r="A26324" s="12"/>
    </row>
    <row r="26325" spans="1:1" x14ac:dyDescent="0.3">
      <c r="A26325" s="12"/>
    </row>
    <row r="26326" spans="1:1" x14ac:dyDescent="0.3">
      <c r="A26326" s="12"/>
    </row>
    <row r="26327" spans="1:1" x14ac:dyDescent="0.3">
      <c r="A26327" s="12"/>
    </row>
    <row r="26328" spans="1:1" x14ac:dyDescent="0.3">
      <c r="A26328" s="12"/>
    </row>
    <row r="26329" spans="1:1" x14ac:dyDescent="0.3">
      <c r="A26329" s="12"/>
    </row>
    <row r="26330" spans="1:1" x14ac:dyDescent="0.3">
      <c r="A26330" s="12"/>
    </row>
    <row r="26331" spans="1:1" x14ac:dyDescent="0.3">
      <c r="A26331" s="12"/>
    </row>
    <row r="26332" spans="1:1" x14ac:dyDescent="0.3">
      <c r="A26332" s="12"/>
    </row>
    <row r="26333" spans="1:1" x14ac:dyDescent="0.3">
      <c r="A26333" s="12"/>
    </row>
    <row r="26334" spans="1:1" x14ac:dyDescent="0.3">
      <c r="A26334" s="12"/>
    </row>
    <row r="26335" spans="1:1" x14ac:dyDescent="0.3">
      <c r="A26335" s="12"/>
    </row>
    <row r="26336" spans="1:1" x14ac:dyDescent="0.3">
      <c r="A26336" s="12"/>
    </row>
    <row r="26337" spans="1:1" x14ac:dyDescent="0.3">
      <c r="A26337" s="12"/>
    </row>
    <row r="26338" spans="1:1" x14ac:dyDescent="0.3">
      <c r="A26338" s="12"/>
    </row>
    <row r="26339" spans="1:1" x14ac:dyDescent="0.3">
      <c r="A26339" s="12"/>
    </row>
    <row r="26340" spans="1:1" x14ac:dyDescent="0.3">
      <c r="A26340" s="12"/>
    </row>
    <row r="26341" spans="1:1" x14ac:dyDescent="0.3">
      <c r="A26341" s="12"/>
    </row>
    <row r="26342" spans="1:1" x14ac:dyDescent="0.3">
      <c r="A26342" s="12"/>
    </row>
    <row r="26343" spans="1:1" x14ac:dyDescent="0.3">
      <c r="A26343" s="12"/>
    </row>
    <row r="26344" spans="1:1" x14ac:dyDescent="0.3">
      <c r="A26344" s="12"/>
    </row>
    <row r="26345" spans="1:1" x14ac:dyDescent="0.3">
      <c r="A26345" s="12"/>
    </row>
    <row r="26346" spans="1:1" x14ac:dyDescent="0.3">
      <c r="A26346" s="12"/>
    </row>
    <row r="26347" spans="1:1" x14ac:dyDescent="0.3">
      <c r="A26347" s="12"/>
    </row>
    <row r="26348" spans="1:1" x14ac:dyDescent="0.3">
      <c r="A26348" s="12"/>
    </row>
    <row r="26349" spans="1:1" x14ac:dyDescent="0.3">
      <c r="A26349" s="12"/>
    </row>
    <row r="26350" spans="1:1" x14ac:dyDescent="0.3">
      <c r="A26350" s="12"/>
    </row>
    <row r="26351" spans="1:1" x14ac:dyDescent="0.3">
      <c r="A26351" s="12"/>
    </row>
    <row r="26352" spans="1:1" x14ac:dyDescent="0.3">
      <c r="A26352" s="12"/>
    </row>
    <row r="26353" spans="1:1" x14ac:dyDescent="0.3">
      <c r="A26353" s="12"/>
    </row>
    <row r="26354" spans="1:1" x14ac:dyDescent="0.3">
      <c r="A26354" s="12"/>
    </row>
    <row r="26355" spans="1:1" x14ac:dyDescent="0.3">
      <c r="A26355" s="12"/>
    </row>
    <row r="26356" spans="1:1" x14ac:dyDescent="0.3">
      <c r="A26356" s="12"/>
    </row>
    <row r="26357" spans="1:1" x14ac:dyDescent="0.3">
      <c r="A26357" s="12"/>
    </row>
    <row r="26358" spans="1:1" x14ac:dyDescent="0.3">
      <c r="A26358" s="12"/>
    </row>
    <row r="26359" spans="1:1" x14ac:dyDescent="0.3">
      <c r="A26359" s="12"/>
    </row>
    <row r="26360" spans="1:1" x14ac:dyDescent="0.3">
      <c r="A26360" s="12"/>
    </row>
    <row r="26361" spans="1:1" x14ac:dyDescent="0.3">
      <c r="A26361" s="12"/>
    </row>
    <row r="26362" spans="1:1" x14ac:dyDescent="0.3">
      <c r="A26362" s="12"/>
    </row>
    <row r="26363" spans="1:1" x14ac:dyDescent="0.3">
      <c r="A26363" s="12"/>
    </row>
    <row r="26364" spans="1:1" x14ac:dyDescent="0.3">
      <c r="A26364" s="12"/>
    </row>
    <row r="26365" spans="1:1" x14ac:dyDescent="0.3">
      <c r="A26365" s="12"/>
    </row>
    <row r="26366" spans="1:1" x14ac:dyDescent="0.3">
      <c r="A26366" s="12"/>
    </row>
    <row r="26367" spans="1:1" x14ac:dyDescent="0.3">
      <c r="A26367" s="12"/>
    </row>
    <row r="26368" spans="1:1" x14ac:dyDescent="0.3">
      <c r="A26368" s="12"/>
    </row>
    <row r="26369" spans="1:1" x14ac:dyDescent="0.3">
      <c r="A26369" s="12"/>
    </row>
    <row r="26370" spans="1:1" x14ac:dyDescent="0.3">
      <c r="A26370" s="12"/>
    </row>
    <row r="26371" spans="1:1" x14ac:dyDescent="0.3">
      <c r="A26371" s="12"/>
    </row>
    <row r="26372" spans="1:1" x14ac:dyDescent="0.3">
      <c r="A26372" s="12"/>
    </row>
    <row r="26373" spans="1:1" x14ac:dyDescent="0.3">
      <c r="A26373" s="12"/>
    </row>
    <row r="26374" spans="1:1" x14ac:dyDescent="0.3">
      <c r="A26374" s="12"/>
    </row>
    <row r="26375" spans="1:1" x14ac:dyDescent="0.3">
      <c r="A26375" s="12"/>
    </row>
    <row r="26376" spans="1:1" x14ac:dyDescent="0.3">
      <c r="A26376" s="12"/>
    </row>
    <row r="26377" spans="1:1" x14ac:dyDescent="0.3">
      <c r="A26377" s="12"/>
    </row>
    <row r="26378" spans="1:1" x14ac:dyDescent="0.3">
      <c r="A26378" s="12"/>
    </row>
    <row r="26379" spans="1:1" x14ac:dyDescent="0.3">
      <c r="A26379" s="12"/>
    </row>
    <row r="26380" spans="1:1" x14ac:dyDescent="0.3">
      <c r="A26380" s="12"/>
    </row>
    <row r="26381" spans="1:1" x14ac:dyDescent="0.3">
      <c r="A26381" s="12"/>
    </row>
    <row r="26382" spans="1:1" x14ac:dyDescent="0.3">
      <c r="A26382" s="12"/>
    </row>
    <row r="26383" spans="1:1" x14ac:dyDescent="0.3">
      <c r="A26383" s="12"/>
    </row>
    <row r="26384" spans="1:1" x14ac:dyDescent="0.3">
      <c r="A26384" s="12"/>
    </row>
    <row r="26385" spans="1:1" x14ac:dyDescent="0.3">
      <c r="A26385" s="12"/>
    </row>
    <row r="26386" spans="1:1" x14ac:dyDescent="0.3">
      <c r="A26386" s="12"/>
    </row>
    <row r="26387" spans="1:1" x14ac:dyDescent="0.3">
      <c r="A26387" s="12"/>
    </row>
    <row r="26388" spans="1:1" x14ac:dyDescent="0.3">
      <c r="A26388" s="12"/>
    </row>
    <row r="26389" spans="1:1" x14ac:dyDescent="0.3">
      <c r="A26389" s="12"/>
    </row>
    <row r="26390" spans="1:1" x14ac:dyDescent="0.3">
      <c r="A26390" s="12"/>
    </row>
    <row r="26391" spans="1:1" x14ac:dyDescent="0.3">
      <c r="A26391" s="12"/>
    </row>
    <row r="26392" spans="1:1" x14ac:dyDescent="0.3">
      <c r="A26392" s="12"/>
    </row>
    <row r="26393" spans="1:1" x14ac:dyDescent="0.3">
      <c r="A26393" s="12"/>
    </row>
    <row r="26394" spans="1:1" x14ac:dyDescent="0.3">
      <c r="A26394" s="12"/>
    </row>
    <row r="26395" spans="1:1" x14ac:dyDescent="0.3">
      <c r="A26395" s="12"/>
    </row>
    <row r="26396" spans="1:1" x14ac:dyDescent="0.3">
      <c r="A26396" s="12"/>
    </row>
    <row r="26397" spans="1:1" x14ac:dyDescent="0.3">
      <c r="A26397" s="12"/>
    </row>
    <row r="26398" spans="1:1" x14ac:dyDescent="0.3">
      <c r="A26398" s="12"/>
    </row>
    <row r="26399" spans="1:1" x14ac:dyDescent="0.3">
      <c r="A26399" s="12"/>
    </row>
    <row r="26400" spans="1:1" x14ac:dyDescent="0.3">
      <c r="A26400" s="12"/>
    </row>
    <row r="26401" spans="1:1" x14ac:dyDescent="0.3">
      <c r="A26401" s="12"/>
    </row>
    <row r="26402" spans="1:1" x14ac:dyDescent="0.3">
      <c r="A26402" s="12"/>
    </row>
    <row r="26403" spans="1:1" x14ac:dyDescent="0.3">
      <c r="A26403" s="12"/>
    </row>
    <row r="26404" spans="1:1" x14ac:dyDescent="0.3">
      <c r="A26404" s="12"/>
    </row>
    <row r="26405" spans="1:1" x14ac:dyDescent="0.3">
      <c r="A26405" s="12"/>
    </row>
    <row r="26406" spans="1:1" x14ac:dyDescent="0.3">
      <c r="A26406" s="12"/>
    </row>
    <row r="26407" spans="1:1" x14ac:dyDescent="0.3">
      <c r="A26407" s="12"/>
    </row>
    <row r="26408" spans="1:1" x14ac:dyDescent="0.3">
      <c r="A26408" s="12"/>
    </row>
    <row r="26409" spans="1:1" x14ac:dyDescent="0.3">
      <c r="A26409" s="12"/>
    </row>
    <row r="26410" spans="1:1" x14ac:dyDescent="0.3">
      <c r="A26410" s="12"/>
    </row>
    <row r="26411" spans="1:1" x14ac:dyDescent="0.3">
      <c r="A26411" s="12"/>
    </row>
    <row r="26412" spans="1:1" x14ac:dyDescent="0.3">
      <c r="A26412" s="12"/>
    </row>
    <row r="26413" spans="1:1" x14ac:dyDescent="0.3">
      <c r="A26413" s="12"/>
    </row>
    <row r="26414" spans="1:1" x14ac:dyDescent="0.3">
      <c r="A26414" s="12"/>
    </row>
    <row r="26415" spans="1:1" x14ac:dyDescent="0.3">
      <c r="A26415" s="12"/>
    </row>
    <row r="26416" spans="1:1" x14ac:dyDescent="0.3">
      <c r="A26416" s="12"/>
    </row>
    <row r="26417" spans="1:1" x14ac:dyDescent="0.3">
      <c r="A26417" s="12"/>
    </row>
    <row r="26418" spans="1:1" x14ac:dyDescent="0.3">
      <c r="A26418" s="12"/>
    </row>
    <row r="26419" spans="1:1" x14ac:dyDescent="0.3">
      <c r="A26419" s="12"/>
    </row>
    <row r="26420" spans="1:1" x14ac:dyDescent="0.3">
      <c r="A26420" s="12"/>
    </row>
    <row r="26421" spans="1:1" x14ac:dyDescent="0.3">
      <c r="A26421" s="12"/>
    </row>
    <row r="26422" spans="1:1" x14ac:dyDescent="0.3">
      <c r="A26422" s="12"/>
    </row>
    <row r="26423" spans="1:1" x14ac:dyDescent="0.3">
      <c r="A26423" s="12"/>
    </row>
    <row r="26424" spans="1:1" x14ac:dyDescent="0.3">
      <c r="A26424" s="12"/>
    </row>
    <row r="26425" spans="1:1" x14ac:dyDescent="0.3">
      <c r="A26425" s="12"/>
    </row>
    <row r="26426" spans="1:1" x14ac:dyDescent="0.3">
      <c r="A26426" s="12"/>
    </row>
    <row r="26427" spans="1:1" x14ac:dyDescent="0.3">
      <c r="A26427" s="12"/>
    </row>
    <row r="26428" spans="1:1" x14ac:dyDescent="0.3">
      <c r="A26428" s="12"/>
    </row>
    <row r="26429" spans="1:1" x14ac:dyDescent="0.3">
      <c r="A26429" s="12"/>
    </row>
    <row r="26430" spans="1:1" x14ac:dyDescent="0.3">
      <c r="A26430" s="12"/>
    </row>
    <row r="26431" spans="1:1" x14ac:dyDescent="0.3">
      <c r="A26431" s="12"/>
    </row>
    <row r="26432" spans="1:1" x14ac:dyDescent="0.3">
      <c r="A26432" s="12"/>
    </row>
    <row r="26433" spans="1:1" x14ac:dyDescent="0.3">
      <c r="A26433" s="12"/>
    </row>
    <row r="26434" spans="1:1" x14ac:dyDescent="0.3">
      <c r="A26434" s="12"/>
    </row>
    <row r="26435" spans="1:1" x14ac:dyDescent="0.3">
      <c r="A26435" s="12"/>
    </row>
    <row r="26436" spans="1:1" x14ac:dyDescent="0.3">
      <c r="A26436" s="12"/>
    </row>
    <row r="26437" spans="1:1" x14ac:dyDescent="0.3">
      <c r="A26437" s="12"/>
    </row>
    <row r="26438" spans="1:1" x14ac:dyDescent="0.3">
      <c r="A26438" s="12"/>
    </row>
    <row r="26439" spans="1:1" x14ac:dyDescent="0.3">
      <c r="A26439" s="12"/>
    </row>
    <row r="26440" spans="1:1" x14ac:dyDescent="0.3">
      <c r="A26440" s="12"/>
    </row>
    <row r="26441" spans="1:1" x14ac:dyDescent="0.3">
      <c r="A26441" s="12"/>
    </row>
    <row r="26442" spans="1:1" x14ac:dyDescent="0.3">
      <c r="A26442" s="12"/>
    </row>
    <row r="26443" spans="1:1" x14ac:dyDescent="0.3">
      <c r="A26443" s="12"/>
    </row>
    <row r="26444" spans="1:1" x14ac:dyDescent="0.3">
      <c r="A26444" s="12"/>
    </row>
    <row r="26445" spans="1:1" x14ac:dyDescent="0.3">
      <c r="A26445" s="12"/>
    </row>
    <row r="26446" spans="1:1" x14ac:dyDescent="0.3">
      <c r="A26446" s="12"/>
    </row>
    <row r="26447" spans="1:1" x14ac:dyDescent="0.3">
      <c r="A26447" s="12"/>
    </row>
    <row r="26448" spans="1:1" x14ac:dyDescent="0.3">
      <c r="A26448" s="12"/>
    </row>
    <row r="26449" spans="1:1" x14ac:dyDescent="0.3">
      <c r="A26449" s="12"/>
    </row>
    <row r="26450" spans="1:1" x14ac:dyDescent="0.3">
      <c r="A26450" s="12"/>
    </row>
    <row r="26451" spans="1:1" x14ac:dyDescent="0.3">
      <c r="A26451" s="12"/>
    </row>
    <row r="26452" spans="1:1" x14ac:dyDescent="0.3">
      <c r="A26452" s="12"/>
    </row>
    <row r="26453" spans="1:1" x14ac:dyDescent="0.3">
      <c r="A26453" s="12"/>
    </row>
    <row r="26454" spans="1:1" x14ac:dyDescent="0.3">
      <c r="A26454" s="12"/>
    </row>
    <row r="26455" spans="1:1" x14ac:dyDescent="0.3">
      <c r="A26455" s="12"/>
    </row>
    <row r="26456" spans="1:1" x14ac:dyDescent="0.3">
      <c r="A26456" s="12"/>
    </row>
    <row r="26457" spans="1:1" x14ac:dyDescent="0.3">
      <c r="A26457" s="12"/>
    </row>
    <row r="26458" spans="1:1" x14ac:dyDescent="0.3">
      <c r="A26458" s="12"/>
    </row>
    <row r="26459" spans="1:1" x14ac:dyDescent="0.3">
      <c r="A26459" s="12"/>
    </row>
    <row r="26460" spans="1:1" x14ac:dyDescent="0.3">
      <c r="A26460" s="12"/>
    </row>
    <row r="26461" spans="1:1" x14ac:dyDescent="0.3">
      <c r="A26461" s="12"/>
    </row>
    <row r="26462" spans="1:1" x14ac:dyDescent="0.3">
      <c r="A26462" s="12"/>
    </row>
    <row r="26463" spans="1:1" x14ac:dyDescent="0.3">
      <c r="A26463" s="12"/>
    </row>
    <row r="26464" spans="1:1" x14ac:dyDescent="0.3">
      <c r="A26464" s="12"/>
    </row>
    <row r="26465" spans="1:1" x14ac:dyDescent="0.3">
      <c r="A26465" s="12"/>
    </row>
    <row r="26466" spans="1:1" x14ac:dyDescent="0.3">
      <c r="A26466" s="12"/>
    </row>
    <row r="26467" spans="1:1" x14ac:dyDescent="0.3">
      <c r="A26467" s="12"/>
    </row>
    <row r="26468" spans="1:1" x14ac:dyDescent="0.3">
      <c r="A26468" s="12"/>
    </row>
    <row r="26469" spans="1:1" x14ac:dyDescent="0.3">
      <c r="A26469" s="12"/>
    </row>
    <row r="26470" spans="1:1" x14ac:dyDescent="0.3">
      <c r="A26470" s="12"/>
    </row>
    <row r="26471" spans="1:1" x14ac:dyDescent="0.3">
      <c r="A26471" s="12"/>
    </row>
    <row r="26472" spans="1:1" x14ac:dyDescent="0.3">
      <c r="A26472" s="12"/>
    </row>
    <row r="26473" spans="1:1" x14ac:dyDescent="0.3">
      <c r="A26473" s="12"/>
    </row>
    <row r="26474" spans="1:1" x14ac:dyDescent="0.3">
      <c r="A26474" s="12"/>
    </row>
    <row r="26475" spans="1:1" x14ac:dyDescent="0.3">
      <c r="A26475" s="12"/>
    </row>
    <row r="26476" spans="1:1" x14ac:dyDescent="0.3">
      <c r="A26476" s="12"/>
    </row>
    <row r="26477" spans="1:1" x14ac:dyDescent="0.3">
      <c r="A26477" s="12"/>
    </row>
    <row r="26478" spans="1:1" x14ac:dyDescent="0.3">
      <c r="A26478" s="12"/>
    </row>
    <row r="26479" spans="1:1" x14ac:dyDescent="0.3">
      <c r="A26479" s="12"/>
    </row>
    <row r="26480" spans="1:1" x14ac:dyDescent="0.3">
      <c r="A26480" s="12"/>
    </row>
    <row r="26481" spans="1:1" x14ac:dyDescent="0.3">
      <c r="A26481" s="12"/>
    </row>
    <row r="26482" spans="1:1" x14ac:dyDescent="0.3">
      <c r="A26482" s="12"/>
    </row>
    <row r="26483" spans="1:1" x14ac:dyDescent="0.3">
      <c r="A26483" s="12"/>
    </row>
    <row r="26484" spans="1:1" x14ac:dyDescent="0.3">
      <c r="A26484" s="12"/>
    </row>
    <row r="26485" spans="1:1" x14ac:dyDescent="0.3">
      <c r="A26485" s="12"/>
    </row>
    <row r="26486" spans="1:1" x14ac:dyDescent="0.3">
      <c r="A26486" s="12"/>
    </row>
    <row r="26487" spans="1:1" x14ac:dyDescent="0.3">
      <c r="A26487" s="12"/>
    </row>
    <row r="26488" spans="1:1" x14ac:dyDescent="0.3">
      <c r="A26488" s="12"/>
    </row>
    <row r="26489" spans="1:1" x14ac:dyDescent="0.3">
      <c r="A26489" s="12"/>
    </row>
    <row r="26490" spans="1:1" x14ac:dyDescent="0.3">
      <c r="A26490" s="12"/>
    </row>
    <row r="26491" spans="1:1" x14ac:dyDescent="0.3">
      <c r="A26491" s="12"/>
    </row>
    <row r="26492" spans="1:1" x14ac:dyDescent="0.3">
      <c r="A26492" s="12"/>
    </row>
    <row r="26493" spans="1:1" x14ac:dyDescent="0.3">
      <c r="A26493" s="12"/>
    </row>
    <row r="26494" spans="1:1" x14ac:dyDescent="0.3">
      <c r="A26494" s="12"/>
    </row>
    <row r="26495" spans="1:1" x14ac:dyDescent="0.3">
      <c r="A26495" s="12"/>
    </row>
    <row r="26496" spans="1:1" x14ac:dyDescent="0.3">
      <c r="A26496" s="12"/>
    </row>
    <row r="26497" spans="1:1" x14ac:dyDescent="0.3">
      <c r="A26497" s="12"/>
    </row>
    <row r="26498" spans="1:1" x14ac:dyDescent="0.3">
      <c r="A26498" s="12"/>
    </row>
    <row r="26499" spans="1:1" x14ac:dyDescent="0.3">
      <c r="A26499" s="12"/>
    </row>
    <row r="26500" spans="1:1" x14ac:dyDescent="0.3">
      <c r="A26500" s="12"/>
    </row>
    <row r="26501" spans="1:1" x14ac:dyDescent="0.3">
      <c r="A26501" s="12"/>
    </row>
    <row r="26502" spans="1:1" x14ac:dyDescent="0.3">
      <c r="A26502" s="12"/>
    </row>
    <row r="26503" spans="1:1" x14ac:dyDescent="0.3">
      <c r="A26503" s="12"/>
    </row>
    <row r="26504" spans="1:1" x14ac:dyDescent="0.3">
      <c r="A26504" s="12"/>
    </row>
    <row r="26505" spans="1:1" x14ac:dyDescent="0.3">
      <c r="A26505" s="12"/>
    </row>
    <row r="26506" spans="1:1" x14ac:dyDescent="0.3">
      <c r="A26506" s="12"/>
    </row>
    <row r="26507" spans="1:1" x14ac:dyDescent="0.3">
      <c r="A26507" s="12"/>
    </row>
    <row r="26508" spans="1:1" x14ac:dyDescent="0.3">
      <c r="A26508" s="12"/>
    </row>
    <row r="26509" spans="1:1" x14ac:dyDescent="0.3">
      <c r="A26509" s="12"/>
    </row>
    <row r="26510" spans="1:1" x14ac:dyDescent="0.3">
      <c r="A26510" s="12"/>
    </row>
    <row r="26511" spans="1:1" x14ac:dyDescent="0.3">
      <c r="A26511" s="12"/>
    </row>
    <row r="26512" spans="1:1" x14ac:dyDescent="0.3">
      <c r="A26512" s="12"/>
    </row>
    <row r="26513" spans="1:1" x14ac:dyDescent="0.3">
      <c r="A26513" s="12"/>
    </row>
    <row r="26514" spans="1:1" x14ac:dyDescent="0.3">
      <c r="A26514" s="12"/>
    </row>
    <row r="26515" spans="1:1" x14ac:dyDescent="0.3">
      <c r="A26515" s="12"/>
    </row>
    <row r="26516" spans="1:1" x14ac:dyDescent="0.3">
      <c r="A26516" s="12"/>
    </row>
    <row r="26517" spans="1:1" x14ac:dyDescent="0.3">
      <c r="A26517" s="12"/>
    </row>
    <row r="26518" spans="1:1" x14ac:dyDescent="0.3">
      <c r="A26518" s="12"/>
    </row>
    <row r="26519" spans="1:1" x14ac:dyDescent="0.3">
      <c r="A26519" s="12"/>
    </row>
    <row r="26520" spans="1:1" x14ac:dyDescent="0.3">
      <c r="A26520" s="12"/>
    </row>
    <row r="26521" spans="1:1" x14ac:dyDescent="0.3">
      <c r="A26521" s="12"/>
    </row>
    <row r="26522" spans="1:1" x14ac:dyDescent="0.3">
      <c r="A26522" s="12"/>
    </row>
    <row r="26523" spans="1:1" x14ac:dyDescent="0.3">
      <c r="A26523" s="12"/>
    </row>
    <row r="26524" spans="1:1" x14ac:dyDescent="0.3">
      <c r="A26524" s="12"/>
    </row>
    <row r="26525" spans="1:1" x14ac:dyDescent="0.3">
      <c r="A26525" s="12"/>
    </row>
    <row r="26526" spans="1:1" x14ac:dyDescent="0.3">
      <c r="A26526" s="12"/>
    </row>
    <row r="26527" spans="1:1" x14ac:dyDescent="0.3">
      <c r="A26527" s="12"/>
    </row>
    <row r="26528" spans="1:1" x14ac:dyDescent="0.3">
      <c r="A26528" s="12"/>
    </row>
    <row r="26529" spans="1:1" x14ac:dyDescent="0.3">
      <c r="A26529" s="12"/>
    </row>
    <row r="26530" spans="1:1" x14ac:dyDescent="0.3">
      <c r="A26530" s="12"/>
    </row>
    <row r="26531" spans="1:1" x14ac:dyDescent="0.3">
      <c r="A26531" s="12"/>
    </row>
    <row r="26532" spans="1:1" x14ac:dyDescent="0.3">
      <c r="A26532" s="12"/>
    </row>
    <row r="26533" spans="1:1" x14ac:dyDescent="0.3">
      <c r="A26533" s="12"/>
    </row>
    <row r="26534" spans="1:1" x14ac:dyDescent="0.3">
      <c r="A26534" s="12"/>
    </row>
    <row r="26535" spans="1:1" x14ac:dyDescent="0.3">
      <c r="A26535" s="12"/>
    </row>
    <row r="26536" spans="1:1" x14ac:dyDescent="0.3">
      <c r="A26536" s="12"/>
    </row>
    <row r="26537" spans="1:1" x14ac:dyDescent="0.3">
      <c r="A26537" s="12"/>
    </row>
    <row r="26538" spans="1:1" x14ac:dyDescent="0.3">
      <c r="A26538" s="12"/>
    </row>
    <row r="26539" spans="1:1" x14ac:dyDescent="0.3">
      <c r="A26539" s="12"/>
    </row>
    <row r="26540" spans="1:1" x14ac:dyDescent="0.3">
      <c r="A26540" s="12"/>
    </row>
    <row r="26541" spans="1:1" x14ac:dyDescent="0.3">
      <c r="A26541" s="12"/>
    </row>
    <row r="26542" spans="1:1" x14ac:dyDescent="0.3">
      <c r="A26542" s="12"/>
    </row>
    <row r="26543" spans="1:1" x14ac:dyDescent="0.3">
      <c r="A26543" s="12"/>
    </row>
    <row r="26544" spans="1:1" x14ac:dyDescent="0.3">
      <c r="A26544" s="12"/>
    </row>
    <row r="26545" spans="1:1" x14ac:dyDescent="0.3">
      <c r="A26545" s="12"/>
    </row>
    <row r="26546" spans="1:1" x14ac:dyDescent="0.3">
      <c r="A26546" s="12"/>
    </row>
    <row r="26547" spans="1:1" x14ac:dyDescent="0.3">
      <c r="A26547" s="12"/>
    </row>
    <row r="26548" spans="1:1" x14ac:dyDescent="0.3">
      <c r="A26548" s="12"/>
    </row>
    <row r="26549" spans="1:1" x14ac:dyDescent="0.3">
      <c r="A26549" s="12"/>
    </row>
    <row r="26550" spans="1:1" x14ac:dyDescent="0.3">
      <c r="A26550" s="12"/>
    </row>
    <row r="26551" spans="1:1" x14ac:dyDescent="0.3">
      <c r="A26551" s="12"/>
    </row>
    <row r="26552" spans="1:1" x14ac:dyDescent="0.3">
      <c r="A26552" s="12"/>
    </row>
    <row r="26553" spans="1:1" x14ac:dyDescent="0.3">
      <c r="A26553" s="12"/>
    </row>
    <row r="26554" spans="1:1" x14ac:dyDescent="0.3">
      <c r="A26554" s="12"/>
    </row>
    <row r="26555" spans="1:1" x14ac:dyDescent="0.3">
      <c r="A26555" s="12"/>
    </row>
    <row r="26556" spans="1:1" x14ac:dyDescent="0.3">
      <c r="A26556" s="12"/>
    </row>
    <row r="26557" spans="1:1" x14ac:dyDescent="0.3">
      <c r="A26557" s="12"/>
    </row>
    <row r="26558" spans="1:1" x14ac:dyDescent="0.3">
      <c r="A26558" s="12"/>
    </row>
    <row r="26559" spans="1:1" x14ac:dyDescent="0.3">
      <c r="A26559" s="12"/>
    </row>
    <row r="26560" spans="1:1" x14ac:dyDescent="0.3">
      <c r="A26560" s="12"/>
    </row>
    <row r="26561" spans="1:1" x14ac:dyDescent="0.3">
      <c r="A26561" s="12"/>
    </row>
    <row r="26562" spans="1:1" x14ac:dyDescent="0.3">
      <c r="A26562" s="12"/>
    </row>
    <row r="26563" spans="1:1" x14ac:dyDescent="0.3">
      <c r="A26563" s="12"/>
    </row>
    <row r="26564" spans="1:1" x14ac:dyDescent="0.3">
      <c r="A26564" s="12"/>
    </row>
    <row r="26565" spans="1:1" x14ac:dyDescent="0.3">
      <c r="A26565" s="12"/>
    </row>
    <row r="26566" spans="1:1" x14ac:dyDescent="0.3">
      <c r="A26566" s="12"/>
    </row>
    <row r="26567" spans="1:1" x14ac:dyDescent="0.3">
      <c r="A26567" s="12"/>
    </row>
    <row r="26568" spans="1:1" x14ac:dyDescent="0.3">
      <c r="A26568" s="12"/>
    </row>
    <row r="26569" spans="1:1" x14ac:dyDescent="0.3">
      <c r="A26569" s="12"/>
    </row>
    <row r="26570" spans="1:1" x14ac:dyDescent="0.3">
      <c r="A26570" s="12"/>
    </row>
    <row r="26571" spans="1:1" x14ac:dyDescent="0.3">
      <c r="A26571" s="12"/>
    </row>
    <row r="26572" spans="1:1" x14ac:dyDescent="0.3">
      <c r="A26572" s="12"/>
    </row>
    <row r="26573" spans="1:1" x14ac:dyDescent="0.3">
      <c r="A26573" s="12"/>
    </row>
    <row r="26574" spans="1:1" x14ac:dyDescent="0.3">
      <c r="A26574" s="12"/>
    </row>
    <row r="26575" spans="1:1" x14ac:dyDescent="0.3">
      <c r="A26575" s="12"/>
    </row>
    <row r="26576" spans="1:1" x14ac:dyDescent="0.3">
      <c r="A26576" s="12"/>
    </row>
    <row r="26577" spans="1:1" x14ac:dyDescent="0.3">
      <c r="A26577" s="12"/>
    </row>
    <row r="26578" spans="1:1" x14ac:dyDescent="0.3">
      <c r="A26578" s="12"/>
    </row>
    <row r="26579" spans="1:1" x14ac:dyDescent="0.3">
      <c r="A26579" s="12"/>
    </row>
    <row r="26580" spans="1:1" x14ac:dyDescent="0.3">
      <c r="A26580" s="12"/>
    </row>
    <row r="26581" spans="1:1" x14ac:dyDescent="0.3">
      <c r="A26581" s="12"/>
    </row>
    <row r="26582" spans="1:1" x14ac:dyDescent="0.3">
      <c r="A26582" s="12"/>
    </row>
    <row r="26583" spans="1:1" x14ac:dyDescent="0.3">
      <c r="A26583" s="12"/>
    </row>
    <row r="26584" spans="1:1" x14ac:dyDescent="0.3">
      <c r="A26584" s="12"/>
    </row>
    <row r="26585" spans="1:1" x14ac:dyDescent="0.3">
      <c r="A26585" s="12"/>
    </row>
    <row r="26586" spans="1:1" x14ac:dyDescent="0.3">
      <c r="A26586" s="12"/>
    </row>
    <row r="26587" spans="1:1" x14ac:dyDescent="0.3">
      <c r="A26587" s="12"/>
    </row>
    <row r="26588" spans="1:1" x14ac:dyDescent="0.3">
      <c r="A26588" s="12"/>
    </row>
    <row r="26589" spans="1:1" x14ac:dyDescent="0.3">
      <c r="A26589" s="12"/>
    </row>
    <row r="26590" spans="1:1" x14ac:dyDescent="0.3">
      <c r="A26590" s="12"/>
    </row>
    <row r="26591" spans="1:1" x14ac:dyDescent="0.3">
      <c r="A26591" s="12"/>
    </row>
    <row r="26592" spans="1:1" x14ac:dyDescent="0.3">
      <c r="A26592" s="12"/>
    </row>
    <row r="26593" spans="1:1" x14ac:dyDescent="0.3">
      <c r="A26593" s="12"/>
    </row>
    <row r="26594" spans="1:1" x14ac:dyDescent="0.3">
      <c r="A26594" s="12"/>
    </row>
    <row r="26595" spans="1:1" x14ac:dyDescent="0.3">
      <c r="A26595" s="12"/>
    </row>
    <row r="26596" spans="1:1" x14ac:dyDescent="0.3">
      <c r="A26596" s="12"/>
    </row>
    <row r="26597" spans="1:1" x14ac:dyDescent="0.3">
      <c r="A26597" s="12"/>
    </row>
    <row r="26598" spans="1:1" x14ac:dyDescent="0.3">
      <c r="A26598" s="12"/>
    </row>
    <row r="26599" spans="1:1" x14ac:dyDescent="0.3">
      <c r="A26599" s="12"/>
    </row>
    <row r="26600" spans="1:1" x14ac:dyDescent="0.3">
      <c r="A26600" s="12"/>
    </row>
    <row r="26601" spans="1:1" x14ac:dyDescent="0.3">
      <c r="A26601" s="12"/>
    </row>
    <row r="26602" spans="1:1" x14ac:dyDescent="0.3">
      <c r="A26602" s="12"/>
    </row>
    <row r="26603" spans="1:1" x14ac:dyDescent="0.3">
      <c r="A26603" s="12"/>
    </row>
    <row r="26604" spans="1:1" x14ac:dyDescent="0.3">
      <c r="A26604" s="12"/>
    </row>
    <row r="26605" spans="1:1" x14ac:dyDescent="0.3">
      <c r="A26605" s="12"/>
    </row>
    <row r="26606" spans="1:1" x14ac:dyDescent="0.3">
      <c r="A26606" s="12"/>
    </row>
    <row r="26607" spans="1:1" x14ac:dyDescent="0.3">
      <c r="A26607" s="12"/>
    </row>
    <row r="26608" spans="1:1" x14ac:dyDescent="0.3">
      <c r="A26608" s="12"/>
    </row>
    <row r="26609" spans="1:1" x14ac:dyDescent="0.3">
      <c r="A26609" s="12"/>
    </row>
    <row r="26610" spans="1:1" x14ac:dyDescent="0.3">
      <c r="A26610" s="12"/>
    </row>
    <row r="26611" spans="1:1" x14ac:dyDescent="0.3">
      <c r="A26611" s="12"/>
    </row>
    <row r="26612" spans="1:1" x14ac:dyDescent="0.3">
      <c r="A26612" s="12"/>
    </row>
    <row r="26613" spans="1:1" x14ac:dyDescent="0.3">
      <c r="A26613" s="12"/>
    </row>
    <row r="26614" spans="1:1" x14ac:dyDescent="0.3">
      <c r="A26614" s="12"/>
    </row>
    <row r="26615" spans="1:1" x14ac:dyDescent="0.3">
      <c r="A26615" s="12"/>
    </row>
    <row r="26616" spans="1:1" x14ac:dyDescent="0.3">
      <c r="A26616" s="12"/>
    </row>
    <row r="26617" spans="1:1" x14ac:dyDescent="0.3">
      <c r="A26617" s="12"/>
    </row>
    <row r="26618" spans="1:1" x14ac:dyDescent="0.3">
      <c r="A26618" s="12"/>
    </row>
    <row r="26619" spans="1:1" x14ac:dyDescent="0.3">
      <c r="A26619" s="12"/>
    </row>
    <row r="26620" spans="1:1" x14ac:dyDescent="0.3">
      <c r="A26620" s="12"/>
    </row>
    <row r="26621" spans="1:1" x14ac:dyDescent="0.3">
      <c r="A26621" s="12"/>
    </row>
    <row r="26622" spans="1:1" x14ac:dyDescent="0.3">
      <c r="A26622" s="12"/>
    </row>
    <row r="26623" spans="1:1" x14ac:dyDescent="0.3">
      <c r="A26623" s="12"/>
    </row>
    <row r="26624" spans="1:1" x14ac:dyDescent="0.3">
      <c r="A26624" s="12"/>
    </row>
    <row r="26625" spans="1:1" x14ac:dyDescent="0.3">
      <c r="A26625" s="12"/>
    </row>
    <row r="26626" spans="1:1" x14ac:dyDescent="0.3">
      <c r="A26626" s="12"/>
    </row>
    <row r="26627" spans="1:1" x14ac:dyDescent="0.3">
      <c r="A26627" s="12"/>
    </row>
    <row r="26628" spans="1:1" x14ac:dyDescent="0.3">
      <c r="A26628" s="12"/>
    </row>
    <row r="26629" spans="1:1" x14ac:dyDescent="0.3">
      <c r="A26629" s="12"/>
    </row>
    <row r="26630" spans="1:1" x14ac:dyDescent="0.3">
      <c r="A26630" s="12"/>
    </row>
    <row r="26631" spans="1:1" x14ac:dyDescent="0.3">
      <c r="A26631" s="12"/>
    </row>
    <row r="26632" spans="1:1" x14ac:dyDescent="0.3">
      <c r="A26632" s="12"/>
    </row>
    <row r="26633" spans="1:1" x14ac:dyDescent="0.3">
      <c r="A26633" s="12"/>
    </row>
    <row r="26634" spans="1:1" x14ac:dyDescent="0.3">
      <c r="A26634" s="12"/>
    </row>
    <row r="26635" spans="1:1" x14ac:dyDescent="0.3">
      <c r="A26635" s="12"/>
    </row>
    <row r="26636" spans="1:1" x14ac:dyDescent="0.3">
      <c r="A26636" s="12"/>
    </row>
    <row r="26637" spans="1:1" x14ac:dyDescent="0.3">
      <c r="A26637" s="12"/>
    </row>
    <row r="26638" spans="1:1" x14ac:dyDescent="0.3">
      <c r="A26638" s="12"/>
    </row>
    <row r="26639" spans="1:1" x14ac:dyDescent="0.3">
      <c r="A26639" s="12"/>
    </row>
    <row r="26640" spans="1:1" x14ac:dyDescent="0.3">
      <c r="A26640" s="12"/>
    </row>
    <row r="26641" spans="1:1" x14ac:dyDescent="0.3">
      <c r="A26641" s="12"/>
    </row>
    <row r="26642" spans="1:1" x14ac:dyDescent="0.3">
      <c r="A26642" s="12"/>
    </row>
    <row r="26643" spans="1:1" x14ac:dyDescent="0.3">
      <c r="A26643" s="12"/>
    </row>
    <row r="26644" spans="1:1" x14ac:dyDescent="0.3">
      <c r="A26644" s="12"/>
    </row>
    <row r="26645" spans="1:1" x14ac:dyDescent="0.3">
      <c r="A26645" s="12"/>
    </row>
    <row r="26646" spans="1:1" x14ac:dyDescent="0.3">
      <c r="A26646" s="12"/>
    </row>
    <row r="26647" spans="1:1" x14ac:dyDescent="0.3">
      <c r="A26647" s="12"/>
    </row>
    <row r="26648" spans="1:1" x14ac:dyDescent="0.3">
      <c r="A26648" s="12"/>
    </row>
    <row r="26649" spans="1:1" x14ac:dyDescent="0.3">
      <c r="A26649" s="12"/>
    </row>
    <row r="26650" spans="1:1" x14ac:dyDescent="0.3">
      <c r="A26650" s="12"/>
    </row>
    <row r="26651" spans="1:1" x14ac:dyDescent="0.3">
      <c r="A26651" s="12"/>
    </row>
    <row r="26652" spans="1:1" x14ac:dyDescent="0.3">
      <c r="A26652" s="12"/>
    </row>
    <row r="26653" spans="1:1" x14ac:dyDescent="0.3">
      <c r="A26653" s="12"/>
    </row>
    <row r="26654" spans="1:1" x14ac:dyDescent="0.3">
      <c r="A26654" s="12"/>
    </row>
    <row r="26655" spans="1:1" x14ac:dyDescent="0.3">
      <c r="A26655" s="12"/>
    </row>
    <row r="26656" spans="1:1" x14ac:dyDescent="0.3">
      <c r="A26656" s="12"/>
    </row>
    <row r="26657" spans="1:1" x14ac:dyDescent="0.3">
      <c r="A26657" s="12"/>
    </row>
    <row r="26658" spans="1:1" x14ac:dyDescent="0.3">
      <c r="A26658" s="12"/>
    </row>
    <row r="26659" spans="1:1" x14ac:dyDescent="0.3">
      <c r="A26659" s="12"/>
    </row>
    <row r="26660" spans="1:1" x14ac:dyDescent="0.3">
      <c r="A26660" s="12"/>
    </row>
    <row r="26661" spans="1:1" x14ac:dyDescent="0.3">
      <c r="A26661" s="12"/>
    </row>
    <row r="26662" spans="1:1" x14ac:dyDescent="0.3">
      <c r="A26662" s="12"/>
    </row>
    <row r="26663" spans="1:1" x14ac:dyDescent="0.3">
      <c r="A26663" s="12"/>
    </row>
    <row r="26664" spans="1:1" x14ac:dyDescent="0.3">
      <c r="A26664" s="12"/>
    </row>
    <row r="26665" spans="1:1" x14ac:dyDescent="0.3">
      <c r="A26665" s="12"/>
    </row>
    <row r="26666" spans="1:1" x14ac:dyDescent="0.3">
      <c r="A26666" s="12"/>
    </row>
    <row r="26667" spans="1:1" x14ac:dyDescent="0.3">
      <c r="A26667" s="12"/>
    </row>
    <row r="26668" spans="1:1" x14ac:dyDescent="0.3">
      <c r="A26668" s="12"/>
    </row>
    <row r="26669" spans="1:1" x14ac:dyDescent="0.3">
      <c r="A26669" s="12"/>
    </row>
    <row r="26670" spans="1:1" x14ac:dyDescent="0.3">
      <c r="A26670" s="12"/>
    </row>
    <row r="26671" spans="1:1" x14ac:dyDescent="0.3">
      <c r="A26671" s="12"/>
    </row>
    <row r="26672" spans="1:1" x14ac:dyDescent="0.3">
      <c r="A26672" s="12"/>
    </row>
    <row r="26673" spans="1:1" x14ac:dyDescent="0.3">
      <c r="A26673" s="12"/>
    </row>
    <row r="26674" spans="1:1" x14ac:dyDescent="0.3">
      <c r="A26674" s="12"/>
    </row>
    <row r="26675" spans="1:1" x14ac:dyDescent="0.3">
      <c r="A26675" s="12"/>
    </row>
    <row r="26676" spans="1:1" x14ac:dyDescent="0.3">
      <c r="A26676" s="12"/>
    </row>
    <row r="26677" spans="1:1" x14ac:dyDescent="0.3">
      <c r="A26677" s="12"/>
    </row>
    <row r="26678" spans="1:1" x14ac:dyDescent="0.3">
      <c r="A26678" s="12"/>
    </row>
    <row r="26679" spans="1:1" x14ac:dyDescent="0.3">
      <c r="A26679" s="12"/>
    </row>
    <row r="26680" spans="1:1" x14ac:dyDescent="0.3">
      <c r="A26680" s="12"/>
    </row>
    <row r="26681" spans="1:1" x14ac:dyDescent="0.3">
      <c r="A26681" s="12"/>
    </row>
    <row r="26682" spans="1:1" x14ac:dyDescent="0.3">
      <c r="A26682" s="12"/>
    </row>
    <row r="26683" spans="1:1" x14ac:dyDescent="0.3">
      <c r="A26683" s="12"/>
    </row>
    <row r="26684" spans="1:1" x14ac:dyDescent="0.3">
      <c r="A26684" s="12"/>
    </row>
    <row r="26685" spans="1:1" x14ac:dyDescent="0.3">
      <c r="A26685" s="12"/>
    </row>
    <row r="26686" spans="1:1" x14ac:dyDescent="0.3">
      <c r="A26686" s="12"/>
    </row>
    <row r="26687" spans="1:1" x14ac:dyDescent="0.3">
      <c r="A26687" s="12"/>
    </row>
    <row r="26688" spans="1:1" x14ac:dyDescent="0.3">
      <c r="A26688" s="12"/>
    </row>
    <row r="26689" spans="1:1" x14ac:dyDescent="0.3">
      <c r="A26689" s="12"/>
    </row>
    <row r="26690" spans="1:1" x14ac:dyDescent="0.3">
      <c r="A26690" s="12"/>
    </row>
    <row r="26691" spans="1:1" x14ac:dyDescent="0.3">
      <c r="A26691" s="12"/>
    </row>
    <row r="26692" spans="1:1" x14ac:dyDescent="0.3">
      <c r="A26692" s="12"/>
    </row>
    <row r="26693" spans="1:1" x14ac:dyDescent="0.3">
      <c r="A26693" s="12"/>
    </row>
    <row r="26694" spans="1:1" x14ac:dyDescent="0.3">
      <c r="A26694" s="12"/>
    </row>
    <row r="26695" spans="1:1" x14ac:dyDescent="0.3">
      <c r="A26695" s="12"/>
    </row>
    <row r="26696" spans="1:1" x14ac:dyDescent="0.3">
      <c r="A26696" s="12"/>
    </row>
    <row r="26697" spans="1:1" x14ac:dyDescent="0.3">
      <c r="A26697" s="12"/>
    </row>
    <row r="26698" spans="1:1" x14ac:dyDescent="0.3">
      <c r="A26698" s="12"/>
    </row>
    <row r="26699" spans="1:1" x14ac:dyDescent="0.3">
      <c r="A26699" s="12"/>
    </row>
    <row r="26700" spans="1:1" x14ac:dyDescent="0.3">
      <c r="A26700" s="12"/>
    </row>
    <row r="26701" spans="1:1" x14ac:dyDescent="0.3">
      <c r="A26701" s="12"/>
    </row>
    <row r="26702" spans="1:1" x14ac:dyDescent="0.3">
      <c r="A26702" s="12"/>
    </row>
    <row r="26703" spans="1:1" x14ac:dyDescent="0.3">
      <c r="A26703" s="12"/>
    </row>
    <row r="26704" spans="1:1" x14ac:dyDescent="0.3">
      <c r="A26704" s="12"/>
    </row>
    <row r="26705" spans="1:1" x14ac:dyDescent="0.3">
      <c r="A26705" s="12"/>
    </row>
    <row r="26706" spans="1:1" x14ac:dyDescent="0.3">
      <c r="A26706" s="12"/>
    </row>
    <row r="26707" spans="1:1" x14ac:dyDescent="0.3">
      <c r="A26707" s="12"/>
    </row>
    <row r="26708" spans="1:1" x14ac:dyDescent="0.3">
      <c r="A26708" s="12"/>
    </row>
    <row r="26709" spans="1:1" x14ac:dyDescent="0.3">
      <c r="A26709" s="12"/>
    </row>
    <row r="26710" spans="1:1" x14ac:dyDescent="0.3">
      <c r="A26710" s="12"/>
    </row>
    <row r="26711" spans="1:1" x14ac:dyDescent="0.3">
      <c r="A26711" s="12"/>
    </row>
    <row r="26712" spans="1:1" x14ac:dyDescent="0.3">
      <c r="A26712" s="12"/>
    </row>
    <row r="26713" spans="1:1" x14ac:dyDescent="0.3">
      <c r="A26713" s="12"/>
    </row>
    <row r="26714" spans="1:1" x14ac:dyDescent="0.3">
      <c r="A26714" s="12"/>
    </row>
    <row r="26715" spans="1:1" x14ac:dyDescent="0.3">
      <c r="A26715" s="12"/>
    </row>
    <row r="26716" spans="1:1" x14ac:dyDescent="0.3">
      <c r="A26716" s="12"/>
    </row>
    <row r="26717" spans="1:1" x14ac:dyDescent="0.3">
      <c r="A26717" s="12"/>
    </row>
    <row r="26718" spans="1:1" x14ac:dyDescent="0.3">
      <c r="A26718" s="12"/>
    </row>
    <row r="26719" spans="1:1" x14ac:dyDescent="0.3">
      <c r="A26719" s="12"/>
    </row>
    <row r="26720" spans="1:1" x14ac:dyDescent="0.3">
      <c r="A26720" s="12"/>
    </row>
    <row r="26721" spans="1:1" x14ac:dyDescent="0.3">
      <c r="A26721" s="12"/>
    </row>
    <row r="26722" spans="1:1" x14ac:dyDescent="0.3">
      <c r="A26722" s="12"/>
    </row>
    <row r="26723" spans="1:1" x14ac:dyDescent="0.3">
      <c r="A26723" s="12"/>
    </row>
    <row r="26724" spans="1:1" x14ac:dyDescent="0.3">
      <c r="A26724" s="12"/>
    </row>
    <row r="26725" spans="1:1" x14ac:dyDescent="0.3">
      <c r="A26725" s="12"/>
    </row>
    <row r="26726" spans="1:1" x14ac:dyDescent="0.3">
      <c r="A26726" s="12"/>
    </row>
    <row r="26727" spans="1:1" x14ac:dyDescent="0.3">
      <c r="A26727" s="12"/>
    </row>
    <row r="26728" spans="1:1" x14ac:dyDescent="0.3">
      <c r="A26728" s="12"/>
    </row>
    <row r="26729" spans="1:1" x14ac:dyDescent="0.3">
      <c r="A26729" s="12"/>
    </row>
    <row r="26730" spans="1:1" x14ac:dyDescent="0.3">
      <c r="A26730" s="12"/>
    </row>
    <row r="26731" spans="1:1" x14ac:dyDescent="0.3">
      <c r="A26731" s="12"/>
    </row>
    <row r="26732" spans="1:1" x14ac:dyDescent="0.3">
      <c r="A26732" s="12"/>
    </row>
    <row r="26733" spans="1:1" x14ac:dyDescent="0.3">
      <c r="A26733" s="12"/>
    </row>
    <row r="26734" spans="1:1" x14ac:dyDescent="0.3">
      <c r="A26734" s="12"/>
    </row>
    <row r="26735" spans="1:1" x14ac:dyDescent="0.3">
      <c r="A26735" s="12"/>
    </row>
    <row r="26736" spans="1:1" x14ac:dyDescent="0.3">
      <c r="A26736" s="12"/>
    </row>
    <row r="26737" spans="1:1" x14ac:dyDescent="0.3">
      <c r="A26737" s="12"/>
    </row>
    <row r="26738" spans="1:1" x14ac:dyDescent="0.3">
      <c r="A26738" s="12"/>
    </row>
    <row r="26739" spans="1:1" x14ac:dyDescent="0.3">
      <c r="A26739" s="12"/>
    </row>
    <row r="26740" spans="1:1" x14ac:dyDescent="0.3">
      <c r="A26740" s="12"/>
    </row>
    <row r="26741" spans="1:1" x14ac:dyDescent="0.3">
      <c r="A26741" s="12"/>
    </row>
    <row r="26742" spans="1:1" x14ac:dyDescent="0.3">
      <c r="A26742" s="12"/>
    </row>
    <row r="26743" spans="1:1" x14ac:dyDescent="0.3">
      <c r="A26743" s="12"/>
    </row>
    <row r="26744" spans="1:1" x14ac:dyDescent="0.3">
      <c r="A26744" s="12"/>
    </row>
    <row r="26745" spans="1:1" x14ac:dyDescent="0.3">
      <c r="A26745" s="12"/>
    </row>
    <row r="26746" spans="1:1" x14ac:dyDescent="0.3">
      <c r="A26746" s="12"/>
    </row>
    <row r="26747" spans="1:1" x14ac:dyDescent="0.3">
      <c r="A26747" s="12"/>
    </row>
    <row r="26748" spans="1:1" x14ac:dyDescent="0.3">
      <c r="A26748" s="12"/>
    </row>
    <row r="26749" spans="1:1" x14ac:dyDescent="0.3">
      <c r="A26749" s="12"/>
    </row>
    <row r="26750" spans="1:1" x14ac:dyDescent="0.3">
      <c r="A26750" s="12"/>
    </row>
    <row r="26751" spans="1:1" x14ac:dyDescent="0.3">
      <c r="A26751" s="12"/>
    </row>
    <row r="26752" spans="1:1" x14ac:dyDescent="0.3">
      <c r="A26752" s="12"/>
    </row>
    <row r="26753" spans="1:1" x14ac:dyDescent="0.3">
      <c r="A26753" s="12"/>
    </row>
    <row r="26754" spans="1:1" x14ac:dyDescent="0.3">
      <c r="A26754" s="12"/>
    </row>
    <row r="26755" spans="1:1" x14ac:dyDescent="0.3">
      <c r="A26755" s="12"/>
    </row>
    <row r="26756" spans="1:1" x14ac:dyDescent="0.3">
      <c r="A26756" s="12"/>
    </row>
    <row r="26757" spans="1:1" x14ac:dyDescent="0.3">
      <c r="A26757" s="12"/>
    </row>
    <row r="26758" spans="1:1" x14ac:dyDescent="0.3">
      <c r="A26758" s="12"/>
    </row>
    <row r="26759" spans="1:1" x14ac:dyDescent="0.3">
      <c r="A26759" s="12"/>
    </row>
    <row r="26760" spans="1:1" x14ac:dyDescent="0.3">
      <c r="A26760" s="12"/>
    </row>
    <row r="26761" spans="1:1" x14ac:dyDescent="0.3">
      <c r="A26761" s="12"/>
    </row>
    <row r="26762" spans="1:1" x14ac:dyDescent="0.3">
      <c r="A26762" s="12"/>
    </row>
    <row r="26763" spans="1:1" x14ac:dyDescent="0.3">
      <c r="A26763" s="12"/>
    </row>
    <row r="26764" spans="1:1" x14ac:dyDescent="0.3">
      <c r="A26764" s="12"/>
    </row>
    <row r="26765" spans="1:1" x14ac:dyDescent="0.3">
      <c r="A26765" s="12"/>
    </row>
    <row r="26766" spans="1:1" x14ac:dyDescent="0.3">
      <c r="A26766" s="12"/>
    </row>
    <row r="26767" spans="1:1" x14ac:dyDescent="0.3">
      <c r="A26767" s="12"/>
    </row>
    <row r="26768" spans="1:1" x14ac:dyDescent="0.3">
      <c r="A26768" s="12"/>
    </row>
    <row r="26769" spans="1:1" x14ac:dyDescent="0.3">
      <c r="A26769" s="12"/>
    </row>
    <row r="26770" spans="1:1" x14ac:dyDescent="0.3">
      <c r="A26770" s="12"/>
    </row>
    <row r="26771" spans="1:1" x14ac:dyDescent="0.3">
      <c r="A26771" s="12"/>
    </row>
    <row r="26772" spans="1:1" x14ac:dyDescent="0.3">
      <c r="A26772" s="12"/>
    </row>
    <row r="26773" spans="1:1" x14ac:dyDescent="0.3">
      <c r="A26773" s="12"/>
    </row>
    <row r="26774" spans="1:1" x14ac:dyDescent="0.3">
      <c r="A26774" s="12"/>
    </row>
    <row r="26775" spans="1:1" x14ac:dyDescent="0.3">
      <c r="A26775" s="12"/>
    </row>
    <row r="26776" spans="1:1" x14ac:dyDescent="0.3">
      <c r="A26776" s="12"/>
    </row>
    <row r="26777" spans="1:1" x14ac:dyDescent="0.3">
      <c r="A26777" s="12"/>
    </row>
    <row r="26778" spans="1:1" x14ac:dyDescent="0.3">
      <c r="A26778" s="12"/>
    </row>
    <row r="26779" spans="1:1" x14ac:dyDescent="0.3">
      <c r="A26779" s="12"/>
    </row>
    <row r="26780" spans="1:1" x14ac:dyDescent="0.3">
      <c r="A26780" s="12"/>
    </row>
    <row r="26781" spans="1:1" x14ac:dyDescent="0.3">
      <c r="A26781" s="12"/>
    </row>
    <row r="26782" spans="1:1" x14ac:dyDescent="0.3">
      <c r="A26782" s="12"/>
    </row>
    <row r="26783" spans="1:1" x14ac:dyDescent="0.3">
      <c r="A26783" s="12"/>
    </row>
    <row r="26784" spans="1:1" x14ac:dyDescent="0.3">
      <c r="A26784" s="12"/>
    </row>
    <row r="26785" spans="1:1" x14ac:dyDescent="0.3">
      <c r="A26785" s="12"/>
    </row>
    <row r="26786" spans="1:1" x14ac:dyDescent="0.3">
      <c r="A26786" s="12"/>
    </row>
    <row r="26787" spans="1:1" x14ac:dyDescent="0.3">
      <c r="A26787" s="12"/>
    </row>
    <row r="26788" spans="1:1" x14ac:dyDescent="0.3">
      <c r="A26788" s="12"/>
    </row>
    <row r="26789" spans="1:1" x14ac:dyDescent="0.3">
      <c r="A26789" s="12"/>
    </row>
    <row r="26790" spans="1:1" x14ac:dyDescent="0.3">
      <c r="A26790" s="12"/>
    </row>
    <row r="26791" spans="1:1" x14ac:dyDescent="0.3">
      <c r="A26791" s="12"/>
    </row>
    <row r="26792" spans="1:1" x14ac:dyDescent="0.3">
      <c r="A26792" s="12"/>
    </row>
    <row r="26793" spans="1:1" x14ac:dyDescent="0.3">
      <c r="A26793" s="12"/>
    </row>
    <row r="26794" spans="1:1" x14ac:dyDescent="0.3">
      <c r="A26794" s="12"/>
    </row>
    <row r="26795" spans="1:1" x14ac:dyDescent="0.3">
      <c r="A26795" s="12"/>
    </row>
    <row r="26796" spans="1:1" x14ac:dyDescent="0.3">
      <c r="A26796" s="12"/>
    </row>
    <row r="26797" spans="1:1" x14ac:dyDescent="0.3">
      <c r="A26797" s="12"/>
    </row>
    <row r="26798" spans="1:1" x14ac:dyDescent="0.3">
      <c r="A26798" s="12"/>
    </row>
    <row r="26799" spans="1:1" x14ac:dyDescent="0.3">
      <c r="A26799" s="12"/>
    </row>
    <row r="26800" spans="1:1" x14ac:dyDescent="0.3">
      <c r="A26800" s="12"/>
    </row>
    <row r="26801" spans="1:1" x14ac:dyDescent="0.3">
      <c r="A26801" s="12"/>
    </row>
    <row r="26802" spans="1:1" x14ac:dyDescent="0.3">
      <c r="A26802" s="12"/>
    </row>
    <row r="26803" spans="1:1" x14ac:dyDescent="0.3">
      <c r="A26803" s="12"/>
    </row>
    <row r="26804" spans="1:1" x14ac:dyDescent="0.3">
      <c r="A26804" s="12"/>
    </row>
    <row r="26805" spans="1:1" x14ac:dyDescent="0.3">
      <c r="A26805" s="12"/>
    </row>
    <row r="26806" spans="1:1" x14ac:dyDescent="0.3">
      <c r="A26806" s="12"/>
    </row>
    <row r="26807" spans="1:1" x14ac:dyDescent="0.3">
      <c r="A26807" s="12"/>
    </row>
    <row r="26808" spans="1:1" x14ac:dyDescent="0.3">
      <c r="A26808" s="12"/>
    </row>
    <row r="26809" spans="1:1" x14ac:dyDescent="0.3">
      <c r="A26809" s="12"/>
    </row>
    <row r="26810" spans="1:1" x14ac:dyDescent="0.3">
      <c r="A26810" s="12"/>
    </row>
    <row r="26811" spans="1:1" x14ac:dyDescent="0.3">
      <c r="A26811" s="12"/>
    </row>
    <row r="26812" spans="1:1" x14ac:dyDescent="0.3">
      <c r="A26812" s="12"/>
    </row>
    <row r="26813" spans="1:1" x14ac:dyDescent="0.3">
      <c r="A26813" s="12"/>
    </row>
    <row r="26814" spans="1:1" x14ac:dyDescent="0.3">
      <c r="A26814" s="12"/>
    </row>
    <row r="26815" spans="1:1" x14ac:dyDescent="0.3">
      <c r="A26815" s="12"/>
    </row>
    <row r="26816" spans="1:1" x14ac:dyDescent="0.3">
      <c r="A26816" s="12"/>
    </row>
    <row r="26817" spans="1:1" x14ac:dyDescent="0.3">
      <c r="A26817" s="12"/>
    </row>
    <row r="26818" spans="1:1" x14ac:dyDescent="0.3">
      <c r="A26818" s="12"/>
    </row>
    <row r="26819" spans="1:1" x14ac:dyDescent="0.3">
      <c r="A26819" s="12"/>
    </row>
    <row r="26820" spans="1:1" x14ac:dyDescent="0.3">
      <c r="A26820" s="12"/>
    </row>
    <row r="26821" spans="1:1" x14ac:dyDescent="0.3">
      <c r="A26821" s="12"/>
    </row>
    <row r="26822" spans="1:1" x14ac:dyDescent="0.3">
      <c r="A26822" s="12"/>
    </row>
    <row r="26823" spans="1:1" x14ac:dyDescent="0.3">
      <c r="A26823" s="12"/>
    </row>
    <row r="26824" spans="1:1" x14ac:dyDescent="0.3">
      <c r="A26824" s="12"/>
    </row>
    <row r="26825" spans="1:1" x14ac:dyDescent="0.3">
      <c r="A26825" s="12"/>
    </row>
    <row r="26826" spans="1:1" x14ac:dyDescent="0.3">
      <c r="A26826" s="12"/>
    </row>
    <row r="26827" spans="1:1" x14ac:dyDescent="0.3">
      <c r="A26827" s="12"/>
    </row>
    <row r="26828" spans="1:1" x14ac:dyDescent="0.3">
      <c r="A26828" s="12"/>
    </row>
    <row r="26829" spans="1:1" x14ac:dyDescent="0.3">
      <c r="A26829" s="12"/>
    </row>
    <row r="26830" spans="1:1" x14ac:dyDescent="0.3">
      <c r="A26830" s="12"/>
    </row>
    <row r="26831" spans="1:1" x14ac:dyDescent="0.3">
      <c r="A26831" s="12"/>
    </row>
    <row r="26832" spans="1:1" x14ac:dyDescent="0.3">
      <c r="A26832" s="12"/>
    </row>
    <row r="26833" spans="1:1" x14ac:dyDescent="0.3">
      <c r="A26833" s="12"/>
    </row>
    <row r="26834" spans="1:1" x14ac:dyDescent="0.3">
      <c r="A26834" s="12"/>
    </row>
    <row r="26835" spans="1:1" x14ac:dyDescent="0.3">
      <c r="A26835" s="12"/>
    </row>
    <row r="26836" spans="1:1" x14ac:dyDescent="0.3">
      <c r="A26836" s="12"/>
    </row>
    <row r="26837" spans="1:1" x14ac:dyDescent="0.3">
      <c r="A26837" s="12"/>
    </row>
    <row r="26838" spans="1:1" x14ac:dyDescent="0.3">
      <c r="A26838" s="12"/>
    </row>
    <row r="26839" spans="1:1" x14ac:dyDescent="0.3">
      <c r="A26839" s="12"/>
    </row>
    <row r="26840" spans="1:1" x14ac:dyDescent="0.3">
      <c r="A26840" s="12"/>
    </row>
    <row r="26841" spans="1:1" x14ac:dyDescent="0.3">
      <c r="A26841" s="12"/>
    </row>
    <row r="26842" spans="1:1" x14ac:dyDescent="0.3">
      <c r="A26842" s="12"/>
    </row>
    <row r="26843" spans="1:1" x14ac:dyDescent="0.3">
      <c r="A26843" s="12"/>
    </row>
    <row r="26844" spans="1:1" x14ac:dyDescent="0.3">
      <c r="A26844" s="12"/>
    </row>
    <row r="26845" spans="1:1" x14ac:dyDescent="0.3">
      <c r="A26845" s="12"/>
    </row>
    <row r="26846" spans="1:1" x14ac:dyDescent="0.3">
      <c r="A26846" s="12"/>
    </row>
    <row r="26847" spans="1:1" x14ac:dyDescent="0.3">
      <c r="A26847" s="12"/>
    </row>
    <row r="26848" spans="1:1" x14ac:dyDescent="0.3">
      <c r="A26848" s="12"/>
    </row>
    <row r="26849" spans="1:1" x14ac:dyDescent="0.3">
      <c r="A26849" s="12"/>
    </row>
    <row r="26850" spans="1:1" x14ac:dyDescent="0.3">
      <c r="A26850" s="12"/>
    </row>
    <row r="26851" spans="1:1" x14ac:dyDescent="0.3">
      <c r="A26851" s="12"/>
    </row>
    <row r="26852" spans="1:1" x14ac:dyDescent="0.3">
      <c r="A26852" s="12"/>
    </row>
    <row r="26853" spans="1:1" x14ac:dyDescent="0.3">
      <c r="A26853" s="12"/>
    </row>
    <row r="26854" spans="1:1" x14ac:dyDescent="0.3">
      <c r="A26854" s="12"/>
    </row>
    <row r="26855" spans="1:1" x14ac:dyDescent="0.3">
      <c r="A26855" s="12"/>
    </row>
    <row r="26856" spans="1:1" x14ac:dyDescent="0.3">
      <c r="A26856" s="12"/>
    </row>
    <row r="26857" spans="1:1" x14ac:dyDescent="0.3">
      <c r="A26857" s="12"/>
    </row>
    <row r="26858" spans="1:1" x14ac:dyDescent="0.3">
      <c r="A26858" s="12"/>
    </row>
    <row r="26859" spans="1:1" x14ac:dyDescent="0.3">
      <c r="A26859" s="12"/>
    </row>
    <row r="26860" spans="1:1" x14ac:dyDescent="0.3">
      <c r="A26860" s="12"/>
    </row>
    <row r="26861" spans="1:1" x14ac:dyDescent="0.3">
      <c r="A26861" s="12"/>
    </row>
    <row r="26862" spans="1:1" x14ac:dyDescent="0.3">
      <c r="A26862" s="12"/>
    </row>
    <row r="26863" spans="1:1" x14ac:dyDescent="0.3">
      <c r="A26863" s="12"/>
    </row>
    <row r="26864" spans="1:1" x14ac:dyDescent="0.3">
      <c r="A26864" s="12"/>
    </row>
    <row r="26865" spans="1:1" x14ac:dyDescent="0.3">
      <c r="A26865" s="12"/>
    </row>
    <row r="26866" spans="1:1" x14ac:dyDescent="0.3">
      <c r="A26866" s="12"/>
    </row>
    <row r="26867" spans="1:1" x14ac:dyDescent="0.3">
      <c r="A26867" s="12"/>
    </row>
    <row r="26868" spans="1:1" x14ac:dyDescent="0.3">
      <c r="A26868" s="12"/>
    </row>
    <row r="26869" spans="1:1" x14ac:dyDescent="0.3">
      <c r="A26869" s="12"/>
    </row>
    <row r="26870" spans="1:1" x14ac:dyDescent="0.3">
      <c r="A26870" s="12"/>
    </row>
    <row r="26871" spans="1:1" x14ac:dyDescent="0.3">
      <c r="A26871" s="12"/>
    </row>
    <row r="26872" spans="1:1" x14ac:dyDescent="0.3">
      <c r="A26872" s="12"/>
    </row>
    <row r="26873" spans="1:1" x14ac:dyDescent="0.3">
      <c r="A26873" s="12"/>
    </row>
    <row r="26874" spans="1:1" x14ac:dyDescent="0.3">
      <c r="A26874" s="12"/>
    </row>
    <row r="26875" spans="1:1" x14ac:dyDescent="0.3">
      <c r="A26875" s="12"/>
    </row>
    <row r="26876" spans="1:1" x14ac:dyDescent="0.3">
      <c r="A26876" s="12"/>
    </row>
    <row r="26877" spans="1:1" x14ac:dyDescent="0.3">
      <c r="A26877" s="12"/>
    </row>
    <row r="26878" spans="1:1" x14ac:dyDescent="0.3">
      <c r="A26878" s="12"/>
    </row>
    <row r="26879" spans="1:1" x14ac:dyDescent="0.3">
      <c r="A26879" s="12"/>
    </row>
    <row r="26880" spans="1:1" x14ac:dyDescent="0.3">
      <c r="A26880" s="12"/>
    </row>
    <row r="26881" spans="1:1" x14ac:dyDescent="0.3">
      <c r="A26881" s="12"/>
    </row>
    <row r="26882" spans="1:1" x14ac:dyDescent="0.3">
      <c r="A26882" s="12"/>
    </row>
    <row r="26883" spans="1:1" x14ac:dyDescent="0.3">
      <c r="A26883" s="12"/>
    </row>
    <row r="26884" spans="1:1" x14ac:dyDescent="0.3">
      <c r="A26884" s="12"/>
    </row>
    <row r="26885" spans="1:1" x14ac:dyDescent="0.3">
      <c r="A26885" s="12"/>
    </row>
    <row r="26886" spans="1:1" x14ac:dyDescent="0.3">
      <c r="A26886" s="12"/>
    </row>
    <row r="26887" spans="1:1" x14ac:dyDescent="0.3">
      <c r="A26887" s="12"/>
    </row>
    <row r="26888" spans="1:1" x14ac:dyDescent="0.3">
      <c r="A26888" s="12"/>
    </row>
    <row r="26889" spans="1:1" x14ac:dyDescent="0.3">
      <c r="A26889" s="12"/>
    </row>
    <row r="26890" spans="1:1" x14ac:dyDescent="0.3">
      <c r="A26890" s="12"/>
    </row>
    <row r="26891" spans="1:1" x14ac:dyDescent="0.3">
      <c r="A26891" s="12"/>
    </row>
    <row r="26892" spans="1:1" x14ac:dyDescent="0.3">
      <c r="A26892" s="12"/>
    </row>
    <row r="26893" spans="1:1" x14ac:dyDescent="0.3">
      <c r="A26893" s="12"/>
    </row>
    <row r="26894" spans="1:1" x14ac:dyDescent="0.3">
      <c r="A26894" s="12"/>
    </row>
    <row r="26895" spans="1:1" x14ac:dyDescent="0.3">
      <c r="A26895" s="12"/>
    </row>
    <row r="26896" spans="1:1" x14ac:dyDescent="0.3">
      <c r="A26896" s="12"/>
    </row>
    <row r="26897" spans="1:1" x14ac:dyDescent="0.3">
      <c r="A26897" s="12"/>
    </row>
    <row r="26898" spans="1:1" x14ac:dyDescent="0.3">
      <c r="A26898" s="12"/>
    </row>
    <row r="26899" spans="1:1" x14ac:dyDescent="0.3">
      <c r="A26899" s="12"/>
    </row>
    <row r="26900" spans="1:1" x14ac:dyDescent="0.3">
      <c r="A26900" s="12"/>
    </row>
    <row r="26901" spans="1:1" x14ac:dyDescent="0.3">
      <c r="A26901" s="12"/>
    </row>
    <row r="26902" spans="1:1" x14ac:dyDescent="0.3">
      <c r="A26902" s="12"/>
    </row>
    <row r="26903" spans="1:1" x14ac:dyDescent="0.3">
      <c r="A26903" s="12"/>
    </row>
    <row r="26904" spans="1:1" x14ac:dyDescent="0.3">
      <c r="A26904" s="12"/>
    </row>
    <row r="26905" spans="1:1" x14ac:dyDescent="0.3">
      <c r="A26905" s="12"/>
    </row>
    <row r="26906" spans="1:1" x14ac:dyDescent="0.3">
      <c r="A26906" s="12"/>
    </row>
    <row r="26907" spans="1:1" x14ac:dyDescent="0.3">
      <c r="A26907" s="12"/>
    </row>
    <row r="26908" spans="1:1" x14ac:dyDescent="0.3">
      <c r="A26908" s="12"/>
    </row>
    <row r="26909" spans="1:1" x14ac:dyDescent="0.3">
      <c r="A26909" s="12"/>
    </row>
    <row r="26910" spans="1:1" x14ac:dyDescent="0.3">
      <c r="A26910" s="12"/>
    </row>
    <row r="26911" spans="1:1" x14ac:dyDescent="0.3">
      <c r="A26911" s="12"/>
    </row>
    <row r="26912" spans="1:1" x14ac:dyDescent="0.3">
      <c r="A26912" s="12"/>
    </row>
    <row r="26913" spans="1:1" x14ac:dyDescent="0.3">
      <c r="A26913" s="12"/>
    </row>
    <row r="26914" spans="1:1" x14ac:dyDescent="0.3">
      <c r="A26914" s="12"/>
    </row>
    <row r="26915" spans="1:1" x14ac:dyDescent="0.3">
      <c r="A26915" s="12"/>
    </row>
    <row r="26916" spans="1:1" x14ac:dyDescent="0.3">
      <c r="A26916" s="12"/>
    </row>
    <row r="26917" spans="1:1" x14ac:dyDescent="0.3">
      <c r="A26917" s="12"/>
    </row>
    <row r="26918" spans="1:1" x14ac:dyDescent="0.3">
      <c r="A26918" s="12"/>
    </row>
    <row r="26919" spans="1:1" x14ac:dyDescent="0.3">
      <c r="A26919" s="12"/>
    </row>
    <row r="26920" spans="1:1" x14ac:dyDescent="0.3">
      <c r="A26920" s="12"/>
    </row>
    <row r="26921" spans="1:1" x14ac:dyDescent="0.3">
      <c r="A26921" s="12"/>
    </row>
    <row r="26922" spans="1:1" x14ac:dyDescent="0.3">
      <c r="A26922" s="12"/>
    </row>
    <row r="26923" spans="1:1" x14ac:dyDescent="0.3">
      <c r="A26923" s="12"/>
    </row>
    <row r="26924" spans="1:1" x14ac:dyDescent="0.3">
      <c r="A26924" s="12"/>
    </row>
    <row r="26925" spans="1:1" x14ac:dyDescent="0.3">
      <c r="A26925" s="12"/>
    </row>
    <row r="26926" spans="1:1" x14ac:dyDescent="0.3">
      <c r="A26926" s="12"/>
    </row>
    <row r="26927" spans="1:1" x14ac:dyDescent="0.3">
      <c r="A26927" s="12"/>
    </row>
    <row r="26928" spans="1:1" x14ac:dyDescent="0.3">
      <c r="A26928" s="12"/>
    </row>
    <row r="26929" spans="1:1" x14ac:dyDescent="0.3">
      <c r="A26929" s="12"/>
    </row>
    <row r="26930" spans="1:1" x14ac:dyDescent="0.3">
      <c r="A26930" s="12"/>
    </row>
    <row r="26931" spans="1:1" x14ac:dyDescent="0.3">
      <c r="A26931" s="12"/>
    </row>
    <row r="26932" spans="1:1" x14ac:dyDescent="0.3">
      <c r="A26932" s="12"/>
    </row>
    <row r="26933" spans="1:1" x14ac:dyDescent="0.3">
      <c r="A26933" s="12"/>
    </row>
    <row r="26934" spans="1:1" x14ac:dyDescent="0.3">
      <c r="A26934" s="12"/>
    </row>
    <row r="26935" spans="1:1" x14ac:dyDescent="0.3">
      <c r="A26935" s="12"/>
    </row>
    <row r="26936" spans="1:1" x14ac:dyDescent="0.3">
      <c r="A26936" s="12"/>
    </row>
    <row r="26937" spans="1:1" x14ac:dyDescent="0.3">
      <c r="A26937" s="12"/>
    </row>
    <row r="26938" spans="1:1" x14ac:dyDescent="0.3">
      <c r="A26938" s="12"/>
    </row>
    <row r="26939" spans="1:1" x14ac:dyDescent="0.3">
      <c r="A26939" s="12"/>
    </row>
    <row r="26940" spans="1:1" x14ac:dyDescent="0.3">
      <c r="A26940" s="12"/>
    </row>
    <row r="26941" spans="1:1" x14ac:dyDescent="0.3">
      <c r="A26941" s="12"/>
    </row>
    <row r="26942" spans="1:1" x14ac:dyDescent="0.3">
      <c r="A26942" s="12"/>
    </row>
    <row r="26943" spans="1:1" x14ac:dyDescent="0.3">
      <c r="A26943" s="12"/>
    </row>
    <row r="26944" spans="1:1" x14ac:dyDescent="0.3">
      <c r="A26944" s="12"/>
    </row>
    <row r="26945" spans="1:1" x14ac:dyDescent="0.3">
      <c r="A26945" s="12"/>
    </row>
    <row r="26946" spans="1:1" x14ac:dyDescent="0.3">
      <c r="A26946" s="12"/>
    </row>
    <row r="26947" spans="1:1" x14ac:dyDescent="0.3">
      <c r="A26947" s="12"/>
    </row>
    <row r="26948" spans="1:1" x14ac:dyDescent="0.3">
      <c r="A26948" s="12"/>
    </row>
    <row r="26949" spans="1:1" x14ac:dyDescent="0.3">
      <c r="A26949" s="12"/>
    </row>
    <row r="26950" spans="1:1" x14ac:dyDescent="0.3">
      <c r="A26950" s="12"/>
    </row>
  </sheetData>
  <mergeCells count="1">
    <mergeCell ref="M1:N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8D86B-4386-4383-9EB4-98EDC6529D8D}">
  <dimension ref="A1:AB116"/>
  <sheetViews>
    <sheetView topLeftCell="N1" workbookViewId="0">
      <selection activeCell="U27" sqref="U27"/>
    </sheetView>
  </sheetViews>
  <sheetFormatPr baseColWidth="10" defaultRowHeight="14.4" x14ac:dyDescent="0.3"/>
  <cols>
    <col min="4" max="4" width="11.21875" bestFit="1" customWidth="1"/>
  </cols>
  <sheetData>
    <row r="1" spans="1:28" x14ac:dyDescent="0.3">
      <c r="A1" s="87" t="s">
        <v>29</v>
      </c>
      <c r="B1" s="87"/>
      <c r="P1" s="87" t="s">
        <v>30</v>
      </c>
      <c r="Q1" s="87"/>
    </row>
    <row r="2" spans="1:28" x14ac:dyDescent="0.3">
      <c r="C2" s="33" t="s">
        <v>0</v>
      </c>
      <c r="D2">
        <v>1</v>
      </c>
      <c r="E2">
        <v>2</v>
      </c>
      <c r="F2">
        <v>3</v>
      </c>
      <c r="G2">
        <v>4</v>
      </c>
      <c r="H2">
        <v>5</v>
      </c>
      <c r="I2">
        <v>6</v>
      </c>
      <c r="J2">
        <v>7</v>
      </c>
      <c r="K2">
        <v>8</v>
      </c>
      <c r="L2">
        <v>9</v>
      </c>
      <c r="M2">
        <v>10</v>
      </c>
      <c r="R2" s="33" t="s">
        <v>0</v>
      </c>
      <c r="S2">
        <v>1</v>
      </c>
      <c r="T2">
        <v>2</v>
      </c>
      <c r="U2">
        <v>3</v>
      </c>
      <c r="V2">
        <v>4</v>
      </c>
      <c r="W2">
        <v>5</v>
      </c>
      <c r="X2">
        <v>6</v>
      </c>
      <c r="Y2">
        <v>7</v>
      </c>
      <c r="Z2">
        <v>8</v>
      </c>
      <c r="AA2">
        <v>9</v>
      </c>
      <c r="AB2">
        <v>10</v>
      </c>
    </row>
    <row r="3" spans="1:28" x14ac:dyDescent="0.3">
      <c r="C3">
        <f>'Outstanding loss reserves'!$O2</f>
        <v>2016</v>
      </c>
      <c r="D3" s="45">
        <f>'Outstanding loss reserves'!B1+'Cum. payments'!B1</f>
        <v>358443.98871132184</v>
      </c>
      <c r="E3" s="45">
        <f>'Outstanding loss reserves'!C1+'Cum. payments'!C1</f>
        <v>568172.75789145648</v>
      </c>
      <c r="F3" s="45">
        <f>'Outstanding loss reserves'!D1+'Cum. payments'!D1</f>
        <v>495557.11397893052</v>
      </c>
      <c r="G3" s="45">
        <f>'Outstanding loss reserves'!E1+'Cum. payments'!E1</f>
        <v>424605.43964453391</v>
      </c>
      <c r="H3" s="45">
        <f>'Outstanding loss reserves'!F1+'Cum. payments'!F1</f>
        <v>462111.50084460207</v>
      </c>
      <c r="I3" s="45">
        <f>'Outstanding loss reserves'!G1+'Cum. payments'!G1</f>
        <v>458321.55443440122</v>
      </c>
      <c r="J3" s="45">
        <f>'Outstanding loss reserves'!H1+'Cum. payments'!H1</f>
        <v>463864.41279871512</v>
      </c>
      <c r="K3" s="45">
        <f>'Outstanding loss reserves'!I1+'Cum. payments'!I1</f>
        <v>463747.4695352515</v>
      </c>
      <c r="L3" s="45">
        <f>'Outstanding loss reserves'!J1+'Cum. payments'!J1</f>
        <v>464665.54254622787</v>
      </c>
      <c r="M3" s="45">
        <f>'Outstanding loss reserves'!K1+'Cum. payments'!K1</f>
        <v>464654.27997726575</v>
      </c>
      <c r="R3">
        <f>$C3</f>
        <v>2016</v>
      </c>
      <c r="S3" s="45">
        <f>'Outstanding loss reserves'!P2+'Cum. payments'!B124</f>
        <v>575612.45245820121</v>
      </c>
      <c r="T3" s="45">
        <f>'Outstanding loss reserves'!Q2+'Cum. payments'!C124</f>
        <v>909527.19792625098</v>
      </c>
      <c r="U3" s="45">
        <f>'Outstanding loss reserves'!R2+'Cum. payments'!D124</f>
        <v>792049.35859412956</v>
      </c>
      <c r="V3" s="45">
        <f>'Outstanding loss reserves'!S2+'Cum. payments'!E124</f>
        <v>680114.93916138797</v>
      </c>
      <c r="W3" s="45">
        <f>'Outstanding loss reserves'!T2+'Cum. payments'!F124</f>
        <v>744670.99476873328</v>
      </c>
      <c r="X3" s="45">
        <f>'Outstanding loss reserves'!U2+'Cum. payments'!G124</f>
        <v>738023.9278007308</v>
      </c>
      <c r="Y3" s="45">
        <f>'Outstanding loss reserves'!V2+'Cum. payments'!H124</f>
        <v>740557.79685499531</v>
      </c>
      <c r="Z3" s="45">
        <f>'Outstanding loss reserves'!W2+'Cum. payments'!I124</f>
        <v>739811.65350409481</v>
      </c>
      <c r="AA3" s="45">
        <f>'Outstanding loss reserves'!X2+'Cum. payments'!J124</f>
        <v>740883.45601281826</v>
      </c>
      <c r="AB3" s="45">
        <f>'Outstanding loss reserves'!Y2+'Cum. payments'!K124</f>
        <v>740866.17861120636</v>
      </c>
    </row>
    <row r="4" spans="1:28" x14ac:dyDescent="0.3">
      <c r="C4">
        <f>'Outstanding loss reserves'!$O3</f>
        <v>2016</v>
      </c>
      <c r="D4" s="45">
        <f>'Outstanding loss reserves'!B2+'Cum. payments'!B2</f>
        <v>1701615.6635950429</v>
      </c>
      <c r="E4" s="45">
        <f>'Outstanding loss reserves'!C2+'Cum. payments'!C2</f>
        <v>1096450.5411286296</v>
      </c>
      <c r="F4" s="45">
        <f>'Outstanding loss reserves'!D2+'Cum. payments'!D2</f>
        <v>1209518.421183995</v>
      </c>
      <c r="G4" s="45">
        <f>'Outstanding loss reserves'!E2+'Cum. payments'!E2</f>
        <v>1112749.2831265302</v>
      </c>
      <c r="H4" s="45">
        <f>'Outstanding loss reserves'!F2+'Cum. payments'!F2</f>
        <v>1075160.2392598374</v>
      </c>
      <c r="I4" s="45">
        <f>'Outstanding loss reserves'!G2+'Cum. payments'!G2</f>
        <v>1075518.3782887207</v>
      </c>
      <c r="J4" s="45">
        <f>'Outstanding loss reserves'!H2+'Cum. payments'!H2</f>
        <v>1073031.224676993</v>
      </c>
      <c r="K4" s="45">
        <f>'Outstanding loss reserves'!I2+'Cum. payments'!I2</f>
        <v>1073810.3614139694</v>
      </c>
      <c r="L4" s="45">
        <f>'Outstanding loss reserves'!J2+'Cum. payments'!J2</f>
        <v>1073828.0348347833</v>
      </c>
      <c r="M4" s="45">
        <f>'Outstanding loss reserves'!K2+'Cum. payments'!K2</f>
        <v>1073830.1852247128</v>
      </c>
      <c r="R4">
        <f t="shared" ref="R4:R67" si="0">$C4</f>
        <v>2016</v>
      </c>
      <c r="S4" s="45">
        <f>'Outstanding loss reserves'!P3+'Cum. payments'!B125</f>
        <v>2732564.0716827968</v>
      </c>
      <c r="T4" s="45">
        <f>'Outstanding loss reserves'!Q3+'Cum. payments'!C125</f>
        <v>1755857.9553949754</v>
      </c>
      <c r="U4" s="45">
        <f>'Outstanding loss reserves'!R3+'Cum. payments'!D125</f>
        <v>1933134.6540046399</v>
      </c>
      <c r="V4" s="45">
        <f>'Outstanding loss reserves'!S3+'Cum. payments'!E125</f>
        <v>1781947.9339920229</v>
      </c>
      <c r="W4" s="45">
        <f>'Outstanding loss reserves'!T3+'Cum. payments'!F125</f>
        <v>1726123.2594930788</v>
      </c>
      <c r="X4" s="45">
        <f>'Outstanding loss reserves'!U3+'Cum. payments'!G125</f>
        <v>1726127.7132014607</v>
      </c>
      <c r="Y4" s="45">
        <f>'Outstanding loss reserves'!V3+'Cum. payments'!H125</f>
        <v>1715957.2839587843</v>
      </c>
      <c r="Z4" s="45">
        <f>'Outstanding loss reserves'!W3+'Cum. payments'!I125</f>
        <v>1716642.9282936915</v>
      </c>
      <c r="AA4" s="45">
        <f>'Outstanding loss reserves'!X3+'Cum. payments'!J125</f>
        <v>1716659.9852237371</v>
      </c>
      <c r="AB4" s="45">
        <f>'Outstanding loss reserves'!Y3+'Cum. payments'!K125</f>
        <v>1716662.6172493265</v>
      </c>
    </row>
    <row r="5" spans="1:28" x14ac:dyDescent="0.3">
      <c r="C5">
        <f>'Outstanding loss reserves'!$O4</f>
        <v>2016</v>
      </c>
      <c r="D5" s="45">
        <f>'Outstanding loss reserves'!B3+'Cum. payments'!B3</f>
        <v>623768.55201593798</v>
      </c>
      <c r="E5" s="45">
        <f>'Outstanding loss reserves'!C3+'Cum. payments'!C3</f>
        <v>626186.00187388784</v>
      </c>
      <c r="F5" s="45">
        <f>'Outstanding loss reserves'!D3+'Cum. payments'!D3</f>
        <v>749980.57520112419</v>
      </c>
      <c r="G5" s="45">
        <f>'Outstanding loss reserves'!E3+'Cum. payments'!E3</f>
        <v>574519.29624796857</v>
      </c>
      <c r="H5" s="45">
        <f>'Outstanding loss reserves'!F3+'Cum. payments'!F3</f>
        <v>580322.96676261234</v>
      </c>
      <c r="I5" s="45">
        <f>'Outstanding loss reserves'!G3+'Cum. payments'!G3</f>
        <v>577371.80094671436</v>
      </c>
      <c r="J5" s="45">
        <f>'Outstanding loss reserves'!H3+'Cum. payments'!H3</f>
        <v>576492.18931500672</v>
      </c>
      <c r="K5" s="45">
        <f>'Outstanding loss reserves'!I3+'Cum. payments'!I3</f>
        <v>576502.88555699482</v>
      </c>
      <c r="L5" s="45">
        <f>'Outstanding loss reserves'!J3+'Cum. payments'!J3</f>
        <v>576291.85160117492</v>
      </c>
      <c r="M5" s="45">
        <f>'Outstanding loss reserves'!K3+'Cum. payments'!K3</f>
        <v>576033.62550174841</v>
      </c>
      <c r="R5">
        <f t="shared" si="0"/>
        <v>2016</v>
      </c>
      <c r="S5" s="45">
        <f>'Outstanding loss reserves'!P4+'Cum. payments'!B126</f>
        <v>1001687.7316956777</v>
      </c>
      <c r="T5" s="45">
        <f>'Outstanding loss reserves'!Q4+'Cum. payments'!C126</f>
        <v>1002392.9460373395</v>
      </c>
      <c r="U5" s="45">
        <f>'Outstanding loss reserves'!R4+'Cum. payments'!D126</f>
        <v>1197725.5357108151</v>
      </c>
      <c r="V5" s="45">
        <f>'Outstanding loss reserves'!S4+'Cum. payments'!E126</f>
        <v>920481.50168592343</v>
      </c>
      <c r="W5" s="45">
        <f>'Outstanding loss reserves'!T4+'Cum. payments'!F126</f>
        <v>930458.39518995013</v>
      </c>
      <c r="X5" s="45">
        <f>'Outstanding loss reserves'!U4+'Cum. payments'!G126</f>
        <v>925397.10859290662</v>
      </c>
      <c r="Y5" s="45">
        <f>'Outstanding loss reserves'!V4+'Cum. payments'!H126</f>
        <v>921436.31766134594</v>
      </c>
      <c r="Z5" s="45">
        <f>'Outstanding loss reserves'!W4+'Cum. payments'!I126</f>
        <v>920711.48728036415</v>
      </c>
      <c r="AA5" s="45">
        <f>'Outstanding loss reserves'!X4+'Cum. payments'!J126</f>
        <v>920180.29073840147</v>
      </c>
      <c r="AB5" s="45">
        <f>'Outstanding loss reserves'!Y4+'Cum. payments'!K126</f>
        <v>919761.49629254802</v>
      </c>
    </row>
    <row r="6" spans="1:28" x14ac:dyDescent="0.3">
      <c r="C6">
        <f>'Outstanding loss reserves'!$O5</f>
        <v>2016</v>
      </c>
      <c r="D6" s="45">
        <f>'Outstanding loss reserves'!B4+'Cum. payments'!B4</f>
        <v>4442330.4047279367</v>
      </c>
      <c r="E6" s="45">
        <f>'Outstanding loss reserves'!C4+'Cum. payments'!C4</f>
        <v>2445420.2258532252</v>
      </c>
      <c r="F6" s="45">
        <f>'Outstanding loss reserves'!D4+'Cum. payments'!D4</f>
        <v>2802675.6521831062</v>
      </c>
      <c r="G6" s="45">
        <f>'Outstanding loss reserves'!E4+'Cum. payments'!E4</f>
        <v>2573425.8785537626</v>
      </c>
      <c r="H6" s="45">
        <f>'Outstanding loss reserves'!F4+'Cum. payments'!F4</f>
        <v>2681924.1547727939</v>
      </c>
      <c r="I6" s="45">
        <f>'Outstanding loss reserves'!G4+'Cum. payments'!G4</f>
        <v>2679385.3556946809</v>
      </c>
      <c r="J6" s="45">
        <f>'Outstanding loss reserves'!H4+'Cum. payments'!H4</f>
        <v>2685936.2041439968</v>
      </c>
      <c r="K6" s="45">
        <f>'Outstanding loss reserves'!I4+'Cum. payments'!I4</f>
        <v>2690580.4535376597</v>
      </c>
      <c r="L6" s="45">
        <f>'Outstanding loss reserves'!J4+'Cum. payments'!J4</f>
        <v>2678040.8971679271</v>
      </c>
      <c r="M6" s="45">
        <f>'Outstanding loss reserves'!K4+'Cum. payments'!K4</f>
        <v>2676383.1874690331</v>
      </c>
      <c r="R6">
        <f t="shared" si="0"/>
        <v>2016</v>
      </c>
      <c r="S6" s="45">
        <f>'Outstanding loss reserves'!P5+'Cum. payments'!B127</f>
        <v>7133780.3936626986</v>
      </c>
      <c r="T6" s="45">
        <f>'Outstanding loss reserves'!Q5+'Cum. payments'!C127</f>
        <v>3914790.1380545581</v>
      </c>
      <c r="U6" s="45">
        <f>'Outstanding loss reserves'!R5+'Cum. payments'!D127</f>
        <v>4478903.7726103561</v>
      </c>
      <c r="V6" s="45">
        <f>'Outstanding loss reserves'!S5+'Cum. payments'!E127</f>
        <v>4115186.3248875588</v>
      </c>
      <c r="W6" s="45">
        <f>'Outstanding loss reserves'!T5+'Cum. payments'!F127</f>
        <v>4295282.1989243627</v>
      </c>
      <c r="X6" s="45">
        <f>'Outstanding loss reserves'!U5+'Cum. payments'!G127</f>
        <v>4288048.5627826527</v>
      </c>
      <c r="Y6" s="45">
        <f>'Outstanding loss reserves'!V5+'Cum. payments'!H127</f>
        <v>4278261.5407704022</v>
      </c>
      <c r="Z6" s="45">
        <f>'Outstanding loss reserves'!W5+'Cum. payments'!I127</f>
        <v>4280181.7792258859</v>
      </c>
      <c r="AA6" s="45">
        <f>'Outstanding loss reserves'!X5+'Cum. payments'!J127</f>
        <v>4259218.486492401</v>
      </c>
      <c r="AB6" s="45">
        <f>'Outstanding loss reserves'!Y5+'Cum. payments'!K127</f>
        <v>4256661.0384554788</v>
      </c>
    </row>
    <row r="7" spans="1:28" x14ac:dyDescent="0.3">
      <c r="C7">
        <f>'Outstanding loss reserves'!$O6</f>
        <v>2016</v>
      </c>
      <c r="D7" s="45">
        <f>'Outstanding loss reserves'!B5+'Cum. payments'!B5</f>
        <v>788232.66052998614</v>
      </c>
      <c r="E7" s="45">
        <f>'Outstanding loss reserves'!C5+'Cum. payments'!C5</f>
        <v>1037552.0821222165</v>
      </c>
      <c r="F7" s="45">
        <f>'Outstanding loss reserves'!D5+'Cum. payments'!D5</f>
        <v>993759.72667324892</v>
      </c>
      <c r="G7" s="45">
        <f>'Outstanding loss reserves'!E5+'Cum. payments'!E5</f>
        <v>966425.36110255471</v>
      </c>
      <c r="H7" s="45">
        <f>'Outstanding loss reserves'!F5+'Cum. payments'!F5</f>
        <v>1035619.7211518582</v>
      </c>
      <c r="I7" s="45">
        <f>'Outstanding loss reserves'!G5+'Cum. payments'!G5</f>
        <v>952103.36679220677</v>
      </c>
      <c r="J7" s="45">
        <f>'Outstanding loss reserves'!H5+'Cum. payments'!H5</f>
        <v>951952.43144588743</v>
      </c>
      <c r="K7" s="45">
        <f>'Outstanding loss reserves'!I5+'Cum. payments'!I5</f>
        <v>952422.50952656427</v>
      </c>
      <c r="L7" s="45">
        <f>'Outstanding loss reserves'!J5+'Cum. payments'!J5</f>
        <v>952205.95958782837</v>
      </c>
      <c r="M7" s="45">
        <f>'Outstanding loss reserves'!K5+'Cum. payments'!K5</f>
        <v>952171.9</v>
      </c>
      <c r="R7">
        <f t="shared" si="0"/>
        <v>2016</v>
      </c>
      <c r="S7" s="45">
        <f>'Outstanding loss reserves'!P6+'Cum. payments'!B128</f>
        <v>1265794.7939551733</v>
      </c>
      <c r="T7" s="45">
        <f>'Outstanding loss reserves'!Q6+'Cum. payments'!C128</f>
        <v>1661056.3325684522</v>
      </c>
      <c r="U7" s="45">
        <f>'Outstanding loss reserves'!R6+'Cum. payments'!D128</f>
        <v>1587254.1412826141</v>
      </c>
      <c r="V7" s="45">
        <f>'Outstanding loss reserves'!S6+'Cum. payments'!E128</f>
        <v>1546704.5869110278</v>
      </c>
      <c r="W7" s="45">
        <f>'Outstanding loss reserves'!T6+'Cum. payments'!F128</f>
        <v>1667887.6426642849</v>
      </c>
      <c r="X7" s="45">
        <f>'Outstanding loss reserves'!U6+'Cum. payments'!G128</f>
        <v>1527445.427156352</v>
      </c>
      <c r="Y7" s="45">
        <f>'Outstanding loss reserves'!V6+'Cum. payments'!H128</f>
        <v>1526120.8967519759</v>
      </c>
      <c r="Z7" s="45">
        <f>'Outstanding loss reserves'!W6+'Cum. payments'!I128</f>
        <v>1526713.1253017168</v>
      </c>
      <c r="AA7" s="45">
        <f>'Outstanding loss reserves'!X6+'Cum. payments'!J128</f>
        <v>1526343.0177105069</v>
      </c>
      <c r="AB7" s="45">
        <f>'Outstanding loss reserves'!Y6+'Cum. payments'!K128</f>
        <v>1526276.5542783281</v>
      </c>
    </row>
    <row r="8" spans="1:28" x14ac:dyDescent="0.3">
      <c r="C8">
        <f>'Outstanding loss reserves'!$O7</f>
        <v>2016</v>
      </c>
      <c r="D8" s="45">
        <f>'Outstanding loss reserves'!B6+'Cum. payments'!B6</f>
        <v>2272061.9134816458</v>
      </c>
      <c r="E8" s="45">
        <f>'Outstanding loss reserves'!C6+'Cum. payments'!C6</f>
        <v>1513025.328379395</v>
      </c>
      <c r="F8" s="45">
        <f>'Outstanding loss reserves'!D6+'Cum. payments'!D6</f>
        <v>1715856.5054581375</v>
      </c>
      <c r="G8" s="45">
        <f>'Outstanding loss reserves'!E6+'Cum. payments'!E6</f>
        <v>1971203.2372057233</v>
      </c>
      <c r="H8" s="45">
        <f>'Outstanding loss reserves'!F6+'Cum. payments'!F6</f>
        <v>1872997.2542120682</v>
      </c>
      <c r="I8" s="45">
        <f>'Outstanding loss reserves'!G6+'Cum. payments'!G6</f>
        <v>1877686.4931166803</v>
      </c>
      <c r="J8" s="45">
        <f>'Outstanding loss reserves'!H6+'Cum. payments'!H6</f>
        <v>1877717.5279869107</v>
      </c>
      <c r="K8" s="45">
        <f>'Outstanding loss reserves'!I6+'Cum. payments'!I6</f>
        <v>1877717.9471560731</v>
      </c>
      <c r="L8" s="45">
        <f>'Outstanding loss reserves'!J6+'Cum. payments'!J6</f>
        <v>1877717.4443599829</v>
      </c>
      <c r="M8" s="45">
        <f>'Outstanding loss reserves'!K6+'Cum. payments'!K6</f>
        <v>1877717.3313465698</v>
      </c>
      <c r="R8">
        <f t="shared" si="0"/>
        <v>2016</v>
      </c>
      <c r="S8" s="45">
        <f>'Outstanding loss reserves'!P7+'Cum. payments'!B129</f>
        <v>3648623.4149383972</v>
      </c>
      <c r="T8" s="45">
        <f>'Outstanding loss reserves'!Q7+'Cum. payments'!C129</f>
        <v>2423182.3207844812</v>
      </c>
      <c r="U8" s="45">
        <f>'Outstanding loss reserves'!R7+'Cum. payments'!D129</f>
        <v>2742465.2076609693</v>
      </c>
      <c r="V8" s="45">
        <f>'Outstanding loss reserves'!S7+'Cum. payments'!E129</f>
        <v>3159232.0998887233</v>
      </c>
      <c r="W8" s="45">
        <f>'Outstanding loss reserves'!T7+'Cum. payments'!F129</f>
        <v>3024290.8488662844</v>
      </c>
      <c r="X8" s="45">
        <f>'Outstanding loss reserves'!U7+'Cum. payments'!G129</f>
        <v>3031606.2664243048</v>
      </c>
      <c r="Y8" s="45">
        <f>'Outstanding loss reserves'!V7+'Cum. payments'!H129</f>
        <v>3031533.4665075741</v>
      </c>
      <c r="Z8" s="45">
        <f>'Outstanding loss reserves'!W7+'Cum. payments'!I129</f>
        <v>3031532.9207578916</v>
      </c>
      <c r="AA8" s="45">
        <f>'Outstanding loss reserves'!X7+'Cum. payments'!J129</f>
        <v>3031531.8341132631</v>
      </c>
      <c r="AB8" s="45">
        <f>'Outstanding loss reserves'!Y7+'Cum. payments'!K129</f>
        <v>3031531.6497195135</v>
      </c>
    </row>
    <row r="9" spans="1:28" x14ac:dyDescent="0.3">
      <c r="C9">
        <f>'Outstanding loss reserves'!$O8</f>
        <v>2016</v>
      </c>
      <c r="D9" s="45">
        <f>'Outstanding loss reserves'!B7+'Cum. payments'!B7</f>
        <v>4576617.3310765615</v>
      </c>
      <c r="E9" s="45">
        <f>'Outstanding loss reserves'!C7+'Cum. payments'!C7</f>
        <v>6517990.7988640387</v>
      </c>
      <c r="F9" s="45">
        <f>'Outstanding loss reserves'!D7+'Cum. payments'!D7</f>
        <v>8236919.1148926429</v>
      </c>
      <c r="G9" s="45">
        <f>'Outstanding loss reserves'!E7+'Cum. payments'!E7</f>
        <v>8063833.9602377405</v>
      </c>
      <c r="H9" s="45">
        <f>'Outstanding loss reserves'!F7+'Cum. payments'!F7</f>
        <v>7994578.9663591124</v>
      </c>
      <c r="I9" s="45">
        <f>'Outstanding loss reserves'!G7+'Cum. payments'!G7</f>
        <v>8005516.6038717311</v>
      </c>
      <c r="J9" s="45">
        <f>'Outstanding loss reserves'!H7+'Cum. payments'!H7</f>
        <v>8051466.4135831334</v>
      </c>
      <c r="K9" s="45">
        <f>'Outstanding loss reserves'!I7+'Cum. payments'!I7</f>
        <v>8052371.2978513911</v>
      </c>
      <c r="L9" s="45">
        <f>'Outstanding loss reserves'!J7+'Cum. payments'!J7</f>
        <v>8051157.9552570945</v>
      </c>
      <c r="M9" s="45">
        <f>'Outstanding loss reserves'!K7+'Cum. payments'!K7</f>
        <v>8051061.2969024926</v>
      </c>
      <c r="R9">
        <f t="shared" si="0"/>
        <v>2016</v>
      </c>
      <c r="S9" s="45">
        <f>'Outstanding loss reserves'!P8+'Cum. payments'!B130</f>
        <v>7349426.9924144438</v>
      </c>
      <c r="T9" s="45">
        <f>'Outstanding loss reserves'!Q8+'Cum. payments'!C130</f>
        <v>10434721.683723982</v>
      </c>
      <c r="U9" s="45">
        <f>'Outstanding loss reserves'!R8+'Cum. payments'!D130</f>
        <v>13170992.556038627</v>
      </c>
      <c r="V9" s="45">
        <f>'Outstanding loss reserves'!S8+'Cum. payments'!E130</f>
        <v>12914896.017598297</v>
      </c>
      <c r="W9" s="45">
        <f>'Outstanding loss reserves'!T8+'Cum. payments'!F130</f>
        <v>12825240.178344384</v>
      </c>
      <c r="X9" s="45">
        <f>'Outstanding loss reserves'!U8+'Cum. payments'!G130</f>
        <v>12831778.003345875</v>
      </c>
      <c r="Y9" s="45">
        <f>'Outstanding loss reserves'!V8+'Cum. payments'!H130</f>
        <v>12825995.266781807</v>
      </c>
      <c r="Z9" s="45">
        <f>'Outstanding loss reserves'!W8+'Cum. payments'!I130</f>
        <v>12826344.732164912</v>
      </c>
      <c r="AA9" s="45">
        <f>'Outstanding loss reserves'!X8+'Cum. payments'!J130</f>
        <v>12824277.657967661</v>
      </c>
      <c r="AB9" s="45">
        <f>'Outstanding loss reserves'!Y8+'Cum. payments'!K130</f>
        <v>12824080.030413605</v>
      </c>
    </row>
    <row r="10" spans="1:28" x14ac:dyDescent="0.3">
      <c r="C10">
        <f>'Outstanding loss reserves'!$O9</f>
        <v>2016</v>
      </c>
      <c r="D10" s="45">
        <f>'Outstanding loss reserves'!B8+'Cum. payments'!B8</f>
        <v>839909.20015466528</v>
      </c>
      <c r="E10" s="45">
        <f>'Outstanding loss reserves'!C8+'Cum. payments'!C8</f>
        <v>745460.56435723964</v>
      </c>
      <c r="F10" s="45">
        <f>'Outstanding loss reserves'!D8+'Cum. payments'!D8</f>
        <v>799703.01921212673</v>
      </c>
      <c r="G10" s="45">
        <f>'Outstanding loss reserves'!E8+'Cum. payments'!E8</f>
        <v>799800.69031062163</v>
      </c>
      <c r="H10" s="45">
        <f>'Outstanding loss reserves'!F8+'Cum. payments'!F8</f>
        <v>799049.50129314489</v>
      </c>
      <c r="I10" s="45">
        <f>'Outstanding loss reserves'!G8+'Cum. payments'!G8</f>
        <v>795876.10660424887</v>
      </c>
      <c r="J10" s="45">
        <f>'Outstanding loss reserves'!H8+'Cum. payments'!H8</f>
        <v>802911.18510526104</v>
      </c>
      <c r="K10" s="45">
        <f>'Outstanding loss reserves'!I8+'Cum. payments'!I8</f>
        <v>807454.48401654791</v>
      </c>
      <c r="L10" s="45">
        <f>'Outstanding loss reserves'!J8+'Cum. payments'!J8</f>
        <v>812714.43994392804</v>
      </c>
      <c r="M10" s="45">
        <f>'Outstanding loss reserves'!K8+'Cum. payments'!K8</f>
        <v>805038.35662989959</v>
      </c>
      <c r="R10">
        <f t="shared" si="0"/>
        <v>2016</v>
      </c>
      <c r="S10" s="45">
        <f>'Outstanding loss reserves'!P9+'Cum. payments'!B131</f>
        <v>1348780.3109249419</v>
      </c>
      <c r="T10" s="45">
        <f>'Outstanding loss reserves'!Q9+'Cum. payments'!C131</f>
        <v>1194290.9875584426</v>
      </c>
      <c r="U10" s="45">
        <f>'Outstanding loss reserves'!R9+'Cum. payments'!D131</f>
        <v>1280370.0881005484</v>
      </c>
      <c r="V10" s="45">
        <f>'Outstanding loss reserves'!S9+'Cum. payments'!E131</f>
        <v>1281447.2739135083</v>
      </c>
      <c r="W10" s="45">
        <f>'Outstanding loss reserves'!T9+'Cum. payments'!F131</f>
        <v>1282910.6496942323</v>
      </c>
      <c r="X10" s="45">
        <f>'Outstanding loss reserves'!U9+'Cum. payments'!G131</f>
        <v>1276706.6955209756</v>
      </c>
      <c r="Y10" s="45">
        <f>'Outstanding loss reserves'!V9+'Cum. payments'!H131</f>
        <v>1279978.6690509191</v>
      </c>
      <c r="Z10" s="45">
        <f>'Outstanding loss reserves'!W9+'Cum. payments'!I131</f>
        <v>1284319.4771797801</v>
      </c>
      <c r="AA10" s="45">
        <f>'Outstanding loss reserves'!X9+'Cum. payments'!J131</f>
        <v>1290564.9487016452</v>
      </c>
      <c r="AB10" s="45">
        <f>'Outstanding loss reserves'!Y9+'Cum. payments'!K131</f>
        <v>1278829.8095996727</v>
      </c>
    </row>
    <row r="11" spans="1:28" x14ac:dyDescent="0.3">
      <c r="C11">
        <f>'Outstanding loss reserves'!$O10</f>
        <v>2016</v>
      </c>
      <c r="D11" s="45">
        <f>'Outstanding loss reserves'!B9+'Cum. payments'!B9</f>
        <v>601586.48263536324</v>
      </c>
      <c r="E11" s="45">
        <f>'Outstanding loss reserves'!C9+'Cum. payments'!C9</f>
        <v>520607.99184808967</v>
      </c>
      <c r="F11" s="45">
        <f>'Outstanding loss reserves'!D9+'Cum. payments'!D9</f>
        <v>585225.80881897511</v>
      </c>
      <c r="G11" s="45">
        <f>'Outstanding loss reserves'!E9+'Cum. payments'!E9</f>
        <v>607480.34969157015</v>
      </c>
      <c r="H11" s="45">
        <f>'Outstanding loss reserves'!F9+'Cum. payments'!F9</f>
        <v>601765.71882781491</v>
      </c>
      <c r="I11" s="45">
        <f>'Outstanding loss reserves'!G9+'Cum. payments'!G9</f>
        <v>601927.84637939173</v>
      </c>
      <c r="J11" s="45">
        <f>'Outstanding loss reserves'!H9+'Cum. payments'!H9</f>
        <v>601860.94873477297</v>
      </c>
      <c r="K11" s="45">
        <f>'Outstanding loss reserves'!I9+'Cum. payments'!I9</f>
        <v>601802.9894356546</v>
      </c>
      <c r="L11" s="45">
        <f>'Outstanding loss reserves'!J9+'Cum. payments'!J9</f>
        <v>601803.10888122395</v>
      </c>
      <c r="M11" s="45">
        <f>'Outstanding loss reserves'!K9+'Cum. payments'!K9</f>
        <v>601803.09770238667</v>
      </c>
      <c r="R11">
        <f t="shared" si="0"/>
        <v>2016</v>
      </c>
      <c r="S11" s="45">
        <f>'Outstanding loss reserves'!P10+'Cum. payments'!B132</f>
        <v>966066.33544167702</v>
      </c>
      <c r="T11" s="45">
        <f>'Outstanding loss reserves'!Q10+'Cum. payments'!C132</f>
        <v>833384.40705598588</v>
      </c>
      <c r="U11" s="45">
        <f>'Outstanding loss reserves'!R10+'Cum. payments'!D132</f>
        <v>935386.06652910542</v>
      </c>
      <c r="V11" s="45">
        <f>'Outstanding loss reserves'!S10+'Cum. payments'!E132</f>
        <v>972923.52538301493</v>
      </c>
      <c r="W11" s="45">
        <f>'Outstanding loss reserves'!T10+'Cum. payments'!F132</f>
        <v>966886.4256390949</v>
      </c>
      <c r="X11" s="45">
        <f>'Outstanding loss reserves'!U10+'Cum. payments'!G132</f>
        <v>967116.50784173748</v>
      </c>
      <c r="Y11" s="45">
        <f>'Outstanding loss reserves'!V10+'Cum. payments'!H132</f>
        <v>966651.37853641191</v>
      </c>
      <c r="Z11" s="45">
        <f>'Outstanding loss reserves'!W10+'Cum. payments'!I132</f>
        <v>966548.79835354304</v>
      </c>
      <c r="AA11" s="45">
        <f>'Outstanding loss reserves'!X10+'Cum. payments'!J132</f>
        <v>966548.52503835922</v>
      </c>
      <c r="AB11" s="45">
        <f>'Outstanding loss reserves'!Y10+'Cum. payments'!K132</f>
        <v>966548.49518426345</v>
      </c>
    </row>
    <row r="12" spans="1:28" x14ac:dyDescent="0.3">
      <c r="C12">
        <f>'Outstanding loss reserves'!$O11</f>
        <v>2016</v>
      </c>
      <c r="D12" s="45">
        <f>'Outstanding loss reserves'!B10+'Cum. payments'!B10</f>
        <v>1594588.8990787696</v>
      </c>
      <c r="E12" s="45">
        <f>'Outstanding loss reserves'!C10+'Cum. payments'!C10</f>
        <v>1913563.1312590858</v>
      </c>
      <c r="F12" s="45">
        <f>'Outstanding loss reserves'!D10+'Cum. payments'!D10</f>
        <v>2359695.0948818866</v>
      </c>
      <c r="G12" s="45">
        <f>'Outstanding loss reserves'!E10+'Cum. payments'!E10</f>
        <v>2230801.7692563706</v>
      </c>
      <c r="H12" s="45">
        <f>'Outstanding loss reserves'!F10+'Cum. payments'!F10</f>
        <v>2285975.2431353782</v>
      </c>
      <c r="I12" s="45">
        <f>'Outstanding loss reserves'!G10+'Cum. payments'!G10</f>
        <v>2300833.819980314</v>
      </c>
      <c r="J12" s="45">
        <f>'Outstanding loss reserves'!H10+'Cum. payments'!H10</f>
        <v>2295108.4756659949</v>
      </c>
      <c r="K12" s="45">
        <f>'Outstanding loss reserves'!I10+'Cum. payments'!I10</f>
        <v>2296210.0290258913</v>
      </c>
      <c r="L12" s="45">
        <f>'Outstanding loss reserves'!J10+'Cum. payments'!J10</f>
        <v>2296306.1810702435</v>
      </c>
      <c r="M12" s="45">
        <f>'Outstanding loss reserves'!K10+'Cum. payments'!K10</f>
        <v>2296317.0772775193</v>
      </c>
      <c r="R12">
        <f t="shared" si="0"/>
        <v>2016</v>
      </c>
      <c r="S12" s="45">
        <f>'Outstanding loss reserves'!P11+'Cum. payments'!B133</f>
        <v>2560693.5972375032</v>
      </c>
      <c r="T12" s="45">
        <f>'Outstanding loss reserves'!Q11+'Cum. payments'!C133</f>
        <v>3066994.3026761916</v>
      </c>
      <c r="U12" s="45">
        <f>'Outstanding loss reserves'!R11+'Cum. payments'!D133</f>
        <v>3774885.8325633416</v>
      </c>
      <c r="V12" s="45">
        <f>'Outstanding loss reserves'!S11+'Cum. payments'!E133</f>
        <v>3575063.3191076382</v>
      </c>
      <c r="W12" s="45">
        <f>'Outstanding loss reserves'!T11+'Cum. payments'!F133</f>
        <v>3682110.5577404136</v>
      </c>
      <c r="X12" s="45">
        <f>'Outstanding loss reserves'!U11+'Cum. payments'!G133</f>
        <v>3704368.8647292601</v>
      </c>
      <c r="Y12" s="45">
        <f>'Outstanding loss reserves'!V11+'Cum. payments'!H133</f>
        <v>3691619.3916970599</v>
      </c>
      <c r="Z12" s="45">
        <f>'Outstanding loss reserves'!W11+'Cum. payments'!I133</f>
        <v>3692787.4586796379</v>
      </c>
      <c r="AA12" s="45">
        <f>'Outstanding loss reserves'!X11+'Cum. payments'!J133</f>
        <v>3692895.9941157862</v>
      </c>
      <c r="AB12" s="45">
        <f>'Outstanding loss reserves'!Y11+'Cum. payments'!K133</f>
        <v>3692910.5232293434</v>
      </c>
    </row>
    <row r="13" spans="1:28" x14ac:dyDescent="0.3">
      <c r="C13">
        <f>'Outstanding loss reserves'!$O12</f>
        <v>2016</v>
      </c>
      <c r="D13" s="45">
        <f>'Outstanding loss reserves'!B11+'Cum. payments'!B11</f>
        <v>2636488.4043896962</v>
      </c>
      <c r="E13" s="45">
        <f>'Outstanding loss reserves'!C11+'Cum. payments'!C11</f>
        <v>2207662.801876484</v>
      </c>
      <c r="F13" s="45">
        <f>'Outstanding loss reserves'!D11+'Cum. payments'!D11</f>
        <v>2202536.681596227</v>
      </c>
      <c r="G13" s="45">
        <f>'Outstanding loss reserves'!E11+'Cum. payments'!E11</f>
        <v>2149716.2358025429</v>
      </c>
      <c r="H13" s="45">
        <f>'Outstanding loss reserves'!F11+'Cum. payments'!F11</f>
        <v>2163069.4443655028</v>
      </c>
      <c r="I13" s="45">
        <f>'Outstanding loss reserves'!G11+'Cum. payments'!G11</f>
        <v>2162904.0170986876</v>
      </c>
      <c r="J13" s="45">
        <f>'Outstanding loss reserves'!H11+'Cum. payments'!H11</f>
        <v>2162153.1145769474</v>
      </c>
      <c r="K13" s="45">
        <f>'Outstanding loss reserves'!I11+'Cum. payments'!I11</f>
        <v>2162152.0532110152</v>
      </c>
      <c r="L13" s="45">
        <f>'Outstanding loss reserves'!J11+'Cum. payments'!J11</f>
        <v>2162167.5808406374</v>
      </c>
      <c r="M13" s="45">
        <f>'Outstanding loss reserves'!K11+'Cum. payments'!K11</f>
        <v>2162167.6926582423</v>
      </c>
      <c r="R13">
        <f t="shared" si="0"/>
        <v>2016</v>
      </c>
      <c r="S13" s="45">
        <f>'Outstanding loss reserves'!P12+'Cum. payments'!B134</f>
        <v>4233842.9548907317</v>
      </c>
      <c r="T13" s="45">
        <f>'Outstanding loss reserves'!Q12+'Cum. payments'!C134</f>
        <v>3534103.1644189213</v>
      </c>
      <c r="U13" s="45">
        <f>'Outstanding loss reserves'!R12+'Cum. payments'!D134</f>
        <v>3518188.4562699981</v>
      </c>
      <c r="V13" s="45">
        <f>'Outstanding loss reserves'!S12+'Cum. payments'!E134</f>
        <v>3435215.2253873092</v>
      </c>
      <c r="W13" s="45">
        <f>'Outstanding loss reserves'!T12+'Cum. payments'!F134</f>
        <v>3460420.0024426631</v>
      </c>
      <c r="X13" s="45">
        <f>'Outstanding loss reserves'!U12+'Cum. payments'!G134</f>
        <v>3459975.0841018916</v>
      </c>
      <c r="Y13" s="45">
        <f>'Outstanding loss reserves'!V12+'Cum. payments'!H134</f>
        <v>3457625.1770334928</v>
      </c>
      <c r="Z13" s="45">
        <f>'Outstanding loss reserves'!W12+'Cum. payments'!I134</f>
        <v>3457616.1732568098</v>
      </c>
      <c r="AA13" s="45">
        <f>'Outstanding loss reserves'!X12+'Cum. payments'!J134</f>
        <v>3457634.3567201467</v>
      </c>
      <c r="AB13" s="45">
        <f>'Outstanding loss reserves'!Y12+'Cum. payments'!K134</f>
        <v>3457634.50361215</v>
      </c>
    </row>
    <row r="14" spans="1:28" x14ac:dyDescent="0.3">
      <c r="C14">
        <f>'Outstanding loss reserves'!$O13</f>
        <v>2016</v>
      </c>
      <c r="D14" s="45">
        <f>'Outstanding loss reserves'!B12+'Cum. payments'!B12</f>
        <v>1069706.8633326776</v>
      </c>
      <c r="E14" s="45">
        <f>'Outstanding loss reserves'!C12+'Cum. payments'!C12</f>
        <v>1222357.97498082</v>
      </c>
      <c r="F14" s="45">
        <f>'Outstanding loss reserves'!D12+'Cum. payments'!D12</f>
        <v>1486969.5397643719</v>
      </c>
      <c r="G14" s="45">
        <f>'Outstanding loss reserves'!E12+'Cum. payments'!E12</f>
        <v>1183685.4141530804</v>
      </c>
      <c r="H14" s="45">
        <f>'Outstanding loss reserves'!F12+'Cum. payments'!F12</f>
        <v>1177789.0701092214</v>
      </c>
      <c r="I14" s="45">
        <f>'Outstanding loss reserves'!G12+'Cum. payments'!G12</f>
        <v>1177321.7920734945</v>
      </c>
      <c r="J14" s="45">
        <f>'Outstanding loss reserves'!H12+'Cum. payments'!H12</f>
        <v>1177322.1566215979</v>
      </c>
      <c r="K14" s="45">
        <f>'Outstanding loss reserves'!I12+'Cum. payments'!I12</f>
        <v>1177322.3499009276</v>
      </c>
      <c r="L14" s="45">
        <f>'Outstanding loss reserves'!J12+'Cum. payments'!J12</f>
        <v>1177322.2922236023</v>
      </c>
      <c r="M14" s="45">
        <f>'Outstanding loss reserves'!K12+'Cum. payments'!K12</f>
        <v>1177322.3165954635</v>
      </c>
      <c r="R14">
        <f t="shared" si="0"/>
        <v>2016</v>
      </c>
      <c r="S14" s="45">
        <f>'Outstanding loss reserves'!P13+'Cum. payments'!B135</f>
        <v>1717804.2048577496</v>
      </c>
      <c r="T14" s="45">
        <f>'Outstanding loss reserves'!Q13+'Cum. payments'!C135</f>
        <v>1956757.3444826244</v>
      </c>
      <c r="U14" s="45">
        <f>'Outstanding loss reserves'!R13+'Cum. payments'!D135</f>
        <v>2375949.7627192512</v>
      </c>
      <c r="V14" s="45">
        <f>'Outstanding loss reserves'!S13+'Cum. payments'!E135</f>
        <v>1896167.7283753504</v>
      </c>
      <c r="W14" s="45">
        <f>'Outstanding loss reserves'!T13+'Cum. payments'!F135</f>
        <v>1887881.7529901399</v>
      </c>
      <c r="X14" s="45">
        <f>'Outstanding loss reserves'!U13+'Cum. payments'!G135</f>
        <v>1887040.4204959059</v>
      </c>
      <c r="Y14" s="45">
        <f>'Outstanding loss reserves'!V13+'Cum. payments'!H135</f>
        <v>1887040.5098147853</v>
      </c>
      <c r="Z14" s="45">
        <f>'Outstanding loss reserves'!W13+'Cum. payments'!I135</f>
        <v>1887040.7012606582</v>
      </c>
      <c r="AA14" s="45">
        <f>'Outstanding loss reserves'!X13+'Cum. payments'!J135</f>
        <v>1887040.5729467857</v>
      </c>
      <c r="AB14" s="45">
        <f>'Outstanding loss reserves'!Y13+'Cum. payments'!K135</f>
        <v>1887040.6005906588</v>
      </c>
    </row>
    <row r="15" spans="1:28" x14ac:dyDescent="0.3">
      <c r="C15">
        <f>'Outstanding loss reserves'!$O14</f>
        <v>2016</v>
      </c>
      <c r="D15" s="45">
        <f>'Outstanding loss reserves'!B13+'Cum. payments'!B13</f>
        <v>478916.01251862478</v>
      </c>
      <c r="E15" s="45">
        <f>'Outstanding loss reserves'!C13+'Cum. payments'!C13</f>
        <v>713639.69799929229</v>
      </c>
      <c r="F15" s="45">
        <f>'Outstanding loss reserves'!D13+'Cum. payments'!D13</f>
        <v>825415.24058428628</v>
      </c>
      <c r="G15" s="45">
        <f>'Outstanding loss reserves'!E13+'Cum. payments'!E13</f>
        <v>831112.19128383254</v>
      </c>
      <c r="H15" s="45">
        <f>'Outstanding loss reserves'!F13+'Cum. payments'!F13</f>
        <v>831274.07913350011</v>
      </c>
      <c r="I15" s="45">
        <f>'Outstanding loss reserves'!G13+'Cum. payments'!G13</f>
        <v>831307.68689056428</v>
      </c>
      <c r="J15" s="45">
        <f>'Outstanding loss reserves'!H13+'Cum. payments'!H13</f>
        <v>831278.77960689797</v>
      </c>
      <c r="K15" s="45">
        <f>'Outstanding loss reserves'!I13+'Cum. payments'!I13</f>
        <v>831283.72786085727</v>
      </c>
      <c r="L15" s="45">
        <f>'Outstanding loss reserves'!J13+'Cum. payments'!J13</f>
        <v>831284.42075508763</v>
      </c>
      <c r="M15" s="45">
        <f>'Outstanding loss reserves'!K13+'Cum. payments'!K13</f>
        <v>831284.8</v>
      </c>
      <c r="R15">
        <f t="shared" si="0"/>
        <v>2016</v>
      </c>
      <c r="S15" s="45">
        <f>'Outstanding loss reserves'!P14+'Cum. payments'!B136</f>
        <v>769074.19058257155</v>
      </c>
      <c r="T15" s="45">
        <f>'Outstanding loss reserves'!Q14+'Cum. payments'!C136</f>
        <v>1142629.3061754468</v>
      </c>
      <c r="U15" s="45">
        <f>'Outstanding loss reserves'!R14+'Cum. payments'!D136</f>
        <v>1318570.0828424043</v>
      </c>
      <c r="V15" s="45">
        <f>'Outstanding loss reserves'!S14+'Cum. payments'!E136</f>
        <v>1327957.5153958066</v>
      </c>
      <c r="W15" s="45">
        <f>'Outstanding loss reserves'!T14+'Cum. payments'!F136</f>
        <v>1328261.8277088553</v>
      </c>
      <c r="X15" s="45">
        <f>'Outstanding loss reserves'!U14+'Cum. payments'!G136</f>
        <v>1328289.5219954068</v>
      </c>
      <c r="Y15" s="45">
        <f>'Outstanding loss reserves'!V14+'Cum. payments'!H136</f>
        <v>1328191.9953660895</v>
      </c>
      <c r="Z15" s="45">
        <f>'Outstanding loss reserves'!W14+'Cum. payments'!I136</f>
        <v>1328196.972105996</v>
      </c>
      <c r="AA15" s="45">
        <f>'Outstanding loss reserves'!X14+'Cum. payments'!J136</f>
        <v>1328196.9797135105</v>
      </c>
      <c r="AB15" s="45">
        <f>'Outstanding loss reserves'!Y14+'Cum. payments'!K136</f>
        <v>1328197.2139352183</v>
      </c>
    </row>
    <row r="16" spans="1:28" x14ac:dyDescent="0.3">
      <c r="C16">
        <f>'Outstanding loss reserves'!$O15</f>
        <v>2016</v>
      </c>
      <c r="D16" s="45">
        <f>'Outstanding loss reserves'!B14+'Cum. payments'!B14</f>
        <v>1843548.3642738832</v>
      </c>
      <c r="E16" s="45">
        <f>'Outstanding loss reserves'!C14+'Cum. payments'!C14</f>
        <v>2290050.0289043216</v>
      </c>
      <c r="F16" s="45">
        <f>'Outstanding loss reserves'!D14+'Cum. payments'!D14</f>
        <v>2686349.9434776325</v>
      </c>
      <c r="G16" s="45">
        <f>'Outstanding loss reserves'!E14+'Cum. payments'!E14</f>
        <v>2844427</v>
      </c>
      <c r="H16" s="45">
        <f>'Outstanding loss reserves'!F14+'Cum. payments'!F14</f>
        <v>2324738.3001301833</v>
      </c>
      <c r="I16" s="45">
        <f>'Outstanding loss reserves'!G14+'Cum. payments'!G14</f>
        <v>2361562.996990019</v>
      </c>
      <c r="J16" s="45">
        <f>'Outstanding loss reserves'!H14+'Cum. payments'!H14</f>
        <v>2359862.3651402215</v>
      </c>
      <c r="K16" s="45">
        <f>'Outstanding loss reserves'!I14+'Cum. payments'!I14</f>
        <v>2359381.8481113408</v>
      </c>
      <c r="L16" s="45">
        <f>'Outstanding loss reserves'!J14+'Cum. payments'!J14</f>
        <v>2357716.952737777</v>
      </c>
      <c r="M16" s="45">
        <f>'Outstanding loss reserves'!K14+'Cum. payments'!K14</f>
        <v>2359488.5375361545</v>
      </c>
      <c r="R16">
        <f t="shared" si="0"/>
        <v>2016</v>
      </c>
      <c r="S16" s="45">
        <f>'Outstanding loss reserves'!P15+'Cum. payments'!B137</f>
        <v>2960488.7474891474</v>
      </c>
      <c r="T16" s="45">
        <f>'Outstanding loss reserves'!Q15+'Cum. payments'!C137</f>
        <v>3672385.7433307674</v>
      </c>
      <c r="U16" s="45">
        <f>'Outstanding loss reserves'!R15+'Cum. payments'!D137</f>
        <v>4301339.1346536428</v>
      </c>
      <c r="V16" s="45">
        <f>'Outstanding loss reserves'!S15+'Cum. payments'!E137</f>
        <v>4562395.4204125982</v>
      </c>
      <c r="W16" s="45">
        <f>'Outstanding loss reserves'!T15+'Cum. payments'!F137</f>
        <v>3745165.1895353282</v>
      </c>
      <c r="X16" s="45">
        <f>'Outstanding loss reserves'!U15+'Cum. payments'!G137</f>
        <v>3798903.9668683372</v>
      </c>
      <c r="Y16" s="45">
        <f>'Outstanding loss reserves'!V15+'Cum. payments'!H137</f>
        <v>3782170.6687195711</v>
      </c>
      <c r="Z16" s="45">
        <f>'Outstanding loss reserves'!W15+'Cum. payments'!I137</f>
        <v>3779015.0076078409</v>
      </c>
      <c r="AA16" s="45">
        <f>'Outstanding loss reserves'!X15+'Cum. payments'!J137</f>
        <v>3776333.9428157625</v>
      </c>
      <c r="AB16" s="45">
        <f>'Outstanding loss reserves'!Y15+'Cum. payments'!K137</f>
        <v>3778771.7111949939</v>
      </c>
    </row>
    <row r="17" spans="3:28" x14ac:dyDescent="0.3">
      <c r="C17">
        <f>'Outstanding loss reserves'!$O16</f>
        <v>2016</v>
      </c>
      <c r="D17" s="45">
        <f>'Outstanding loss reserves'!B15+'Cum. payments'!B15</f>
        <v>2254108.8757973551</v>
      </c>
      <c r="E17" s="45">
        <f>'Outstanding loss reserves'!C15+'Cum. payments'!C15</f>
        <v>1910215.7607274083</v>
      </c>
      <c r="F17" s="45">
        <f>'Outstanding loss reserves'!D15+'Cum. payments'!D15</f>
        <v>2168679.9028114704</v>
      </c>
      <c r="G17" s="45">
        <f>'Outstanding loss reserves'!E15+'Cum. payments'!E15</f>
        <v>2127197.8203706169</v>
      </c>
      <c r="H17" s="45">
        <f>'Outstanding loss reserves'!F15+'Cum. payments'!F15</f>
        <v>2723456.9362115599</v>
      </c>
      <c r="I17" s="45">
        <f>'Outstanding loss reserves'!G15+'Cum. payments'!G15</f>
        <v>2488301.7083591484</v>
      </c>
      <c r="J17" s="45">
        <f>'Outstanding loss reserves'!H15+'Cum. payments'!H15</f>
        <v>2390327.0100163324</v>
      </c>
      <c r="K17" s="45">
        <f>'Outstanding loss reserves'!I15+'Cum. payments'!I15</f>
        <v>2372091.4319350375</v>
      </c>
      <c r="L17" s="45">
        <f>'Outstanding loss reserves'!J15+'Cum. payments'!J15</f>
        <v>2508196.4656809308</v>
      </c>
      <c r="M17" s="45">
        <f>'Outstanding loss reserves'!K15+'Cum. payments'!K15</f>
        <v>2498527.8964344333</v>
      </c>
      <c r="R17">
        <f t="shared" si="0"/>
        <v>2016</v>
      </c>
      <c r="S17" s="45">
        <f>'Outstanding loss reserves'!P16+'Cum. payments'!B138</f>
        <v>3619793.2702687052</v>
      </c>
      <c r="T17" s="45">
        <f>'Outstanding loss reserves'!Q16+'Cum. payments'!C138</f>
        <v>3059917.8840752998</v>
      </c>
      <c r="U17" s="45">
        <f>'Outstanding loss reserves'!R16+'Cum. payments'!D138</f>
        <v>3468493.2372203339</v>
      </c>
      <c r="V17" s="45">
        <f>'Outstanding loss reserves'!S16+'Cum. payments'!E138</f>
        <v>3409370.6416846784</v>
      </c>
      <c r="W17" s="45">
        <f>'Outstanding loss reserves'!T16+'Cum. payments'!F138</f>
        <v>4395391.4615959115</v>
      </c>
      <c r="X17" s="45">
        <f>'Outstanding loss reserves'!U16+'Cum. payments'!G138</f>
        <v>4000176.1406406509</v>
      </c>
      <c r="Y17" s="45">
        <f>'Outstanding loss reserves'!V16+'Cum. payments'!H138</f>
        <v>3704185.3495464353</v>
      </c>
      <c r="Z17" s="45">
        <f>'Outstanding loss reserves'!W16+'Cum. payments'!I138</f>
        <v>3642551.405535724</v>
      </c>
      <c r="AA17" s="45">
        <f>'Outstanding loss reserves'!X16+'Cum. payments'!J138</f>
        <v>3822225.1781560075</v>
      </c>
      <c r="AB17" s="45">
        <f>'Outstanding loss reserves'!Y16+'Cum. payments'!K138</f>
        <v>3807225.1692698291</v>
      </c>
    </row>
    <row r="18" spans="3:28" x14ac:dyDescent="0.3">
      <c r="C18">
        <f>'Outstanding loss reserves'!$O17</f>
        <v>2017</v>
      </c>
      <c r="D18" s="45">
        <f>'Outstanding loss reserves'!B16+'Cum. payments'!B16</f>
        <v>3357795.198448176</v>
      </c>
      <c r="E18" s="45">
        <f>'Outstanding loss reserves'!C16+'Cum. payments'!C16</f>
        <v>2875793.5672925357</v>
      </c>
      <c r="F18" s="45">
        <f>'Outstanding loss reserves'!D16+'Cum. payments'!D16</f>
        <v>3029978.0572093576</v>
      </c>
      <c r="G18" s="45">
        <f>'Outstanding loss reserves'!E16+'Cum. payments'!E16</f>
        <v>2931541.7393992161</v>
      </c>
      <c r="H18" s="45">
        <f>'Outstanding loss reserves'!F16+'Cum. payments'!F16</f>
        <v>2890464.4005325004</v>
      </c>
      <c r="I18" s="45">
        <f>'Outstanding loss reserves'!G16+'Cum. payments'!G16</f>
        <v>2962858.5674117864</v>
      </c>
      <c r="J18" s="45">
        <f>'Outstanding loss reserves'!H16+'Cum. payments'!H16</f>
        <v>2963593.1132928659</v>
      </c>
      <c r="K18" s="45">
        <f>'Outstanding loss reserves'!I16+'Cum. payments'!I16</f>
        <v>2963294.3996704048</v>
      </c>
      <c r="L18" s="45">
        <f>'Outstanding loss reserves'!J16+'Cum. payments'!J16</f>
        <v>2963213.5245848601</v>
      </c>
      <c r="R18">
        <f t="shared" si="0"/>
        <v>2017</v>
      </c>
      <c r="S18" s="45">
        <f>'Outstanding loss reserves'!P17+'Cum. payments'!B139</f>
        <v>5203392.148422976</v>
      </c>
      <c r="T18" s="45">
        <f>'Outstanding loss reserves'!Q17+'Cum. payments'!C139</f>
        <v>4447840.7296354836</v>
      </c>
      <c r="U18" s="45">
        <f>'Outstanding loss reserves'!R17+'Cum. payments'!D139</f>
        <v>4699246.5035641734</v>
      </c>
      <c r="V18" s="45">
        <f>'Outstanding loss reserves'!S17+'Cum. payments'!E139</f>
        <v>4562017.0046321144</v>
      </c>
      <c r="W18" s="45">
        <f>'Outstanding loss reserves'!T17+'Cum. payments'!F139</f>
        <v>4491570.2701692423</v>
      </c>
      <c r="X18" s="45">
        <f>'Outstanding loss reserves'!U17+'Cum. payments'!G139</f>
        <v>4554489.6701463349</v>
      </c>
      <c r="Y18" s="45">
        <f>'Outstanding loss reserves'!V17+'Cum. payments'!H139</f>
        <v>4555388.9595937487</v>
      </c>
      <c r="Z18" s="45">
        <f>'Outstanding loss reserves'!W17+'Cum. payments'!I139</f>
        <v>4554901.2310518101</v>
      </c>
      <c r="AA18" s="45">
        <f>'Outstanding loss reserves'!X17+'Cum. payments'!J139</f>
        <v>4554760.2497885451</v>
      </c>
    </row>
    <row r="19" spans="3:28" x14ac:dyDescent="0.3">
      <c r="C19">
        <f>'Outstanding loss reserves'!$O18</f>
        <v>2017</v>
      </c>
      <c r="D19" s="45">
        <f>'Outstanding loss reserves'!B17+'Cum. payments'!B17</f>
        <v>2240604.891679802</v>
      </c>
      <c r="E19" s="45">
        <f>'Outstanding loss reserves'!C17+'Cum. payments'!C17</f>
        <v>1260496.8281485948</v>
      </c>
      <c r="F19" s="45">
        <f>'Outstanding loss reserves'!D17+'Cum. payments'!D17</f>
        <v>1563166.6900110065</v>
      </c>
      <c r="G19" s="45">
        <f>'Outstanding loss reserves'!E17+'Cum. payments'!E17</f>
        <v>1379839.0155100974</v>
      </c>
      <c r="H19" s="45">
        <f>'Outstanding loss reserves'!F17+'Cum. payments'!F17</f>
        <v>1382359.0806024871</v>
      </c>
      <c r="I19" s="45">
        <f>'Outstanding loss reserves'!G17+'Cum. payments'!G17</f>
        <v>1367952.6656670165</v>
      </c>
      <c r="J19" s="45">
        <f>'Outstanding loss reserves'!H17+'Cum. payments'!H17</f>
        <v>1380429.4435004508</v>
      </c>
      <c r="K19" s="45">
        <f>'Outstanding loss reserves'!I17+'Cum. payments'!I17</f>
        <v>1364332.4097421924</v>
      </c>
      <c r="L19" s="45">
        <f>'Outstanding loss reserves'!J17+'Cum. payments'!J17</f>
        <v>1372647.2422328731</v>
      </c>
      <c r="R19">
        <f t="shared" si="0"/>
        <v>2017</v>
      </c>
      <c r="S19" s="45">
        <f>'Outstanding loss reserves'!P18+'Cum. payments'!B140</f>
        <v>3472143.2404432977</v>
      </c>
      <c r="T19" s="45">
        <f>'Outstanding loss reserves'!Q18+'Cum. payments'!C140</f>
        <v>1949690.9370552276</v>
      </c>
      <c r="U19" s="45">
        <f>'Outstanding loss reserves'!R18+'Cum. payments'!D140</f>
        <v>2424250.6844135746</v>
      </c>
      <c r="V19" s="45">
        <f>'Outstanding loss reserves'!S18+'Cum. payments'!E140</f>
        <v>2156709.6996040354</v>
      </c>
      <c r="W19" s="45">
        <f>'Outstanding loss reserves'!T18+'Cum. payments'!F140</f>
        <v>2159021.2505650679</v>
      </c>
      <c r="X19" s="45">
        <f>'Outstanding loss reserves'!U18+'Cum. payments'!G140</f>
        <v>2119925.2035879735</v>
      </c>
      <c r="Y19" s="45">
        <f>'Outstanding loss reserves'!V18+'Cum. payments'!H140</f>
        <v>2133255.8133411473</v>
      </c>
      <c r="Z19" s="45">
        <f>'Outstanding loss reserves'!W18+'Cum. payments'!I140</f>
        <v>2108064.4512475119</v>
      </c>
      <c r="AA19" s="45">
        <f>'Outstanding loss reserves'!X18+'Cum. payments'!J140</f>
        <v>2118591.0909190089</v>
      </c>
    </row>
    <row r="20" spans="3:28" x14ac:dyDescent="0.3">
      <c r="C20">
        <f>'Outstanding loss reserves'!$O19</f>
        <v>2017</v>
      </c>
      <c r="D20" s="45">
        <f>'Outstanding loss reserves'!B18+'Cum. payments'!B18</f>
        <v>1906320.5955634883</v>
      </c>
      <c r="E20" s="45">
        <f>'Outstanding loss reserves'!C18+'Cum. payments'!C18</f>
        <v>2121967.3694722499</v>
      </c>
      <c r="F20" s="45">
        <f>'Outstanding loss reserves'!D18+'Cum. payments'!D18</f>
        <v>2133262.8948576506</v>
      </c>
      <c r="G20" s="45">
        <f>'Outstanding loss reserves'!E18+'Cum. payments'!E18</f>
        <v>2003038.9303592076</v>
      </c>
      <c r="H20" s="45">
        <f>'Outstanding loss reserves'!F18+'Cum. payments'!F18</f>
        <v>2183310.9262254182</v>
      </c>
      <c r="I20" s="45">
        <f>'Outstanding loss reserves'!G18+'Cum. payments'!G18</f>
        <v>2085872.9784195202</v>
      </c>
      <c r="J20" s="45">
        <f>'Outstanding loss reserves'!H18+'Cum. payments'!H18</f>
        <v>2116538.1088574384</v>
      </c>
      <c r="K20" s="45">
        <f>'Outstanding loss reserves'!I18+'Cum. payments'!I18</f>
        <v>2086270.072138929</v>
      </c>
      <c r="L20" s="45">
        <f>'Outstanding loss reserves'!J18+'Cum. payments'!J18</f>
        <v>2093084.7442627857</v>
      </c>
      <c r="R20">
        <f t="shared" si="0"/>
        <v>2017</v>
      </c>
      <c r="S20" s="45">
        <f>'Outstanding loss reserves'!P19+'Cum. payments'!B141</f>
        <v>2954121.0922918534</v>
      </c>
      <c r="T20" s="45">
        <f>'Outstanding loss reserves'!Q19+'Cum. payments'!C141</f>
        <v>3280641.6895101597</v>
      </c>
      <c r="U20" s="45">
        <f>'Outstanding loss reserves'!R19+'Cum. payments'!D141</f>
        <v>3305010.5059686364</v>
      </c>
      <c r="V20" s="45">
        <f>'Outstanding loss reserves'!S19+'Cum. payments'!E141</f>
        <v>3114595.6261554048</v>
      </c>
      <c r="W20" s="45">
        <f>'Outstanding loss reserves'!T19+'Cum. payments'!F141</f>
        <v>3389154.6476252633</v>
      </c>
      <c r="X20" s="45">
        <f>'Outstanding loss reserves'!U19+'Cum. payments'!G141</f>
        <v>3157887.5143518136</v>
      </c>
      <c r="Y20" s="45">
        <f>'Outstanding loss reserves'!V19+'Cum. payments'!H141</f>
        <v>3189960.9233727013</v>
      </c>
      <c r="Z20" s="45">
        <f>'Outstanding loss reserves'!W19+'Cum. payments'!I141</f>
        <v>3140606.9210096924</v>
      </c>
      <c r="AA20" s="45">
        <f>'Outstanding loss reserves'!X19+'Cum. payments'!J141</f>
        <v>3147983.3311646944</v>
      </c>
    </row>
    <row r="21" spans="3:28" x14ac:dyDescent="0.3">
      <c r="C21">
        <f>'Outstanding loss reserves'!$O20</f>
        <v>2017</v>
      </c>
      <c r="D21" s="45">
        <f>'Outstanding loss reserves'!B19+'Cum. payments'!B19</f>
        <v>2007517.8764395609</v>
      </c>
      <c r="E21" s="45">
        <f>'Outstanding loss reserves'!C19+'Cum. payments'!C19</f>
        <v>1436601.3654771782</v>
      </c>
      <c r="F21" s="45">
        <f>'Outstanding loss reserves'!D19+'Cum. payments'!D19</f>
        <v>892493.76793939713</v>
      </c>
      <c r="G21" s="45">
        <f>'Outstanding loss reserves'!E19+'Cum. payments'!E19</f>
        <v>1225587.7438334962</v>
      </c>
      <c r="H21" s="45">
        <f>'Outstanding loss reserves'!F19+'Cum. payments'!F19</f>
        <v>1259934.011003531</v>
      </c>
      <c r="I21" s="45">
        <f>'Outstanding loss reserves'!G19+'Cum. payments'!G19</f>
        <v>1259934.0042042423</v>
      </c>
      <c r="J21" s="45">
        <f>'Outstanding loss reserves'!H19+'Cum. payments'!H19</f>
        <v>1259933.9999819486</v>
      </c>
      <c r="K21" s="45">
        <f>'Outstanding loss reserves'!I19+'Cum. payments'!I19</f>
        <v>1259934.0000048154</v>
      </c>
      <c r="L21" s="45">
        <f>'Outstanding loss reserves'!J19+'Cum. payments'!J19</f>
        <v>1259933.9999995872</v>
      </c>
      <c r="R21">
        <f t="shared" si="0"/>
        <v>2017</v>
      </c>
      <c r="S21" s="45">
        <f>'Outstanding loss reserves'!P20+'Cum. payments'!B142</f>
        <v>3110941.0010807123</v>
      </c>
      <c r="T21" s="45">
        <f>'Outstanding loss reserves'!Q20+'Cum. payments'!C142</f>
        <v>2220941.5548027237</v>
      </c>
      <c r="U21" s="45">
        <f>'Outstanding loss reserves'!R20+'Cum. payments'!D142</f>
        <v>1383479.7310885845</v>
      </c>
      <c r="V21" s="45">
        <f>'Outstanding loss reserves'!S20+'Cum. payments'!E142</f>
        <v>1911896.1208925638</v>
      </c>
      <c r="W21" s="45">
        <f>'Outstanding loss reserves'!T20+'Cum. payments'!F142</f>
        <v>1960747.1198002892</v>
      </c>
      <c r="X21" s="45">
        <f>'Outstanding loss reserves'!U20+'Cum. payments'!G142</f>
        <v>1960747.0870069421</v>
      </c>
      <c r="Y21" s="45">
        <f>'Outstanding loss reserves'!V20+'Cum. payments'!H142</f>
        <v>1960747.078357711</v>
      </c>
      <c r="Z21" s="45">
        <f>'Outstanding loss reserves'!W20+'Cum. payments'!I142</f>
        <v>1960747.0783812099</v>
      </c>
      <c r="AA21" s="45">
        <f>'Outstanding loss reserves'!X20+'Cum. payments'!J142</f>
        <v>1960747.0783730501</v>
      </c>
    </row>
    <row r="22" spans="3:28" x14ac:dyDescent="0.3">
      <c r="C22">
        <f>'Outstanding loss reserves'!$O21</f>
        <v>2017</v>
      </c>
      <c r="D22" s="45">
        <f>'Outstanding loss reserves'!B20+'Cum. payments'!B20</f>
        <v>1641398.5031115953</v>
      </c>
      <c r="E22" s="45">
        <f>'Outstanding loss reserves'!C20+'Cum. payments'!C20</f>
        <v>2308884.0840973053</v>
      </c>
      <c r="F22" s="45">
        <f>'Outstanding loss reserves'!D20+'Cum. payments'!D20</f>
        <v>2535584.3989521926</v>
      </c>
      <c r="G22" s="45">
        <f>'Outstanding loss reserves'!E20+'Cum. payments'!E20</f>
        <v>2628331.0146585833</v>
      </c>
      <c r="H22" s="45">
        <f>'Outstanding loss reserves'!F20+'Cum. payments'!F20</f>
        <v>2646023.7944474393</v>
      </c>
      <c r="I22" s="45">
        <f>'Outstanding loss reserves'!G20+'Cum. payments'!G20</f>
        <v>2643617.5446619024</v>
      </c>
      <c r="J22" s="45">
        <f>'Outstanding loss reserves'!H20+'Cum. payments'!H20</f>
        <v>2644431.5047857836</v>
      </c>
      <c r="K22" s="45">
        <f>'Outstanding loss reserves'!I20+'Cum. payments'!I20</f>
        <v>2643219.7564694053</v>
      </c>
      <c r="L22" s="45">
        <f>'Outstanding loss reserves'!J20+'Cum. payments'!J20</f>
        <v>2644390.4476453373</v>
      </c>
      <c r="R22">
        <f t="shared" si="0"/>
        <v>2017</v>
      </c>
      <c r="S22" s="45">
        <f>'Outstanding loss reserves'!P21+'Cum. payments'!B143</f>
        <v>2543585.7694570827</v>
      </c>
      <c r="T22" s="45">
        <f>'Outstanding loss reserves'!Q21+'Cum. payments'!C143</f>
        <v>3569624.0675953315</v>
      </c>
      <c r="U22" s="45">
        <f>'Outstanding loss reserves'!R21+'Cum. payments'!D143</f>
        <v>3925297.1807503095</v>
      </c>
      <c r="V22" s="45">
        <f>'Outstanding loss reserves'!S21+'Cum. payments'!E143</f>
        <v>4084692.1976764998</v>
      </c>
      <c r="W22" s="45">
        <f>'Outstanding loss reserves'!T21+'Cum. payments'!F143</f>
        <v>4111325.6791235469</v>
      </c>
      <c r="X22" s="45">
        <f>'Outstanding loss reserves'!U21+'Cum. payments'!G143</f>
        <v>4102037.7711516437</v>
      </c>
      <c r="Y22" s="45">
        <f>'Outstanding loss reserves'!V21+'Cum. payments'!H143</f>
        <v>4101583.5006314749</v>
      </c>
      <c r="Z22" s="45">
        <f>'Outstanding loss reserves'!W21+'Cum. payments'!I143</f>
        <v>4099353.1421023337</v>
      </c>
      <c r="AA22" s="45">
        <f>'Outstanding loss reserves'!X21+'Cum. payments'!J143</f>
        <v>4100753.9297875995</v>
      </c>
    </row>
    <row r="23" spans="3:28" x14ac:dyDescent="0.3">
      <c r="C23">
        <f>'Outstanding loss reserves'!$O22</f>
        <v>2017</v>
      </c>
      <c r="D23" s="45">
        <f>'Outstanding loss reserves'!B21+'Cum. payments'!B21</f>
        <v>985976.74419370713</v>
      </c>
      <c r="E23" s="45">
        <f>'Outstanding loss reserves'!C21+'Cum. payments'!C21</f>
        <v>966806.04644408205</v>
      </c>
      <c r="F23" s="45">
        <f>'Outstanding loss reserves'!D21+'Cum. payments'!D21</f>
        <v>957374.03327560704</v>
      </c>
      <c r="G23" s="45">
        <f>'Outstanding loss reserves'!E21+'Cum. payments'!E21</f>
        <v>1070742.6212052535</v>
      </c>
      <c r="H23" s="45">
        <f>'Outstanding loss reserves'!F21+'Cum. payments'!F21</f>
        <v>1067850.7099047001</v>
      </c>
      <c r="I23" s="45">
        <f>'Outstanding loss reserves'!G21+'Cum. payments'!G21</f>
        <v>1067453.0231754954</v>
      </c>
      <c r="J23" s="45">
        <f>'Outstanding loss reserves'!H21+'Cum. payments'!H21</f>
        <v>1068080.8659994032</v>
      </c>
      <c r="K23" s="45">
        <f>'Outstanding loss reserves'!I21+'Cum. payments'!I21</f>
        <v>1067889.281362057</v>
      </c>
      <c r="L23" s="45">
        <f>'Outstanding loss reserves'!J21+'Cum. payments'!J21</f>
        <v>1067758.8</v>
      </c>
      <c r="R23">
        <f t="shared" si="0"/>
        <v>2017</v>
      </c>
      <c r="S23" s="45">
        <f>'Outstanding loss reserves'!P22+'Cum. payments'!B144</f>
        <v>1527914.4039625286</v>
      </c>
      <c r="T23" s="45">
        <f>'Outstanding loss reserves'!Q22+'Cum. payments'!C144</f>
        <v>1495286.886468648</v>
      </c>
      <c r="U23" s="45">
        <f>'Outstanding loss reserves'!R22+'Cum. payments'!D144</f>
        <v>1484519.4019812248</v>
      </c>
      <c r="V23" s="45">
        <f>'Outstanding loss reserves'!S22+'Cum. payments'!E144</f>
        <v>1669537.0033176767</v>
      </c>
      <c r="W23" s="45">
        <f>'Outstanding loss reserves'!T22+'Cum. payments'!F144</f>
        <v>1660390.5280471023</v>
      </c>
      <c r="X23" s="45">
        <f>'Outstanding loss reserves'!U22+'Cum. payments'!G144</f>
        <v>1659005.2846404545</v>
      </c>
      <c r="Y23" s="45">
        <f>'Outstanding loss reserves'!V22+'Cum. payments'!H144</f>
        <v>1659678.2315805538</v>
      </c>
      <c r="Z23" s="45">
        <f>'Outstanding loss reserves'!W22+'Cum. payments'!I144</f>
        <v>1659350.9232021885</v>
      </c>
      <c r="AA23" s="45">
        <f>'Outstanding loss reserves'!X22+'Cum. payments'!J144</f>
        <v>1659147.7848088506</v>
      </c>
    </row>
    <row r="24" spans="3:28" x14ac:dyDescent="0.3">
      <c r="C24">
        <f>'Outstanding loss reserves'!$O23</f>
        <v>2017</v>
      </c>
      <c r="D24" s="45">
        <f>'Outstanding loss reserves'!B22+'Cum. payments'!B22</f>
        <v>5297904.7431722237</v>
      </c>
      <c r="E24" s="45">
        <f>'Outstanding loss reserves'!C22+'Cum. payments'!C22</f>
        <v>3533821.9829735653</v>
      </c>
      <c r="F24" s="45">
        <f>'Outstanding loss reserves'!D22+'Cum. payments'!D22</f>
        <v>3744019.2051852793</v>
      </c>
      <c r="G24" s="45">
        <f>'Outstanding loss reserves'!E22+'Cum. payments'!E22</f>
        <v>4046901.6969412565</v>
      </c>
      <c r="H24" s="45">
        <f>'Outstanding loss reserves'!F22+'Cum. payments'!F22</f>
        <v>3894314.3115093736</v>
      </c>
      <c r="I24" s="45">
        <f>'Outstanding loss reserves'!G22+'Cum. payments'!G22</f>
        <v>3884125.4647304649</v>
      </c>
      <c r="J24" s="45">
        <f>'Outstanding loss reserves'!H22+'Cum. payments'!H22</f>
        <v>3884119.4930095398</v>
      </c>
      <c r="K24" s="45">
        <f>'Outstanding loss reserves'!I22+'Cum. payments'!I22</f>
        <v>3884118.4086728813</v>
      </c>
      <c r="L24" s="45">
        <f>'Outstanding loss reserves'!J22+'Cum. payments'!J22</f>
        <v>3884112.9477082277</v>
      </c>
      <c r="R24">
        <f t="shared" si="0"/>
        <v>2017</v>
      </c>
      <c r="S24" s="45">
        <f>'Outstanding loss reserves'!P23+'Cum. payments'!B145</f>
        <v>8209874.1330190338</v>
      </c>
      <c r="T24" s="45">
        <f>'Outstanding loss reserves'!Q23+'Cum. payments'!C145</f>
        <v>5466829.6932244627</v>
      </c>
      <c r="U24" s="45">
        <f>'Outstanding loss reserves'!R23+'Cum. payments'!D145</f>
        <v>5805640.6493491549</v>
      </c>
      <c r="V24" s="45">
        <f>'Outstanding loss reserves'!S23+'Cum. payments'!E145</f>
        <v>6307365.2347372463</v>
      </c>
      <c r="W24" s="45">
        <f>'Outstanding loss reserves'!T23+'Cum. payments'!F145</f>
        <v>6051517.0829876773</v>
      </c>
      <c r="X24" s="45">
        <f>'Outstanding loss reserves'!U23+'Cum. payments'!G145</f>
        <v>6026292.4886613004</v>
      </c>
      <c r="Y24" s="45">
        <f>'Outstanding loss reserves'!V23+'Cum. payments'!H145</f>
        <v>6026256.0153700635</v>
      </c>
      <c r="Z24" s="45">
        <f>'Outstanding loss reserves'!W23+'Cum. payments'!I145</f>
        <v>6026251.7508366769</v>
      </c>
      <c r="AA24" s="45">
        <f>'Outstanding loss reserves'!X23+'Cum. payments'!J145</f>
        <v>6026242.8946571602</v>
      </c>
    </row>
    <row r="25" spans="3:28" x14ac:dyDescent="0.3">
      <c r="C25">
        <f>'Outstanding loss reserves'!$O24</f>
        <v>2017</v>
      </c>
      <c r="D25" s="45">
        <f>'Outstanding loss reserves'!B23+'Cum. payments'!B23</f>
        <v>1655806.5835662826</v>
      </c>
      <c r="E25" s="45">
        <f>'Outstanding loss reserves'!C23+'Cum. payments'!C23</f>
        <v>2623943.0180015457</v>
      </c>
      <c r="F25" s="45">
        <f>'Outstanding loss reserves'!D23+'Cum. payments'!D23</f>
        <v>1373089.7934909062</v>
      </c>
      <c r="G25" s="45">
        <f>'Outstanding loss reserves'!E23+'Cum. payments'!E23</f>
        <v>1396920.7374569308</v>
      </c>
      <c r="H25" s="45">
        <f>'Outstanding loss reserves'!F23+'Cum. payments'!F23</f>
        <v>1498800.4980243179</v>
      </c>
      <c r="I25" s="45">
        <f>'Outstanding loss reserves'!G23+'Cum. payments'!G23</f>
        <v>1532348.0502218921</v>
      </c>
      <c r="J25" s="45">
        <f>'Outstanding loss reserves'!H23+'Cum. payments'!H23</f>
        <v>1521396.1011188508</v>
      </c>
      <c r="K25" s="45">
        <f>'Outstanding loss reserves'!I23+'Cum. payments'!I23</f>
        <v>1522295.8331641064</v>
      </c>
      <c r="L25" s="45">
        <f>'Outstanding loss reserves'!J23+'Cum. payments'!J23</f>
        <v>1523467.937250196</v>
      </c>
      <c r="R25">
        <f t="shared" si="0"/>
        <v>2017</v>
      </c>
      <c r="S25" s="45">
        <f>'Outstanding loss reserves'!P24+'Cum. payments'!B146</f>
        <v>2565913.1861936403</v>
      </c>
      <c r="T25" s="45">
        <f>'Outstanding loss reserves'!Q24+'Cum. payments'!C146</f>
        <v>4057496.6511498117</v>
      </c>
      <c r="U25" s="45">
        <f>'Outstanding loss reserves'!R24+'Cum. payments'!D146</f>
        <v>2129306.4964282732</v>
      </c>
      <c r="V25" s="45">
        <f>'Outstanding loss reserves'!S24+'Cum. payments'!E146</f>
        <v>2182322.7114651278</v>
      </c>
      <c r="W25" s="45">
        <f>'Outstanding loss reserves'!T24+'Cum. payments'!F146</f>
        <v>2335214.5489606978</v>
      </c>
      <c r="X25" s="45">
        <f>'Outstanding loss reserves'!U24+'Cum. payments'!G146</f>
        <v>2363665.5245466307</v>
      </c>
      <c r="Y25" s="45">
        <f>'Outstanding loss reserves'!V24+'Cum. payments'!H146</f>
        <v>2343612.5904779388</v>
      </c>
      <c r="Z25" s="45">
        <f>'Outstanding loss reserves'!W24+'Cum. payments'!I146</f>
        <v>2344063.7657622667</v>
      </c>
      <c r="AA25" s="45">
        <f>'Outstanding loss reserves'!X24+'Cum. payments'!J146</f>
        <v>2345303.9227981973</v>
      </c>
    </row>
    <row r="26" spans="3:28" x14ac:dyDescent="0.3">
      <c r="C26">
        <f>'Outstanding loss reserves'!$O25</f>
        <v>2017</v>
      </c>
      <c r="D26" s="45">
        <f>'Outstanding loss reserves'!B24+'Cum. payments'!B24</f>
        <v>1069606.5804702051</v>
      </c>
      <c r="E26" s="45">
        <f>'Outstanding loss reserves'!C24+'Cum. payments'!C24</f>
        <v>1280024.6953828617</v>
      </c>
      <c r="F26" s="45">
        <f>'Outstanding loss reserves'!D24+'Cum. payments'!D24</f>
        <v>1083094.3453831607</v>
      </c>
      <c r="G26" s="45">
        <f>'Outstanding loss reserves'!E24+'Cum. payments'!E24</f>
        <v>1123362.009087004</v>
      </c>
      <c r="H26" s="45">
        <f>'Outstanding loss reserves'!F24+'Cum. payments'!F24</f>
        <v>1047967.7997322173</v>
      </c>
      <c r="I26" s="45">
        <f>'Outstanding loss reserves'!G24+'Cum. payments'!G24</f>
        <v>1131490.3337500631</v>
      </c>
      <c r="J26" s="45">
        <f>'Outstanding loss reserves'!H24+'Cum. payments'!H24</f>
        <v>1114027.7453881532</v>
      </c>
      <c r="K26" s="45">
        <f>'Outstanding loss reserves'!I24+'Cum. payments'!I24</f>
        <v>1113306.5171390045</v>
      </c>
      <c r="L26" s="45">
        <f>'Outstanding loss reserves'!J24+'Cum. payments'!J24</f>
        <v>1111916.1734600686</v>
      </c>
      <c r="R26">
        <f t="shared" si="0"/>
        <v>2017</v>
      </c>
      <c r="S26" s="45">
        <f>'Outstanding loss reserves'!P25+'Cum. payments'!B147</f>
        <v>1657511.0016514342</v>
      </c>
      <c r="T26" s="45">
        <f>'Outstanding loss reserves'!Q25+'Cum. payments'!C147</f>
        <v>1978766.9443399711</v>
      </c>
      <c r="U26" s="45">
        <f>'Outstanding loss reserves'!R25+'Cum. payments'!D147</f>
        <v>1680079.8555134607</v>
      </c>
      <c r="V26" s="45">
        <f>'Outstanding loss reserves'!S25+'Cum. payments'!E147</f>
        <v>1759297.199428797</v>
      </c>
      <c r="W26" s="45">
        <f>'Outstanding loss reserves'!T25+'Cum. payments'!F147</f>
        <v>1633029.1160748368</v>
      </c>
      <c r="X26" s="45">
        <f>'Outstanding loss reserves'!U25+'Cum. payments'!G147</f>
        <v>1709947.1303271821</v>
      </c>
      <c r="Y26" s="45">
        <f>'Outstanding loss reserves'!V25+'Cum. payments'!H147</f>
        <v>1680131.9297368489</v>
      </c>
      <c r="Z26" s="45">
        <f>'Outstanding loss reserves'!W25+'Cum. payments'!I147</f>
        <v>1677253.1475088238</v>
      </c>
      <c r="AA26" s="45">
        <f>'Outstanding loss reserves'!X25+'Cum. payments'!J147</f>
        <v>1674741.1043204458</v>
      </c>
    </row>
    <row r="27" spans="3:28" x14ac:dyDescent="0.3">
      <c r="C27">
        <f>'Outstanding loss reserves'!$O26</f>
        <v>2017</v>
      </c>
      <c r="D27" s="45">
        <f>'Outstanding loss reserves'!B25+'Cum. payments'!B25</f>
        <v>682482.40315132693</v>
      </c>
      <c r="E27" s="45">
        <f>'Outstanding loss reserves'!C25+'Cum. payments'!C25</f>
        <v>1073459.8380701053</v>
      </c>
      <c r="F27" s="45">
        <f>'Outstanding loss reserves'!D25+'Cum. payments'!D25</f>
        <v>723740.18062258349</v>
      </c>
      <c r="G27" s="45">
        <f>'Outstanding loss reserves'!E25+'Cum. payments'!E25</f>
        <v>756930.23655375442</v>
      </c>
      <c r="H27" s="45">
        <f>'Outstanding loss reserves'!F25+'Cum. payments'!F25</f>
        <v>765146.3282372083</v>
      </c>
      <c r="I27" s="45">
        <f>'Outstanding loss reserves'!G25+'Cum. payments'!G25</f>
        <v>736848.39465459622</v>
      </c>
      <c r="J27" s="45">
        <f>'Outstanding loss reserves'!H25+'Cum. payments'!H25</f>
        <v>735047.69922579976</v>
      </c>
      <c r="K27" s="45">
        <f>'Outstanding loss reserves'!I25+'Cum. payments'!I25</f>
        <v>735169.03698789224</v>
      </c>
      <c r="L27" s="45">
        <f>'Outstanding loss reserves'!J25+'Cum. payments'!J25</f>
        <v>735055.56970932614</v>
      </c>
      <c r="R27">
        <f t="shared" si="0"/>
        <v>2017</v>
      </c>
      <c r="S27" s="45">
        <f>'Outstanding loss reserves'!P26+'Cum. payments'!B148</f>
        <v>1057605.7704876333</v>
      </c>
      <c r="T27" s="45">
        <f>'Outstanding loss reserves'!Q26+'Cum. payments'!C148</f>
        <v>1659589.5877203234</v>
      </c>
      <c r="U27" s="45">
        <f>'Outstanding loss reserves'!R26+'Cum. payments'!D148</f>
        <v>1122267.7646879354</v>
      </c>
      <c r="V27" s="45">
        <f>'Outstanding loss reserves'!S26+'Cum. payments'!E148</f>
        <v>1177611.8500038339</v>
      </c>
      <c r="W27" s="45">
        <f>'Outstanding loss reserves'!T26+'Cum. payments'!F148</f>
        <v>1188135.662533704</v>
      </c>
      <c r="X27" s="45">
        <f>'Outstanding loss reserves'!U26+'Cum. payments'!G148</f>
        <v>1123871.6942783205</v>
      </c>
      <c r="Y27" s="45">
        <f>'Outstanding loss reserves'!V26+'Cum. payments'!H148</f>
        <v>1117009.8392926487</v>
      </c>
      <c r="Z27" s="45">
        <f>'Outstanding loss reserves'!W26+'Cum. payments'!I148</f>
        <v>1117087.605850765</v>
      </c>
      <c r="AA27" s="45">
        <f>'Outstanding loss reserves'!X26+'Cum. payments'!J148</f>
        <v>1116918.3795102111</v>
      </c>
    </row>
    <row r="28" spans="3:28" x14ac:dyDescent="0.3">
      <c r="C28">
        <f>'Outstanding loss reserves'!$O27</f>
        <v>2017</v>
      </c>
      <c r="D28" s="45">
        <f>'Outstanding loss reserves'!B26+'Cum. payments'!B26</f>
        <v>1057904.3385965368</v>
      </c>
      <c r="E28" s="45">
        <f>'Outstanding loss reserves'!C26+'Cum. payments'!C26</f>
        <v>2806548.2854172545</v>
      </c>
      <c r="F28" s="45">
        <f>'Outstanding loss reserves'!D26+'Cum. payments'!D26</f>
        <v>2413076.7222503475</v>
      </c>
      <c r="G28" s="45">
        <f>'Outstanding loss reserves'!E26+'Cum. payments'!E26</f>
        <v>2296877.0691606272</v>
      </c>
      <c r="H28" s="45">
        <f>'Outstanding loss reserves'!F26+'Cum. payments'!F26</f>
        <v>2265376.9633221524</v>
      </c>
      <c r="I28" s="45">
        <f>'Outstanding loss reserves'!G26+'Cum. payments'!G26</f>
        <v>2290232.6427416783</v>
      </c>
      <c r="J28" s="45">
        <f>'Outstanding loss reserves'!H26+'Cum. payments'!H26</f>
        <v>2290395.1746512633</v>
      </c>
      <c r="K28" s="45">
        <f>'Outstanding loss reserves'!I26+'Cum. payments'!I26</f>
        <v>2290104.0654683881</v>
      </c>
      <c r="L28" s="45">
        <f>'Outstanding loss reserves'!J26+'Cum. payments'!J26</f>
        <v>2290103.4</v>
      </c>
      <c r="R28">
        <f t="shared" si="0"/>
        <v>2017</v>
      </c>
      <c r="S28" s="45">
        <f>'Outstanding loss reserves'!P27+'Cum. payments'!B149</f>
        <v>1639376.6754386465</v>
      </c>
      <c r="T28" s="45">
        <f>'Outstanding loss reserves'!Q27+'Cum. payments'!C149</f>
        <v>4339034.6381610818</v>
      </c>
      <c r="U28" s="45">
        <f>'Outstanding loss reserves'!R27+'Cum. payments'!D149</f>
        <v>3743044.0632876349</v>
      </c>
      <c r="V28" s="45">
        <f>'Outstanding loss reserves'!S27+'Cum. payments'!E149</f>
        <v>3597192.4409892196</v>
      </c>
      <c r="W28" s="45">
        <f>'Outstanding loss reserves'!T27+'Cum. payments'!F149</f>
        <v>3546566.5711646262</v>
      </c>
      <c r="X28" s="45">
        <f>'Outstanding loss reserves'!U27+'Cum. payments'!G149</f>
        <v>3570103.0943055125</v>
      </c>
      <c r="Y28" s="45">
        <f>'Outstanding loss reserves'!V27+'Cum. payments'!H149</f>
        <v>3570134.4415562204</v>
      </c>
      <c r="Z28" s="45">
        <f>'Outstanding loss reserves'!W27+'Cum. payments'!I149</f>
        <v>3569619.1574875941</v>
      </c>
      <c r="AA28" s="45">
        <f>'Outstanding loss reserves'!X27+'Cum. payments'!J149</f>
        <v>3569618.0568383485</v>
      </c>
    </row>
    <row r="29" spans="3:28" x14ac:dyDescent="0.3">
      <c r="C29">
        <f>'Outstanding loss reserves'!$O28</f>
        <v>2017</v>
      </c>
      <c r="D29" s="45">
        <f>'Outstanding loss reserves'!B27+'Cum. payments'!B27</f>
        <v>6321294.8532149671</v>
      </c>
      <c r="E29" s="45">
        <f>'Outstanding loss reserves'!C27+'Cum. payments'!C27</f>
        <v>3617137.0737857772</v>
      </c>
      <c r="F29" s="45">
        <f>'Outstanding loss reserves'!D27+'Cum. payments'!D27</f>
        <v>2900356.2814684417</v>
      </c>
      <c r="G29" s="45">
        <f>'Outstanding loss reserves'!E27+'Cum. payments'!E27</f>
        <v>3687267.9761182759</v>
      </c>
      <c r="H29" s="45">
        <f>'Outstanding loss reserves'!F27+'Cum. payments'!F27</f>
        <v>3213722.8681591093</v>
      </c>
      <c r="I29" s="45">
        <f>'Outstanding loss reserves'!G27+'Cum. payments'!G27</f>
        <v>3494411.2810094855</v>
      </c>
      <c r="J29" s="45">
        <f>'Outstanding loss reserves'!H27+'Cum. payments'!H27</f>
        <v>3447628.26844233</v>
      </c>
      <c r="K29" s="45">
        <f>'Outstanding loss reserves'!I27+'Cum. payments'!I27</f>
        <v>3447811.9201592682</v>
      </c>
      <c r="L29" s="45">
        <f>'Outstanding loss reserves'!J27+'Cum. payments'!J27</f>
        <v>3447761.2263884367</v>
      </c>
      <c r="R29">
        <f t="shared" si="0"/>
        <v>2017</v>
      </c>
      <c r="S29" s="45">
        <f>'Outstanding loss reserves'!P28+'Cum. payments'!B150</f>
        <v>9795765.9902207945</v>
      </c>
      <c r="T29" s="45">
        <f>'Outstanding loss reserves'!Q28+'Cum. payments'!C150</f>
        <v>5591858.8903607754</v>
      </c>
      <c r="U29" s="45">
        <f>'Outstanding loss reserves'!R28+'Cum. payments'!D150</f>
        <v>4498436.2221482676</v>
      </c>
      <c r="V29" s="45">
        <f>'Outstanding loss reserves'!S28+'Cum. payments'!E150</f>
        <v>5772221.2181333108</v>
      </c>
      <c r="W29" s="45">
        <f>'Outstanding loss reserves'!T28+'Cum. payments'!F150</f>
        <v>5018951.3139301362</v>
      </c>
      <c r="X29" s="45">
        <f>'Outstanding loss reserves'!U28+'Cum. payments'!G150</f>
        <v>5309892.2330461536</v>
      </c>
      <c r="Y29" s="45">
        <f>'Outstanding loss reserves'!V28+'Cum. payments'!H150</f>
        <v>5224011.139830566</v>
      </c>
      <c r="Z29" s="45">
        <f>'Outstanding loss reserves'!W28+'Cum. payments'!I150</f>
        <v>5224226.959261138</v>
      </c>
      <c r="AA29" s="45">
        <f>'Outstanding loss reserves'!X28+'Cum. payments'!J150</f>
        <v>5224144.5975205507</v>
      </c>
    </row>
    <row r="30" spans="3:28" x14ac:dyDescent="0.3">
      <c r="C30">
        <f>'Outstanding loss reserves'!$O29</f>
        <v>2017</v>
      </c>
      <c r="D30" s="45">
        <f>'Outstanding loss reserves'!B28+'Cum. payments'!B28</f>
        <v>2508754.7445643209</v>
      </c>
      <c r="E30" s="45">
        <f>'Outstanding loss reserves'!C28+'Cum. payments'!C28</f>
        <v>3186431.1422143513</v>
      </c>
      <c r="F30" s="45">
        <f>'Outstanding loss reserves'!D28+'Cum. payments'!D28</f>
        <v>2867973.4344330914</v>
      </c>
      <c r="G30" s="45">
        <f>'Outstanding loss reserves'!E28+'Cum. payments'!E28</f>
        <v>3036359.0908506038</v>
      </c>
      <c r="H30" s="45">
        <f>'Outstanding loss reserves'!F28+'Cum. payments'!F28</f>
        <v>3146986.2261065822</v>
      </c>
      <c r="I30" s="45">
        <f>'Outstanding loss reserves'!G28+'Cum. payments'!G28</f>
        <v>3147384.5425784551</v>
      </c>
      <c r="J30" s="45">
        <f>'Outstanding loss reserves'!H28+'Cum. payments'!H28</f>
        <v>3150269.8990874863</v>
      </c>
      <c r="K30" s="45">
        <f>'Outstanding loss reserves'!I28+'Cum. payments'!I28</f>
        <v>3149868.2957142075</v>
      </c>
      <c r="L30" s="45">
        <f>'Outstanding loss reserves'!J28+'Cum. payments'!J28</f>
        <v>3146758.1679253126</v>
      </c>
      <c r="R30">
        <f t="shared" si="0"/>
        <v>2017</v>
      </c>
      <c r="S30" s="45">
        <f>'Outstanding loss reserves'!P29+'Cum. payments'!B151</f>
        <v>3887680.4476395324</v>
      </c>
      <c r="T30" s="45">
        <f>'Outstanding loss reserves'!Q29+'Cum. payments'!C151</f>
        <v>4929002.7549480796</v>
      </c>
      <c r="U30" s="45">
        <f>'Outstanding loss reserves'!R29+'Cum. payments'!D151</f>
        <v>4442680.577734815</v>
      </c>
      <c r="V30" s="45">
        <f>'Outstanding loss reserves'!S29+'Cum. payments'!E151</f>
        <v>4724169.0232365038</v>
      </c>
      <c r="W30" s="45">
        <f>'Outstanding loss reserves'!T29+'Cum. payments'!F151</f>
        <v>4884898.733753155</v>
      </c>
      <c r="X30" s="45">
        <f>'Outstanding loss reserves'!U29+'Cum. payments'!G151</f>
        <v>4882664.2898878558</v>
      </c>
      <c r="Y30" s="45">
        <f>'Outstanding loss reserves'!V29+'Cum. payments'!H151</f>
        <v>4886108.4090180565</v>
      </c>
      <c r="Z30" s="45">
        <f>'Outstanding loss reserves'!W29+'Cum. payments'!I151</f>
        <v>4885125.3992040623</v>
      </c>
      <c r="AA30" s="45">
        <f>'Outstanding loss reserves'!X29+'Cum. payments'!J151</f>
        <v>4880599.1453672675</v>
      </c>
    </row>
    <row r="31" spans="3:28" x14ac:dyDescent="0.3">
      <c r="C31">
        <f>'Outstanding loss reserves'!$O30</f>
        <v>2018</v>
      </c>
      <c r="D31" s="45">
        <f>'Outstanding loss reserves'!B29+'Cum. payments'!B29</f>
        <v>2437693.859849174</v>
      </c>
      <c r="E31" s="45">
        <f>'Outstanding loss reserves'!C29+'Cum. payments'!C29</f>
        <v>1774392.7439035897</v>
      </c>
      <c r="F31" s="45">
        <f>'Outstanding loss reserves'!D29+'Cum. payments'!D29</f>
        <v>1936723.1054358336</v>
      </c>
      <c r="G31" s="45">
        <f>'Outstanding loss reserves'!E29+'Cum. payments'!E29</f>
        <v>1660772.2413031878</v>
      </c>
      <c r="H31" s="45">
        <f>'Outstanding loss reserves'!F29+'Cum. payments'!F29</f>
        <v>1671151.4009370343</v>
      </c>
      <c r="I31" s="45">
        <f>'Outstanding loss reserves'!G29+'Cum. payments'!G29</f>
        <v>1680591.5885586226</v>
      </c>
      <c r="J31" s="45">
        <f>'Outstanding loss reserves'!H29+'Cum. payments'!H29</f>
        <v>1670625.9111817637</v>
      </c>
      <c r="K31" s="45">
        <f>'Outstanding loss reserves'!I29+'Cum. payments'!I29</f>
        <v>1670374.606837377</v>
      </c>
      <c r="R31">
        <f t="shared" si="0"/>
        <v>2018</v>
      </c>
      <c r="S31" s="45">
        <f>'Outstanding loss reserves'!P30+'Cum. payments'!B152</f>
        <v>3647983.8712935718</v>
      </c>
      <c r="T31" s="45">
        <f>'Outstanding loss reserves'!Q30+'Cum. payments'!C152</f>
        <v>2663655.6392339137</v>
      </c>
      <c r="U31" s="45">
        <f>'Outstanding loss reserves'!R30+'Cum. payments'!D152</f>
        <v>2934523.0198280723</v>
      </c>
      <c r="V31" s="45">
        <f>'Outstanding loss reserves'!S30+'Cum. payments'!E152</f>
        <v>2502334.9605533774</v>
      </c>
      <c r="W31" s="45">
        <f>'Outstanding loss reserves'!T30+'Cum. payments'!F152</f>
        <v>2371345.1801916901</v>
      </c>
      <c r="X31" s="45">
        <f>'Outstanding loss reserves'!U30+'Cum. payments'!G152</f>
        <v>2380526.0290939696</v>
      </c>
      <c r="Y31" s="45">
        <f>'Outstanding loss reserves'!V30+'Cum. payments'!H152</f>
        <v>2365535.8644786663</v>
      </c>
      <c r="Z31" s="45">
        <f>'Outstanding loss reserves'!W30+'Cum. payments'!I152</f>
        <v>2364556.2219643043</v>
      </c>
    </row>
    <row r="32" spans="3:28" x14ac:dyDescent="0.3">
      <c r="C32">
        <f>'Outstanding loss reserves'!$O31</f>
        <v>2018</v>
      </c>
      <c r="D32" s="45">
        <f>'Outstanding loss reserves'!B30+'Cum. payments'!B30</f>
        <v>1172772.2857773087</v>
      </c>
      <c r="E32" s="45">
        <f>'Outstanding loss reserves'!C30+'Cum. payments'!C30</f>
        <v>2133682.6072038836</v>
      </c>
      <c r="F32" s="45">
        <f>'Outstanding loss reserves'!D30+'Cum. payments'!D30</f>
        <v>1711293.836538387</v>
      </c>
      <c r="G32" s="45">
        <f>'Outstanding loss reserves'!E30+'Cum. payments'!E30</f>
        <v>1838327.3218795969</v>
      </c>
      <c r="H32" s="45">
        <f>'Outstanding loss reserves'!F30+'Cum. payments'!F30</f>
        <v>1842584.6895490808</v>
      </c>
      <c r="I32" s="45">
        <f>'Outstanding loss reserves'!G30+'Cum. payments'!G30</f>
        <v>1836512.3138921205</v>
      </c>
      <c r="J32" s="45">
        <f>'Outstanding loss reserves'!H30+'Cum. payments'!H30</f>
        <v>1836765.4843945173</v>
      </c>
      <c r="K32" s="45">
        <f>'Outstanding loss reserves'!I30+'Cum. payments'!I30</f>
        <v>1836766.4180398658</v>
      </c>
      <c r="R32">
        <f t="shared" si="0"/>
        <v>2018</v>
      </c>
      <c r="S32" s="45">
        <f>'Outstanding loss reserves'!P31+'Cum. payments'!B153</f>
        <v>1755041.7030136934</v>
      </c>
      <c r="T32" s="45">
        <f>'Outstanding loss reserves'!Q31+'Cum. payments'!C153</f>
        <v>3203242.6508661276</v>
      </c>
      <c r="U32" s="45">
        <f>'Outstanding loss reserves'!R31+'Cum. payments'!D153</f>
        <v>2588832.161020068</v>
      </c>
      <c r="V32" s="45">
        <f>'Outstanding loss reserves'!S31+'Cum. payments'!E153</f>
        <v>2778620.5841088132</v>
      </c>
      <c r="W32" s="45">
        <f>'Outstanding loss reserves'!T31+'Cum. payments'!F153</f>
        <v>2767714.4343934194</v>
      </c>
      <c r="X32" s="45">
        <f>'Outstanding loss reserves'!U31+'Cum. payments'!G153</f>
        <v>2755050.0164855602</v>
      </c>
      <c r="Y32" s="45">
        <f>'Outstanding loss reserves'!V31+'Cum. payments'!H153</f>
        <v>2755329.5888398387</v>
      </c>
      <c r="Z32" s="45">
        <f>'Outstanding loss reserves'!W31+'Cum. payments'!I153</f>
        <v>2755330.4386347365</v>
      </c>
    </row>
    <row r="33" spans="3:26" x14ac:dyDescent="0.3">
      <c r="C33">
        <f>'Outstanding loss reserves'!$O32</f>
        <v>2018</v>
      </c>
      <c r="D33" s="45">
        <f>'Outstanding loss reserves'!B31+'Cum. payments'!B31</f>
        <v>1190824.3942770362</v>
      </c>
      <c r="E33" s="45">
        <f>'Outstanding loss reserves'!C31+'Cum. payments'!C31</f>
        <v>1786670.5867266303</v>
      </c>
      <c r="F33" s="45">
        <f>'Outstanding loss reserves'!D31+'Cum. payments'!D31</f>
        <v>1612764.2783081392</v>
      </c>
      <c r="G33" s="45">
        <f>'Outstanding loss reserves'!E31+'Cum. payments'!E31</f>
        <v>1625190.650891392</v>
      </c>
      <c r="H33" s="45">
        <f>'Outstanding loss reserves'!F31+'Cum. payments'!F31</f>
        <v>1624964.8847137159</v>
      </c>
      <c r="I33" s="45">
        <f>'Outstanding loss reserves'!G31+'Cum. payments'!G31</f>
        <v>1621944.1571244875</v>
      </c>
      <c r="J33" s="45">
        <f>'Outstanding loss reserves'!H31+'Cum. payments'!H31</f>
        <v>1625523.9896631443</v>
      </c>
      <c r="K33" s="45">
        <f>'Outstanding loss reserves'!I31+'Cum. payments'!I31</f>
        <v>1623406.3690938668</v>
      </c>
      <c r="R33">
        <f t="shared" si="0"/>
        <v>2018</v>
      </c>
      <c r="S33" s="45">
        <f>'Outstanding loss reserves'!P32+'Cum. payments'!B154</f>
        <v>1782056.4983226999</v>
      </c>
      <c r="T33" s="45">
        <f>'Outstanding loss reserves'!Q32+'Cum. payments'!C154</f>
        <v>2682915.8042027866</v>
      </c>
      <c r="U33" s="45">
        <f>'Outstanding loss reserves'!R32+'Cum. payments'!D154</f>
        <v>2446048.2842919463</v>
      </c>
      <c r="V33" s="45">
        <f>'Outstanding loss reserves'!S32+'Cum. payments'!E154</f>
        <v>2463277.9318342018</v>
      </c>
      <c r="W33" s="45">
        <f>'Outstanding loss reserves'!T32+'Cum. payments'!F154</f>
        <v>2444627.3272653497</v>
      </c>
      <c r="X33" s="45">
        <f>'Outstanding loss reserves'!U32+'Cum. payments'!G154</f>
        <v>2439210.3652469805</v>
      </c>
      <c r="Y33" s="45">
        <f>'Outstanding loss reserves'!V32+'Cum. payments'!H154</f>
        <v>2443660.786923049</v>
      </c>
      <c r="Z33" s="45">
        <f>'Outstanding loss reserves'!W32+'Cum. payments'!I154</f>
        <v>2440659.0632831426</v>
      </c>
    </row>
    <row r="34" spans="3:26" x14ac:dyDescent="0.3">
      <c r="C34">
        <f>'Outstanding loss reserves'!$O33</f>
        <v>2018</v>
      </c>
      <c r="D34" s="45">
        <f>'Outstanding loss reserves'!B32+'Cum. payments'!B32</f>
        <v>1250417.544725264</v>
      </c>
      <c r="E34" s="45">
        <f>'Outstanding loss reserves'!C32+'Cum. payments'!C32</f>
        <v>1676699.1828004797</v>
      </c>
      <c r="F34" s="45">
        <f>'Outstanding loss reserves'!D32+'Cum. payments'!D32</f>
        <v>1365100.2491225877</v>
      </c>
      <c r="G34" s="45">
        <f>'Outstanding loss reserves'!E32+'Cum. payments'!E32</f>
        <v>1422704.4137329829</v>
      </c>
      <c r="H34" s="45">
        <f>'Outstanding loss reserves'!F32+'Cum. payments'!F32</f>
        <v>1419243.9469227111</v>
      </c>
      <c r="I34" s="45">
        <f>'Outstanding loss reserves'!G32+'Cum. payments'!G32</f>
        <v>1427922.6723934477</v>
      </c>
      <c r="J34" s="45">
        <f>'Outstanding loss reserves'!H32+'Cum. payments'!H32</f>
        <v>1423997.0780094052</v>
      </c>
      <c r="K34" s="45">
        <f>'Outstanding loss reserves'!I32+'Cum. payments'!I32</f>
        <v>1424370.5574662299</v>
      </c>
      <c r="R34">
        <f t="shared" si="0"/>
        <v>2018</v>
      </c>
      <c r="S34" s="45">
        <f>'Outstanding loss reserves'!P33+'Cum. payments'!B155</f>
        <v>1871237.0370504619</v>
      </c>
      <c r="T34" s="45">
        <f>'Outstanding loss reserves'!Q33+'Cum. payments'!C155</f>
        <v>2515108.9648864372</v>
      </c>
      <c r="U34" s="45">
        <f>'Outstanding loss reserves'!R33+'Cum. payments'!D155</f>
        <v>2059418.8341624597</v>
      </c>
      <c r="V34" s="45">
        <f>'Outstanding loss reserves'!S33+'Cum. payments'!E155</f>
        <v>2145436.9884395758</v>
      </c>
      <c r="W34" s="45">
        <f>'Outstanding loss reserves'!T33+'Cum. payments'!F155</f>
        <v>2136835.1215215488</v>
      </c>
      <c r="X34" s="45">
        <f>'Outstanding loss reserves'!U33+'Cum. payments'!G155</f>
        <v>2147771.9140172675</v>
      </c>
      <c r="Y34" s="45">
        <f>'Outstanding loss reserves'!V33+'Cum. payments'!H155</f>
        <v>2141879.8178751217</v>
      </c>
      <c r="Z34" s="45">
        <f>'Outstanding loss reserves'!W33+'Cum. payments'!I155</f>
        <v>2142212.1960527706</v>
      </c>
    </row>
    <row r="35" spans="3:26" x14ac:dyDescent="0.3">
      <c r="C35">
        <f>'Outstanding loss reserves'!$O34</f>
        <v>2018</v>
      </c>
      <c r="D35" s="45">
        <f>'Outstanding loss reserves'!B33+'Cum. payments'!B33</f>
        <v>911427.27708318084</v>
      </c>
      <c r="E35" s="45">
        <f>'Outstanding loss reserves'!C33+'Cum. payments'!C33</f>
        <v>1277373.2922626021</v>
      </c>
      <c r="F35" s="45">
        <f>'Outstanding loss reserves'!D33+'Cum. payments'!D33</f>
        <v>1350360.5298755905</v>
      </c>
      <c r="G35" s="45">
        <f>'Outstanding loss reserves'!E33+'Cum. payments'!E33</f>
        <v>1358487.9206782931</v>
      </c>
      <c r="H35" s="45">
        <f>'Outstanding loss reserves'!F33+'Cum. payments'!F33</f>
        <v>1354945.8296891402</v>
      </c>
      <c r="I35" s="45">
        <f>'Outstanding loss reserves'!G33+'Cum. payments'!G33</f>
        <v>1358315.4312556193</v>
      </c>
      <c r="J35" s="45">
        <f>'Outstanding loss reserves'!H33+'Cum. payments'!H33</f>
        <v>1358835.6968667968</v>
      </c>
      <c r="K35" s="45">
        <f>'Outstanding loss reserves'!I33+'Cum. payments'!I33</f>
        <v>1358174.0257493902</v>
      </c>
      <c r="R35">
        <f t="shared" si="0"/>
        <v>2018</v>
      </c>
      <c r="S35" s="45">
        <f>'Outstanding loss reserves'!P34+'Cum. payments'!B156</f>
        <v>1363941.5766761536</v>
      </c>
      <c r="T35" s="45">
        <f>'Outstanding loss reserves'!Q34+'Cum. payments'!C156</f>
        <v>1915008.1061064014</v>
      </c>
      <c r="U35" s="45">
        <f>'Outstanding loss reserves'!R34+'Cum. payments'!D156</f>
        <v>2034796.8185545793</v>
      </c>
      <c r="V35" s="45">
        <f>'Outstanding loss reserves'!S34+'Cum. payments'!E156</f>
        <v>2042221.728241608</v>
      </c>
      <c r="W35" s="45">
        <f>'Outstanding loss reserves'!T34+'Cum. payments'!F156</f>
        <v>2034680.4602501264</v>
      </c>
      <c r="X35" s="45">
        <f>'Outstanding loss reserves'!U34+'Cum. payments'!G156</f>
        <v>2038679.4791370616</v>
      </c>
      <c r="Y35" s="45">
        <f>'Outstanding loss reserves'!V34+'Cum. payments'!H156</f>
        <v>2038971.2971769231</v>
      </c>
      <c r="Z35" s="45">
        <f>'Outstanding loss reserves'!W34+'Cum. payments'!I156</f>
        <v>2037939.6508348135</v>
      </c>
    </row>
    <row r="36" spans="3:26" x14ac:dyDescent="0.3">
      <c r="C36">
        <f>'Outstanding loss reserves'!$O35</f>
        <v>2018</v>
      </c>
      <c r="D36" s="45">
        <f>'Outstanding loss reserves'!B34+'Cum. payments'!B34</f>
        <v>1012267.0246426822</v>
      </c>
      <c r="E36" s="45">
        <f>'Outstanding loss reserves'!C34+'Cum. payments'!C34</f>
        <v>810119.2919078609</v>
      </c>
      <c r="F36" s="45">
        <f>'Outstanding loss reserves'!D34+'Cum. payments'!D34</f>
        <v>988409.89019955311</v>
      </c>
      <c r="G36" s="45">
        <f>'Outstanding loss reserves'!E34+'Cum. payments'!E34</f>
        <v>1046339.224147347</v>
      </c>
      <c r="H36" s="45">
        <f>'Outstanding loss reserves'!F34+'Cum. payments'!F34</f>
        <v>1026874.7979117385</v>
      </c>
      <c r="I36" s="45">
        <f>'Outstanding loss reserves'!G34+'Cum. payments'!G34</f>
        <v>1034149.5329627566</v>
      </c>
      <c r="J36" s="45">
        <f>'Outstanding loss reserves'!H34+'Cum. payments'!H34</f>
        <v>1053370.6404458319</v>
      </c>
      <c r="K36" s="45">
        <f>'Outstanding loss reserves'!I34+'Cum. payments'!I34</f>
        <v>1034773.5385433013</v>
      </c>
      <c r="R36">
        <f t="shared" si="0"/>
        <v>2018</v>
      </c>
      <c r="S36" s="45">
        <f>'Outstanding loss reserves'!P35+'Cum. payments'!B157</f>
        <v>1514847.2251422561</v>
      </c>
      <c r="T36" s="45">
        <f>'Outstanding loss reserves'!Q35+'Cum. payments'!C157</f>
        <v>1216234.002636296</v>
      </c>
      <c r="U36" s="45">
        <f>'Outstanding loss reserves'!R35+'Cum. payments'!D157</f>
        <v>1494730.6008669646</v>
      </c>
      <c r="V36" s="45">
        <f>'Outstanding loss reserves'!S35+'Cum. payments'!E157</f>
        <v>1575868.3197030653</v>
      </c>
      <c r="W36" s="45">
        <f>'Outstanding loss reserves'!T35+'Cum. payments'!F157</f>
        <v>1493642.8406907017</v>
      </c>
      <c r="X36" s="45">
        <f>'Outstanding loss reserves'!U35+'Cum. payments'!G157</f>
        <v>1490805.0278439922</v>
      </c>
      <c r="Y36" s="45">
        <f>'Outstanding loss reserves'!V35+'Cum. payments'!H157</f>
        <v>1510544.2070825405</v>
      </c>
      <c r="Z36" s="45">
        <f>'Outstanding loss reserves'!W35+'Cum. payments'!I157</f>
        <v>1482636.1052143991</v>
      </c>
    </row>
    <row r="37" spans="3:26" x14ac:dyDescent="0.3">
      <c r="C37">
        <f>'Outstanding loss reserves'!$O36</f>
        <v>2018</v>
      </c>
      <c r="D37" s="45">
        <f>'Outstanding loss reserves'!B35+'Cum. payments'!B35</f>
        <v>2210423.1054870118</v>
      </c>
      <c r="E37" s="45">
        <f>'Outstanding loss reserves'!C35+'Cum. payments'!C35</f>
        <v>1643291.8908228916</v>
      </c>
      <c r="F37" s="45">
        <f>'Outstanding loss reserves'!D35+'Cum. payments'!D35</f>
        <v>1408739.2560065927</v>
      </c>
      <c r="G37" s="45">
        <f>'Outstanding loss reserves'!E35+'Cum. payments'!E35</f>
        <v>1350931.8615393052</v>
      </c>
      <c r="H37" s="45">
        <f>'Outstanding loss reserves'!F35+'Cum. payments'!F35</f>
        <v>1355777.8494198001</v>
      </c>
      <c r="I37" s="45">
        <f>'Outstanding loss reserves'!G35+'Cum. payments'!G35</f>
        <v>1356591.9452039644</v>
      </c>
      <c r="J37" s="45">
        <f>'Outstanding loss reserves'!H35+'Cum. payments'!H35</f>
        <v>1355932.6660947814</v>
      </c>
      <c r="K37" s="45">
        <f>'Outstanding loss reserves'!I35+'Cum. payments'!I35</f>
        <v>1356307.3146196613</v>
      </c>
      <c r="R37">
        <f t="shared" si="0"/>
        <v>2018</v>
      </c>
      <c r="S37" s="45">
        <f>'Outstanding loss reserves'!P36+'Cum. payments'!B158</f>
        <v>3307875.5172522701</v>
      </c>
      <c r="T37" s="45">
        <f>'Outstanding loss reserves'!Q36+'Cum. payments'!C158</f>
        <v>2467557.4165175389</v>
      </c>
      <c r="U37" s="45">
        <f>'Outstanding loss reserves'!R36+'Cum. payments'!D158</f>
        <v>2136557.2127756858</v>
      </c>
      <c r="V37" s="45">
        <f>'Outstanding loss reserves'!S36+'Cum. payments'!E158</f>
        <v>2045239.2512578957</v>
      </c>
      <c r="W37" s="45">
        <f>'Outstanding loss reserves'!T36+'Cum. payments'!F158</f>
        <v>2020365.0985146023</v>
      </c>
      <c r="X37" s="45">
        <f>'Outstanding loss reserves'!U36+'Cum. payments'!G158</f>
        <v>2021136.399667098</v>
      </c>
      <c r="Y37" s="45">
        <f>'Outstanding loss reserves'!V36+'Cum. payments'!H158</f>
        <v>2020112.0642710493</v>
      </c>
      <c r="Z37" s="45">
        <f>'Outstanding loss reserves'!W36+'Cum. payments'!I158</f>
        <v>2020580.646030263</v>
      </c>
    </row>
    <row r="38" spans="3:26" x14ac:dyDescent="0.3">
      <c r="C38">
        <f>'Outstanding loss reserves'!$O37</f>
        <v>2018</v>
      </c>
      <c r="D38" s="45">
        <f>'Outstanding loss reserves'!B36+'Cum. payments'!B36</f>
        <v>1341575.4270558432</v>
      </c>
      <c r="E38" s="45">
        <f>'Outstanding loss reserves'!C36+'Cum. payments'!C36</f>
        <v>2688992.6505432283</v>
      </c>
      <c r="F38" s="45">
        <f>'Outstanding loss reserves'!D36+'Cum. payments'!D36</f>
        <v>2019925.8134242031</v>
      </c>
      <c r="G38" s="45">
        <f>'Outstanding loss reserves'!E36+'Cum. payments'!E36</f>
        <v>2056956.1900398391</v>
      </c>
      <c r="H38" s="45">
        <f>'Outstanding loss reserves'!F36+'Cum. payments'!F36</f>
        <v>2188989.8853657488</v>
      </c>
      <c r="I38" s="45">
        <f>'Outstanding loss reserves'!G36+'Cum. payments'!G36</f>
        <v>2183933.2525738119</v>
      </c>
      <c r="J38" s="45">
        <f>'Outstanding loss reserves'!H36+'Cum. payments'!H36</f>
        <v>2190660.3795146449</v>
      </c>
      <c r="K38" s="45">
        <f>'Outstanding loss reserves'!I36+'Cum. payments'!I36</f>
        <v>2189668.5752709932</v>
      </c>
      <c r="R38">
        <f t="shared" si="0"/>
        <v>2018</v>
      </c>
      <c r="S38" s="45">
        <f>'Outstanding loss reserves'!P37+'Cum. payments'!B159</f>
        <v>2007653.8734549335</v>
      </c>
      <c r="T38" s="45">
        <f>'Outstanding loss reserves'!Q37+'Cum. payments'!C159</f>
        <v>4037284.8797259182</v>
      </c>
      <c r="U38" s="45">
        <f>'Outstanding loss reserves'!R37+'Cum. payments'!D159</f>
        <v>3055852.214044699</v>
      </c>
      <c r="V38" s="45">
        <f>'Outstanding loss reserves'!S37+'Cum. payments'!E159</f>
        <v>3098751.0512599479</v>
      </c>
      <c r="W38" s="45">
        <f>'Outstanding loss reserves'!T37+'Cum. payments'!F159</f>
        <v>3133922.3155527078</v>
      </c>
      <c r="X38" s="45">
        <f>'Outstanding loss reserves'!U37+'Cum. payments'!G159</f>
        <v>3119860.7856605817</v>
      </c>
      <c r="Y38" s="45">
        <f>'Outstanding loss reserves'!V37+'Cum. payments'!H159</f>
        <v>3128387.7087453506</v>
      </c>
      <c r="Z38" s="45">
        <f>'Outstanding loss reserves'!W37+'Cum. payments'!I159</f>
        <v>3126973.162178969</v>
      </c>
    </row>
    <row r="39" spans="3:26" x14ac:dyDescent="0.3">
      <c r="C39">
        <f>'Outstanding loss reserves'!$O38</f>
        <v>2018</v>
      </c>
      <c r="D39" s="45">
        <f>'Outstanding loss reserves'!B37+'Cum. payments'!B37</f>
        <v>2989815.6332241884</v>
      </c>
      <c r="E39" s="45">
        <f>'Outstanding loss reserves'!C37+'Cum. payments'!C37</f>
        <v>2489049.8938457137</v>
      </c>
      <c r="F39" s="45">
        <f>'Outstanding loss reserves'!D37+'Cum. payments'!D37</f>
        <v>2301038.8702849755</v>
      </c>
      <c r="G39" s="45">
        <f>'Outstanding loss reserves'!E37+'Cum. payments'!E37</f>
        <v>2314308.9671977959</v>
      </c>
      <c r="H39" s="45">
        <f>'Outstanding loss reserves'!F37+'Cum. payments'!F37</f>
        <v>2275755.9403123376</v>
      </c>
      <c r="I39" s="45">
        <f>'Outstanding loss reserves'!G37+'Cum. payments'!G37</f>
        <v>2274580.246333424</v>
      </c>
      <c r="J39" s="45">
        <f>'Outstanding loss reserves'!H37+'Cum. payments'!H37</f>
        <v>2273728.4346436458</v>
      </c>
      <c r="K39" s="45">
        <f>'Outstanding loss reserves'!I37+'Cum. payments'!I37</f>
        <v>2273701.298237355</v>
      </c>
      <c r="R39">
        <f t="shared" si="0"/>
        <v>2018</v>
      </c>
      <c r="S39" s="45">
        <f>'Outstanding loss reserves'!P38+'Cum. payments'!B160</f>
        <v>4474228.4450837681</v>
      </c>
      <c r="T39" s="45">
        <f>'Outstanding loss reserves'!Q38+'Cum. payments'!C160</f>
        <v>3737787.3599729929</v>
      </c>
      <c r="U39" s="45">
        <f>'Outstanding loss reserves'!R38+'Cum. payments'!D160</f>
        <v>3480647.2654992738</v>
      </c>
      <c r="V39" s="45">
        <f>'Outstanding loss reserves'!S38+'Cum. payments'!E160</f>
        <v>3494555.4823131179</v>
      </c>
      <c r="W39" s="45">
        <f>'Outstanding loss reserves'!T38+'Cum. payments'!F160</f>
        <v>3378973.946781069</v>
      </c>
      <c r="X39" s="45">
        <f>'Outstanding loss reserves'!U38+'Cum. payments'!G160</f>
        <v>3375980.2350064246</v>
      </c>
      <c r="Y39" s="45">
        <f>'Outstanding loss reserves'!V38+'Cum. payments'!H160</f>
        <v>3374067.0177069176</v>
      </c>
      <c r="Z39" s="45">
        <f>'Outstanding loss reserves'!W38+'Cum. payments'!I160</f>
        <v>3374015.8791770837</v>
      </c>
    </row>
    <row r="40" spans="3:26" x14ac:dyDescent="0.3">
      <c r="C40">
        <f>'Outstanding loss reserves'!$O39</f>
        <v>2018</v>
      </c>
      <c r="D40" s="45">
        <f>'Outstanding loss reserves'!B38+'Cum. payments'!B38</f>
        <v>1648668.4985677351</v>
      </c>
      <c r="E40" s="45">
        <f>'Outstanding loss reserves'!C38+'Cum. payments'!C38</f>
        <v>1650597.5202268646</v>
      </c>
      <c r="F40" s="45">
        <f>'Outstanding loss reserves'!D38+'Cum. payments'!D38</f>
        <v>1440314.8495407458</v>
      </c>
      <c r="G40" s="45">
        <f>'Outstanding loss reserves'!E38+'Cum. payments'!E38</f>
        <v>1190639.1573247546</v>
      </c>
      <c r="H40" s="45">
        <f>'Outstanding loss reserves'!F38+'Cum. payments'!F38</f>
        <v>1171513.55303038</v>
      </c>
      <c r="I40" s="45">
        <f>'Outstanding loss reserves'!G38+'Cum. payments'!G38</f>
        <v>1184044.4681460585</v>
      </c>
      <c r="J40" s="45">
        <f>'Outstanding loss reserves'!H38+'Cum. payments'!H38</f>
        <v>1183751.7831285663</v>
      </c>
      <c r="K40" s="45">
        <f>'Outstanding loss reserves'!I38+'Cum. payments'!I38</f>
        <v>1183169.1799888653</v>
      </c>
      <c r="R40">
        <f t="shared" si="0"/>
        <v>2018</v>
      </c>
      <c r="S40" s="45">
        <f>'Outstanding loss reserves'!P39+'Cum. payments'!B161</f>
        <v>2467215.5068138903</v>
      </c>
      <c r="T40" s="45">
        <f>'Outstanding loss reserves'!Q39+'Cum. payments'!C161</f>
        <v>2478483.7213986437</v>
      </c>
      <c r="U40" s="45">
        <f>'Outstanding loss reserves'!R39+'Cum. payments'!D161</f>
        <v>2184297.7499013008</v>
      </c>
      <c r="V40" s="45">
        <f>'Outstanding loss reserves'!S39+'Cum. payments'!E161</f>
        <v>1796379.8272579338</v>
      </c>
      <c r="W40" s="45">
        <f>'Outstanding loss reserves'!T39+'Cum. payments'!F161</f>
        <v>1703207.0268370255</v>
      </c>
      <c r="X40" s="45">
        <f>'Outstanding loss reserves'!U39+'Cum. payments'!G161</f>
        <v>1717186.71982375</v>
      </c>
      <c r="Y40" s="45">
        <f>'Outstanding loss reserves'!V39+'Cum. payments'!H161</f>
        <v>1716707.0231212878</v>
      </c>
      <c r="Z40" s="45">
        <f>'Outstanding loss reserves'!W39+'Cum. payments'!I161</f>
        <v>1715885.9819908687</v>
      </c>
    </row>
    <row r="41" spans="3:26" x14ac:dyDescent="0.3">
      <c r="C41">
        <f>'Outstanding loss reserves'!$O40</f>
        <v>2018</v>
      </c>
      <c r="D41" s="45">
        <f>'Outstanding loss reserves'!B39+'Cum. payments'!B39</f>
        <v>1704710.614506776</v>
      </c>
      <c r="E41" s="45">
        <f>'Outstanding loss reserves'!C39+'Cum. payments'!C39</f>
        <v>3011814.0654977183</v>
      </c>
      <c r="F41" s="45">
        <f>'Outstanding loss reserves'!D39+'Cum. payments'!D39</f>
        <v>2724278.5339641077</v>
      </c>
      <c r="G41" s="45">
        <f>'Outstanding loss reserves'!E39+'Cum. payments'!E39</f>
        <v>2583947.6316305008</v>
      </c>
      <c r="H41" s="45">
        <f>'Outstanding loss reserves'!F39+'Cum. payments'!F39</f>
        <v>2554218.910943266</v>
      </c>
      <c r="I41" s="45">
        <f>'Outstanding loss reserves'!G39+'Cum. payments'!G39</f>
        <v>2551363.5083802054</v>
      </c>
      <c r="J41" s="45">
        <f>'Outstanding loss reserves'!H39+'Cum. payments'!H39</f>
        <v>2550994.6501477323</v>
      </c>
      <c r="K41" s="45">
        <f>'Outstanding loss reserves'!I39+'Cum. payments'!I39</f>
        <v>2550703.2288131113</v>
      </c>
      <c r="R41">
        <f t="shared" si="0"/>
        <v>2018</v>
      </c>
      <c r="S41" s="45">
        <f>'Outstanding loss reserves'!P40+'Cum. payments'!B162</f>
        <v>2551081.9588020137</v>
      </c>
      <c r="T41" s="45">
        <f>'Outstanding loss reserves'!Q40+'Cum. payments'!C162</f>
        <v>4519661.5622429047</v>
      </c>
      <c r="U41" s="45">
        <f>'Outstanding loss reserves'!R40+'Cum. payments'!D162</f>
        <v>4109274.6875709845</v>
      </c>
      <c r="V41" s="45">
        <f>'Outstanding loss reserves'!S40+'Cum. payments'!E162</f>
        <v>3887733.3498716992</v>
      </c>
      <c r="W41" s="45">
        <f>'Outstanding loss reserves'!T40+'Cum. payments'!F162</f>
        <v>3822983.2802819763</v>
      </c>
      <c r="X41" s="45">
        <f>'Outstanding loss reserves'!U40+'Cum. payments'!G162</f>
        <v>3818266.5407869988</v>
      </c>
      <c r="Y41" s="45">
        <f>'Outstanding loss reserves'!V40+'Cum. payments'!H162</f>
        <v>3817708.3683462502</v>
      </c>
      <c r="Z41" s="45">
        <f>'Outstanding loss reserves'!W40+'Cum. payments'!I162</f>
        <v>3817290.7624119306</v>
      </c>
    </row>
    <row r="42" spans="3:26" x14ac:dyDescent="0.3">
      <c r="C42">
        <f>'Outstanding loss reserves'!$O41</f>
        <v>2019</v>
      </c>
      <c r="D42" s="45">
        <f>'Outstanding loss reserves'!B40+'Cum. payments'!B40</f>
        <v>408041.99317372765</v>
      </c>
      <c r="E42" s="45">
        <f>'Outstanding loss reserves'!C40+'Cum. payments'!C40</f>
        <v>1588186.357355413</v>
      </c>
      <c r="F42" s="45">
        <f>'Outstanding loss reserves'!D40+'Cum. payments'!D40</f>
        <v>1456736.553296004</v>
      </c>
      <c r="G42" s="45">
        <f>'Outstanding loss reserves'!E40+'Cum. payments'!E40</f>
        <v>1489427.7126148031</v>
      </c>
      <c r="H42" s="45">
        <f>'Outstanding loss reserves'!F40+'Cum. payments'!F40</f>
        <v>1549746.6347462444</v>
      </c>
      <c r="I42" s="45">
        <f>'Outstanding loss reserves'!G40+'Cum. payments'!G40</f>
        <v>1555143.3437124339</v>
      </c>
      <c r="J42" s="45">
        <f>'Outstanding loss reserves'!H40+'Cum. payments'!H40</f>
        <v>1555847.5765866397</v>
      </c>
      <c r="R42">
        <f t="shared" si="0"/>
        <v>2019</v>
      </c>
      <c r="S42" s="45">
        <f>'Outstanding loss reserves'!P41+'Cum. payments'!B163</f>
        <v>593182.26466504624</v>
      </c>
      <c r="T42" s="45">
        <f>'Outstanding loss reserves'!Q41+'Cum. payments'!C163</f>
        <v>2330948.1668094443</v>
      </c>
      <c r="U42" s="45">
        <f>'Outstanding loss reserves'!R41+'Cum. payments'!D163</f>
        <v>2130471.6446035658</v>
      </c>
      <c r="V42" s="45">
        <f>'Outstanding loss reserves'!S41+'Cum. payments'!E163</f>
        <v>2091336.1729067932</v>
      </c>
      <c r="W42" s="45">
        <f>'Outstanding loss reserves'!T41+'Cum. payments'!F163</f>
        <v>2166678.0839611273</v>
      </c>
      <c r="X42" s="45">
        <f>'Outstanding loss reserves'!U41+'Cum. payments'!G163</f>
        <v>2172350.6277143289</v>
      </c>
      <c r="Y42" s="45">
        <f>'Outstanding loss reserves'!V41+'Cum. payments'!H163</f>
        <v>2172941.1620761482</v>
      </c>
    </row>
    <row r="43" spans="3:26" x14ac:dyDescent="0.3">
      <c r="C43">
        <f>'Outstanding loss reserves'!$O42</f>
        <v>2019</v>
      </c>
      <c r="D43" s="45">
        <f>'Outstanding loss reserves'!B41+'Cum. payments'!B41</f>
        <v>1652499.1364891753</v>
      </c>
      <c r="E43" s="45">
        <f>'Outstanding loss reserves'!C41+'Cum. payments'!C41</f>
        <v>1236752.1804481219</v>
      </c>
      <c r="F43" s="45">
        <f>'Outstanding loss reserves'!D41+'Cum. payments'!D41</f>
        <v>1142688.9778910365</v>
      </c>
      <c r="G43" s="45">
        <f>'Outstanding loss reserves'!E41+'Cum. payments'!E41</f>
        <v>1222327.2033942656</v>
      </c>
      <c r="H43" s="45">
        <f>'Outstanding loss reserves'!F41+'Cum. payments'!F41</f>
        <v>1139701.9092389874</v>
      </c>
      <c r="I43" s="45">
        <f>'Outstanding loss reserves'!G41+'Cum. payments'!G41</f>
        <v>1151265.279626458</v>
      </c>
      <c r="J43" s="45">
        <f>'Outstanding loss reserves'!H41+'Cum. payments'!H41</f>
        <v>1148552.8216320598</v>
      </c>
      <c r="R43">
        <f t="shared" si="0"/>
        <v>2019</v>
      </c>
      <c r="S43" s="45">
        <f>'Outstanding loss reserves'!P42+'Cum. payments'!B164</f>
        <v>2402285.0504073952</v>
      </c>
      <c r="T43" s="45">
        <f>'Outstanding loss reserves'!Q42+'Cum. payments'!C164</f>
        <v>1815869.713310075</v>
      </c>
      <c r="U43" s="45">
        <f>'Outstanding loss reserves'!R42+'Cum. payments'!D164</f>
        <v>1667762.7630250594</v>
      </c>
      <c r="V43" s="45">
        <f>'Outstanding loss reserves'!S42+'Cum. payments'!E164</f>
        <v>1725946.738513157</v>
      </c>
      <c r="W43" s="45">
        <f>'Outstanding loss reserves'!T42+'Cum. payments'!F164</f>
        <v>1599358.8418830335</v>
      </c>
      <c r="X43" s="45">
        <f>'Outstanding loss reserves'!U42+'Cum. payments'!G164</f>
        <v>1611705.6365758923</v>
      </c>
      <c r="Y43" s="45">
        <f>'Outstanding loss reserves'!V42+'Cum. payments'!H164</f>
        <v>1607061.920115812</v>
      </c>
    </row>
    <row r="44" spans="3:26" x14ac:dyDescent="0.3">
      <c r="C44">
        <f>'Outstanding loss reserves'!$O43</f>
        <v>2019</v>
      </c>
      <c r="D44" s="45">
        <f>'Outstanding loss reserves'!B42+'Cum. payments'!B42</f>
        <v>1285041.3889252101</v>
      </c>
      <c r="E44" s="45">
        <f>'Outstanding loss reserves'!C42+'Cum. payments'!C42</f>
        <v>1328821.9777898425</v>
      </c>
      <c r="F44" s="45">
        <f>'Outstanding loss reserves'!D42+'Cum. payments'!D42</f>
        <v>1638893.0344874146</v>
      </c>
      <c r="G44" s="45">
        <f>'Outstanding loss reserves'!E42+'Cum. payments'!E42</f>
        <v>1510254.4302567507</v>
      </c>
      <c r="H44" s="45">
        <f>'Outstanding loss reserves'!F42+'Cum. payments'!F42</f>
        <v>1398900.1424032771</v>
      </c>
      <c r="I44" s="45">
        <f>'Outstanding loss reserves'!G42+'Cum. payments'!G42</f>
        <v>1472244.6074280397</v>
      </c>
      <c r="J44" s="45">
        <f>'Outstanding loss reserves'!H42+'Cum. payments'!H42</f>
        <v>1455993.6968068832</v>
      </c>
      <c r="R44">
        <f t="shared" si="0"/>
        <v>2019</v>
      </c>
      <c r="S44" s="45">
        <f>'Outstanding loss reserves'!P43+'Cum. payments'!B165</f>
        <v>1868101.259240815</v>
      </c>
      <c r="T44" s="45">
        <f>'Outstanding loss reserves'!Q43+'Cum. payments'!C165</f>
        <v>1943992.4433028302</v>
      </c>
      <c r="U44" s="45">
        <f>'Outstanding loss reserves'!R43+'Cum. payments'!D165</f>
        <v>2389353.958275117</v>
      </c>
      <c r="V44" s="45">
        <f>'Outstanding loss reserves'!S43+'Cum. payments'!E165</f>
        <v>2104098.7393390206</v>
      </c>
      <c r="W44" s="45">
        <f>'Outstanding loss reserves'!T43+'Cum. payments'!F165</f>
        <v>1927906.4241548281</v>
      </c>
      <c r="X44" s="45">
        <f>'Outstanding loss reserves'!U43+'Cum. payments'!G165</f>
        <v>2016225.4299567989</v>
      </c>
      <c r="Y44" s="45">
        <f>'Outstanding loss reserves'!V43+'Cum. payments'!H165</f>
        <v>1992983.1089126619</v>
      </c>
    </row>
    <row r="45" spans="3:26" x14ac:dyDescent="0.3">
      <c r="C45">
        <f>'Outstanding loss reserves'!$O44</f>
        <v>2019</v>
      </c>
      <c r="D45" s="45">
        <f>'Outstanding loss reserves'!B43+'Cum. payments'!B43</f>
        <v>994406.9023398048</v>
      </c>
      <c r="E45" s="45">
        <f>'Outstanding loss reserves'!C43+'Cum. payments'!C43</f>
        <v>824261.84883396002</v>
      </c>
      <c r="F45" s="45">
        <f>'Outstanding loss reserves'!D43+'Cum. payments'!D43</f>
        <v>829862.6050941312</v>
      </c>
      <c r="G45" s="45">
        <f>'Outstanding loss reserves'!E43+'Cum. payments'!E43</f>
        <v>828425.58915310341</v>
      </c>
      <c r="H45" s="45">
        <f>'Outstanding loss reserves'!F43+'Cum. payments'!F43</f>
        <v>817869.52749129885</v>
      </c>
      <c r="I45" s="45">
        <f>'Outstanding loss reserves'!G43+'Cum. payments'!G43</f>
        <v>817514.78702961584</v>
      </c>
      <c r="J45" s="45">
        <f>'Outstanding loss reserves'!H43+'Cum. payments'!H43</f>
        <v>817515.08507595654</v>
      </c>
      <c r="R45">
        <f t="shared" si="0"/>
        <v>2019</v>
      </c>
      <c r="S45" s="45">
        <f>'Outstanding loss reserves'!P44+'Cum. payments'!B166</f>
        <v>1445597.6301373926</v>
      </c>
      <c r="T45" s="45">
        <f>'Outstanding loss reserves'!Q44+'Cum. payments'!C166</f>
        <v>1208171.0908449583</v>
      </c>
      <c r="U45" s="45">
        <f>'Outstanding loss reserves'!R44+'Cum. payments'!D166</f>
        <v>1210644.0860982654</v>
      </c>
      <c r="V45" s="45">
        <f>'Outstanding loss reserves'!S44+'Cum. payments'!E166</f>
        <v>1177228.1857186912</v>
      </c>
      <c r="W45" s="45">
        <f>'Outstanding loss reserves'!T44+'Cum. payments'!F166</f>
        <v>1160596.6407242857</v>
      </c>
      <c r="X45" s="45">
        <f>'Outstanding loss reserves'!U44+'Cum. payments'!G166</f>
        <v>1159668.4360673362</v>
      </c>
      <c r="Y45" s="45">
        <f>'Outstanding loss reserves'!V44+'Cum. payments'!H166</f>
        <v>1159563.2701056683</v>
      </c>
    </row>
    <row r="46" spans="3:26" x14ac:dyDescent="0.3">
      <c r="C46">
        <f>'Outstanding loss reserves'!$O45</f>
        <v>2019</v>
      </c>
      <c r="D46" s="45">
        <f>'Outstanding loss reserves'!B44+'Cum. payments'!B44</f>
        <v>945615.45387006842</v>
      </c>
      <c r="E46" s="45">
        <f>'Outstanding loss reserves'!C44+'Cum. payments'!C44</f>
        <v>1479502.6089148524</v>
      </c>
      <c r="F46" s="45">
        <f>'Outstanding loss reserves'!D44+'Cum. payments'!D44</f>
        <v>1831820.2586359889</v>
      </c>
      <c r="G46" s="45">
        <f>'Outstanding loss reserves'!E44+'Cum. payments'!E44</f>
        <v>1960211.0667637282</v>
      </c>
      <c r="H46" s="45">
        <f>'Outstanding loss reserves'!F44+'Cum. payments'!F44</f>
        <v>1675730.0769422911</v>
      </c>
      <c r="I46" s="45">
        <f>'Outstanding loss reserves'!G44+'Cum. payments'!G44</f>
        <v>1580172.3595157652</v>
      </c>
      <c r="J46" s="45">
        <f>'Outstanding loss reserves'!H44+'Cum. payments'!H44</f>
        <v>1588106.2710675262</v>
      </c>
      <c r="R46">
        <f t="shared" si="0"/>
        <v>2019</v>
      </c>
      <c r="S46" s="45">
        <f>'Outstanding loss reserves'!P45+'Cum. payments'!B167</f>
        <v>1374668.1121374066</v>
      </c>
      <c r="T46" s="45">
        <f>'Outstanding loss reserves'!Q45+'Cum. payments'!C167</f>
        <v>2172333.9957298394</v>
      </c>
      <c r="U46" s="45">
        <f>'Outstanding loss reserves'!R45+'Cum. payments'!D167</f>
        <v>2674238.4903363124</v>
      </c>
      <c r="V46" s="45">
        <f>'Outstanding loss reserves'!S45+'Cum. payments'!E167</f>
        <v>2680041.9647310148</v>
      </c>
      <c r="W46" s="45">
        <f>'Outstanding loss reserves'!T45+'Cum. payments'!F167</f>
        <v>2250438.340300289</v>
      </c>
      <c r="X46" s="45">
        <f>'Outstanding loss reserves'!U45+'Cum. payments'!G167</f>
        <v>2107578.076367869</v>
      </c>
      <c r="Y46" s="45">
        <f>'Outstanding loss reserves'!V45+'Cum. payments'!H167</f>
        <v>2114837.960540757</v>
      </c>
    </row>
    <row r="47" spans="3:26" x14ac:dyDescent="0.3">
      <c r="C47">
        <f>'Outstanding loss reserves'!$O46</f>
        <v>2019</v>
      </c>
      <c r="D47" s="45">
        <f>'Outstanding loss reserves'!B45+'Cum. payments'!B45</f>
        <v>1111980.6051906398</v>
      </c>
      <c r="E47" s="45">
        <f>'Outstanding loss reserves'!C45+'Cum. payments'!C45</f>
        <v>821076.98000897618</v>
      </c>
      <c r="F47" s="45">
        <f>'Outstanding loss reserves'!D45+'Cum. payments'!D45</f>
        <v>971285.33948683902</v>
      </c>
      <c r="G47" s="45">
        <f>'Outstanding loss reserves'!E45+'Cum. payments'!E45</f>
        <v>1037206.553601859</v>
      </c>
      <c r="H47" s="45">
        <f>'Outstanding loss reserves'!F45+'Cum. payments'!F45</f>
        <v>1027543.420664398</v>
      </c>
      <c r="I47" s="45">
        <f>'Outstanding loss reserves'!G45+'Cum. payments'!G45</f>
        <v>968596.52357015759</v>
      </c>
      <c r="J47" s="45">
        <f>'Outstanding loss reserves'!H45+'Cum. payments'!H45</f>
        <v>972123.41670660709</v>
      </c>
      <c r="R47">
        <f t="shared" si="0"/>
        <v>2019</v>
      </c>
      <c r="S47" s="45">
        <f>'Outstanding loss reserves'!P46+'Cum. payments'!B168</f>
        <v>1616517.8699383487</v>
      </c>
      <c r="T47" s="45">
        <f>'Outstanding loss reserves'!Q46+'Cum. payments'!C168</f>
        <v>1205652.5438956828</v>
      </c>
      <c r="U47" s="45">
        <f>'Outstanding loss reserves'!R46+'Cum. payments'!D168</f>
        <v>1418435.8870417839</v>
      </c>
      <c r="V47" s="45">
        <f>'Outstanding loss reserves'!S46+'Cum. payments'!E168</f>
        <v>1435983.3887731037</v>
      </c>
      <c r="W47" s="45">
        <f>'Outstanding loss reserves'!T46+'Cum. payments'!F168</f>
        <v>1401781.9357512072</v>
      </c>
      <c r="X47" s="45">
        <f>'Outstanding loss reserves'!U46+'Cum. payments'!G168</f>
        <v>1314728.7143181656</v>
      </c>
      <c r="Y47" s="45">
        <f>'Outstanding loss reserves'!V46+'Cum. payments'!H168</f>
        <v>1319074.6780881733</v>
      </c>
    </row>
    <row r="48" spans="3:26" x14ac:dyDescent="0.3">
      <c r="C48">
        <f>'Outstanding loss reserves'!$O47</f>
        <v>2019</v>
      </c>
      <c r="D48" s="45">
        <f>'Outstanding loss reserves'!B46+'Cum. payments'!B46</f>
        <v>3597910.4049940505</v>
      </c>
      <c r="E48" s="45">
        <f>'Outstanding loss reserves'!C46+'Cum. payments'!C46</f>
        <v>3100925.1593767358</v>
      </c>
      <c r="F48" s="45">
        <f>'Outstanding loss reserves'!D46+'Cum. payments'!D46</f>
        <v>2794708.5344988615</v>
      </c>
      <c r="G48" s="45">
        <f>'Outstanding loss reserves'!E46+'Cum. payments'!E46</f>
        <v>2812714.0510855769</v>
      </c>
      <c r="H48" s="45">
        <f>'Outstanding loss reserves'!F46+'Cum. payments'!F46</f>
        <v>2806108.8820889713</v>
      </c>
      <c r="I48" s="45">
        <f>'Outstanding loss reserves'!G46+'Cum. payments'!G46</f>
        <v>2803053.4245960908</v>
      </c>
      <c r="J48" s="45">
        <f>'Outstanding loss reserves'!H46+'Cum. payments'!H46</f>
        <v>2804300.9709628504</v>
      </c>
      <c r="R48">
        <f t="shared" si="0"/>
        <v>2019</v>
      </c>
      <c r="S48" s="45">
        <f>'Outstanding loss reserves'!P47+'Cum. payments'!B169</f>
        <v>5230384.8079372607</v>
      </c>
      <c r="T48" s="45">
        <f>'Outstanding loss reserves'!Q47+'Cum. payments'!C169</f>
        <v>4547674.6532643847</v>
      </c>
      <c r="U48" s="45">
        <f>'Outstanding loss reserves'!R47+'Cum. payments'!D169</f>
        <v>4091246.5877943202</v>
      </c>
      <c r="V48" s="45">
        <f>'Outstanding loss reserves'!S47+'Cum. payments'!E169</f>
        <v>4048356.227679831</v>
      </c>
      <c r="W48" s="45">
        <f>'Outstanding loss reserves'!T47+'Cum. payments'!F169</f>
        <v>4034841.2658916181</v>
      </c>
      <c r="X48" s="45">
        <f>'Outstanding loss reserves'!U47+'Cum. payments'!G169</f>
        <v>4029981.2761463542</v>
      </c>
      <c r="Y48" s="45">
        <f>'Outstanding loss reserves'!V47+'Cum. payments'!H169</f>
        <v>4031544.0607109736</v>
      </c>
    </row>
    <row r="49" spans="3:25" x14ac:dyDescent="0.3">
      <c r="C49">
        <f>'Outstanding loss reserves'!$O48</f>
        <v>2019</v>
      </c>
      <c r="D49" s="45">
        <f>'Outstanding loss reserves'!B47+'Cum. payments'!B47</f>
        <v>1257750.1095229778</v>
      </c>
      <c r="E49" s="45">
        <f>'Outstanding loss reserves'!C47+'Cum. payments'!C47</f>
        <v>807330.07361581153</v>
      </c>
      <c r="F49" s="45">
        <f>'Outstanding loss reserves'!D47+'Cum. payments'!D47</f>
        <v>788830.37981365493</v>
      </c>
      <c r="G49" s="45">
        <f>'Outstanding loss reserves'!E47+'Cum. payments'!E47</f>
        <v>686854.4251590746</v>
      </c>
      <c r="H49" s="45">
        <f>'Outstanding loss reserves'!F47+'Cum. payments'!F47</f>
        <v>754522.60318403679</v>
      </c>
      <c r="I49" s="45">
        <f>'Outstanding loss reserves'!G47+'Cum. payments'!G47</f>
        <v>754900.50508205569</v>
      </c>
      <c r="J49" s="45">
        <f>'Outstanding loss reserves'!H47+'Cum. payments'!H47</f>
        <v>757139.98307800677</v>
      </c>
      <c r="R49">
        <f t="shared" si="0"/>
        <v>2019</v>
      </c>
      <c r="S49" s="45">
        <f>'Outstanding loss reserves'!P48+'Cum. payments'!B170</f>
        <v>1828427.1492417241</v>
      </c>
      <c r="T49" s="45">
        <f>'Outstanding loss reserves'!Q48+'Cum. payments'!C170</f>
        <v>1180425.6469071496</v>
      </c>
      <c r="U49" s="45">
        <f>'Outstanding loss reserves'!R48+'Cum. payments'!D170</f>
        <v>1150152.6862277391</v>
      </c>
      <c r="V49" s="45">
        <f>'Outstanding loss reserves'!S48+'Cum. payments'!E170</f>
        <v>990537.15411048685</v>
      </c>
      <c r="W49" s="45">
        <f>'Outstanding loss reserves'!T48+'Cum. payments'!F170</f>
        <v>1077518.5338661333</v>
      </c>
      <c r="X49" s="45">
        <f>'Outstanding loss reserves'!U48+'Cum. payments'!G170</f>
        <v>1077138.549936912</v>
      </c>
      <c r="Y49" s="45">
        <f>'Outstanding loss reserves'!V48+'Cum. payments'!H170</f>
        <v>1079865.9136745317</v>
      </c>
    </row>
    <row r="50" spans="3:25" x14ac:dyDescent="0.3">
      <c r="C50">
        <f>'Outstanding loss reserves'!$O49</f>
        <v>2019</v>
      </c>
      <c r="D50" s="45">
        <f>'Outstanding loss reserves'!B48+'Cum. payments'!B48</f>
        <v>1532798.113382925</v>
      </c>
      <c r="E50" s="45">
        <f>'Outstanding loss reserves'!C48+'Cum. payments'!C48</f>
        <v>1740912.683108561</v>
      </c>
      <c r="F50" s="45">
        <f>'Outstanding loss reserves'!D48+'Cum. payments'!D48</f>
        <v>1610688.2832486578</v>
      </c>
      <c r="G50" s="45">
        <f>'Outstanding loss reserves'!E48+'Cum. payments'!E48</f>
        <v>1879010.8874493446</v>
      </c>
      <c r="H50" s="45">
        <f>'Outstanding loss reserves'!F48+'Cum. payments'!F48</f>
        <v>2000218.0812564746</v>
      </c>
      <c r="I50" s="45">
        <f>'Outstanding loss reserves'!G48+'Cum. payments'!G48</f>
        <v>1900103.5437933542</v>
      </c>
      <c r="J50" s="45">
        <f>'Outstanding loss reserves'!H48+'Cum. payments'!H48</f>
        <v>1875245.7216920124</v>
      </c>
      <c r="R50">
        <f t="shared" si="0"/>
        <v>2019</v>
      </c>
      <c r="S50" s="45">
        <f>'Outstanding loss reserves'!P49+'Cum. payments'!B171</f>
        <v>2228272.2645746935</v>
      </c>
      <c r="T50" s="45">
        <f>'Outstanding loss reserves'!Q49+'Cum. payments'!C171</f>
        <v>2556399.7385552535</v>
      </c>
      <c r="U50" s="45">
        <f>'Outstanding loss reserves'!R49+'Cum. payments'!D171</f>
        <v>2351438.1413896387</v>
      </c>
      <c r="V50" s="45">
        <f>'Outstanding loss reserves'!S49+'Cum. payments'!E171</f>
        <v>2596260.6731982958</v>
      </c>
      <c r="W50" s="45">
        <f>'Outstanding loss reserves'!T49+'Cum. payments'!F171</f>
        <v>2738270.1506180703</v>
      </c>
      <c r="X50" s="45">
        <f>'Outstanding loss reserves'!U49+'Cum. payments'!G171</f>
        <v>2595382.0306275771</v>
      </c>
      <c r="Y50" s="45">
        <f>'Outstanding loss reserves'!V49+'Cum. payments'!H171</f>
        <v>2559017.2531144167</v>
      </c>
    </row>
    <row r="51" spans="3:25" x14ac:dyDescent="0.3">
      <c r="C51">
        <f>'Outstanding loss reserves'!$O50</f>
        <v>2019</v>
      </c>
      <c r="D51" s="45">
        <f>'Outstanding loss reserves'!B49+'Cum. payments'!B49</f>
        <v>3425002.5524377543</v>
      </c>
      <c r="E51" s="45">
        <f>'Outstanding loss reserves'!C49+'Cum. payments'!C49</f>
        <v>2529601.1501873154</v>
      </c>
      <c r="F51" s="45">
        <f>'Outstanding loss reserves'!D49+'Cum. payments'!D49</f>
        <v>2656572.7378219063</v>
      </c>
      <c r="G51" s="45">
        <f>'Outstanding loss reserves'!E49+'Cum. payments'!E49</f>
        <v>2660242.871970538</v>
      </c>
      <c r="H51" s="45">
        <f>'Outstanding loss reserves'!F49+'Cum. payments'!F49</f>
        <v>2645163.3569560545</v>
      </c>
      <c r="I51" s="45">
        <f>'Outstanding loss reserves'!G49+'Cum. payments'!G49</f>
        <v>2648190.1822656835</v>
      </c>
      <c r="J51" s="45">
        <f>'Outstanding loss reserves'!H49+'Cum. payments'!H49</f>
        <v>2650669.5231791339</v>
      </c>
      <c r="R51">
        <f t="shared" si="0"/>
        <v>2019</v>
      </c>
      <c r="S51" s="45">
        <f>'Outstanding loss reserves'!P50+'Cum. payments'!B172</f>
        <v>4979023.7390434397</v>
      </c>
      <c r="T51" s="45">
        <f>'Outstanding loss reserves'!Q50+'Cum. payments'!C172</f>
        <v>3712299.9773049708</v>
      </c>
      <c r="U51" s="45">
        <f>'Outstanding loss reserves'!R50+'Cum. payments'!D172</f>
        <v>3886214.9043652033</v>
      </c>
      <c r="V51" s="45">
        <f>'Outstanding loss reserves'!S50+'Cum. payments'!E172</f>
        <v>3877030.4587814002</v>
      </c>
      <c r="W51" s="45">
        <f>'Outstanding loss reserves'!T50+'Cum. payments'!F172</f>
        <v>3854113.8377061323</v>
      </c>
      <c r="X51" s="45">
        <f>'Outstanding loss reserves'!U50+'Cum. payments'!G172</f>
        <v>3857638.3657974158</v>
      </c>
      <c r="Y51" s="45">
        <f>'Outstanding loss reserves'!V50+'Cum. payments'!H172</f>
        <v>3860761.8945601792</v>
      </c>
    </row>
    <row r="52" spans="3:25" x14ac:dyDescent="0.3">
      <c r="C52">
        <f>'Outstanding loss reserves'!$O51</f>
        <v>2019</v>
      </c>
      <c r="D52" s="45">
        <f>'Outstanding loss reserves'!B50+'Cum. payments'!B50</f>
        <v>1155533.1006691353</v>
      </c>
      <c r="E52" s="45">
        <f>'Outstanding loss reserves'!C50+'Cum. payments'!C50</f>
        <v>1605203.3819605203</v>
      </c>
      <c r="F52" s="45">
        <f>'Outstanding loss reserves'!D50+'Cum. payments'!D50</f>
        <v>1508708.3657086017</v>
      </c>
      <c r="G52" s="45">
        <f>'Outstanding loss reserves'!E50+'Cum. payments'!E50</f>
        <v>1521601.498580521</v>
      </c>
      <c r="H52" s="45">
        <f>'Outstanding loss reserves'!F50+'Cum. payments'!F50</f>
        <v>1480992.3568990931</v>
      </c>
      <c r="I52" s="45">
        <f>'Outstanding loss reserves'!G50+'Cum. payments'!G50</f>
        <v>1478579.6844747248</v>
      </c>
      <c r="J52" s="45">
        <f>'Outstanding loss reserves'!H50+'Cum. payments'!H50</f>
        <v>1478919.8195325749</v>
      </c>
      <c r="R52">
        <f t="shared" si="0"/>
        <v>2019</v>
      </c>
      <c r="S52" s="45">
        <f>'Outstanding loss reserves'!P51+'Cum. payments'!B173</f>
        <v>1679831.3727933078</v>
      </c>
      <c r="T52" s="45">
        <f>'Outstanding loss reserves'!Q51+'Cum. payments'!C173</f>
        <v>2352299.8209672626</v>
      </c>
      <c r="U52" s="45">
        <f>'Outstanding loss reserves'!R51+'Cum. payments'!D173</f>
        <v>2201688.9991665934</v>
      </c>
      <c r="V52" s="45">
        <f>'Outstanding loss reserves'!S51+'Cum. payments'!E173</f>
        <v>2119127.9317575172</v>
      </c>
      <c r="W52" s="45">
        <f>'Outstanding loss reserves'!T51+'Cum. payments'!F173</f>
        <v>2044842.494061131</v>
      </c>
      <c r="X52" s="45">
        <f>'Outstanding loss reserves'!U51+'Cum. payments'!G173</f>
        <v>2041247.2496199033</v>
      </c>
      <c r="Y52" s="45">
        <f>'Outstanding loss reserves'!V51+'Cum. payments'!H173</f>
        <v>2041647.8887822209</v>
      </c>
    </row>
    <row r="53" spans="3:25" x14ac:dyDescent="0.3">
      <c r="C53">
        <f>'Outstanding loss reserves'!$O52</f>
        <v>2019</v>
      </c>
      <c r="D53" s="45">
        <f>'Outstanding loss reserves'!B51+'Cum. payments'!B51</f>
        <v>690924.32027638832</v>
      </c>
      <c r="E53" s="45">
        <f>'Outstanding loss reserves'!C51+'Cum. payments'!C51</f>
        <v>858397.13713379425</v>
      </c>
      <c r="F53" s="45">
        <f>'Outstanding loss reserves'!D51+'Cum. payments'!D51</f>
        <v>776652.42509055533</v>
      </c>
      <c r="G53" s="45">
        <f>'Outstanding loss reserves'!E51+'Cum. payments'!E51</f>
        <v>739044.2708470748</v>
      </c>
      <c r="H53" s="45">
        <f>'Outstanding loss reserves'!F51+'Cum. payments'!F51</f>
        <v>741862.52788079157</v>
      </c>
      <c r="I53" s="45">
        <f>'Outstanding loss reserves'!G51+'Cum. payments'!G51</f>
        <v>736283.06911290251</v>
      </c>
      <c r="J53" s="45">
        <f>'Outstanding loss reserves'!H51+'Cum. payments'!H51</f>
        <v>736373.29294757452</v>
      </c>
      <c r="R53">
        <f t="shared" si="0"/>
        <v>2019</v>
      </c>
      <c r="S53" s="45">
        <f>'Outstanding loss reserves'!P52+'Cum. payments'!B174</f>
        <v>1004416.3587820012</v>
      </c>
      <c r="T53" s="45">
        <f>'Outstanding loss reserves'!Q52+'Cum. payments'!C174</f>
        <v>1260208.3631840479</v>
      </c>
      <c r="U53" s="45">
        <f>'Outstanding loss reserves'!R52+'Cum. payments'!D174</f>
        <v>1135177.7671411112</v>
      </c>
      <c r="V53" s="45">
        <f>'Outstanding loss reserves'!S52+'Cum. payments'!E174</f>
        <v>1029470.9910313629</v>
      </c>
      <c r="W53" s="45">
        <f>'Outstanding loss reserves'!T52+'Cum. payments'!F174</f>
        <v>1022392.3237764891</v>
      </c>
      <c r="X53" s="45">
        <f>'Outstanding loss reserves'!U52+'Cum. payments'!G174</f>
        <v>1013511.2216955415</v>
      </c>
      <c r="Y53" s="45">
        <f>'Outstanding loss reserves'!V52+'Cum. payments'!H174</f>
        <v>1013620.6111277206</v>
      </c>
    </row>
    <row r="54" spans="3:25" x14ac:dyDescent="0.3">
      <c r="C54">
        <f>'Outstanding loss reserves'!$O53</f>
        <v>2019</v>
      </c>
      <c r="D54" s="45">
        <f>'Outstanding loss reserves'!B52+'Cum. payments'!B52</f>
        <v>2845697.8555235132</v>
      </c>
      <c r="E54" s="45">
        <f>'Outstanding loss reserves'!C52+'Cum. payments'!C52</f>
        <v>3621821.3358351029</v>
      </c>
      <c r="F54" s="45">
        <f>'Outstanding loss reserves'!D52+'Cum. payments'!D52</f>
        <v>3783657.2237921371</v>
      </c>
      <c r="G54" s="45">
        <f>'Outstanding loss reserves'!E52+'Cum. payments'!E52</f>
        <v>3613904.3980318145</v>
      </c>
      <c r="H54" s="45">
        <f>'Outstanding loss reserves'!F52+'Cum. payments'!F52</f>
        <v>3611442.9729793621</v>
      </c>
      <c r="I54" s="45">
        <f>'Outstanding loss reserves'!G52+'Cum. payments'!G52</f>
        <v>3678069.5700907861</v>
      </c>
      <c r="J54" s="45">
        <f>'Outstanding loss reserves'!H52+'Cum. payments'!H52</f>
        <v>3677389.3775701257</v>
      </c>
      <c r="R54">
        <f t="shared" si="0"/>
        <v>2019</v>
      </c>
      <c r="S54" s="45">
        <f>'Outstanding loss reserves'!P53+'Cum. payments'!B175</f>
        <v>4136872.0051644635</v>
      </c>
      <c r="T54" s="45">
        <f>'Outstanding loss reserves'!Q53+'Cum. payments'!C175</f>
        <v>5319542.2784024272</v>
      </c>
      <c r="U54" s="45">
        <f>'Outstanding loss reserves'!R53+'Cum. payments'!D175</f>
        <v>5530112.9695209414</v>
      </c>
      <c r="V54" s="45">
        <f>'Outstanding loss reserves'!S53+'Cum. payments'!E175</f>
        <v>5080860.3939118031</v>
      </c>
      <c r="W54" s="45">
        <f>'Outstanding loss reserves'!T53+'Cum. payments'!F175</f>
        <v>5063638.3991765827</v>
      </c>
      <c r="X54" s="45">
        <f>'Outstanding loss reserves'!U53+'Cum. payments'!G175</f>
        <v>5145246.2222874174</v>
      </c>
      <c r="Y54" s="45">
        <f>'Outstanding loss reserves'!V53+'Cum. payments'!H175</f>
        <v>5143879.2432688139</v>
      </c>
    </row>
    <row r="55" spans="3:25" x14ac:dyDescent="0.3">
      <c r="C55">
        <f>'Outstanding loss reserves'!$O54</f>
        <v>2019</v>
      </c>
      <c r="D55" s="45">
        <f>'Outstanding loss reserves'!B53+'Cum. payments'!B53</f>
        <v>3688051.1987880091</v>
      </c>
      <c r="E55" s="45">
        <f>'Outstanding loss reserves'!C53+'Cum. payments'!C53</f>
        <v>3539977.5028703571</v>
      </c>
      <c r="F55" s="45">
        <f>'Outstanding loss reserves'!D53+'Cum. payments'!D53</f>
        <v>2856643.6440371731</v>
      </c>
      <c r="G55" s="45">
        <f>'Outstanding loss reserves'!E53+'Cum. payments'!E53</f>
        <v>3050953.1578440331</v>
      </c>
      <c r="H55" s="45">
        <f>'Outstanding loss reserves'!F53+'Cum. payments'!F53</f>
        <v>3120625.2458159961</v>
      </c>
      <c r="I55" s="45">
        <f>'Outstanding loss reserves'!G53+'Cum. payments'!G53</f>
        <v>3045344.6592711471</v>
      </c>
      <c r="J55" s="45">
        <f>'Outstanding loss reserves'!H53+'Cum. payments'!H53</f>
        <v>3057444.1806962509</v>
      </c>
      <c r="R55">
        <f t="shared" si="0"/>
        <v>2019</v>
      </c>
      <c r="S55" s="45">
        <f>'Outstanding loss reserves'!P54+'Cum. payments'!B176</f>
        <v>5361425.0466771973</v>
      </c>
      <c r="T55" s="45">
        <f>'Outstanding loss reserves'!Q54+'Cum. payments'!C176</f>
        <v>5195487.9340468151</v>
      </c>
      <c r="U55" s="45">
        <f>'Outstanding loss reserves'!R54+'Cum. payments'!D176</f>
        <v>4168576.7405652027</v>
      </c>
      <c r="V55" s="45">
        <f>'Outstanding loss reserves'!S54+'Cum. payments'!E176</f>
        <v>4170173.4284920553</v>
      </c>
      <c r="W55" s="45">
        <f>'Outstanding loss reserves'!T54+'Cum. payments'!F176</f>
        <v>4237449.729740263</v>
      </c>
      <c r="X55" s="45">
        <f>'Outstanding loss reserves'!U54+'Cum. payments'!G176</f>
        <v>4131933.5743124364</v>
      </c>
      <c r="Y55" s="45">
        <f>'Outstanding loss reserves'!V54+'Cum. payments'!H176</f>
        <v>4145849.9932402461</v>
      </c>
    </row>
    <row r="56" spans="3:25" x14ac:dyDescent="0.3">
      <c r="C56">
        <f>'Outstanding loss reserves'!$O55</f>
        <v>2019</v>
      </c>
      <c r="D56" s="45">
        <f>'Outstanding loss reserves'!B54+'Cum. payments'!B54</f>
        <v>824016.22974762693</v>
      </c>
      <c r="E56" s="45">
        <f>'Outstanding loss reserves'!C54+'Cum. payments'!C54</f>
        <v>697576.91850971361</v>
      </c>
      <c r="F56" s="45">
        <f>'Outstanding loss reserves'!D54+'Cum. payments'!D54</f>
        <v>596113.41550049884</v>
      </c>
      <c r="G56" s="45">
        <f>'Outstanding loss reserves'!E54+'Cum. payments'!E54</f>
        <v>674054.12498541817</v>
      </c>
      <c r="H56" s="45">
        <f>'Outstanding loss reserves'!F54+'Cum. payments'!F54</f>
        <v>648356.10161503428</v>
      </c>
      <c r="I56" s="45">
        <f>'Outstanding loss reserves'!G54+'Cum. payments'!G54</f>
        <v>622614.51121059596</v>
      </c>
      <c r="J56" s="45">
        <f>'Outstanding loss reserves'!H54+'Cum. payments'!H54</f>
        <v>655436.82988107926</v>
      </c>
      <c r="R56">
        <f t="shared" si="0"/>
        <v>2019</v>
      </c>
      <c r="S56" s="45">
        <f>'Outstanding loss reserves'!P55+'Cum. payments'!B177</f>
        <v>1197895.8574352977</v>
      </c>
      <c r="T56" s="45">
        <f>'Outstanding loss reserves'!Q55+'Cum. payments'!C177</f>
        <v>1022739.9862260383</v>
      </c>
      <c r="U56" s="45">
        <f>'Outstanding loss reserves'!R55+'Cum. payments'!D177</f>
        <v>872098.49635224114</v>
      </c>
      <c r="V56" s="45">
        <f>'Outstanding loss reserves'!S55+'Cum. payments'!E177</f>
        <v>965044.08597637375</v>
      </c>
      <c r="W56" s="45">
        <f>'Outstanding loss reserves'!T55+'Cum. payments'!F177</f>
        <v>925104.33939514332</v>
      </c>
      <c r="X56" s="45">
        <f>'Outstanding loss reserves'!U55+'Cum. payments'!G177</f>
        <v>888527.43384205364</v>
      </c>
      <c r="Y56" s="45">
        <f>'Outstanding loss reserves'!V55+'Cum. payments'!H177</f>
        <v>930193.69498349796</v>
      </c>
    </row>
    <row r="57" spans="3:25" x14ac:dyDescent="0.3">
      <c r="C57">
        <f>'Outstanding loss reserves'!$O56</f>
        <v>2020</v>
      </c>
      <c r="D57" s="45">
        <f>'Outstanding loss reserves'!B55+'Cum. payments'!B55</f>
        <v>551210.7088636437</v>
      </c>
      <c r="E57" s="45">
        <f>'Outstanding loss reserves'!C55+'Cum. payments'!C55</f>
        <v>899932.63096912182</v>
      </c>
      <c r="F57" s="45">
        <f>'Outstanding loss reserves'!D55+'Cum. payments'!D55</f>
        <v>1124490.2159093048</v>
      </c>
      <c r="G57" s="45">
        <f>'Outstanding loss reserves'!E55+'Cum. payments'!E55</f>
        <v>1054925.3953644473</v>
      </c>
      <c r="H57" s="45">
        <f>'Outstanding loss reserves'!F55+'Cum. payments'!F55</f>
        <v>1057958.4715732073</v>
      </c>
      <c r="I57" s="45">
        <f>'Outstanding loss reserves'!G55+'Cum. payments'!G55</f>
        <v>1056896.9906147688</v>
      </c>
      <c r="R57">
        <f t="shared" si="0"/>
        <v>2020</v>
      </c>
      <c r="S57" s="45">
        <f>'Outstanding loss reserves'!P56+'Cum. payments'!B178</f>
        <v>783744.20035917487</v>
      </c>
      <c r="T57" s="45">
        <f>'Outstanding loss reserves'!Q56+'Cum. payments'!C178</f>
        <v>1272528.7374151601</v>
      </c>
      <c r="U57" s="45">
        <f>'Outstanding loss reserves'!R56+'Cum. payments'!D178</f>
        <v>1517944.7163948291</v>
      </c>
      <c r="V57" s="45">
        <f>'Outstanding loss reserves'!S56+'Cum. payments'!E178</f>
        <v>1407933.6565516251</v>
      </c>
      <c r="W57" s="45">
        <f>'Outstanding loss reserves'!T56+'Cum. payments'!F178</f>
        <v>1410301.9655802906</v>
      </c>
      <c r="X57" s="45">
        <f>'Outstanding loss reserves'!U56+'Cum. payments'!G178</f>
        <v>1408859.0218216726</v>
      </c>
    </row>
    <row r="58" spans="3:25" x14ac:dyDescent="0.3">
      <c r="C58">
        <f>'Outstanding loss reserves'!$O57</f>
        <v>2020</v>
      </c>
      <c r="D58" s="45">
        <f>'Outstanding loss reserves'!B56+'Cum. payments'!B56</f>
        <v>1961722.6654563558</v>
      </c>
      <c r="E58" s="45">
        <f>'Outstanding loss reserves'!C56+'Cum. payments'!C56</f>
        <v>2614474.8868686687</v>
      </c>
      <c r="F58" s="45">
        <f>'Outstanding loss reserves'!D56+'Cum. payments'!D56</f>
        <v>2737557.8870152817</v>
      </c>
      <c r="G58" s="45">
        <f>'Outstanding loss reserves'!E56+'Cum. payments'!E56</f>
        <v>2586540.8121134792</v>
      </c>
      <c r="H58" s="45">
        <f>'Outstanding loss reserves'!F56+'Cum. payments'!F56</f>
        <v>2697741.5762774353</v>
      </c>
      <c r="I58" s="45">
        <f>'Outstanding loss reserves'!G56+'Cum. payments'!G56</f>
        <v>2603250.2026867173</v>
      </c>
      <c r="R58">
        <f t="shared" si="0"/>
        <v>2020</v>
      </c>
      <c r="S58" s="45">
        <f>'Outstanding loss reserves'!P57+'Cum. payments'!B179</f>
        <v>2789294.0703822547</v>
      </c>
      <c r="T58" s="45">
        <f>'Outstanding loss reserves'!Q57+'Cum. payments'!C179</f>
        <v>3695831.896591668</v>
      </c>
      <c r="U58" s="45">
        <f>'Outstanding loss reserves'!R57+'Cum. payments'!D179</f>
        <v>3743679.5857865512</v>
      </c>
      <c r="V58" s="45">
        <f>'Outstanding loss reserves'!S57+'Cum. payments'!E179</f>
        <v>3534675.1954131648</v>
      </c>
      <c r="W58" s="45">
        <f>'Outstanding loss reserves'!T57+'Cum. payments'!F179</f>
        <v>3669833.3021374657</v>
      </c>
      <c r="X58" s="45">
        <f>'Outstanding loss reserves'!U57+'Cum. payments'!G179</f>
        <v>3546966.0247669732</v>
      </c>
    </row>
    <row r="59" spans="3:25" x14ac:dyDescent="0.3">
      <c r="C59">
        <f>'Outstanding loss reserves'!$O58</f>
        <v>2020</v>
      </c>
      <c r="D59" s="45">
        <f>'Outstanding loss reserves'!B57+'Cum. payments'!B57</f>
        <v>3488442.3902677288</v>
      </c>
      <c r="E59" s="45">
        <f>'Outstanding loss reserves'!C57+'Cum. payments'!C57</f>
        <v>2268658.9057783517</v>
      </c>
      <c r="F59" s="45">
        <f>'Outstanding loss reserves'!D57+'Cum. payments'!D57</f>
        <v>2577200.6674387837</v>
      </c>
      <c r="G59" s="45">
        <f>'Outstanding loss reserves'!E57+'Cum. payments'!E57</f>
        <v>2537895.4424698623</v>
      </c>
      <c r="H59" s="45">
        <f>'Outstanding loss reserves'!F57+'Cum. payments'!F57</f>
        <v>2499851.3315131692</v>
      </c>
      <c r="I59" s="45">
        <f>'Outstanding loss reserves'!G57+'Cum. payments'!G57</f>
        <v>2501944.4485023785</v>
      </c>
      <c r="R59">
        <f t="shared" si="0"/>
        <v>2020</v>
      </c>
      <c r="S59" s="45">
        <f>'Outstanding loss reserves'!P58+'Cum. payments'!B180</f>
        <v>4960075.0633017318</v>
      </c>
      <c r="T59" s="45">
        <f>'Outstanding loss reserves'!Q58+'Cum. payments'!C180</f>
        <v>3207519.9012005753</v>
      </c>
      <c r="U59" s="45">
        <f>'Outstanding loss reserves'!R58+'Cum. payments'!D180</f>
        <v>3411737.1199889225</v>
      </c>
      <c r="V59" s="45">
        <f>'Outstanding loss reserves'!S58+'Cum. payments'!E180</f>
        <v>3315066.3799544713</v>
      </c>
      <c r="W59" s="45">
        <f>'Outstanding loss reserves'!T58+'Cum. payments'!F180</f>
        <v>3244052.4463624842</v>
      </c>
      <c r="X59" s="45">
        <f>'Outstanding loss reserves'!U58+'Cum. payments'!G180</f>
        <v>3240249.6913093915</v>
      </c>
    </row>
    <row r="60" spans="3:25" x14ac:dyDescent="0.3">
      <c r="C60">
        <f>'Outstanding loss reserves'!$O59</f>
        <v>2020</v>
      </c>
      <c r="D60" s="45">
        <f>'Outstanding loss reserves'!B58+'Cum. payments'!B58</f>
        <v>746833.07152368187</v>
      </c>
      <c r="E60" s="45">
        <f>'Outstanding loss reserves'!C58+'Cum. payments'!C58</f>
        <v>1139051.4613456603</v>
      </c>
      <c r="F60" s="45">
        <f>'Outstanding loss reserves'!D58+'Cum. payments'!D58</f>
        <v>1028304.3127314106</v>
      </c>
      <c r="G60" s="45">
        <f>'Outstanding loss reserves'!E58+'Cum. payments'!E58</f>
        <v>1041483.3621531129</v>
      </c>
      <c r="H60" s="45">
        <f>'Outstanding loss reserves'!F58+'Cum. payments'!F58</f>
        <v>1061895.5668345734</v>
      </c>
      <c r="I60" s="45">
        <f>'Outstanding loss reserves'!G58+'Cum. payments'!G58</f>
        <v>1064519.1737314973</v>
      </c>
      <c r="R60">
        <f t="shared" si="0"/>
        <v>2020</v>
      </c>
      <c r="S60" s="45">
        <f>'Outstanding loss reserves'!P59+'Cum. payments'!B181</f>
        <v>1061891.7213161585</v>
      </c>
      <c r="T60" s="45">
        <f>'Outstanding loss reserves'!Q59+'Cum. payments'!C181</f>
        <v>1609975.5258851789</v>
      </c>
      <c r="U60" s="45">
        <f>'Outstanding loss reserves'!R59+'Cum. payments'!D181</f>
        <v>1364278.9224984369</v>
      </c>
      <c r="V60" s="45">
        <f>'Outstanding loss reserves'!S59+'Cum. payments'!E181</f>
        <v>1366036.5356325579</v>
      </c>
      <c r="W60" s="45">
        <f>'Outstanding loss reserves'!T59+'Cum. payments'!F181</f>
        <v>1383013.7944809101</v>
      </c>
      <c r="X60" s="45">
        <f>'Outstanding loss reserves'!U59+'Cum. payments'!G181</f>
        <v>1381742.1056661163</v>
      </c>
    </row>
    <row r="61" spans="3:25" x14ac:dyDescent="0.3">
      <c r="C61">
        <f>'Outstanding loss reserves'!$O60</f>
        <v>2020</v>
      </c>
      <c r="D61" s="45">
        <f>'Outstanding loss reserves'!B59+'Cum. payments'!B59</f>
        <v>1101846.538975145</v>
      </c>
      <c r="E61" s="45">
        <f>'Outstanding loss reserves'!C59+'Cum. payments'!C59</f>
        <v>1288236.662212769</v>
      </c>
      <c r="F61" s="45">
        <f>'Outstanding loss reserves'!D59+'Cum. payments'!D59</f>
        <v>961582.69381638512</v>
      </c>
      <c r="G61" s="45">
        <f>'Outstanding loss reserves'!E59+'Cum. payments'!E59</f>
        <v>1021530.070111144</v>
      </c>
      <c r="H61" s="45">
        <f>'Outstanding loss reserves'!F59+'Cum. payments'!F59</f>
        <v>1031916.6851583277</v>
      </c>
      <c r="I61" s="45">
        <f>'Outstanding loss reserves'!G59+'Cum. payments'!G59</f>
        <v>1035762.9415702486</v>
      </c>
      <c r="R61">
        <f t="shared" si="0"/>
        <v>2020</v>
      </c>
      <c r="S61" s="45">
        <f>'Outstanding loss reserves'!P60+'Cum. payments'!B182</f>
        <v>1566671.0038850585</v>
      </c>
      <c r="T61" s="45">
        <f>'Outstanding loss reserves'!Q60+'Cum. payments'!C182</f>
        <v>1820418.2301203038</v>
      </c>
      <c r="U61" s="45">
        <f>'Outstanding loss reserves'!R60+'Cum. payments'!D182</f>
        <v>1275251.4357094793</v>
      </c>
      <c r="V61" s="45">
        <f>'Outstanding loss reserves'!S60+'Cum. payments'!E182</f>
        <v>1331189.0050581265</v>
      </c>
      <c r="W61" s="45">
        <f>'Outstanding loss reserves'!T60+'Cum. payments'!F182</f>
        <v>1342888.9439691154</v>
      </c>
      <c r="X61" s="45">
        <f>'Outstanding loss reserves'!U60+'Cum. payments'!G182</f>
        <v>1347462.0402593615</v>
      </c>
    </row>
    <row r="62" spans="3:25" x14ac:dyDescent="0.3">
      <c r="C62">
        <f>'Outstanding loss reserves'!$O61</f>
        <v>2020</v>
      </c>
      <c r="D62" s="45">
        <f>'Outstanding loss reserves'!B60+'Cum. payments'!B60</f>
        <v>134905.21796095872</v>
      </c>
      <c r="E62" s="45">
        <f>'Outstanding loss reserves'!C60+'Cum. payments'!C60</f>
        <v>385409.65024221211</v>
      </c>
      <c r="F62" s="45">
        <f>'Outstanding loss reserves'!D60+'Cum. payments'!D60</f>
        <v>495376.84332107153</v>
      </c>
      <c r="G62" s="45">
        <f>'Outstanding loss reserves'!E60+'Cum. payments'!E60</f>
        <v>541314.9232642561</v>
      </c>
      <c r="H62" s="45">
        <f>'Outstanding loss reserves'!F60+'Cum. payments'!F60</f>
        <v>506503.55912146054</v>
      </c>
      <c r="I62" s="45">
        <f>'Outstanding loss reserves'!G60+'Cum. payments'!G60</f>
        <v>520888.40601686464</v>
      </c>
      <c r="R62">
        <f t="shared" si="0"/>
        <v>2020</v>
      </c>
      <c r="S62" s="45">
        <f>'Outstanding loss reserves'!P61+'Cum. payments'!B183</f>
        <v>191816.27003049961</v>
      </c>
      <c r="T62" s="45">
        <f>'Outstanding loss reserves'!Q61+'Cum. payments'!C183</f>
        <v>544634.12802422221</v>
      </c>
      <c r="U62" s="45">
        <f>'Outstanding loss reserves'!R61+'Cum. payments'!D183</f>
        <v>660920.12348059472</v>
      </c>
      <c r="V62" s="45">
        <f>'Outstanding loss reserves'!S61+'Cum. payments'!E183</f>
        <v>714358.19155906886</v>
      </c>
      <c r="W62" s="45">
        <f>'Outstanding loss reserves'!T61+'Cum. payments'!F183</f>
        <v>667242.07717736682</v>
      </c>
      <c r="X62" s="45">
        <f>'Outstanding loss reserves'!U61+'Cum. payments'!G183</f>
        <v>684202.0678637065</v>
      </c>
    </row>
    <row r="63" spans="3:25" x14ac:dyDescent="0.3">
      <c r="C63">
        <f>'Outstanding loss reserves'!$O62</f>
        <v>2021</v>
      </c>
      <c r="D63" s="45">
        <f>'Outstanding loss reserves'!B61+'Cum. payments'!B61</f>
        <v>4049430.587269586</v>
      </c>
      <c r="E63" s="45">
        <f>'Outstanding loss reserves'!C61+'Cum. payments'!C61</f>
        <v>2321676.476495177</v>
      </c>
      <c r="F63" s="45">
        <f>'Outstanding loss reserves'!D61+'Cum. payments'!D61</f>
        <v>2695238.322617216</v>
      </c>
      <c r="G63" s="45">
        <f>'Outstanding loss reserves'!E61+'Cum. payments'!E61</f>
        <v>2384684.1699133404</v>
      </c>
      <c r="H63" s="45">
        <f>'Outstanding loss reserves'!F61+'Cum. payments'!F61</f>
        <v>2375146.7957573929</v>
      </c>
      <c r="R63">
        <f t="shared" si="0"/>
        <v>2021</v>
      </c>
      <c r="S63" s="45">
        <f>'Outstanding loss reserves'!P62+'Cum. payments'!B184</f>
        <v>5539421.4591329247</v>
      </c>
      <c r="T63" s="45">
        <f>'Outstanding loss reserves'!Q62+'Cum. payments'!C184</f>
        <v>2968920.7283569272</v>
      </c>
      <c r="U63" s="45">
        <f>'Outstanding loss reserves'!R62+'Cum. payments'!D184</f>
        <v>3389595.0063632331</v>
      </c>
      <c r="V63" s="45">
        <f>'Outstanding loss reserves'!S62+'Cum. payments'!E184</f>
        <v>2976942.9994495213</v>
      </c>
      <c r="W63" s="45">
        <f>'Outstanding loss reserves'!T62+'Cum. payments'!F184</f>
        <v>2962899.2192980764</v>
      </c>
    </row>
    <row r="64" spans="3:25" x14ac:dyDescent="0.3">
      <c r="C64">
        <f>'Outstanding loss reserves'!$O63</f>
        <v>2021</v>
      </c>
      <c r="D64" s="45">
        <f>'Outstanding loss reserves'!B62+'Cum. payments'!B62</f>
        <v>2078227.7279777643</v>
      </c>
      <c r="E64" s="45">
        <f>'Outstanding loss reserves'!C62+'Cum. payments'!C62</f>
        <v>1538978.5850229426</v>
      </c>
      <c r="F64" s="45">
        <f>'Outstanding loss reserves'!D62+'Cum. payments'!D62</f>
        <v>2124881.3300075876</v>
      </c>
      <c r="G64" s="45">
        <f>'Outstanding loss reserves'!E62+'Cum. payments'!E62</f>
        <v>2047544.3958356227</v>
      </c>
      <c r="H64" s="45">
        <f>'Outstanding loss reserves'!F62+'Cum. payments'!F62</f>
        <v>2054819.3864969071</v>
      </c>
      <c r="R64">
        <f t="shared" si="0"/>
        <v>2021</v>
      </c>
      <c r="S64" s="45">
        <f>'Outstanding loss reserves'!P63+'Cum. payments'!B185</f>
        <v>2842913.1022807388</v>
      </c>
      <c r="T64" s="45">
        <f>'Outstanding loss reserves'!Q63+'Cum. payments'!C185</f>
        <v>1967267.0145343486</v>
      </c>
      <c r="U64" s="45">
        <f>'Outstanding loss reserves'!R63+'Cum. payments'!D185</f>
        <v>2675686.4139390546</v>
      </c>
      <c r="V64" s="45">
        <f>'Outstanding loss reserves'!S63+'Cum. payments'!E185</f>
        <v>2562229.7697310154</v>
      </c>
      <c r="W64" s="45">
        <f>'Outstanding loss reserves'!T63+'Cum. payments'!F185</f>
        <v>2570665.7700156141</v>
      </c>
    </row>
    <row r="65" spans="3:23" x14ac:dyDescent="0.3">
      <c r="C65">
        <f>'Outstanding loss reserves'!$O64</f>
        <v>2021</v>
      </c>
      <c r="D65" s="45">
        <f>'Outstanding loss reserves'!B63+'Cum. payments'!B63</f>
        <v>1742166.4281426794</v>
      </c>
      <c r="E65" s="45">
        <f>'Outstanding loss reserves'!C63+'Cum. payments'!C63</f>
        <v>1680722.1242908919</v>
      </c>
      <c r="F65" s="45">
        <f>'Outstanding loss reserves'!D63+'Cum. payments'!D63</f>
        <v>1381245.3987945393</v>
      </c>
      <c r="G65" s="45">
        <f>'Outstanding loss reserves'!E63+'Cum. payments'!E63</f>
        <v>1386156.289203526</v>
      </c>
      <c r="H65" s="45">
        <f>'Outstanding loss reserves'!F63+'Cum. payments'!F63</f>
        <v>1420025.9756988357</v>
      </c>
      <c r="R65">
        <f t="shared" si="0"/>
        <v>2021</v>
      </c>
      <c r="S65" s="45">
        <f>'Outstanding loss reserves'!P64+'Cum. payments'!B186</f>
        <v>2383197.807556848</v>
      </c>
      <c r="T65" s="45">
        <f>'Outstanding loss reserves'!Q64+'Cum. payments'!C186</f>
        <v>2143495.9867592826</v>
      </c>
      <c r="U65" s="45">
        <f>'Outstanding loss reserves'!R64+'Cum. payments'!D186</f>
        <v>1726406.3088455084</v>
      </c>
      <c r="V65" s="45">
        <f>'Outstanding loss reserves'!S64+'Cum. payments'!E186</f>
        <v>1722323.069812113</v>
      </c>
      <c r="W65" s="45">
        <f>'Outstanding loss reserves'!T64+'Cum. payments'!F186</f>
        <v>1761934.3909255844</v>
      </c>
    </row>
    <row r="66" spans="3:23" x14ac:dyDescent="0.3">
      <c r="C66">
        <f>'Outstanding loss reserves'!$O65</f>
        <v>2021</v>
      </c>
      <c r="D66" s="45">
        <f>'Outstanding loss reserves'!B64+'Cum. payments'!B64</f>
        <v>465013.06121434952</v>
      </c>
      <c r="E66" s="45">
        <f>'Outstanding loss reserves'!C64+'Cum. payments'!C64</f>
        <v>530605.44797618769</v>
      </c>
      <c r="F66" s="45">
        <f>'Outstanding loss reserves'!D64+'Cum. payments'!D64</f>
        <v>643106.39053448848</v>
      </c>
      <c r="G66" s="45">
        <f>'Outstanding loss reserves'!E64+'Cum. payments'!E64</f>
        <v>571438.3977736946</v>
      </c>
      <c r="H66" s="45">
        <f>'Outstanding loss reserves'!F64+'Cum. payments'!F64</f>
        <v>573877.98351823015</v>
      </c>
      <c r="R66">
        <f t="shared" si="0"/>
        <v>2021</v>
      </c>
      <c r="S66" s="45">
        <f>'Outstanding loss reserves'!P65+'Cum. payments'!B187</f>
        <v>636114.94864632748</v>
      </c>
      <c r="T66" s="45">
        <f>'Outstanding loss reserves'!Q65+'Cum. payments'!C187</f>
        <v>686578.64428441203</v>
      </c>
      <c r="U66" s="45">
        <f>'Outstanding loss reserves'!R65+'Cum. payments'!D187</f>
        <v>815484.98932277365</v>
      </c>
      <c r="V66" s="45">
        <f>'Outstanding loss reserves'!S65+'Cum. payments'!E187</f>
        <v>721063.10987182125</v>
      </c>
      <c r="W66" s="45">
        <f>'Outstanding loss reserves'!T65+'Cum. payments'!F187</f>
        <v>723138.2676819514</v>
      </c>
    </row>
    <row r="67" spans="3:23" x14ac:dyDescent="0.3">
      <c r="C67">
        <f>'Outstanding loss reserves'!$O66</f>
        <v>2021</v>
      </c>
      <c r="D67" s="45">
        <f>'Outstanding loss reserves'!B65+'Cum. payments'!B65</f>
        <v>1697224.7549147131</v>
      </c>
      <c r="E67" s="45">
        <f>'Outstanding loss reserves'!C65+'Cum. payments'!C65</f>
        <v>2476100.6895678742</v>
      </c>
      <c r="F67" s="45">
        <f>'Outstanding loss reserves'!D65+'Cum. payments'!D65</f>
        <v>3017058.0726536247</v>
      </c>
      <c r="G67" s="45">
        <f>'Outstanding loss reserves'!E65+'Cum. payments'!E65</f>
        <v>2911890.6683667284</v>
      </c>
      <c r="H67" s="45">
        <f>'Outstanding loss reserves'!F65+'Cum. payments'!F65</f>
        <v>2962670.3455571183</v>
      </c>
      <c r="R67">
        <f t="shared" si="0"/>
        <v>2021</v>
      </c>
      <c r="S67" s="45">
        <f>'Outstanding loss reserves'!P66+'Cum. payments'!B188</f>
        <v>2321719.8136208672</v>
      </c>
      <c r="T67" s="45">
        <f>'Outstanding loss reserves'!Q66+'Cum. payments'!C188</f>
        <v>3174062.1127268663</v>
      </c>
      <c r="U67" s="45">
        <f>'Outstanding loss reserves'!R66+'Cum. payments'!D188</f>
        <v>3785211.9537011343</v>
      </c>
      <c r="V67" s="45">
        <f>'Outstanding loss reserves'!S66+'Cum. payments'!E188</f>
        <v>3649835.8933156971</v>
      </c>
      <c r="W67" s="45">
        <f>'Outstanding loss reserves'!T66+'Cum. payments'!F188</f>
        <v>3709898.8325473531</v>
      </c>
    </row>
    <row r="68" spans="3:23" x14ac:dyDescent="0.3">
      <c r="C68">
        <f>'Outstanding loss reserves'!$O67</f>
        <v>2021</v>
      </c>
      <c r="D68" s="45">
        <f>'Outstanding loss reserves'!B66+'Cum. payments'!B66</f>
        <v>700997.7288251943</v>
      </c>
      <c r="E68" s="45">
        <f>'Outstanding loss reserves'!C66+'Cum. payments'!C66</f>
        <v>897305.83998488495</v>
      </c>
      <c r="F68" s="45">
        <f>'Outstanding loss reserves'!D66+'Cum. payments'!D66</f>
        <v>890097.12703636417</v>
      </c>
      <c r="G68" s="45">
        <f>'Outstanding loss reserves'!E66+'Cum. payments'!E66</f>
        <v>903237.29668881593</v>
      </c>
      <c r="H68" s="45">
        <f>'Outstanding loss reserves'!F66+'Cum. payments'!F66</f>
        <v>903385.25964583771</v>
      </c>
      <c r="R68">
        <f t="shared" ref="R68:R116" si="1">$C68</f>
        <v>2021</v>
      </c>
      <c r="S68" s="45">
        <f>'Outstanding loss reserves'!P67+'Cum. payments'!B189</f>
        <v>958930.34296360216</v>
      </c>
      <c r="T68" s="45">
        <f>'Outstanding loss reserves'!Q67+'Cum. payments'!C189</f>
        <v>1207978.331886994</v>
      </c>
      <c r="U68" s="45">
        <f>'Outstanding loss reserves'!R67+'Cum. payments'!D189</f>
        <v>1196351.165258558</v>
      </c>
      <c r="V68" s="45">
        <f>'Outstanding loss reserves'!S67+'Cum. payments'!E189</f>
        <v>1211621.8086728372</v>
      </c>
      <c r="W68" s="45">
        <f>'Outstanding loss reserves'!T67+'Cum. payments'!F189</f>
        <v>1211747.1291442343</v>
      </c>
    </row>
    <row r="69" spans="3:23" x14ac:dyDescent="0.3">
      <c r="C69">
        <f>'Outstanding loss reserves'!$O68</f>
        <v>2021</v>
      </c>
      <c r="D69" s="45">
        <f>'Outstanding loss reserves'!B67+'Cum. payments'!B67</f>
        <v>1357644.9626931057</v>
      </c>
      <c r="E69" s="45">
        <f>'Outstanding loss reserves'!C67+'Cum. payments'!C67</f>
        <v>1406285.1123288805</v>
      </c>
      <c r="F69" s="45">
        <f>'Outstanding loss reserves'!D67+'Cum. payments'!D67</f>
        <v>1465058.5233089372</v>
      </c>
      <c r="G69" s="45">
        <f>'Outstanding loss reserves'!E67+'Cum. payments'!E67</f>
        <v>1544848.6945570109</v>
      </c>
      <c r="H69" s="45">
        <f>'Outstanding loss reserves'!F67+'Cum. payments'!F67</f>
        <v>1570301.2631144207</v>
      </c>
      <c r="R69">
        <f t="shared" si="1"/>
        <v>2021</v>
      </c>
      <c r="S69" s="45">
        <f>'Outstanding loss reserves'!P68+'Cum. payments'!B190</f>
        <v>1857191.394728119</v>
      </c>
      <c r="T69" s="45">
        <f>'Outstanding loss reserves'!Q68+'Cum. payments'!C190</f>
        <v>1792698.6417972094</v>
      </c>
      <c r="U69" s="45">
        <f>'Outstanding loss reserves'!R68+'Cum. payments'!D190</f>
        <v>1846370.2176765162</v>
      </c>
      <c r="V69" s="45">
        <f>'Outstanding loss reserves'!S68+'Cum. payments'!E190</f>
        <v>1935805.0936476425</v>
      </c>
      <c r="W69" s="45">
        <f>'Outstanding loss reserves'!T68+'Cum. payments'!F190</f>
        <v>1965450.2382102236</v>
      </c>
    </row>
    <row r="70" spans="3:23" x14ac:dyDescent="0.3">
      <c r="C70">
        <f>'Outstanding loss reserves'!$O69</f>
        <v>2021</v>
      </c>
      <c r="D70" s="45">
        <f>'Outstanding loss reserves'!B68+'Cum. payments'!B68</f>
        <v>3190539.4784712489</v>
      </c>
      <c r="E70" s="45">
        <f>'Outstanding loss reserves'!C68+'Cum. payments'!C68</f>
        <v>2576440.3906590585</v>
      </c>
      <c r="F70" s="45">
        <f>'Outstanding loss reserves'!D68+'Cum. payments'!D68</f>
        <v>2534692.2885047402</v>
      </c>
      <c r="G70" s="45">
        <f>'Outstanding loss reserves'!E68+'Cum. payments'!E68</f>
        <v>2350063.7565760231</v>
      </c>
      <c r="H70" s="45">
        <f>'Outstanding loss reserves'!F68+'Cum. payments'!F68</f>
        <v>2362566.3395283595</v>
      </c>
      <c r="R70">
        <f t="shared" si="1"/>
        <v>2021</v>
      </c>
      <c r="S70" s="45">
        <f>'Outstanding loss reserves'!P69+'Cum. payments'!B191</f>
        <v>4364500.7544557769</v>
      </c>
      <c r="T70" s="45">
        <f>'Outstanding loss reserves'!Q69+'Cum. payments'!C191</f>
        <v>3296881.804325426</v>
      </c>
      <c r="U70" s="45">
        <f>'Outstanding loss reserves'!R69+'Cum. payments'!D191</f>
        <v>3196688.6026358614</v>
      </c>
      <c r="V70" s="45">
        <f>'Outstanding loss reserves'!S69+'Cum. payments'!E191</f>
        <v>2952284.1125188395</v>
      </c>
      <c r="W70" s="45">
        <f>'Outstanding loss reserves'!T69+'Cum. payments'!F191</f>
        <v>2960271.9741540574</v>
      </c>
    </row>
    <row r="71" spans="3:23" x14ac:dyDescent="0.3">
      <c r="C71">
        <f>'Outstanding loss reserves'!$O70</f>
        <v>2021</v>
      </c>
      <c r="D71" s="45">
        <f>'Outstanding loss reserves'!B69+'Cum. payments'!B69</f>
        <v>373497.92490237614</v>
      </c>
      <c r="E71" s="45">
        <f>'Outstanding loss reserves'!C69+'Cum. payments'!C69</f>
        <v>1450352.5422298999</v>
      </c>
      <c r="F71" s="45">
        <f>'Outstanding loss reserves'!D69+'Cum. payments'!D69</f>
        <v>1154821.3455766742</v>
      </c>
      <c r="G71" s="45">
        <f>'Outstanding loss reserves'!E69+'Cum. payments'!E69</f>
        <v>1133777.3225822418</v>
      </c>
      <c r="H71" s="45">
        <f>'Outstanding loss reserves'!F69+'Cum. payments'!F69</f>
        <v>1135645.1848669506</v>
      </c>
      <c r="R71">
        <f t="shared" si="1"/>
        <v>2021</v>
      </c>
      <c r="S71" s="45">
        <f>'Outstanding loss reserves'!P70+'Cum. payments'!B192</f>
        <v>510926.75267731445</v>
      </c>
      <c r="T71" s="45">
        <f>'Outstanding loss reserves'!Q70+'Cum. payments'!C192</f>
        <v>1859499.3302153437</v>
      </c>
      <c r="U71" s="45">
        <f>'Outstanding loss reserves'!R70+'Cum. payments'!D192</f>
        <v>1458332.7248766313</v>
      </c>
      <c r="V71" s="45">
        <f>'Outstanding loss reserves'!S70+'Cum. payments'!E192</f>
        <v>1418031.9348397262</v>
      </c>
      <c r="W71" s="45">
        <f>'Outstanding loss reserves'!T70+'Cum. payments'!F192</f>
        <v>1420175.5640330508</v>
      </c>
    </row>
    <row r="72" spans="3:23" x14ac:dyDescent="0.3">
      <c r="C72">
        <f>'Outstanding loss reserves'!$O71</f>
        <v>2021</v>
      </c>
      <c r="D72" s="45">
        <f>'Outstanding loss reserves'!B70+'Cum. payments'!B70</f>
        <v>1661921.7546583456</v>
      </c>
      <c r="E72" s="45">
        <f>'Outstanding loss reserves'!C70+'Cum. payments'!C70</f>
        <v>2427218.064614906</v>
      </c>
      <c r="F72" s="45">
        <f>'Outstanding loss reserves'!D70+'Cum. payments'!D70</f>
        <v>1700249.2037849412</v>
      </c>
      <c r="G72" s="45">
        <f>'Outstanding loss reserves'!E70+'Cum. payments'!E70</f>
        <v>2110610.7701659957</v>
      </c>
      <c r="H72" s="45">
        <f>'Outstanding loss reserves'!F70+'Cum. payments'!F70</f>
        <v>2097398.1111076283</v>
      </c>
      <c r="R72">
        <f t="shared" si="1"/>
        <v>2021</v>
      </c>
      <c r="S72" s="45">
        <f>'Outstanding loss reserves'!P71+'Cum. payments'!B193</f>
        <v>2273427.0492488379</v>
      </c>
      <c r="T72" s="45">
        <f>'Outstanding loss reserves'!Q71+'Cum. payments'!C193</f>
        <v>3132472.372239809</v>
      </c>
      <c r="U72" s="45">
        <f>'Outstanding loss reserves'!R71+'Cum. payments'!D193</f>
        <v>2175732.9142110692</v>
      </c>
      <c r="V72" s="45">
        <f>'Outstanding loss reserves'!S71+'Cum. payments'!E193</f>
        <v>2668403.0408692867</v>
      </c>
      <c r="W72" s="45">
        <f>'Outstanding loss reserves'!T71+'Cum. payments'!F193</f>
        <v>2650573.9919323325</v>
      </c>
    </row>
    <row r="73" spans="3:23" x14ac:dyDescent="0.3">
      <c r="C73">
        <f>'Outstanding loss reserves'!$O72</f>
        <v>2022</v>
      </c>
      <c r="D73" s="45">
        <f>'Outstanding loss reserves'!B71+'Cum. payments'!B71</f>
        <v>9108005.5274160169</v>
      </c>
      <c r="E73" s="45">
        <f>'Outstanding loss reserves'!C71+'Cum. payments'!C71</f>
        <v>10999584.003385853</v>
      </c>
      <c r="F73" s="45">
        <f>'Outstanding loss reserves'!D71+'Cum. payments'!D71</f>
        <v>12643159.666512519</v>
      </c>
      <c r="G73" s="45">
        <f>'Outstanding loss reserves'!E71+'Cum. payments'!E71</f>
        <v>13029150.812231895</v>
      </c>
      <c r="R73">
        <f t="shared" si="1"/>
        <v>2022</v>
      </c>
      <c r="S73" s="45">
        <f>'Outstanding loss reserves'!P72+'Cum. payments'!B194</f>
        <v>11216580.968702884</v>
      </c>
      <c r="T73" s="45">
        <f>'Outstanding loss reserves'!Q72+'Cum. payments'!C194</f>
        <v>13252202.197487431</v>
      </c>
      <c r="U73" s="45">
        <f>'Outstanding loss reserves'!R72+'Cum. payments'!D194</f>
        <v>15121633.476089437</v>
      </c>
      <c r="V73" s="45">
        <f>'Outstanding loss reserves'!S72+'Cum. payments'!E194</f>
        <v>15531485.075728094</v>
      </c>
    </row>
    <row r="74" spans="3:23" x14ac:dyDescent="0.3">
      <c r="C74">
        <f>'Outstanding loss reserves'!$O73</f>
        <v>2022</v>
      </c>
      <c r="D74" s="45">
        <f>'Outstanding loss reserves'!B72+'Cum. payments'!B72</f>
        <v>280984.66004348977</v>
      </c>
      <c r="E74" s="45">
        <f>'Outstanding loss reserves'!C72+'Cum. payments'!C72</f>
        <v>2125640.2765056081</v>
      </c>
      <c r="F74" s="45">
        <f>'Outstanding loss reserves'!D72+'Cum. payments'!D72</f>
        <v>2114972.5459903455</v>
      </c>
      <c r="G74" s="45">
        <f>'Outstanding loss reserves'!E72+'Cum. payments'!E72</f>
        <v>2229513.4565238995</v>
      </c>
      <c r="R74">
        <f t="shared" si="1"/>
        <v>2022</v>
      </c>
      <c r="S74" s="45">
        <f>'Outstanding loss reserves'!P73+'Cum. payments'!B195</f>
        <v>346034.83505300479</v>
      </c>
      <c r="T74" s="45">
        <f>'Outstanding loss reserves'!Q73+'Cum. payments'!C195</f>
        <v>2561852.8692494612</v>
      </c>
      <c r="U74" s="45">
        <f>'Outstanding loss reserves'!R73+'Cum. payments'!D195</f>
        <v>2527110.8393870746</v>
      </c>
      <c r="V74" s="45">
        <f>'Outstanding loss reserves'!S73+'Cum. payments'!E195</f>
        <v>2651684.9601395484</v>
      </c>
    </row>
    <row r="75" spans="3:23" x14ac:dyDescent="0.3">
      <c r="C75">
        <f>'Outstanding loss reserves'!$O74</f>
        <v>2022</v>
      </c>
      <c r="D75" s="45">
        <f>'Outstanding loss reserves'!B73+'Cum. payments'!B73</f>
        <v>2633809.6204257188</v>
      </c>
      <c r="E75" s="45">
        <f>'Outstanding loss reserves'!C73+'Cum. payments'!C73</f>
        <v>2477495.2185667567</v>
      </c>
      <c r="F75" s="45">
        <f>'Outstanding loss reserves'!D73+'Cum. payments'!D73</f>
        <v>2232500.3601321718</v>
      </c>
      <c r="G75" s="45">
        <f>'Outstanding loss reserves'!E73+'Cum. payments'!E73</f>
        <v>2286170.4741149074</v>
      </c>
      <c r="R75">
        <f t="shared" si="1"/>
        <v>2022</v>
      </c>
      <c r="S75" s="45">
        <f>'Outstanding loss reserves'!P74+'Cum. payments'!B196</f>
        <v>3243557.414927809</v>
      </c>
      <c r="T75" s="45">
        <f>'Outstanding loss reserves'!Q74+'Cum. payments'!C196</f>
        <v>2994794.7157918098</v>
      </c>
      <c r="U75" s="45">
        <f>'Outstanding loss reserves'!R74+'Cum. payments'!D196</f>
        <v>2681181.1543011237</v>
      </c>
      <c r="V75" s="45">
        <f>'Outstanding loss reserves'!S74+'Cum. payments'!E196</f>
        <v>2737013.2524630898</v>
      </c>
    </row>
    <row r="76" spans="3:23" x14ac:dyDescent="0.3">
      <c r="C76">
        <f>'Outstanding loss reserves'!$O75</f>
        <v>2022</v>
      </c>
      <c r="D76" s="45">
        <f>'Outstanding loss reserves'!B74+'Cum. payments'!B74</f>
        <v>3460560.772776355</v>
      </c>
      <c r="E76" s="45">
        <f>'Outstanding loss reserves'!C74+'Cum. payments'!C74</f>
        <v>4477790.7994887363</v>
      </c>
      <c r="F76" s="45">
        <f>'Outstanding loss reserves'!D74+'Cum. payments'!D74</f>
        <v>4878169.1334654167</v>
      </c>
      <c r="G76" s="45">
        <f>'Outstanding loss reserves'!E74+'Cum. payments'!E74</f>
        <v>4367984.8979502209</v>
      </c>
      <c r="R76">
        <f t="shared" si="1"/>
        <v>2022</v>
      </c>
      <c r="S76" s="45">
        <f>'Outstanding loss reserves'!P75+'Cum. payments'!B197</f>
        <v>4261708.0093028005</v>
      </c>
      <c r="T76" s="45">
        <f>'Outstanding loss reserves'!Q75+'Cum. payments'!C197</f>
        <v>5397607.9137654044</v>
      </c>
      <c r="U76" s="45">
        <f>'Outstanding loss reserves'!R75+'Cum. payments'!D197</f>
        <v>5813567.9024209995</v>
      </c>
      <c r="V76" s="45">
        <f>'Outstanding loss reserves'!S75+'Cum. payments'!E197</f>
        <v>5180016.4520155024</v>
      </c>
    </row>
    <row r="77" spans="3:23" x14ac:dyDescent="0.3">
      <c r="C77">
        <f>'Outstanding loss reserves'!$O76</f>
        <v>2022</v>
      </c>
      <c r="D77" s="45">
        <f>'Outstanding loss reserves'!B75+'Cum. payments'!B75</f>
        <v>1983016.9877165079</v>
      </c>
      <c r="E77" s="45">
        <f>'Outstanding loss reserves'!C75+'Cum. payments'!C75</f>
        <v>1301094.905247106</v>
      </c>
      <c r="F77" s="45">
        <f>'Outstanding loss reserves'!D75+'Cum. payments'!D75</f>
        <v>1611669.3119928217</v>
      </c>
      <c r="G77" s="45">
        <f>'Outstanding loss reserves'!E75+'Cum. payments'!E75</f>
        <v>1539355.7980382913</v>
      </c>
      <c r="R77">
        <f t="shared" si="1"/>
        <v>2022</v>
      </c>
      <c r="S77" s="45">
        <f>'Outstanding loss reserves'!P76+'Cum. payments'!B198</f>
        <v>2442101.1315905354</v>
      </c>
      <c r="T77" s="45">
        <f>'Outstanding loss reserves'!Q76+'Cum. payments'!C198</f>
        <v>1574719.6941648913</v>
      </c>
      <c r="U77" s="45">
        <f>'Outstanding loss reserves'!R76+'Cum. payments'!D198</f>
        <v>1930295.2460463487</v>
      </c>
      <c r="V77" s="45">
        <f>'Outstanding loss reserves'!S76+'Cum. payments'!E198</f>
        <v>1836843.8112611084</v>
      </c>
    </row>
    <row r="78" spans="3:23" x14ac:dyDescent="0.3">
      <c r="C78">
        <f>'Outstanding loss reserves'!$O77</f>
        <v>2022</v>
      </c>
      <c r="D78" s="45">
        <f>'Outstanding loss reserves'!B76+'Cum. payments'!B76</f>
        <v>4285183.8131404407</v>
      </c>
      <c r="E78" s="45">
        <f>'Outstanding loss reserves'!C76+'Cum. payments'!C76</f>
        <v>3144430.8315937766</v>
      </c>
      <c r="F78" s="45">
        <f>'Outstanding loss reserves'!D76+'Cum. payments'!D76</f>
        <v>4783799.4908318743</v>
      </c>
      <c r="G78" s="45">
        <f>'Outstanding loss reserves'!E76+'Cum. payments'!E76</f>
        <v>4429396.7745881658</v>
      </c>
      <c r="R78">
        <f t="shared" si="1"/>
        <v>2022</v>
      </c>
      <c r="S78" s="45">
        <f>'Outstanding loss reserves'!P77+'Cum. payments'!B199</f>
        <v>5277237.8169055646</v>
      </c>
      <c r="T78" s="45">
        <f>'Outstanding loss reserves'!Q77+'Cum. payments'!C199</f>
        <v>3787666.193444578</v>
      </c>
      <c r="U78" s="45">
        <f>'Outstanding loss reserves'!R77+'Cum. payments'!D199</f>
        <v>5689045.1309019793</v>
      </c>
      <c r="V78" s="45">
        <f>'Outstanding loss reserves'!S77+'Cum. payments'!E199</f>
        <v>5236009.93721011</v>
      </c>
    </row>
    <row r="79" spans="3:23" x14ac:dyDescent="0.3">
      <c r="C79">
        <f>'Outstanding loss reserves'!$O78</f>
        <v>2023</v>
      </c>
      <c r="D79" s="45">
        <f>'Outstanding loss reserves'!B77+'Cum. payments'!B77</f>
        <v>1326475.545487744</v>
      </c>
      <c r="E79" s="45">
        <f>'Outstanding loss reserves'!C77+'Cum. payments'!C77</f>
        <v>846191.33973605908</v>
      </c>
      <c r="F79" s="45">
        <f>'Outstanding loss reserves'!D77+'Cum. payments'!D77</f>
        <v>1613175.0453681352</v>
      </c>
      <c r="R79">
        <f t="shared" si="1"/>
        <v>2023</v>
      </c>
      <c r="S79" s="45">
        <f>'Outstanding loss reserves'!P78+'Cum. payments'!B200</f>
        <v>1546728.9623535692</v>
      </c>
      <c r="T79" s="45">
        <f>'Outstanding loss reserves'!Q78+'Cum. payments'!C200</f>
        <v>974233.54453295597</v>
      </c>
      <c r="U79" s="45">
        <f>'Outstanding loss reserves'!R78+'Cum. payments'!D200</f>
        <v>1845495.6214065398</v>
      </c>
    </row>
    <row r="80" spans="3:23" x14ac:dyDescent="0.3">
      <c r="C80">
        <f>'Outstanding loss reserves'!$O79</f>
        <v>2023</v>
      </c>
      <c r="D80" s="45">
        <f>'Outstanding loss reserves'!B78+'Cum. payments'!B78</f>
        <v>1973032.7879179071</v>
      </c>
      <c r="E80" s="45">
        <f>'Outstanding loss reserves'!C78+'Cum. payments'!C78</f>
        <v>1157401.5758724401</v>
      </c>
      <c r="F80" s="45">
        <f>'Outstanding loss reserves'!D78+'Cum. payments'!D78</f>
        <v>1254570.3395472888</v>
      </c>
      <c r="R80">
        <f t="shared" si="1"/>
        <v>2023</v>
      </c>
      <c r="S80" s="45">
        <f>'Outstanding loss reserves'!P79+'Cum. payments'!B201</f>
        <v>2300643.2098404872</v>
      </c>
      <c r="T80" s="45">
        <f>'Outstanding loss reserves'!Q79+'Cum. payments'!C201</f>
        <v>1333325.5800767462</v>
      </c>
      <c r="U80" s="45">
        <f>'Outstanding loss reserves'!R79+'Cum. payments'!D201</f>
        <v>1441109.5368812357</v>
      </c>
    </row>
    <row r="81" spans="3:21" x14ac:dyDescent="0.3">
      <c r="C81">
        <f>'Outstanding loss reserves'!$O80</f>
        <v>2023</v>
      </c>
      <c r="D81" s="45">
        <f>'Outstanding loss reserves'!B79+'Cum. payments'!B79</f>
        <v>739090.21990043914</v>
      </c>
      <c r="E81" s="45">
        <f>'Outstanding loss reserves'!C79+'Cum. payments'!C79</f>
        <v>2131965.8165273066</v>
      </c>
      <c r="F81" s="45">
        <f>'Outstanding loss reserves'!D79+'Cum. payments'!D79</f>
        <v>2515692.1966349524</v>
      </c>
      <c r="R81">
        <f t="shared" si="1"/>
        <v>2023</v>
      </c>
      <c r="S81" s="45">
        <f>'Outstanding loss reserves'!P80+'Cum. payments'!B202</f>
        <v>861811.7784387304</v>
      </c>
      <c r="T81" s="45">
        <f>'Outstanding loss reserves'!Q80+'Cum. payments'!C202</f>
        <v>2462351.3384632682</v>
      </c>
      <c r="U81" s="45">
        <f>'Outstanding loss reserves'!R80+'Cum. payments'!D202</f>
        <v>2896034.744706824</v>
      </c>
    </row>
    <row r="82" spans="3:21" x14ac:dyDescent="0.3">
      <c r="C82">
        <f>'Outstanding loss reserves'!$O81</f>
        <v>2023</v>
      </c>
      <c r="D82" s="45">
        <f>'Outstanding loss reserves'!B80+'Cum. payments'!B80</f>
        <v>2300097.3573473361</v>
      </c>
      <c r="E82" s="45">
        <f>'Outstanding loss reserves'!C80+'Cum. payments'!C80</f>
        <v>2023580.5522391889</v>
      </c>
      <c r="F82" s="45">
        <f>'Outstanding loss reserves'!D80+'Cum. payments'!D80</f>
        <v>2450810.0234637433</v>
      </c>
      <c r="R82">
        <f t="shared" si="1"/>
        <v>2023</v>
      </c>
      <c r="S82" s="45">
        <f>'Outstanding loss reserves'!P81+'Cum. payments'!B203</f>
        <v>2682014.9161015218</v>
      </c>
      <c r="T82" s="45">
        <f>'Outstanding loss reserves'!Q81+'Cum. payments'!C203</f>
        <v>2330559.1568999584</v>
      </c>
      <c r="U82" s="45">
        <f>'Outstanding loss reserves'!R81+'Cum. payments'!D203</f>
        <v>2808639.5099582197</v>
      </c>
    </row>
    <row r="83" spans="3:21" x14ac:dyDescent="0.3">
      <c r="C83">
        <f>'Outstanding loss reserves'!$O82</f>
        <v>2023</v>
      </c>
      <c r="D83" s="45">
        <f>'Outstanding loss reserves'!B81+'Cum. payments'!B81</f>
        <v>987466.75899892021</v>
      </c>
      <c r="E83" s="45">
        <f>'Outstanding loss reserves'!C81+'Cum. payments'!C81</f>
        <v>1068258.2347038849</v>
      </c>
      <c r="F83" s="45">
        <f>'Outstanding loss reserves'!D81+'Cum. payments'!D81</f>
        <v>1141762.7736038817</v>
      </c>
      <c r="R83">
        <f t="shared" si="1"/>
        <v>2023</v>
      </c>
      <c r="S83" s="45">
        <f>'Outstanding loss reserves'!P82+'Cum. payments'!B204</f>
        <v>1151429.7724527135</v>
      </c>
      <c r="T83" s="45">
        <f>'Outstanding loss reserves'!Q82+'Cum. payments'!C204</f>
        <v>1231891.06250057</v>
      </c>
      <c r="U83" s="45">
        <f>'Outstanding loss reserves'!R82+'Cum. payments'!D204</f>
        <v>1313081.9043594645</v>
      </c>
    </row>
    <row r="84" spans="3:21" x14ac:dyDescent="0.3">
      <c r="C84">
        <f>'Outstanding loss reserves'!$O83</f>
        <v>2023</v>
      </c>
      <c r="D84" s="45">
        <f>'Outstanding loss reserves'!B82+'Cum. payments'!B82</f>
        <v>1312390.1347095426</v>
      </c>
      <c r="E84" s="45">
        <f>'Outstanding loss reserves'!C82+'Cum. payments'!C82</f>
        <v>2267710.8035748075</v>
      </c>
      <c r="F84" s="45">
        <f>'Outstanding loss reserves'!D82+'Cum. payments'!D82</f>
        <v>1966966.285808045</v>
      </c>
      <c r="R84">
        <f t="shared" si="1"/>
        <v>2023</v>
      </c>
      <c r="S84" s="45">
        <f>'Outstanding loss reserves'!P83+'Cum. payments'!B205</f>
        <v>1530304.7524452892</v>
      </c>
      <c r="T84" s="45">
        <f>'Outstanding loss reserves'!Q83+'Cum. payments'!C205</f>
        <v>2611227.0682993969</v>
      </c>
      <c r="U84" s="45">
        <f>'Outstanding loss reserves'!R83+'Cum. payments'!D205</f>
        <v>2250971.5711755343</v>
      </c>
    </row>
    <row r="85" spans="3:21" x14ac:dyDescent="0.3">
      <c r="C85">
        <f>'Outstanding loss reserves'!$O84</f>
        <v>2023</v>
      </c>
      <c r="D85" s="45">
        <f>'Outstanding loss reserves'!B83+'Cum. payments'!B83</f>
        <v>483483.98347990279</v>
      </c>
      <c r="E85" s="45">
        <f>'Outstanding loss reserves'!C83+'Cum. payments'!C83</f>
        <v>403146.32250240812</v>
      </c>
      <c r="F85" s="45">
        <f>'Outstanding loss reserves'!D83+'Cum. payments'!D83</f>
        <v>382010.06035758386</v>
      </c>
      <c r="R85">
        <f t="shared" si="1"/>
        <v>2023</v>
      </c>
      <c r="S85" s="45">
        <f>'Outstanding loss reserves'!P84+'Cum. payments'!B206</f>
        <v>563763.63863343443</v>
      </c>
      <c r="T85" s="45">
        <f>'Outstanding loss reserves'!Q84+'Cum. payments'!C206</f>
        <v>464668.49105248949</v>
      </c>
      <c r="U85" s="45">
        <f>'Outstanding loss reserves'!R84+'Cum. payments'!D206</f>
        <v>437822.39286586863</v>
      </c>
    </row>
    <row r="86" spans="3:21" x14ac:dyDescent="0.3">
      <c r="C86">
        <f>'Outstanding loss reserves'!$O85</f>
        <v>2023</v>
      </c>
      <c r="D86" s="45">
        <f>'Outstanding loss reserves'!B84+'Cum. payments'!B84</f>
        <v>1008307.904926455</v>
      </c>
      <c r="E86" s="45">
        <f>'Outstanding loss reserves'!C84+'Cum. payments'!C84</f>
        <v>1187187.2910371681</v>
      </c>
      <c r="F86" s="45">
        <f>'Outstanding loss reserves'!D84+'Cum. payments'!D84</f>
        <v>1174657.9655308435</v>
      </c>
      <c r="R86">
        <f t="shared" si="1"/>
        <v>2023</v>
      </c>
      <c r="S86" s="45">
        <f>'Outstanding loss reserves'!P85+'Cum. payments'!B207</f>
        <v>1175731.4673647764</v>
      </c>
      <c r="T86" s="45">
        <f>'Outstanding loss reserves'!Q85+'Cum. payments'!C207</f>
        <v>1368840.1149297031</v>
      </c>
      <c r="U86" s="45">
        <f>'Outstanding loss reserves'!R85+'Cum. payments'!D207</f>
        <v>1350046.6537301417</v>
      </c>
    </row>
    <row r="87" spans="3:21" x14ac:dyDescent="0.3">
      <c r="C87">
        <f>'Outstanding loss reserves'!$O86</f>
        <v>2023</v>
      </c>
      <c r="D87" s="45">
        <f>'Outstanding loss reserves'!B85+'Cum. payments'!B85</f>
        <v>736142.12782536994</v>
      </c>
      <c r="E87" s="45">
        <f>'Outstanding loss reserves'!C85+'Cum. payments'!C85</f>
        <v>590558.22202891798</v>
      </c>
      <c r="F87" s="45">
        <f>'Outstanding loss reserves'!D85+'Cum. payments'!D85</f>
        <v>526616.94865439704</v>
      </c>
      <c r="R87">
        <f t="shared" si="1"/>
        <v>2023</v>
      </c>
      <c r="S87" s="45">
        <f>'Outstanding loss reserves'!P86+'Cum. payments'!B208</f>
        <v>858374.17311558221</v>
      </c>
      <c r="T87" s="45">
        <f>'Outstanding loss reserves'!Q86+'Cum. payments'!C208</f>
        <v>679957.31970278698</v>
      </c>
      <c r="U87" s="45">
        <f>'Outstanding loss reserves'!R86+'Cum. payments'!D208</f>
        <v>602538.12233565829</v>
      </c>
    </row>
    <row r="88" spans="3:21" x14ac:dyDescent="0.3">
      <c r="C88">
        <f>'Outstanding loss reserves'!$O87</f>
        <v>2023</v>
      </c>
      <c r="D88" s="45">
        <f>'Outstanding loss reserves'!B86+'Cum. payments'!B86</f>
        <v>250346.85244693756</v>
      </c>
      <c r="E88" s="45">
        <f>'Outstanding loss reserves'!C86+'Cum. payments'!C86</f>
        <v>1312887.8520459707</v>
      </c>
      <c r="F88" s="45">
        <f>'Outstanding loss reserves'!D86+'Cum. payments'!D86</f>
        <v>1488880.7454768685</v>
      </c>
      <c r="R88">
        <f t="shared" si="1"/>
        <v>2023</v>
      </c>
      <c r="S88" s="45">
        <f>'Outstanding loss reserves'!P87+'Cum. payments'!B209</f>
        <v>291915.4662375279</v>
      </c>
      <c r="T88" s="45">
        <f>'Outstanding loss reserves'!Q87+'Cum. payments'!C209</f>
        <v>1511723.194744458</v>
      </c>
      <c r="U88" s="45">
        <f>'Outstanding loss reserves'!R87+'Cum. payments'!D209</f>
        <v>1704036.4374867312</v>
      </c>
    </row>
    <row r="89" spans="3:21" x14ac:dyDescent="0.3">
      <c r="C89">
        <f>'Outstanding loss reserves'!$O88</f>
        <v>2023</v>
      </c>
      <c r="D89" s="45">
        <f>'Outstanding loss reserves'!B87+'Cum. payments'!B87</f>
        <v>2377515.6835210342</v>
      </c>
      <c r="E89" s="45">
        <f>'Outstanding loss reserves'!C87+'Cum. payments'!C87</f>
        <v>2464619.0364531036</v>
      </c>
      <c r="F89" s="45">
        <f>'Outstanding loss reserves'!D87+'Cum. payments'!D87</f>
        <v>2367891.8822404058</v>
      </c>
      <c r="R89">
        <f t="shared" si="1"/>
        <v>2023</v>
      </c>
      <c r="S89" s="45">
        <f>'Outstanding loss reserves'!P88+'Cum. payments'!B210</f>
        <v>2772288.0973276137</v>
      </c>
      <c r="T89" s="45">
        <f>'Outstanding loss reserves'!Q88+'Cum. payments'!C210</f>
        <v>2844658.8174337666</v>
      </c>
      <c r="U89" s="45">
        <f>'Outstanding loss reserves'!R88+'Cum. payments'!D210</f>
        <v>2725803.0224957634</v>
      </c>
    </row>
    <row r="90" spans="3:21" x14ac:dyDescent="0.3">
      <c r="C90">
        <f>'Outstanding loss reserves'!$O89</f>
        <v>2023</v>
      </c>
      <c r="D90" s="45">
        <f>'Outstanding loss reserves'!B88+'Cum. payments'!B88</f>
        <v>1284965.0584100813</v>
      </c>
      <c r="E90" s="45">
        <f>'Outstanding loss reserves'!C88+'Cum. payments'!C88</f>
        <v>1986428.8577334066</v>
      </c>
      <c r="F90" s="45">
        <f>'Outstanding loss reserves'!D88+'Cum. payments'!D88</f>
        <v>1774049.5679583095</v>
      </c>
      <c r="R90">
        <f t="shared" si="1"/>
        <v>2023</v>
      </c>
      <c r="S90" s="45">
        <f>'Outstanding loss reserves'!P89+'Cum. payments'!B211</f>
        <v>1498325.9044737378</v>
      </c>
      <c r="T90" s="45">
        <f>'Outstanding loss reserves'!Q89+'Cum. payments'!C211</f>
        <v>2302958.102101651</v>
      </c>
      <c r="U90" s="45">
        <f>'Outstanding loss reserves'!R89+'Cum. payments'!D211</f>
        <v>2053682.7914120494</v>
      </c>
    </row>
    <row r="91" spans="3:21" x14ac:dyDescent="0.3">
      <c r="C91">
        <f>'Outstanding loss reserves'!$O90</f>
        <v>2023</v>
      </c>
      <c r="D91" s="45">
        <f>'Outstanding loss reserves'!B89+'Cum. payments'!B89</f>
        <v>3412961.3609562018</v>
      </c>
      <c r="E91" s="45">
        <f>'Outstanding loss reserves'!C89+'Cum. payments'!C89</f>
        <v>1661696.1322800461</v>
      </c>
      <c r="F91" s="45">
        <f>'Outstanding loss reserves'!D89+'Cum. payments'!D89</f>
        <v>1977105.0689993012</v>
      </c>
      <c r="R91">
        <f t="shared" si="1"/>
        <v>2023</v>
      </c>
      <c r="S91" s="45">
        <f>'Outstanding loss reserves'!P90+'Cum. payments'!B212</f>
        <v>3979663.4037784352</v>
      </c>
      <c r="T91" s="45">
        <f>'Outstanding loss reserves'!Q90+'Cum. payments'!C212</f>
        <v>1912748.1591374362</v>
      </c>
      <c r="U91" s="45">
        <f>'Outstanding loss reserves'!R90+'Cum. payments'!D212</f>
        <v>2261782.9434210062</v>
      </c>
    </row>
    <row r="92" spans="3:21" x14ac:dyDescent="0.3">
      <c r="C92">
        <f>'Outstanding loss reserves'!$O91</f>
        <v>2023</v>
      </c>
      <c r="D92" s="45">
        <f>'Outstanding loss reserves'!B90+'Cum. payments'!B90</f>
        <v>991041.1553205509</v>
      </c>
      <c r="E92" s="45">
        <f>'Outstanding loss reserves'!C90+'Cum. payments'!C90</f>
        <v>1788114.0393865183</v>
      </c>
      <c r="F92" s="45">
        <f>'Outstanding loss reserves'!D90+'Cum. payments'!D90</f>
        <v>1564373.2061401363</v>
      </c>
      <c r="R92">
        <f t="shared" si="1"/>
        <v>2023</v>
      </c>
      <c r="S92" s="45">
        <f>'Outstanding loss reserves'!P91+'Cum. payments'!B213</f>
        <v>1155597.676137333</v>
      </c>
      <c r="T92" s="45">
        <f>'Outstanding loss reserves'!Q91+'Cum. payments'!C213</f>
        <v>2058354.6525850983</v>
      </c>
      <c r="U92" s="45">
        <f>'Outstanding loss reserves'!R91+'Cum. payments'!D213</f>
        <v>1789251.6321696846</v>
      </c>
    </row>
    <row r="93" spans="3:21" x14ac:dyDescent="0.3">
      <c r="C93">
        <f>'Outstanding loss reserves'!$O92</f>
        <v>2023</v>
      </c>
      <c r="D93" s="45">
        <f>'Outstanding loss reserves'!B91+'Cum. payments'!B91</f>
        <v>688656.98973707343</v>
      </c>
      <c r="E93" s="45">
        <f>'Outstanding loss reserves'!C91+'Cum. payments'!C91</f>
        <v>750051.82009791164</v>
      </c>
      <c r="F93" s="45">
        <f>'Outstanding loss reserves'!D91+'Cum. payments'!D91</f>
        <v>726514.75106415409</v>
      </c>
      <c r="R93">
        <f t="shared" si="1"/>
        <v>2023</v>
      </c>
      <c r="S93" s="45">
        <f>'Outstanding loss reserves'!P92+'Cum. payments'!B214</f>
        <v>803004.40877098544</v>
      </c>
      <c r="T93" s="45">
        <f>'Outstanding loss reserves'!Q92+'Cum. payments'!C214</f>
        <v>868441.96739201085</v>
      </c>
      <c r="U93" s="45">
        <f>'Outstanding loss reserves'!R92+'Cum. payments'!D214</f>
        <v>838473.28927808162</v>
      </c>
    </row>
    <row r="94" spans="3:21" x14ac:dyDescent="0.3">
      <c r="C94">
        <f>'Outstanding loss reserves'!$O93</f>
        <v>2023</v>
      </c>
      <c r="D94" s="45">
        <f>'Outstanding loss reserves'!B92+'Cum. payments'!B92</f>
        <v>295976.38881512545</v>
      </c>
      <c r="E94" s="45">
        <f>'Outstanding loss reserves'!C92+'Cum. payments'!C92</f>
        <v>1338164.5047823705</v>
      </c>
      <c r="F94" s="45">
        <f>'Outstanding loss reserves'!D92+'Cum. payments'!D92</f>
        <v>1956938.7322590053</v>
      </c>
      <c r="R94">
        <f t="shared" si="1"/>
        <v>2023</v>
      </c>
      <c r="S94" s="45">
        <f>'Outstanding loss reserves'!P93+'Cum. payments'!B215</f>
        <v>345121.51717417809</v>
      </c>
      <c r="T94" s="45">
        <f>'Outstanding loss reserves'!Q93+'Cum. payments'!C215</f>
        <v>1540316.7897257309</v>
      </c>
      <c r="U94" s="45">
        <f>'Outstanding loss reserves'!R93+'Cum. payments'!D215</f>
        <v>2240656.204284973</v>
      </c>
    </row>
    <row r="95" spans="3:21" x14ac:dyDescent="0.3">
      <c r="C95">
        <f>'Outstanding loss reserves'!$O94</f>
        <v>2024</v>
      </c>
      <c r="D95" s="45">
        <f>'Outstanding loss reserves'!B93+'Cum. payments'!B93</f>
        <v>649111.67550360353</v>
      </c>
      <c r="E95" s="45">
        <f>'Outstanding loss reserves'!C93+'Cum. payments'!C93</f>
        <v>650736.34059521905</v>
      </c>
      <c r="R95">
        <f t="shared" si="1"/>
        <v>2024</v>
      </c>
      <c r="S95" s="45">
        <f>'Outstanding loss reserves'!P94+'Cum. payments'!B216</f>
        <v>723301.81294165773</v>
      </c>
      <c r="T95" s="45">
        <f>'Outstanding loss reserves'!Q94+'Cum. payments'!C216</f>
        <v>720673.91550150001</v>
      </c>
    </row>
    <row r="96" spans="3:21" x14ac:dyDescent="0.3">
      <c r="C96">
        <f>'Outstanding loss reserves'!$O95</f>
        <v>2024</v>
      </c>
      <c r="D96" s="45">
        <f>'Outstanding loss reserves'!B94+'Cum. payments'!B94</f>
        <v>1131922.7607940228</v>
      </c>
      <c r="E96" s="45">
        <f>'Outstanding loss reserves'!C94+'Cum. payments'!C94</f>
        <v>1429582.9119075274</v>
      </c>
      <c r="R96">
        <f t="shared" si="1"/>
        <v>2024</v>
      </c>
      <c r="S96" s="45">
        <f>'Outstanding loss reserves'!P95+'Cum. payments'!B217</f>
        <v>1261295.7305952788</v>
      </c>
      <c r="T96" s="45">
        <f>'Outstanding loss reserves'!Q95+'Cum. payments'!C217</f>
        <v>1584292.8014247038</v>
      </c>
    </row>
    <row r="97" spans="3:20" x14ac:dyDescent="0.3">
      <c r="C97">
        <f>'Outstanding loss reserves'!$O96</f>
        <v>2024</v>
      </c>
      <c r="D97" s="45">
        <f>'Outstanding loss reserves'!B95+'Cum. payments'!B95</f>
        <v>743096.83534889214</v>
      </c>
      <c r="E97" s="45">
        <f>'Outstanding loss reserves'!C95+'Cum. payments'!C95</f>
        <v>467605.9634052522</v>
      </c>
      <c r="R97">
        <f t="shared" si="1"/>
        <v>2024</v>
      </c>
      <c r="S97" s="45">
        <f>'Outstanding loss reserves'!P96+'Cum. payments'!B218</f>
        <v>828028.99482907006</v>
      </c>
      <c r="T97" s="45">
        <f>'Outstanding loss reserves'!Q96+'Cum. payments'!C218</f>
        <v>518103.46354107873</v>
      </c>
    </row>
    <row r="98" spans="3:20" x14ac:dyDescent="0.3">
      <c r="C98">
        <f>'Outstanding loss reserves'!$O97</f>
        <v>2024</v>
      </c>
      <c r="D98" s="45">
        <f>'Outstanding loss reserves'!B96+'Cum. payments'!B96</f>
        <v>260154.69101487799</v>
      </c>
      <c r="E98" s="45">
        <f>'Outstanding loss reserves'!C96+'Cum. payments'!C96</f>
        <v>391694.10620632488</v>
      </c>
      <c r="R98">
        <f t="shared" si="1"/>
        <v>2024</v>
      </c>
      <c r="S98" s="45">
        <f>'Outstanding loss reserves'!P97+'Cum. payments'!B219</f>
        <v>289889.03875492443</v>
      </c>
      <c r="T98" s="45">
        <f>'Outstanding loss reserves'!Q97+'Cum. payments'!C219</f>
        <v>434161.60262752639</v>
      </c>
    </row>
    <row r="99" spans="3:20" x14ac:dyDescent="0.3">
      <c r="C99">
        <f>'Outstanding loss reserves'!$O98</f>
        <v>2024</v>
      </c>
      <c r="D99" s="45">
        <f>'Outstanding loss reserves'!B97+'Cum. payments'!B97</f>
        <v>2964151.3919066447</v>
      </c>
      <c r="E99" s="45">
        <f>'Outstanding loss reserves'!C97+'Cum. payments'!C97</f>
        <v>3387767.6800011471</v>
      </c>
      <c r="R99">
        <f t="shared" si="1"/>
        <v>2024</v>
      </c>
      <c r="S99" s="45">
        <f>'Outstanding loss reserves'!P98+'Cum. payments'!B220</f>
        <v>3302938.7030147668</v>
      </c>
      <c r="T99" s="45">
        <f>'Outstanding loss reserves'!Q98+'Cum. payments'!C220</f>
        <v>3750919.5271863015</v>
      </c>
    </row>
    <row r="100" spans="3:20" x14ac:dyDescent="0.3">
      <c r="C100">
        <f>'Outstanding loss reserves'!$O99</f>
        <v>2024</v>
      </c>
      <c r="D100" s="45">
        <f>'Outstanding loss reserves'!B98+'Cum. payments'!B98</f>
        <v>2087792.36347859</v>
      </c>
      <c r="E100" s="45">
        <f>'Outstanding loss reserves'!C98+'Cum. payments'!C98</f>
        <v>2024780.4847003194</v>
      </c>
      <c r="R100">
        <f t="shared" si="1"/>
        <v>2024</v>
      </c>
      <c r="S100" s="45">
        <f>'Outstanding loss reserves'!P99+'Cum. payments'!B221</f>
        <v>2326416.3294832455</v>
      </c>
      <c r="T100" s="45">
        <f>'Outstanding loss reserves'!Q99+'Cum. payments'!C221</f>
        <v>2245089.6415613107</v>
      </c>
    </row>
    <row r="101" spans="3:20" x14ac:dyDescent="0.3">
      <c r="C101">
        <f>'Outstanding loss reserves'!$O100</f>
        <v>2024</v>
      </c>
      <c r="D101" s="45">
        <f>'Outstanding loss reserves'!B99+'Cum. payments'!B99</f>
        <v>260128.86688687687</v>
      </c>
      <c r="E101" s="45">
        <f>'Outstanding loss reserves'!C99+'Cum. payments'!C99</f>
        <v>517826.52658968267</v>
      </c>
      <c r="R101">
        <f t="shared" si="1"/>
        <v>2024</v>
      </c>
      <c r="S101" s="45">
        <f>'Outstanding loss reserves'!P100+'Cum. payments'!B222</f>
        <v>289860.26306145638</v>
      </c>
      <c r="T101" s="45">
        <f>'Outstanding loss reserves'!Q100+'Cum. payments'!C222</f>
        <v>574485.12559554342</v>
      </c>
    </row>
    <row r="102" spans="3:20" x14ac:dyDescent="0.3">
      <c r="C102">
        <f>'Outstanding loss reserves'!$O101</f>
        <v>2024</v>
      </c>
      <c r="D102" s="45">
        <f>'Outstanding loss reserves'!B100+'Cum. payments'!B100</f>
        <v>1102122.2097467172</v>
      </c>
      <c r="E102" s="45">
        <f>'Outstanding loss reserves'!C100+'Cum. payments'!C100</f>
        <v>3638697.7886711881</v>
      </c>
      <c r="R102">
        <f t="shared" si="1"/>
        <v>2024</v>
      </c>
      <c r="S102" s="45">
        <f>'Outstanding loss reserves'!P101+'Cum. payments'!B223</f>
        <v>1228089.1293082912</v>
      </c>
      <c r="T102" s="45">
        <f>'Outstanding loss reserves'!Q101+'Cum. payments'!C223</f>
        <v>4030588.2384416191</v>
      </c>
    </row>
    <row r="103" spans="3:20" x14ac:dyDescent="0.3">
      <c r="C103">
        <f>'Outstanding loss reserves'!$O102</f>
        <v>2024</v>
      </c>
      <c r="D103" s="45">
        <f>'Outstanding loss reserves'!B101+'Cum. payments'!B101</f>
        <v>3392308.4375409642</v>
      </c>
      <c r="E103" s="45">
        <f>'Outstanding loss reserves'!C101+'Cum. payments'!C101</f>
        <v>1859123.1783655067</v>
      </c>
      <c r="R103">
        <f t="shared" si="1"/>
        <v>2024</v>
      </c>
      <c r="S103" s="45">
        <f>'Outstanding loss reserves'!P102+'Cum. payments'!B224</f>
        <v>3780031.9044130957</v>
      </c>
      <c r="T103" s="45">
        <f>'Outstanding loss reserves'!Q102+'Cum. payments'!C224</f>
        <v>2059077.9126428589</v>
      </c>
    </row>
    <row r="104" spans="3:20" x14ac:dyDescent="0.3">
      <c r="C104">
        <f>'Outstanding loss reserves'!$O103</f>
        <v>2024</v>
      </c>
      <c r="D104" s="45">
        <f>'Outstanding loss reserves'!B102+'Cum. payments'!B102</f>
        <v>5923477.1993401647</v>
      </c>
      <c r="E104" s="45">
        <f>'Outstanding loss reserves'!C102+'Cum. payments'!C102</f>
        <v>3091666.0211610058</v>
      </c>
      <c r="R104">
        <f t="shared" si="1"/>
        <v>2024</v>
      </c>
      <c r="S104" s="45">
        <f>'Outstanding loss reserves'!P103+'Cum. payments'!B225</f>
        <v>6600500.2819850361</v>
      </c>
      <c r="T104" s="45">
        <f>'Outstanding loss reserves'!Q103+'Cum. payments'!C225</f>
        <v>3426932.988885215</v>
      </c>
    </row>
    <row r="105" spans="3:20" x14ac:dyDescent="0.3">
      <c r="C105">
        <f>'Outstanding loss reserves'!$O104</f>
        <v>2024</v>
      </c>
      <c r="D105" s="45">
        <f>'Outstanding loss reserves'!B103+'Cum. payments'!B103</f>
        <v>5863950.2170691229</v>
      </c>
      <c r="E105" s="45">
        <f>'Outstanding loss reserves'!C103+'Cum. payments'!C103</f>
        <v>6111506.5063208845</v>
      </c>
      <c r="R105">
        <f t="shared" si="1"/>
        <v>2024</v>
      </c>
      <c r="S105" s="45">
        <f>'Outstanding loss reserves'!P104+'Cum. payments'!B226</f>
        <v>6534169.6707505593</v>
      </c>
      <c r="T105" s="45">
        <f>'Outstanding loss reserves'!Q104+'Cum. payments'!C226</f>
        <v>6767968.553027695</v>
      </c>
    </row>
    <row r="106" spans="3:20" x14ac:dyDescent="0.3">
      <c r="C106">
        <f>'Outstanding loss reserves'!$O105</f>
        <v>2024</v>
      </c>
      <c r="D106" s="45">
        <f>'Outstanding loss reserves'!B104+'Cum. payments'!B104</f>
        <v>1814288.6028410117</v>
      </c>
      <c r="E106" s="45">
        <f>'Outstanding loss reserves'!C104+'Cum. payments'!C104</f>
        <v>919430.26535042701</v>
      </c>
      <c r="R106">
        <f t="shared" si="1"/>
        <v>2024</v>
      </c>
      <c r="S106" s="45">
        <f>'Outstanding loss reserves'!P105+'Cum. payments'!B227</f>
        <v>2021652.4908694332</v>
      </c>
      <c r="T106" s="45">
        <f>'Outstanding loss reserves'!Q105+'Cum. payments'!C227</f>
        <v>1018526.8660243391</v>
      </c>
    </row>
    <row r="107" spans="3:20" x14ac:dyDescent="0.3">
      <c r="C107">
        <f>'Outstanding loss reserves'!$O106</f>
        <v>2024</v>
      </c>
      <c r="D107" s="45">
        <f>'Outstanding loss reserves'!B105+'Cum. payments'!B105</f>
        <v>3310085.5138916974</v>
      </c>
      <c r="E107" s="45">
        <f>'Outstanding loss reserves'!C105+'Cum. payments'!C105</f>
        <v>2038647.9081233605</v>
      </c>
      <c r="R107">
        <f t="shared" si="1"/>
        <v>2024</v>
      </c>
      <c r="S107" s="45">
        <f>'Outstanding loss reserves'!P106+'Cum. payments'!B228</f>
        <v>3688411.3220306612</v>
      </c>
      <c r="T107" s="45">
        <f>'Outstanding loss reserves'!Q106+'Cum. payments'!C228</f>
        <v>2260921.582751655</v>
      </c>
    </row>
    <row r="108" spans="3:20" x14ac:dyDescent="0.3">
      <c r="C108">
        <f>'Outstanding loss reserves'!$O107</f>
        <v>2025</v>
      </c>
      <c r="D108" s="45">
        <f>'Outstanding loss reserves'!B106+'Cum. payments'!B106</f>
        <v>454945.70797748858</v>
      </c>
      <c r="R108">
        <f t="shared" si="1"/>
        <v>2025</v>
      </c>
      <c r="S108" s="45">
        <f>'Outstanding loss reserves'!P107+'Cum. payments'!B229</f>
        <v>487582.09961415012</v>
      </c>
    </row>
    <row r="109" spans="3:20" x14ac:dyDescent="0.3">
      <c r="C109">
        <f>'Outstanding loss reserves'!$O108</f>
        <v>2025</v>
      </c>
      <c r="D109" s="45">
        <f>'Outstanding loss reserves'!B107+'Cum. payments'!B107</f>
        <v>2514023.9966928782</v>
      </c>
      <c r="R109">
        <f t="shared" si="1"/>
        <v>2025</v>
      </c>
      <c r="S109" s="45">
        <f>'Outstanding loss reserves'!P108+'Cum. payments'!B230</f>
        <v>2694372.2674893877</v>
      </c>
    </row>
    <row r="110" spans="3:20" x14ac:dyDescent="0.3">
      <c r="C110">
        <f>'Outstanding loss reserves'!$O109</f>
        <v>2025</v>
      </c>
      <c r="D110" s="45">
        <f>'Outstanding loss reserves'!B108+'Cum. payments'!B108</f>
        <v>22314818.062883101</v>
      </c>
      <c r="R110">
        <f t="shared" si="1"/>
        <v>2025</v>
      </c>
      <c r="S110" s="45">
        <f>'Outstanding loss reserves'!P109+'Cum. payments'!B231</f>
        <v>23915613.781648602</v>
      </c>
    </row>
    <row r="111" spans="3:20" x14ac:dyDescent="0.3">
      <c r="C111">
        <f>'Outstanding loss reserves'!$O110</f>
        <v>2025</v>
      </c>
      <c r="D111" s="45">
        <f>'Outstanding loss reserves'!B109+'Cum. payments'!B109</f>
        <v>532016.17969837005</v>
      </c>
      <c r="R111">
        <f t="shared" si="1"/>
        <v>2025</v>
      </c>
      <c r="S111" s="45">
        <f>'Outstanding loss reserves'!P110+'Cum. payments'!B232</f>
        <v>570181.36752894882</v>
      </c>
    </row>
    <row r="112" spans="3:20" x14ac:dyDescent="0.3">
      <c r="C112">
        <f>'Outstanding loss reserves'!$O111</f>
        <v>2025</v>
      </c>
      <c r="D112" s="45">
        <f>'Outstanding loss reserves'!B110+'Cum. payments'!B110</f>
        <v>1357244.7608516302</v>
      </c>
      <c r="R112">
        <f t="shared" si="1"/>
        <v>2025</v>
      </c>
      <c r="S112" s="45">
        <f>'Outstanding loss reserves'!P111+'Cum. payments'!B233</f>
        <v>1454609.2832226222</v>
      </c>
    </row>
    <row r="113" spans="3:19" x14ac:dyDescent="0.3">
      <c r="C113">
        <f>'Outstanding loss reserves'!$O112</f>
        <v>2025</v>
      </c>
      <c r="D113" s="45">
        <f>'Outstanding loss reserves'!B111+'Cum. payments'!B111</f>
        <v>1380274.8385405652</v>
      </c>
      <c r="R113">
        <f t="shared" si="1"/>
        <v>2025</v>
      </c>
      <c r="S113" s="45">
        <f>'Outstanding loss reserves'!P112+'Cum. payments'!B234</f>
        <v>1479291.4671336822</v>
      </c>
    </row>
    <row r="114" spans="3:19" x14ac:dyDescent="0.3">
      <c r="C114">
        <f>'Outstanding loss reserves'!$O113</f>
        <v>2025</v>
      </c>
      <c r="D114" s="45">
        <f>'Outstanding loss reserves'!B112+'Cum. payments'!B112</f>
        <v>563259.38553914777</v>
      </c>
      <c r="R114">
        <f t="shared" si="1"/>
        <v>2025</v>
      </c>
      <c r="S114" s="45">
        <f>'Outstanding loss reserves'!P113+'Cum. payments'!B235</f>
        <v>603665.86388840724</v>
      </c>
    </row>
    <row r="115" spans="3:19" x14ac:dyDescent="0.3">
      <c r="C115">
        <f>'Outstanding loss reserves'!$O114</f>
        <v>2025</v>
      </c>
      <c r="D115" s="45">
        <f>'Outstanding loss reserves'!B113+'Cum. payments'!B113</f>
        <v>4572021.4293241352</v>
      </c>
      <c r="R115">
        <f t="shared" si="1"/>
        <v>2025</v>
      </c>
      <c r="S115" s="45">
        <f>'Outstanding loss reserves'!P114+'Cum. payments'!B236</f>
        <v>4900004.0420230879</v>
      </c>
    </row>
    <row r="116" spans="3:19" x14ac:dyDescent="0.3">
      <c r="C116">
        <f>'Outstanding loss reserves'!$O115</f>
        <v>2025</v>
      </c>
      <c r="D116" s="45">
        <f>'Outstanding loss reserves'!B114+'Cum. payments'!B114</f>
        <v>564437.76515824324</v>
      </c>
      <c r="R116">
        <f t="shared" si="1"/>
        <v>2025</v>
      </c>
      <c r="S116" s="45">
        <f>'Outstanding loss reserves'!P115+'Cum. payments'!B237</f>
        <v>604928.77680031373</v>
      </c>
    </row>
  </sheetData>
  <mergeCells count="2">
    <mergeCell ref="A1:B1"/>
    <mergeCell ref="P1:Q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8C992-87E6-4538-9EFB-AD11E327A88B}">
  <dimension ref="A1:W132"/>
  <sheetViews>
    <sheetView topLeftCell="K108" workbookViewId="0">
      <selection activeCell="P137" sqref="P137"/>
    </sheetView>
  </sheetViews>
  <sheetFormatPr baseColWidth="10" defaultRowHeight="14.4" x14ac:dyDescent="0.3"/>
  <cols>
    <col min="5" max="5" width="12.21875" bestFit="1" customWidth="1"/>
    <col min="16" max="16" width="12.21875" bestFit="1" customWidth="1"/>
    <col min="19" max="19" width="14.77734375" bestFit="1" customWidth="1"/>
  </cols>
  <sheetData>
    <row r="1" spans="1:20" x14ac:dyDescent="0.3">
      <c r="A1" s="34" t="s">
        <v>20</v>
      </c>
    </row>
    <row r="2" spans="1:20" x14ac:dyDescent="0.3">
      <c r="D2" t="s">
        <v>33</v>
      </c>
      <c r="E2" s="45">
        <v>2000000</v>
      </c>
    </row>
    <row r="3" spans="1:20" ht="15" thickBot="1" x14ac:dyDescent="0.35">
      <c r="B3" s="87" t="s">
        <v>29</v>
      </c>
      <c r="C3" s="87"/>
    </row>
    <row r="4" spans="1:20" ht="15" thickBot="1" x14ac:dyDescent="0.35">
      <c r="D4" s="33" t="s">
        <v>0</v>
      </c>
      <c r="E4">
        <v>1</v>
      </c>
      <c r="F4">
        <v>2</v>
      </c>
      <c r="G4">
        <v>3</v>
      </c>
      <c r="H4">
        <v>4</v>
      </c>
      <c r="I4">
        <v>5</v>
      </c>
      <c r="J4">
        <v>6</v>
      </c>
      <c r="K4">
        <v>7</v>
      </c>
      <c r="L4">
        <v>8</v>
      </c>
      <c r="M4">
        <v>9</v>
      </c>
      <c r="N4">
        <v>10</v>
      </c>
      <c r="O4" s="46" t="s">
        <v>31</v>
      </c>
      <c r="P4" s="46" t="s">
        <v>1</v>
      </c>
      <c r="Q4" s="46" t="s">
        <v>34</v>
      </c>
      <c r="R4" s="46" t="s">
        <v>35</v>
      </c>
      <c r="S4" s="46" t="s">
        <v>39</v>
      </c>
      <c r="T4" s="46" t="s">
        <v>41</v>
      </c>
    </row>
    <row r="5" spans="1:20" x14ac:dyDescent="0.3">
      <c r="D5">
        <f>Incurred_loss!$C3</f>
        <v>2016</v>
      </c>
      <c r="E5" s="45">
        <f>Incurred_loss!D3</f>
        <v>358443.98871132184</v>
      </c>
      <c r="F5" s="45">
        <f>Incurred_loss!E3</f>
        <v>568172.75789145648</v>
      </c>
      <c r="G5" s="45">
        <f>Incurred_loss!F3</f>
        <v>495557.11397893052</v>
      </c>
      <c r="H5" s="45">
        <f>Incurred_loss!G3</f>
        <v>424605.43964453391</v>
      </c>
      <c r="I5" s="45">
        <f>Incurred_loss!H3</f>
        <v>462111.50084460207</v>
      </c>
      <c r="J5" s="45">
        <f>Incurred_loss!I3</f>
        <v>458321.55443440122</v>
      </c>
      <c r="K5" s="45">
        <f>Incurred_loss!J3</f>
        <v>463864.41279871512</v>
      </c>
      <c r="L5" s="45">
        <f>Incurred_loss!K3</f>
        <v>463747.4695352515</v>
      </c>
      <c r="M5" s="45">
        <f>Incurred_loss!L3</f>
        <v>464665.54254622787</v>
      </c>
      <c r="N5" s="45">
        <f>Incurred_loss!M3</f>
        <v>464654.27997726575</v>
      </c>
      <c r="O5" s="48">
        <f>$N5</f>
        <v>464654.27997726575</v>
      </c>
      <c r="P5" s="45">
        <f>Exposure!$C$7</f>
        <v>142145345</v>
      </c>
      <c r="Q5" s="45">
        <f>MIN(Exposure!$C$23,MAX(0,BC_without_index!$O5-Exposure!$E$23))</f>
        <v>0</v>
      </c>
      <c r="R5" s="45">
        <f>MIN(Exposure!$C$24,MAX(0,BC_without_index!$O5-Exposure!$E$24))</f>
        <v>0</v>
      </c>
      <c r="S5" s="1">
        <f>IF(ISNUMBER($P5),SUMIF($D$5:$D$118,$D5,$Q$5:$Q$118)/$P5,"-")</f>
        <v>2.8499429910297046E-2</v>
      </c>
      <c r="T5" s="1">
        <f>IF(ISNUMBER($P5),SUMIF($D$5:$D$118,$D5,$R$5:$R$118)/$P5,"-")</f>
        <v>0</v>
      </c>
    </row>
    <row r="6" spans="1:20" x14ac:dyDescent="0.3">
      <c r="D6">
        <f>Incurred_loss!$C4</f>
        <v>2016</v>
      </c>
      <c r="E6" s="45">
        <f>Incurred_loss!D4</f>
        <v>1701615.6635950429</v>
      </c>
      <c r="F6" s="45">
        <f>Incurred_loss!E4</f>
        <v>1096450.5411286296</v>
      </c>
      <c r="G6" s="45">
        <f>Incurred_loss!F4</f>
        <v>1209518.421183995</v>
      </c>
      <c r="H6" s="45">
        <f>Incurred_loss!G4</f>
        <v>1112749.2831265302</v>
      </c>
      <c r="I6" s="45">
        <f>Incurred_loss!H4</f>
        <v>1075160.2392598374</v>
      </c>
      <c r="J6" s="45">
        <f>Incurred_loss!I4</f>
        <v>1075518.3782887207</v>
      </c>
      <c r="K6" s="45">
        <f>Incurred_loss!J4</f>
        <v>1073031.224676993</v>
      </c>
      <c r="L6" s="45">
        <f>Incurred_loss!K4</f>
        <v>1073810.3614139694</v>
      </c>
      <c r="M6" s="45">
        <f>Incurred_loss!L4</f>
        <v>1073828.0348347833</v>
      </c>
      <c r="N6" s="45">
        <f>Incurred_loss!M4</f>
        <v>1073830.1852247128</v>
      </c>
      <c r="O6" s="48">
        <f t="shared" ref="O6:O19" si="0">$N6</f>
        <v>1073830.1852247128</v>
      </c>
      <c r="P6" s="45" t="s">
        <v>40</v>
      </c>
      <c r="Q6" s="45">
        <f>MIN(Exposure!$C$23,MAX(0,BC_without_index!$O6-Exposure!$E$23))</f>
        <v>0</v>
      </c>
      <c r="R6" s="45">
        <f>MIN(Exposure!$C$24,MAX(0,BC_without_index!$O6-Exposure!$E$24))</f>
        <v>0</v>
      </c>
      <c r="S6" s="1" t="str">
        <f t="shared" ref="S6:S69" si="1">IF(ISNUMBER($P6),SUMIF($D$5:$D$118,$D6,$Q$5:$Q$118)/$P6,"-")</f>
        <v>-</v>
      </c>
      <c r="T6" s="1" t="str">
        <f t="shared" ref="T6:T69" si="2">IF(ISNUMBER($P6),SUMIF($D$5:$D$118,$D6,$R$5:$R$118)/$P6,"-")</f>
        <v>-</v>
      </c>
    </row>
    <row r="7" spans="1:20" x14ac:dyDescent="0.3">
      <c r="D7">
        <f>Incurred_loss!$C5</f>
        <v>2016</v>
      </c>
      <c r="E7" s="45">
        <f>Incurred_loss!D5</f>
        <v>623768.55201593798</v>
      </c>
      <c r="F7" s="45">
        <f>Incurred_loss!E5</f>
        <v>626186.00187388784</v>
      </c>
      <c r="G7" s="45">
        <f>Incurred_loss!F5</f>
        <v>749980.57520112419</v>
      </c>
      <c r="H7" s="45">
        <f>Incurred_loss!G5</f>
        <v>574519.29624796857</v>
      </c>
      <c r="I7" s="45">
        <f>Incurred_loss!H5</f>
        <v>580322.96676261234</v>
      </c>
      <c r="J7" s="45">
        <f>Incurred_loss!I5</f>
        <v>577371.80094671436</v>
      </c>
      <c r="K7" s="45">
        <f>Incurred_loss!J5</f>
        <v>576492.18931500672</v>
      </c>
      <c r="L7" s="45">
        <f>Incurred_loss!K5</f>
        <v>576502.88555699482</v>
      </c>
      <c r="M7" s="45">
        <f>Incurred_loss!L5</f>
        <v>576291.85160117492</v>
      </c>
      <c r="N7" s="45">
        <f>Incurred_loss!M5</f>
        <v>576033.62550174841</v>
      </c>
      <c r="O7" s="48">
        <f t="shared" si="0"/>
        <v>576033.62550174841</v>
      </c>
      <c r="P7" s="45" t="s">
        <v>40</v>
      </c>
      <c r="Q7" s="45">
        <f>MIN(Exposure!$C$23,MAX(0,BC_without_index!$O7-Exposure!$E$23))</f>
        <v>0</v>
      </c>
      <c r="R7" s="45">
        <f>MIN(Exposure!$C$24,MAX(0,BC_without_index!$O7-Exposure!$E$24))</f>
        <v>0</v>
      </c>
      <c r="S7" s="1" t="str">
        <f t="shared" si="1"/>
        <v>-</v>
      </c>
      <c r="T7" s="1" t="str">
        <f t="shared" si="2"/>
        <v>-</v>
      </c>
    </row>
    <row r="8" spans="1:20" x14ac:dyDescent="0.3">
      <c r="D8">
        <f>Incurred_loss!$C6</f>
        <v>2016</v>
      </c>
      <c r="E8" s="45">
        <f>Incurred_loss!D6</f>
        <v>4442330.4047279367</v>
      </c>
      <c r="F8" s="45">
        <f>Incurred_loss!E6</f>
        <v>2445420.2258532252</v>
      </c>
      <c r="G8" s="45">
        <f>Incurred_loss!F6</f>
        <v>2802675.6521831062</v>
      </c>
      <c r="H8" s="45">
        <f>Incurred_loss!G6</f>
        <v>2573425.8785537626</v>
      </c>
      <c r="I8" s="45">
        <f>Incurred_loss!H6</f>
        <v>2681924.1547727939</v>
      </c>
      <c r="J8" s="45">
        <f>Incurred_loss!I6</f>
        <v>2679385.3556946809</v>
      </c>
      <c r="K8" s="45">
        <f>Incurred_loss!J6</f>
        <v>2685936.2041439968</v>
      </c>
      <c r="L8" s="45">
        <f>Incurred_loss!K6</f>
        <v>2690580.4535376597</v>
      </c>
      <c r="M8" s="45">
        <f>Incurred_loss!L6</f>
        <v>2678040.8971679271</v>
      </c>
      <c r="N8" s="45">
        <f>Incurred_loss!M6</f>
        <v>2676383.1874690331</v>
      </c>
      <c r="O8" s="48">
        <f t="shared" si="0"/>
        <v>2676383.1874690331</v>
      </c>
      <c r="P8" s="45" t="s">
        <v>40</v>
      </c>
      <c r="Q8" s="45">
        <f>MIN(Exposure!$C$23,MAX(0,BC_without_index!$O8-Exposure!$E$23))</f>
        <v>0</v>
      </c>
      <c r="R8" s="45">
        <f>MIN(Exposure!$C$24,MAX(0,BC_without_index!$O8-Exposure!$E$24))</f>
        <v>0</v>
      </c>
      <c r="S8" s="1" t="str">
        <f t="shared" si="1"/>
        <v>-</v>
      </c>
      <c r="T8" s="1" t="str">
        <f t="shared" si="2"/>
        <v>-</v>
      </c>
    </row>
    <row r="9" spans="1:20" x14ac:dyDescent="0.3">
      <c r="D9">
        <f>Incurred_loss!$C7</f>
        <v>2016</v>
      </c>
      <c r="E9" s="45">
        <f>Incurred_loss!D7</f>
        <v>788232.66052998614</v>
      </c>
      <c r="F9" s="45">
        <f>Incurred_loss!E7</f>
        <v>1037552.0821222165</v>
      </c>
      <c r="G9" s="45">
        <f>Incurred_loss!F7</f>
        <v>993759.72667324892</v>
      </c>
      <c r="H9" s="45">
        <f>Incurred_loss!G7</f>
        <v>966425.36110255471</v>
      </c>
      <c r="I9" s="45">
        <f>Incurred_loss!H7</f>
        <v>1035619.7211518582</v>
      </c>
      <c r="J9" s="45">
        <f>Incurred_loss!I7</f>
        <v>952103.36679220677</v>
      </c>
      <c r="K9" s="45">
        <f>Incurred_loss!J7</f>
        <v>951952.43144588743</v>
      </c>
      <c r="L9" s="45">
        <f>Incurred_loss!K7</f>
        <v>952422.50952656427</v>
      </c>
      <c r="M9" s="45">
        <f>Incurred_loss!L7</f>
        <v>952205.95958782837</v>
      </c>
      <c r="N9" s="45">
        <f>Incurred_loss!M7</f>
        <v>952171.9</v>
      </c>
      <c r="O9" s="48">
        <f t="shared" si="0"/>
        <v>952171.9</v>
      </c>
      <c r="P9" s="45" t="s">
        <v>40</v>
      </c>
      <c r="Q9" s="45">
        <f>MIN(Exposure!$C$23,MAX(0,BC_without_index!$O9-Exposure!$E$23))</f>
        <v>0</v>
      </c>
      <c r="R9" s="45">
        <f>MIN(Exposure!$C$24,MAX(0,BC_without_index!$O9-Exposure!$E$24))</f>
        <v>0</v>
      </c>
      <c r="S9" s="1" t="str">
        <f t="shared" si="1"/>
        <v>-</v>
      </c>
      <c r="T9" s="1" t="str">
        <f t="shared" si="2"/>
        <v>-</v>
      </c>
    </row>
    <row r="10" spans="1:20" x14ac:dyDescent="0.3">
      <c r="D10">
        <f>Incurred_loss!$C8</f>
        <v>2016</v>
      </c>
      <c r="E10" s="45">
        <f>Incurred_loss!D8</f>
        <v>2272061.9134816458</v>
      </c>
      <c r="F10" s="45">
        <f>Incurred_loss!E8</f>
        <v>1513025.328379395</v>
      </c>
      <c r="G10" s="45">
        <f>Incurred_loss!F8</f>
        <v>1715856.5054581375</v>
      </c>
      <c r="H10" s="45">
        <f>Incurred_loss!G8</f>
        <v>1971203.2372057233</v>
      </c>
      <c r="I10" s="45">
        <f>Incurred_loss!H8</f>
        <v>1872997.2542120682</v>
      </c>
      <c r="J10" s="45">
        <f>Incurred_loss!I8</f>
        <v>1877686.4931166803</v>
      </c>
      <c r="K10" s="45">
        <f>Incurred_loss!J8</f>
        <v>1877717.5279869107</v>
      </c>
      <c r="L10" s="45">
        <f>Incurred_loss!K8</f>
        <v>1877717.9471560731</v>
      </c>
      <c r="M10" s="45">
        <f>Incurred_loss!L8</f>
        <v>1877717.4443599829</v>
      </c>
      <c r="N10" s="45">
        <f>Incurred_loss!M8</f>
        <v>1877717.3313465698</v>
      </c>
      <c r="O10" s="48">
        <f t="shared" si="0"/>
        <v>1877717.3313465698</v>
      </c>
      <c r="P10" s="45" t="s">
        <v>40</v>
      </c>
      <c r="Q10" s="45">
        <f>MIN(Exposure!$C$23,MAX(0,BC_without_index!$O10-Exposure!$E$23))</f>
        <v>0</v>
      </c>
      <c r="R10" s="45">
        <f>MIN(Exposure!$C$24,MAX(0,BC_without_index!$O10-Exposure!$E$24))</f>
        <v>0</v>
      </c>
      <c r="S10" s="1" t="str">
        <f t="shared" si="1"/>
        <v>-</v>
      </c>
      <c r="T10" s="1" t="str">
        <f t="shared" si="2"/>
        <v>-</v>
      </c>
    </row>
    <row r="11" spans="1:20" x14ac:dyDescent="0.3">
      <c r="D11">
        <f>Incurred_loss!$C9</f>
        <v>2016</v>
      </c>
      <c r="E11" s="45">
        <f>Incurred_loss!D9</f>
        <v>4576617.3310765615</v>
      </c>
      <c r="F11" s="45">
        <f>Incurred_loss!E9</f>
        <v>6517990.7988640387</v>
      </c>
      <c r="G11" s="45">
        <f>Incurred_loss!F9</f>
        <v>8236919.1148926429</v>
      </c>
      <c r="H11" s="45">
        <f>Incurred_loss!G9</f>
        <v>8063833.9602377405</v>
      </c>
      <c r="I11" s="45">
        <f>Incurred_loss!H9</f>
        <v>7994578.9663591124</v>
      </c>
      <c r="J11" s="45">
        <f>Incurred_loss!I9</f>
        <v>8005516.6038717311</v>
      </c>
      <c r="K11" s="45">
        <f>Incurred_loss!J9</f>
        <v>8051466.4135831334</v>
      </c>
      <c r="L11" s="45">
        <f>Incurred_loss!K9</f>
        <v>8052371.2978513911</v>
      </c>
      <c r="M11" s="45">
        <f>Incurred_loss!L9</f>
        <v>8051157.9552570945</v>
      </c>
      <c r="N11" s="45">
        <f>Incurred_loss!M9</f>
        <v>8051061.2969024926</v>
      </c>
      <c r="O11" s="48">
        <f t="shared" si="0"/>
        <v>8051061.2969024926</v>
      </c>
      <c r="P11" s="45" t="s">
        <v>40</v>
      </c>
      <c r="Q11" s="45">
        <f>MIN(Exposure!$C$23,MAX(0,BC_without_index!$O11-Exposure!$E$23))</f>
        <v>4051061.2969024926</v>
      </c>
      <c r="R11" s="45">
        <f>MIN(Exposure!$C$24,MAX(0,BC_without_index!$O11-Exposure!$E$24))</f>
        <v>0</v>
      </c>
      <c r="S11" s="1" t="str">
        <f t="shared" si="1"/>
        <v>-</v>
      </c>
      <c r="T11" s="1" t="str">
        <f t="shared" si="2"/>
        <v>-</v>
      </c>
    </row>
    <row r="12" spans="1:20" x14ac:dyDescent="0.3">
      <c r="D12">
        <f>Incurred_loss!$C10</f>
        <v>2016</v>
      </c>
      <c r="E12" s="45">
        <f>Incurred_loss!D10</f>
        <v>839909.20015466528</v>
      </c>
      <c r="F12" s="45">
        <f>Incurred_loss!E10</f>
        <v>745460.56435723964</v>
      </c>
      <c r="G12" s="45">
        <f>Incurred_loss!F10</f>
        <v>799703.01921212673</v>
      </c>
      <c r="H12" s="45">
        <f>Incurred_loss!G10</f>
        <v>799800.69031062163</v>
      </c>
      <c r="I12" s="45">
        <f>Incurred_loss!H10</f>
        <v>799049.50129314489</v>
      </c>
      <c r="J12" s="45">
        <f>Incurred_loss!I10</f>
        <v>795876.10660424887</v>
      </c>
      <c r="K12" s="45">
        <f>Incurred_loss!J10</f>
        <v>802911.18510526104</v>
      </c>
      <c r="L12" s="45">
        <f>Incurred_loss!K10</f>
        <v>807454.48401654791</v>
      </c>
      <c r="M12" s="45">
        <f>Incurred_loss!L10</f>
        <v>812714.43994392804</v>
      </c>
      <c r="N12" s="45">
        <f>Incurred_loss!M10</f>
        <v>805038.35662989959</v>
      </c>
      <c r="O12" s="48">
        <f t="shared" si="0"/>
        <v>805038.35662989959</v>
      </c>
      <c r="P12" s="45" t="s">
        <v>40</v>
      </c>
      <c r="Q12" s="45">
        <f>MIN(Exposure!$C$23,MAX(0,BC_without_index!$O12-Exposure!$E$23))</f>
        <v>0</v>
      </c>
      <c r="R12" s="45">
        <f>MIN(Exposure!$C$24,MAX(0,BC_without_index!$O12-Exposure!$E$24))</f>
        <v>0</v>
      </c>
      <c r="S12" s="1" t="str">
        <f t="shared" si="1"/>
        <v>-</v>
      </c>
      <c r="T12" s="1" t="str">
        <f t="shared" si="2"/>
        <v>-</v>
      </c>
    </row>
    <row r="13" spans="1:20" x14ac:dyDescent="0.3">
      <c r="D13">
        <f>Incurred_loss!$C11</f>
        <v>2016</v>
      </c>
      <c r="E13" s="45">
        <f>Incurred_loss!D11</f>
        <v>601586.48263536324</v>
      </c>
      <c r="F13" s="45">
        <f>Incurred_loss!E11</f>
        <v>520607.99184808967</v>
      </c>
      <c r="G13" s="45">
        <f>Incurred_loss!F11</f>
        <v>585225.80881897511</v>
      </c>
      <c r="H13" s="45">
        <f>Incurred_loss!G11</f>
        <v>607480.34969157015</v>
      </c>
      <c r="I13" s="45">
        <f>Incurred_loss!H11</f>
        <v>601765.71882781491</v>
      </c>
      <c r="J13" s="45">
        <f>Incurred_loss!I11</f>
        <v>601927.84637939173</v>
      </c>
      <c r="K13" s="45">
        <f>Incurred_loss!J11</f>
        <v>601860.94873477297</v>
      </c>
      <c r="L13" s="45">
        <f>Incurred_loss!K11</f>
        <v>601802.9894356546</v>
      </c>
      <c r="M13" s="45">
        <f>Incurred_loss!L11</f>
        <v>601803.10888122395</v>
      </c>
      <c r="N13" s="45">
        <f>Incurred_loss!M11</f>
        <v>601803.09770238667</v>
      </c>
      <c r="O13" s="48">
        <f t="shared" si="0"/>
        <v>601803.09770238667</v>
      </c>
      <c r="P13" s="45" t="s">
        <v>40</v>
      </c>
      <c r="Q13" s="45">
        <f>MIN(Exposure!$C$23,MAX(0,BC_without_index!$O13-Exposure!$E$23))</f>
        <v>0</v>
      </c>
      <c r="R13" s="45">
        <f>MIN(Exposure!$C$24,MAX(0,BC_without_index!$O13-Exposure!$E$24))</f>
        <v>0</v>
      </c>
      <c r="S13" s="1" t="str">
        <f t="shared" si="1"/>
        <v>-</v>
      </c>
      <c r="T13" s="1" t="str">
        <f t="shared" si="2"/>
        <v>-</v>
      </c>
    </row>
    <row r="14" spans="1:20" x14ac:dyDescent="0.3">
      <c r="D14">
        <f>Incurred_loss!$C12</f>
        <v>2016</v>
      </c>
      <c r="E14" s="45">
        <f>Incurred_loss!D12</f>
        <v>1594588.8990787696</v>
      </c>
      <c r="F14" s="45">
        <f>Incurred_loss!E12</f>
        <v>1913563.1312590858</v>
      </c>
      <c r="G14" s="45">
        <f>Incurred_loss!F12</f>
        <v>2359695.0948818866</v>
      </c>
      <c r="H14" s="45">
        <f>Incurred_loss!G12</f>
        <v>2230801.7692563706</v>
      </c>
      <c r="I14" s="45">
        <f>Incurred_loss!H12</f>
        <v>2285975.2431353782</v>
      </c>
      <c r="J14" s="45">
        <f>Incurred_loss!I12</f>
        <v>2300833.819980314</v>
      </c>
      <c r="K14" s="45">
        <f>Incurred_loss!J12</f>
        <v>2295108.4756659949</v>
      </c>
      <c r="L14" s="45">
        <f>Incurred_loss!K12</f>
        <v>2296210.0290258913</v>
      </c>
      <c r="M14" s="45">
        <f>Incurred_loss!L12</f>
        <v>2296306.1810702435</v>
      </c>
      <c r="N14" s="45">
        <f>Incurred_loss!M12</f>
        <v>2296317.0772775193</v>
      </c>
      <c r="O14" s="48">
        <f t="shared" si="0"/>
        <v>2296317.0772775193</v>
      </c>
      <c r="P14" s="45" t="s">
        <v>40</v>
      </c>
      <c r="Q14" s="45">
        <f>MIN(Exposure!$C$23,MAX(0,BC_without_index!$O14-Exposure!$E$23))</f>
        <v>0</v>
      </c>
      <c r="R14" s="45">
        <f>MIN(Exposure!$C$24,MAX(0,BC_without_index!$O14-Exposure!$E$24))</f>
        <v>0</v>
      </c>
      <c r="S14" s="1" t="str">
        <f t="shared" si="1"/>
        <v>-</v>
      </c>
      <c r="T14" s="1" t="str">
        <f t="shared" si="2"/>
        <v>-</v>
      </c>
    </row>
    <row r="15" spans="1:20" x14ac:dyDescent="0.3">
      <c r="D15">
        <f>Incurred_loss!$C13</f>
        <v>2016</v>
      </c>
      <c r="E15" s="45">
        <f>Incurred_loss!D13</f>
        <v>2636488.4043896962</v>
      </c>
      <c r="F15" s="45">
        <f>Incurred_loss!E13</f>
        <v>2207662.801876484</v>
      </c>
      <c r="G15" s="45">
        <f>Incurred_loss!F13</f>
        <v>2202536.681596227</v>
      </c>
      <c r="H15" s="45">
        <f>Incurred_loss!G13</f>
        <v>2149716.2358025429</v>
      </c>
      <c r="I15" s="45">
        <f>Incurred_loss!H13</f>
        <v>2163069.4443655028</v>
      </c>
      <c r="J15" s="45">
        <f>Incurred_loss!I13</f>
        <v>2162904.0170986876</v>
      </c>
      <c r="K15" s="45">
        <f>Incurred_loss!J13</f>
        <v>2162153.1145769474</v>
      </c>
      <c r="L15" s="45">
        <f>Incurred_loss!K13</f>
        <v>2162152.0532110152</v>
      </c>
      <c r="M15" s="45">
        <f>Incurred_loss!L13</f>
        <v>2162167.5808406374</v>
      </c>
      <c r="N15" s="45">
        <f>Incurred_loss!M13</f>
        <v>2162167.6926582423</v>
      </c>
      <c r="O15" s="48">
        <f t="shared" si="0"/>
        <v>2162167.6926582423</v>
      </c>
      <c r="P15" s="45" t="s">
        <v>40</v>
      </c>
      <c r="Q15" s="45">
        <f>MIN(Exposure!$C$23,MAX(0,BC_without_index!$O15-Exposure!$E$23))</f>
        <v>0</v>
      </c>
      <c r="R15" s="45">
        <f>MIN(Exposure!$C$24,MAX(0,BC_without_index!$O15-Exposure!$E$24))</f>
        <v>0</v>
      </c>
      <c r="S15" s="1" t="str">
        <f t="shared" si="1"/>
        <v>-</v>
      </c>
      <c r="T15" s="1" t="str">
        <f t="shared" si="2"/>
        <v>-</v>
      </c>
    </row>
    <row r="16" spans="1:20" x14ac:dyDescent="0.3">
      <c r="D16">
        <f>Incurred_loss!$C14</f>
        <v>2016</v>
      </c>
      <c r="E16" s="45">
        <f>Incurred_loss!D14</f>
        <v>1069706.8633326776</v>
      </c>
      <c r="F16" s="45">
        <f>Incurred_loss!E14</f>
        <v>1222357.97498082</v>
      </c>
      <c r="G16" s="45">
        <f>Incurred_loss!F14</f>
        <v>1486969.5397643719</v>
      </c>
      <c r="H16" s="45">
        <f>Incurred_loss!G14</f>
        <v>1183685.4141530804</v>
      </c>
      <c r="I16" s="45">
        <f>Incurred_loss!H14</f>
        <v>1177789.0701092214</v>
      </c>
      <c r="J16" s="45">
        <f>Incurred_loss!I14</f>
        <v>1177321.7920734945</v>
      </c>
      <c r="K16" s="45">
        <f>Incurred_loss!J14</f>
        <v>1177322.1566215979</v>
      </c>
      <c r="L16" s="45">
        <f>Incurred_loss!K14</f>
        <v>1177322.3499009276</v>
      </c>
      <c r="M16" s="45">
        <f>Incurred_loss!L14</f>
        <v>1177322.2922236023</v>
      </c>
      <c r="N16" s="45">
        <f>Incurred_loss!M14</f>
        <v>1177322.3165954635</v>
      </c>
      <c r="O16" s="48">
        <f t="shared" si="0"/>
        <v>1177322.3165954635</v>
      </c>
      <c r="P16" s="45" t="s">
        <v>40</v>
      </c>
      <c r="Q16" s="45">
        <f>MIN(Exposure!$C$23,MAX(0,BC_without_index!$O16-Exposure!$E$23))</f>
        <v>0</v>
      </c>
      <c r="R16" s="45">
        <f>MIN(Exposure!$C$24,MAX(0,BC_without_index!$O16-Exposure!$E$24))</f>
        <v>0</v>
      </c>
      <c r="S16" s="1" t="str">
        <f t="shared" si="1"/>
        <v>-</v>
      </c>
      <c r="T16" s="1" t="str">
        <f t="shared" si="2"/>
        <v>-</v>
      </c>
    </row>
    <row r="17" spans="4:20" x14ac:dyDescent="0.3">
      <c r="D17">
        <f>Incurred_loss!$C15</f>
        <v>2016</v>
      </c>
      <c r="E17" s="45">
        <f>Incurred_loss!D15</f>
        <v>478916.01251862478</v>
      </c>
      <c r="F17" s="45">
        <f>Incurred_loss!E15</f>
        <v>713639.69799929229</v>
      </c>
      <c r="G17" s="45">
        <f>Incurred_loss!F15</f>
        <v>825415.24058428628</v>
      </c>
      <c r="H17" s="45">
        <f>Incurred_loss!G15</f>
        <v>831112.19128383254</v>
      </c>
      <c r="I17" s="45">
        <f>Incurred_loss!H15</f>
        <v>831274.07913350011</v>
      </c>
      <c r="J17" s="45">
        <f>Incurred_loss!I15</f>
        <v>831307.68689056428</v>
      </c>
      <c r="K17" s="45">
        <f>Incurred_loss!J15</f>
        <v>831278.77960689797</v>
      </c>
      <c r="L17" s="45">
        <f>Incurred_loss!K15</f>
        <v>831283.72786085727</v>
      </c>
      <c r="M17" s="45">
        <f>Incurred_loss!L15</f>
        <v>831284.42075508763</v>
      </c>
      <c r="N17" s="45">
        <f>Incurred_loss!M15</f>
        <v>831284.8</v>
      </c>
      <c r="O17" s="48">
        <f t="shared" si="0"/>
        <v>831284.8</v>
      </c>
      <c r="P17" s="45" t="s">
        <v>40</v>
      </c>
      <c r="Q17" s="45">
        <f>MIN(Exposure!$C$23,MAX(0,BC_without_index!$O17-Exposure!$E$23))</f>
        <v>0</v>
      </c>
      <c r="R17" s="45">
        <f>MIN(Exposure!$C$24,MAX(0,BC_without_index!$O17-Exposure!$E$24))</f>
        <v>0</v>
      </c>
      <c r="S17" s="1" t="str">
        <f t="shared" si="1"/>
        <v>-</v>
      </c>
      <c r="T17" s="1" t="str">
        <f t="shared" si="2"/>
        <v>-</v>
      </c>
    </row>
    <row r="18" spans="4:20" x14ac:dyDescent="0.3">
      <c r="D18">
        <f>Incurred_loss!$C16</f>
        <v>2016</v>
      </c>
      <c r="E18" s="45">
        <f>Incurred_loss!D16</f>
        <v>1843548.3642738832</v>
      </c>
      <c r="F18" s="45">
        <f>Incurred_loss!E16</f>
        <v>2290050.0289043216</v>
      </c>
      <c r="G18" s="45">
        <f>Incurred_loss!F16</f>
        <v>2686349.9434776325</v>
      </c>
      <c r="H18" s="45">
        <f>Incurred_loss!G16</f>
        <v>2844427</v>
      </c>
      <c r="I18" s="45">
        <f>Incurred_loss!H16</f>
        <v>2324738.3001301833</v>
      </c>
      <c r="J18" s="45">
        <f>Incurred_loss!I16</f>
        <v>2361562.996990019</v>
      </c>
      <c r="K18" s="45">
        <f>Incurred_loss!J16</f>
        <v>2359862.3651402215</v>
      </c>
      <c r="L18" s="45">
        <f>Incurred_loss!K16</f>
        <v>2359381.8481113408</v>
      </c>
      <c r="M18" s="45">
        <f>Incurred_loss!L16</f>
        <v>2357716.952737777</v>
      </c>
      <c r="N18" s="45">
        <f>Incurred_loss!M16</f>
        <v>2359488.5375361545</v>
      </c>
      <c r="O18" s="48">
        <f t="shared" si="0"/>
        <v>2359488.5375361545</v>
      </c>
      <c r="P18" s="45" t="s">
        <v>40</v>
      </c>
      <c r="Q18" s="45">
        <f>MIN(Exposure!$C$23,MAX(0,BC_without_index!$O18-Exposure!$E$23))</f>
        <v>0</v>
      </c>
      <c r="R18" s="45">
        <f>MIN(Exposure!$C$24,MAX(0,BC_without_index!$O18-Exposure!$E$24))</f>
        <v>0</v>
      </c>
      <c r="S18" s="1" t="str">
        <f t="shared" si="1"/>
        <v>-</v>
      </c>
      <c r="T18" s="1" t="str">
        <f t="shared" si="2"/>
        <v>-</v>
      </c>
    </row>
    <row r="19" spans="4:20" x14ac:dyDescent="0.3">
      <c r="D19">
        <f>Incurred_loss!$C17</f>
        <v>2016</v>
      </c>
      <c r="E19" s="45">
        <f>Incurred_loss!D17</f>
        <v>2254108.8757973551</v>
      </c>
      <c r="F19" s="45">
        <f>Incurred_loss!E17</f>
        <v>1910215.7607274083</v>
      </c>
      <c r="G19" s="45">
        <f>Incurred_loss!F17</f>
        <v>2168679.9028114704</v>
      </c>
      <c r="H19" s="45">
        <f>Incurred_loss!G17</f>
        <v>2127197.8203706169</v>
      </c>
      <c r="I19" s="45">
        <f>Incurred_loss!H17</f>
        <v>2723456.9362115599</v>
      </c>
      <c r="J19" s="45">
        <f>Incurred_loss!I17</f>
        <v>2488301.7083591484</v>
      </c>
      <c r="K19" s="45">
        <f>Incurred_loss!J17</f>
        <v>2390327.0100163324</v>
      </c>
      <c r="L19" s="45">
        <f>Incurred_loss!K17</f>
        <v>2372091.4319350375</v>
      </c>
      <c r="M19" s="45">
        <f>Incurred_loss!L17</f>
        <v>2508196.4656809308</v>
      </c>
      <c r="N19" s="45">
        <f>Incurred_loss!M17</f>
        <v>2498527.8964344333</v>
      </c>
      <c r="O19" s="48">
        <f t="shared" si="0"/>
        <v>2498527.8964344333</v>
      </c>
      <c r="P19" s="45" t="s">
        <v>40</v>
      </c>
      <c r="Q19" s="45">
        <f>MIN(Exposure!$C$23,MAX(0,BC_without_index!$O19-Exposure!$E$23))</f>
        <v>0</v>
      </c>
      <c r="R19" s="45">
        <f>MIN(Exposure!$C$24,MAX(0,BC_without_index!$O19-Exposure!$E$24))</f>
        <v>0</v>
      </c>
      <c r="S19" s="1" t="str">
        <f t="shared" si="1"/>
        <v>-</v>
      </c>
      <c r="T19" s="1" t="str">
        <f t="shared" si="2"/>
        <v>-</v>
      </c>
    </row>
    <row r="20" spans="4:20" x14ac:dyDescent="0.3">
      <c r="D20">
        <f>Incurred_loss!$C18</f>
        <v>2017</v>
      </c>
      <c r="E20" s="45">
        <f>Incurred_loss!D18</f>
        <v>3357795.198448176</v>
      </c>
      <c r="F20" s="45">
        <f>Incurred_loss!E18</f>
        <v>2875793.5672925357</v>
      </c>
      <c r="G20" s="45">
        <f>Incurred_loss!F18</f>
        <v>3029978.0572093576</v>
      </c>
      <c r="H20" s="45">
        <f>Incurred_loss!G18</f>
        <v>2931541.7393992161</v>
      </c>
      <c r="I20" s="45">
        <f>Incurred_loss!H18</f>
        <v>2890464.4005325004</v>
      </c>
      <c r="J20" s="45">
        <f>Incurred_loss!I18</f>
        <v>2962858.5674117864</v>
      </c>
      <c r="K20" s="45">
        <f>Incurred_loss!J18</f>
        <v>2963593.1132928659</v>
      </c>
      <c r="L20" s="45">
        <f>Incurred_loss!K18</f>
        <v>2963294.3996704048</v>
      </c>
      <c r="M20" s="45">
        <f>Incurred_loss!L18</f>
        <v>2963213.5245848601</v>
      </c>
      <c r="N20" s="49">
        <f>M20*N$120</f>
        <v>2963213.5245848601</v>
      </c>
      <c r="O20" s="48">
        <f>$M20</f>
        <v>2963213.5245848601</v>
      </c>
      <c r="P20" s="45">
        <f>Exposure!$C$8</f>
        <v>143456190</v>
      </c>
      <c r="Q20" s="45">
        <f>MIN(Exposure!$C$23,MAX(0,BC_without_index!$O20-Exposure!$E$23))</f>
        <v>0</v>
      </c>
      <c r="R20" s="45">
        <f>MIN(Exposure!$C$24,MAX(0,BC_without_index!$O20-Exposure!$E$24))</f>
        <v>0</v>
      </c>
      <c r="S20" s="1">
        <f t="shared" si="1"/>
        <v>0</v>
      </c>
      <c r="T20" s="1">
        <f t="shared" si="2"/>
        <v>0</v>
      </c>
    </row>
    <row r="21" spans="4:20" x14ac:dyDescent="0.3">
      <c r="D21">
        <f>Incurred_loss!$C19</f>
        <v>2017</v>
      </c>
      <c r="E21" s="45">
        <f>Incurred_loss!D19</f>
        <v>2240604.891679802</v>
      </c>
      <c r="F21" s="45">
        <f>Incurred_loss!E19</f>
        <v>1260496.8281485948</v>
      </c>
      <c r="G21" s="45">
        <f>Incurred_loss!F19</f>
        <v>1563166.6900110065</v>
      </c>
      <c r="H21" s="45">
        <f>Incurred_loss!G19</f>
        <v>1379839.0155100974</v>
      </c>
      <c r="I21" s="45">
        <f>Incurred_loss!H19</f>
        <v>1382359.0806024871</v>
      </c>
      <c r="J21" s="45">
        <f>Incurred_loss!I19</f>
        <v>1367952.6656670165</v>
      </c>
      <c r="K21" s="45">
        <f>Incurred_loss!J19</f>
        <v>1380429.4435004508</v>
      </c>
      <c r="L21" s="45">
        <f>Incurred_loss!K19</f>
        <v>1364332.4097421924</v>
      </c>
      <c r="M21" s="45">
        <f>Incurred_loss!L19</f>
        <v>1372647.2422328731</v>
      </c>
      <c r="N21" s="49">
        <f t="shared" ref="N21:N84" si="3">M21*N$120</f>
        <v>1372647.2422328731</v>
      </c>
      <c r="O21" s="48">
        <f t="shared" ref="O21:O32" si="4">$M21</f>
        <v>1372647.2422328731</v>
      </c>
      <c r="P21" s="45" t="s">
        <v>40</v>
      </c>
      <c r="Q21" s="45">
        <f>MIN(Exposure!$C$23,MAX(0,BC_without_index!$O21-Exposure!$E$23))</f>
        <v>0</v>
      </c>
      <c r="R21" s="45">
        <f>MIN(Exposure!$C$24,MAX(0,BC_without_index!$O21-Exposure!$E$24))</f>
        <v>0</v>
      </c>
      <c r="S21" s="1" t="str">
        <f t="shared" si="1"/>
        <v>-</v>
      </c>
      <c r="T21" s="1" t="str">
        <f t="shared" si="2"/>
        <v>-</v>
      </c>
    </row>
    <row r="22" spans="4:20" x14ac:dyDescent="0.3">
      <c r="D22">
        <f>Incurred_loss!$C20</f>
        <v>2017</v>
      </c>
      <c r="E22" s="45">
        <f>Incurred_loss!D20</f>
        <v>1906320.5955634883</v>
      </c>
      <c r="F22" s="45">
        <f>Incurred_loss!E20</f>
        <v>2121967.3694722499</v>
      </c>
      <c r="G22" s="45">
        <f>Incurred_loss!F20</f>
        <v>2133262.8948576506</v>
      </c>
      <c r="H22" s="45">
        <f>Incurred_loss!G20</f>
        <v>2003038.9303592076</v>
      </c>
      <c r="I22" s="45">
        <f>Incurred_loss!H20</f>
        <v>2183310.9262254182</v>
      </c>
      <c r="J22" s="45">
        <f>Incurred_loss!I20</f>
        <v>2085872.9784195202</v>
      </c>
      <c r="K22" s="45">
        <f>Incurred_loss!J20</f>
        <v>2116538.1088574384</v>
      </c>
      <c r="L22" s="45">
        <f>Incurred_loss!K20</f>
        <v>2086270.072138929</v>
      </c>
      <c r="M22" s="45">
        <f>Incurred_loss!L20</f>
        <v>2093084.7442627857</v>
      </c>
      <c r="N22" s="49">
        <f t="shared" si="3"/>
        <v>2093084.7442627857</v>
      </c>
      <c r="O22" s="48">
        <f t="shared" si="4"/>
        <v>2093084.7442627857</v>
      </c>
      <c r="P22" s="45" t="s">
        <v>40</v>
      </c>
      <c r="Q22" s="45">
        <f>MIN(Exposure!$C$23,MAX(0,BC_without_index!$O22-Exposure!$E$23))</f>
        <v>0</v>
      </c>
      <c r="R22" s="45">
        <f>MIN(Exposure!$C$24,MAX(0,BC_without_index!$O22-Exposure!$E$24))</f>
        <v>0</v>
      </c>
      <c r="S22" s="1" t="str">
        <f t="shared" si="1"/>
        <v>-</v>
      </c>
      <c r="T22" s="1" t="str">
        <f t="shared" si="2"/>
        <v>-</v>
      </c>
    </row>
    <row r="23" spans="4:20" x14ac:dyDescent="0.3">
      <c r="D23">
        <f>Incurred_loss!$C21</f>
        <v>2017</v>
      </c>
      <c r="E23" s="45">
        <f>Incurred_loss!D21</f>
        <v>2007517.8764395609</v>
      </c>
      <c r="F23" s="45">
        <f>Incurred_loss!E21</f>
        <v>1436601.3654771782</v>
      </c>
      <c r="G23" s="45">
        <f>Incurred_loss!F21</f>
        <v>892493.76793939713</v>
      </c>
      <c r="H23" s="45">
        <f>Incurred_loss!G21</f>
        <v>1225587.7438334962</v>
      </c>
      <c r="I23" s="45">
        <f>Incurred_loss!H21</f>
        <v>1259934.011003531</v>
      </c>
      <c r="J23" s="45">
        <f>Incurred_loss!I21</f>
        <v>1259934.0042042423</v>
      </c>
      <c r="K23" s="45">
        <f>Incurred_loss!J21</f>
        <v>1259933.9999819486</v>
      </c>
      <c r="L23" s="45">
        <f>Incurred_loss!K21</f>
        <v>1259934.0000048154</v>
      </c>
      <c r="M23" s="45">
        <f>Incurred_loss!L21</f>
        <v>1259933.9999995872</v>
      </c>
      <c r="N23" s="49">
        <f t="shared" si="3"/>
        <v>1259933.9999995872</v>
      </c>
      <c r="O23" s="48">
        <f t="shared" si="4"/>
        <v>1259933.9999995872</v>
      </c>
      <c r="P23" s="45" t="s">
        <v>40</v>
      </c>
      <c r="Q23" s="45">
        <f>MIN(Exposure!$C$23,MAX(0,BC_without_index!$O23-Exposure!$E$23))</f>
        <v>0</v>
      </c>
      <c r="R23" s="45">
        <f>MIN(Exposure!$C$24,MAX(0,BC_without_index!$O23-Exposure!$E$24))</f>
        <v>0</v>
      </c>
      <c r="S23" s="1" t="str">
        <f t="shared" si="1"/>
        <v>-</v>
      </c>
      <c r="T23" s="1" t="str">
        <f t="shared" si="2"/>
        <v>-</v>
      </c>
    </row>
    <row r="24" spans="4:20" x14ac:dyDescent="0.3">
      <c r="D24">
        <f>Incurred_loss!$C22</f>
        <v>2017</v>
      </c>
      <c r="E24" s="45">
        <f>Incurred_loss!D22</f>
        <v>1641398.5031115953</v>
      </c>
      <c r="F24" s="45">
        <f>Incurred_loss!E22</f>
        <v>2308884.0840973053</v>
      </c>
      <c r="G24" s="45">
        <f>Incurred_loss!F22</f>
        <v>2535584.3989521926</v>
      </c>
      <c r="H24" s="45">
        <f>Incurred_loss!G22</f>
        <v>2628331.0146585833</v>
      </c>
      <c r="I24" s="45">
        <f>Incurred_loss!H22</f>
        <v>2646023.7944474393</v>
      </c>
      <c r="J24" s="45">
        <f>Incurred_loss!I22</f>
        <v>2643617.5446619024</v>
      </c>
      <c r="K24" s="45">
        <f>Incurred_loss!J22</f>
        <v>2644431.5047857836</v>
      </c>
      <c r="L24" s="45">
        <f>Incurred_loss!K22</f>
        <v>2643219.7564694053</v>
      </c>
      <c r="M24" s="45">
        <f>Incurred_loss!L22</f>
        <v>2644390.4476453373</v>
      </c>
      <c r="N24" s="49">
        <f t="shared" si="3"/>
        <v>2644390.4476453373</v>
      </c>
      <c r="O24" s="48">
        <f t="shared" si="4"/>
        <v>2644390.4476453373</v>
      </c>
      <c r="P24" s="45" t="s">
        <v>40</v>
      </c>
      <c r="Q24" s="45">
        <f>MIN(Exposure!$C$23,MAX(0,BC_without_index!$O24-Exposure!$E$23))</f>
        <v>0</v>
      </c>
      <c r="R24" s="45">
        <f>MIN(Exposure!$C$24,MAX(0,BC_without_index!$O24-Exposure!$E$24))</f>
        <v>0</v>
      </c>
      <c r="S24" s="1" t="str">
        <f t="shared" si="1"/>
        <v>-</v>
      </c>
      <c r="T24" s="1" t="str">
        <f t="shared" si="2"/>
        <v>-</v>
      </c>
    </row>
    <row r="25" spans="4:20" x14ac:dyDescent="0.3">
      <c r="D25">
        <f>Incurred_loss!$C23</f>
        <v>2017</v>
      </c>
      <c r="E25" s="45">
        <f>Incurred_loss!D23</f>
        <v>985976.74419370713</v>
      </c>
      <c r="F25" s="45">
        <f>Incurred_loss!E23</f>
        <v>966806.04644408205</v>
      </c>
      <c r="G25" s="45">
        <f>Incurred_loss!F23</f>
        <v>957374.03327560704</v>
      </c>
      <c r="H25" s="45">
        <f>Incurred_loss!G23</f>
        <v>1070742.6212052535</v>
      </c>
      <c r="I25" s="45">
        <f>Incurred_loss!H23</f>
        <v>1067850.7099047001</v>
      </c>
      <c r="J25" s="45">
        <f>Incurred_loss!I23</f>
        <v>1067453.0231754954</v>
      </c>
      <c r="K25" s="45">
        <f>Incurred_loss!J23</f>
        <v>1068080.8659994032</v>
      </c>
      <c r="L25" s="45">
        <f>Incurred_loss!K23</f>
        <v>1067889.281362057</v>
      </c>
      <c r="M25" s="45">
        <f>Incurred_loss!L23</f>
        <v>1067758.8</v>
      </c>
      <c r="N25" s="49">
        <f t="shared" si="3"/>
        <v>1067758.8</v>
      </c>
      <c r="O25" s="48">
        <f t="shared" si="4"/>
        <v>1067758.8</v>
      </c>
      <c r="P25" s="45" t="s">
        <v>40</v>
      </c>
      <c r="Q25" s="45">
        <f>MIN(Exposure!$C$23,MAX(0,BC_without_index!$O25-Exposure!$E$23))</f>
        <v>0</v>
      </c>
      <c r="R25" s="45">
        <f>MIN(Exposure!$C$24,MAX(0,BC_without_index!$O25-Exposure!$E$24))</f>
        <v>0</v>
      </c>
      <c r="S25" s="1" t="str">
        <f t="shared" si="1"/>
        <v>-</v>
      </c>
      <c r="T25" s="1" t="str">
        <f t="shared" si="2"/>
        <v>-</v>
      </c>
    </row>
    <row r="26" spans="4:20" x14ac:dyDescent="0.3">
      <c r="D26">
        <f>Incurred_loss!$C24</f>
        <v>2017</v>
      </c>
      <c r="E26" s="45">
        <f>Incurred_loss!D24</f>
        <v>5297904.7431722237</v>
      </c>
      <c r="F26" s="45">
        <f>Incurred_loss!E24</f>
        <v>3533821.9829735653</v>
      </c>
      <c r="G26" s="45">
        <f>Incurred_loss!F24</f>
        <v>3744019.2051852793</v>
      </c>
      <c r="H26" s="45">
        <f>Incurred_loss!G24</f>
        <v>4046901.6969412565</v>
      </c>
      <c r="I26" s="45">
        <f>Incurred_loss!H24</f>
        <v>3894314.3115093736</v>
      </c>
      <c r="J26" s="45">
        <f>Incurred_loss!I24</f>
        <v>3884125.4647304649</v>
      </c>
      <c r="K26" s="45">
        <f>Incurred_loss!J24</f>
        <v>3884119.4930095398</v>
      </c>
      <c r="L26" s="45">
        <f>Incurred_loss!K24</f>
        <v>3884118.4086728813</v>
      </c>
      <c r="M26" s="45">
        <f>Incurred_loss!L24</f>
        <v>3884112.9477082277</v>
      </c>
      <c r="N26" s="49">
        <f t="shared" si="3"/>
        <v>3884112.9477082277</v>
      </c>
      <c r="O26" s="48">
        <f t="shared" si="4"/>
        <v>3884112.9477082277</v>
      </c>
      <c r="P26" s="45" t="s">
        <v>40</v>
      </c>
      <c r="Q26" s="45">
        <f>MIN(Exposure!$C$23,MAX(0,BC_without_index!$O26-Exposure!$E$23))</f>
        <v>0</v>
      </c>
      <c r="R26" s="45">
        <f>MIN(Exposure!$C$24,MAX(0,BC_without_index!$O26-Exposure!$E$24))</f>
        <v>0</v>
      </c>
      <c r="S26" s="1" t="str">
        <f t="shared" si="1"/>
        <v>-</v>
      </c>
      <c r="T26" s="1" t="str">
        <f t="shared" si="2"/>
        <v>-</v>
      </c>
    </row>
    <row r="27" spans="4:20" x14ac:dyDescent="0.3">
      <c r="D27">
        <f>Incurred_loss!$C25</f>
        <v>2017</v>
      </c>
      <c r="E27" s="45">
        <f>Incurred_loss!D25</f>
        <v>1655806.5835662826</v>
      </c>
      <c r="F27" s="45">
        <f>Incurred_loss!E25</f>
        <v>2623943.0180015457</v>
      </c>
      <c r="G27" s="45">
        <f>Incurred_loss!F25</f>
        <v>1373089.7934909062</v>
      </c>
      <c r="H27" s="45">
        <f>Incurred_loss!G25</f>
        <v>1396920.7374569308</v>
      </c>
      <c r="I27" s="45">
        <f>Incurred_loss!H25</f>
        <v>1498800.4980243179</v>
      </c>
      <c r="J27" s="45">
        <f>Incurred_loss!I25</f>
        <v>1532348.0502218921</v>
      </c>
      <c r="K27" s="45">
        <f>Incurred_loss!J25</f>
        <v>1521396.1011188508</v>
      </c>
      <c r="L27" s="45">
        <f>Incurred_loss!K25</f>
        <v>1522295.8331641064</v>
      </c>
      <c r="M27" s="45">
        <f>Incurred_loss!L25</f>
        <v>1523467.937250196</v>
      </c>
      <c r="N27" s="49">
        <f t="shared" si="3"/>
        <v>1523467.937250196</v>
      </c>
      <c r="O27" s="48">
        <f t="shared" si="4"/>
        <v>1523467.937250196</v>
      </c>
      <c r="P27" s="45" t="s">
        <v>40</v>
      </c>
      <c r="Q27" s="45">
        <f>MIN(Exposure!$C$23,MAX(0,BC_without_index!$O27-Exposure!$E$23))</f>
        <v>0</v>
      </c>
      <c r="R27" s="45">
        <f>MIN(Exposure!$C$24,MAX(0,BC_without_index!$O27-Exposure!$E$24))</f>
        <v>0</v>
      </c>
      <c r="S27" s="1" t="str">
        <f t="shared" si="1"/>
        <v>-</v>
      </c>
      <c r="T27" s="1" t="str">
        <f t="shared" si="2"/>
        <v>-</v>
      </c>
    </row>
    <row r="28" spans="4:20" x14ac:dyDescent="0.3">
      <c r="D28">
        <f>Incurred_loss!$C26</f>
        <v>2017</v>
      </c>
      <c r="E28" s="45">
        <f>Incurred_loss!D26</f>
        <v>1069606.5804702051</v>
      </c>
      <c r="F28" s="45">
        <f>Incurred_loss!E26</f>
        <v>1280024.6953828617</v>
      </c>
      <c r="G28" s="45">
        <f>Incurred_loss!F26</f>
        <v>1083094.3453831607</v>
      </c>
      <c r="H28" s="45">
        <f>Incurred_loss!G26</f>
        <v>1123362.009087004</v>
      </c>
      <c r="I28" s="45">
        <f>Incurred_loss!H26</f>
        <v>1047967.7997322173</v>
      </c>
      <c r="J28" s="45">
        <f>Incurred_loss!I26</f>
        <v>1131490.3337500631</v>
      </c>
      <c r="K28" s="45">
        <f>Incurred_loss!J26</f>
        <v>1114027.7453881532</v>
      </c>
      <c r="L28" s="45">
        <f>Incurred_loss!K26</f>
        <v>1113306.5171390045</v>
      </c>
      <c r="M28" s="45">
        <f>Incurred_loss!L26</f>
        <v>1111916.1734600686</v>
      </c>
      <c r="N28" s="49">
        <f t="shared" si="3"/>
        <v>1111916.1734600686</v>
      </c>
      <c r="O28" s="48">
        <f t="shared" si="4"/>
        <v>1111916.1734600686</v>
      </c>
      <c r="P28" s="45" t="s">
        <v>40</v>
      </c>
      <c r="Q28" s="45">
        <f>MIN(Exposure!$C$23,MAX(0,BC_without_index!$O28-Exposure!$E$23))</f>
        <v>0</v>
      </c>
      <c r="R28" s="45">
        <f>MIN(Exposure!$C$24,MAX(0,BC_without_index!$O28-Exposure!$E$24))</f>
        <v>0</v>
      </c>
      <c r="S28" s="1" t="str">
        <f t="shared" si="1"/>
        <v>-</v>
      </c>
      <c r="T28" s="1" t="str">
        <f t="shared" si="2"/>
        <v>-</v>
      </c>
    </row>
    <row r="29" spans="4:20" x14ac:dyDescent="0.3">
      <c r="D29">
        <f>Incurred_loss!$C27</f>
        <v>2017</v>
      </c>
      <c r="E29" s="45">
        <f>Incurred_loss!D27</f>
        <v>682482.40315132693</v>
      </c>
      <c r="F29" s="45">
        <f>Incurred_loss!E27</f>
        <v>1073459.8380701053</v>
      </c>
      <c r="G29" s="45">
        <f>Incurred_loss!F27</f>
        <v>723740.18062258349</v>
      </c>
      <c r="H29" s="45">
        <f>Incurred_loss!G27</f>
        <v>756930.23655375442</v>
      </c>
      <c r="I29" s="45">
        <f>Incurred_loss!H27</f>
        <v>765146.3282372083</v>
      </c>
      <c r="J29" s="45">
        <f>Incurred_loss!I27</f>
        <v>736848.39465459622</v>
      </c>
      <c r="K29" s="45">
        <f>Incurred_loss!J27</f>
        <v>735047.69922579976</v>
      </c>
      <c r="L29" s="45">
        <f>Incurred_loss!K27</f>
        <v>735169.03698789224</v>
      </c>
      <c r="M29" s="45">
        <f>Incurred_loss!L27</f>
        <v>735055.56970932614</v>
      </c>
      <c r="N29" s="49">
        <f t="shared" si="3"/>
        <v>735055.56970932614</v>
      </c>
      <c r="O29" s="48">
        <f t="shared" si="4"/>
        <v>735055.56970932614</v>
      </c>
      <c r="P29" s="45" t="s">
        <v>40</v>
      </c>
      <c r="Q29" s="45">
        <f>MIN(Exposure!$C$23,MAX(0,BC_without_index!$O29-Exposure!$E$23))</f>
        <v>0</v>
      </c>
      <c r="R29" s="45">
        <f>MIN(Exposure!$C$24,MAX(0,BC_without_index!$O29-Exposure!$E$24))</f>
        <v>0</v>
      </c>
      <c r="S29" s="1" t="str">
        <f t="shared" si="1"/>
        <v>-</v>
      </c>
      <c r="T29" s="1" t="str">
        <f t="shared" si="2"/>
        <v>-</v>
      </c>
    </row>
    <row r="30" spans="4:20" x14ac:dyDescent="0.3">
      <c r="D30">
        <f>Incurred_loss!$C28</f>
        <v>2017</v>
      </c>
      <c r="E30" s="45">
        <f>Incurred_loss!D28</f>
        <v>1057904.3385965368</v>
      </c>
      <c r="F30" s="45">
        <f>Incurred_loss!E28</f>
        <v>2806548.2854172545</v>
      </c>
      <c r="G30" s="45">
        <f>Incurred_loss!F28</f>
        <v>2413076.7222503475</v>
      </c>
      <c r="H30" s="45">
        <f>Incurred_loss!G28</f>
        <v>2296877.0691606272</v>
      </c>
      <c r="I30" s="45">
        <f>Incurred_loss!H28</f>
        <v>2265376.9633221524</v>
      </c>
      <c r="J30" s="45">
        <f>Incurred_loss!I28</f>
        <v>2290232.6427416783</v>
      </c>
      <c r="K30" s="45">
        <f>Incurred_loss!J28</f>
        <v>2290395.1746512633</v>
      </c>
      <c r="L30" s="45">
        <f>Incurred_loss!K28</f>
        <v>2290104.0654683881</v>
      </c>
      <c r="M30" s="45">
        <f>Incurred_loss!L28</f>
        <v>2290103.4</v>
      </c>
      <c r="N30" s="49">
        <f t="shared" si="3"/>
        <v>2290103.4</v>
      </c>
      <c r="O30" s="48">
        <f t="shared" si="4"/>
        <v>2290103.4</v>
      </c>
      <c r="P30" s="45" t="s">
        <v>40</v>
      </c>
      <c r="Q30" s="45">
        <f>MIN(Exposure!$C$23,MAX(0,BC_without_index!$O30-Exposure!$E$23))</f>
        <v>0</v>
      </c>
      <c r="R30" s="45">
        <f>MIN(Exposure!$C$24,MAX(0,BC_without_index!$O30-Exposure!$E$24))</f>
        <v>0</v>
      </c>
      <c r="S30" s="1" t="str">
        <f t="shared" si="1"/>
        <v>-</v>
      </c>
      <c r="T30" s="1" t="str">
        <f t="shared" si="2"/>
        <v>-</v>
      </c>
    </row>
    <row r="31" spans="4:20" x14ac:dyDescent="0.3">
      <c r="D31">
        <f>Incurred_loss!$C29</f>
        <v>2017</v>
      </c>
      <c r="E31" s="45">
        <f>Incurred_loss!D29</f>
        <v>6321294.8532149671</v>
      </c>
      <c r="F31" s="45">
        <f>Incurred_loss!E29</f>
        <v>3617137.0737857772</v>
      </c>
      <c r="G31" s="45">
        <f>Incurred_loss!F29</f>
        <v>2900356.2814684417</v>
      </c>
      <c r="H31" s="45">
        <f>Incurred_loss!G29</f>
        <v>3687267.9761182759</v>
      </c>
      <c r="I31" s="45">
        <f>Incurred_loss!H29</f>
        <v>3213722.8681591093</v>
      </c>
      <c r="J31" s="45">
        <f>Incurred_loss!I29</f>
        <v>3494411.2810094855</v>
      </c>
      <c r="K31" s="45">
        <f>Incurred_loss!J29</f>
        <v>3447628.26844233</v>
      </c>
      <c r="L31" s="45">
        <f>Incurred_loss!K29</f>
        <v>3447811.9201592682</v>
      </c>
      <c r="M31" s="45">
        <f>Incurred_loss!L29</f>
        <v>3447761.2263884367</v>
      </c>
      <c r="N31" s="49">
        <f t="shared" si="3"/>
        <v>3447761.2263884367</v>
      </c>
      <c r="O31" s="48">
        <f t="shared" si="4"/>
        <v>3447761.2263884367</v>
      </c>
      <c r="P31" s="45" t="s">
        <v>40</v>
      </c>
      <c r="Q31" s="45">
        <f>MIN(Exposure!$C$23,MAX(0,BC_without_index!$O31-Exposure!$E$23))</f>
        <v>0</v>
      </c>
      <c r="R31" s="45">
        <f>MIN(Exposure!$C$24,MAX(0,BC_without_index!$O31-Exposure!$E$24))</f>
        <v>0</v>
      </c>
      <c r="S31" s="1" t="str">
        <f t="shared" si="1"/>
        <v>-</v>
      </c>
      <c r="T31" s="1" t="str">
        <f t="shared" si="2"/>
        <v>-</v>
      </c>
    </row>
    <row r="32" spans="4:20" x14ac:dyDescent="0.3">
      <c r="D32">
        <f>Incurred_loss!$C30</f>
        <v>2017</v>
      </c>
      <c r="E32" s="45">
        <f>Incurred_loss!D30</f>
        <v>2508754.7445643209</v>
      </c>
      <c r="F32" s="45">
        <f>Incurred_loss!E30</f>
        <v>3186431.1422143513</v>
      </c>
      <c r="G32" s="45">
        <f>Incurred_loss!F30</f>
        <v>2867973.4344330914</v>
      </c>
      <c r="H32" s="45">
        <f>Incurred_loss!G30</f>
        <v>3036359.0908506038</v>
      </c>
      <c r="I32" s="45">
        <f>Incurred_loss!H30</f>
        <v>3146986.2261065822</v>
      </c>
      <c r="J32" s="45">
        <f>Incurred_loss!I30</f>
        <v>3147384.5425784551</v>
      </c>
      <c r="K32" s="45">
        <f>Incurred_loss!J30</f>
        <v>3150269.8990874863</v>
      </c>
      <c r="L32" s="45">
        <f>Incurred_loss!K30</f>
        <v>3149868.2957142075</v>
      </c>
      <c r="M32" s="45">
        <f>Incurred_loss!L30</f>
        <v>3146758.1679253126</v>
      </c>
      <c r="N32" s="49">
        <f t="shared" si="3"/>
        <v>3146758.1679253126</v>
      </c>
      <c r="O32" s="48">
        <f t="shared" si="4"/>
        <v>3146758.1679253126</v>
      </c>
      <c r="P32" s="45" t="s">
        <v>40</v>
      </c>
      <c r="Q32" s="45">
        <f>MIN(Exposure!$C$23,MAX(0,BC_without_index!$O32-Exposure!$E$23))</f>
        <v>0</v>
      </c>
      <c r="R32" s="45">
        <f>MIN(Exposure!$C$24,MAX(0,BC_without_index!$O32-Exposure!$E$24))</f>
        <v>0</v>
      </c>
      <c r="S32" s="1" t="str">
        <f t="shared" si="1"/>
        <v>-</v>
      </c>
      <c r="T32" s="1" t="str">
        <f t="shared" si="2"/>
        <v>-</v>
      </c>
    </row>
    <row r="33" spans="4:20" x14ac:dyDescent="0.3">
      <c r="D33">
        <f>Incurred_loss!$C31</f>
        <v>2018</v>
      </c>
      <c r="E33" s="45">
        <f>Incurred_loss!D31</f>
        <v>2437693.859849174</v>
      </c>
      <c r="F33" s="45">
        <f>Incurred_loss!E31</f>
        <v>1774392.7439035897</v>
      </c>
      <c r="G33" s="45">
        <f>Incurred_loss!F31</f>
        <v>1936723.1054358336</v>
      </c>
      <c r="H33" s="45">
        <f>Incurred_loss!G31</f>
        <v>1660772.2413031878</v>
      </c>
      <c r="I33" s="45">
        <f>Incurred_loss!H31</f>
        <v>1671151.4009370343</v>
      </c>
      <c r="J33" s="45">
        <f>Incurred_loss!I31</f>
        <v>1680591.5885586226</v>
      </c>
      <c r="K33" s="45">
        <f>Incurred_loss!J31</f>
        <v>1670625.9111817637</v>
      </c>
      <c r="L33" s="45">
        <f>Incurred_loss!K31</f>
        <v>1670374.606837377</v>
      </c>
      <c r="M33" s="50">
        <f>L33*M$120</f>
        <v>1669571.6089800957</v>
      </c>
      <c r="N33" s="49">
        <f t="shared" si="3"/>
        <v>1669571.6089800957</v>
      </c>
      <c r="O33" s="48">
        <f>$L33</f>
        <v>1670374.606837377</v>
      </c>
      <c r="P33" s="45">
        <f>Exposure!$C$9</f>
        <v>147788566.93800002</v>
      </c>
      <c r="Q33" s="45">
        <f>MIN(Exposure!$C$23,MAX(0,BC_without_index!$O33-Exposure!$E$23))</f>
        <v>0</v>
      </c>
      <c r="R33" s="45">
        <f>MIN(Exposure!$C$24,MAX(0,BC_without_index!$O33-Exposure!$E$24))</f>
        <v>0</v>
      </c>
      <c r="S33" s="1">
        <f t="shared" si="1"/>
        <v>0</v>
      </c>
      <c r="T33" s="1">
        <f t="shared" si="2"/>
        <v>0</v>
      </c>
    </row>
    <row r="34" spans="4:20" x14ac:dyDescent="0.3">
      <c r="D34">
        <f>Incurred_loss!$C32</f>
        <v>2018</v>
      </c>
      <c r="E34" s="45">
        <f>Incurred_loss!D32</f>
        <v>1172772.2857773087</v>
      </c>
      <c r="F34" s="45">
        <f>Incurred_loss!E32</f>
        <v>2133682.6072038836</v>
      </c>
      <c r="G34" s="45">
        <f>Incurred_loss!F32</f>
        <v>1711293.836538387</v>
      </c>
      <c r="H34" s="45">
        <f>Incurred_loss!G32</f>
        <v>1838327.3218795969</v>
      </c>
      <c r="I34" s="45">
        <f>Incurred_loss!H32</f>
        <v>1842584.6895490808</v>
      </c>
      <c r="J34" s="45">
        <f>Incurred_loss!I32</f>
        <v>1836512.3138921205</v>
      </c>
      <c r="K34" s="45">
        <f>Incurred_loss!J32</f>
        <v>1836765.4843945173</v>
      </c>
      <c r="L34" s="45">
        <f>Incurred_loss!K32</f>
        <v>1836766.4180398658</v>
      </c>
      <c r="M34" s="50">
        <f t="shared" ref="M34:N97" si="5">L34*M$120</f>
        <v>1835883.4307794184</v>
      </c>
      <c r="N34" s="49">
        <f t="shared" si="3"/>
        <v>1835883.4307794184</v>
      </c>
      <c r="O34" s="48">
        <f t="shared" ref="O34:O43" si="6">$L34</f>
        <v>1836766.4180398658</v>
      </c>
      <c r="P34" s="45" t="s">
        <v>40</v>
      </c>
      <c r="Q34" s="45">
        <f>MIN(Exposure!$C$23,MAX(0,BC_without_index!$O34-Exposure!$E$23))</f>
        <v>0</v>
      </c>
      <c r="R34" s="45">
        <f>MIN(Exposure!$C$24,MAX(0,BC_without_index!$O34-Exposure!$E$24))</f>
        <v>0</v>
      </c>
      <c r="S34" s="1" t="str">
        <f t="shared" si="1"/>
        <v>-</v>
      </c>
      <c r="T34" s="1" t="str">
        <f t="shared" si="2"/>
        <v>-</v>
      </c>
    </row>
    <row r="35" spans="4:20" x14ac:dyDescent="0.3">
      <c r="D35">
        <f>Incurred_loss!$C33</f>
        <v>2018</v>
      </c>
      <c r="E35" s="45">
        <f>Incurred_loss!D33</f>
        <v>1190824.3942770362</v>
      </c>
      <c r="F35" s="45">
        <f>Incurred_loss!E33</f>
        <v>1786670.5867266303</v>
      </c>
      <c r="G35" s="45">
        <f>Incurred_loss!F33</f>
        <v>1612764.2783081392</v>
      </c>
      <c r="H35" s="45">
        <f>Incurred_loss!G33</f>
        <v>1625190.650891392</v>
      </c>
      <c r="I35" s="45">
        <f>Incurred_loss!H33</f>
        <v>1624964.8847137159</v>
      </c>
      <c r="J35" s="45">
        <f>Incurred_loss!I33</f>
        <v>1621944.1571244875</v>
      </c>
      <c r="K35" s="45">
        <f>Incurred_loss!J33</f>
        <v>1625523.9896631443</v>
      </c>
      <c r="L35" s="45">
        <f>Incurred_loss!K33</f>
        <v>1623406.3690938668</v>
      </c>
      <c r="M35" s="50">
        <f t="shared" si="5"/>
        <v>1622625.9502401899</v>
      </c>
      <c r="N35" s="49">
        <f t="shared" si="3"/>
        <v>1622625.9502401899</v>
      </c>
      <c r="O35" s="48">
        <f t="shared" si="6"/>
        <v>1623406.3690938668</v>
      </c>
      <c r="P35" s="45" t="s">
        <v>40</v>
      </c>
      <c r="Q35" s="45">
        <f>MIN(Exposure!$C$23,MAX(0,BC_without_index!$O35-Exposure!$E$23))</f>
        <v>0</v>
      </c>
      <c r="R35" s="45">
        <f>MIN(Exposure!$C$24,MAX(0,BC_without_index!$O35-Exposure!$E$24))</f>
        <v>0</v>
      </c>
      <c r="S35" s="1" t="str">
        <f t="shared" si="1"/>
        <v>-</v>
      </c>
      <c r="T35" s="1" t="str">
        <f t="shared" si="2"/>
        <v>-</v>
      </c>
    </row>
    <row r="36" spans="4:20" x14ac:dyDescent="0.3">
      <c r="D36">
        <f>Incurred_loss!$C34</f>
        <v>2018</v>
      </c>
      <c r="E36" s="45">
        <f>Incurred_loss!D34</f>
        <v>1250417.544725264</v>
      </c>
      <c r="F36" s="45">
        <f>Incurred_loss!E34</f>
        <v>1676699.1828004797</v>
      </c>
      <c r="G36" s="45">
        <f>Incurred_loss!F34</f>
        <v>1365100.2491225877</v>
      </c>
      <c r="H36" s="45">
        <f>Incurred_loss!G34</f>
        <v>1422704.4137329829</v>
      </c>
      <c r="I36" s="45">
        <f>Incurred_loss!H34</f>
        <v>1419243.9469227111</v>
      </c>
      <c r="J36" s="45">
        <f>Incurred_loss!I34</f>
        <v>1427922.6723934477</v>
      </c>
      <c r="K36" s="45">
        <f>Incurred_loss!J34</f>
        <v>1423997.0780094052</v>
      </c>
      <c r="L36" s="45">
        <f>Incurred_loss!K34</f>
        <v>1424370.5574662299</v>
      </c>
      <c r="M36" s="50">
        <f t="shared" si="5"/>
        <v>1423685.8209401008</v>
      </c>
      <c r="N36" s="49">
        <f t="shared" si="3"/>
        <v>1423685.8209401008</v>
      </c>
      <c r="O36" s="48">
        <f t="shared" si="6"/>
        <v>1424370.5574662299</v>
      </c>
      <c r="P36" s="45" t="s">
        <v>40</v>
      </c>
      <c r="Q36" s="45">
        <f>MIN(Exposure!$C$23,MAX(0,BC_without_index!$O36-Exposure!$E$23))</f>
        <v>0</v>
      </c>
      <c r="R36" s="45">
        <f>MIN(Exposure!$C$24,MAX(0,BC_without_index!$O36-Exposure!$E$24))</f>
        <v>0</v>
      </c>
      <c r="S36" s="1" t="str">
        <f t="shared" si="1"/>
        <v>-</v>
      </c>
      <c r="T36" s="1" t="str">
        <f t="shared" si="2"/>
        <v>-</v>
      </c>
    </row>
    <row r="37" spans="4:20" x14ac:dyDescent="0.3">
      <c r="D37">
        <f>Incurred_loss!$C35</f>
        <v>2018</v>
      </c>
      <c r="E37" s="45">
        <f>Incurred_loss!D35</f>
        <v>911427.27708318084</v>
      </c>
      <c r="F37" s="45">
        <f>Incurred_loss!E35</f>
        <v>1277373.2922626021</v>
      </c>
      <c r="G37" s="45">
        <f>Incurred_loss!F35</f>
        <v>1350360.5298755905</v>
      </c>
      <c r="H37" s="45">
        <f>Incurred_loss!G35</f>
        <v>1358487.9206782931</v>
      </c>
      <c r="I37" s="45">
        <f>Incurred_loss!H35</f>
        <v>1354945.8296891402</v>
      </c>
      <c r="J37" s="45">
        <f>Incurred_loss!I35</f>
        <v>1358315.4312556193</v>
      </c>
      <c r="K37" s="45">
        <f>Incurred_loss!J35</f>
        <v>1358835.6968667968</v>
      </c>
      <c r="L37" s="45">
        <f>Incurred_loss!K35</f>
        <v>1358174.0257493902</v>
      </c>
      <c r="M37" s="50">
        <f t="shared" si="5"/>
        <v>1357521.1118293465</v>
      </c>
      <c r="N37" s="49">
        <f t="shared" si="3"/>
        <v>1357521.1118293465</v>
      </c>
      <c r="O37" s="48">
        <f t="shared" si="6"/>
        <v>1358174.0257493902</v>
      </c>
      <c r="P37" s="45" t="s">
        <v>40</v>
      </c>
      <c r="Q37" s="45">
        <f>MIN(Exposure!$C$23,MAX(0,BC_without_index!$O37-Exposure!$E$23))</f>
        <v>0</v>
      </c>
      <c r="R37" s="45">
        <f>MIN(Exposure!$C$24,MAX(0,BC_without_index!$O37-Exposure!$E$24))</f>
        <v>0</v>
      </c>
      <c r="S37" s="1" t="str">
        <f t="shared" si="1"/>
        <v>-</v>
      </c>
      <c r="T37" s="1" t="str">
        <f t="shared" si="2"/>
        <v>-</v>
      </c>
    </row>
    <row r="38" spans="4:20" x14ac:dyDescent="0.3">
      <c r="D38">
        <f>Incurred_loss!$C36</f>
        <v>2018</v>
      </c>
      <c r="E38" s="45">
        <f>Incurred_loss!D36</f>
        <v>1012267.0246426822</v>
      </c>
      <c r="F38" s="45">
        <f>Incurred_loss!E36</f>
        <v>810119.2919078609</v>
      </c>
      <c r="G38" s="45">
        <f>Incurred_loss!F36</f>
        <v>988409.89019955311</v>
      </c>
      <c r="H38" s="45">
        <f>Incurred_loss!G36</f>
        <v>1046339.224147347</v>
      </c>
      <c r="I38" s="45">
        <f>Incurred_loss!H36</f>
        <v>1026874.7979117385</v>
      </c>
      <c r="J38" s="45">
        <f>Incurred_loss!I36</f>
        <v>1034149.5329627566</v>
      </c>
      <c r="K38" s="45">
        <f>Incurred_loss!J36</f>
        <v>1053370.6404458319</v>
      </c>
      <c r="L38" s="45">
        <f>Incurred_loss!K36</f>
        <v>1034773.5385433013</v>
      </c>
      <c r="M38" s="50">
        <f t="shared" si="5"/>
        <v>1034276.0926824624</v>
      </c>
      <c r="N38" s="49">
        <f t="shared" si="3"/>
        <v>1034276.0926824624</v>
      </c>
      <c r="O38" s="48">
        <f t="shared" si="6"/>
        <v>1034773.5385433013</v>
      </c>
      <c r="P38" s="45" t="s">
        <v>40</v>
      </c>
      <c r="Q38" s="45">
        <f>MIN(Exposure!$C$23,MAX(0,BC_without_index!$O38-Exposure!$E$23))</f>
        <v>0</v>
      </c>
      <c r="R38" s="45">
        <f>MIN(Exposure!$C$24,MAX(0,BC_without_index!$O38-Exposure!$E$24))</f>
        <v>0</v>
      </c>
      <c r="S38" s="1" t="str">
        <f t="shared" si="1"/>
        <v>-</v>
      </c>
      <c r="T38" s="1" t="str">
        <f t="shared" si="2"/>
        <v>-</v>
      </c>
    </row>
    <row r="39" spans="4:20" x14ac:dyDescent="0.3">
      <c r="D39">
        <f>Incurred_loss!$C37</f>
        <v>2018</v>
      </c>
      <c r="E39" s="45">
        <f>Incurred_loss!D37</f>
        <v>2210423.1054870118</v>
      </c>
      <c r="F39" s="45">
        <f>Incurred_loss!E37</f>
        <v>1643291.8908228916</v>
      </c>
      <c r="G39" s="45">
        <f>Incurred_loss!F37</f>
        <v>1408739.2560065927</v>
      </c>
      <c r="H39" s="45">
        <f>Incurred_loss!G37</f>
        <v>1350931.8615393052</v>
      </c>
      <c r="I39" s="45">
        <f>Incurred_loss!H37</f>
        <v>1355777.8494198001</v>
      </c>
      <c r="J39" s="45">
        <f>Incurred_loss!I37</f>
        <v>1356591.9452039644</v>
      </c>
      <c r="K39" s="45">
        <f>Incurred_loss!J37</f>
        <v>1355932.6660947814</v>
      </c>
      <c r="L39" s="45">
        <f>Incurred_loss!K37</f>
        <v>1356307.3146196613</v>
      </c>
      <c r="M39" s="50">
        <f t="shared" si="5"/>
        <v>1355655.2980821754</v>
      </c>
      <c r="N39" s="49">
        <f t="shared" si="3"/>
        <v>1355655.2980821754</v>
      </c>
      <c r="O39" s="48">
        <f t="shared" si="6"/>
        <v>1356307.3146196613</v>
      </c>
      <c r="P39" s="45" t="s">
        <v>40</v>
      </c>
      <c r="Q39" s="45">
        <f>MIN(Exposure!$C$23,MAX(0,BC_without_index!$O39-Exposure!$E$23))</f>
        <v>0</v>
      </c>
      <c r="R39" s="45">
        <f>MIN(Exposure!$C$24,MAX(0,BC_without_index!$O39-Exposure!$E$24))</f>
        <v>0</v>
      </c>
      <c r="S39" s="1" t="str">
        <f t="shared" si="1"/>
        <v>-</v>
      </c>
      <c r="T39" s="1" t="str">
        <f t="shared" si="2"/>
        <v>-</v>
      </c>
    </row>
    <row r="40" spans="4:20" x14ac:dyDescent="0.3">
      <c r="D40">
        <f>Incurred_loss!$C38</f>
        <v>2018</v>
      </c>
      <c r="E40" s="45">
        <f>Incurred_loss!D38</f>
        <v>1341575.4270558432</v>
      </c>
      <c r="F40" s="45">
        <f>Incurred_loss!E38</f>
        <v>2688992.6505432283</v>
      </c>
      <c r="G40" s="45">
        <f>Incurred_loss!F38</f>
        <v>2019925.8134242031</v>
      </c>
      <c r="H40" s="45">
        <f>Incurred_loss!G38</f>
        <v>2056956.1900398391</v>
      </c>
      <c r="I40" s="45">
        <f>Incurred_loss!H38</f>
        <v>2188989.8853657488</v>
      </c>
      <c r="J40" s="45">
        <f>Incurred_loss!I38</f>
        <v>2183933.2525738119</v>
      </c>
      <c r="K40" s="45">
        <f>Incurred_loss!J38</f>
        <v>2190660.3795146449</v>
      </c>
      <c r="L40" s="45">
        <f>Incurred_loss!K38</f>
        <v>2189668.5752709932</v>
      </c>
      <c r="M40" s="50">
        <f t="shared" si="5"/>
        <v>2188615.9376369552</v>
      </c>
      <c r="N40" s="49">
        <f t="shared" si="3"/>
        <v>2188615.9376369552</v>
      </c>
      <c r="O40" s="48">
        <f t="shared" si="6"/>
        <v>2189668.5752709932</v>
      </c>
      <c r="P40" s="45" t="s">
        <v>40</v>
      </c>
      <c r="Q40" s="45">
        <f>MIN(Exposure!$C$23,MAX(0,BC_without_index!$O40-Exposure!$E$23))</f>
        <v>0</v>
      </c>
      <c r="R40" s="45">
        <f>MIN(Exposure!$C$24,MAX(0,BC_without_index!$O40-Exposure!$E$24))</f>
        <v>0</v>
      </c>
      <c r="S40" s="1" t="str">
        <f t="shared" si="1"/>
        <v>-</v>
      </c>
      <c r="T40" s="1" t="str">
        <f t="shared" si="2"/>
        <v>-</v>
      </c>
    </row>
    <row r="41" spans="4:20" x14ac:dyDescent="0.3">
      <c r="D41">
        <f>Incurred_loss!$C39</f>
        <v>2018</v>
      </c>
      <c r="E41" s="45">
        <f>Incurred_loss!D39</f>
        <v>2989815.6332241884</v>
      </c>
      <c r="F41" s="45">
        <f>Incurred_loss!E39</f>
        <v>2489049.8938457137</v>
      </c>
      <c r="G41" s="45">
        <f>Incurred_loss!F39</f>
        <v>2301038.8702849755</v>
      </c>
      <c r="H41" s="45">
        <f>Incurred_loss!G39</f>
        <v>2314308.9671977959</v>
      </c>
      <c r="I41" s="45">
        <f>Incurred_loss!H39</f>
        <v>2275755.9403123376</v>
      </c>
      <c r="J41" s="45">
        <f>Incurred_loss!I39</f>
        <v>2274580.246333424</v>
      </c>
      <c r="K41" s="45">
        <f>Incurred_loss!J39</f>
        <v>2273728.4346436458</v>
      </c>
      <c r="L41" s="45">
        <f>Incurred_loss!K39</f>
        <v>2273701.298237355</v>
      </c>
      <c r="M41" s="50">
        <f t="shared" si="5"/>
        <v>2272608.2636191868</v>
      </c>
      <c r="N41" s="49">
        <f t="shared" si="3"/>
        <v>2272608.2636191868</v>
      </c>
      <c r="O41" s="48">
        <f t="shared" si="6"/>
        <v>2273701.298237355</v>
      </c>
      <c r="P41" s="45" t="s">
        <v>40</v>
      </c>
      <c r="Q41" s="45">
        <f>MIN(Exposure!$C$23,MAX(0,BC_without_index!$O41-Exposure!$E$23))</f>
        <v>0</v>
      </c>
      <c r="R41" s="45">
        <f>MIN(Exposure!$C$24,MAX(0,BC_without_index!$O41-Exposure!$E$24))</f>
        <v>0</v>
      </c>
      <c r="S41" s="1" t="str">
        <f t="shared" si="1"/>
        <v>-</v>
      </c>
      <c r="T41" s="1" t="str">
        <f t="shared" si="2"/>
        <v>-</v>
      </c>
    </row>
    <row r="42" spans="4:20" x14ac:dyDescent="0.3">
      <c r="D42">
        <f>Incurred_loss!$C40</f>
        <v>2018</v>
      </c>
      <c r="E42" s="45">
        <f>Incurred_loss!D40</f>
        <v>1648668.4985677351</v>
      </c>
      <c r="F42" s="45">
        <f>Incurred_loss!E40</f>
        <v>1650597.5202268646</v>
      </c>
      <c r="G42" s="45">
        <f>Incurred_loss!F40</f>
        <v>1440314.8495407458</v>
      </c>
      <c r="H42" s="45">
        <f>Incurred_loss!G40</f>
        <v>1190639.1573247546</v>
      </c>
      <c r="I42" s="45">
        <f>Incurred_loss!H40</f>
        <v>1171513.55303038</v>
      </c>
      <c r="J42" s="45">
        <f>Incurred_loss!I40</f>
        <v>1184044.4681460585</v>
      </c>
      <c r="K42" s="45">
        <f>Incurred_loss!J40</f>
        <v>1183751.7831285663</v>
      </c>
      <c r="L42" s="45">
        <f>Incurred_loss!K40</f>
        <v>1183169.1799888653</v>
      </c>
      <c r="M42" s="50">
        <f t="shared" si="5"/>
        <v>1182600.3960092459</v>
      </c>
      <c r="N42" s="49">
        <f t="shared" si="3"/>
        <v>1182600.3960092459</v>
      </c>
      <c r="O42" s="48">
        <f t="shared" si="6"/>
        <v>1183169.1799888653</v>
      </c>
      <c r="P42" s="45" t="s">
        <v>40</v>
      </c>
      <c r="Q42" s="45">
        <f>MIN(Exposure!$C$23,MAX(0,BC_without_index!$O42-Exposure!$E$23))</f>
        <v>0</v>
      </c>
      <c r="R42" s="45">
        <f>MIN(Exposure!$C$24,MAX(0,BC_without_index!$O42-Exposure!$E$24))</f>
        <v>0</v>
      </c>
      <c r="S42" s="1" t="str">
        <f t="shared" si="1"/>
        <v>-</v>
      </c>
      <c r="T42" s="1" t="str">
        <f t="shared" si="2"/>
        <v>-</v>
      </c>
    </row>
    <row r="43" spans="4:20" x14ac:dyDescent="0.3">
      <c r="D43">
        <f>Incurred_loss!$C41</f>
        <v>2018</v>
      </c>
      <c r="E43" s="45">
        <f>Incurred_loss!D41</f>
        <v>1704710.614506776</v>
      </c>
      <c r="F43" s="45">
        <f>Incurred_loss!E41</f>
        <v>3011814.0654977183</v>
      </c>
      <c r="G43" s="45">
        <f>Incurred_loss!F41</f>
        <v>2724278.5339641077</v>
      </c>
      <c r="H43" s="45">
        <f>Incurred_loss!G41</f>
        <v>2583947.6316305008</v>
      </c>
      <c r="I43" s="45">
        <f>Incurred_loss!H41</f>
        <v>2554218.910943266</v>
      </c>
      <c r="J43" s="45">
        <f>Incurred_loss!I41</f>
        <v>2551363.5083802054</v>
      </c>
      <c r="K43" s="45">
        <f>Incurred_loss!J41</f>
        <v>2550994.6501477323</v>
      </c>
      <c r="L43" s="45">
        <f>Incurred_loss!K41</f>
        <v>2550703.2288131113</v>
      </c>
      <c r="M43" s="50">
        <f t="shared" si="5"/>
        <v>2549477.0312769939</v>
      </c>
      <c r="N43" s="49">
        <f t="shared" si="3"/>
        <v>2549477.0312769939</v>
      </c>
      <c r="O43" s="48">
        <f t="shared" si="6"/>
        <v>2550703.2288131113</v>
      </c>
      <c r="P43" s="45" t="s">
        <v>40</v>
      </c>
      <c r="Q43" s="45">
        <f>MIN(Exposure!$C$23,MAX(0,BC_without_index!$O43-Exposure!$E$23))</f>
        <v>0</v>
      </c>
      <c r="R43" s="45">
        <f>MIN(Exposure!$C$24,MAX(0,BC_without_index!$O43-Exposure!$E$24))</f>
        <v>0</v>
      </c>
      <c r="S43" s="1" t="str">
        <f t="shared" si="1"/>
        <v>-</v>
      </c>
      <c r="T43" s="1" t="str">
        <f t="shared" si="2"/>
        <v>-</v>
      </c>
    </row>
    <row r="44" spans="4:20" x14ac:dyDescent="0.3">
      <c r="D44">
        <f>Incurred_loss!$C42</f>
        <v>2019</v>
      </c>
      <c r="E44" s="45">
        <f>Incurred_loss!D42</f>
        <v>408041.99317372765</v>
      </c>
      <c r="F44" s="45">
        <f>Incurred_loss!E42</f>
        <v>1588186.357355413</v>
      </c>
      <c r="G44" s="45">
        <f>Incurred_loss!F42</f>
        <v>1456736.553296004</v>
      </c>
      <c r="H44" s="45">
        <f>Incurred_loss!G42</f>
        <v>1489427.7126148031</v>
      </c>
      <c r="I44" s="45">
        <f>Incurred_loss!H42</f>
        <v>1549746.6347462444</v>
      </c>
      <c r="J44" s="45">
        <f>Incurred_loss!I42</f>
        <v>1555143.3437124339</v>
      </c>
      <c r="K44" s="45">
        <f>Incurred_loss!J42</f>
        <v>1555847.5765866397</v>
      </c>
      <c r="L44" s="50">
        <f>K44*L$120</f>
        <v>1560682.4233353862</v>
      </c>
      <c r="M44" s="50">
        <f t="shared" si="5"/>
        <v>1559932.1577143064</v>
      </c>
      <c r="N44" s="49">
        <f t="shared" si="3"/>
        <v>1559932.1577143064</v>
      </c>
      <c r="O44" s="48">
        <f>$K44</f>
        <v>1555847.5765866397</v>
      </c>
      <c r="P44" s="45">
        <f>Exposure!$C$10</f>
        <v>155266668.42506284</v>
      </c>
      <c r="Q44" s="45">
        <f>MIN(Exposure!$C$23,MAX(0,BC_without_index!$O44-Exposure!$E$23))</f>
        <v>0</v>
      </c>
      <c r="R44" s="45">
        <f>MIN(Exposure!$C$24,MAX(0,BC_without_index!$O44-Exposure!$E$24))</f>
        <v>0</v>
      </c>
      <c r="S44" s="1">
        <f t="shared" si="1"/>
        <v>0</v>
      </c>
      <c r="T44" s="1">
        <f t="shared" si="2"/>
        <v>0</v>
      </c>
    </row>
    <row r="45" spans="4:20" x14ac:dyDescent="0.3">
      <c r="D45">
        <f>Incurred_loss!$C43</f>
        <v>2019</v>
      </c>
      <c r="E45" s="45">
        <f>Incurred_loss!D43</f>
        <v>1652499.1364891753</v>
      </c>
      <c r="F45" s="45">
        <f>Incurred_loss!E43</f>
        <v>1236752.1804481219</v>
      </c>
      <c r="G45" s="45">
        <f>Incurred_loss!F43</f>
        <v>1142688.9778910365</v>
      </c>
      <c r="H45" s="45">
        <f>Incurred_loss!G43</f>
        <v>1222327.2033942656</v>
      </c>
      <c r="I45" s="45">
        <f>Incurred_loss!H43</f>
        <v>1139701.9092389874</v>
      </c>
      <c r="J45" s="45">
        <f>Incurred_loss!I43</f>
        <v>1151265.279626458</v>
      </c>
      <c r="K45" s="45">
        <f>Incurred_loss!J43</f>
        <v>1148552.8216320598</v>
      </c>
      <c r="L45" s="50">
        <f t="shared" ref="L45:N108" si="7">K45*L$120</f>
        <v>1152121.9867347328</v>
      </c>
      <c r="M45" s="50">
        <f t="shared" si="5"/>
        <v>1151568.1280476528</v>
      </c>
      <c r="N45" s="49">
        <f t="shared" si="3"/>
        <v>1151568.1280476528</v>
      </c>
      <c r="O45" s="48">
        <f t="shared" ref="O45:O58" si="8">$K45</f>
        <v>1148552.8216320598</v>
      </c>
      <c r="P45" s="45" t="s">
        <v>40</v>
      </c>
      <c r="Q45" s="45">
        <f>MIN(Exposure!$C$23,MAX(0,BC_without_index!$O45-Exposure!$E$23))</f>
        <v>0</v>
      </c>
      <c r="R45" s="45">
        <f>MIN(Exposure!$C$24,MAX(0,BC_without_index!$O45-Exposure!$E$24))</f>
        <v>0</v>
      </c>
      <c r="S45" s="1" t="str">
        <f t="shared" si="1"/>
        <v>-</v>
      </c>
      <c r="T45" s="1" t="str">
        <f t="shared" si="2"/>
        <v>-</v>
      </c>
    </row>
    <row r="46" spans="4:20" x14ac:dyDescent="0.3">
      <c r="D46">
        <f>Incurred_loss!$C44</f>
        <v>2019</v>
      </c>
      <c r="E46" s="45">
        <f>Incurred_loss!D44</f>
        <v>1285041.3889252101</v>
      </c>
      <c r="F46" s="45">
        <f>Incurred_loss!E44</f>
        <v>1328821.9777898425</v>
      </c>
      <c r="G46" s="45">
        <f>Incurred_loss!F44</f>
        <v>1638893.0344874146</v>
      </c>
      <c r="H46" s="45">
        <f>Incurred_loss!G44</f>
        <v>1510254.4302567507</v>
      </c>
      <c r="I46" s="45">
        <f>Incurred_loss!H44</f>
        <v>1398900.1424032771</v>
      </c>
      <c r="J46" s="45">
        <f>Incurred_loss!I44</f>
        <v>1472244.6074280397</v>
      </c>
      <c r="K46" s="45">
        <f>Incurred_loss!J44</f>
        <v>1455993.6968068832</v>
      </c>
      <c r="L46" s="50">
        <f t="shared" si="7"/>
        <v>1460518.2443892665</v>
      </c>
      <c r="M46" s="50">
        <f t="shared" si="5"/>
        <v>1459816.1306143298</v>
      </c>
      <c r="N46" s="49">
        <f t="shared" si="3"/>
        <v>1459816.1306143298</v>
      </c>
      <c r="O46" s="48">
        <f t="shared" si="8"/>
        <v>1455993.6968068832</v>
      </c>
      <c r="P46" s="45" t="s">
        <v>40</v>
      </c>
      <c r="Q46" s="45">
        <f>MIN(Exposure!$C$23,MAX(0,BC_without_index!$O46-Exposure!$E$23))</f>
        <v>0</v>
      </c>
      <c r="R46" s="45">
        <f>MIN(Exposure!$C$24,MAX(0,BC_without_index!$O46-Exposure!$E$24))</f>
        <v>0</v>
      </c>
      <c r="S46" s="1" t="str">
        <f t="shared" si="1"/>
        <v>-</v>
      </c>
      <c r="T46" s="1" t="str">
        <f t="shared" si="2"/>
        <v>-</v>
      </c>
    </row>
    <row r="47" spans="4:20" x14ac:dyDescent="0.3">
      <c r="D47">
        <f>Incurred_loss!$C45</f>
        <v>2019</v>
      </c>
      <c r="E47" s="45">
        <f>Incurred_loss!D45</f>
        <v>994406.9023398048</v>
      </c>
      <c r="F47" s="45">
        <f>Incurred_loss!E45</f>
        <v>824261.84883396002</v>
      </c>
      <c r="G47" s="45">
        <f>Incurred_loss!F45</f>
        <v>829862.6050941312</v>
      </c>
      <c r="H47" s="45">
        <f>Incurred_loss!G45</f>
        <v>828425.58915310341</v>
      </c>
      <c r="I47" s="45">
        <f>Incurred_loss!H45</f>
        <v>817869.52749129885</v>
      </c>
      <c r="J47" s="45">
        <f>Incurred_loss!I45</f>
        <v>817514.78702961584</v>
      </c>
      <c r="K47" s="45">
        <f>Incurred_loss!J45</f>
        <v>817515.08507595654</v>
      </c>
      <c r="L47" s="50">
        <f t="shared" si="7"/>
        <v>820055.53968771361</v>
      </c>
      <c r="M47" s="50">
        <f t="shared" si="5"/>
        <v>819661.31503982597</v>
      </c>
      <c r="N47" s="49">
        <f t="shared" si="3"/>
        <v>819661.31503982597</v>
      </c>
      <c r="O47" s="48">
        <f t="shared" si="8"/>
        <v>817515.08507595654</v>
      </c>
      <c r="P47" s="45" t="s">
        <v>40</v>
      </c>
      <c r="Q47" s="45">
        <f>MIN(Exposure!$C$23,MAX(0,BC_without_index!$O47-Exposure!$E$23))</f>
        <v>0</v>
      </c>
      <c r="R47" s="45">
        <f>MIN(Exposure!$C$24,MAX(0,BC_without_index!$O47-Exposure!$E$24))</f>
        <v>0</v>
      </c>
      <c r="S47" s="1" t="str">
        <f t="shared" si="1"/>
        <v>-</v>
      </c>
      <c r="T47" s="1" t="str">
        <f t="shared" si="2"/>
        <v>-</v>
      </c>
    </row>
    <row r="48" spans="4:20" x14ac:dyDescent="0.3">
      <c r="D48">
        <f>Incurred_loss!$C46</f>
        <v>2019</v>
      </c>
      <c r="E48" s="45">
        <f>Incurred_loss!D46</f>
        <v>945615.45387006842</v>
      </c>
      <c r="F48" s="45">
        <f>Incurred_loss!E46</f>
        <v>1479502.6089148524</v>
      </c>
      <c r="G48" s="45">
        <f>Incurred_loss!F46</f>
        <v>1831820.2586359889</v>
      </c>
      <c r="H48" s="45">
        <f>Incurred_loss!G46</f>
        <v>1960211.0667637282</v>
      </c>
      <c r="I48" s="45">
        <f>Incurred_loss!H46</f>
        <v>1675730.0769422911</v>
      </c>
      <c r="J48" s="45">
        <f>Incurred_loss!I46</f>
        <v>1580172.3595157652</v>
      </c>
      <c r="K48" s="45">
        <f>Incurred_loss!J46</f>
        <v>1588106.2710675262</v>
      </c>
      <c r="L48" s="50">
        <f t="shared" si="7"/>
        <v>1593041.3627544509</v>
      </c>
      <c r="M48" s="50">
        <f t="shared" si="5"/>
        <v>1592275.5412461401</v>
      </c>
      <c r="N48" s="49">
        <f t="shared" si="3"/>
        <v>1592275.5412461401</v>
      </c>
      <c r="O48" s="48">
        <f t="shared" si="8"/>
        <v>1588106.2710675262</v>
      </c>
      <c r="P48" s="45" t="s">
        <v>40</v>
      </c>
      <c r="Q48" s="45">
        <f>MIN(Exposure!$C$23,MAX(0,BC_without_index!$O48-Exposure!$E$23))</f>
        <v>0</v>
      </c>
      <c r="R48" s="45">
        <f>MIN(Exposure!$C$24,MAX(0,BC_without_index!$O48-Exposure!$E$24))</f>
        <v>0</v>
      </c>
      <c r="S48" s="1" t="str">
        <f t="shared" si="1"/>
        <v>-</v>
      </c>
      <c r="T48" s="1" t="str">
        <f t="shared" si="2"/>
        <v>-</v>
      </c>
    </row>
    <row r="49" spans="4:20" x14ac:dyDescent="0.3">
      <c r="D49">
        <f>Incurred_loss!$C47</f>
        <v>2019</v>
      </c>
      <c r="E49" s="45">
        <f>Incurred_loss!D47</f>
        <v>1111980.6051906398</v>
      </c>
      <c r="F49" s="45">
        <f>Incurred_loss!E47</f>
        <v>821076.98000897618</v>
      </c>
      <c r="G49" s="45">
        <f>Incurred_loss!F47</f>
        <v>971285.33948683902</v>
      </c>
      <c r="H49" s="45">
        <f>Incurred_loss!G47</f>
        <v>1037206.553601859</v>
      </c>
      <c r="I49" s="45">
        <f>Incurred_loss!H47</f>
        <v>1027543.420664398</v>
      </c>
      <c r="J49" s="45">
        <f>Incurred_loss!I47</f>
        <v>968596.52357015759</v>
      </c>
      <c r="K49" s="45">
        <f>Incurred_loss!J47</f>
        <v>972123.41670660709</v>
      </c>
      <c r="L49" s="50">
        <f t="shared" si="7"/>
        <v>975144.32171772374</v>
      </c>
      <c r="M49" s="50">
        <f t="shared" si="5"/>
        <v>974675.54136290145</v>
      </c>
      <c r="N49" s="49">
        <f t="shared" si="3"/>
        <v>974675.54136290145</v>
      </c>
      <c r="O49" s="48">
        <f t="shared" si="8"/>
        <v>972123.41670660709</v>
      </c>
      <c r="P49" s="45" t="s">
        <v>40</v>
      </c>
      <c r="Q49" s="45">
        <f>MIN(Exposure!$C$23,MAX(0,BC_without_index!$O49-Exposure!$E$23))</f>
        <v>0</v>
      </c>
      <c r="R49" s="45">
        <f>MIN(Exposure!$C$24,MAX(0,BC_without_index!$O49-Exposure!$E$24))</f>
        <v>0</v>
      </c>
      <c r="S49" s="1" t="str">
        <f t="shared" si="1"/>
        <v>-</v>
      </c>
      <c r="T49" s="1" t="str">
        <f t="shared" si="2"/>
        <v>-</v>
      </c>
    </row>
    <row r="50" spans="4:20" x14ac:dyDescent="0.3">
      <c r="D50">
        <f>Incurred_loss!$C48</f>
        <v>2019</v>
      </c>
      <c r="E50" s="45">
        <f>Incurred_loss!D48</f>
        <v>3597910.4049940505</v>
      </c>
      <c r="F50" s="45">
        <f>Incurred_loss!E48</f>
        <v>3100925.1593767358</v>
      </c>
      <c r="G50" s="45">
        <f>Incurred_loss!F48</f>
        <v>2794708.5344988615</v>
      </c>
      <c r="H50" s="45">
        <f>Incurred_loss!G48</f>
        <v>2812714.0510855769</v>
      </c>
      <c r="I50" s="45">
        <f>Incurred_loss!H48</f>
        <v>2806108.8820889713</v>
      </c>
      <c r="J50" s="45">
        <f>Incurred_loss!I48</f>
        <v>2803053.4245960908</v>
      </c>
      <c r="K50" s="45">
        <f>Incurred_loss!J48</f>
        <v>2804300.9709628504</v>
      </c>
      <c r="L50" s="50">
        <f t="shared" si="7"/>
        <v>2813015.4270805325</v>
      </c>
      <c r="M50" s="50">
        <f t="shared" si="5"/>
        <v>2811663.1284098038</v>
      </c>
      <c r="N50" s="49">
        <f t="shared" si="3"/>
        <v>2811663.1284098038</v>
      </c>
      <c r="O50" s="48">
        <f t="shared" si="8"/>
        <v>2804300.9709628504</v>
      </c>
      <c r="P50" s="45" t="s">
        <v>40</v>
      </c>
      <c r="Q50" s="45">
        <f>MIN(Exposure!$C$23,MAX(0,BC_without_index!$O50-Exposure!$E$23))</f>
        <v>0</v>
      </c>
      <c r="R50" s="45">
        <f>MIN(Exposure!$C$24,MAX(0,BC_without_index!$O50-Exposure!$E$24))</f>
        <v>0</v>
      </c>
      <c r="S50" s="1" t="str">
        <f t="shared" si="1"/>
        <v>-</v>
      </c>
      <c r="T50" s="1" t="str">
        <f t="shared" si="2"/>
        <v>-</v>
      </c>
    </row>
    <row r="51" spans="4:20" x14ac:dyDescent="0.3">
      <c r="D51">
        <f>Incurred_loss!$C49</f>
        <v>2019</v>
      </c>
      <c r="E51" s="45">
        <f>Incurred_loss!D49</f>
        <v>1257750.1095229778</v>
      </c>
      <c r="F51" s="45">
        <f>Incurred_loss!E49</f>
        <v>807330.07361581153</v>
      </c>
      <c r="G51" s="45">
        <f>Incurred_loss!F49</f>
        <v>788830.37981365493</v>
      </c>
      <c r="H51" s="45">
        <f>Incurred_loss!G49</f>
        <v>686854.4251590746</v>
      </c>
      <c r="I51" s="45">
        <f>Incurred_loss!H49</f>
        <v>754522.60318403679</v>
      </c>
      <c r="J51" s="45">
        <f>Incurred_loss!I49</f>
        <v>754900.50508205569</v>
      </c>
      <c r="K51" s="45">
        <f>Incurred_loss!J49</f>
        <v>757139.98307800677</v>
      </c>
      <c r="L51" s="50">
        <f t="shared" si="7"/>
        <v>759492.82010434428</v>
      </c>
      <c r="M51" s="50">
        <f t="shared" si="5"/>
        <v>759127.70972451218</v>
      </c>
      <c r="N51" s="49">
        <f t="shared" si="3"/>
        <v>759127.70972451218</v>
      </c>
      <c r="O51" s="48">
        <f t="shared" si="8"/>
        <v>757139.98307800677</v>
      </c>
      <c r="P51" s="45" t="s">
        <v>40</v>
      </c>
      <c r="Q51" s="45">
        <f>MIN(Exposure!$C$23,MAX(0,BC_without_index!$O51-Exposure!$E$23))</f>
        <v>0</v>
      </c>
      <c r="R51" s="45">
        <f>MIN(Exposure!$C$24,MAX(0,BC_without_index!$O51-Exposure!$E$24))</f>
        <v>0</v>
      </c>
      <c r="S51" s="1" t="str">
        <f t="shared" si="1"/>
        <v>-</v>
      </c>
      <c r="T51" s="1" t="str">
        <f t="shared" si="2"/>
        <v>-</v>
      </c>
    </row>
    <row r="52" spans="4:20" x14ac:dyDescent="0.3">
      <c r="D52">
        <f>Incurred_loss!$C50</f>
        <v>2019</v>
      </c>
      <c r="E52" s="45">
        <f>Incurred_loss!D50</f>
        <v>1532798.113382925</v>
      </c>
      <c r="F52" s="45">
        <f>Incurred_loss!E50</f>
        <v>1740912.683108561</v>
      </c>
      <c r="G52" s="45">
        <f>Incurred_loss!F50</f>
        <v>1610688.2832486578</v>
      </c>
      <c r="H52" s="45">
        <f>Incurred_loss!G50</f>
        <v>1879010.8874493446</v>
      </c>
      <c r="I52" s="45">
        <f>Incurred_loss!H50</f>
        <v>2000218.0812564746</v>
      </c>
      <c r="J52" s="45">
        <f>Incurred_loss!I50</f>
        <v>1900103.5437933542</v>
      </c>
      <c r="K52" s="45">
        <f>Incurred_loss!J50</f>
        <v>1875245.7216920124</v>
      </c>
      <c r="L52" s="50">
        <f t="shared" si="7"/>
        <v>1881073.1085241558</v>
      </c>
      <c r="M52" s="50">
        <f t="shared" si="5"/>
        <v>1880168.8217436029</v>
      </c>
      <c r="N52" s="49">
        <f t="shared" si="3"/>
        <v>1880168.8217436029</v>
      </c>
      <c r="O52" s="48">
        <f t="shared" si="8"/>
        <v>1875245.7216920124</v>
      </c>
      <c r="P52" s="45" t="s">
        <v>40</v>
      </c>
      <c r="Q52" s="45">
        <f>MIN(Exposure!$C$23,MAX(0,BC_without_index!$O52-Exposure!$E$23))</f>
        <v>0</v>
      </c>
      <c r="R52" s="45">
        <f>MIN(Exposure!$C$24,MAX(0,BC_without_index!$O52-Exposure!$E$24))</f>
        <v>0</v>
      </c>
      <c r="S52" s="1" t="str">
        <f t="shared" si="1"/>
        <v>-</v>
      </c>
      <c r="T52" s="1" t="str">
        <f t="shared" si="2"/>
        <v>-</v>
      </c>
    </row>
    <row r="53" spans="4:20" x14ac:dyDescent="0.3">
      <c r="D53">
        <f>Incurred_loss!$C51</f>
        <v>2019</v>
      </c>
      <c r="E53" s="45">
        <f>Incurred_loss!D51</f>
        <v>3425002.5524377543</v>
      </c>
      <c r="F53" s="45">
        <f>Incurred_loss!E51</f>
        <v>2529601.1501873154</v>
      </c>
      <c r="G53" s="45">
        <f>Incurred_loss!F51</f>
        <v>2656572.7378219063</v>
      </c>
      <c r="H53" s="45">
        <f>Incurred_loss!G51</f>
        <v>2660242.871970538</v>
      </c>
      <c r="I53" s="45">
        <f>Incurred_loss!H51</f>
        <v>2645163.3569560545</v>
      </c>
      <c r="J53" s="45">
        <f>Incurred_loss!I51</f>
        <v>2648190.1822656835</v>
      </c>
      <c r="K53" s="45">
        <f>Incurred_loss!J51</f>
        <v>2650669.5231791339</v>
      </c>
      <c r="L53" s="50">
        <f t="shared" si="7"/>
        <v>2658906.5645956588</v>
      </c>
      <c r="M53" s="50">
        <f t="shared" si="5"/>
        <v>2657628.350555921</v>
      </c>
      <c r="N53" s="49">
        <f t="shared" si="3"/>
        <v>2657628.350555921</v>
      </c>
      <c r="O53" s="48">
        <f t="shared" si="8"/>
        <v>2650669.5231791339</v>
      </c>
      <c r="P53" s="45" t="s">
        <v>40</v>
      </c>
      <c r="Q53" s="45">
        <f>MIN(Exposure!$C$23,MAX(0,BC_without_index!$O53-Exposure!$E$23))</f>
        <v>0</v>
      </c>
      <c r="R53" s="45">
        <f>MIN(Exposure!$C$24,MAX(0,BC_without_index!$O53-Exposure!$E$24))</f>
        <v>0</v>
      </c>
      <c r="S53" s="1" t="str">
        <f t="shared" si="1"/>
        <v>-</v>
      </c>
      <c r="T53" s="1" t="str">
        <f t="shared" si="2"/>
        <v>-</v>
      </c>
    </row>
    <row r="54" spans="4:20" x14ac:dyDescent="0.3">
      <c r="D54">
        <f>Incurred_loss!$C52</f>
        <v>2019</v>
      </c>
      <c r="E54" s="45">
        <f>Incurred_loss!D52</f>
        <v>1155533.1006691353</v>
      </c>
      <c r="F54" s="45">
        <f>Incurred_loss!E52</f>
        <v>1605203.3819605203</v>
      </c>
      <c r="G54" s="45">
        <f>Incurred_loss!F52</f>
        <v>1508708.3657086017</v>
      </c>
      <c r="H54" s="45">
        <f>Incurred_loss!G52</f>
        <v>1521601.498580521</v>
      </c>
      <c r="I54" s="45">
        <f>Incurred_loss!H52</f>
        <v>1480992.3568990931</v>
      </c>
      <c r="J54" s="45">
        <f>Incurred_loss!I52</f>
        <v>1478579.6844747248</v>
      </c>
      <c r="K54" s="45">
        <f>Incurred_loss!J52</f>
        <v>1478919.8195325749</v>
      </c>
      <c r="L54" s="50">
        <f t="shared" si="7"/>
        <v>1483515.6107840615</v>
      </c>
      <c r="M54" s="50">
        <f t="shared" si="5"/>
        <v>1482802.4415034542</v>
      </c>
      <c r="N54" s="49">
        <f t="shared" si="3"/>
        <v>1482802.4415034542</v>
      </c>
      <c r="O54" s="48">
        <f t="shared" si="8"/>
        <v>1478919.8195325749</v>
      </c>
      <c r="P54" s="45" t="s">
        <v>40</v>
      </c>
      <c r="Q54" s="45">
        <f>MIN(Exposure!$C$23,MAX(0,BC_without_index!$O54-Exposure!$E$23))</f>
        <v>0</v>
      </c>
      <c r="R54" s="45">
        <f>MIN(Exposure!$C$24,MAX(0,BC_without_index!$O54-Exposure!$E$24))</f>
        <v>0</v>
      </c>
      <c r="S54" s="1" t="str">
        <f t="shared" si="1"/>
        <v>-</v>
      </c>
      <c r="T54" s="1" t="str">
        <f t="shared" si="2"/>
        <v>-</v>
      </c>
    </row>
    <row r="55" spans="4:20" x14ac:dyDescent="0.3">
      <c r="D55">
        <f>Incurred_loss!$C53</f>
        <v>2019</v>
      </c>
      <c r="E55" s="45">
        <f>Incurred_loss!D53</f>
        <v>690924.32027638832</v>
      </c>
      <c r="F55" s="45">
        <f>Incurred_loss!E53</f>
        <v>858397.13713379425</v>
      </c>
      <c r="G55" s="45">
        <f>Incurred_loss!F53</f>
        <v>776652.42509055533</v>
      </c>
      <c r="H55" s="45">
        <f>Incurred_loss!G53</f>
        <v>739044.2708470748</v>
      </c>
      <c r="I55" s="45">
        <f>Incurred_loss!H53</f>
        <v>741862.52788079157</v>
      </c>
      <c r="J55" s="45">
        <f>Incurred_loss!I53</f>
        <v>736283.06911290251</v>
      </c>
      <c r="K55" s="45">
        <f>Incurred_loss!J53</f>
        <v>736373.29294757452</v>
      </c>
      <c r="L55" s="50">
        <f t="shared" si="7"/>
        <v>738661.59681155719</v>
      </c>
      <c r="M55" s="50">
        <f t="shared" si="5"/>
        <v>738306.50060914387</v>
      </c>
      <c r="N55" s="49">
        <f t="shared" si="3"/>
        <v>738306.50060914387</v>
      </c>
      <c r="O55" s="48">
        <f t="shared" si="8"/>
        <v>736373.29294757452</v>
      </c>
      <c r="P55" s="45" t="s">
        <v>40</v>
      </c>
      <c r="Q55" s="45">
        <f>MIN(Exposure!$C$23,MAX(0,BC_without_index!$O55-Exposure!$E$23))</f>
        <v>0</v>
      </c>
      <c r="R55" s="45">
        <f>MIN(Exposure!$C$24,MAX(0,BC_without_index!$O55-Exposure!$E$24))</f>
        <v>0</v>
      </c>
      <c r="S55" s="1" t="str">
        <f t="shared" si="1"/>
        <v>-</v>
      </c>
      <c r="T55" s="1" t="str">
        <f t="shared" si="2"/>
        <v>-</v>
      </c>
    </row>
    <row r="56" spans="4:20" x14ac:dyDescent="0.3">
      <c r="D56">
        <f>Incurred_loss!$C54</f>
        <v>2019</v>
      </c>
      <c r="E56" s="45">
        <f>Incurred_loss!D54</f>
        <v>2845697.8555235132</v>
      </c>
      <c r="F56" s="45">
        <f>Incurred_loss!E54</f>
        <v>3621821.3358351029</v>
      </c>
      <c r="G56" s="45">
        <f>Incurred_loss!F54</f>
        <v>3783657.2237921371</v>
      </c>
      <c r="H56" s="45">
        <f>Incurred_loss!G54</f>
        <v>3613904.3980318145</v>
      </c>
      <c r="I56" s="45">
        <f>Incurred_loss!H54</f>
        <v>3611442.9729793621</v>
      </c>
      <c r="J56" s="45">
        <f>Incurred_loss!I54</f>
        <v>3678069.5700907861</v>
      </c>
      <c r="K56" s="45">
        <f>Incurred_loss!J54</f>
        <v>3677389.3775701257</v>
      </c>
      <c r="L56" s="50">
        <f t="shared" si="7"/>
        <v>3688816.9841966219</v>
      </c>
      <c r="M56" s="50">
        <f t="shared" si="5"/>
        <v>3687043.6621393492</v>
      </c>
      <c r="N56" s="49">
        <f t="shared" si="3"/>
        <v>3687043.6621393492</v>
      </c>
      <c r="O56" s="48">
        <f t="shared" si="8"/>
        <v>3677389.3775701257</v>
      </c>
      <c r="P56" s="45" t="s">
        <v>40</v>
      </c>
      <c r="Q56" s="45">
        <f>MIN(Exposure!$C$23,MAX(0,BC_without_index!$O56-Exposure!$E$23))</f>
        <v>0</v>
      </c>
      <c r="R56" s="45">
        <f>MIN(Exposure!$C$24,MAX(0,BC_without_index!$O56-Exposure!$E$24))</f>
        <v>0</v>
      </c>
      <c r="S56" s="1" t="str">
        <f t="shared" si="1"/>
        <v>-</v>
      </c>
      <c r="T56" s="1" t="str">
        <f t="shared" si="2"/>
        <v>-</v>
      </c>
    </row>
    <row r="57" spans="4:20" x14ac:dyDescent="0.3">
      <c r="D57">
        <f>Incurred_loss!$C55</f>
        <v>2019</v>
      </c>
      <c r="E57" s="45">
        <f>Incurred_loss!D55</f>
        <v>3688051.1987880091</v>
      </c>
      <c r="F57" s="45">
        <f>Incurred_loss!E55</f>
        <v>3539977.5028703571</v>
      </c>
      <c r="G57" s="45">
        <f>Incurred_loss!F55</f>
        <v>2856643.6440371731</v>
      </c>
      <c r="H57" s="45">
        <f>Incurred_loss!G55</f>
        <v>3050953.1578440331</v>
      </c>
      <c r="I57" s="45">
        <f>Incurred_loss!H55</f>
        <v>3120625.2458159961</v>
      </c>
      <c r="J57" s="45">
        <f>Incurred_loss!I55</f>
        <v>3045344.6592711471</v>
      </c>
      <c r="K57" s="45">
        <f>Incurred_loss!J55</f>
        <v>3057444.1806962509</v>
      </c>
      <c r="L57" s="50">
        <f t="shared" si="7"/>
        <v>3066945.2875392125</v>
      </c>
      <c r="M57" s="50">
        <f t="shared" si="5"/>
        <v>3065470.9173684665</v>
      </c>
      <c r="N57" s="49">
        <f t="shared" si="3"/>
        <v>3065470.9173684665</v>
      </c>
      <c r="O57" s="48">
        <f t="shared" si="8"/>
        <v>3057444.1806962509</v>
      </c>
      <c r="P57" s="45" t="s">
        <v>40</v>
      </c>
      <c r="Q57" s="45">
        <f>MIN(Exposure!$C$23,MAX(0,BC_without_index!$O57-Exposure!$E$23))</f>
        <v>0</v>
      </c>
      <c r="R57" s="45">
        <f>MIN(Exposure!$C$24,MAX(0,BC_without_index!$O57-Exposure!$E$24))</f>
        <v>0</v>
      </c>
      <c r="S57" s="1" t="str">
        <f t="shared" si="1"/>
        <v>-</v>
      </c>
      <c r="T57" s="1" t="str">
        <f t="shared" si="2"/>
        <v>-</v>
      </c>
    </row>
    <row r="58" spans="4:20" x14ac:dyDescent="0.3">
      <c r="D58">
        <f>Incurred_loss!$C56</f>
        <v>2019</v>
      </c>
      <c r="E58" s="45">
        <f>Incurred_loss!D56</f>
        <v>824016.22974762693</v>
      </c>
      <c r="F58" s="45">
        <f>Incurred_loss!E56</f>
        <v>697576.91850971361</v>
      </c>
      <c r="G58" s="45">
        <f>Incurred_loss!F56</f>
        <v>596113.41550049884</v>
      </c>
      <c r="H58" s="45">
        <f>Incurred_loss!G56</f>
        <v>674054.12498541817</v>
      </c>
      <c r="I58" s="45">
        <f>Incurred_loss!H56</f>
        <v>648356.10161503428</v>
      </c>
      <c r="J58" s="45">
        <f>Incurred_loss!I56</f>
        <v>622614.51121059596</v>
      </c>
      <c r="K58" s="45">
        <f>Incurred_loss!J56</f>
        <v>655436.82988107926</v>
      </c>
      <c r="L58" s="50">
        <f t="shared" si="7"/>
        <v>657473.62106399925</v>
      </c>
      <c r="M58" s="50">
        <f t="shared" si="5"/>
        <v>657157.55429264612</v>
      </c>
      <c r="N58" s="49">
        <f t="shared" si="3"/>
        <v>657157.55429264612</v>
      </c>
      <c r="O58" s="48">
        <f t="shared" si="8"/>
        <v>655436.82988107926</v>
      </c>
      <c r="P58" s="45" t="s">
        <v>40</v>
      </c>
      <c r="Q58" s="45">
        <f>MIN(Exposure!$C$23,MAX(0,BC_without_index!$O58-Exposure!$E$23))</f>
        <v>0</v>
      </c>
      <c r="R58" s="45">
        <f>MIN(Exposure!$C$24,MAX(0,BC_without_index!$O58-Exposure!$E$24))</f>
        <v>0</v>
      </c>
      <c r="S58" s="1" t="str">
        <f t="shared" si="1"/>
        <v>-</v>
      </c>
      <c r="T58" s="1" t="str">
        <f t="shared" si="2"/>
        <v>-</v>
      </c>
    </row>
    <row r="59" spans="4:20" x14ac:dyDescent="0.3">
      <c r="D59">
        <f>Incurred_loss!$C57</f>
        <v>2020</v>
      </c>
      <c r="E59" s="45">
        <f>Incurred_loss!D57</f>
        <v>551210.7088636437</v>
      </c>
      <c r="F59" s="45">
        <f>Incurred_loss!E57</f>
        <v>899932.63096912182</v>
      </c>
      <c r="G59" s="45">
        <f>Incurred_loss!F57</f>
        <v>1124490.2159093048</v>
      </c>
      <c r="H59" s="45">
        <f>Incurred_loss!G57</f>
        <v>1054925.3953644473</v>
      </c>
      <c r="I59" s="45">
        <f>Incurred_loss!H57</f>
        <v>1057958.4715732073</v>
      </c>
      <c r="J59" s="45">
        <f>Incurred_loss!I57</f>
        <v>1056896.9906147688</v>
      </c>
      <c r="K59" s="50">
        <f>J59*K$120</f>
        <v>1055879.9965534629</v>
      </c>
      <c r="L59" s="50">
        <f t="shared" si="7"/>
        <v>1059161.1778499</v>
      </c>
      <c r="M59" s="50">
        <f t="shared" si="5"/>
        <v>1058652.0081385984</v>
      </c>
      <c r="N59" s="49">
        <f t="shared" si="3"/>
        <v>1058652.0081385984</v>
      </c>
      <c r="O59" s="48">
        <f>$J59</f>
        <v>1056896.9906147688</v>
      </c>
      <c r="P59" s="45">
        <f>Exposure!$C$11</f>
        <v>163123161.84737101</v>
      </c>
      <c r="Q59" s="45">
        <f>MIN(Exposure!$C$23,MAX(0,BC_without_index!$O59-Exposure!$E$23))</f>
        <v>0</v>
      </c>
      <c r="R59" s="45">
        <f>MIN(Exposure!$C$24,MAX(0,BC_without_index!$O59-Exposure!$E$24))</f>
        <v>0</v>
      </c>
      <c r="S59" s="1">
        <f t="shared" si="1"/>
        <v>0</v>
      </c>
      <c r="T59" s="1">
        <f t="shared" si="2"/>
        <v>0</v>
      </c>
    </row>
    <row r="60" spans="4:20" x14ac:dyDescent="0.3">
      <c r="D60">
        <f>Incurred_loss!$C58</f>
        <v>2020</v>
      </c>
      <c r="E60" s="45">
        <f>Incurred_loss!D58</f>
        <v>1961722.6654563558</v>
      </c>
      <c r="F60" s="45">
        <f>Incurred_loss!E58</f>
        <v>2614474.8868686687</v>
      </c>
      <c r="G60" s="45">
        <f>Incurred_loss!F58</f>
        <v>2737557.8870152817</v>
      </c>
      <c r="H60" s="45">
        <f>Incurred_loss!G58</f>
        <v>2586540.8121134792</v>
      </c>
      <c r="I60" s="45">
        <f>Incurred_loss!H58</f>
        <v>2697741.5762774353</v>
      </c>
      <c r="J60" s="45">
        <f>Incurred_loss!I58</f>
        <v>2603250.2026867173</v>
      </c>
      <c r="K60" s="50">
        <f t="shared" ref="K60:N118" si="9">J60*K$120</f>
        <v>2600745.2376619931</v>
      </c>
      <c r="L60" s="50">
        <f t="shared" si="7"/>
        <v>2608827.1377438856</v>
      </c>
      <c r="M60" s="50">
        <f t="shared" si="5"/>
        <v>2607572.9983472195</v>
      </c>
      <c r="N60" s="49">
        <f t="shared" si="3"/>
        <v>2607572.9983472195</v>
      </c>
      <c r="O60" s="48">
        <f t="shared" ref="O60:O64" si="10">$J60</f>
        <v>2603250.2026867173</v>
      </c>
      <c r="P60" s="45" t="s">
        <v>40</v>
      </c>
      <c r="Q60" s="45">
        <f>MIN(Exposure!$C$23,MAX(0,BC_without_index!$O60-Exposure!$E$23))</f>
        <v>0</v>
      </c>
      <c r="R60" s="45">
        <f>MIN(Exposure!$C$24,MAX(0,BC_without_index!$O60-Exposure!$E$24))</f>
        <v>0</v>
      </c>
      <c r="S60" s="1" t="str">
        <f t="shared" si="1"/>
        <v>-</v>
      </c>
      <c r="T60" s="1" t="str">
        <f t="shared" si="2"/>
        <v>-</v>
      </c>
    </row>
    <row r="61" spans="4:20" x14ac:dyDescent="0.3">
      <c r="D61">
        <f>Incurred_loss!$C59</f>
        <v>2020</v>
      </c>
      <c r="E61" s="45">
        <f>Incurred_loss!D59</f>
        <v>3488442.3902677288</v>
      </c>
      <c r="F61" s="45">
        <f>Incurred_loss!E59</f>
        <v>2268658.9057783517</v>
      </c>
      <c r="G61" s="45">
        <f>Incurred_loss!F59</f>
        <v>2577200.6674387837</v>
      </c>
      <c r="H61" s="45">
        <f>Incurred_loss!G59</f>
        <v>2537895.4424698623</v>
      </c>
      <c r="I61" s="45">
        <f>Incurred_loss!H59</f>
        <v>2499851.3315131692</v>
      </c>
      <c r="J61" s="45">
        <f>Incurred_loss!I59</f>
        <v>2501944.4485023785</v>
      </c>
      <c r="K61" s="50">
        <f t="shared" si="9"/>
        <v>2499536.9644538485</v>
      </c>
      <c r="L61" s="50">
        <f t="shared" si="7"/>
        <v>2507304.356547921</v>
      </c>
      <c r="M61" s="50">
        <f t="shared" si="5"/>
        <v>2506099.022117178</v>
      </c>
      <c r="N61" s="49">
        <f t="shared" si="3"/>
        <v>2506099.022117178</v>
      </c>
      <c r="O61" s="48">
        <f t="shared" si="10"/>
        <v>2501944.4485023785</v>
      </c>
      <c r="P61" s="45" t="s">
        <v>40</v>
      </c>
      <c r="Q61" s="45">
        <f>MIN(Exposure!$C$23,MAX(0,BC_without_index!$O61-Exposure!$E$23))</f>
        <v>0</v>
      </c>
      <c r="R61" s="45">
        <f>MIN(Exposure!$C$24,MAX(0,BC_without_index!$O61-Exposure!$E$24))</f>
        <v>0</v>
      </c>
      <c r="S61" s="1" t="str">
        <f t="shared" si="1"/>
        <v>-</v>
      </c>
      <c r="T61" s="1" t="str">
        <f t="shared" si="2"/>
        <v>-</v>
      </c>
    </row>
    <row r="62" spans="4:20" x14ac:dyDescent="0.3">
      <c r="D62">
        <f>Incurred_loss!$C60</f>
        <v>2020</v>
      </c>
      <c r="E62" s="45">
        <f>Incurred_loss!D60</f>
        <v>746833.07152368187</v>
      </c>
      <c r="F62" s="45">
        <f>Incurred_loss!E60</f>
        <v>1139051.4613456603</v>
      </c>
      <c r="G62" s="45">
        <f>Incurred_loss!F60</f>
        <v>1028304.3127314106</v>
      </c>
      <c r="H62" s="45">
        <f>Incurred_loss!G60</f>
        <v>1041483.3621531129</v>
      </c>
      <c r="I62" s="45">
        <f>Incurred_loss!H60</f>
        <v>1061895.5668345734</v>
      </c>
      <c r="J62" s="45">
        <f>Incurred_loss!I60</f>
        <v>1064519.1737314973</v>
      </c>
      <c r="K62" s="50">
        <f t="shared" si="9"/>
        <v>1063494.8452610362</v>
      </c>
      <c r="L62" s="50">
        <f t="shared" si="7"/>
        <v>1066799.6899465288</v>
      </c>
      <c r="M62" s="50">
        <f t="shared" si="5"/>
        <v>1066286.8481793774</v>
      </c>
      <c r="N62" s="49">
        <f t="shared" si="3"/>
        <v>1066286.8481793774</v>
      </c>
      <c r="O62" s="48">
        <f t="shared" si="10"/>
        <v>1064519.1737314973</v>
      </c>
      <c r="P62" s="45" t="s">
        <v>40</v>
      </c>
      <c r="Q62" s="45">
        <f>MIN(Exposure!$C$23,MAX(0,BC_without_index!$O62-Exposure!$E$23))</f>
        <v>0</v>
      </c>
      <c r="R62" s="45">
        <f>MIN(Exposure!$C$24,MAX(0,BC_without_index!$O62-Exposure!$E$24))</f>
        <v>0</v>
      </c>
      <c r="S62" s="1" t="str">
        <f t="shared" si="1"/>
        <v>-</v>
      </c>
      <c r="T62" s="1" t="str">
        <f t="shared" si="2"/>
        <v>-</v>
      </c>
    </row>
    <row r="63" spans="4:20" x14ac:dyDescent="0.3">
      <c r="D63">
        <f>Incurred_loss!$C61</f>
        <v>2020</v>
      </c>
      <c r="E63" s="45">
        <f>Incurred_loss!D61</f>
        <v>1101846.538975145</v>
      </c>
      <c r="F63" s="45">
        <f>Incurred_loss!E61</f>
        <v>1288236.662212769</v>
      </c>
      <c r="G63" s="45">
        <f>Incurred_loss!F61</f>
        <v>961582.69381638512</v>
      </c>
      <c r="H63" s="45">
        <f>Incurred_loss!G61</f>
        <v>1021530.070111144</v>
      </c>
      <c r="I63" s="45">
        <f>Incurred_loss!H61</f>
        <v>1031916.6851583277</v>
      </c>
      <c r="J63" s="45">
        <f>Incurred_loss!I61</f>
        <v>1035762.9415702486</v>
      </c>
      <c r="K63" s="50">
        <f t="shared" si="9"/>
        <v>1034766.283646296</v>
      </c>
      <c r="L63" s="50">
        <f t="shared" si="7"/>
        <v>1037981.8533958569</v>
      </c>
      <c r="M63" s="50">
        <f t="shared" si="5"/>
        <v>1037482.8652043686</v>
      </c>
      <c r="N63" s="49">
        <f t="shared" si="3"/>
        <v>1037482.8652043686</v>
      </c>
      <c r="O63" s="48">
        <f t="shared" si="10"/>
        <v>1035762.9415702486</v>
      </c>
      <c r="P63" s="45" t="s">
        <v>40</v>
      </c>
      <c r="Q63" s="45">
        <f>MIN(Exposure!$C$23,MAX(0,BC_without_index!$O63-Exposure!$E$23))</f>
        <v>0</v>
      </c>
      <c r="R63" s="45">
        <f>MIN(Exposure!$C$24,MAX(0,BC_without_index!$O63-Exposure!$E$24))</f>
        <v>0</v>
      </c>
      <c r="S63" s="1" t="str">
        <f t="shared" si="1"/>
        <v>-</v>
      </c>
      <c r="T63" s="1" t="str">
        <f t="shared" si="2"/>
        <v>-</v>
      </c>
    </row>
    <row r="64" spans="4:20" x14ac:dyDescent="0.3">
      <c r="D64">
        <f>Incurred_loss!$C62</f>
        <v>2020</v>
      </c>
      <c r="E64" s="45">
        <f>Incurred_loss!D62</f>
        <v>134905.21796095872</v>
      </c>
      <c r="F64" s="45">
        <f>Incurred_loss!E62</f>
        <v>385409.65024221211</v>
      </c>
      <c r="G64" s="45">
        <f>Incurred_loss!F62</f>
        <v>495376.84332107153</v>
      </c>
      <c r="H64" s="45">
        <f>Incurred_loss!G62</f>
        <v>541314.9232642561</v>
      </c>
      <c r="I64" s="45">
        <f>Incurred_loss!H62</f>
        <v>506503.55912146054</v>
      </c>
      <c r="J64" s="45">
        <f>Incurred_loss!I62</f>
        <v>520888.40601686464</v>
      </c>
      <c r="K64" s="50">
        <f t="shared" si="9"/>
        <v>520387.18364588014</v>
      </c>
      <c r="L64" s="50">
        <f t="shared" si="7"/>
        <v>522004.30367794615</v>
      </c>
      <c r="M64" s="50">
        <f t="shared" si="5"/>
        <v>521753.36096388119</v>
      </c>
      <c r="N64" s="49">
        <f t="shared" si="3"/>
        <v>521753.36096388119</v>
      </c>
      <c r="O64" s="48">
        <f t="shared" si="10"/>
        <v>520888.40601686464</v>
      </c>
      <c r="P64" s="45" t="s">
        <v>40</v>
      </c>
      <c r="Q64" s="45">
        <f>MIN(Exposure!$C$23,MAX(0,BC_without_index!$O64-Exposure!$E$23))</f>
        <v>0</v>
      </c>
      <c r="R64" s="45">
        <f>MIN(Exposure!$C$24,MAX(0,BC_without_index!$O64-Exposure!$E$24))</f>
        <v>0</v>
      </c>
      <c r="S64" s="1" t="str">
        <f t="shared" si="1"/>
        <v>-</v>
      </c>
      <c r="T64" s="1" t="str">
        <f t="shared" si="2"/>
        <v>-</v>
      </c>
    </row>
    <row r="65" spans="4:20" x14ac:dyDescent="0.3">
      <c r="D65">
        <f>Incurred_loss!$C63</f>
        <v>2021</v>
      </c>
      <c r="E65" s="45">
        <f>Incurred_loss!D63</f>
        <v>4049430.587269586</v>
      </c>
      <c r="F65" s="45">
        <f>Incurred_loss!E63</f>
        <v>2321676.476495177</v>
      </c>
      <c r="G65" s="45">
        <f>Incurred_loss!F63</f>
        <v>2695238.322617216</v>
      </c>
      <c r="H65" s="45">
        <f>Incurred_loss!G63</f>
        <v>2384684.1699133404</v>
      </c>
      <c r="I65" s="45">
        <f>Incurred_loss!H63</f>
        <v>2375146.7957573929</v>
      </c>
      <c r="J65" s="50">
        <f>I65*J$120</f>
        <v>2373375.102790806</v>
      </c>
      <c r="K65" s="50">
        <f t="shared" si="9"/>
        <v>2371091.3339786856</v>
      </c>
      <c r="L65" s="50">
        <f t="shared" si="7"/>
        <v>2378459.5771148275</v>
      </c>
      <c r="M65" s="50">
        <f t="shared" si="5"/>
        <v>2377316.1821325072</v>
      </c>
      <c r="N65" s="49">
        <f t="shared" si="3"/>
        <v>2377316.1821325072</v>
      </c>
      <c r="O65" s="48">
        <f>$I65</f>
        <v>2375146.7957573929</v>
      </c>
      <c r="P65" s="45">
        <f>Exposure!$C$12</f>
        <v>168049481.33516163</v>
      </c>
      <c r="Q65" s="45">
        <f>MIN(Exposure!$C$23,MAX(0,BC_without_index!$O65-Exposure!$E$23))</f>
        <v>0</v>
      </c>
      <c r="R65" s="45">
        <f>MIN(Exposure!$C$24,MAX(0,BC_without_index!$O65-Exposure!$E$24))</f>
        <v>0</v>
      </c>
      <c r="S65" s="1">
        <f t="shared" si="1"/>
        <v>0</v>
      </c>
      <c r="T65" s="1">
        <f t="shared" si="2"/>
        <v>0</v>
      </c>
    </row>
    <row r="66" spans="4:20" x14ac:dyDescent="0.3">
      <c r="D66">
        <f>Incurred_loss!$C64</f>
        <v>2021</v>
      </c>
      <c r="E66" s="45">
        <f>Incurred_loss!D64</f>
        <v>2078227.7279777643</v>
      </c>
      <c r="F66" s="45">
        <f>Incurred_loss!E64</f>
        <v>1538978.5850229426</v>
      </c>
      <c r="G66" s="45">
        <f>Incurred_loss!F64</f>
        <v>2124881.3300075876</v>
      </c>
      <c r="H66" s="45">
        <f>Incurred_loss!G64</f>
        <v>2047544.3958356227</v>
      </c>
      <c r="I66" s="45">
        <f>Incurred_loss!H64</f>
        <v>2054819.3864969071</v>
      </c>
      <c r="J66" s="50">
        <f t="shared" ref="J66:J118" si="11">I66*J$120</f>
        <v>2053286.6353165733</v>
      </c>
      <c r="K66" s="50">
        <f t="shared" si="9"/>
        <v>2051310.8700974281</v>
      </c>
      <c r="L66" s="50">
        <f t="shared" si="7"/>
        <v>2057685.3850821911</v>
      </c>
      <c r="M66" s="50">
        <f t="shared" si="5"/>
        <v>2056696.195622284</v>
      </c>
      <c r="N66" s="49">
        <f t="shared" si="3"/>
        <v>2056696.195622284</v>
      </c>
      <c r="O66" s="48">
        <f t="shared" ref="O66:O74" si="12">$I66</f>
        <v>2054819.3864969071</v>
      </c>
      <c r="P66" s="45" t="s">
        <v>40</v>
      </c>
      <c r="Q66" s="45">
        <f>MIN(Exposure!$C$23,MAX(0,BC_without_index!$O66-Exposure!$E$23))</f>
        <v>0</v>
      </c>
      <c r="R66" s="45">
        <f>MIN(Exposure!$C$24,MAX(0,BC_without_index!$O66-Exposure!$E$24))</f>
        <v>0</v>
      </c>
      <c r="S66" s="1" t="str">
        <f t="shared" si="1"/>
        <v>-</v>
      </c>
      <c r="T66" s="1" t="str">
        <f t="shared" si="2"/>
        <v>-</v>
      </c>
    </row>
    <row r="67" spans="4:20" x14ac:dyDescent="0.3">
      <c r="D67">
        <f>Incurred_loss!$C65</f>
        <v>2021</v>
      </c>
      <c r="E67" s="45">
        <f>Incurred_loss!D65</f>
        <v>1742166.4281426794</v>
      </c>
      <c r="F67" s="45">
        <f>Incurred_loss!E65</f>
        <v>1680722.1242908919</v>
      </c>
      <c r="G67" s="45">
        <f>Incurred_loss!F65</f>
        <v>1381245.3987945393</v>
      </c>
      <c r="H67" s="45">
        <f>Incurred_loss!G65</f>
        <v>1386156.289203526</v>
      </c>
      <c r="I67" s="45">
        <f>Incurred_loss!H65</f>
        <v>1420025.9756988357</v>
      </c>
      <c r="J67" s="50">
        <f t="shared" si="11"/>
        <v>1418966.7358918434</v>
      </c>
      <c r="K67" s="50">
        <f t="shared" si="9"/>
        <v>1417601.3419543006</v>
      </c>
      <c r="L67" s="50">
        <f t="shared" si="7"/>
        <v>1422006.5840501897</v>
      </c>
      <c r="M67" s="50">
        <f t="shared" si="5"/>
        <v>1421322.9839551223</v>
      </c>
      <c r="N67" s="49">
        <f t="shared" si="3"/>
        <v>1421322.9839551223</v>
      </c>
      <c r="O67" s="48">
        <f t="shared" si="12"/>
        <v>1420025.9756988357</v>
      </c>
      <c r="P67" s="45" t="s">
        <v>40</v>
      </c>
      <c r="Q67" s="45">
        <f>MIN(Exposure!$C$23,MAX(0,BC_without_index!$O67-Exposure!$E$23))</f>
        <v>0</v>
      </c>
      <c r="R67" s="45">
        <f>MIN(Exposure!$C$24,MAX(0,BC_without_index!$O67-Exposure!$E$24))</f>
        <v>0</v>
      </c>
      <c r="S67" s="1" t="str">
        <f t="shared" si="1"/>
        <v>-</v>
      </c>
      <c r="T67" s="1" t="str">
        <f t="shared" si="2"/>
        <v>-</v>
      </c>
    </row>
    <row r="68" spans="4:20" x14ac:dyDescent="0.3">
      <c r="D68">
        <f>Incurred_loss!$C66</f>
        <v>2021</v>
      </c>
      <c r="E68" s="45">
        <f>Incurred_loss!D66</f>
        <v>465013.06121434952</v>
      </c>
      <c r="F68" s="45">
        <f>Incurred_loss!E66</f>
        <v>530605.44797618769</v>
      </c>
      <c r="G68" s="45">
        <f>Incurred_loss!F66</f>
        <v>643106.39053448848</v>
      </c>
      <c r="H68" s="45">
        <f>Incurred_loss!G66</f>
        <v>571438.3977736946</v>
      </c>
      <c r="I68" s="45">
        <f>Incurred_loss!H66</f>
        <v>573877.98351823015</v>
      </c>
      <c r="J68" s="50">
        <f t="shared" si="11"/>
        <v>573449.91078230727</v>
      </c>
      <c r="K68" s="50">
        <f t="shared" si="9"/>
        <v>572898.11135539925</v>
      </c>
      <c r="L68" s="50">
        <f t="shared" si="7"/>
        <v>574678.41079650924</v>
      </c>
      <c r="M68" s="50">
        <f t="shared" si="5"/>
        <v>574402.14610078977</v>
      </c>
      <c r="N68" s="49">
        <f t="shared" si="3"/>
        <v>574402.14610078977</v>
      </c>
      <c r="O68" s="48">
        <f t="shared" si="12"/>
        <v>573877.98351823015</v>
      </c>
      <c r="P68" s="45" t="s">
        <v>40</v>
      </c>
      <c r="Q68" s="45">
        <f>MIN(Exposure!$C$23,MAX(0,BC_without_index!$O68-Exposure!$E$23))</f>
        <v>0</v>
      </c>
      <c r="R68" s="45">
        <f>MIN(Exposure!$C$24,MAX(0,BC_without_index!$O68-Exposure!$E$24))</f>
        <v>0</v>
      </c>
      <c r="S68" s="1" t="str">
        <f t="shared" si="1"/>
        <v>-</v>
      </c>
      <c r="T68" s="1" t="str">
        <f t="shared" si="2"/>
        <v>-</v>
      </c>
    </row>
    <row r="69" spans="4:20" x14ac:dyDescent="0.3">
      <c r="D69">
        <f>Incurred_loss!$C67</f>
        <v>2021</v>
      </c>
      <c r="E69" s="45">
        <f>Incurred_loss!D67</f>
        <v>1697224.7549147131</v>
      </c>
      <c r="F69" s="45">
        <f>Incurred_loss!E67</f>
        <v>2476100.6895678742</v>
      </c>
      <c r="G69" s="45">
        <f>Incurred_loss!F67</f>
        <v>3017058.0726536247</v>
      </c>
      <c r="H69" s="45">
        <f>Incurred_loss!G67</f>
        <v>2911890.6683667284</v>
      </c>
      <c r="I69" s="45">
        <f>Incurred_loss!H67</f>
        <v>2962670.3455571183</v>
      </c>
      <c r="J69" s="50">
        <f t="shared" si="11"/>
        <v>2960460.4012189764</v>
      </c>
      <c r="K69" s="50">
        <f t="shared" si="9"/>
        <v>2957611.7123935688</v>
      </c>
      <c r="L69" s="50">
        <f t="shared" si="7"/>
        <v>2966802.5866070264</v>
      </c>
      <c r="M69" s="50">
        <f t="shared" si="5"/>
        <v>2965376.3579573147</v>
      </c>
      <c r="N69" s="49">
        <f t="shared" si="3"/>
        <v>2965376.3579573147</v>
      </c>
      <c r="O69" s="48">
        <f t="shared" si="12"/>
        <v>2962670.3455571183</v>
      </c>
      <c r="P69" s="45" t="s">
        <v>40</v>
      </c>
      <c r="Q69" s="45">
        <f>MIN(Exposure!$C$23,MAX(0,BC_without_index!$O69-Exposure!$E$23))</f>
        <v>0</v>
      </c>
      <c r="R69" s="45">
        <f>MIN(Exposure!$C$24,MAX(0,BC_without_index!$O69-Exposure!$E$24))</f>
        <v>0</v>
      </c>
      <c r="S69" s="1" t="str">
        <f t="shared" si="1"/>
        <v>-</v>
      </c>
      <c r="T69" s="1" t="str">
        <f t="shared" si="2"/>
        <v>-</v>
      </c>
    </row>
    <row r="70" spans="4:20" x14ac:dyDescent="0.3">
      <c r="D70">
        <f>Incurred_loss!$C68</f>
        <v>2021</v>
      </c>
      <c r="E70" s="45">
        <f>Incurred_loss!D68</f>
        <v>700997.7288251943</v>
      </c>
      <c r="F70" s="45">
        <f>Incurred_loss!E68</f>
        <v>897305.83998488495</v>
      </c>
      <c r="G70" s="45">
        <f>Incurred_loss!F68</f>
        <v>890097.12703636417</v>
      </c>
      <c r="H70" s="45">
        <f>Incurred_loss!G68</f>
        <v>903237.29668881593</v>
      </c>
      <c r="I70" s="45">
        <f>Incurred_loss!H68</f>
        <v>903385.25964583771</v>
      </c>
      <c r="J70" s="50">
        <f t="shared" si="11"/>
        <v>902711.39758666232</v>
      </c>
      <c r="K70" s="50">
        <f t="shared" si="9"/>
        <v>901842.76787291432</v>
      </c>
      <c r="L70" s="50">
        <f t="shared" si="7"/>
        <v>904645.27349091112</v>
      </c>
      <c r="M70" s="50">
        <f t="shared" si="5"/>
        <v>904210.38408751658</v>
      </c>
      <c r="N70" s="49">
        <f t="shared" si="3"/>
        <v>904210.38408751658</v>
      </c>
      <c r="O70" s="48">
        <f t="shared" si="12"/>
        <v>903385.25964583771</v>
      </c>
      <c r="P70" s="45" t="s">
        <v>40</v>
      </c>
      <c r="Q70" s="45">
        <f>MIN(Exposure!$C$23,MAX(0,BC_without_index!$O70-Exposure!$E$23))</f>
        <v>0</v>
      </c>
      <c r="R70" s="45">
        <f>MIN(Exposure!$C$24,MAX(0,BC_without_index!$O70-Exposure!$E$24))</f>
        <v>0</v>
      </c>
      <c r="S70" s="1" t="str">
        <f t="shared" ref="S70:S118" si="13">IF(ISNUMBER($P70),SUMIF($D$5:$D$118,$D70,$Q$5:$Q$118)/$P70,"-")</f>
        <v>-</v>
      </c>
      <c r="T70" s="1" t="str">
        <f t="shared" ref="T70:T118" si="14">IF(ISNUMBER($P70),SUMIF($D$5:$D$118,$D70,$R$5:$R$118)/$P70,"-")</f>
        <v>-</v>
      </c>
    </row>
    <row r="71" spans="4:20" x14ac:dyDescent="0.3">
      <c r="D71">
        <f>Incurred_loss!$C69</f>
        <v>2021</v>
      </c>
      <c r="E71" s="45">
        <f>Incurred_loss!D69</f>
        <v>1357644.9626931057</v>
      </c>
      <c r="F71" s="45">
        <f>Incurred_loss!E69</f>
        <v>1406285.1123288805</v>
      </c>
      <c r="G71" s="45">
        <f>Incurred_loss!F69</f>
        <v>1465058.5233089372</v>
      </c>
      <c r="H71" s="45">
        <f>Incurred_loss!G69</f>
        <v>1544848.6945570109</v>
      </c>
      <c r="I71" s="45">
        <f>Incurred_loss!H69</f>
        <v>1570301.2631144207</v>
      </c>
      <c r="J71" s="50">
        <f t="shared" si="11"/>
        <v>1569129.9284801774</v>
      </c>
      <c r="K71" s="50">
        <f t="shared" si="9"/>
        <v>1567620.0407306119</v>
      </c>
      <c r="L71" s="50">
        <f t="shared" si="7"/>
        <v>1572491.4707930761</v>
      </c>
      <c r="M71" s="50">
        <f t="shared" si="5"/>
        <v>1571735.5282179967</v>
      </c>
      <c r="N71" s="49">
        <f t="shared" si="3"/>
        <v>1571735.5282179967</v>
      </c>
      <c r="O71" s="48">
        <f t="shared" si="12"/>
        <v>1570301.2631144207</v>
      </c>
      <c r="P71" s="45" t="s">
        <v>40</v>
      </c>
      <c r="Q71" s="45">
        <f>MIN(Exposure!$C$23,MAX(0,BC_without_index!$O71-Exposure!$E$23))</f>
        <v>0</v>
      </c>
      <c r="R71" s="45">
        <f>MIN(Exposure!$C$24,MAX(0,BC_without_index!$O71-Exposure!$E$24))</f>
        <v>0</v>
      </c>
      <c r="S71" s="1" t="str">
        <f t="shared" si="13"/>
        <v>-</v>
      </c>
      <c r="T71" s="1" t="str">
        <f t="shared" si="14"/>
        <v>-</v>
      </c>
    </row>
    <row r="72" spans="4:20" x14ac:dyDescent="0.3">
      <c r="D72">
        <f>Incurred_loss!$C70</f>
        <v>2021</v>
      </c>
      <c r="E72" s="45">
        <f>Incurred_loss!D70</f>
        <v>3190539.4784712489</v>
      </c>
      <c r="F72" s="45">
        <f>Incurred_loss!E70</f>
        <v>2576440.3906590585</v>
      </c>
      <c r="G72" s="45">
        <f>Incurred_loss!F70</f>
        <v>2534692.2885047402</v>
      </c>
      <c r="H72" s="45">
        <f>Incurred_loss!G70</f>
        <v>2350063.7565760231</v>
      </c>
      <c r="I72" s="45">
        <f>Incurred_loss!H70</f>
        <v>2362566.3395283595</v>
      </c>
      <c r="J72" s="50">
        <f t="shared" si="11"/>
        <v>2360804.0306999898</v>
      </c>
      <c r="K72" s="50">
        <f t="shared" si="9"/>
        <v>2358532.3583417097</v>
      </c>
      <c r="L72" s="50">
        <f t="shared" si="7"/>
        <v>2365861.574054189</v>
      </c>
      <c r="M72" s="50">
        <f t="shared" si="5"/>
        <v>2364724.235299868</v>
      </c>
      <c r="N72" s="49">
        <f t="shared" si="3"/>
        <v>2364724.235299868</v>
      </c>
      <c r="O72" s="48">
        <f t="shared" si="12"/>
        <v>2362566.3395283595</v>
      </c>
      <c r="P72" s="45" t="s">
        <v>40</v>
      </c>
      <c r="Q72" s="45">
        <f>MIN(Exposure!$C$23,MAX(0,BC_without_index!$O72-Exposure!$E$23))</f>
        <v>0</v>
      </c>
      <c r="R72" s="45">
        <f>MIN(Exposure!$C$24,MAX(0,BC_without_index!$O72-Exposure!$E$24))</f>
        <v>0</v>
      </c>
      <c r="S72" s="1" t="str">
        <f t="shared" si="13"/>
        <v>-</v>
      </c>
      <c r="T72" s="1" t="str">
        <f t="shared" si="14"/>
        <v>-</v>
      </c>
    </row>
    <row r="73" spans="4:20" x14ac:dyDescent="0.3">
      <c r="D73">
        <f>Incurred_loss!$C71</f>
        <v>2021</v>
      </c>
      <c r="E73" s="45">
        <f>Incurred_loss!D71</f>
        <v>373497.92490237614</v>
      </c>
      <c r="F73" s="45">
        <f>Incurred_loss!E71</f>
        <v>1450352.5422298999</v>
      </c>
      <c r="G73" s="45">
        <f>Incurred_loss!F71</f>
        <v>1154821.3455766742</v>
      </c>
      <c r="H73" s="45">
        <f>Incurred_loss!G71</f>
        <v>1133777.3225822418</v>
      </c>
      <c r="I73" s="45">
        <f>Incurred_loss!H71</f>
        <v>1135645.1848669506</v>
      </c>
      <c r="J73" s="50">
        <f t="shared" si="11"/>
        <v>1134798.0731894067</v>
      </c>
      <c r="K73" s="50">
        <f t="shared" si="9"/>
        <v>1133706.1191849357</v>
      </c>
      <c r="L73" s="50">
        <f t="shared" si="7"/>
        <v>1137229.1476787683</v>
      </c>
      <c r="M73" s="50">
        <f t="shared" si="5"/>
        <v>1136682.4484143723</v>
      </c>
      <c r="N73" s="49">
        <f t="shared" si="3"/>
        <v>1136682.4484143723</v>
      </c>
      <c r="O73" s="48">
        <f t="shared" si="12"/>
        <v>1135645.1848669506</v>
      </c>
      <c r="P73" s="45" t="s">
        <v>40</v>
      </c>
      <c r="Q73" s="45">
        <f>MIN(Exposure!$C$23,MAX(0,BC_without_index!$O73-Exposure!$E$23))</f>
        <v>0</v>
      </c>
      <c r="R73" s="45">
        <f>MIN(Exposure!$C$24,MAX(0,BC_without_index!$O73-Exposure!$E$24))</f>
        <v>0</v>
      </c>
      <c r="S73" s="1" t="str">
        <f t="shared" si="13"/>
        <v>-</v>
      </c>
      <c r="T73" s="1" t="str">
        <f t="shared" si="14"/>
        <v>-</v>
      </c>
    </row>
    <row r="74" spans="4:20" x14ac:dyDescent="0.3">
      <c r="D74">
        <f>Incurred_loss!$C72</f>
        <v>2021</v>
      </c>
      <c r="E74" s="45">
        <f>Incurred_loss!D72</f>
        <v>1661921.7546583456</v>
      </c>
      <c r="F74" s="45">
        <f>Incurred_loss!E72</f>
        <v>2427218.064614906</v>
      </c>
      <c r="G74" s="45">
        <f>Incurred_loss!F72</f>
        <v>1700249.2037849412</v>
      </c>
      <c r="H74" s="45">
        <f>Incurred_loss!G72</f>
        <v>2110610.7701659957</v>
      </c>
      <c r="I74">
        <f>H74*I$120</f>
        <v>2046884.9467436336</v>
      </c>
      <c r="J74" s="50">
        <f t="shared" si="11"/>
        <v>2045358.1140990003</v>
      </c>
      <c r="K74" s="50">
        <f t="shared" si="9"/>
        <v>2043389.9780613787</v>
      </c>
      <c r="L74" s="50">
        <f t="shared" si="7"/>
        <v>2049739.8786175279</v>
      </c>
      <c r="M74" s="50">
        <f t="shared" si="5"/>
        <v>2048754.5087946292</v>
      </c>
      <c r="N74" s="49">
        <f t="shared" si="3"/>
        <v>2048754.5087946292</v>
      </c>
      <c r="O74" s="48">
        <f t="shared" si="12"/>
        <v>2046884.9467436336</v>
      </c>
      <c r="P74" s="45" t="s">
        <v>40</v>
      </c>
      <c r="Q74" s="45">
        <f>MIN(Exposure!$C$23,MAX(0,BC_without_index!$O74-Exposure!$E$23))</f>
        <v>0</v>
      </c>
      <c r="R74" s="45">
        <f>MIN(Exposure!$C$24,MAX(0,BC_without_index!$O74-Exposure!$E$24))</f>
        <v>0</v>
      </c>
      <c r="S74" s="1" t="str">
        <f t="shared" si="13"/>
        <v>-</v>
      </c>
      <c r="T74" s="1" t="str">
        <f t="shared" si="14"/>
        <v>-</v>
      </c>
    </row>
    <row r="75" spans="4:20" x14ac:dyDescent="0.3">
      <c r="D75">
        <f>Incurred_loss!$C73</f>
        <v>2022</v>
      </c>
      <c r="E75" s="45">
        <f>Incurred_loss!D73</f>
        <v>9108005.5274160169</v>
      </c>
      <c r="F75" s="45">
        <f>Incurred_loss!E73</f>
        <v>10999584.003385853</v>
      </c>
      <c r="G75" s="45">
        <f>Incurred_loss!F73</f>
        <v>12643159.666512519</v>
      </c>
      <c r="H75" s="45">
        <f>Incurred_loss!G73</f>
        <v>13029150.812231895</v>
      </c>
      <c r="I75" s="49">
        <f t="shared" ref="I75:I118" si="15">H75*I$120</f>
        <v>12635760.720728517</v>
      </c>
      <c r="J75" s="50">
        <f t="shared" si="11"/>
        <v>12626335.32923845</v>
      </c>
      <c r="K75" s="50">
        <f t="shared" si="9"/>
        <v>12614185.698612267</v>
      </c>
      <c r="L75" s="50">
        <f t="shared" si="7"/>
        <v>12653384.689330123</v>
      </c>
      <c r="M75" s="50">
        <f t="shared" si="5"/>
        <v>12647301.837764194</v>
      </c>
      <c r="N75" s="49">
        <f t="shared" si="3"/>
        <v>12647301.837764194</v>
      </c>
      <c r="O75" s="48">
        <f>$H75</f>
        <v>13029150.812231895</v>
      </c>
      <c r="P75" s="45">
        <f>Exposure!$C$13</f>
        <v>176552785.0907208</v>
      </c>
      <c r="Q75" s="45">
        <f>MIN(Exposure!$C$23,MAX(0,BC_without_index!$O75-Exposure!$E$23))</f>
        <v>6000000</v>
      </c>
      <c r="R75" s="45">
        <f>MIN(Exposure!$C$24,MAX(0,BC_without_index!$O75-Exposure!$E$24))</f>
        <v>3029150.8122318946</v>
      </c>
      <c r="S75" s="1">
        <f t="shared" si="13"/>
        <v>3.8500563268065044E-2</v>
      </c>
      <c r="T75" s="1">
        <f t="shared" si="14"/>
        <v>1.715719641961683E-2</v>
      </c>
    </row>
    <row r="76" spans="4:20" x14ac:dyDescent="0.3">
      <c r="D76">
        <f>Incurred_loss!$C74</f>
        <v>2022</v>
      </c>
      <c r="E76" s="45">
        <f>Incurred_loss!D74</f>
        <v>280984.66004348977</v>
      </c>
      <c r="F76" s="45">
        <f>Incurred_loss!E74</f>
        <v>2125640.2765056081</v>
      </c>
      <c r="G76" s="45">
        <f>Incurred_loss!F74</f>
        <v>2114972.5459903455</v>
      </c>
      <c r="H76" s="45">
        <f>Incurred_loss!G74</f>
        <v>2229513.4565238995</v>
      </c>
      <c r="I76" s="49">
        <f t="shared" si="15"/>
        <v>2162197.5957045937</v>
      </c>
      <c r="J76" s="50">
        <f t="shared" si="11"/>
        <v>2160584.7479094495</v>
      </c>
      <c r="K76" s="50">
        <f t="shared" si="9"/>
        <v>2158505.7355959658</v>
      </c>
      <c r="L76" s="50">
        <f t="shared" si="7"/>
        <v>2165213.3620980373</v>
      </c>
      <c r="M76" s="50">
        <f t="shared" si="5"/>
        <v>2164172.480799193</v>
      </c>
      <c r="N76" s="49">
        <f t="shared" si="3"/>
        <v>2164172.480799193</v>
      </c>
      <c r="O76" s="48">
        <f t="shared" ref="O76:O80" si="16">$H76</f>
        <v>2229513.4565238995</v>
      </c>
      <c r="P76" s="45" t="s">
        <v>40</v>
      </c>
      <c r="Q76" s="45">
        <f>MIN(Exposure!$C$23,MAX(0,BC_without_index!$O76-Exposure!$E$23))</f>
        <v>0</v>
      </c>
      <c r="R76" s="45">
        <f>MIN(Exposure!$C$24,MAX(0,BC_without_index!$O76-Exposure!$E$24))</f>
        <v>0</v>
      </c>
      <c r="S76" s="1" t="str">
        <f t="shared" si="13"/>
        <v>-</v>
      </c>
      <c r="T76" s="1" t="str">
        <f t="shared" si="14"/>
        <v>-</v>
      </c>
    </row>
    <row r="77" spans="4:20" x14ac:dyDescent="0.3">
      <c r="D77">
        <f>Incurred_loss!$C75</f>
        <v>2022</v>
      </c>
      <c r="E77" s="45">
        <f>Incurred_loss!D75</f>
        <v>2633809.6204257188</v>
      </c>
      <c r="F77" s="45">
        <f>Incurred_loss!E75</f>
        <v>2477495.2185667567</v>
      </c>
      <c r="G77" s="45">
        <f>Incurred_loss!F75</f>
        <v>2232500.3601321718</v>
      </c>
      <c r="H77" s="45">
        <f>Incurred_loss!G75</f>
        <v>2286170.4741149074</v>
      </c>
      <c r="I77" s="49">
        <f t="shared" si="15"/>
        <v>2217143.9638714264</v>
      </c>
      <c r="J77" s="50">
        <f t="shared" si="11"/>
        <v>2215490.1299384171</v>
      </c>
      <c r="K77" s="50">
        <f t="shared" si="9"/>
        <v>2213358.2851843517</v>
      </c>
      <c r="L77" s="50">
        <f t="shared" si="7"/>
        <v>2220236.3677613172</v>
      </c>
      <c r="M77" s="50">
        <f t="shared" si="5"/>
        <v>2219169.0352966879</v>
      </c>
      <c r="N77" s="49">
        <f t="shared" si="3"/>
        <v>2219169.0352966879</v>
      </c>
      <c r="O77" s="48">
        <f t="shared" si="16"/>
        <v>2286170.4741149074</v>
      </c>
      <c r="P77" s="45" t="s">
        <v>40</v>
      </c>
      <c r="Q77" s="45">
        <f>MIN(Exposure!$C$23,MAX(0,BC_without_index!$O77-Exposure!$E$23))</f>
        <v>0</v>
      </c>
      <c r="R77" s="45">
        <f>MIN(Exposure!$C$24,MAX(0,BC_without_index!$O77-Exposure!$E$24))</f>
        <v>0</v>
      </c>
      <c r="S77" s="1" t="str">
        <f t="shared" si="13"/>
        <v>-</v>
      </c>
      <c r="T77" s="1" t="str">
        <f t="shared" si="14"/>
        <v>-</v>
      </c>
    </row>
    <row r="78" spans="4:20" x14ac:dyDescent="0.3">
      <c r="D78">
        <f>Incurred_loss!$C76</f>
        <v>2022</v>
      </c>
      <c r="E78" s="45">
        <f>Incurred_loss!D76</f>
        <v>3460560.772776355</v>
      </c>
      <c r="F78" s="45">
        <f>Incurred_loss!E76</f>
        <v>4477790.7994887363</v>
      </c>
      <c r="G78" s="45">
        <f>Incurred_loss!F76</f>
        <v>4878169.1334654167</v>
      </c>
      <c r="H78" s="45">
        <f>Incurred_loss!G76</f>
        <v>4367984.8979502209</v>
      </c>
      <c r="I78" s="49">
        <f t="shared" si="15"/>
        <v>4236102.0144489547</v>
      </c>
      <c r="J78" s="50">
        <f t="shared" si="11"/>
        <v>4232942.1793776443</v>
      </c>
      <c r="K78" s="50">
        <f t="shared" si="9"/>
        <v>4228869.0510628643</v>
      </c>
      <c r="L78" s="50">
        <f t="shared" si="7"/>
        <v>4242010.3986409232</v>
      </c>
      <c r="M78" s="50">
        <f t="shared" si="5"/>
        <v>4239971.1403531535</v>
      </c>
      <c r="N78" s="49">
        <f t="shared" si="3"/>
        <v>4239971.1403531535</v>
      </c>
      <c r="O78" s="48">
        <f t="shared" si="16"/>
        <v>4367984.8979502209</v>
      </c>
      <c r="P78" s="45" t="s">
        <v>40</v>
      </c>
      <c r="Q78" s="45">
        <f>MIN(Exposure!$C$23,MAX(0,BC_without_index!$O78-Exposure!$E$23))</f>
        <v>367984.89795022085</v>
      </c>
      <c r="R78" s="45">
        <f>MIN(Exposure!$C$24,MAX(0,BC_without_index!$O78-Exposure!$E$24))</f>
        <v>0</v>
      </c>
      <c r="S78" s="1" t="str">
        <f t="shared" si="13"/>
        <v>-</v>
      </c>
      <c r="T78" s="1" t="str">
        <f t="shared" si="14"/>
        <v>-</v>
      </c>
    </row>
    <row r="79" spans="4:20" x14ac:dyDescent="0.3">
      <c r="D79">
        <f>Incurred_loss!$C77</f>
        <v>2022</v>
      </c>
      <c r="E79" s="45">
        <f>Incurred_loss!D77</f>
        <v>1983016.9877165079</v>
      </c>
      <c r="F79" s="45">
        <f>Incurred_loss!E77</f>
        <v>1301094.905247106</v>
      </c>
      <c r="G79" s="45">
        <f>Incurred_loss!F77</f>
        <v>1611669.3119928217</v>
      </c>
      <c r="H79" s="45">
        <f>Incurred_loss!G77</f>
        <v>1539355.7980382913</v>
      </c>
      <c r="I79" s="49">
        <f t="shared" si="15"/>
        <v>1492877.9172482381</v>
      </c>
      <c r="J79" s="50">
        <f t="shared" si="11"/>
        <v>1491764.3350011592</v>
      </c>
      <c r="K79" s="50">
        <f t="shared" si="9"/>
        <v>1490328.8919229442</v>
      </c>
      <c r="L79" s="50">
        <f t="shared" si="7"/>
        <v>1494960.1372365016</v>
      </c>
      <c r="M79" s="50">
        <f t="shared" si="5"/>
        <v>1494241.4662377879</v>
      </c>
      <c r="N79" s="49">
        <f t="shared" si="3"/>
        <v>1494241.4662377879</v>
      </c>
      <c r="O79" s="48">
        <f t="shared" si="16"/>
        <v>1539355.7980382913</v>
      </c>
      <c r="P79" s="45" t="s">
        <v>40</v>
      </c>
      <c r="Q79" s="45">
        <f>MIN(Exposure!$C$23,MAX(0,BC_without_index!$O79-Exposure!$E$23))</f>
        <v>0</v>
      </c>
      <c r="R79" s="45">
        <f>MIN(Exposure!$C$24,MAX(0,BC_without_index!$O79-Exposure!$E$24))</f>
        <v>0</v>
      </c>
      <c r="S79" s="1" t="str">
        <f t="shared" si="13"/>
        <v>-</v>
      </c>
      <c r="T79" s="1" t="str">
        <f t="shared" si="14"/>
        <v>-</v>
      </c>
    </row>
    <row r="80" spans="4:20" x14ac:dyDescent="0.3">
      <c r="D80">
        <f>Incurred_loss!$C78</f>
        <v>2022</v>
      </c>
      <c r="E80" s="45">
        <f>Incurred_loss!D78</f>
        <v>4285183.8131404407</v>
      </c>
      <c r="F80" s="45">
        <f>Incurred_loss!E78</f>
        <v>3144430.8315937766</v>
      </c>
      <c r="G80" s="45">
        <f>Incurred_loss!F78</f>
        <v>4783799.4908318743</v>
      </c>
      <c r="H80" s="45">
        <f>Incurred_loss!G78</f>
        <v>4429396.7745881658</v>
      </c>
      <c r="I80" s="49">
        <f t="shared" si="15"/>
        <v>4295659.6778601008</v>
      </c>
      <c r="J80" s="50">
        <f t="shared" si="11"/>
        <v>4292455.416948013</v>
      </c>
      <c r="K80" s="50">
        <f t="shared" si="9"/>
        <v>4288325.0223057522</v>
      </c>
      <c r="L80" s="50">
        <f t="shared" si="7"/>
        <v>4301651.1312406324</v>
      </c>
      <c r="M80" s="50">
        <f t="shared" si="5"/>
        <v>4299583.2019108767</v>
      </c>
      <c r="N80" s="49">
        <f t="shared" si="3"/>
        <v>4299583.2019108767</v>
      </c>
      <c r="O80" s="48">
        <f t="shared" si="16"/>
        <v>4429396.7745881658</v>
      </c>
      <c r="P80" s="45" t="s">
        <v>40</v>
      </c>
      <c r="Q80" s="45">
        <f>MIN(Exposure!$C$23,MAX(0,BC_without_index!$O80-Exposure!$E$23))</f>
        <v>429396.7745881658</v>
      </c>
      <c r="R80" s="45">
        <f>MIN(Exposure!$C$24,MAX(0,BC_without_index!$O80-Exposure!$E$24))</f>
        <v>0</v>
      </c>
      <c r="S80" s="1" t="str">
        <f t="shared" si="13"/>
        <v>-</v>
      </c>
      <c r="T80" s="1" t="str">
        <f t="shared" si="14"/>
        <v>-</v>
      </c>
    </row>
    <row r="81" spans="4:20" x14ac:dyDescent="0.3">
      <c r="D81">
        <f>Incurred_loss!$C79</f>
        <v>2023</v>
      </c>
      <c r="E81" s="45">
        <f>Incurred_loss!D79</f>
        <v>1326475.545487744</v>
      </c>
      <c r="F81" s="45">
        <f>Incurred_loss!E79</f>
        <v>846191.33973605908</v>
      </c>
      <c r="G81" s="45">
        <f>Incurred_loss!F79</f>
        <v>1613175.0453681352</v>
      </c>
      <c r="H81" s="50">
        <f>G81*H$120</f>
        <v>1657283.7385208907</v>
      </c>
      <c r="I81" s="49">
        <f t="shared" si="15"/>
        <v>1607245.250906508</v>
      </c>
      <c r="J81" s="50">
        <f t="shared" si="11"/>
        <v>1606046.3586478492</v>
      </c>
      <c r="K81" s="50">
        <f t="shared" si="9"/>
        <v>1604500.9482403724</v>
      </c>
      <c r="L81" s="50">
        <f t="shared" si="7"/>
        <v>1609486.986917747</v>
      </c>
      <c r="M81" s="50">
        <f t="shared" si="5"/>
        <v>1608713.2595176017</v>
      </c>
      <c r="N81" s="49">
        <f t="shared" si="3"/>
        <v>1608713.2595176017</v>
      </c>
      <c r="O81" s="48">
        <f>$G81</f>
        <v>1613175.0453681352</v>
      </c>
      <c r="P81" s="45">
        <f>Exposure!$C$14</f>
        <v>180101496.0710443</v>
      </c>
      <c r="Q81" s="45">
        <f>MIN(Exposure!$C$23,MAX(0,BC_without_index!$O81-Exposure!$E$23))</f>
        <v>0</v>
      </c>
      <c r="R81" s="45">
        <f>MIN(Exposure!$C$24,MAX(0,BC_without_index!$O81-Exposure!$E$24))</f>
        <v>0</v>
      </c>
      <c r="S81" s="1">
        <f t="shared" si="13"/>
        <v>0</v>
      </c>
      <c r="T81" s="1">
        <f t="shared" si="14"/>
        <v>0</v>
      </c>
    </row>
    <row r="82" spans="4:20" x14ac:dyDescent="0.3">
      <c r="D82">
        <f>Incurred_loss!$C80</f>
        <v>2023</v>
      </c>
      <c r="E82" s="45">
        <f>Incurred_loss!D80</f>
        <v>1973032.7879179071</v>
      </c>
      <c r="F82" s="45">
        <f>Incurred_loss!E80</f>
        <v>1157401.5758724401</v>
      </c>
      <c r="G82" s="45">
        <f>Incurred_loss!F80</f>
        <v>1254570.3395472888</v>
      </c>
      <c r="H82" s="50">
        <f t="shared" ref="H82:H118" si="17">G82*H$120</f>
        <v>1288873.7825025518</v>
      </c>
      <c r="I82" s="49">
        <f t="shared" si="15"/>
        <v>1249958.7232986183</v>
      </c>
      <c r="J82" s="50">
        <f t="shared" si="11"/>
        <v>1249026.3417369616</v>
      </c>
      <c r="K82" s="50">
        <f t="shared" si="9"/>
        <v>1247824.4721288153</v>
      </c>
      <c r="L82" s="50">
        <f t="shared" si="7"/>
        <v>1251702.1271014919</v>
      </c>
      <c r="M82" s="50">
        <f t="shared" si="5"/>
        <v>1251100.3973326709</v>
      </c>
      <c r="N82" s="49">
        <f t="shared" si="3"/>
        <v>1251100.3973326709</v>
      </c>
      <c r="O82" s="48">
        <f t="shared" ref="O82:O96" si="18">$G82</f>
        <v>1254570.3395472888</v>
      </c>
      <c r="P82" s="45" t="s">
        <v>40</v>
      </c>
      <c r="Q82" s="45">
        <f>MIN(Exposure!$C$23,MAX(0,BC_without_index!$O82-Exposure!$E$23))</f>
        <v>0</v>
      </c>
      <c r="R82" s="45">
        <f>MIN(Exposure!$C$24,MAX(0,BC_without_index!$O82-Exposure!$E$24))</f>
        <v>0</v>
      </c>
      <c r="S82" s="1" t="str">
        <f t="shared" si="13"/>
        <v>-</v>
      </c>
      <c r="T82" s="1" t="str">
        <f t="shared" si="14"/>
        <v>-</v>
      </c>
    </row>
    <row r="83" spans="4:20" x14ac:dyDescent="0.3">
      <c r="D83">
        <f>Incurred_loss!$C81</f>
        <v>2023</v>
      </c>
      <c r="E83" s="45">
        <f>Incurred_loss!D81</f>
        <v>739090.21990043914</v>
      </c>
      <c r="F83" s="45">
        <f>Incurred_loss!E81</f>
        <v>2131965.8165273066</v>
      </c>
      <c r="G83" s="45">
        <f>Incurred_loss!F81</f>
        <v>2515692.1966349524</v>
      </c>
      <c r="H83" s="50">
        <f t="shared" si="17"/>
        <v>2584478.2192595648</v>
      </c>
      <c r="I83" s="49">
        <f t="shared" si="15"/>
        <v>2506444.8817216717</v>
      </c>
      <c r="J83" s="50">
        <f t="shared" si="11"/>
        <v>2504575.249589453</v>
      </c>
      <c r="K83" s="50">
        <f t="shared" si="9"/>
        <v>2502165.2340651918</v>
      </c>
      <c r="L83" s="50">
        <f t="shared" si="7"/>
        <v>2509940.7935922295</v>
      </c>
      <c r="M83" s="50">
        <f t="shared" si="5"/>
        <v>2508734.1917492012</v>
      </c>
      <c r="N83" s="49">
        <f t="shared" si="3"/>
        <v>2508734.1917492012</v>
      </c>
      <c r="O83" s="48">
        <f t="shared" si="18"/>
        <v>2515692.1966349524</v>
      </c>
      <c r="P83" s="45" t="s">
        <v>40</v>
      </c>
      <c r="Q83" s="45">
        <f>MIN(Exposure!$C$23,MAX(0,BC_without_index!$O83-Exposure!$E$23))</f>
        <v>0</v>
      </c>
      <c r="R83" s="45">
        <f>MIN(Exposure!$C$24,MAX(0,BC_without_index!$O83-Exposure!$E$24))</f>
        <v>0</v>
      </c>
      <c r="S83" s="1" t="str">
        <f t="shared" si="13"/>
        <v>-</v>
      </c>
      <c r="T83" s="1" t="str">
        <f t="shared" si="14"/>
        <v>-</v>
      </c>
    </row>
    <row r="84" spans="4:20" x14ac:dyDescent="0.3">
      <c r="D84">
        <f>Incurred_loss!$C82</f>
        <v>2023</v>
      </c>
      <c r="E84" s="45">
        <f>Incurred_loss!D82</f>
        <v>2300097.3573473361</v>
      </c>
      <c r="F84" s="45">
        <f>Incurred_loss!E82</f>
        <v>2023580.5522391889</v>
      </c>
      <c r="G84" s="45">
        <f>Incurred_loss!F82</f>
        <v>2450810.0234637433</v>
      </c>
      <c r="H84" s="50">
        <f t="shared" si="17"/>
        <v>2517821.9869893692</v>
      </c>
      <c r="I84" s="49">
        <f t="shared" si="15"/>
        <v>2441801.2058866527</v>
      </c>
      <c r="J84" s="50">
        <f t="shared" si="11"/>
        <v>2439979.7934038537</v>
      </c>
      <c r="K84" s="50">
        <f t="shared" si="9"/>
        <v>2437631.9345475663</v>
      </c>
      <c r="L84" s="50">
        <f t="shared" si="7"/>
        <v>2445206.9547556797</v>
      </c>
      <c r="M84" s="50">
        <f t="shared" si="5"/>
        <v>2444031.4723595507</v>
      </c>
      <c r="N84" s="49">
        <f t="shared" si="3"/>
        <v>2444031.4723595507</v>
      </c>
      <c r="O84" s="48">
        <f t="shared" si="18"/>
        <v>2450810.0234637433</v>
      </c>
      <c r="P84" s="45" t="s">
        <v>40</v>
      </c>
      <c r="Q84" s="45">
        <f>MIN(Exposure!$C$23,MAX(0,BC_without_index!$O84-Exposure!$E$23))</f>
        <v>0</v>
      </c>
      <c r="R84" s="45">
        <f>MIN(Exposure!$C$24,MAX(0,BC_without_index!$O84-Exposure!$E$24))</f>
        <v>0</v>
      </c>
      <c r="S84" s="1" t="str">
        <f t="shared" si="13"/>
        <v>-</v>
      </c>
      <c r="T84" s="1" t="str">
        <f t="shared" si="14"/>
        <v>-</v>
      </c>
    </row>
    <row r="85" spans="4:20" x14ac:dyDescent="0.3">
      <c r="D85">
        <f>Incurred_loss!$C83</f>
        <v>2023</v>
      </c>
      <c r="E85" s="45">
        <f>Incurred_loss!D83</f>
        <v>987466.75899892021</v>
      </c>
      <c r="F85" s="45">
        <f>Incurred_loss!E83</f>
        <v>1068258.2347038849</v>
      </c>
      <c r="G85" s="45">
        <f>Incurred_loss!F83</f>
        <v>1141762.7736038817</v>
      </c>
      <c r="H85" s="50">
        <f t="shared" si="17"/>
        <v>1172981.7439064132</v>
      </c>
      <c r="I85" s="49">
        <f t="shared" si="15"/>
        <v>1137565.8213941087</v>
      </c>
      <c r="J85" s="50">
        <f t="shared" si="11"/>
        <v>1136717.2770563888</v>
      </c>
      <c r="K85" s="50">
        <f t="shared" si="9"/>
        <v>1135623.4763071996</v>
      </c>
      <c r="L85" s="50">
        <f t="shared" si="7"/>
        <v>1139152.463050406</v>
      </c>
      <c r="M85" s="50">
        <f t="shared" si="5"/>
        <v>1138604.8391921397</v>
      </c>
      <c r="N85" s="49">
        <f t="shared" si="5"/>
        <v>1138604.8391921397</v>
      </c>
      <c r="O85" s="48">
        <f t="shared" si="18"/>
        <v>1141762.7736038817</v>
      </c>
      <c r="P85" s="45" t="s">
        <v>40</v>
      </c>
      <c r="Q85" s="45">
        <f>MIN(Exposure!$C$23,MAX(0,BC_without_index!$O85-Exposure!$E$23))</f>
        <v>0</v>
      </c>
      <c r="R85" s="45">
        <f>MIN(Exposure!$C$24,MAX(0,BC_without_index!$O85-Exposure!$E$24))</f>
        <v>0</v>
      </c>
      <c r="S85" s="1" t="str">
        <f t="shared" si="13"/>
        <v>-</v>
      </c>
      <c r="T85" s="1" t="str">
        <f t="shared" si="14"/>
        <v>-</v>
      </c>
    </row>
    <row r="86" spans="4:20" x14ac:dyDescent="0.3">
      <c r="D86">
        <f>Incurred_loss!$C84</f>
        <v>2023</v>
      </c>
      <c r="E86" s="45">
        <f>Incurred_loss!D84</f>
        <v>1312390.1347095426</v>
      </c>
      <c r="F86" s="45">
        <f>Incurred_loss!E84</f>
        <v>2267710.8035748075</v>
      </c>
      <c r="G86" s="45">
        <f>Incurred_loss!F84</f>
        <v>1966966.285808045</v>
      </c>
      <c r="H86" s="50">
        <f t="shared" si="17"/>
        <v>2020748.615625032</v>
      </c>
      <c r="I86" s="49">
        <f t="shared" si="15"/>
        <v>1959736.0067250142</v>
      </c>
      <c r="J86" s="50">
        <f t="shared" si="11"/>
        <v>1958274.1810788335</v>
      </c>
      <c r="K86" s="50">
        <f t="shared" si="9"/>
        <v>1956389.8411381857</v>
      </c>
      <c r="L86" s="50">
        <f t="shared" si="7"/>
        <v>1962469.385950319</v>
      </c>
      <c r="M86" s="50">
        <f t="shared" si="5"/>
        <v>1961525.9696020053</v>
      </c>
      <c r="N86" s="49">
        <f t="shared" si="5"/>
        <v>1961525.9696020053</v>
      </c>
      <c r="O86" s="48">
        <f t="shared" si="18"/>
        <v>1966966.285808045</v>
      </c>
      <c r="P86" s="45" t="s">
        <v>40</v>
      </c>
      <c r="Q86" s="45">
        <f>MIN(Exposure!$C$23,MAX(0,BC_without_index!$O86-Exposure!$E$23))</f>
        <v>0</v>
      </c>
      <c r="R86" s="45">
        <f>MIN(Exposure!$C$24,MAX(0,BC_without_index!$O86-Exposure!$E$24))</f>
        <v>0</v>
      </c>
      <c r="S86" s="1" t="str">
        <f t="shared" si="13"/>
        <v>-</v>
      </c>
      <c r="T86" s="1" t="str">
        <f t="shared" si="14"/>
        <v>-</v>
      </c>
    </row>
    <row r="87" spans="4:20" x14ac:dyDescent="0.3">
      <c r="D87">
        <f>Incurred_loss!$C85</f>
        <v>2023</v>
      </c>
      <c r="E87" s="45">
        <f>Incurred_loss!D85</f>
        <v>483483.98347990279</v>
      </c>
      <c r="F87" s="45">
        <f>Incurred_loss!E85</f>
        <v>403146.32250240812</v>
      </c>
      <c r="G87" s="45">
        <f>Incurred_loss!F85</f>
        <v>382010.06035758386</v>
      </c>
      <c r="H87" s="50">
        <f t="shared" si="17"/>
        <v>392455.27805541467</v>
      </c>
      <c r="I87" s="49">
        <f t="shared" si="15"/>
        <v>380605.84750002791</v>
      </c>
      <c r="J87" s="50">
        <f t="shared" si="11"/>
        <v>380321.94222551509</v>
      </c>
      <c r="K87" s="50">
        <f t="shared" si="9"/>
        <v>379955.97926028538</v>
      </c>
      <c r="L87" s="50">
        <f t="shared" si="7"/>
        <v>381136.70477519964</v>
      </c>
      <c r="M87" s="50">
        <f t="shared" si="5"/>
        <v>380953.48123000626</v>
      </c>
      <c r="N87" s="49">
        <f t="shared" si="5"/>
        <v>380953.48123000626</v>
      </c>
      <c r="O87" s="48">
        <f t="shared" si="18"/>
        <v>382010.06035758386</v>
      </c>
      <c r="P87" s="45" t="s">
        <v>40</v>
      </c>
      <c r="Q87" s="45">
        <f>MIN(Exposure!$C$23,MAX(0,BC_without_index!$O87-Exposure!$E$23))</f>
        <v>0</v>
      </c>
      <c r="R87" s="45">
        <f>MIN(Exposure!$C$24,MAX(0,BC_without_index!$O87-Exposure!$E$24))</f>
        <v>0</v>
      </c>
      <c r="S87" s="1" t="str">
        <f t="shared" si="13"/>
        <v>-</v>
      </c>
      <c r="T87" s="1" t="str">
        <f t="shared" si="14"/>
        <v>-</v>
      </c>
    </row>
    <row r="88" spans="4:20" x14ac:dyDescent="0.3">
      <c r="D88">
        <f>Incurred_loss!$C86</f>
        <v>2023</v>
      </c>
      <c r="E88" s="45">
        <f>Incurred_loss!D86</f>
        <v>1008307.904926455</v>
      </c>
      <c r="F88" s="45">
        <f>Incurred_loss!E86</f>
        <v>1187187.2910371681</v>
      </c>
      <c r="G88" s="45">
        <f>Incurred_loss!F86</f>
        <v>1174657.9655308435</v>
      </c>
      <c r="H88" s="50">
        <f t="shared" si="17"/>
        <v>1206776.3818860978</v>
      </c>
      <c r="I88" s="49">
        <f t="shared" si="15"/>
        <v>1170340.0954284568</v>
      </c>
      <c r="J88" s="50">
        <f t="shared" si="11"/>
        <v>1169467.1037804082</v>
      </c>
      <c r="K88" s="50">
        <f t="shared" si="9"/>
        <v>1168341.789667492</v>
      </c>
      <c r="L88" s="50">
        <f t="shared" si="7"/>
        <v>1171972.4496294346</v>
      </c>
      <c r="M88" s="50">
        <f t="shared" si="5"/>
        <v>1171409.0482451026</v>
      </c>
      <c r="N88" s="49">
        <f t="shared" si="5"/>
        <v>1171409.0482451026</v>
      </c>
      <c r="O88" s="48">
        <f t="shared" si="18"/>
        <v>1174657.9655308435</v>
      </c>
      <c r="P88" s="45" t="s">
        <v>40</v>
      </c>
      <c r="Q88" s="45">
        <f>MIN(Exposure!$C$23,MAX(0,BC_without_index!$O88-Exposure!$E$23))</f>
        <v>0</v>
      </c>
      <c r="R88" s="45">
        <f>MIN(Exposure!$C$24,MAX(0,BC_without_index!$O88-Exposure!$E$24))</f>
        <v>0</v>
      </c>
      <c r="S88" s="1" t="str">
        <f t="shared" si="13"/>
        <v>-</v>
      </c>
      <c r="T88" s="1" t="str">
        <f t="shared" si="14"/>
        <v>-</v>
      </c>
    </row>
    <row r="89" spans="4:20" x14ac:dyDescent="0.3">
      <c r="D89">
        <f>Incurred_loss!$C87</f>
        <v>2023</v>
      </c>
      <c r="E89" s="45">
        <f>Incurred_loss!D87</f>
        <v>736142.12782536994</v>
      </c>
      <c r="F89" s="45">
        <f>Incurred_loss!E87</f>
        <v>590558.22202891798</v>
      </c>
      <c r="G89" s="45">
        <f>Incurred_loss!F87</f>
        <v>526616.94865439704</v>
      </c>
      <c r="H89" s="50">
        <f t="shared" si="17"/>
        <v>541016.12093513133</v>
      </c>
      <c r="I89" s="49">
        <f t="shared" si="15"/>
        <v>524681.18212087906</v>
      </c>
      <c r="J89" s="50">
        <f t="shared" si="11"/>
        <v>524289.80674916541</v>
      </c>
      <c r="K89" s="50">
        <f t="shared" si="9"/>
        <v>523785.3113966363</v>
      </c>
      <c r="L89" s="50">
        <f t="shared" si="7"/>
        <v>525412.99122077622</v>
      </c>
      <c r="M89" s="50">
        <f t="shared" si="5"/>
        <v>525160.40985105769</v>
      </c>
      <c r="N89" s="49">
        <f t="shared" si="5"/>
        <v>525160.40985105769</v>
      </c>
      <c r="O89" s="48">
        <f t="shared" si="18"/>
        <v>526616.94865439704</v>
      </c>
      <c r="P89" s="45" t="s">
        <v>40</v>
      </c>
      <c r="Q89" s="45">
        <f>MIN(Exposure!$C$23,MAX(0,BC_without_index!$O89-Exposure!$E$23))</f>
        <v>0</v>
      </c>
      <c r="R89" s="45">
        <f>MIN(Exposure!$C$24,MAX(0,BC_without_index!$O89-Exposure!$E$24))</f>
        <v>0</v>
      </c>
      <c r="S89" s="1" t="str">
        <f t="shared" si="13"/>
        <v>-</v>
      </c>
      <c r="T89" s="1" t="str">
        <f t="shared" si="14"/>
        <v>-</v>
      </c>
    </row>
    <row r="90" spans="4:20" x14ac:dyDescent="0.3">
      <c r="D90">
        <f>Incurred_loss!$C88</f>
        <v>2023</v>
      </c>
      <c r="E90" s="45">
        <f>Incurred_loss!D88</f>
        <v>250346.85244693756</v>
      </c>
      <c r="F90" s="45">
        <f>Incurred_loss!E88</f>
        <v>1312887.8520459707</v>
      </c>
      <c r="G90" s="45">
        <f>Incurred_loss!F88</f>
        <v>1488880.7454768685</v>
      </c>
      <c r="H90" s="50">
        <f t="shared" si="17"/>
        <v>1529590.8867178012</v>
      </c>
      <c r="I90" s="49">
        <f t="shared" si="15"/>
        <v>1483407.8386005177</v>
      </c>
      <c r="J90" s="50">
        <f t="shared" si="11"/>
        <v>1482301.3203680771</v>
      </c>
      <c r="K90" s="50">
        <f t="shared" si="9"/>
        <v>1480874.9830303169</v>
      </c>
      <c r="L90" s="50">
        <f t="shared" si="7"/>
        <v>1485476.8500157138</v>
      </c>
      <c r="M90" s="50">
        <f t="shared" si="5"/>
        <v>1484762.7379101294</v>
      </c>
      <c r="N90" s="49">
        <f t="shared" si="5"/>
        <v>1484762.7379101294</v>
      </c>
      <c r="O90" s="48">
        <f t="shared" si="18"/>
        <v>1488880.7454768685</v>
      </c>
      <c r="P90" s="45" t="s">
        <v>40</v>
      </c>
      <c r="Q90" s="45">
        <f>MIN(Exposure!$C$23,MAX(0,BC_without_index!$O90-Exposure!$E$23))</f>
        <v>0</v>
      </c>
      <c r="R90" s="45">
        <f>MIN(Exposure!$C$24,MAX(0,BC_without_index!$O90-Exposure!$E$24))</f>
        <v>0</v>
      </c>
      <c r="S90" s="1" t="str">
        <f t="shared" si="13"/>
        <v>-</v>
      </c>
      <c r="T90" s="1" t="str">
        <f t="shared" si="14"/>
        <v>-</v>
      </c>
    </row>
    <row r="91" spans="4:20" x14ac:dyDescent="0.3">
      <c r="D91">
        <f>Incurred_loss!$C89</f>
        <v>2023</v>
      </c>
      <c r="E91" s="45">
        <f>Incurred_loss!D89</f>
        <v>2377515.6835210342</v>
      </c>
      <c r="F91" s="45">
        <f>Incurred_loss!E89</f>
        <v>2464619.0364531036</v>
      </c>
      <c r="G91" s="45">
        <f>Incurred_loss!F89</f>
        <v>2367891.8822404058</v>
      </c>
      <c r="H91" s="50">
        <f t="shared" si="17"/>
        <v>2432636.6331293634</v>
      </c>
      <c r="I91" s="49">
        <f t="shared" si="15"/>
        <v>2359187.8595682494</v>
      </c>
      <c r="J91" s="50">
        <f t="shared" si="11"/>
        <v>2357428.070849034</v>
      </c>
      <c r="K91" s="50">
        <f t="shared" si="9"/>
        <v>2355159.6469919323</v>
      </c>
      <c r="L91" s="50">
        <f t="shared" si="7"/>
        <v>2362478.3818946271</v>
      </c>
      <c r="M91" s="50">
        <f t="shared" si="5"/>
        <v>2361342.6695395843</v>
      </c>
      <c r="N91" s="49">
        <f t="shared" si="5"/>
        <v>2361342.6695395843</v>
      </c>
      <c r="O91" s="48">
        <f t="shared" si="18"/>
        <v>2367891.8822404058</v>
      </c>
      <c r="P91" s="45" t="s">
        <v>40</v>
      </c>
      <c r="Q91" s="45">
        <f>MIN(Exposure!$C$23,MAX(0,BC_without_index!$O91-Exposure!$E$23))</f>
        <v>0</v>
      </c>
      <c r="R91" s="45">
        <f>MIN(Exposure!$C$24,MAX(0,BC_without_index!$O91-Exposure!$E$24))</f>
        <v>0</v>
      </c>
      <c r="S91" s="1" t="str">
        <f t="shared" si="13"/>
        <v>-</v>
      </c>
      <c r="T91" s="1" t="str">
        <f t="shared" si="14"/>
        <v>-</v>
      </c>
    </row>
    <row r="92" spans="4:20" x14ac:dyDescent="0.3">
      <c r="D92">
        <f>Incurred_loss!$C90</f>
        <v>2023</v>
      </c>
      <c r="E92" s="45">
        <f>Incurred_loss!D90</f>
        <v>1284965.0584100813</v>
      </c>
      <c r="F92" s="45">
        <f>Incurred_loss!E90</f>
        <v>1986428.8577334066</v>
      </c>
      <c r="G92" s="45">
        <f>Incurred_loss!F90</f>
        <v>1774049.5679583095</v>
      </c>
      <c r="H92" s="50">
        <f t="shared" si="17"/>
        <v>1822557.0180676647</v>
      </c>
      <c r="I92" s="49">
        <f t="shared" si="15"/>
        <v>1767528.422387073</v>
      </c>
      <c r="J92" s="50">
        <f t="shared" si="11"/>
        <v>1766209.9701213944</v>
      </c>
      <c r="K92" s="50">
        <f t="shared" si="9"/>
        <v>1764510.4430467756</v>
      </c>
      <c r="L92" s="50">
        <f t="shared" si="7"/>
        <v>1769993.7164130588</v>
      </c>
      <c r="M92" s="50">
        <f t="shared" si="5"/>
        <v>1769142.8287403996</v>
      </c>
      <c r="N92" s="49">
        <f t="shared" si="5"/>
        <v>1769142.8287403996</v>
      </c>
      <c r="O92" s="48">
        <f t="shared" si="18"/>
        <v>1774049.5679583095</v>
      </c>
      <c r="P92" s="45" t="s">
        <v>40</v>
      </c>
      <c r="Q92" s="45">
        <f>MIN(Exposure!$C$23,MAX(0,BC_without_index!$O92-Exposure!$E$23))</f>
        <v>0</v>
      </c>
      <c r="R92" s="45">
        <f>MIN(Exposure!$C$24,MAX(0,BC_without_index!$O92-Exposure!$E$24))</f>
        <v>0</v>
      </c>
      <c r="S92" s="1" t="str">
        <f t="shared" si="13"/>
        <v>-</v>
      </c>
      <c r="T92" s="1" t="str">
        <f t="shared" si="14"/>
        <v>-</v>
      </c>
    </row>
    <row r="93" spans="4:20" x14ac:dyDescent="0.3">
      <c r="D93">
        <f>Incurred_loss!$C91</f>
        <v>2023</v>
      </c>
      <c r="E93" s="45">
        <f>Incurred_loss!D91</f>
        <v>3412961.3609562018</v>
      </c>
      <c r="F93" s="45">
        <f>Incurred_loss!E91</f>
        <v>1661696.1322800461</v>
      </c>
      <c r="G93" s="45">
        <f>Incurred_loss!F91</f>
        <v>1977105.0689993012</v>
      </c>
      <c r="H93" s="50">
        <f t="shared" si="17"/>
        <v>2031164.621352063</v>
      </c>
      <c r="I93" s="49">
        <f t="shared" si="15"/>
        <v>1969837.5212388337</v>
      </c>
      <c r="J93" s="50">
        <f t="shared" si="11"/>
        <v>1968368.1605711342</v>
      </c>
      <c r="K93" s="50">
        <f t="shared" si="9"/>
        <v>1966474.1077471212</v>
      </c>
      <c r="L93" s="50">
        <f t="shared" si="7"/>
        <v>1972584.98974444</v>
      </c>
      <c r="M93" s="50">
        <f t="shared" si="5"/>
        <v>1971636.7105299535</v>
      </c>
      <c r="N93" s="49">
        <f t="shared" si="5"/>
        <v>1971636.7105299535</v>
      </c>
      <c r="O93" s="48">
        <f t="shared" si="18"/>
        <v>1977105.0689993012</v>
      </c>
      <c r="P93" s="45" t="s">
        <v>40</v>
      </c>
      <c r="Q93" s="45">
        <f>MIN(Exposure!$C$23,MAX(0,BC_without_index!$O93-Exposure!$E$23))</f>
        <v>0</v>
      </c>
      <c r="R93" s="45">
        <f>MIN(Exposure!$C$24,MAX(0,BC_without_index!$O93-Exposure!$E$24))</f>
        <v>0</v>
      </c>
      <c r="S93" s="1" t="str">
        <f t="shared" si="13"/>
        <v>-</v>
      </c>
      <c r="T93" s="1" t="str">
        <f t="shared" si="14"/>
        <v>-</v>
      </c>
    </row>
    <row r="94" spans="4:20" x14ac:dyDescent="0.3">
      <c r="D94">
        <f>Incurred_loss!$C92</f>
        <v>2023</v>
      </c>
      <c r="E94" s="45">
        <f>Incurred_loss!D92</f>
        <v>991041.1553205509</v>
      </c>
      <c r="F94" s="45">
        <f>Incurred_loss!E92</f>
        <v>1788114.0393865183</v>
      </c>
      <c r="G94" s="45">
        <f>Incurred_loss!F92</f>
        <v>1564373.2061401363</v>
      </c>
      <c r="H94" s="50">
        <f t="shared" si="17"/>
        <v>1607147.5212550103</v>
      </c>
      <c r="I94" s="49">
        <f t="shared" si="15"/>
        <v>1558622.8000696215</v>
      </c>
      <c r="J94" s="50">
        <f t="shared" si="11"/>
        <v>1557460.176749927</v>
      </c>
      <c r="K94" s="50">
        <f t="shared" si="9"/>
        <v>1555961.5181630065</v>
      </c>
      <c r="L94" s="50">
        <f t="shared" si="7"/>
        <v>1560796.7189888929</v>
      </c>
      <c r="M94" s="50">
        <f t="shared" si="5"/>
        <v>1560046.3984225544</v>
      </c>
      <c r="N94" s="49">
        <f t="shared" si="5"/>
        <v>1560046.3984225544</v>
      </c>
      <c r="O94" s="48">
        <f t="shared" si="18"/>
        <v>1564373.2061401363</v>
      </c>
      <c r="P94" s="45" t="s">
        <v>40</v>
      </c>
      <c r="Q94" s="45">
        <f>MIN(Exposure!$C$23,MAX(0,BC_without_index!$O94-Exposure!$E$23))</f>
        <v>0</v>
      </c>
      <c r="R94" s="45">
        <f>MIN(Exposure!$C$24,MAX(0,BC_without_index!$O94-Exposure!$E$24))</f>
        <v>0</v>
      </c>
      <c r="S94" s="1" t="str">
        <f t="shared" si="13"/>
        <v>-</v>
      </c>
      <c r="T94" s="1" t="str">
        <f t="shared" si="14"/>
        <v>-</v>
      </c>
    </row>
    <row r="95" spans="4:20" x14ac:dyDescent="0.3">
      <c r="D95">
        <f>Incurred_loss!$C93</f>
        <v>2023</v>
      </c>
      <c r="E95" s="45">
        <f>Incurred_loss!D93</f>
        <v>688656.98973707343</v>
      </c>
      <c r="F95" s="45">
        <f>Incurred_loss!E93</f>
        <v>750051.82009791164</v>
      </c>
      <c r="G95" s="45">
        <f>Incurred_loss!F93</f>
        <v>726514.75106415409</v>
      </c>
      <c r="H95" s="50">
        <f t="shared" si="17"/>
        <v>746379.68532386201</v>
      </c>
      <c r="I95" s="49">
        <f t="shared" si="15"/>
        <v>723844.18957764923</v>
      </c>
      <c r="J95" s="50">
        <f t="shared" si="11"/>
        <v>723304.25256749464</v>
      </c>
      <c r="K95" s="50">
        <f t="shared" si="9"/>
        <v>722608.25651876838</v>
      </c>
      <c r="L95" s="50">
        <f t="shared" si="7"/>
        <v>724853.78508610523</v>
      </c>
      <c r="M95" s="50">
        <f t="shared" si="5"/>
        <v>724505.32670204947</v>
      </c>
      <c r="N95" s="49">
        <f t="shared" si="5"/>
        <v>724505.32670204947</v>
      </c>
      <c r="O95" s="48">
        <f t="shared" si="18"/>
        <v>726514.75106415409</v>
      </c>
      <c r="P95" s="45" t="s">
        <v>40</v>
      </c>
      <c r="Q95" s="45">
        <f>MIN(Exposure!$C$23,MAX(0,BC_without_index!$O95-Exposure!$E$23))</f>
        <v>0</v>
      </c>
      <c r="R95" s="45">
        <f>MIN(Exposure!$C$24,MAX(0,BC_without_index!$O95-Exposure!$E$24))</f>
        <v>0</v>
      </c>
      <c r="S95" s="1" t="str">
        <f t="shared" si="13"/>
        <v>-</v>
      </c>
      <c r="T95" s="1" t="str">
        <f t="shared" si="14"/>
        <v>-</v>
      </c>
    </row>
    <row r="96" spans="4:20" x14ac:dyDescent="0.3">
      <c r="D96">
        <f>Incurred_loss!$C94</f>
        <v>2023</v>
      </c>
      <c r="E96" s="45">
        <f>Incurred_loss!D94</f>
        <v>295976.38881512545</v>
      </c>
      <c r="F96" s="45">
        <f>Incurred_loss!E94</f>
        <v>1338164.5047823705</v>
      </c>
      <c r="G96" s="45">
        <f>Incurred_loss!F94</f>
        <v>1956938.7322590053</v>
      </c>
      <c r="H96" s="50">
        <f t="shared" si="17"/>
        <v>2010446.8808680463</v>
      </c>
      <c r="I96" s="49">
        <f t="shared" si="15"/>
        <v>1949745.3129895884</v>
      </c>
      <c r="J96" s="50">
        <f t="shared" si="11"/>
        <v>1948290.9397003963</v>
      </c>
      <c r="K96" s="50">
        <f t="shared" si="9"/>
        <v>1946416.2060858943</v>
      </c>
      <c r="L96" s="50">
        <f t="shared" si="7"/>
        <v>1952464.7575039885</v>
      </c>
      <c r="M96" s="50">
        <f t="shared" si="5"/>
        <v>1951526.1506727571</v>
      </c>
      <c r="N96" s="49">
        <f t="shared" si="5"/>
        <v>1951526.1506727571</v>
      </c>
      <c r="O96" s="48">
        <f t="shared" si="18"/>
        <v>1956938.7322590053</v>
      </c>
      <c r="P96" s="45" t="s">
        <v>40</v>
      </c>
      <c r="Q96" s="45">
        <f>MIN(Exposure!$C$23,MAX(0,BC_without_index!$O96-Exposure!$E$23))</f>
        <v>0</v>
      </c>
      <c r="R96" s="45">
        <f>MIN(Exposure!$C$24,MAX(0,BC_without_index!$O96-Exposure!$E$24))</f>
        <v>0</v>
      </c>
      <c r="S96" s="1" t="str">
        <f t="shared" si="13"/>
        <v>-</v>
      </c>
      <c r="T96" s="1" t="str">
        <f t="shared" si="14"/>
        <v>-</v>
      </c>
    </row>
    <row r="97" spans="4:20" x14ac:dyDescent="0.3">
      <c r="D97">
        <f>Incurred_loss!$C95</f>
        <v>2024</v>
      </c>
      <c r="E97" s="45">
        <f>Incurred_loss!D95</f>
        <v>649111.67550360353</v>
      </c>
      <c r="F97" s="45">
        <f>Incurred_loss!E95</f>
        <v>650736.34059521905</v>
      </c>
      <c r="G97" s="50">
        <f>F97*F$120</f>
        <v>665668.61727717076</v>
      </c>
      <c r="H97" s="50">
        <f t="shared" si="17"/>
        <v>683869.84898181644</v>
      </c>
      <c r="I97" s="49">
        <f t="shared" si="15"/>
        <v>663221.71723904845</v>
      </c>
      <c r="J97" s="50">
        <f t="shared" si="11"/>
        <v>662727.00034246792</v>
      </c>
      <c r="K97" s="50">
        <f t="shared" si="9"/>
        <v>662089.29446422204</v>
      </c>
      <c r="L97" s="50">
        <f t="shared" si="7"/>
        <v>664146.75839635287</v>
      </c>
      <c r="M97" s="50">
        <f t="shared" si="5"/>
        <v>663827.48365299311</v>
      </c>
      <c r="N97" s="49">
        <f t="shared" si="5"/>
        <v>663827.48365299311</v>
      </c>
      <c r="O97" s="48">
        <f>$F97</f>
        <v>650736.34059521905</v>
      </c>
      <c r="P97" s="45">
        <f>Exposure!$C$15</f>
        <v>185540561.25238985</v>
      </c>
      <c r="Q97" s="45">
        <f>MIN(Exposure!$C$23,MAX(0,BC_without_index!$O97-Exposure!$E$23))</f>
        <v>0</v>
      </c>
      <c r="R97" s="45">
        <f>MIN(Exposure!$C$24,MAX(0,BC_without_index!$O97-Exposure!$E$24))</f>
        <v>0</v>
      </c>
      <c r="S97" s="1">
        <f t="shared" si="13"/>
        <v>1.1380295996025436E-2</v>
      </c>
      <c r="T97" s="1">
        <f t="shared" si="14"/>
        <v>0</v>
      </c>
    </row>
    <row r="98" spans="4:20" x14ac:dyDescent="0.3">
      <c r="D98">
        <f>Incurred_loss!$C96</f>
        <v>2024</v>
      </c>
      <c r="E98" s="45">
        <f>Incurred_loss!D96</f>
        <v>1131922.7607940228</v>
      </c>
      <c r="F98" s="45">
        <f>Incurred_loss!E96</f>
        <v>1429582.9119075274</v>
      </c>
      <c r="G98" s="50">
        <f t="shared" ref="G98:G118" si="19">F98*F$120</f>
        <v>1462387.1772431126</v>
      </c>
      <c r="H98" s="50">
        <f t="shared" si="17"/>
        <v>1502372.9106306636</v>
      </c>
      <c r="I98" s="49">
        <f t="shared" si="15"/>
        <v>1457011.6568311958</v>
      </c>
      <c r="J98" s="50">
        <f t="shared" si="11"/>
        <v>1455924.8282994798</v>
      </c>
      <c r="K98" s="50">
        <f t="shared" si="9"/>
        <v>1454523.8716147349</v>
      </c>
      <c r="L98" s="50">
        <f t="shared" si="7"/>
        <v>1459043.8516677159</v>
      </c>
      <c r="M98" s="50">
        <f t="shared" si="7"/>
        <v>1458342.4466764207</v>
      </c>
      <c r="N98" s="49">
        <f t="shared" si="7"/>
        <v>1458342.4466764207</v>
      </c>
      <c r="O98" s="48">
        <f t="shared" ref="O98:O109" si="20">$F98</f>
        <v>1429582.9119075274</v>
      </c>
      <c r="P98" s="45" t="s">
        <v>40</v>
      </c>
      <c r="Q98" s="45">
        <f>MIN(Exposure!$C$23,MAX(0,BC_without_index!$O98-Exposure!$E$23))</f>
        <v>0</v>
      </c>
      <c r="R98" s="45">
        <f>MIN(Exposure!$C$24,MAX(0,BC_without_index!$O98-Exposure!$E$24))</f>
        <v>0</v>
      </c>
      <c r="S98" s="1" t="str">
        <f t="shared" si="13"/>
        <v>-</v>
      </c>
      <c r="T98" s="1" t="str">
        <f t="shared" si="14"/>
        <v>-</v>
      </c>
    </row>
    <row r="99" spans="4:20" x14ac:dyDescent="0.3">
      <c r="D99">
        <f>Incurred_loss!$C97</f>
        <v>2024</v>
      </c>
      <c r="E99" s="45">
        <f>Incurred_loss!D97</f>
        <v>743096.83534889214</v>
      </c>
      <c r="F99" s="45">
        <f>Incurred_loss!E97</f>
        <v>467605.9634052522</v>
      </c>
      <c r="G99" s="50">
        <f t="shared" si="19"/>
        <v>478335.99519863731</v>
      </c>
      <c r="H99" s="50">
        <f t="shared" si="17"/>
        <v>491415.03190746502</v>
      </c>
      <c r="I99" s="49">
        <f t="shared" si="15"/>
        <v>476577.70235666086</v>
      </c>
      <c r="J99" s="50">
        <f t="shared" si="11"/>
        <v>476222.20880788076</v>
      </c>
      <c r="K99" s="50">
        <f t="shared" si="9"/>
        <v>475763.96627098235</v>
      </c>
      <c r="L99" s="50">
        <f t="shared" si="7"/>
        <v>477242.41820940579</v>
      </c>
      <c r="M99" s="50">
        <f t="shared" si="7"/>
        <v>477012.9938409694</v>
      </c>
      <c r="N99" s="49">
        <f t="shared" si="7"/>
        <v>477012.9938409694</v>
      </c>
      <c r="O99" s="48">
        <f t="shared" si="20"/>
        <v>467605.9634052522</v>
      </c>
      <c r="P99" s="45" t="s">
        <v>40</v>
      </c>
      <c r="Q99" s="45">
        <f>MIN(Exposure!$C$23,MAX(0,BC_without_index!$O99-Exposure!$E$23))</f>
        <v>0</v>
      </c>
      <c r="R99" s="45">
        <f>MIN(Exposure!$C$24,MAX(0,BC_without_index!$O99-Exposure!$E$24))</f>
        <v>0</v>
      </c>
      <c r="S99" s="1" t="str">
        <f t="shared" si="13"/>
        <v>-</v>
      </c>
      <c r="T99" s="1" t="str">
        <f t="shared" si="14"/>
        <v>-</v>
      </c>
    </row>
    <row r="100" spans="4:20" x14ac:dyDescent="0.3">
      <c r="D100">
        <f>Incurred_loss!$C98</f>
        <v>2024</v>
      </c>
      <c r="E100" s="45">
        <f>Incurred_loss!D98</f>
        <v>260154.69101487799</v>
      </c>
      <c r="F100" s="45">
        <f>Incurred_loss!E98</f>
        <v>391694.10620632488</v>
      </c>
      <c r="G100" s="50">
        <f t="shared" si="19"/>
        <v>400682.20845863293</v>
      </c>
      <c r="H100" s="50">
        <f t="shared" si="17"/>
        <v>411637.97462636273</v>
      </c>
      <c r="I100" s="49">
        <f t="shared" si="15"/>
        <v>399209.35952794016</v>
      </c>
      <c r="J100" s="50">
        <f t="shared" si="11"/>
        <v>398911.57733791519</v>
      </c>
      <c r="K100" s="50">
        <f t="shared" si="9"/>
        <v>398527.72658543754</v>
      </c>
      <c r="L100" s="50">
        <f t="shared" si="7"/>
        <v>399766.16440683015</v>
      </c>
      <c r="M100" s="50">
        <f t="shared" si="7"/>
        <v>399573.98513631307</v>
      </c>
      <c r="N100" s="49">
        <f t="shared" si="7"/>
        <v>399573.98513631307</v>
      </c>
      <c r="O100" s="48">
        <f t="shared" si="20"/>
        <v>391694.10620632488</v>
      </c>
      <c r="P100" s="45" t="s">
        <v>40</v>
      </c>
      <c r="Q100" s="45">
        <f>MIN(Exposure!$C$23,MAX(0,BC_without_index!$O100-Exposure!$E$23))</f>
        <v>0</v>
      </c>
      <c r="R100" s="45">
        <f>MIN(Exposure!$C$24,MAX(0,BC_without_index!$O100-Exposure!$E$24))</f>
        <v>0</v>
      </c>
      <c r="S100" s="1" t="str">
        <f t="shared" si="13"/>
        <v>-</v>
      </c>
      <c r="T100" s="1" t="str">
        <f t="shared" si="14"/>
        <v>-</v>
      </c>
    </row>
    <row r="101" spans="4:20" x14ac:dyDescent="0.3">
      <c r="D101">
        <f>Incurred_loss!$C99</f>
        <v>2024</v>
      </c>
      <c r="E101" s="45">
        <f>Incurred_loss!D99</f>
        <v>2964151.3919066447</v>
      </c>
      <c r="F101" s="45">
        <f>Incurred_loss!E99</f>
        <v>3387767.6800011471</v>
      </c>
      <c r="G101" s="50">
        <f t="shared" si="19"/>
        <v>3465505.8992708428</v>
      </c>
      <c r="H101" s="50">
        <f t="shared" si="17"/>
        <v>3560262.470647831</v>
      </c>
      <c r="I101" s="49">
        <f t="shared" si="15"/>
        <v>3452767.208731811</v>
      </c>
      <c r="J101" s="50">
        <f t="shared" si="11"/>
        <v>3450191.6864988697</v>
      </c>
      <c r="K101" s="50">
        <f t="shared" si="9"/>
        <v>3446871.7560925055</v>
      </c>
      <c r="L101" s="50">
        <f t="shared" si="7"/>
        <v>3457583.0217422238</v>
      </c>
      <c r="M101" s="50">
        <f t="shared" si="7"/>
        <v>3455920.8606039579</v>
      </c>
      <c r="N101" s="49">
        <f t="shared" si="7"/>
        <v>3455920.8606039579</v>
      </c>
      <c r="O101" s="48">
        <f t="shared" si="20"/>
        <v>3387767.6800011471</v>
      </c>
      <c r="P101" s="45" t="s">
        <v>40</v>
      </c>
      <c r="Q101" s="45">
        <f>MIN(Exposure!$C$23,MAX(0,BC_without_index!$O101-Exposure!$E$23))</f>
        <v>0</v>
      </c>
      <c r="R101" s="45">
        <f>MIN(Exposure!$C$24,MAX(0,BC_without_index!$O101-Exposure!$E$24))</f>
        <v>0</v>
      </c>
      <c r="S101" s="1" t="str">
        <f t="shared" si="13"/>
        <v>-</v>
      </c>
      <c r="T101" s="1" t="str">
        <f t="shared" si="14"/>
        <v>-</v>
      </c>
    </row>
    <row r="102" spans="4:20" x14ac:dyDescent="0.3">
      <c r="D102">
        <f>Incurred_loss!$C100</f>
        <v>2024</v>
      </c>
      <c r="E102" s="45">
        <f>Incurred_loss!D100</f>
        <v>2087792.36347859</v>
      </c>
      <c r="F102" s="45">
        <f>Incurred_loss!E100</f>
        <v>2024780.4847003194</v>
      </c>
      <c r="G102" s="50">
        <f t="shared" si="19"/>
        <v>2071242.5931329085</v>
      </c>
      <c r="H102" s="50">
        <f t="shared" si="17"/>
        <v>2127876.1272603646</v>
      </c>
      <c r="I102" s="49">
        <f t="shared" si="15"/>
        <v>2063629.0096642629</v>
      </c>
      <c r="J102" s="50">
        <f t="shared" si="11"/>
        <v>2062089.6871227687</v>
      </c>
      <c r="K102" s="50">
        <f t="shared" si="9"/>
        <v>2060105.4512092343</v>
      </c>
      <c r="L102" s="50">
        <f t="shared" si="7"/>
        <v>2066507.2956397186</v>
      </c>
      <c r="M102" s="50">
        <f t="shared" si="7"/>
        <v>2065513.8652297601</v>
      </c>
      <c r="N102" s="49">
        <f t="shared" si="7"/>
        <v>2065513.8652297601</v>
      </c>
      <c r="O102" s="48">
        <f t="shared" si="20"/>
        <v>2024780.4847003194</v>
      </c>
      <c r="P102" s="45" t="s">
        <v>40</v>
      </c>
      <c r="Q102" s="45">
        <f>MIN(Exposure!$C$23,MAX(0,BC_without_index!$O102-Exposure!$E$23))</f>
        <v>0</v>
      </c>
      <c r="R102" s="45">
        <f>MIN(Exposure!$C$24,MAX(0,BC_without_index!$O102-Exposure!$E$24))</f>
        <v>0</v>
      </c>
      <c r="S102" s="1" t="str">
        <f t="shared" si="13"/>
        <v>-</v>
      </c>
      <c r="T102" s="1" t="str">
        <f t="shared" si="14"/>
        <v>-</v>
      </c>
    </row>
    <row r="103" spans="4:20" x14ac:dyDescent="0.3">
      <c r="D103">
        <f>Incurred_loss!$C101</f>
        <v>2024</v>
      </c>
      <c r="E103" s="45">
        <f>Incurred_loss!D101</f>
        <v>260128.86688687687</v>
      </c>
      <c r="F103" s="45">
        <f>Incurred_loss!E101</f>
        <v>517826.52658968267</v>
      </c>
      <c r="G103" s="50">
        <f t="shared" si="19"/>
        <v>529708.95651701465</v>
      </c>
      <c r="H103" s="50">
        <f t="shared" si="17"/>
        <v>544192.6728938343</v>
      </c>
      <c r="I103" s="49">
        <f t="shared" si="15"/>
        <v>527761.82421686663</v>
      </c>
      <c r="J103" s="50">
        <f t="shared" si="11"/>
        <v>527368.15090216103</v>
      </c>
      <c r="K103" s="50">
        <f t="shared" si="9"/>
        <v>526860.69342773163</v>
      </c>
      <c r="L103" s="50">
        <f t="shared" si="7"/>
        <v>528497.93010116578</v>
      </c>
      <c r="M103" s="50">
        <f t="shared" si="7"/>
        <v>528243.8657112309</v>
      </c>
      <c r="N103" s="49">
        <f t="shared" si="7"/>
        <v>528243.8657112309</v>
      </c>
      <c r="O103" s="48">
        <f t="shared" si="20"/>
        <v>517826.52658968267</v>
      </c>
      <c r="P103" s="45" t="s">
        <v>40</v>
      </c>
      <c r="Q103" s="45">
        <f>MIN(Exposure!$C$23,MAX(0,BC_without_index!$O103-Exposure!$E$23))</f>
        <v>0</v>
      </c>
      <c r="R103" s="45">
        <f>MIN(Exposure!$C$24,MAX(0,BC_without_index!$O103-Exposure!$E$24))</f>
        <v>0</v>
      </c>
      <c r="S103" s="1" t="str">
        <f t="shared" si="13"/>
        <v>-</v>
      </c>
      <c r="T103" s="1" t="str">
        <f t="shared" si="14"/>
        <v>-</v>
      </c>
    </row>
    <row r="104" spans="4:20" x14ac:dyDescent="0.3">
      <c r="D104">
        <f>Incurred_loss!$C102</f>
        <v>2024</v>
      </c>
      <c r="E104" s="45">
        <f>Incurred_loss!D102</f>
        <v>1102122.2097467172</v>
      </c>
      <c r="F104" s="45">
        <f>Incurred_loss!E102</f>
        <v>3638697.7886711881</v>
      </c>
      <c r="G104" s="50">
        <f t="shared" si="19"/>
        <v>3722194.035542456</v>
      </c>
      <c r="H104" s="50">
        <f t="shared" si="17"/>
        <v>3823969.1746013989</v>
      </c>
      <c r="I104" s="49">
        <f t="shared" si="15"/>
        <v>3708511.7971267076</v>
      </c>
      <c r="J104" s="50">
        <f t="shared" si="11"/>
        <v>3705745.5073633925</v>
      </c>
      <c r="K104" s="50">
        <f t="shared" si="9"/>
        <v>3702179.6715183044</v>
      </c>
      <c r="L104" s="50">
        <f t="shared" si="7"/>
        <v>3713684.3147863708</v>
      </c>
      <c r="M104" s="50">
        <f t="shared" si="7"/>
        <v>3711899.0382770263</v>
      </c>
      <c r="N104" s="49">
        <f t="shared" si="7"/>
        <v>3711899.0382770263</v>
      </c>
      <c r="O104" s="48">
        <f t="shared" si="20"/>
        <v>3638697.7886711881</v>
      </c>
      <c r="P104" s="45" t="s">
        <v>40</v>
      </c>
      <c r="Q104" s="45">
        <f>MIN(Exposure!$C$23,MAX(0,BC_without_index!$O104-Exposure!$E$23))</f>
        <v>0</v>
      </c>
      <c r="R104" s="45">
        <f>MIN(Exposure!$C$24,MAX(0,BC_without_index!$O104-Exposure!$E$24))</f>
        <v>0</v>
      </c>
      <c r="S104" s="1" t="str">
        <f t="shared" si="13"/>
        <v>-</v>
      </c>
      <c r="T104" s="1" t="str">
        <f t="shared" si="14"/>
        <v>-</v>
      </c>
    </row>
    <row r="105" spans="4:20" x14ac:dyDescent="0.3">
      <c r="D105">
        <f>Incurred_loss!$C103</f>
        <v>2024</v>
      </c>
      <c r="E105" s="45">
        <f>Incurred_loss!D103</f>
        <v>3392308.4375409642</v>
      </c>
      <c r="F105" s="45">
        <f>Incurred_loss!E103</f>
        <v>1859123.1783655067</v>
      </c>
      <c r="G105" s="50">
        <f t="shared" si="19"/>
        <v>1901783.9918983588</v>
      </c>
      <c r="H105" s="50">
        <f t="shared" si="17"/>
        <v>1953784.0564805157</v>
      </c>
      <c r="I105" s="49">
        <f t="shared" si="15"/>
        <v>1894793.3133512598</v>
      </c>
      <c r="J105" s="50">
        <f t="shared" si="11"/>
        <v>1893379.9304006156</v>
      </c>
      <c r="K105" s="50">
        <f t="shared" si="9"/>
        <v>1891558.0346415092</v>
      </c>
      <c r="L105" s="50">
        <f t="shared" si="7"/>
        <v>1897436.1125146102</v>
      </c>
      <c r="M105" s="50">
        <f t="shared" si="7"/>
        <v>1896523.9595601528</v>
      </c>
      <c r="N105" s="49">
        <f t="shared" si="7"/>
        <v>1896523.9595601528</v>
      </c>
      <c r="O105" s="48">
        <f t="shared" si="20"/>
        <v>1859123.1783655067</v>
      </c>
      <c r="P105" s="45" t="s">
        <v>40</v>
      </c>
      <c r="Q105" s="45">
        <f>MIN(Exposure!$C$23,MAX(0,BC_without_index!$O105-Exposure!$E$23))</f>
        <v>0</v>
      </c>
      <c r="R105" s="45">
        <f>MIN(Exposure!$C$24,MAX(0,BC_without_index!$O105-Exposure!$E$24))</f>
        <v>0</v>
      </c>
      <c r="S105" s="1" t="str">
        <f t="shared" si="13"/>
        <v>-</v>
      </c>
      <c r="T105" s="1" t="str">
        <f t="shared" si="14"/>
        <v>-</v>
      </c>
    </row>
    <row r="106" spans="4:20" x14ac:dyDescent="0.3">
      <c r="D106">
        <f>Incurred_loss!$C104</f>
        <v>2024</v>
      </c>
      <c r="E106" s="45">
        <f>Incurred_loss!D104</f>
        <v>5923477.1993401647</v>
      </c>
      <c r="F106" s="45">
        <f>Incurred_loss!E104</f>
        <v>3091666.0211610058</v>
      </c>
      <c r="G106" s="50">
        <f t="shared" si="19"/>
        <v>3162609.6730768303</v>
      </c>
      <c r="H106" s="50">
        <f t="shared" si="17"/>
        <v>3249084.2190550989</v>
      </c>
      <c r="I106" s="49">
        <f t="shared" si="15"/>
        <v>3150984.3845642498</v>
      </c>
      <c r="J106" s="50">
        <f t="shared" si="11"/>
        <v>3148633.9711574111</v>
      </c>
      <c r="K106" s="50">
        <f t="shared" si="9"/>
        <v>3145604.2132166387</v>
      </c>
      <c r="L106" s="50">
        <f t="shared" si="7"/>
        <v>3155379.2802167619</v>
      </c>
      <c r="M106" s="50">
        <f t="shared" si="7"/>
        <v>3153862.397242995</v>
      </c>
      <c r="N106" s="49">
        <f t="shared" si="7"/>
        <v>3153862.397242995</v>
      </c>
      <c r="O106" s="48">
        <f t="shared" si="20"/>
        <v>3091666.0211610058</v>
      </c>
      <c r="P106" s="45" t="s">
        <v>40</v>
      </c>
      <c r="Q106" s="45">
        <f>MIN(Exposure!$C$23,MAX(0,BC_without_index!$O106-Exposure!$E$23))</f>
        <v>0</v>
      </c>
      <c r="R106" s="45">
        <f>MIN(Exposure!$C$24,MAX(0,BC_without_index!$O106-Exposure!$E$24))</f>
        <v>0</v>
      </c>
      <c r="S106" s="1" t="str">
        <f t="shared" si="13"/>
        <v>-</v>
      </c>
      <c r="T106" s="1" t="str">
        <f t="shared" si="14"/>
        <v>-</v>
      </c>
    </row>
    <row r="107" spans="4:20" x14ac:dyDescent="0.3">
      <c r="D107">
        <f>Incurred_loss!$C105</f>
        <v>2024</v>
      </c>
      <c r="E107" s="45">
        <f>Incurred_loss!D105</f>
        <v>5863950.2170691229</v>
      </c>
      <c r="F107" s="45">
        <f>Incurred_loss!E105</f>
        <v>6111506.5063208845</v>
      </c>
      <c r="G107" s="50">
        <f t="shared" si="19"/>
        <v>6251745.6483556731</v>
      </c>
      <c r="H107" s="50">
        <f t="shared" si="17"/>
        <v>6422685.7650306532</v>
      </c>
      <c r="I107" s="49">
        <f t="shared" si="15"/>
        <v>6228765.1498489771</v>
      </c>
      <c r="J107" s="50">
        <f t="shared" si="11"/>
        <v>6224118.9278023141</v>
      </c>
      <c r="K107" s="50">
        <f t="shared" si="9"/>
        <v>6218129.7992092287</v>
      </c>
      <c r="L107" s="50">
        <f t="shared" si="7"/>
        <v>6237452.839007861</v>
      </c>
      <c r="M107" s="50">
        <f t="shared" si="7"/>
        <v>6234454.3132615322</v>
      </c>
      <c r="N107" s="49">
        <f t="shared" si="7"/>
        <v>6234454.3132615322</v>
      </c>
      <c r="O107" s="48">
        <f t="shared" si="20"/>
        <v>6111506.5063208845</v>
      </c>
      <c r="P107" s="45" t="s">
        <v>40</v>
      </c>
      <c r="Q107" s="45">
        <f>MIN(Exposure!$C$23,MAX(0,BC_without_index!$O107-Exposure!$E$23))</f>
        <v>2111506.5063208845</v>
      </c>
      <c r="R107" s="45">
        <f>MIN(Exposure!$C$24,MAX(0,BC_without_index!$O107-Exposure!$E$24))</f>
        <v>0</v>
      </c>
      <c r="S107" s="1" t="str">
        <f t="shared" si="13"/>
        <v>-</v>
      </c>
      <c r="T107" s="1" t="str">
        <f t="shared" si="14"/>
        <v>-</v>
      </c>
    </row>
    <row r="108" spans="4:20" x14ac:dyDescent="0.3">
      <c r="D108">
        <f>Incurred_loss!$C106</f>
        <v>2024</v>
      </c>
      <c r="E108" s="45">
        <f>Incurred_loss!D106</f>
        <v>1814288.6028410117</v>
      </c>
      <c r="F108" s="45">
        <f>Incurred_loss!E106</f>
        <v>919430.26535042701</v>
      </c>
      <c r="G108" s="50">
        <f t="shared" si="19"/>
        <v>940528.19127756194</v>
      </c>
      <c r="H108" s="50">
        <f t="shared" si="17"/>
        <v>966244.84831964434</v>
      </c>
      <c r="I108" s="49">
        <f t="shared" si="15"/>
        <v>937070.9478273514</v>
      </c>
      <c r="J108" s="50">
        <f t="shared" si="11"/>
        <v>936371.95860680123</v>
      </c>
      <c r="K108" s="50">
        <f t="shared" si="9"/>
        <v>935470.93917961686</v>
      </c>
      <c r="L108" s="50">
        <f t="shared" si="7"/>
        <v>938377.94542939484</v>
      </c>
      <c r="M108" s="50">
        <f t="shared" si="7"/>
        <v>937926.83974542702</v>
      </c>
      <c r="N108" s="49">
        <f t="shared" si="7"/>
        <v>937926.83974542702</v>
      </c>
      <c r="O108" s="48">
        <f t="shared" si="20"/>
        <v>919430.26535042701</v>
      </c>
      <c r="P108" s="45" t="s">
        <v>40</v>
      </c>
      <c r="Q108" s="45">
        <f>MIN(Exposure!$C$23,MAX(0,BC_without_index!$O108-Exposure!$E$23))</f>
        <v>0</v>
      </c>
      <c r="R108" s="45">
        <f>MIN(Exposure!$C$24,MAX(0,BC_without_index!$O108-Exposure!$E$24))</f>
        <v>0</v>
      </c>
      <c r="S108" s="1" t="str">
        <f t="shared" si="13"/>
        <v>-</v>
      </c>
      <c r="T108" s="1" t="str">
        <f t="shared" si="14"/>
        <v>-</v>
      </c>
    </row>
    <row r="109" spans="4:20" x14ac:dyDescent="0.3">
      <c r="D109">
        <f>Incurred_loss!$C107</f>
        <v>2024</v>
      </c>
      <c r="E109" s="45">
        <f>Incurred_loss!D107</f>
        <v>3310085.5138916974</v>
      </c>
      <c r="F109" s="45">
        <f>Incurred_loss!E107</f>
        <v>2038647.9081233605</v>
      </c>
      <c r="G109" s="50">
        <f t="shared" si="19"/>
        <v>2085428.2286957991</v>
      </c>
      <c r="H109" s="50">
        <f t="shared" si="17"/>
        <v>2142449.6375601087</v>
      </c>
      <c r="I109" s="49">
        <f t="shared" si="15"/>
        <v>2077762.500914956</v>
      </c>
      <c r="J109" s="50">
        <f t="shared" si="11"/>
        <v>2076212.6357800157</v>
      </c>
      <c r="K109" s="50">
        <f t="shared" si="9"/>
        <v>2074214.8101268567</v>
      </c>
      <c r="L109" s="50">
        <f t="shared" si="9"/>
        <v>2080660.4998472757</v>
      </c>
      <c r="M109" s="50">
        <f t="shared" si="9"/>
        <v>2079660.2655787061</v>
      </c>
      <c r="N109" s="49">
        <f t="shared" si="9"/>
        <v>2079660.2655787061</v>
      </c>
      <c r="O109" s="48">
        <f t="shared" si="20"/>
        <v>2038647.9081233605</v>
      </c>
      <c r="P109" s="45" t="s">
        <v>40</v>
      </c>
      <c r="Q109" s="45">
        <f>MIN(Exposure!$C$23,MAX(0,BC_without_index!$O109-Exposure!$E$23))</f>
        <v>0</v>
      </c>
      <c r="R109" s="45">
        <f>MIN(Exposure!$C$24,MAX(0,BC_without_index!$O109-Exposure!$E$24))</f>
        <v>0</v>
      </c>
      <c r="S109" s="1" t="str">
        <f t="shared" si="13"/>
        <v>-</v>
      </c>
      <c r="T109" s="1" t="str">
        <f t="shared" si="14"/>
        <v>-</v>
      </c>
    </row>
    <row r="110" spans="4:20" x14ac:dyDescent="0.3">
      <c r="D110">
        <f>Incurred_loss!$C108</f>
        <v>2025</v>
      </c>
      <c r="E110" s="45">
        <f>Incurred_loss!D108</f>
        <v>454945.70797748858</v>
      </c>
      <c r="F110" s="50">
        <f>E110*E$120</f>
        <v>468646.79356978834</v>
      </c>
      <c r="G110" s="50">
        <f t="shared" si="19"/>
        <v>479400.70902084897</v>
      </c>
      <c r="H110" s="50">
        <f t="shared" si="17"/>
        <v>492508.85796731897</v>
      </c>
      <c r="I110" s="49">
        <f t="shared" si="15"/>
        <v>477638.50244728808</v>
      </c>
      <c r="J110" s="50">
        <f t="shared" si="11"/>
        <v>477282.21761602268</v>
      </c>
      <c r="K110" s="50">
        <f t="shared" si="9"/>
        <v>476822.95509073144</v>
      </c>
      <c r="L110" s="50">
        <f t="shared" si="9"/>
        <v>478304.69787122012</v>
      </c>
      <c r="M110" s="50">
        <f t="shared" si="9"/>
        <v>478074.76283392607</v>
      </c>
      <c r="N110" s="49">
        <f t="shared" si="9"/>
        <v>478074.76283392607</v>
      </c>
      <c r="O110" s="48">
        <f>$E110</f>
        <v>454945.70797748858</v>
      </c>
      <c r="P110" s="45">
        <f>Exposure!$C$16</f>
        <v>193036399.9269864</v>
      </c>
      <c r="Q110" s="45">
        <f>MIN(Exposure!$C$23,MAX(0,BC_without_index!$O110-Exposure!$E$23))</f>
        <v>0</v>
      </c>
      <c r="R110" s="45">
        <f>MIN(Exposure!$C$24,MAX(0,BC_without_index!$O110-Exposure!$E$24))</f>
        <v>0</v>
      </c>
      <c r="S110" s="1">
        <f t="shared" si="13"/>
        <v>3.4045503499909445E-2</v>
      </c>
      <c r="T110" s="1">
        <f t="shared" si="14"/>
        <v>6.3795315637574193E-2</v>
      </c>
    </row>
    <row r="111" spans="4:20" x14ac:dyDescent="0.3">
      <c r="D111">
        <f>Incurred_loss!$C109</f>
        <v>2025</v>
      </c>
      <c r="E111" s="45">
        <f>Incurred_loss!D109</f>
        <v>2514023.9966928782</v>
      </c>
      <c r="F111" s="50">
        <f t="shared" ref="F111:F118" si="21">E111*E$120</f>
        <v>2589736.0154146571</v>
      </c>
      <c r="G111" s="50">
        <f t="shared" si="19"/>
        <v>2649162.010711024</v>
      </c>
      <c r="H111" s="50">
        <f t="shared" si="17"/>
        <v>2721597.4693290461</v>
      </c>
      <c r="I111" s="49">
        <f t="shared" si="15"/>
        <v>2639424.0803703754</v>
      </c>
      <c r="J111" s="50">
        <f t="shared" si="11"/>
        <v>2637455.2550803404</v>
      </c>
      <c r="K111" s="50">
        <f t="shared" si="9"/>
        <v>2634917.3764079669</v>
      </c>
      <c r="L111" s="50">
        <f t="shared" si="9"/>
        <v>2643105.467518081</v>
      </c>
      <c r="M111" s="50">
        <f t="shared" si="9"/>
        <v>2641834.8495271839</v>
      </c>
      <c r="N111" s="49">
        <f t="shared" si="9"/>
        <v>2641834.8495271839</v>
      </c>
      <c r="O111" s="48">
        <f t="shared" ref="O111:O118" si="22">$E111</f>
        <v>2514023.9966928782</v>
      </c>
      <c r="P111" s="45" t="s">
        <v>40</v>
      </c>
      <c r="Q111" s="45">
        <f>MIN(Exposure!$C$23,MAX(0,BC_without_index!$O111-Exposure!$E$23))</f>
        <v>0</v>
      </c>
      <c r="R111" s="45">
        <f>MIN(Exposure!$C$24,MAX(0,BC_without_index!$O111-Exposure!$E$24))</f>
        <v>0</v>
      </c>
      <c r="S111" s="1" t="str">
        <f t="shared" si="13"/>
        <v>-</v>
      </c>
      <c r="T111" s="1" t="str">
        <f t="shared" si="14"/>
        <v>-</v>
      </c>
    </row>
    <row r="112" spans="4:20" x14ac:dyDescent="0.3">
      <c r="D112">
        <f>Incurred_loss!$C110</f>
        <v>2025</v>
      </c>
      <c r="E112" s="45">
        <f>Incurred_loss!D110</f>
        <v>22314818.062883101</v>
      </c>
      <c r="F112" s="50">
        <f t="shared" si="21"/>
        <v>22986848.212624148</v>
      </c>
      <c r="G112" s="50">
        <f t="shared" si="19"/>
        <v>23514321.408977326</v>
      </c>
      <c r="H112" s="50">
        <f t="shared" si="17"/>
        <v>24157268.366718765</v>
      </c>
      <c r="I112" s="49">
        <f t="shared" si="15"/>
        <v>23427886.218165122</v>
      </c>
      <c r="J112" s="50">
        <f t="shared" si="11"/>
        <v>23410410.657787606</v>
      </c>
      <c r="K112" s="50">
        <f t="shared" si="9"/>
        <v>23387884.102387108</v>
      </c>
      <c r="L112" s="50">
        <f t="shared" si="9"/>
        <v>23460562.709928188</v>
      </c>
      <c r="M112" s="50">
        <f t="shared" si="9"/>
        <v>23449284.532260992</v>
      </c>
      <c r="N112" s="49">
        <f t="shared" si="9"/>
        <v>23449284.532260992</v>
      </c>
      <c r="O112" s="48">
        <f t="shared" si="22"/>
        <v>22314818.062883101</v>
      </c>
      <c r="P112" s="45" t="s">
        <v>40</v>
      </c>
      <c r="Q112" s="45">
        <f>MIN(Exposure!$C$23,MAX(0,BC_without_index!$O112-Exposure!$E$23))</f>
        <v>6000000</v>
      </c>
      <c r="R112" s="45">
        <f>MIN(Exposure!$C$24,MAX(0,BC_without_index!$O112-Exposure!$E$24))</f>
        <v>12314818.062883101</v>
      </c>
      <c r="S112" s="1" t="str">
        <f t="shared" si="13"/>
        <v>-</v>
      </c>
      <c r="T112" s="1" t="str">
        <f t="shared" si="14"/>
        <v>-</v>
      </c>
    </row>
    <row r="113" spans="4:23" x14ac:dyDescent="0.3">
      <c r="D113">
        <f>Incurred_loss!$C111</f>
        <v>2025</v>
      </c>
      <c r="E113" s="45">
        <f>Incurred_loss!D111</f>
        <v>532016.17969837005</v>
      </c>
      <c r="F113" s="50">
        <f>E113*E$120</f>
        <v>548038.30956292164</v>
      </c>
      <c r="G113" s="50">
        <f t="shared" si="19"/>
        <v>560614.00137570302</v>
      </c>
      <c r="H113" s="50">
        <f t="shared" si="17"/>
        <v>575942.74764835334</v>
      </c>
      <c r="I113" s="49">
        <f t="shared" si="15"/>
        <v>558553.26667117514</v>
      </c>
      <c r="J113" s="50">
        <f t="shared" si="11"/>
        <v>558136.62509946548</v>
      </c>
      <c r="K113" s="50">
        <f t="shared" si="9"/>
        <v>557599.56080827722</v>
      </c>
      <c r="L113" s="50">
        <f t="shared" si="9"/>
        <v>559332.31950793776</v>
      </c>
      <c r="M113" s="50">
        <f t="shared" si="9"/>
        <v>559063.43212648784</v>
      </c>
      <c r="N113" s="49">
        <f t="shared" si="9"/>
        <v>559063.43212648784</v>
      </c>
      <c r="O113" s="48">
        <f t="shared" si="22"/>
        <v>532016.17969837005</v>
      </c>
      <c r="P113" s="45" t="s">
        <v>40</v>
      </c>
      <c r="Q113" s="45">
        <f>MIN(Exposure!$C$23,MAX(0,BC_without_index!$O113-Exposure!$E$23))</f>
        <v>0</v>
      </c>
      <c r="R113" s="45">
        <f>MIN(Exposure!$C$24,MAX(0,BC_without_index!$O113-Exposure!$E$24))</f>
        <v>0</v>
      </c>
      <c r="S113" s="1" t="str">
        <f t="shared" si="13"/>
        <v>-</v>
      </c>
      <c r="T113" s="1" t="str">
        <f t="shared" si="14"/>
        <v>-</v>
      </c>
    </row>
    <row r="114" spans="4:23" x14ac:dyDescent="0.3">
      <c r="D114">
        <f>Incurred_loss!$C112</f>
        <v>2025</v>
      </c>
      <c r="E114" s="45">
        <f>Incurred_loss!D112</f>
        <v>1357244.7608516302</v>
      </c>
      <c r="F114" s="50">
        <f t="shared" si="21"/>
        <v>1398119.3670124356</v>
      </c>
      <c r="G114" s="50">
        <f t="shared" si="19"/>
        <v>1430201.6466090058</v>
      </c>
      <c r="H114" s="50">
        <f t="shared" si="17"/>
        <v>1469307.3380576645</v>
      </c>
      <c r="I114" s="49">
        <f t="shared" si="15"/>
        <v>1424944.4354790524</v>
      </c>
      <c r="J114" s="50">
        <f t="shared" si="11"/>
        <v>1423881.5268459418</v>
      </c>
      <c r="K114" s="50">
        <f t="shared" si="9"/>
        <v>1422511.4036743701</v>
      </c>
      <c r="L114" s="50">
        <f t="shared" si="9"/>
        <v>1426931.9039461245</v>
      </c>
      <c r="M114" s="50">
        <f t="shared" si="9"/>
        <v>1426245.9361059377</v>
      </c>
      <c r="N114" s="49">
        <f t="shared" si="9"/>
        <v>1426245.9361059377</v>
      </c>
      <c r="O114" s="48">
        <f t="shared" si="22"/>
        <v>1357244.7608516302</v>
      </c>
      <c r="P114" s="45" t="s">
        <v>40</v>
      </c>
      <c r="Q114" s="45">
        <f>MIN(Exposure!$C$23,MAX(0,BC_without_index!$O114-Exposure!$E$23))</f>
        <v>0</v>
      </c>
      <c r="R114" s="45">
        <f>MIN(Exposure!$C$24,MAX(0,BC_without_index!$O114-Exposure!$E$24))</f>
        <v>0</v>
      </c>
      <c r="S114" s="1" t="str">
        <f t="shared" si="13"/>
        <v>-</v>
      </c>
      <c r="T114" s="1" t="str">
        <f t="shared" si="14"/>
        <v>-</v>
      </c>
    </row>
    <row r="115" spans="4:23" x14ac:dyDescent="0.3">
      <c r="D115">
        <f>Incurred_loss!$C113</f>
        <v>2025</v>
      </c>
      <c r="E115" s="45">
        <f>Incurred_loss!D113</f>
        <v>1380274.8385405652</v>
      </c>
      <c r="F115" s="50">
        <f t="shared" si="21"/>
        <v>1421843.0155167019</v>
      </c>
      <c r="G115" s="50">
        <f t="shared" si="19"/>
        <v>1454469.6754732917</v>
      </c>
      <c r="H115" s="50">
        <f t="shared" si="17"/>
        <v>1494238.9223381281</v>
      </c>
      <c r="I115" s="49">
        <f t="shared" si="15"/>
        <v>1449123.2586346536</v>
      </c>
      <c r="J115" s="50">
        <f t="shared" si="11"/>
        <v>1448042.3142948651</v>
      </c>
      <c r="K115" s="50">
        <f t="shared" si="9"/>
        <v>1446648.9425214238</v>
      </c>
      <c r="L115" s="50">
        <f t="shared" si="9"/>
        <v>1451144.4509771247</v>
      </c>
      <c r="M115" s="50">
        <f t="shared" si="9"/>
        <v>1450446.8434584457</v>
      </c>
      <c r="N115" s="49">
        <f t="shared" si="9"/>
        <v>1450446.8434584457</v>
      </c>
      <c r="O115" s="48">
        <f t="shared" si="22"/>
        <v>1380274.8385405652</v>
      </c>
      <c r="P115" s="45" t="s">
        <v>40</v>
      </c>
      <c r="Q115" s="45">
        <f>MIN(Exposure!$C$23,MAX(0,BC_without_index!$O115-Exposure!$E$23))</f>
        <v>0</v>
      </c>
      <c r="R115" s="45">
        <f>MIN(Exposure!$C$24,MAX(0,BC_without_index!$O115-Exposure!$E$24))</f>
        <v>0</v>
      </c>
      <c r="S115" s="1" t="str">
        <f t="shared" si="13"/>
        <v>-</v>
      </c>
      <c r="T115" s="1" t="str">
        <f t="shared" si="14"/>
        <v>-</v>
      </c>
    </row>
    <row r="116" spans="4:23" x14ac:dyDescent="0.3">
      <c r="D116">
        <f>Incurred_loss!$C114</f>
        <v>2025</v>
      </c>
      <c r="E116" s="45">
        <f>Incurred_loss!D114</f>
        <v>563259.38553914777</v>
      </c>
      <c r="F116" s="50">
        <f t="shared" si="21"/>
        <v>580222.43171502219</v>
      </c>
      <c r="G116" s="50">
        <f t="shared" si="19"/>
        <v>593536.64416475047</v>
      </c>
      <c r="H116" s="50">
        <f t="shared" si="17"/>
        <v>609765.58707305382</v>
      </c>
      <c r="I116" s="49">
        <f t="shared" si="15"/>
        <v>591354.89066227304</v>
      </c>
      <c r="J116" s="50">
        <f t="shared" si="11"/>
        <v>590913.78137908492</v>
      </c>
      <c r="K116" s="50">
        <f t="shared" si="9"/>
        <v>590345.17742643587</v>
      </c>
      <c r="L116" s="50">
        <f t="shared" si="9"/>
        <v>592179.69419059099</v>
      </c>
      <c r="M116" s="50">
        <f t="shared" si="9"/>
        <v>591895.01611681399</v>
      </c>
      <c r="N116" s="49">
        <f t="shared" si="9"/>
        <v>591895.01611681399</v>
      </c>
      <c r="O116" s="48">
        <f t="shared" si="22"/>
        <v>563259.38553914777</v>
      </c>
      <c r="P116" s="45" t="s">
        <v>40</v>
      </c>
      <c r="Q116" s="45">
        <f>MIN(Exposure!$C$23,MAX(0,BC_without_index!$O116-Exposure!$E$23))</f>
        <v>0</v>
      </c>
      <c r="R116" s="45">
        <f>MIN(Exposure!$C$24,MAX(0,BC_without_index!$O116-Exposure!$E$24))</f>
        <v>0</v>
      </c>
      <c r="S116" s="1" t="str">
        <f t="shared" si="13"/>
        <v>-</v>
      </c>
      <c r="T116" s="1" t="str">
        <f t="shared" si="14"/>
        <v>-</v>
      </c>
    </row>
    <row r="117" spans="4:23" x14ac:dyDescent="0.3">
      <c r="D117">
        <f>Incurred_loss!$C115</f>
        <v>2025</v>
      </c>
      <c r="E117" s="45">
        <f>Incurred_loss!D115</f>
        <v>4572021.4293241352</v>
      </c>
      <c r="F117" s="50">
        <f t="shared" si="21"/>
        <v>4709711.830254565</v>
      </c>
      <c r="G117" s="50">
        <f t="shared" si="19"/>
        <v>4817784.3563367799</v>
      </c>
      <c r="H117" s="50">
        <f t="shared" si="17"/>
        <v>4949515.9823992876</v>
      </c>
      <c r="I117" s="49">
        <f>H117*I$120</f>
        <v>4800074.8888642024</v>
      </c>
      <c r="J117" s="50">
        <f t="shared" si="11"/>
        <v>4796494.3695738232</v>
      </c>
      <c r="K117" s="50">
        <f t="shared" si="9"/>
        <v>4791878.9658663087</v>
      </c>
      <c r="L117" s="50">
        <f t="shared" si="9"/>
        <v>4806769.8849943466</v>
      </c>
      <c r="M117" s="50">
        <f t="shared" si="9"/>
        <v>4804459.1303275218</v>
      </c>
      <c r="N117" s="49">
        <f t="shared" si="9"/>
        <v>4804459.1303275218</v>
      </c>
      <c r="O117" s="48">
        <f t="shared" si="22"/>
        <v>4572021.4293241352</v>
      </c>
      <c r="P117" s="45" t="s">
        <v>40</v>
      </c>
      <c r="Q117" s="45">
        <f>MIN(Exposure!$C$23,MAX(0,BC_without_index!$O117-Exposure!$E$23))</f>
        <v>572021.42932413518</v>
      </c>
      <c r="R117" s="45">
        <f>MIN(Exposure!$C$24,MAX(0,BC_without_index!$O117-Exposure!$E$24))</f>
        <v>0</v>
      </c>
      <c r="S117" s="1" t="str">
        <f t="shared" si="13"/>
        <v>-</v>
      </c>
      <c r="T117" s="1" t="str">
        <f t="shared" si="14"/>
        <v>-</v>
      </c>
    </row>
    <row r="118" spans="4:23" x14ac:dyDescent="0.3">
      <c r="D118">
        <f>Incurred_loss!$C116</f>
        <v>2025</v>
      </c>
      <c r="E118" s="45">
        <f>Incurred_loss!D116</f>
        <v>564437.76515824324</v>
      </c>
      <c r="F118" s="50">
        <f t="shared" si="21"/>
        <v>581436.29926100292</v>
      </c>
      <c r="G118" s="50">
        <f t="shared" si="19"/>
        <v>594778.36601196055</v>
      </c>
      <c r="H118" s="50">
        <f t="shared" si="17"/>
        <v>611041.26104969776</v>
      </c>
      <c r="I118" s="49">
        <f t="shared" si="15"/>
        <v>592592.04812240473</v>
      </c>
      <c r="J118" s="50">
        <f t="shared" si="11"/>
        <v>592150.01600649965</v>
      </c>
      <c r="K118" s="50">
        <f t="shared" si="9"/>
        <v>591580.22249300824</v>
      </c>
      <c r="L118" s="50">
        <f t="shared" si="9"/>
        <v>593418.57719971926</v>
      </c>
      <c r="M118" s="50">
        <f t="shared" si="9"/>
        <v>593133.30355869781</v>
      </c>
      <c r="N118" s="49">
        <f t="shared" si="9"/>
        <v>593133.30355869781</v>
      </c>
      <c r="O118" s="48">
        <f t="shared" si="22"/>
        <v>564437.76515824324</v>
      </c>
      <c r="P118" s="45" t="s">
        <v>40</v>
      </c>
      <c r="Q118" s="45">
        <f>MIN(Exposure!$C$23,MAX(0,BC_without_index!$O118-Exposure!$E$23))</f>
        <v>0</v>
      </c>
      <c r="R118" s="45">
        <f>MIN(Exposure!$C$24,MAX(0,BC_without_index!$O118-Exposure!$E$24))</f>
        <v>0</v>
      </c>
      <c r="S118" s="1" t="str">
        <f t="shared" si="13"/>
        <v>-</v>
      </c>
      <c r="T118" s="1" t="str">
        <f t="shared" si="14"/>
        <v>-</v>
      </c>
    </row>
    <row r="119" spans="4:23" ht="15" thickBot="1" x14ac:dyDescent="0.35">
      <c r="O119" t="s">
        <v>42</v>
      </c>
      <c r="P119" s="45">
        <f>SUMIF(P5:P118,"&gt;0")</f>
        <v>1655060655.8867369</v>
      </c>
      <c r="Q119" s="45">
        <f>SUMIF(Q5:Q118,"&gt;0")</f>
        <v>19531970.905085899</v>
      </c>
      <c r="R119" s="45">
        <f>SUMIF(R5:R118,"&gt;0")</f>
        <v>15343968.875114996</v>
      </c>
    </row>
    <row r="120" spans="4:23" ht="15" thickBot="1" x14ac:dyDescent="0.35">
      <c r="D120" s="33" t="s">
        <v>32</v>
      </c>
      <c r="E120" s="30">
        <f>SUMIF(F5:F109,"&gt;"&amp;$E$2)/SUMIF(E5:E109,"&gt;"&amp;$E$2)</f>
        <v>1.0301158695467409</v>
      </c>
      <c r="F120" s="30">
        <f>SUMIF(G5:G96,"&gt;"&amp;$E$2)/SUMIF(F5:F96,"&gt;"&amp;$E$2)</f>
        <v>1.0229467385643367</v>
      </c>
      <c r="G120" s="30">
        <f>SUMIF(H5:H80,"&gt;"&amp;$E$2)/SUMIF(G5:G80,"&gt;"&amp;$E$2)</f>
        <v>1.0140515089033304</v>
      </c>
      <c r="H120" s="30">
        <f>SUMIF(I5:I73,"&gt;"&amp;$E$2)/SUMIF(H5:H73,"&gt;"&amp;$E$2)</f>
        <v>1.027342781726883</v>
      </c>
      <c r="I120" s="30">
        <f>SUMIF(J5:J64,"&gt;"&amp;$E$2)/SUMIF(I5:I64,"&gt;"&amp;$E$2)</f>
        <v>0.96980692777505817</v>
      </c>
      <c r="J120" s="30">
        <f>SUMIF(K5:K58,"&gt;"&amp;$E$2)/SUMIF(J5:J58,"&gt;"&amp;$E$2)</f>
        <v>0.99925407011905465</v>
      </c>
      <c r="K120" s="30">
        <f>SUMIF(L5:L43,"&gt;"&amp;$E$2)/SUMIF(K5:K43,"&gt;"&amp;$E$2)</f>
        <v>0.99903775479508705</v>
      </c>
      <c r="L120" s="30">
        <f>SUMIF(M5:M32,"&gt;"&amp;$E$2)/SUMIF(L5:L32,"&gt;"&amp;$E$2)</f>
        <v>1.0031075323968133</v>
      </c>
      <c r="M120" s="30">
        <f>SUMIF(N5:N19,"&gt;"&amp;$E$2)/SUMIF(M5:M19,"&gt;"&amp;$E$2)</f>
        <v>0.99951927079471015</v>
      </c>
      <c r="N120">
        <v>1</v>
      </c>
      <c r="P120" s="51" t="s">
        <v>43</v>
      </c>
      <c r="Q120" s="1">
        <f>Q119/P119</f>
        <v>1.1801362587899352E-2</v>
      </c>
      <c r="R120" s="1">
        <f>R119/P119</f>
        <v>9.2709405063430197E-3</v>
      </c>
    </row>
    <row r="121" spans="4:23" ht="15" thickBot="1" x14ac:dyDescent="0.35">
      <c r="Q121" s="51" t="s">
        <v>36</v>
      </c>
      <c r="R121" s="51" t="s">
        <v>38</v>
      </c>
    </row>
    <row r="122" spans="4:23" ht="15" thickBot="1" x14ac:dyDescent="0.35">
      <c r="P122" s="51" t="s">
        <v>44</v>
      </c>
      <c r="Q122" s="45">
        <f>Exposure!$C$18*Q$120</f>
        <v>2710659.039346091</v>
      </c>
      <c r="R122" s="45">
        <f>Exposure!$C$18*R$120*(1+2)</f>
        <v>6388336.5584901702</v>
      </c>
    </row>
    <row r="125" spans="4:23" ht="15" thickBot="1" x14ac:dyDescent="0.35"/>
    <row r="126" spans="4:23" ht="15" thickBot="1" x14ac:dyDescent="0.35">
      <c r="P126" t="s">
        <v>79</v>
      </c>
      <c r="Q126" s="34" t="s">
        <v>136</v>
      </c>
      <c r="T126" s="73" t="s">
        <v>79</v>
      </c>
      <c r="U126" s="74">
        <v>6000000</v>
      </c>
      <c r="V126" s="74" t="s">
        <v>80</v>
      </c>
      <c r="W126" s="75">
        <v>4000000</v>
      </c>
    </row>
    <row r="127" spans="4:23" ht="15" thickBot="1" x14ac:dyDescent="0.35">
      <c r="P127" t="s">
        <v>137</v>
      </c>
      <c r="Q127" s="34" t="s">
        <v>138</v>
      </c>
      <c r="T127" s="73" t="s">
        <v>137</v>
      </c>
      <c r="U127" s="74">
        <v>20000000</v>
      </c>
      <c r="V127" s="74" t="s">
        <v>80</v>
      </c>
      <c r="W127" s="75">
        <v>10000000</v>
      </c>
    </row>
    <row r="131" spans="16:18" x14ac:dyDescent="0.3">
      <c r="Q131" t="s">
        <v>141</v>
      </c>
      <c r="R131" t="s">
        <v>142</v>
      </c>
    </row>
    <row r="132" spans="16:18" x14ac:dyDescent="0.3">
      <c r="P132" t="s">
        <v>140</v>
      </c>
      <c r="Q132" s="84">
        <f>Q120*Exposure!$C$18</f>
        <v>2710659.039346091</v>
      </c>
      <c r="R132" s="84">
        <f>R120*Exposure!$C$18</f>
        <v>2129445.5194967235</v>
      </c>
    </row>
  </sheetData>
  <mergeCells count="1">
    <mergeCell ref="B3:C3"/>
  </mergeCells>
  <phoneticPr fontId="14" type="noConversion"/>
  <conditionalFormatting sqref="B11">
    <cfRule type="colorScale" priority="3">
      <colorScale>
        <cfvo type="min"/>
        <cfvo type="max"/>
        <color theme="1"/>
        <color rgb="FFFF0000"/>
      </colorScale>
    </cfRule>
  </conditionalFormatting>
  <conditionalFormatting sqref="E5:N118">
    <cfRule type="expression" dxfId="5" priority="1">
      <formula>E5&gt;2000000</formula>
    </cfRule>
    <cfRule type="expression" dxfId="4" priority="2">
      <formula>"&gt;2000000"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A840E-5346-4547-890F-F7F91FDB8767}">
  <dimension ref="A1:Z132"/>
  <sheetViews>
    <sheetView topLeftCell="J103" zoomScale="82" workbookViewId="0">
      <selection activeCell="T119" sqref="T119"/>
    </sheetView>
  </sheetViews>
  <sheetFormatPr baseColWidth="10" defaultRowHeight="14.4" x14ac:dyDescent="0.3"/>
  <cols>
    <col min="5" max="5" width="12.21875" bestFit="1" customWidth="1"/>
    <col min="16" max="16" width="14" bestFit="1" customWidth="1"/>
    <col min="19" max="19" width="14.77734375" bestFit="1" customWidth="1"/>
    <col min="25" max="26" width="21.88671875" bestFit="1" customWidth="1"/>
  </cols>
  <sheetData>
    <row r="1" spans="1:26" x14ac:dyDescent="0.3">
      <c r="A1" s="34" t="s">
        <v>46</v>
      </c>
    </row>
    <row r="2" spans="1:26" x14ac:dyDescent="0.3">
      <c r="D2" t="s">
        <v>33</v>
      </c>
      <c r="E2" s="45">
        <v>2000000</v>
      </c>
    </row>
    <row r="3" spans="1:26" ht="15" thickBot="1" x14ac:dyDescent="0.35">
      <c r="B3" s="87" t="s">
        <v>30</v>
      </c>
      <c r="C3" s="87"/>
    </row>
    <row r="4" spans="1:26" ht="15" thickBot="1" x14ac:dyDescent="0.35">
      <c r="D4" s="33" t="s">
        <v>0</v>
      </c>
      <c r="E4">
        <v>1</v>
      </c>
      <c r="F4">
        <v>2</v>
      </c>
      <c r="G4">
        <v>3</v>
      </c>
      <c r="H4">
        <v>4</v>
      </c>
      <c r="I4">
        <v>5</v>
      </c>
      <c r="J4">
        <v>6</v>
      </c>
      <c r="K4">
        <v>7</v>
      </c>
      <c r="L4">
        <v>8</v>
      </c>
      <c r="M4">
        <v>9</v>
      </c>
      <c r="N4">
        <v>10</v>
      </c>
      <c r="O4" s="46" t="s">
        <v>31</v>
      </c>
      <c r="P4" s="46" t="s">
        <v>1</v>
      </c>
      <c r="Q4" s="46" t="s">
        <v>34</v>
      </c>
      <c r="R4" s="46" t="s">
        <v>35</v>
      </c>
      <c r="S4" s="46" t="s">
        <v>39</v>
      </c>
      <c r="T4" s="46" t="s">
        <v>41</v>
      </c>
    </row>
    <row r="5" spans="1:26" x14ac:dyDescent="0.3">
      <c r="D5">
        <f>Incurred_loss!$C3</f>
        <v>2016</v>
      </c>
      <c r="E5" s="45">
        <f>Incurred_loss!S3</f>
        <v>575612.45245820121</v>
      </c>
      <c r="F5" s="45">
        <f>Incurred_loss!T3</f>
        <v>909527.19792625098</v>
      </c>
      <c r="G5" s="45">
        <f>Incurred_loss!U3</f>
        <v>792049.35859412956</v>
      </c>
      <c r="H5" s="45">
        <f>Incurred_loss!V3</f>
        <v>680114.93916138797</v>
      </c>
      <c r="I5" s="45">
        <f>Incurred_loss!W3</f>
        <v>744670.99476873328</v>
      </c>
      <c r="J5" s="45">
        <f>Incurred_loss!X3</f>
        <v>738023.9278007308</v>
      </c>
      <c r="K5" s="45">
        <f>Incurred_loss!Y3</f>
        <v>740557.79685499531</v>
      </c>
      <c r="L5" s="45">
        <f>Incurred_loss!Z3</f>
        <v>739811.65350409481</v>
      </c>
      <c r="M5" s="45">
        <f>Incurred_loss!AA3</f>
        <v>740883.45601281826</v>
      </c>
      <c r="N5" s="45">
        <f>Incurred_loss!AB3</f>
        <v>740866.17861120636</v>
      </c>
      <c r="O5" s="48">
        <f>$N5</f>
        <v>740866.17861120636</v>
      </c>
      <c r="P5" s="45">
        <f>Exposure!$I$7</f>
        <v>191650682.59332794</v>
      </c>
      <c r="Q5" s="45">
        <f>MIN(Exposure!$C$23,MAX(0,BC_with_index!$O5-Exposure!$E$23))</f>
        <v>0</v>
      </c>
      <c r="R5" s="45">
        <f>MIN(Exposure!$C$24,MAX(0,BC_with_index!$O5-Exposure!$E$24))</f>
        <v>0</v>
      </c>
      <c r="S5" s="1">
        <f>IF(ISNUMBER($P5),SUMIF($D$5:$D$118,$D5,$Q$5:$Q$118)/$P5,"-")</f>
        <v>3.2646171429150425E-2</v>
      </c>
      <c r="T5" s="1">
        <f>IF(ISNUMBER($P5),SUMIF($D$5:$D$118,$D5,$R$5:$R$118)/$P5,"-")</f>
        <v>1.4735559467879097E-2</v>
      </c>
    </row>
    <row r="6" spans="1:26" x14ac:dyDescent="0.3">
      <c r="D6">
        <f>Incurred_loss!$C4</f>
        <v>2016</v>
      </c>
      <c r="E6" s="45">
        <f>Incurred_loss!S4</f>
        <v>2732564.0716827968</v>
      </c>
      <c r="F6" s="45">
        <f>Incurred_loss!T4</f>
        <v>1755857.9553949754</v>
      </c>
      <c r="G6" s="45">
        <f>Incurred_loss!U4</f>
        <v>1933134.6540046399</v>
      </c>
      <c r="H6" s="45">
        <f>Incurred_loss!V4</f>
        <v>1781947.9339920229</v>
      </c>
      <c r="I6" s="45">
        <f>Incurred_loss!W4</f>
        <v>1726123.2594930788</v>
      </c>
      <c r="J6" s="45">
        <f>Incurred_loss!X4</f>
        <v>1726127.7132014607</v>
      </c>
      <c r="K6" s="45">
        <f>Incurred_loss!Y4</f>
        <v>1715957.2839587843</v>
      </c>
      <c r="L6" s="45">
        <f>Incurred_loss!Z4</f>
        <v>1716642.9282936915</v>
      </c>
      <c r="M6" s="45">
        <f>Incurred_loss!AA4</f>
        <v>1716659.9852237371</v>
      </c>
      <c r="N6" s="45">
        <f>Incurred_loss!AB4</f>
        <v>1716662.6172493265</v>
      </c>
      <c r="O6" s="48">
        <f t="shared" ref="O6:O69" si="0">$N6</f>
        <v>1716662.6172493265</v>
      </c>
      <c r="P6" s="45" t="s">
        <v>40</v>
      </c>
      <c r="Q6" s="45">
        <f>MIN(Exposure!$C$23,MAX(0,BC_with_index!$O6-Exposure!$E$23))</f>
        <v>0</v>
      </c>
      <c r="R6" s="45">
        <f>MIN(Exposure!$C$24,MAX(0,BC_with_index!$O6-Exposure!$E$24))</f>
        <v>0</v>
      </c>
      <c r="S6" s="1" t="str">
        <f t="shared" ref="S6:S69" si="1">IF(ISNUMBER($P6),SUMIF($D$5:$D$118,$D6,$Q$5:$Q$118)/$P6,"-")</f>
        <v>-</v>
      </c>
      <c r="T6" s="1" t="str">
        <f t="shared" ref="T6:T69" si="2">IF(ISNUMBER($P6),SUMIF($D$5:$D$118,$D6,$R$5:$R$118)/$P6,"-")</f>
        <v>-</v>
      </c>
    </row>
    <row r="7" spans="1:26" x14ac:dyDescent="0.3">
      <c r="D7">
        <f>Incurred_loss!$C5</f>
        <v>2016</v>
      </c>
      <c r="E7" s="45">
        <f>Incurred_loss!S5</f>
        <v>1001687.7316956777</v>
      </c>
      <c r="F7" s="45">
        <f>Incurred_loss!T5</f>
        <v>1002392.9460373395</v>
      </c>
      <c r="G7" s="45">
        <f>Incurred_loss!U5</f>
        <v>1197725.5357108151</v>
      </c>
      <c r="H7" s="45">
        <f>Incurred_loss!V5</f>
        <v>920481.50168592343</v>
      </c>
      <c r="I7" s="45">
        <f>Incurred_loss!W5</f>
        <v>930458.39518995013</v>
      </c>
      <c r="J7" s="45">
        <f>Incurred_loss!X5</f>
        <v>925397.10859290662</v>
      </c>
      <c r="K7" s="45">
        <f>Incurred_loss!Y5</f>
        <v>921436.31766134594</v>
      </c>
      <c r="L7" s="45">
        <f>Incurred_loss!Z5</f>
        <v>920711.48728036415</v>
      </c>
      <c r="M7" s="45">
        <f>Incurred_loss!AA5</f>
        <v>920180.29073840147</v>
      </c>
      <c r="N7" s="45">
        <f>Incurred_loss!AB5</f>
        <v>919761.49629254802</v>
      </c>
      <c r="O7" s="48">
        <f t="shared" si="0"/>
        <v>919761.49629254802</v>
      </c>
      <c r="P7" s="45" t="s">
        <v>40</v>
      </c>
      <c r="Q7" s="45">
        <f>MIN(Exposure!$C$23,MAX(0,BC_with_index!$O7-Exposure!$E$23))</f>
        <v>0</v>
      </c>
      <c r="R7" s="45">
        <f>MIN(Exposure!$C$24,MAX(0,BC_with_index!$O7-Exposure!$E$24))</f>
        <v>0</v>
      </c>
      <c r="S7" s="1" t="str">
        <f t="shared" si="1"/>
        <v>-</v>
      </c>
      <c r="T7" s="1" t="str">
        <f t="shared" si="2"/>
        <v>-</v>
      </c>
      <c r="Y7" t="s">
        <v>34</v>
      </c>
      <c r="Z7" t="s">
        <v>35</v>
      </c>
    </row>
    <row r="8" spans="1:26" x14ac:dyDescent="0.3">
      <c r="D8">
        <f>Incurred_loss!$C6</f>
        <v>2016</v>
      </c>
      <c r="E8" s="45">
        <f>Incurred_loss!S6</f>
        <v>7133780.3936626986</v>
      </c>
      <c r="F8" s="45">
        <f>Incurred_loss!T6</f>
        <v>3914790.1380545581</v>
      </c>
      <c r="G8" s="45">
        <f>Incurred_loss!U6</f>
        <v>4478903.7726103561</v>
      </c>
      <c r="H8" s="45">
        <f>Incurred_loss!V6</f>
        <v>4115186.3248875588</v>
      </c>
      <c r="I8" s="45">
        <f>Incurred_loss!W6</f>
        <v>4295282.1989243627</v>
      </c>
      <c r="J8" s="45">
        <f>Incurred_loss!X6</f>
        <v>4288048.5627826527</v>
      </c>
      <c r="K8" s="45">
        <f>Incurred_loss!Y6</f>
        <v>4278261.5407704022</v>
      </c>
      <c r="L8" s="45">
        <f>Incurred_loss!Z6</f>
        <v>4280181.7792258859</v>
      </c>
      <c r="M8" s="45">
        <f>Incurred_loss!AA6</f>
        <v>4259218.486492401</v>
      </c>
      <c r="N8" s="45">
        <f>Incurred_loss!AB6</f>
        <v>4256661.0384554788</v>
      </c>
      <c r="O8" s="48">
        <f t="shared" si="0"/>
        <v>4256661.0384554788</v>
      </c>
      <c r="P8" s="45" t="s">
        <v>40</v>
      </c>
      <c r="Q8" s="45">
        <f>MIN(Exposure!$C$23,MAX(0,BC_with_index!$O8-Exposure!$E$23))</f>
        <v>256661.03845547885</v>
      </c>
      <c r="R8" s="45">
        <f>MIN(Exposure!$C$24,MAX(0,BC_with_index!$O8-Exposure!$E$24))</f>
        <v>0</v>
      </c>
      <c r="S8" s="1" t="str">
        <f t="shared" si="1"/>
        <v>-</v>
      </c>
      <c r="T8" s="1" t="str">
        <f t="shared" si="2"/>
        <v>-</v>
      </c>
      <c r="X8" t="s">
        <v>143</v>
      </c>
      <c r="Y8" t="s">
        <v>144</v>
      </c>
      <c r="Z8" t="s">
        <v>144</v>
      </c>
    </row>
    <row r="9" spans="1:26" x14ac:dyDescent="0.3">
      <c r="D9">
        <f>Incurred_loss!$C7</f>
        <v>2016</v>
      </c>
      <c r="E9" s="45">
        <f>Incurred_loss!S7</f>
        <v>1265794.7939551733</v>
      </c>
      <c r="F9" s="45">
        <f>Incurred_loss!T7</f>
        <v>1661056.3325684522</v>
      </c>
      <c r="G9" s="45">
        <f>Incurred_loss!U7</f>
        <v>1587254.1412826141</v>
      </c>
      <c r="H9" s="45">
        <f>Incurred_loss!V7</f>
        <v>1546704.5869110278</v>
      </c>
      <c r="I9" s="45">
        <f>Incurred_loss!W7</f>
        <v>1667887.6426642849</v>
      </c>
      <c r="J9" s="45">
        <f>Incurred_loss!X7</f>
        <v>1527445.427156352</v>
      </c>
      <c r="K9" s="45">
        <f>Incurred_loss!Y7</f>
        <v>1526120.8967519759</v>
      </c>
      <c r="L9" s="45">
        <f>Incurred_loss!Z7</f>
        <v>1526713.1253017168</v>
      </c>
      <c r="M9" s="45">
        <f>Incurred_loss!AA7</f>
        <v>1526343.0177105069</v>
      </c>
      <c r="N9" s="45">
        <f>Incurred_loss!AB7</f>
        <v>1526276.5542783281</v>
      </c>
      <c r="O9" s="48">
        <f t="shared" si="0"/>
        <v>1526276.5542783281</v>
      </c>
      <c r="P9" s="45" t="s">
        <v>40</v>
      </c>
      <c r="Q9" s="45">
        <f>MIN(Exposure!$C$23,MAX(0,BC_with_index!$O9-Exposure!$E$23))</f>
        <v>0</v>
      </c>
      <c r="R9" s="45">
        <f>MIN(Exposure!$C$24,MAX(0,BC_with_index!$O9-Exposure!$E$24))</f>
        <v>0</v>
      </c>
      <c r="S9" s="1" t="str">
        <f t="shared" si="1"/>
        <v>-</v>
      </c>
      <c r="T9" s="1" t="str">
        <f t="shared" si="2"/>
        <v>-</v>
      </c>
      <c r="X9">
        <v>2016</v>
      </c>
      <c r="Y9" s="84">
        <f>+SUMIF($D$5:$D$118,$X9,Q$5:Q$119)</f>
        <v>6256661.0384554788</v>
      </c>
      <c r="Z9" s="84">
        <f>+SUMIF($D$5:$D$118,$X9,R$5:R$119)</f>
        <v>2824080.0304136053</v>
      </c>
    </row>
    <row r="10" spans="1:26" x14ac:dyDescent="0.3">
      <c r="D10">
        <f>Incurred_loss!$C8</f>
        <v>2016</v>
      </c>
      <c r="E10" s="45">
        <f>Incurred_loss!S8</f>
        <v>3648623.4149383972</v>
      </c>
      <c r="F10" s="45">
        <f>Incurred_loss!T8</f>
        <v>2423182.3207844812</v>
      </c>
      <c r="G10" s="45">
        <f>Incurred_loss!U8</f>
        <v>2742465.2076609693</v>
      </c>
      <c r="H10" s="45">
        <f>Incurred_loss!V8</f>
        <v>3159232.0998887233</v>
      </c>
      <c r="I10" s="45">
        <f>Incurred_loss!W8</f>
        <v>3024290.8488662844</v>
      </c>
      <c r="J10" s="45">
        <f>Incurred_loss!X8</f>
        <v>3031606.2664243048</v>
      </c>
      <c r="K10" s="45">
        <f>Incurred_loss!Y8</f>
        <v>3031533.4665075741</v>
      </c>
      <c r="L10" s="45">
        <f>Incurred_loss!Z8</f>
        <v>3031532.9207578916</v>
      </c>
      <c r="M10" s="45">
        <f>Incurred_loss!AA8</f>
        <v>3031531.8341132631</v>
      </c>
      <c r="N10" s="45">
        <f>Incurred_loss!AB8</f>
        <v>3031531.6497195135</v>
      </c>
      <c r="O10" s="48">
        <f t="shared" si="0"/>
        <v>3031531.6497195135</v>
      </c>
      <c r="P10" s="45" t="s">
        <v>40</v>
      </c>
      <c r="Q10" s="45">
        <f>MIN(Exposure!$C$23,MAX(0,BC_with_index!$O10-Exposure!$E$23))</f>
        <v>0</v>
      </c>
      <c r="R10" s="45">
        <f>MIN(Exposure!$C$24,MAX(0,BC_with_index!$O10-Exposure!$E$24))</f>
        <v>0</v>
      </c>
      <c r="S10" s="1" t="str">
        <f t="shared" si="1"/>
        <v>-</v>
      </c>
      <c r="T10" s="1" t="str">
        <f t="shared" si="2"/>
        <v>-</v>
      </c>
      <c r="X10">
        <v>2017</v>
      </c>
      <c r="Y10" s="84">
        <f t="shared" ref="Y10:Y18" si="3">+SUMIF($D$5:$D$118,$X10,Q$5:Q$119)</f>
        <v>4786500.817121123</v>
      </c>
      <c r="Z10" s="84">
        <f t="shared" ref="Z10:Z18" si="4">+SUMIF($D$5:$D$118,$X10,R$5:R$119)</f>
        <v>0</v>
      </c>
    </row>
    <row r="11" spans="1:26" x14ac:dyDescent="0.3">
      <c r="D11">
        <f>Incurred_loss!$C9</f>
        <v>2016</v>
      </c>
      <c r="E11" s="45">
        <f>Incurred_loss!S9</f>
        <v>7349426.9924144438</v>
      </c>
      <c r="F11" s="45">
        <f>Incurred_loss!T9</f>
        <v>10434721.683723982</v>
      </c>
      <c r="G11" s="45">
        <f>Incurred_loss!U9</f>
        <v>13170992.556038627</v>
      </c>
      <c r="H11" s="45">
        <f>Incurred_loss!V9</f>
        <v>12914896.017598297</v>
      </c>
      <c r="I11" s="45">
        <f>Incurred_loss!W9</f>
        <v>12825240.178344384</v>
      </c>
      <c r="J11" s="45">
        <f>Incurred_loss!X9</f>
        <v>12831778.003345875</v>
      </c>
      <c r="K11" s="45">
        <f>Incurred_loss!Y9</f>
        <v>12825995.266781807</v>
      </c>
      <c r="L11" s="45">
        <f>Incurred_loss!Z9</f>
        <v>12826344.732164912</v>
      </c>
      <c r="M11" s="45">
        <f>Incurred_loss!AA9</f>
        <v>12824277.657967661</v>
      </c>
      <c r="N11" s="45">
        <f>Incurred_loss!AB9</f>
        <v>12824080.030413605</v>
      </c>
      <c r="O11" s="48">
        <f t="shared" si="0"/>
        <v>12824080.030413605</v>
      </c>
      <c r="P11" s="45" t="s">
        <v>40</v>
      </c>
      <c r="Q11" s="45">
        <f>MIN(Exposure!$C$23,MAX(0,BC_with_index!$O11-Exposure!$E$23))</f>
        <v>6000000</v>
      </c>
      <c r="R11" s="45">
        <f>MIN(Exposure!$C$24,MAX(0,BC_with_index!$O11-Exposure!$E$24))</f>
        <v>2824080.0304136053</v>
      </c>
      <c r="S11" s="1" t="str">
        <f t="shared" si="1"/>
        <v>-</v>
      </c>
      <c r="T11" s="1" t="str">
        <f t="shared" si="2"/>
        <v>-</v>
      </c>
      <c r="X11">
        <v>2018</v>
      </c>
      <c r="Y11" s="84">
        <f t="shared" si="3"/>
        <v>0</v>
      </c>
      <c r="Z11" s="84">
        <f t="shared" si="4"/>
        <v>0</v>
      </c>
    </row>
    <row r="12" spans="1:26" x14ac:dyDescent="0.3">
      <c r="D12">
        <f>Incurred_loss!$C10</f>
        <v>2016</v>
      </c>
      <c r="E12" s="45">
        <f>Incurred_loss!S10</f>
        <v>1348780.3109249419</v>
      </c>
      <c r="F12" s="45">
        <f>Incurred_loss!T10</f>
        <v>1194290.9875584426</v>
      </c>
      <c r="G12" s="45">
        <f>Incurred_loss!U10</f>
        <v>1280370.0881005484</v>
      </c>
      <c r="H12" s="45">
        <f>Incurred_loss!V10</f>
        <v>1281447.2739135083</v>
      </c>
      <c r="I12" s="45">
        <f>Incurred_loss!W10</f>
        <v>1282910.6496942323</v>
      </c>
      <c r="J12" s="45">
        <f>Incurred_loss!X10</f>
        <v>1276706.6955209756</v>
      </c>
      <c r="K12" s="45">
        <f>Incurred_loss!Y10</f>
        <v>1279978.6690509191</v>
      </c>
      <c r="L12" s="45">
        <f>Incurred_loss!Z10</f>
        <v>1284319.4771797801</v>
      </c>
      <c r="M12" s="45">
        <f>Incurred_loss!AA10</f>
        <v>1290564.9487016452</v>
      </c>
      <c r="N12" s="45">
        <f>Incurred_loss!AB10</f>
        <v>1278829.8095996727</v>
      </c>
      <c r="O12" s="48">
        <f t="shared" si="0"/>
        <v>1278829.8095996727</v>
      </c>
      <c r="P12" s="45" t="s">
        <v>40</v>
      </c>
      <c r="Q12" s="45">
        <f>MIN(Exposure!$C$23,MAX(0,BC_with_index!$O12-Exposure!$E$23))</f>
        <v>0</v>
      </c>
      <c r="R12" s="45">
        <f>MIN(Exposure!$C$24,MAX(0,BC_with_index!$O12-Exposure!$E$24))</f>
        <v>0</v>
      </c>
      <c r="S12" s="1" t="str">
        <f t="shared" si="1"/>
        <v>-</v>
      </c>
      <c r="T12" s="1" t="str">
        <f t="shared" si="2"/>
        <v>-</v>
      </c>
      <c r="X12">
        <v>2019</v>
      </c>
      <c r="Y12" s="84">
        <f t="shared" si="3"/>
        <v>1347436.5792195308</v>
      </c>
      <c r="Z12" s="84">
        <f t="shared" si="4"/>
        <v>0</v>
      </c>
    </row>
    <row r="13" spans="1:26" x14ac:dyDescent="0.3">
      <c r="D13">
        <f>Incurred_loss!$C11</f>
        <v>2016</v>
      </c>
      <c r="E13" s="45">
        <f>Incurred_loss!S11</f>
        <v>966066.33544167702</v>
      </c>
      <c r="F13" s="45">
        <f>Incurred_loss!T11</f>
        <v>833384.40705598588</v>
      </c>
      <c r="G13" s="45">
        <f>Incurred_loss!U11</f>
        <v>935386.06652910542</v>
      </c>
      <c r="H13" s="45">
        <f>Incurred_loss!V11</f>
        <v>972923.52538301493</v>
      </c>
      <c r="I13" s="45">
        <f>Incurred_loss!W11</f>
        <v>966886.4256390949</v>
      </c>
      <c r="J13" s="45">
        <f>Incurred_loss!X11</f>
        <v>967116.50784173748</v>
      </c>
      <c r="K13" s="45">
        <f>Incurred_loss!Y11</f>
        <v>966651.37853641191</v>
      </c>
      <c r="L13" s="45">
        <f>Incurred_loss!Z11</f>
        <v>966548.79835354304</v>
      </c>
      <c r="M13" s="45">
        <f>Incurred_loss!AA11</f>
        <v>966548.52503835922</v>
      </c>
      <c r="N13" s="45">
        <f>Incurred_loss!AB11</f>
        <v>966548.49518426345</v>
      </c>
      <c r="O13" s="48">
        <f t="shared" si="0"/>
        <v>966548.49518426345</v>
      </c>
      <c r="P13" s="45" t="s">
        <v>40</v>
      </c>
      <c r="Q13" s="45">
        <f>MIN(Exposure!$C$23,MAX(0,BC_with_index!$O13-Exposure!$E$23))</f>
        <v>0</v>
      </c>
      <c r="R13" s="45">
        <f>MIN(Exposure!$C$24,MAX(0,BC_with_index!$O13-Exposure!$E$24))</f>
        <v>0</v>
      </c>
      <c r="S13" s="1" t="str">
        <f t="shared" si="1"/>
        <v>-</v>
      </c>
      <c r="T13" s="1" t="str">
        <f t="shared" si="2"/>
        <v>-</v>
      </c>
      <c r="X13">
        <v>2020</v>
      </c>
      <c r="Y13" s="84">
        <f t="shared" si="3"/>
        <v>0</v>
      </c>
      <c r="Z13" s="84">
        <f t="shared" si="4"/>
        <v>0</v>
      </c>
    </row>
    <row r="14" spans="1:26" x14ac:dyDescent="0.3">
      <c r="D14">
        <f>Incurred_loss!$C12</f>
        <v>2016</v>
      </c>
      <c r="E14" s="45">
        <f>Incurred_loss!S12</f>
        <v>2560693.5972375032</v>
      </c>
      <c r="F14" s="45">
        <f>Incurred_loss!T12</f>
        <v>3066994.3026761916</v>
      </c>
      <c r="G14" s="45">
        <f>Incurred_loss!U12</f>
        <v>3774885.8325633416</v>
      </c>
      <c r="H14" s="45">
        <f>Incurred_loss!V12</f>
        <v>3575063.3191076382</v>
      </c>
      <c r="I14" s="45">
        <f>Incurred_loss!W12</f>
        <v>3682110.5577404136</v>
      </c>
      <c r="J14" s="45">
        <f>Incurred_loss!X12</f>
        <v>3704368.8647292601</v>
      </c>
      <c r="K14" s="45">
        <f>Incurred_loss!Y12</f>
        <v>3691619.3916970599</v>
      </c>
      <c r="L14" s="45">
        <f>Incurred_loss!Z12</f>
        <v>3692787.4586796379</v>
      </c>
      <c r="M14" s="45">
        <f>Incurred_loss!AA12</f>
        <v>3692895.9941157862</v>
      </c>
      <c r="N14" s="45">
        <f>Incurred_loss!AB12</f>
        <v>3692910.5232293434</v>
      </c>
      <c r="O14" s="48">
        <f t="shared" si="0"/>
        <v>3692910.5232293434</v>
      </c>
      <c r="P14" s="45" t="s">
        <v>40</v>
      </c>
      <c r="Q14" s="45">
        <f>MIN(Exposure!$C$23,MAX(0,BC_with_index!$O14-Exposure!$E$23))</f>
        <v>0</v>
      </c>
      <c r="R14" s="45">
        <f>MIN(Exposure!$C$24,MAX(0,BC_with_index!$O14-Exposure!$E$24))</f>
        <v>0</v>
      </c>
      <c r="S14" s="1" t="str">
        <f t="shared" si="1"/>
        <v>-</v>
      </c>
      <c r="T14" s="1" t="str">
        <f t="shared" si="2"/>
        <v>-</v>
      </c>
      <c r="X14">
        <v>2021</v>
      </c>
      <c r="Y14" s="84">
        <f t="shared" si="3"/>
        <v>0</v>
      </c>
      <c r="Z14" s="84">
        <f t="shared" si="4"/>
        <v>0</v>
      </c>
    </row>
    <row r="15" spans="1:26" x14ac:dyDescent="0.3">
      <c r="D15">
        <f>Incurred_loss!$C13</f>
        <v>2016</v>
      </c>
      <c r="E15" s="45">
        <f>Incurred_loss!S13</f>
        <v>4233842.9548907317</v>
      </c>
      <c r="F15" s="45">
        <f>Incurred_loss!T13</f>
        <v>3534103.1644189213</v>
      </c>
      <c r="G15" s="45">
        <f>Incurred_loss!U13</f>
        <v>3518188.4562699981</v>
      </c>
      <c r="H15" s="45">
        <f>Incurred_loss!V13</f>
        <v>3435215.2253873092</v>
      </c>
      <c r="I15" s="45">
        <f>Incurred_loss!W13</f>
        <v>3460420.0024426631</v>
      </c>
      <c r="J15" s="45">
        <f>Incurred_loss!X13</f>
        <v>3459975.0841018916</v>
      </c>
      <c r="K15" s="45">
        <f>Incurred_loss!Y13</f>
        <v>3457625.1770334928</v>
      </c>
      <c r="L15" s="45">
        <f>Incurred_loss!Z13</f>
        <v>3457616.1732568098</v>
      </c>
      <c r="M15" s="45">
        <f>Incurred_loss!AA13</f>
        <v>3457634.3567201467</v>
      </c>
      <c r="N15" s="45">
        <f>Incurred_loss!AB13</f>
        <v>3457634.50361215</v>
      </c>
      <c r="O15" s="48">
        <f t="shared" si="0"/>
        <v>3457634.50361215</v>
      </c>
      <c r="P15" s="45" t="s">
        <v>40</v>
      </c>
      <c r="Q15" s="45">
        <f>MIN(Exposure!$C$23,MAX(0,BC_with_index!$O15-Exposure!$E$23))</f>
        <v>0</v>
      </c>
      <c r="R15" s="45">
        <f>MIN(Exposure!$C$24,MAX(0,BC_with_index!$O15-Exposure!$E$24))</f>
        <v>0</v>
      </c>
      <c r="S15" s="1" t="str">
        <f t="shared" si="1"/>
        <v>-</v>
      </c>
      <c r="T15" s="1" t="str">
        <f t="shared" si="2"/>
        <v>-</v>
      </c>
      <c r="X15">
        <v>2022</v>
      </c>
      <c r="Y15" s="84">
        <f t="shared" si="3"/>
        <v>8321732.6285420079</v>
      </c>
      <c r="Z15" s="84">
        <f t="shared" si="4"/>
        <v>5390882.3082171958</v>
      </c>
    </row>
    <row r="16" spans="1:26" x14ac:dyDescent="0.3">
      <c r="D16">
        <f>Incurred_loss!$C14</f>
        <v>2016</v>
      </c>
      <c r="E16" s="45">
        <f>Incurred_loss!S14</f>
        <v>1717804.2048577496</v>
      </c>
      <c r="F16" s="45">
        <f>Incurred_loss!T14</f>
        <v>1956757.3444826244</v>
      </c>
      <c r="G16" s="45">
        <f>Incurred_loss!U14</f>
        <v>2375949.7627192512</v>
      </c>
      <c r="H16" s="45">
        <f>Incurred_loss!V14</f>
        <v>1896167.7283753504</v>
      </c>
      <c r="I16" s="45">
        <f>Incurred_loss!W14</f>
        <v>1887881.7529901399</v>
      </c>
      <c r="J16" s="45">
        <f>Incurred_loss!X14</f>
        <v>1887040.4204959059</v>
      </c>
      <c r="K16" s="45">
        <f>Incurred_loss!Y14</f>
        <v>1887040.5098147853</v>
      </c>
      <c r="L16" s="45">
        <f>Incurred_loss!Z14</f>
        <v>1887040.7012606582</v>
      </c>
      <c r="M16" s="45">
        <f>Incurred_loss!AA14</f>
        <v>1887040.5729467857</v>
      </c>
      <c r="N16" s="45">
        <f>Incurred_loss!AB14</f>
        <v>1887040.6005906588</v>
      </c>
      <c r="O16" s="48">
        <f t="shared" si="0"/>
        <v>1887040.6005906588</v>
      </c>
      <c r="P16" s="45" t="s">
        <v>40</v>
      </c>
      <c r="Q16" s="45">
        <f>MIN(Exposure!$C$23,MAX(0,BC_with_index!$O16-Exposure!$E$23))</f>
        <v>0</v>
      </c>
      <c r="R16" s="45">
        <f>MIN(Exposure!$C$24,MAX(0,BC_with_index!$O16-Exposure!$E$24))</f>
        <v>0</v>
      </c>
      <c r="S16" s="1" t="str">
        <f t="shared" si="1"/>
        <v>-</v>
      </c>
      <c r="T16" s="1" t="str">
        <f t="shared" si="2"/>
        <v>-</v>
      </c>
      <c r="X16">
        <v>2023</v>
      </c>
      <c r="Y16" s="84">
        <f t="shared" si="3"/>
        <v>0</v>
      </c>
      <c r="Z16" s="84">
        <f t="shared" si="4"/>
        <v>0</v>
      </c>
    </row>
    <row r="17" spans="4:26" x14ac:dyDescent="0.3">
      <c r="D17">
        <f>Incurred_loss!$C15</f>
        <v>2016</v>
      </c>
      <c r="E17" s="45">
        <f>Incurred_loss!S15</f>
        <v>769074.19058257155</v>
      </c>
      <c r="F17" s="45">
        <f>Incurred_loss!T15</f>
        <v>1142629.3061754468</v>
      </c>
      <c r="G17" s="45">
        <f>Incurred_loss!U15</f>
        <v>1318570.0828424043</v>
      </c>
      <c r="H17" s="45">
        <f>Incurred_loss!V15</f>
        <v>1327957.5153958066</v>
      </c>
      <c r="I17" s="45">
        <f>Incurred_loss!W15</f>
        <v>1328261.8277088553</v>
      </c>
      <c r="J17" s="45">
        <f>Incurred_loss!X15</f>
        <v>1328289.5219954068</v>
      </c>
      <c r="K17" s="45">
        <f>Incurred_loss!Y15</f>
        <v>1328191.9953660895</v>
      </c>
      <c r="L17" s="45">
        <f>Incurred_loss!Z15</f>
        <v>1328196.972105996</v>
      </c>
      <c r="M17" s="45">
        <f>Incurred_loss!AA15</f>
        <v>1328196.9797135105</v>
      </c>
      <c r="N17" s="45">
        <f>Incurred_loss!AB15</f>
        <v>1328197.2139352183</v>
      </c>
      <c r="O17" s="48">
        <f t="shared" si="0"/>
        <v>1328197.2139352183</v>
      </c>
      <c r="P17" s="45" t="s">
        <v>40</v>
      </c>
      <c r="Q17" s="45">
        <f>MIN(Exposure!$C$23,MAX(0,BC_with_index!$O17-Exposure!$E$23))</f>
        <v>0</v>
      </c>
      <c r="R17" s="45">
        <f>MIN(Exposure!$C$24,MAX(0,BC_with_index!$O17-Exposure!$E$24))</f>
        <v>0</v>
      </c>
      <c r="S17" s="1" t="str">
        <f t="shared" si="1"/>
        <v>-</v>
      </c>
      <c r="T17" s="1" t="str">
        <f t="shared" si="2"/>
        <v>-</v>
      </c>
      <c r="X17">
        <v>2024</v>
      </c>
      <c r="Y17" s="84">
        <f t="shared" si="3"/>
        <v>3154414.149781019</v>
      </c>
      <c r="Z17" s="84">
        <f t="shared" si="4"/>
        <v>0</v>
      </c>
    </row>
    <row r="18" spans="4:26" x14ac:dyDescent="0.3">
      <c r="D18">
        <f>Incurred_loss!$C16</f>
        <v>2016</v>
      </c>
      <c r="E18" s="45">
        <f>Incurred_loss!S16</f>
        <v>2960488.7474891474</v>
      </c>
      <c r="F18" s="45">
        <f>Incurred_loss!T16</f>
        <v>3672385.7433307674</v>
      </c>
      <c r="G18" s="45">
        <f>Incurred_loss!U16</f>
        <v>4301339.1346536428</v>
      </c>
      <c r="H18" s="45">
        <f>Incurred_loss!V16</f>
        <v>4562395.4204125982</v>
      </c>
      <c r="I18" s="45">
        <f>Incurred_loss!W16</f>
        <v>3745165.1895353282</v>
      </c>
      <c r="J18" s="45">
        <f>Incurred_loss!X16</f>
        <v>3798903.9668683372</v>
      </c>
      <c r="K18" s="45">
        <f>Incurred_loss!Y16</f>
        <v>3782170.6687195711</v>
      </c>
      <c r="L18" s="45">
        <f>Incurred_loss!Z16</f>
        <v>3779015.0076078409</v>
      </c>
      <c r="M18" s="45">
        <f>Incurred_loss!AA16</f>
        <v>3776333.9428157625</v>
      </c>
      <c r="N18" s="45">
        <f>Incurred_loss!AB16</f>
        <v>3778771.7111949939</v>
      </c>
      <c r="O18" s="48">
        <f t="shared" si="0"/>
        <v>3778771.7111949939</v>
      </c>
      <c r="P18" s="45" t="s">
        <v>40</v>
      </c>
      <c r="Q18" s="45">
        <f>MIN(Exposure!$C$23,MAX(0,BC_with_index!$O18-Exposure!$E$23))</f>
        <v>0</v>
      </c>
      <c r="R18" s="45">
        <f>MIN(Exposure!$C$24,MAX(0,BC_with_index!$O18-Exposure!$E$24))</f>
        <v>0</v>
      </c>
      <c r="S18" s="1" t="str">
        <f t="shared" si="1"/>
        <v>-</v>
      </c>
      <c r="T18" s="1" t="str">
        <f t="shared" si="2"/>
        <v>-</v>
      </c>
      <c r="X18">
        <v>2025</v>
      </c>
      <c r="Y18" s="84">
        <f t="shared" si="3"/>
        <v>7075415.1769709894</v>
      </c>
      <c r="Z18" s="84">
        <f t="shared" si="4"/>
        <v>14771748.780811306</v>
      </c>
    </row>
    <row r="19" spans="4:26" x14ac:dyDescent="0.3">
      <c r="D19">
        <f>Incurred_loss!$C17</f>
        <v>2016</v>
      </c>
      <c r="E19" s="45">
        <f>Incurred_loss!S17</f>
        <v>3619793.2702687052</v>
      </c>
      <c r="F19" s="45">
        <f>Incurred_loss!T17</f>
        <v>3059917.8840752998</v>
      </c>
      <c r="G19" s="45">
        <f>Incurred_loss!U17</f>
        <v>3468493.2372203339</v>
      </c>
      <c r="H19" s="45">
        <f>Incurred_loss!V17</f>
        <v>3409370.6416846784</v>
      </c>
      <c r="I19" s="45">
        <f>Incurred_loss!W17</f>
        <v>4395391.4615959115</v>
      </c>
      <c r="J19" s="45">
        <f>Incurred_loss!X17</f>
        <v>4000176.1406406509</v>
      </c>
      <c r="K19" s="45">
        <f>Incurred_loss!Y17</f>
        <v>3704185.3495464353</v>
      </c>
      <c r="L19" s="45">
        <f>Incurred_loss!Z17</f>
        <v>3642551.405535724</v>
      </c>
      <c r="M19" s="45">
        <f>Incurred_loss!AA17</f>
        <v>3822225.1781560075</v>
      </c>
      <c r="N19" s="45">
        <f>Incurred_loss!AB17</f>
        <v>3807225.1692698291</v>
      </c>
      <c r="O19" s="48">
        <f t="shared" si="0"/>
        <v>3807225.1692698291</v>
      </c>
      <c r="P19" s="45" t="s">
        <v>40</v>
      </c>
      <c r="Q19" s="45">
        <f>MIN(Exposure!$C$23,MAX(0,BC_with_index!$O19-Exposure!$E$23))</f>
        <v>0</v>
      </c>
      <c r="R19" s="45">
        <f>MIN(Exposure!$C$24,MAX(0,BC_with_index!$O19-Exposure!$E$24))</f>
        <v>0</v>
      </c>
      <c r="S19" s="1" t="str">
        <f t="shared" si="1"/>
        <v>-</v>
      </c>
      <c r="T19" s="1" t="str">
        <f t="shared" si="2"/>
        <v>-</v>
      </c>
    </row>
    <row r="20" spans="4:26" x14ac:dyDescent="0.3">
      <c r="D20">
        <f>Incurred_loss!$C18</f>
        <v>2017</v>
      </c>
      <c r="E20" s="45">
        <f>Incurred_loss!S18</f>
        <v>5203392.148422976</v>
      </c>
      <c r="F20" s="45">
        <f>Incurred_loss!T18</f>
        <v>4447840.7296354836</v>
      </c>
      <c r="G20" s="45">
        <f>Incurred_loss!U18</f>
        <v>4699246.5035641734</v>
      </c>
      <c r="H20" s="45">
        <f>Incurred_loss!V18</f>
        <v>4562017.0046321144</v>
      </c>
      <c r="I20" s="45">
        <f>Incurred_loss!W18</f>
        <v>4491570.2701692423</v>
      </c>
      <c r="J20" s="45">
        <f>Incurred_loss!X18</f>
        <v>4554489.6701463349</v>
      </c>
      <c r="K20" s="45">
        <f>Incurred_loss!Y18</f>
        <v>4555388.9595937487</v>
      </c>
      <c r="L20" s="45">
        <f>Incurred_loss!Z18</f>
        <v>4554901.2310518101</v>
      </c>
      <c r="M20" s="45">
        <f>Incurred_loss!AA18</f>
        <v>4554760.2497885451</v>
      </c>
      <c r="N20" s="49">
        <f>M20*N$120</f>
        <v>4554760.2497885451</v>
      </c>
      <c r="O20" s="48">
        <f t="shared" si="0"/>
        <v>4554760.2497885451</v>
      </c>
      <c r="P20" s="45">
        <f>Exposure!$I$8</f>
        <v>192212712.58345041</v>
      </c>
      <c r="Q20" s="45">
        <f>MIN(Exposure!$C$23,MAX(0,BC_with_index!$O20-Exposure!$E$23))</f>
        <v>554760.24978854507</v>
      </c>
      <c r="R20" s="45">
        <f>MIN(Exposure!$C$24,MAX(0,BC_with_index!$O20-Exposure!$E$24))</f>
        <v>0</v>
      </c>
      <c r="S20" s="1">
        <f t="shared" si="1"/>
        <v>2.4902103262514609E-2</v>
      </c>
      <c r="T20" s="1">
        <f t="shared" si="2"/>
        <v>0</v>
      </c>
    </row>
    <row r="21" spans="4:26" x14ac:dyDescent="0.3">
      <c r="D21">
        <f>Incurred_loss!$C19</f>
        <v>2017</v>
      </c>
      <c r="E21" s="45">
        <f>Incurred_loss!S19</f>
        <v>3472143.2404432977</v>
      </c>
      <c r="F21" s="45">
        <f>Incurred_loss!T19</f>
        <v>1949690.9370552276</v>
      </c>
      <c r="G21" s="45">
        <f>Incurred_loss!U19</f>
        <v>2424250.6844135746</v>
      </c>
      <c r="H21" s="45">
        <f>Incurred_loss!V19</f>
        <v>2156709.6996040354</v>
      </c>
      <c r="I21" s="45">
        <f>Incurred_loss!W19</f>
        <v>2159021.2505650679</v>
      </c>
      <c r="J21" s="45">
        <f>Incurred_loss!X19</f>
        <v>2119925.2035879735</v>
      </c>
      <c r="K21" s="45">
        <f>Incurred_loss!Y19</f>
        <v>2133255.8133411473</v>
      </c>
      <c r="L21" s="45">
        <f>Incurred_loss!Z19</f>
        <v>2108064.4512475119</v>
      </c>
      <c r="M21" s="45">
        <f>Incurred_loss!AA19</f>
        <v>2118591.0909190089</v>
      </c>
      <c r="N21" s="49">
        <f t="shared" ref="N21:N84" si="5">M21*N$120</f>
        <v>2118591.0909190089</v>
      </c>
      <c r="O21" s="48">
        <f t="shared" si="0"/>
        <v>2118591.0909190089</v>
      </c>
      <c r="P21" s="45" t="s">
        <v>40</v>
      </c>
      <c r="Q21" s="45">
        <f>MIN(Exposure!$C$23,MAX(0,BC_with_index!$O21-Exposure!$E$23))</f>
        <v>0</v>
      </c>
      <c r="R21" s="45">
        <f>MIN(Exposure!$C$24,MAX(0,BC_with_index!$O21-Exposure!$E$24))</f>
        <v>0</v>
      </c>
      <c r="S21" s="1" t="str">
        <f t="shared" si="1"/>
        <v>-</v>
      </c>
      <c r="T21" s="1" t="str">
        <f t="shared" si="2"/>
        <v>-</v>
      </c>
    </row>
    <row r="22" spans="4:26" x14ac:dyDescent="0.3">
      <c r="D22">
        <f>Incurred_loss!$C20</f>
        <v>2017</v>
      </c>
      <c r="E22" s="45">
        <f>Incurred_loss!S20</f>
        <v>2954121.0922918534</v>
      </c>
      <c r="F22" s="45">
        <f>Incurred_loss!T20</f>
        <v>3280641.6895101597</v>
      </c>
      <c r="G22" s="45">
        <f>Incurred_loss!U20</f>
        <v>3305010.5059686364</v>
      </c>
      <c r="H22" s="45">
        <f>Incurred_loss!V20</f>
        <v>3114595.6261554048</v>
      </c>
      <c r="I22" s="45">
        <f>Incurred_loss!W20</f>
        <v>3389154.6476252633</v>
      </c>
      <c r="J22" s="45">
        <f>Incurred_loss!X20</f>
        <v>3157887.5143518136</v>
      </c>
      <c r="K22" s="45">
        <f>Incurred_loss!Y20</f>
        <v>3189960.9233727013</v>
      </c>
      <c r="L22" s="45">
        <f>Incurred_loss!Z20</f>
        <v>3140606.9210096924</v>
      </c>
      <c r="M22" s="45">
        <f>Incurred_loss!AA20</f>
        <v>3147983.3311646944</v>
      </c>
      <c r="N22" s="49">
        <f t="shared" si="5"/>
        <v>3147983.3311646944</v>
      </c>
      <c r="O22" s="48">
        <f t="shared" si="0"/>
        <v>3147983.3311646944</v>
      </c>
      <c r="P22" s="45" t="s">
        <v>40</v>
      </c>
      <c r="Q22" s="45">
        <f>MIN(Exposure!$C$23,MAX(0,BC_with_index!$O22-Exposure!$E$23))</f>
        <v>0</v>
      </c>
      <c r="R22" s="45">
        <f>MIN(Exposure!$C$24,MAX(0,BC_with_index!$O22-Exposure!$E$24))</f>
        <v>0</v>
      </c>
      <c r="S22" s="1" t="str">
        <f t="shared" si="1"/>
        <v>-</v>
      </c>
      <c r="T22" s="1" t="str">
        <f t="shared" si="2"/>
        <v>-</v>
      </c>
    </row>
    <row r="23" spans="4:26" x14ac:dyDescent="0.3">
      <c r="D23">
        <f>Incurred_loss!$C21</f>
        <v>2017</v>
      </c>
      <c r="E23" s="45">
        <f>Incurred_loss!S21</f>
        <v>3110941.0010807123</v>
      </c>
      <c r="F23" s="45">
        <f>Incurred_loss!T21</f>
        <v>2220941.5548027237</v>
      </c>
      <c r="G23" s="45">
        <f>Incurred_loss!U21</f>
        <v>1383479.7310885845</v>
      </c>
      <c r="H23" s="45">
        <f>Incurred_loss!V21</f>
        <v>1911896.1208925638</v>
      </c>
      <c r="I23" s="45">
        <f>Incurred_loss!W21</f>
        <v>1960747.1198002892</v>
      </c>
      <c r="J23" s="45">
        <f>Incurred_loss!X21</f>
        <v>1960747.0870069421</v>
      </c>
      <c r="K23" s="45">
        <f>Incurred_loss!Y21</f>
        <v>1960747.078357711</v>
      </c>
      <c r="L23" s="45">
        <f>Incurred_loss!Z21</f>
        <v>1960747.0783812099</v>
      </c>
      <c r="M23" s="45">
        <f>Incurred_loss!AA21</f>
        <v>1960747.0783730501</v>
      </c>
      <c r="N23" s="49">
        <f t="shared" si="5"/>
        <v>1960747.0783730501</v>
      </c>
      <c r="O23" s="48">
        <f t="shared" si="0"/>
        <v>1960747.0783730501</v>
      </c>
      <c r="P23" s="45" t="s">
        <v>40</v>
      </c>
      <c r="Q23" s="45">
        <f>MIN(Exposure!$C$23,MAX(0,BC_with_index!$O23-Exposure!$E$23))</f>
        <v>0</v>
      </c>
      <c r="R23" s="45">
        <f>MIN(Exposure!$C$24,MAX(0,BC_with_index!$O23-Exposure!$E$24))</f>
        <v>0</v>
      </c>
      <c r="S23" s="1" t="str">
        <f t="shared" si="1"/>
        <v>-</v>
      </c>
      <c r="T23" s="1" t="str">
        <f t="shared" si="2"/>
        <v>-</v>
      </c>
    </row>
    <row r="24" spans="4:26" x14ac:dyDescent="0.3">
      <c r="D24">
        <f>Incurred_loss!$C22</f>
        <v>2017</v>
      </c>
      <c r="E24" s="45">
        <f>Incurred_loss!S22</f>
        <v>2543585.7694570827</v>
      </c>
      <c r="F24" s="45">
        <f>Incurred_loss!T22</f>
        <v>3569624.0675953315</v>
      </c>
      <c r="G24" s="45">
        <f>Incurred_loss!U22</f>
        <v>3925297.1807503095</v>
      </c>
      <c r="H24" s="45">
        <f>Incurred_loss!V22</f>
        <v>4084692.1976764998</v>
      </c>
      <c r="I24" s="45">
        <f>Incurred_loss!W22</f>
        <v>4111325.6791235469</v>
      </c>
      <c r="J24" s="45">
        <f>Incurred_loss!X22</f>
        <v>4102037.7711516437</v>
      </c>
      <c r="K24" s="45">
        <f>Incurred_loss!Y22</f>
        <v>4101583.5006314749</v>
      </c>
      <c r="L24" s="45">
        <f>Incurred_loss!Z22</f>
        <v>4099353.1421023337</v>
      </c>
      <c r="M24" s="45">
        <f>Incurred_loss!AA22</f>
        <v>4100753.9297875995</v>
      </c>
      <c r="N24" s="49">
        <f t="shared" si="5"/>
        <v>4100753.9297875995</v>
      </c>
      <c r="O24" s="48">
        <f t="shared" si="0"/>
        <v>4100753.9297875995</v>
      </c>
      <c r="P24" s="45" t="s">
        <v>40</v>
      </c>
      <c r="Q24" s="45">
        <f>MIN(Exposure!$C$23,MAX(0,BC_with_index!$O24-Exposure!$E$23))</f>
        <v>100753.92978759948</v>
      </c>
      <c r="R24" s="45">
        <f>MIN(Exposure!$C$24,MAX(0,BC_with_index!$O24-Exposure!$E$24))</f>
        <v>0</v>
      </c>
      <c r="S24" s="1" t="str">
        <f t="shared" si="1"/>
        <v>-</v>
      </c>
      <c r="T24" s="1" t="str">
        <f t="shared" si="2"/>
        <v>-</v>
      </c>
    </row>
    <row r="25" spans="4:26" x14ac:dyDescent="0.3">
      <c r="D25">
        <f>Incurred_loss!$C23</f>
        <v>2017</v>
      </c>
      <c r="E25" s="45">
        <f>Incurred_loss!S23</f>
        <v>1527914.4039625286</v>
      </c>
      <c r="F25" s="45">
        <f>Incurred_loss!T23</f>
        <v>1495286.886468648</v>
      </c>
      <c r="G25" s="45">
        <f>Incurred_loss!U23</f>
        <v>1484519.4019812248</v>
      </c>
      <c r="H25" s="45">
        <f>Incurred_loss!V23</f>
        <v>1669537.0033176767</v>
      </c>
      <c r="I25" s="45">
        <f>Incurred_loss!W23</f>
        <v>1660390.5280471023</v>
      </c>
      <c r="J25" s="45">
        <f>Incurred_loss!X23</f>
        <v>1659005.2846404545</v>
      </c>
      <c r="K25" s="45">
        <f>Incurred_loss!Y23</f>
        <v>1659678.2315805538</v>
      </c>
      <c r="L25" s="45">
        <f>Incurred_loss!Z23</f>
        <v>1659350.9232021885</v>
      </c>
      <c r="M25" s="45">
        <f>Incurred_loss!AA23</f>
        <v>1659147.7848088506</v>
      </c>
      <c r="N25" s="49">
        <f t="shared" si="5"/>
        <v>1659147.7848088506</v>
      </c>
      <c r="O25" s="48">
        <f t="shared" si="0"/>
        <v>1659147.7848088506</v>
      </c>
      <c r="P25" s="45" t="s">
        <v>40</v>
      </c>
      <c r="Q25" s="45">
        <f>MIN(Exposure!$C$23,MAX(0,BC_with_index!$O25-Exposure!$E$23))</f>
        <v>0</v>
      </c>
      <c r="R25" s="45">
        <f>MIN(Exposure!$C$24,MAX(0,BC_with_index!$O25-Exposure!$E$24))</f>
        <v>0</v>
      </c>
      <c r="S25" s="1" t="str">
        <f t="shared" si="1"/>
        <v>-</v>
      </c>
      <c r="T25" s="1" t="str">
        <f t="shared" si="2"/>
        <v>-</v>
      </c>
    </row>
    <row r="26" spans="4:26" x14ac:dyDescent="0.3">
      <c r="D26">
        <f>Incurred_loss!$C24</f>
        <v>2017</v>
      </c>
      <c r="E26" s="45">
        <f>Incurred_loss!S24</f>
        <v>8209874.1330190338</v>
      </c>
      <c r="F26" s="45">
        <f>Incurred_loss!T24</f>
        <v>5466829.6932244627</v>
      </c>
      <c r="G26" s="45">
        <f>Incurred_loss!U24</f>
        <v>5805640.6493491549</v>
      </c>
      <c r="H26" s="45">
        <f>Incurred_loss!V24</f>
        <v>6307365.2347372463</v>
      </c>
      <c r="I26" s="45">
        <f>Incurred_loss!W24</f>
        <v>6051517.0829876773</v>
      </c>
      <c r="J26" s="45">
        <f>Incurred_loss!X24</f>
        <v>6026292.4886613004</v>
      </c>
      <c r="K26" s="45">
        <f>Incurred_loss!Y24</f>
        <v>6026256.0153700635</v>
      </c>
      <c r="L26" s="45">
        <f>Incurred_loss!Z24</f>
        <v>6026251.7508366769</v>
      </c>
      <c r="M26" s="45">
        <f>Incurred_loss!AA24</f>
        <v>6026242.8946571602</v>
      </c>
      <c r="N26" s="49">
        <f t="shared" si="5"/>
        <v>6026242.8946571602</v>
      </c>
      <c r="O26" s="48">
        <f t="shared" si="0"/>
        <v>6026242.8946571602</v>
      </c>
      <c r="P26" s="45" t="s">
        <v>40</v>
      </c>
      <c r="Q26" s="45">
        <f>MIN(Exposure!$C$23,MAX(0,BC_with_index!$O26-Exposure!$E$23))</f>
        <v>2026242.8946571602</v>
      </c>
      <c r="R26" s="45">
        <f>MIN(Exposure!$C$24,MAX(0,BC_with_index!$O26-Exposure!$E$24))</f>
        <v>0</v>
      </c>
      <c r="S26" s="1" t="str">
        <f t="shared" si="1"/>
        <v>-</v>
      </c>
      <c r="T26" s="1" t="str">
        <f t="shared" si="2"/>
        <v>-</v>
      </c>
    </row>
    <row r="27" spans="4:26" x14ac:dyDescent="0.3">
      <c r="D27">
        <f>Incurred_loss!$C25</f>
        <v>2017</v>
      </c>
      <c r="E27" s="45">
        <f>Incurred_loss!S25</f>
        <v>2565913.1861936403</v>
      </c>
      <c r="F27" s="45">
        <f>Incurred_loss!T25</f>
        <v>4057496.6511498117</v>
      </c>
      <c r="G27" s="45">
        <f>Incurred_loss!U25</f>
        <v>2129306.4964282732</v>
      </c>
      <c r="H27" s="45">
        <f>Incurred_loss!V25</f>
        <v>2182322.7114651278</v>
      </c>
      <c r="I27" s="45">
        <f>Incurred_loss!W25</f>
        <v>2335214.5489606978</v>
      </c>
      <c r="J27" s="45">
        <f>Incurred_loss!X25</f>
        <v>2363665.5245466307</v>
      </c>
      <c r="K27" s="45">
        <f>Incurred_loss!Y25</f>
        <v>2343612.5904779388</v>
      </c>
      <c r="L27" s="45">
        <f>Incurred_loss!Z25</f>
        <v>2344063.7657622667</v>
      </c>
      <c r="M27" s="45">
        <f>Incurred_loss!AA25</f>
        <v>2345303.9227981973</v>
      </c>
      <c r="N27" s="49">
        <f t="shared" si="5"/>
        <v>2345303.9227981973</v>
      </c>
      <c r="O27" s="48">
        <f t="shared" si="0"/>
        <v>2345303.9227981973</v>
      </c>
      <c r="P27" s="45" t="s">
        <v>40</v>
      </c>
      <c r="Q27" s="45">
        <f>MIN(Exposure!$C$23,MAX(0,BC_with_index!$O27-Exposure!$E$23))</f>
        <v>0</v>
      </c>
      <c r="R27" s="45">
        <f>MIN(Exposure!$C$24,MAX(0,BC_with_index!$O27-Exposure!$E$24))</f>
        <v>0</v>
      </c>
      <c r="S27" s="1" t="str">
        <f t="shared" si="1"/>
        <v>-</v>
      </c>
      <c r="T27" s="1" t="str">
        <f t="shared" si="2"/>
        <v>-</v>
      </c>
    </row>
    <row r="28" spans="4:26" x14ac:dyDescent="0.3">
      <c r="D28">
        <f>Incurred_loss!$C26</f>
        <v>2017</v>
      </c>
      <c r="E28" s="45">
        <f>Incurred_loss!S26</f>
        <v>1657511.0016514342</v>
      </c>
      <c r="F28" s="45">
        <f>Incurred_loss!T26</f>
        <v>1978766.9443399711</v>
      </c>
      <c r="G28" s="45">
        <f>Incurred_loss!U26</f>
        <v>1680079.8555134607</v>
      </c>
      <c r="H28" s="45">
        <f>Incurred_loss!V26</f>
        <v>1759297.199428797</v>
      </c>
      <c r="I28" s="45">
        <f>Incurred_loss!W26</f>
        <v>1633029.1160748368</v>
      </c>
      <c r="J28" s="45">
        <f>Incurred_loss!X26</f>
        <v>1709947.1303271821</v>
      </c>
      <c r="K28" s="45">
        <f>Incurred_loss!Y26</f>
        <v>1680131.9297368489</v>
      </c>
      <c r="L28" s="45">
        <f>Incurred_loss!Z26</f>
        <v>1677253.1475088238</v>
      </c>
      <c r="M28" s="45">
        <f>Incurred_loss!AA26</f>
        <v>1674741.1043204458</v>
      </c>
      <c r="N28" s="49">
        <f t="shared" si="5"/>
        <v>1674741.1043204458</v>
      </c>
      <c r="O28" s="48">
        <f t="shared" si="0"/>
        <v>1674741.1043204458</v>
      </c>
      <c r="P28" s="45" t="s">
        <v>40</v>
      </c>
      <c r="Q28" s="45">
        <f>MIN(Exposure!$C$23,MAX(0,BC_with_index!$O28-Exposure!$E$23))</f>
        <v>0</v>
      </c>
      <c r="R28" s="45">
        <f>MIN(Exposure!$C$24,MAX(0,BC_with_index!$O28-Exposure!$E$24))</f>
        <v>0</v>
      </c>
      <c r="S28" s="1" t="str">
        <f t="shared" si="1"/>
        <v>-</v>
      </c>
      <c r="T28" s="1" t="str">
        <f t="shared" si="2"/>
        <v>-</v>
      </c>
    </row>
    <row r="29" spans="4:26" x14ac:dyDescent="0.3">
      <c r="D29">
        <f>Incurred_loss!$C27</f>
        <v>2017</v>
      </c>
      <c r="E29" s="45">
        <f>Incurred_loss!S27</f>
        <v>1057605.7704876333</v>
      </c>
      <c r="F29" s="45">
        <f>Incurred_loss!T27</f>
        <v>1659589.5877203234</v>
      </c>
      <c r="G29" s="45">
        <f>Incurred_loss!U27</f>
        <v>1122267.7646879354</v>
      </c>
      <c r="H29" s="45">
        <f>Incurred_loss!V27</f>
        <v>1177611.8500038339</v>
      </c>
      <c r="I29" s="45">
        <f>Incurred_loss!W27</f>
        <v>1188135.662533704</v>
      </c>
      <c r="J29" s="45">
        <f>Incurred_loss!X27</f>
        <v>1123871.6942783205</v>
      </c>
      <c r="K29" s="45">
        <f>Incurred_loss!Y27</f>
        <v>1117009.8392926487</v>
      </c>
      <c r="L29" s="45">
        <f>Incurred_loss!Z27</f>
        <v>1117087.605850765</v>
      </c>
      <c r="M29" s="45">
        <f>Incurred_loss!AA27</f>
        <v>1116918.3795102111</v>
      </c>
      <c r="N29" s="49">
        <f t="shared" si="5"/>
        <v>1116918.3795102111</v>
      </c>
      <c r="O29" s="48">
        <f t="shared" si="0"/>
        <v>1116918.3795102111</v>
      </c>
      <c r="P29" s="45" t="s">
        <v>40</v>
      </c>
      <c r="Q29" s="45">
        <f>MIN(Exposure!$C$23,MAX(0,BC_with_index!$O29-Exposure!$E$23))</f>
        <v>0</v>
      </c>
      <c r="R29" s="45">
        <f>MIN(Exposure!$C$24,MAX(0,BC_with_index!$O29-Exposure!$E$24))</f>
        <v>0</v>
      </c>
      <c r="S29" s="1" t="str">
        <f t="shared" si="1"/>
        <v>-</v>
      </c>
      <c r="T29" s="1" t="str">
        <f t="shared" si="2"/>
        <v>-</v>
      </c>
    </row>
    <row r="30" spans="4:26" x14ac:dyDescent="0.3">
      <c r="D30">
        <f>Incurred_loss!$C28</f>
        <v>2017</v>
      </c>
      <c r="E30" s="45">
        <f>Incurred_loss!S28</f>
        <v>1639376.6754386465</v>
      </c>
      <c r="F30" s="45">
        <f>Incurred_loss!T28</f>
        <v>4339034.6381610818</v>
      </c>
      <c r="G30" s="45">
        <f>Incurred_loss!U28</f>
        <v>3743044.0632876349</v>
      </c>
      <c r="H30" s="45">
        <f>Incurred_loss!V28</f>
        <v>3597192.4409892196</v>
      </c>
      <c r="I30" s="45">
        <f>Incurred_loss!W28</f>
        <v>3546566.5711646262</v>
      </c>
      <c r="J30" s="45">
        <f>Incurred_loss!X28</f>
        <v>3570103.0943055125</v>
      </c>
      <c r="K30" s="45">
        <f>Incurred_loss!Y28</f>
        <v>3570134.4415562204</v>
      </c>
      <c r="L30" s="45">
        <f>Incurred_loss!Z28</f>
        <v>3569619.1574875941</v>
      </c>
      <c r="M30" s="45">
        <f>Incurred_loss!AA28</f>
        <v>3569618.0568383485</v>
      </c>
      <c r="N30" s="49">
        <f t="shared" si="5"/>
        <v>3569618.0568383485</v>
      </c>
      <c r="O30" s="48">
        <f t="shared" si="0"/>
        <v>3569618.0568383485</v>
      </c>
      <c r="P30" s="45" t="s">
        <v>40</v>
      </c>
      <c r="Q30" s="45">
        <f>MIN(Exposure!$C$23,MAX(0,BC_with_index!$O30-Exposure!$E$23))</f>
        <v>0</v>
      </c>
      <c r="R30" s="45">
        <f>MIN(Exposure!$C$24,MAX(0,BC_with_index!$O30-Exposure!$E$24))</f>
        <v>0</v>
      </c>
      <c r="S30" s="1" t="str">
        <f t="shared" si="1"/>
        <v>-</v>
      </c>
      <c r="T30" s="1" t="str">
        <f t="shared" si="2"/>
        <v>-</v>
      </c>
    </row>
    <row r="31" spans="4:26" x14ac:dyDescent="0.3">
      <c r="D31">
        <f>Incurred_loss!$C29</f>
        <v>2017</v>
      </c>
      <c r="E31" s="45">
        <f>Incurred_loss!S29</f>
        <v>9795765.9902207945</v>
      </c>
      <c r="F31" s="45">
        <f>Incurred_loss!T29</f>
        <v>5591858.8903607754</v>
      </c>
      <c r="G31" s="45">
        <f>Incurred_loss!U29</f>
        <v>4498436.2221482676</v>
      </c>
      <c r="H31" s="45">
        <f>Incurred_loss!V29</f>
        <v>5772221.2181333108</v>
      </c>
      <c r="I31" s="45">
        <f>Incurred_loss!W29</f>
        <v>5018951.3139301362</v>
      </c>
      <c r="J31" s="45">
        <f>Incurred_loss!X29</f>
        <v>5309892.2330461536</v>
      </c>
      <c r="K31" s="45">
        <f>Incurred_loss!Y29</f>
        <v>5224011.139830566</v>
      </c>
      <c r="L31" s="45">
        <f>Incurred_loss!Z29</f>
        <v>5224226.959261138</v>
      </c>
      <c r="M31" s="45">
        <f>Incurred_loss!AA29</f>
        <v>5224144.5975205507</v>
      </c>
      <c r="N31" s="49">
        <f t="shared" si="5"/>
        <v>5224144.5975205507</v>
      </c>
      <c r="O31" s="48">
        <f t="shared" si="0"/>
        <v>5224144.5975205507</v>
      </c>
      <c r="P31" s="45" t="s">
        <v>40</v>
      </c>
      <c r="Q31" s="45">
        <f>MIN(Exposure!$C$23,MAX(0,BC_with_index!$O31-Exposure!$E$23))</f>
        <v>1224144.5975205507</v>
      </c>
      <c r="R31" s="45">
        <f>MIN(Exposure!$C$24,MAX(0,BC_with_index!$O31-Exposure!$E$24))</f>
        <v>0</v>
      </c>
      <c r="S31" s="1" t="str">
        <f t="shared" si="1"/>
        <v>-</v>
      </c>
      <c r="T31" s="1" t="str">
        <f t="shared" si="2"/>
        <v>-</v>
      </c>
    </row>
    <row r="32" spans="4:26" x14ac:dyDescent="0.3">
      <c r="D32">
        <f>Incurred_loss!$C30</f>
        <v>2017</v>
      </c>
      <c r="E32" s="45">
        <f>Incurred_loss!S30</f>
        <v>3887680.4476395324</v>
      </c>
      <c r="F32" s="45">
        <f>Incurred_loss!T30</f>
        <v>4929002.7549480796</v>
      </c>
      <c r="G32" s="45">
        <f>Incurred_loss!U30</f>
        <v>4442680.577734815</v>
      </c>
      <c r="H32" s="45">
        <f>Incurred_loss!V30</f>
        <v>4724169.0232365038</v>
      </c>
      <c r="I32" s="45">
        <f>Incurred_loss!W30</f>
        <v>4884898.733753155</v>
      </c>
      <c r="J32" s="45">
        <f>Incurred_loss!X30</f>
        <v>4882664.2898878558</v>
      </c>
      <c r="K32" s="45">
        <f>Incurred_loss!Y30</f>
        <v>4886108.4090180565</v>
      </c>
      <c r="L32" s="45">
        <f>Incurred_loss!Z30</f>
        <v>4885125.3992040623</v>
      </c>
      <c r="M32" s="45">
        <f>Incurred_loss!AA30</f>
        <v>4880599.1453672675</v>
      </c>
      <c r="N32" s="49">
        <f t="shared" si="5"/>
        <v>4880599.1453672675</v>
      </c>
      <c r="O32" s="48">
        <f t="shared" si="0"/>
        <v>4880599.1453672675</v>
      </c>
      <c r="P32" s="45" t="s">
        <v>40</v>
      </c>
      <c r="Q32" s="45">
        <f>MIN(Exposure!$C$23,MAX(0,BC_with_index!$O32-Exposure!$E$23))</f>
        <v>880599.14536726754</v>
      </c>
      <c r="R32" s="45">
        <f>MIN(Exposure!$C$24,MAX(0,BC_with_index!$O32-Exposure!$E$24))</f>
        <v>0</v>
      </c>
      <c r="S32" s="1" t="str">
        <f t="shared" si="1"/>
        <v>-</v>
      </c>
      <c r="T32" s="1" t="str">
        <f t="shared" si="2"/>
        <v>-</v>
      </c>
    </row>
    <row r="33" spans="4:20" x14ac:dyDescent="0.3">
      <c r="D33">
        <f>Incurred_loss!$C31</f>
        <v>2018</v>
      </c>
      <c r="E33" s="45">
        <f>Incurred_loss!S31</f>
        <v>3647983.8712935718</v>
      </c>
      <c r="F33" s="45">
        <f>Incurred_loss!T31</f>
        <v>2663655.6392339137</v>
      </c>
      <c r="G33" s="45">
        <f>Incurred_loss!U31</f>
        <v>2934523.0198280723</v>
      </c>
      <c r="H33" s="45">
        <f>Incurred_loss!V31</f>
        <v>2502334.9605533774</v>
      </c>
      <c r="I33" s="45">
        <f>Incurred_loss!W31</f>
        <v>2371345.1801916901</v>
      </c>
      <c r="J33" s="45">
        <f>Incurred_loss!X31</f>
        <v>2380526.0290939696</v>
      </c>
      <c r="K33" s="45">
        <f>Incurred_loss!Y31</f>
        <v>2365535.8644786663</v>
      </c>
      <c r="L33" s="45">
        <f>Incurred_loss!Z31</f>
        <v>2364556.2219643043</v>
      </c>
      <c r="M33" s="50">
        <f>L33*M$120</f>
        <v>2363518.3529029759</v>
      </c>
      <c r="N33" s="49">
        <f t="shared" si="5"/>
        <v>2363518.3529029759</v>
      </c>
      <c r="O33" s="48">
        <f t="shared" si="0"/>
        <v>2363518.3529029759</v>
      </c>
      <c r="P33" s="45">
        <f>Exposure!$I$9</f>
        <v>194134839.70928493</v>
      </c>
      <c r="Q33" s="45">
        <f>MIN(Exposure!$C$23,MAX(0,BC_with_index!$O33-Exposure!$E$23))</f>
        <v>0</v>
      </c>
      <c r="R33" s="45">
        <f>MIN(Exposure!$C$24,MAX(0,BC_with_index!$O33-Exposure!$E$24))</f>
        <v>0</v>
      </c>
      <c r="S33" s="1">
        <f t="shared" si="1"/>
        <v>0</v>
      </c>
      <c r="T33" s="1">
        <f t="shared" si="2"/>
        <v>0</v>
      </c>
    </row>
    <row r="34" spans="4:20" x14ac:dyDescent="0.3">
      <c r="D34">
        <f>Incurred_loss!$C32</f>
        <v>2018</v>
      </c>
      <c r="E34" s="45">
        <f>Incurred_loss!S32</f>
        <v>1755041.7030136934</v>
      </c>
      <c r="F34" s="45">
        <f>Incurred_loss!T32</f>
        <v>3203242.6508661276</v>
      </c>
      <c r="G34" s="45">
        <f>Incurred_loss!U32</f>
        <v>2588832.161020068</v>
      </c>
      <c r="H34" s="45">
        <f>Incurred_loss!V32</f>
        <v>2778620.5841088132</v>
      </c>
      <c r="I34" s="45">
        <f>Incurred_loss!W32</f>
        <v>2767714.4343934194</v>
      </c>
      <c r="J34" s="45">
        <f>Incurred_loss!X32</f>
        <v>2755050.0164855602</v>
      </c>
      <c r="K34" s="45">
        <f>Incurred_loss!Y32</f>
        <v>2755329.5888398387</v>
      </c>
      <c r="L34" s="45">
        <f>Incurred_loss!Z32</f>
        <v>2755330.4386347365</v>
      </c>
      <c r="M34" s="50">
        <f t="shared" ref="M34:M49" si="6">L34*M$120</f>
        <v>2754121.0479721539</v>
      </c>
      <c r="N34" s="49">
        <f t="shared" si="5"/>
        <v>2754121.0479721539</v>
      </c>
      <c r="O34" s="48">
        <f t="shared" si="0"/>
        <v>2754121.0479721539</v>
      </c>
      <c r="P34" s="45" t="s">
        <v>40</v>
      </c>
      <c r="Q34" s="45">
        <f>MIN(Exposure!$C$23,MAX(0,BC_with_index!$O34-Exposure!$E$23))</f>
        <v>0</v>
      </c>
      <c r="R34" s="45">
        <f>MIN(Exposure!$C$24,MAX(0,BC_with_index!$O34-Exposure!$E$24))</f>
        <v>0</v>
      </c>
      <c r="S34" s="1" t="str">
        <f t="shared" si="1"/>
        <v>-</v>
      </c>
      <c r="T34" s="1" t="str">
        <f t="shared" si="2"/>
        <v>-</v>
      </c>
    </row>
    <row r="35" spans="4:20" x14ac:dyDescent="0.3">
      <c r="D35">
        <f>Incurred_loss!$C33</f>
        <v>2018</v>
      </c>
      <c r="E35" s="45">
        <f>Incurred_loss!S33</f>
        <v>1782056.4983226999</v>
      </c>
      <c r="F35" s="45">
        <f>Incurred_loss!T33</f>
        <v>2682915.8042027866</v>
      </c>
      <c r="G35" s="45">
        <f>Incurred_loss!U33</f>
        <v>2446048.2842919463</v>
      </c>
      <c r="H35" s="45">
        <f>Incurred_loss!V33</f>
        <v>2463277.9318342018</v>
      </c>
      <c r="I35" s="45">
        <f>Incurred_loss!W33</f>
        <v>2444627.3272653497</v>
      </c>
      <c r="J35" s="45">
        <f>Incurred_loss!X33</f>
        <v>2439210.3652469805</v>
      </c>
      <c r="K35" s="45">
        <f>Incurred_loss!Y33</f>
        <v>2443660.786923049</v>
      </c>
      <c r="L35" s="45">
        <f>Incurred_loss!Z33</f>
        <v>2440659.0632831426</v>
      </c>
      <c r="M35" s="50">
        <f t="shared" si="6"/>
        <v>2439587.7905819472</v>
      </c>
      <c r="N35" s="49">
        <f t="shared" si="5"/>
        <v>2439587.7905819472</v>
      </c>
      <c r="O35" s="48">
        <f t="shared" si="0"/>
        <v>2439587.7905819472</v>
      </c>
      <c r="P35" s="45" t="s">
        <v>40</v>
      </c>
      <c r="Q35" s="45">
        <f>MIN(Exposure!$C$23,MAX(0,BC_with_index!$O35-Exposure!$E$23))</f>
        <v>0</v>
      </c>
      <c r="R35" s="45">
        <f>MIN(Exposure!$C$24,MAX(0,BC_with_index!$O35-Exposure!$E$24))</f>
        <v>0</v>
      </c>
      <c r="S35" s="1" t="str">
        <f t="shared" si="1"/>
        <v>-</v>
      </c>
      <c r="T35" s="1" t="str">
        <f t="shared" si="2"/>
        <v>-</v>
      </c>
    </row>
    <row r="36" spans="4:20" x14ac:dyDescent="0.3">
      <c r="D36">
        <f>Incurred_loss!$C34</f>
        <v>2018</v>
      </c>
      <c r="E36" s="45">
        <f>Incurred_loss!S34</f>
        <v>1871237.0370504619</v>
      </c>
      <c r="F36" s="45">
        <f>Incurred_loss!T34</f>
        <v>2515108.9648864372</v>
      </c>
      <c r="G36" s="45">
        <f>Incurred_loss!U34</f>
        <v>2059418.8341624597</v>
      </c>
      <c r="H36" s="45">
        <f>Incurred_loss!V34</f>
        <v>2145436.9884395758</v>
      </c>
      <c r="I36" s="45">
        <f>Incurred_loss!W34</f>
        <v>2136835.1215215488</v>
      </c>
      <c r="J36" s="45">
        <f>Incurred_loss!X34</f>
        <v>2147771.9140172675</v>
      </c>
      <c r="K36" s="45">
        <f>Incurred_loss!Y34</f>
        <v>2141879.8178751217</v>
      </c>
      <c r="L36" s="45">
        <f>Incurred_loss!Z34</f>
        <v>2142212.1960527706</v>
      </c>
      <c r="M36" s="50">
        <f t="shared" si="6"/>
        <v>2141271.9199280455</v>
      </c>
      <c r="N36" s="49">
        <f t="shared" si="5"/>
        <v>2141271.9199280455</v>
      </c>
      <c r="O36" s="48">
        <f t="shared" si="0"/>
        <v>2141271.9199280455</v>
      </c>
      <c r="P36" s="45" t="s">
        <v>40</v>
      </c>
      <c r="Q36" s="45">
        <f>MIN(Exposure!$C$23,MAX(0,BC_with_index!$O36-Exposure!$E$23))</f>
        <v>0</v>
      </c>
      <c r="R36" s="45">
        <f>MIN(Exposure!$C$24,MAX(0,BC_with_index!$O36-Exposure!$E$24))</f>
        <v>0</v>
      </c>
      <c r="S36" s="1" t="str">
        <f t="shared" si="1"/>
        <v>-</v>
      </c>
      <c r="T36" s="1" t="str">
        <f t="shared" si="2"/>
        <v>-</v>
      </c>
    </row>
    <row r="37" spans="4:20" x14ac:dyDescent="0.3">
      <c r="D37">
        <f>Incurred_loss!$C35</f>
        <v>2018</v>
      </c>
      <c r="E37" s="45">
        <f>Incurred_loss!S35</f>
        <v>1363941.5766761536</v>
      </c>
      <c r="F37" s="45">
        <f>Incurred_loss!T35</f>
        <v>1915008.1061064014</v>
      </c>
      <c r="G37" s="45">
        <f>Incurred_loss!U35</f>
        <v>2034796.8185545793</v>
      </c>
      <c r="H37" s="45">
        <f>Incurred_loss!V35</f>
        <v>2042221.728241608</v>
      </c>
      <c r="I37" s="45">
        <f>Incurred_loss!W35</f>
        <v>2034680.4602501264</v>
      </c>
      <c r="J37" s="45">
        <f>Incurred_loss!X35</f>
        <v>2038679.4791370616</v>
      </c>
      <c r="K37" s="45">
        <f>Incurred_loss!Y35</f>
        <v>2038971.2971769231</v>
      </c>
      <c r="L37" s="45">
        <f>Incurred_loss!Z35</f>
        <v>2037939.6508348135</v>
      </c>
      <c r="M37" s="50">
        <f t="shared" si="6"/>
        <v>2037045.1428113591</v>
      </c>
      <c r="N37" s="49">
        <f t="shared" si="5"/>
        <v>2037045.1428113591</v>
      </c>
      <c r="O37" s="48">
        <f t="shared" si="0"/>
        <v>2037045.1428113591</v>
      </c>
      <c r="P37" s="45" t="s">
        <v>40</v>
      </c>
      <c r="Q37" s="45">
        <f>MIN(Exposure!$C$23,MAX(0,BC_with_index!$O37-Exposure!$E$23))</f>
        <v>0</v>
      </c>
      <c r="R37" s="45">
        <f>MIN(Exposure!$C$24,MAX(0,BC_with_index!$O37-Exposure!$E$24))</f>
        <v>0</v>
      </c>
      <c r="S37" s="1" t="str">
        <f t="shared" si="1"/>
        <v>-</v>
      </c>
      <c r="T37" s="1" t="str">
        <f t="shared" si="2"/>
        <v>-</v>
      </c>
    </row>
    <row r="38" spans="4:20" x14ac:dyDescent="0.3">
      <c r="D38">
        <f>Incurred_loss!$C36</f>
        <v>2018</v>
      </c>
      <c r="E38" s="45">
        <f>Incurred_loss!S36</f>
        <v>1514847.2251422561</v>
      </c>
      <c r="F38" s="45">
        <f>Incurred_loss!T36</f>
        <v>1216234.002636296</v>
      </c>
      <c r="G38" s="45">
        <f>Incurred_loss!U36</f>
        <v>1494730.6008669646</v>
      </c>
      <c r="H38" s="45">
        <f>Incurred_loss!V36</f>
        <v>1575868.3197030653</v>
      </c>
      <c r="I38" s="45">
        <f>Incurred_loss!W36</f>
        <v>1493642.8406907017</v>
      </c>
      <c r="J38" s="45">
        <f>Incurred_loss!X36</f>
        <v>1490805.0278439922</v>
      </c>
      <c r="K38" s="45">
        <f>Incurred_loss!Y36</f>
        <v>1510544.2070825405</v>
      </c>
      <c r="L38" s="45">
        <f>Incurred_loss!Z36</f>
        <v>1482636.1052143991</v>
      </c>
      <c r="M38" s="50">
        <f t="shared" si="6"/>
        <v>1481985.3352608166</v>
      </c>
      <c r="N38" s="49">
        <f t="shared" si="5"/>
        <v>1481985.3352608166</v>
      </c>
      <c r="O38" s="48">
        <f t="shared" si="0"/>
        <v>1481985.3352608166</v>
      </c>
      <c r="P38" s="45" t="s">
        <v>40</v>
      </c>
      <c r="Q38" s="45">
        <f>MIN(Exposure!$C$23,MAX(0,BC_with_index!$O38-Exposure!$E$23))</f>
        <v>0</v>
      </c>
      <c r="R38" s="45">
        <f>MIN(Exposure!$C$24,MAX(0,BC_with_index!$O38-Exposure!$E$24))</f>
        <v>0</v>
      </c>
      <c r="S38" s="1" t="str">
        <f t="shared" si="1"/>
        <v>-</v>
      </c>
      <c r="T38" s="1" t="str">
        <f t="shared" si="2"/>
        <v>-</v>
      </c>
    </row>
    <row r="39" spans="4:20" x14ac:dyDescent="0.3">
      <c r="D39">
        <f>Incurred_loss!$C37</f>
        <v>2018</v>
      </c>
      <c r="E39" s="45">
        <f>Incurred_loss!S37</f>
        <v>3307875.5172522701</v>
      </c>
      <c r="F39" s="45">
        <f>Incurred_loss!T37</f>
        <v>2467557.4165175389</v>
      </c>
      <c r="G39" s="45">
        <f>Incurred_loss!U37</f>
        <v>2136557.2127756858</v>
      </c>
      <c r="H39" s="45">
        <f>Incurred_loss!V37</f>
        <v>2045239.2512578957</v>
      </c>
      <c r="I39" s="45">
        <f>Incurred_loss!W37</f>
        <v>2020365.0985146023</v>
      </c>
      <c r="J39" s="45">
        <f>Incurred_loss!X37</f>
        <v>2021136.399667098</v>
      </c>
      <c r="K39" s="45">
        <f>Incurred_loss!Y37</f>
        <v>2020112.0642710493</v>
      </c>
      <c r="L39" s="45">
        <f>Incurred_loss!Z37</f>
        <v>2020580.646030263</v>
      </c>
      <c r="M39" s="50">
        <f t="shared" si="6"/>
        <v>2019693.7573536674</v>
      </c>
      <c r="N39" s="49">
        <f t="shared" si="5"/>
        <v>2019693.7573536674</v>
      </c>
      <c r="O39" s="48">
        <f t="shared" si="0"/>
        <v>2019693.7573536674</v>
      </c>
      <c r="P39" s="45" t="s">
        <v>40</v>
      </c>
      <c r="Q39" s="45">
        <f>MIN(Exposure!$C$23,MAX(0,BC_with_index!$O39-Exposure!$E$23))</f>
        <v>0</v>
      </c>
      <c r="R39" s="45">
        <f>MIN(Exposure!$C$24,MAX(0,BC_with_index!$O39-Exposure!$E$24))</f>
        <v>0</v>
      </c>
      <c r="S39" s="1" t="str">
        <f t="shared" si="1"/>
        <v>-</v>
      </c>
      <c r="T39" s="1" t="str">
        <f t="shared" si="2"/>
        <v>-</v>
      </c>
    </row>
    <row r="40" spans="4:20" x14ac:dyDescent="0.3">
      <c r="D40">
        <f>Incurred_loss!$C38</f>
        <v>2018</v>
      </c>
      <c r="E40" s="45">
        <f>Incurred_loss!S38</f>
        <v>2007653.8734549335</v>
      </c>
      <c r="F40" s="45">
        <f>Incurred_loss!T38</f>
        <v>4037284.8797259182</v>
      </c>
      <c r="G40" s="45">
        <f>Incurred_loss!U38</f>
        <v>3055852.214044699</v>
      </c>
      <c r="H40" s="45">
        <f>Incurred_loss!V38</f>
        <v>3098751.0512599479</v>
      </c>
      <c r="I40" s="45">
        <f>Incurred_loss!W38</f>
        <v>3133922.3155527078</v>
      </c>
      <c r="J40" s="45">
        <f>Incurred_loss!X38</f>
        <v>3119860.7856605817</v>
      </c>
      <c r="K40" s="45">
        <f>Incurred_loss!Y38</f>
        <v>3128387.7087453506</v>
      </c>
      <c r="L40" s="45">
        <f>Incurred_loss!Z38</f>
        <v>3126973.162178969</v>
      </c>
      <c r="M40" s="50">
        <f t="shared" si="6"/>
        <v>3125600.6472560912</v>
      </c>
      <c r="N40" s="49">
        <f t="shared" si="5"/>
        <v>3125600.6472560912</v>
      </c>
      <c r="O40" s="48">
        <f t="shared" si="0"/>
        <v>3125600.6472560912</v>
      </c>
      <c r="P40" s="45" t="s">
        <v>40</v>
      </c>
      <c r="Q40" s="45">
        <f>MIN(Exposure!$C$23,MAX(0,BC_with_index!$O40-Exposure!$E$23))</f>
        <v>0</v>
      </c>
      <c r="R40" s="45">
        <f>MIN(Exposure!$C$24,MAX(0,BC_with_index!$O40-Exposure!$E$24))</f>
        <v>0</v>
      </c>
      <c r="S40" s="1" t="str">
        <f t="shared" si="1"/>
        <v>-</v>
      </c>
      <c r="T40" s="1" t="str">
        <f t="shared" si="2"/>
        <v>-</v>
      </c>
    </row>
    <row r="41" spans="4:20" x14ac:dyDescent="0.3">
      <c r="D41">
        <f>Incurred_loss!$C39</f>
        <v>2018</v>
      </c>
      <c r="E41" s="45">
        <f>Incurred_loss!S39</f>
        <v>4474228.4450837681</v>
      </c>
      <c r="F41" s="45">
        <f>Incurred_loss!T39</f>
        <v>3737787.3599729929</v>
      </c>
      <c r="G41" s="45">
        <f>Incurred_loss!U39</f>
        <v>3480647.2654992738</v>
      </c>
      <c r="H41" s="45">
        <f>Incurred_loss!V39</f>
        <v>3494555.4823131179</v>
      </c>
      <c r="I41" s="45">
        <f>Incurred_loss!W39</f>
        <v>3378973.946781069</v>
      </c>
      <c r="J41" s="45">
        <f>Incurred_loss!X39</f>
        <v>3375980.2350064246</v>
      </c>
      <c r="K41" s="45">
        <f>Incurred_loss!Y39</f>
        <v>3374067.0177069176</v>
      </c>
      <c r="L41" s="45">
        <f>Incurred_loss!Z39</f>
        <v>3374015.8791770837</v>
      </c>
      <c r="M41" s="50">
        <f t="shared" si="6"/>
        <v>3372534.9303796305</v>
      </c>
      <c r="N41" s="49">
        <f t="shared" si="5"/>
        <v>3372534.9303796305</v>
      </c>
      <c r="O41" s="48">
        <f t="shared" si="0"/>
        <v>3372534.9303796305</v>
      </c>
      <c r="P41" s="45" t="s">
        <v>40</v>
      </c>
      <c r="Q41" s="45">
        <f>MIN(Exposure!$C$23,MAX(0,BC_with_index!$O41-Exposure!$E$23))</f>
        <v>0</v>
      </c>
      <c r="R41" s="45">
        <f>MIN(Exposure!$C$24,MAX(0,BC_with_index!$O41-Exposure!$E$24))</f>
        <v>0</v>
      </c>
      <c r="S41" s="1" t="str">
        <f t="shared" si="1"/>
        <v>-</v>
      </c>
      <c r="T41" s="1" t="str">
        <f t="shared" si="2"/>
        <v>-</v>
      </c>
    </row>
    <row r="42" spans="4:20" x14ac:dyDescent="0.3">
      <c r="D42">
        <f>Incurred_loss!$C40</f>
        <v>2018</v>
      </c>
      <c r="E42" s="45">
        <f>Incurred_loss!S40</f>
        <v>2467215.5068138903</v>
      </c>
      <c r="F42" s="45">
        <f>Incurred_loss!T40</f>
        <v>2478483.7213986437</v>
      </c>
      <c r="G42" s="45">
        <f>Incurred_loss!U40</f>
        <v>2184297.7499013008</v>
      </c>
      <c r="H42" s="45">
        <f>Incurred_loss!V40</f>
        <v>1796379.8272579338</v>
      </c>
      <c r="I42" s="45">
        <f>Incurred_loss!W40</f>
        <v>1703207.0268370255</v>
      </c>
      <c r="J42" s="45">
        <f>Incurred_loss!X40</f>
        <v>1717186.71982375</v>
      </c>
      <c r="K42" s="45">
        <f>Incurred_loss!Y40</f>
        <v>1716707.0231212878</v>
      </c>
      <c r="L42" s="45">
        <f>Incurred_loss!Z40</f>
        <v>1715885.9819908687</v>
      </c>
      <c r="M42" s="50">
        <f t="shared" si="6"/>
        <v>1715132.832221397</v>
      </c>
      <c r="N42" s="49">
        <f t="shared" si="5"/>
        <v>1715132.832221397</v>
      </c>
      <c r="O42" s="48">
        <f t="shared" si="0"/>
        <v>1715132.832221397</v>
      </c>
      <c r="P42" s="45" t="s">
        <v>40</v>
      </c>
      <c r="Q42" s="45">
        <f>MIN(Exposure!$C$23,MAX(0,BC_with_index!$O42-Exposure!$E$23))</f>
        <v>0</v>
      </c>
      <c r="R42" s="45">
        <f>MIN(Exposure!$C$24,MAX(0,BC_with_index!$O42-Exposure!$E$24))</f>
        <v>0</v>
      </c>
      <c r="S42" s="1" t="str">
        <f t="shared" si="1"/>
        <v>-</v>
      </c>
      <c r="T42" s="1" t="str">
        <f t="shared" si="2"/>
        <v>-</v>
      </c>
    </row>
    <row r="43" spans="4:20" x14ac:dyDescent="0.3">
      <c r="D43">
        <f>Incurred_loss!$C41</f>
        <v>2018</v>
      </c>
      <c r="E43" s="45">
        <f>Incurred_loss!S41</f>
        <v>2551081.9588020137</v>
      </c>
      <c r="F43" s="45">
        <f>Incurred_loss!T41</f>
        <v>4519661.5622429047</v>
      </c>
      <c r="G43" s="45">
        <f>Incurred_loss!U41</f>
        <v>4109274.6875709845</v>
      </c>
      <c r="H43" s="45">
        <f>Incurred_loss!V41</f>
        <v>3887733.3498716992</v>
      </c>
      <c r="I43" s="45">
        <f>Incurred_loss!W41</f>
        <v>3822983.2802819763</v>
      </c>
      <c r="J43" s="45">
        <f>Incurred_loss!X41</f>
        <v>3818266.5407869988</v>
      </c>
      <c r="K43" s="45">
        <f>Incurred_loss!Y41</f>
        <v>3817708.3683462502</v>
      </c>
      <c r="L43" s="45">
        <f>Incurred_loss!Z41</f>
        <v>3817290.7624119306</v>
      </c>
      <c r="M43" s="50">
        <f t="shared" si="6"/>
        <v>3815615.2480200119</v>
      </c>
      <c r="N43" s="49">
        <f t="shared" si="5"/>
        <v>3815615.2480200119</v>
      </c>
      <c r="O43" s="48">
        <f t="shared" si="0"/>
        <v>3815615.2480200119</v>
      </c>
      <c r="P43" s="45" t="s">
        <v>40</v>
      </c>
      <c r="Q43" s="45">
        <f>MIN(Exposure!$C$23,MAX(0,BC_with_index!$O43-Exposure!$E$23))</f>
        <v>0</v>
      </c>
      <c r="R43" s="45">
        <f>MIN(Exposure!$C$24,MAX(0,BC_with_index!$O43-Exposure!$E$24))</f>
        <v>0</v>
      </c>
      <c r="S43" s="1" t="str">
        <f t="shared" si="1"/>
        <v>-</v>
      </c>
      <c r="T43" s="1" t="str">
        <f t="shared" si="2"/>
        <v>-</v>
      </c>
    </row>
    <row r="44" spans="4:20" x14ac:dyDescent="0.3">
      <c r="D44">
        <f>Incurred_loss!$C42</f>
        <v>2019</v>
      </c>
      <c r="E44" s="45">
        <f>Incurred_loss!S42</f>
        <v>593182.26466504624</v>
      </c>
      <c r="F44" s="45">
        <f>Incurred_loss!T42</f>
        <v>2330948.1668094443</v>
      </c>
      <c r="G44" s="45">
        <f>Incurred_loss!U42</f>
        <v>2130471.6446035658</v>
      </c>
      <c r="H44" s="45">
        <f>Incurred_loss!V42</f>
        <v>2091336.1729067932</v>
      </c>
      <c r="I44" s="45">
        <f>Incurred_loss!W42</f>
        <v>2166678.0839611273</v>
      </c>
      <c r="J44" s="45">
        <f>Incurred_loss!X42</f>
        <v>2172350.6277143289</v>
      </c>
      <c r="K44" s="45">
        <f>Incurred_loss!Y42</f>
        <v>2172941.1620761482</v>
      </c>
      <c r="L44" s="50">
        <f>K44*L$120</f>
        <v>2178164.9244274092</v>
      </c>
      <c r="M44" s="50">
        <f t="shared" si="6"/>
        <v>2177208.8676567837</v>
      </c>
      <c r="N44" s="49">
        <f t="shared" si="5"/>
        <v>2177208.8676567837</v>
      </c>
      <c r="O44" s="48">
        <f t="shared" si="0"/>
        <v>2177208.8676567837</v>
      </c>
      <c r="P44" s="45">
        <f>Exposure!$I$10</f>
        <v>198017536.50347066</v>
      </c>
      <c r="Q44" s="45">
        <f>MIN(Exposure!$C$23,MAX(0,BC_with_index!$O44-Exposure!$E$23))</f>
        <v>0</v>
      </c>
      <c r="R44" s="45">
        <f>MIN(Exposure!$C$24,MAX(0,BC_with_index!$O44-Exposure!$E$24))</f>
        <v>0</v>
      </c>
      <c r="S44" s="1">
        <f t="shared" si="1"/>
        <v>6.8046325745291462E-3</v>
      </c>
      <c r="T44" s="1">
        <f t="shared" si="2"/>
        <v>0</v>
      </c>
    </row>
    <row r="45" spans="4:20" x14ac:dyDescent="0.3">
      <c r="D45">
        <f>Incurred_loss!$C43</f>
        <v>2019</v>
      </c>
      <c r="E45" s="45">
        <f>Incurred_loss!S43</f>
        <v>2402285.0504073952</v>
      </c>
      <c r="F45" s="45">
        <f>Incurred_loss!T43</f>
        <v>1815869.713310075</v>
      </c>
      <c r="G45" s="45">
        <f>Incurred_loss!U43</f>
        <v>1667762.7630250594</v>
      </c>
      <c r="H45" s="45">
        <f>Incurred_loss!V43</f>
        <v>1725946.738513157</v>
      </c>
      <c r="I45" s="45">
        <f>Incurred_loss!W43</f>
        <v>1599358.8418830335</v>
      </c>
      <c r="J45" s="45">
        <f>Incurred_loss!X43</f>
        <v>1611705.6365758923</v>
      </c>
      <c r="K45" s="45">
        <f>Incurred_loss!Y43</f>
        <v>1607061.920115812</v>
      </c>
      <c r="L45" s="50">
        <f t="shared" ref="L45:M60" si="7">K45*L$120</f>
        <v>1610925.3056970511</v>
      </c>
      <c r="M45" s="50">
        <f t="shared" si="6"/>
        <v>1610218.2260685933</v>
      </c>
      <c r="N45" s="49">
        <f t="shared" si="5"/>
        <v>1610218.2260685933</v>
      </c>
      <c r="O45" s="48">
        <f t="shared" si="0"/>
        <v>1610218.2260685933</v>
      </c>
      <c r="P45" s="45" t="s">
        <v>40</v>
      </c>
      <c r="Q45" s="45">
        <f>MIN(Exposure!$C$23,MAX(0,BC_with_index!$O45-Exposure!$E$23))</f>
        <v>0</v>
      </c>
      <c r="R45" s="45">
        <f>MIN(Exposure!$C$24,MAX(0,BC_with_index!$O45-Exposure!$E$24))</f>
        <v>0</v>
      </c>
      <c r="S45" s="1" t="str">
        <f t="shared" si="1"/>
        <v>-</v>
      </c>
      <c r="T45" s="1" t="str">
        <f t="shared" si="2"/>
        <v>-</v>
      </c>
    </row>
    <row r="46" spans="4:20" x14ac:dyDescent="0.3">
      <c r="D46">
        <f>Incurred_loss!$C44</f>
        <v>2019</v>
      </c>
      <c r="E46" s="45">
        <f>Incurred_loss!S44</f>
        <v>1868101.259240815</v>
      </c>
      <c r="F46" s="45">
        <f>Incurred_loss!T44</f>
        <v>1943992.4433028302</v>
      </c>
      <c r="G46" s="45">
        <f>Incurred_loss!U44</f>
        <v>2389353.958275117</v>
      </c>
      <c r="H46" s="45">
        <f>Incurred_loss!V44</f>
        <v>2104098.7393390206</v>
      </c>
      <c r="I46" s="45">
        <f>Incurred_loss!W44</f>
        <v>1927906.4241548281</v>
      </c>
      <c r="J46" s="45">
        <f>Incurred_loss!X44</f>
        <v>2016225.4299567989</v>
      </c>
      <c r="K46" s="45">
        <f>Incurred_loss!Y44</f>
        <v>1992983.1089126619</v>
      </c>
      <c r="L46" s="50">
        <f t="shared" si="7"/>
        <v>1997774.2511270649</v>
      </c>
      <c r="M46" s="50">
        <f t="shared" si="6"/>
        <v>1996897.3728073603</v>
      </c>
      <c r="N46" s="49">
        <f t="shared" si="5"/>
        <v>1996897.3728073603</v>
      </c>
      <c r="O46" s="48">
        <f t="shared" si="0"/>
        <v>1996897.3728073603</v>
      </c>
      <c r="P46" s="45" t="s">
        <v>40</v>
      </c>
      <c r="Q46" s="45">
        <f>MIN(Exposure!$C$23,MAX(0,BC_with_index!$O46-Exposure!$E$23))</f>
        <v>0</v>
      </c>
      <c r="R46" s="45">
        <f>MIN(Exposure!$C$24,MAX(0,BC_with_index!$O46-Exposure!$E$24))</f>
        <v>0</v>
      </c>
      <c r="S46" s="1" t="str">
        <f t="shared" si="1"/>
        <v>-</v>
      </c>
      <c r="T46" s="1" t="str">
        <f t="shared" si="2"/>
        <v>-</v>
      </c>
    </row>
    <row r="47" spans="4:20" x14ac:dyDescent="0.3">
      <c r="D47">
        <f>Incurred_loss!$C45</f>
        <v>2019</v>
      </c>
      <c r="E47" s="45">
        <f>Incurred_loss!S45</f>
        <v>1445597.6301373926</v>
      </c>
      <c r="F47" s="45">
        <f>Incurred_loss!T45</f>
        <v>1208171.0908449583</v>
      </c>
      <c r="G47" s="45">
        <f>Incurred_loss!U45</f>
        <v>1210644.0860982654</v>
      </c>
      <c r="H47" s="45">
        <f>Incurred_loss!V45</f>
        <v>1177228.1857186912</v>
      </c>
      <c r="I47" s="45">
        <f>Incurred_loss!W45</f>
        <v>1160596.6407242857</v>
      </c>
      <c r="J47" s="45">
        <f>Incurred_loss!X45</f>
        <v>1159668.4360673362</v>
      </c>
      <c r="K47" s="45">
        <f>Incurred_loss!Y45</f>
        <v>1159563.2701056683</v>
      </c>
      <c r="L47" s="50">
        <f t="shared" si="7"/>
        <v>1162350.8665026622</v>
      </c>
      <c r="M47" s="50">
        <f t="shared" si="6"/>
        <v>1161840.6785902136</v>
      </c>
      <c r="N47" s="49">
        <f t="shared" si="5"/>
        <v>1161840.6785902136</v>
      </c>
      <c r="O47" s="48">
        <f t="shared" si="0"/>
        <v>1161840.6785902136</v>
      </c>
      <c r="P47" s="45" t="s">
        <v>40</v>
      </c>
      <c r="Q47" s="45">
        <f>MIN(Exposure!$C$23,MAX(0,BC_with_index!$O47-Exposure!$E$23))</f>
        <v>0</v>
      </c>
      <c r="R47" s="45">
        <f>MIN(Exposure!$C$24,MAX(0,BC_with_index!$O47-Exposure!$E$24))</f>
        <v>0</v>
      </c>
      <c r="S47" s="1" t="str">
        <f t="shared" si="1"/>
        <v>-</v>
      </c>
      <c r="T47" s="1" t="str">
        <f t="shared" si="2"/>
        <v>-</v>
      </c>
    </row>
    <row r="48" spans="4:20" x14ac:dyDescent="0.3">
      <c r="D48">
        <f>Incurred_loss!$C46</f>
        <v>2019</v>
      </c>
      <c r="E48" s="45">
        <f>Incurred_loss!S46</f>
        <v>1374668.1121374066</v>
      </c>
      <c r="F48" s="45">
        <f>Incurred_loss!T46</f>
        <v>2172333.9957298394</v>
      </c>
      <c r="G48" s="45">
        <f>Incurred_loss!U46</f>
        <v>2674238.4903363124</v>
      </c>
      <c r="H48" s="45">
        <f>Incurred_loss!V46</f>
        <v>2680041.9647310148</v>
      </c>
      <c r="I48" s="45">
        <f>Incurred_loss!W46</f>
        <v>2250438.340300289</v>
      </c>
      <c r="J48" s="45">
        <f>Incurred_loss!X46</f>
        <v>2107578.076367869</v>
      </c>
      <c r="K48" s="45">
        <f>Incurred_loss!Y46</f>
        <v>2114837.960540757</v>
      </c>
      <c r="L48" s="50">
        <f t="shared" si="7"/>
        <v>2119922.042480065</v>
      </c>
      <c r="M48" s="50">
        <f t="shared" si="6"/>
        <v>2118991.5501196464</v>
      </c>
      <c r="N48" s="49">
        <f t="shared" si="5"/>
        <v>2118991.5501196464</v>
      </c>
      <c r="O48" s="48">
        <f t="shared" si="0"/>
        <v>2118991.5501196464</v>
      </c>
      <c r="P48" s="45" t="s">
        <v>40</v>
      </c>
      <c r="Q48" s="45">
        <f>MIN(Exposure!$C$23,MAX(0,BC_with_index!$O48-Exposure!$E$23))</f>
        <v>0</v>
      </c>
      <c r="R48" s="45">
        <f>MIN(Exposure!$C$24,MAX(0,BC_with_index!$O48-Exposure!$E$24))</f>
        <v>0</v>
      </c>
      <c r="S48" s="1" t="str">
        <f t="shared" si="1"/>
        <v>-</v>
      </c>
      <c r="T48" s="1" t="str">
        <f t="shared" si="2"/>
        <v>-</v>
      </c>
    </row>
    <row r="49" spans="4:20" x14ac:dyDescent="0.3">
      <c r="D49">
        <f>Incurred_loss!$C47</f>
        <v>2019</v>
      </c>
      <c r="E49" s="45">
        <f>Incurred_loss!S47</f>
        <v>1616517.8699383487</v>
      </c>
      <c r="F49" s="45">
        <f>Incurred_loss!T47</f>
        <v>1205652.5438956828</v>
      </c>
      <c r="G49" s="45">
        <f>Incurred_loss!U47</f>
        <v>1418435.8870417839</v>
      </c>
      <c r="H49" s="45">
        <f>Incurred_loss!V47</f>
        <v>1435983.3887731037</v>
      </c>
      <c r="I49" s="45">
        <f>Incurred_loss!W47</f>
        <v>1401781.9357512072</v>
      </c>
      <c r="J49" s="45">
        <f>Incurred_loss!X47</f>
        <v>1314728.7143181656</v>
      </c>
      <c r="K49" s="45">
        <f>Incurred_loss!Y47</f>
        <v>1319074.6780881733</v>
      </c>
      <c r="L49" s="50">
        <f t="shared" si="7"/>
        <v>1322245.7407759982</v>
      </c>
      <c r="M49" s="50">
        <f t="shared" si="6"/>
        <v>1321665.370585145</v>
      </c>
      <c r="N49" s="49">
        <f t="shared" si="5"/>
        <v>1321665.370585145</v>
      </c>
      <c r="O49" s="48">
        <f t="shared" si="0"/>
        <v>1321665.370585145</v>
      </c>
      <c r="P49" s="45" t="s">
        <v>40</v>
      </c>
      <c r="Q49" s="45">
        <f>MIN(Exposure!$C$23,MAX(0,BC_with_index!$O49-Exposure!$E$23))</f>
        <v>0</v>
      </c>
      <c r="R49" s="45">
        <f>MIN(Exposure!$C$24,MAX(0,BC_with_index!$O49-Exposure!$E$24))</f>
        <v>0</v>
      </c>
      <c r="S49" s="1" t="str">
        <f t="shared" si="1"/>
        <v>-</v>
      </c>
      <c r="T49" s="1" t="str">
        <f t="shared" si="2"/>
        <v>-</v>
      </c>
    </row>
    <row r="50" spans="4:20" x14ac:dyDescent="0.3">
      <c r="D50">
        <f>Incurred_loss!$C48</f>
        <v>2019</v>
      </c>
      <c r="E50" s="45">
        <f>Incurred_loss!S48</f>
        <v>5230384.8079372607</v>
      </c>
      <c r="F50" s="45">
        <f>Incurred_loss!T48</f>
        <v>4547674.6532643847</v>
      </c>
      <c r="G50" s="45">
        <f>Incurred_loss!U48</f>
        <v>4091246.5877943202</v>
      </c>
      <c r="H50" s="45">
        <f>Incurred_loss!V48</f>
        <v>4048356.227679831</v>
      </c>
      <c r="I50" s="45">
        <f>Incurred_loss!W48</f>
        <v>4034841.2658916181</v>
      </c>
      <c r="J50" s="45">
        <f>Incurred_loss!X48</f>
        <v>4029981.2761463542</v>
      </c>
      <c r="K50" s="45">
        <f>Incurred_loss!Y48</f>
        <v>4031544.0607109736</v>
      </c>
      <c r="L50" s="50">
        <f t="shared" si="7"/>
        <v>4041235.9145215345</v>
      </c>
      <c r="M50" s="50">
        <f t="shared" si="7"/>
        <v>4039462.1044144831</v>
      </c>
      <c r="N50" s="49">
        <f t="shared" si="5"/>
        <v>4039462.1044144831</v>
      </c>
      <c r="O50" s="48">
        <f t="shared" si="0"/>
        <v>4039462.1044144831</v>
      </c>
      <c r="P50" s="45" t="s">
        <v>40</v>
      </c>
      <c r="Q50" s="45">
        <f>MIN(Exposure!$C$23,MAX(0,BC_with_index!$O50-Exposure!$E$23))</f>
        <v>39462.104414483067</v>
      </c>
      <c r="R50" s="45">
        <f>MIN(Exposure!$C$24,MAX(0,BC_with_index!$O50-Exposure!$E$24))</f>
        <v>0</v>
      </c>
      <c r="S50" s="1" t="str">
        <f t="shared" si="1"/>
        <v>-</v>
      </c>
      <c r="T50" s="1" t="str">
        <f t="shared" si="2"/>
        <v>-</v>
      </c>
    </row>
    <row r="51" spans="4:20" x14ac:dyDescent="0.3">
      <c r="D51">
        <f>Incurred_loss!$C49</f>
        <v>2019</v>
      </c>
      <c r="E51" s="45">
        <f>Incurred_loss!S49</f>
        <v>1828427.1492417241</v>
      </c>
      <c r="F51" s="45">
        <f>Incurred_loss!T49</f>
        <v>1180425.6469071496</v>
      </c>
      <c r="G51" s="45">
        <f>Incurred_loss!U49</f>
        <v>1150152.6862277391</v>
      </c>
      <c r="H51" s="45">
        <f>Incurred_loss!V49</f>
        <v>990537.15411048685</v>
      </c>
      <c r="I51" s="45">
        <f>Incurred_loss!W49</f>
        <v>1077518.5338661333</v>
      </c>
      <c r="J51" s="45">
        <f>Incurred_loss!X49</f>
        <v>1077138.549936912</v>
      </c>
      <c r="K51" s="45">
        <f>Incurred_loss!Y49</f>
        <v>1079865.9136745317</v>
      </c>
      <c r="L51" s="50">
        <f t="shared" si="7"/>
        <v>1082461.9171939613</v>
      </c>
      <c r="M51" s="50">
        <f t="shared" si="7"/>
        <v>1081986.7947487913</v>
      </c>
      <c r="N51" s="49">
        <f t="shared" si="5"/>
        <v>1081986.7947487913</v>
      </c>
      <c r="O51" s="48">
        <f t="shared" si="0"/>
        <v>1081986.7947487913</v>
      </c>
      <c r="P51" s="45" t="s">
        <v>40</v>
      </c>
      <c r="Q51" s="45">
        <f>MIN(Exposure!$C$23,MAX(0,BC_with_index!$O51-Exposure!$E$23))</f>
        <v>0</v>
      </c>
      <c r="R51" s="45">
        <f>MIN(Exposure!$C$24,MAX(0,BC_with_index!$O51-Exposure!$E$24))</f>
        <v>0</v>
      </c>
      <c r="S51" s="1" t="str">
        <f t="shared" si="1"/>
        <v>-</v>
      </c>
      <c r="T51" s="1" t="str">
        <f t="shared" si="2"/>
        <v>-</v>
      </c>
    </row>
    <row r="52" spans="4:20" x14ac:dyDescent="0.3">
      <c r="D52">
        <f>Incurred_loss!$C50</f>
        <v>2019</v>
      </c>
      <c r="E52" s="45">
        <f>Incurred_loss!S50</f>
        <v>2228272.2645746935</v>
      </c>
      <c r="F52" s="45">
        <f>Incurred_loss!T50</f>
        <v>2556399.7385552535</v>
      </c>
      <c r="G52" s="45">
        <f>Incurred_loss!U50</f>
        <v>2351438.1413896387</v>
      </c>
      <c r="H52" s="45">
        <f>Incurred_loss!V50</f>
        <v>2596260.6731982958</v>
      </c>
      <c r="I52" s="45">
        <f>Incurred_loss!W50</f>
        <v>2738270.1506180703</v>
      </c>
      <c r="J52" s="45">
        <f>Incurred_loss!X50</f>
        <v>2595382.0306275771</v>
      </c>
      <c r="K52" s="45">
        <f>Incurred_loss!Y50</f>
        <v>2559017.2531144167</v>
      </c>
      <c r="L52" s="50">
        <f t="shared" si="7"/>
        <v>2565169.1444846708</v>
      </c>
      <c r="M52" s="50">
        <f t="shared" si="7"/>
        <v>2564043.2208684739</v>
      </c>
      <c r="N52" s="49">
        <f t="shared" si="5"/>
        <v>2564043.2208684739</v>
      </c>
      <c r="O52" s="48">
        <f t="shared" si="0"/>
        <v>2564043.2208684739</v>
      </c>
      <c r="P52" s="45" t="s">
        <v>40</v>
      </c>
      <c r="Q52" s="45">
        <f>MIN(Exposure!$C$23,MAX(0,BC_with_index!$O52-Exposure!$E$23))</f>
        <v>0</v>
      </c>
      <c r="R52" s="45">
        <f>MIN(Exposure!$C$24,MAX(0,BC_with_index!$O52-Exposure!$E$24))</f>
        <v>0</v>
      </c>
      <c r="S52" s="1" t="str">
        <f t="shared" si="1"/>
        <v>-</v>
      </c>
      <c r="T52" s="1" t="str">
        <f t="shared" si="2"/>
        <v>-</v>
      </c>
    </row>
    <row r="53" spans="4:20" x14ac:dyDescent="0.3">
      <c r="D53">
        <f>Incurred_loss!$C51</f>
        <v>2019</v>
      </c>
      <c r="E53" s="45">
        <f>Incurred_loss!S51</f>
        <v>4979023.7390434397</v>
      </c>
      <c r="F53" s="45">
        <f>Incurred_loss!T51</f>
        <v>3712299.9773049708</v>
      </c>
      <c r="G53" s="45">
        <f>Incurred_loss!U51</f>
        <v>3886214.9043652033</v>
      </c>
      <c r="H53" s="45">
        <f>Incurred_loss!V51</f>
        <v>3877030.4587814002</v>
      </c>
      <c r="I53" s="45">
        <f>Incurred_loss!W51</f>
        <v>3854113.8377061323</v>
      </c>
      <c r="J53" s="45">
        <f>Incurred_loss!X51</f>
        <v>3857638.3657974158</v>
      </c>
      <c r="K53" s="45">
        <f>Incurred_loss!Y51</f>
        <v>3860761.8945601792</v>
      </c>
      <c r="L53" s="50">
        <f t="shared" si="7"/>
        <v>3870043.1871160795</v>
      </c>
      <c r="M53" s="50">
        <f t="shared" si="7"/>
        <v>3868344.5182273458</v>
      </c>
      <c r="N53" s="49">
        <f t="shared" si="5"/>
        <v>3868344.5182273458</v>
      </c>
      <c r="O53" s="48">
        <f t="shared" si="0"/>
        <v>3868344.5182273458</v>
      </c>
      <c r="P53" s="45" t="s">
        <v>40</v>
      </c>
      <c r="Q53" s="45">
        <f>MIN(Exposure!$C$23,MAX(0,BC_with_index!$O53-Exposure!$E$23))</f>
        <v>0</v>
      </c>
      <c r="R53" s="45">
        <f>MIN(Exposure!$C$24,MAX(0,BC_with_index!$O53-Exposure!$E$24))</f>
        <v>0</v>
      </c>
      <c r="S53" s="1" t="str">
        <f t="shared" si="1"/>
        <v>-</v>
      </c>
      <c r="T53" s="1" t="str">
        <f t="shared" si="2"/>
        <v>-</v>
      </c>
    </row>
    <row r="54" spans="4:20" x14ac:dyDescent="0.3">
      <c r="D54">
        <f>Incurred_loss!$C52</f>
        <v>2019</v>
      </c>
      <c r="E54" s="45">
        <f>Incurred_loss!S52</f>
        <v>1679831.3727933078</v>
      </c>
      <c r="F54" s="45">
        <f>Incurred_loss!T52</f>
        <v>2352299.8209672626</v>
      </c>
      <c r="G54" s="45">
        <f>Incurred_loss!U52</f>
        <v>2201688.9991665934</v>
      </c>
      <c r="H54" s="45">
        <f>Incurred_loss!V52</f>
        <v>2119127.9317575172</v>
      </c>
      <c r="I54" s="45">
        <f>Incurred_loss!W52</f>
        <v>2044842.494061131</v>
      </c>
      <c r="J54" s="45">
        <f>Incurred_loss!X52</f>
        <v>2041247.2496199033</v>
      </c>
      <c r="K54" s="45">
        <f>Incurred_loss!Y52</f>
        <v>2041647.8887822209</v>
      </c>
      <c r="L54" s="50">
        <f t="shared" si="7"/>
        <v>2046556.0213916479</v>
      </c>
      <c r="M54" s="50">
        <f t="shared" si="7"/>
        <v>2045657.7314050756</v>
      </c>
      <c r="N54" s="49">
        <f t="shared" si="5"/>
        <v>2045657.7314050756</v>
      </c>
      <c r="O54" s="48">
        <f t="shared" si="0"/>
        <v>2045657.7314050756</v>
      </c>
      <c r="P54" s="45" t="s">
        <v>40</v>
      </c>
      <c r="Q54" s="45">
        <f>MIN(Exposure!$C$23,MAX(0,BC_with_index!$O54-Exposure!$E$23))</f>
        <v>0</v>
      </c>
      <c r="R54" s="45">
        <f>MIN(Exposure!$C$24,MAX(0,BC_with_index!$O54-Exposure!$E$24))</f>
        <v>0</v>
      </c>
      <c r="S54" s="1" t="str">
        <f t="shared" si="1"/>
        <v>-</v>
      </c>
      <c r="T54" s="1" t="str">
        <f t="shared" si="2"/>
        <v>-</v>
      </c>
    </row>
    <row r="55" spans="4:20" x14ac:dyDescent="0.3">
      <c r="D55">
        <f>Incurred_loss!$C53</f>
        <v>2019</v>
      </c>
      <c r="E55" s="45">
        <f>Incurred_loss!S53</f>
        <v>1004416.3587820012</v>
      </c>
      <c r="F55" s="45">
        <f>Incurred_loss!T53</f>
        <v>1260208.3631840479</v>
      </c>
      <c r="G55" s="45">
        <f>Incurred_loss!U53</f>
        <v>1135177.7671411112</v>
      </c>
      <c r="H55" s="45">
        <f>Incurred_loss!V53</f>
        <v>1029470.9910313629</v>
      </c>
      <c r="I55" s="45">
        <f>Incurred_loss!W53</f>
        <v>1022392.3237764891</v>
      </c>
      <c r="J55" s="45">
        <f>Incurred_loss!X53</f>
        <v>1013511.2216955415</v>
      </c>
      <c r="K55" s="45">
        <f>Incurred_loss!Y53</f>
        <v>1013620.6111277206</v>
      </c>
      <c r="L55" s="50">
        <f t="shared" si="7"/>
        <v>1016057.3605801596</v>
      </c>
      <c r="M55" s="50">
        <f t="shared" si="7"/>
        <v>1015611.3849297244</v>
      </c>
      <c r="N55" s="49">
        <f t="shared" si="5"/>
        <v>1015611.3849297244</v>
      </c>
      <c r="O55" s="48">
        <f t="shared" si="0"/>
        <v>1015611.3849297244</v>
      </c>
      <c r="P55" s="45" t="s">
        <v>40</v>
      </c>
      <c r="Q55" s="45">
        <f>MIN(Exposure!$C$23,MAX(0,BC_with_index!$O55-Exposure!$E$23))</f>
        <v>0</v>
      </c>
      <c r="R55" s="45">
        <f>MIN(Exposure!$C$24,MAX(0,BC_with_index!$O55-Exposure!$E$24))</f>
        <v>0</v>
      </c>
      <c r="S55" s="1" t="str">
        <f t="shared" si="1"/>
        <v>-</v>
      </c>
      <c r="T55" s="1" t="str">
        <f t="shared" si="2"/>
        <v>-</v>
      </c>
    </row>
    <row r="56" spans="4:20" x14ac:dyDescent="0.3">
      <c r="D56">
        <f>Incurred_loss!$C54</f>
        <v>2019</v>
      </c>
      <c r="E56" s="45">
        <f>Incurred_loss!S54</f>
        <v>4136872.0051644635</v>
      </c>
      <c r="F56" s="45">
        <f>Incurred_loss!T54</f>
        <v>5319542.2784024272</v>
      </c>
      <c r="G56" s="45">
        <f>Incurred_loss!U54</f>
        <v>5530112.9695209414</v>
      </c>
      <c r="H56" s="45">
        <f>Incurred_loss!V54</f>
        <v>5080860.3939118031</v>
      </c>
      <c r="I56" s="45">
        <f>Incurred_loss!W54</f>
        <v>5063638.3991765827</v>
      </c>
      <c r="J56" s="45">
        <f>Incurred_loss!X54</f>
        <v>5145246.2222874174</v>
      </c>
      <c r="K56" s="45">
        <f>Incurred_loss!Y54</f>
        <v>5143879.2432688139</v>
      </c>
      <c r="L56" s="50">
        <f t="shared" si="7"/>
        <v>5156245.1568974862</v>
      </c>
      <c r="M56" s="50">
        <f t="shared" si="7"/>
        <v>5153981.9384249207</v>
      </c>
      <c r="N56" s="49">
        <f t="shared" si="5"/>
        <v>5153981.9384249207</v>
      </c>
      <c r="O56" s="48">
        <f t="shared" si="0"/>
        <v>5153981.9384249207</v>
      </c>
      <c r="P56" s="45" t="s">
        <v>40</v>
      </c>
      <c r="Q56" s="45">
        <f>MIN(Exposure!$C$23,MAX(0,BC_with_index!$O56-Exposure!$E$23))</f>
        <v>1153981.9384249207</v>
      </c>
      <c r="R56" s="45">
        <f>MIN(Exposure!$C$24,MAX(0,BC_with_index!$O56-Exposure!$E$24))</f>
        <v>0</v>
      </c>
      <c r="S56" s="1" t="str">
        <f t="shared" si="1"/>
        <v>-</v>
      </c>
      <c r="T56" s="1" t="str">
        <f t="shared" si="2"/>
        <v>-</v>
      </c>
    </row>
    <row r="57" spans="4:20" x14ac:dyDescent="0.3">
      <c r="D57">
        <f>Incurred_loss!$C55</f>
        <v>2019</v>
      </c>
      <c r="E57" s="45">
        <f>Incurred_loss!S55</f>
        <v>5361425.0466771973</v>
      </c>
      <c r="F57" s="45">
        <f>Incurred_loss!T55</f>
        <v>5195487.9340468151</v>
      </c>
      <c r="G57" s="45">
        <f>Incurred_loss!U55</f>
        <v>4168576.7405652027</v>
      </c>
      <c r="H57" s="45">
        <f>Incurred_loss!V55</f>
        <v>4170173.4284920553</v>
      </c>
      <c r="I57" s="45">
        <f>Incurred_loss!W55</f>
        <v>4237449.729740263</v>
      </c>
      <c r="J57" s="45">
        <f>Incurred_loss!X55</f>
        <v>4131933.5743124364</v>
      </c>
      <c r="K57" s="45">
        <f>Incurred_loss!Y55</f>
        <v>4145849.9932402461</v>
      </c>
      <c r="L57" s="50">
        <f t="shared" si="7"/>
        <v>4155816.6391332126</v>
      </c>
      <c r="M57" s="50">
        <f t="shared" si="7"/>
        <v>4153992.5363801271</v>
      </c>
      <c r="N57" s="49">
        <f t="shared" si="5"/>
        <v>4153992.5363801271</v>
      </c>
      <c r="O57" s="48">
        <f t="shared" si="0"/>
        <v>4153992.5363801271</v>
      </c>
      <c r="P57" s="45" t="s">
        <v>40</v>
      </c>
      <c r="Q57" s="45">
        <f>MIN(Exposure!$C$23,MAX(0,BC_with_index!$O57-Exposure!$E$23))</f>
        <v>153992.53638012707</v>
      </c>
      <c r="R57" s="45">
        <f>MIN(Exposure!$C$24,MAX(0,BC_with_index!$O57-Exposure!$E$24))</f>
        <v>0</v>
      </c>
      <c r="S57" s="1" t="str">
        <f t="shared" si="1"/>
        <v>-</v>
      </c>
      <c r="T57" s="1" t="str">
        <f t="shared" si="2"/>
        <v>-</v>
      </c>
    </row>
    <row r="58" spans="4:20" x14ac:dyDescent="0.3">
      <c r="D58">
        <f>Incurred_loss!$C56</f>
        <v>2019</v>
      </c>
      <c r="E58" s="45">
        <f>Incurred_loss!S56</f>
        <v>1197895.8574352977</v>
      </c>
      <c r="F58" s="45">
        <f>Incurred_loss!T56</f>
        <v>1022739.9862260383</v>
      </c>
      <c r="G58" s="45">
        <f>Incurred_loss!U56</f>
        <v>872098.49635224114</v>
      </c>
      <c r="H58" s="45">
        <f>Incurred_loss!V56</f>
        <v>965044.08597637375</v>
      </c>
      <c r="I58" s="45">
        <f>Incurred_loss!W56</f>
        <v>925104.33939514332</v>
      </c>
      <c r="J58" s="45">
        <f>Incurred_loss!X56</f>
        <v>888527.43384205364</v>
      </c>
      <c r="K58" s="45">
        <f>Incurred_loss!Y56</f>
        <v>930193.69498349796</v>
      </c>
      <c r="L58" s="50">
        <f t="shared" si="7"/>
        <v>932429.88567657338</v>
      </c>
      <c r="M58" s="50">
        <f t="shared" si="7"/>
        <v>932020.61643560021</v>
      </c>
      <c r="N58" s="49">
        <f t="shared" si="5"/>
        <v>932020.61643560021</v>
      </c>
      <c r="O58" s="48">
        <f t="shared" si="0"/>
        <v>932020.61643560021</v>
      </c>
      <c r="P58" s="45" t="s">
        <v>40</v>
      </c>
      <c r="Q58" s="45">
        <f>MIN(Exposure!$C$23,MAX(0,BC_with_index!$O58-Exposure!$E$23))</f>
        <v>0</v>
      </c>
      <c r="R58" s="45">
        <f>MIN(Exposure!$C$24,MAX(0,BC_with_index!$O58-Exposure!$E$24))</f>
        <v>0</v>
      </c>
      <c r="S58" s="1" t="str">
        <f t="shared" si="1"/>
        <v>-</v>
      </c>
      <c r="T58" s="1" t="str">
        <f t="shared" si="2"/>
        <v>-</v>
      </c>
    </row>
    <row r="59" spans="4:20" x14ac:dyDescent="0.3">
      <c r="D59">
        <f>Incurred_loss!$C57</f>
        <v>2020</v>
      </c>
      <c r="E59" s="45">
        <f>Incurred_loss!S57</f>
        <v>783744.20035917487</v>
      </c>
      <c r="F59" s="45">
        <f>Incurred_loss!T57</f>
        <v>1272528.7374151601</v>
      </c>
      <c r="G59" s="45">
        <f>Incurred_loss!U57</f>
        <v>1517944.7163948291</v>
      </c>
      <c r="H59" s="45">
        <f>Incurred_loss!V57</f>
        <v>1407933.6565516251</v>
      </c>
      <c r="I59" s="45">
        <f>Incurred_loss!W57</f>
        <v>1410301.9655802906</v>
      </c>
      <c r="J59" s="45">
        <f>Incurred_loss!X57</f>
        <v>1408859.0218216726</v>
      </c>
      <c r="K59" s="50">
        <f>J59*K$120</f>
        <v>1406697.866380045</v>
      </c>
      <c r="L59" s="50">
        <f t="shared" si="7"/>
        <v>1410079.5756882594</v>
      </c>
      <c r="M59" s="50">
        <f t="shared" si="7"/>
        <v>1409460.6528003095</v>
      </c>
      <c r="N59" s="49">
        <f t="shared" si="5"/>
        <v>1409460.6528003095</v>
      </c>
      <c r="O59" s="48">
        <f t="shared" si="0"/>
        <v>1409460.6528003095</v>
      </c>
      <c r="P59" s="45">
        <f>Exposure!$I$11</f>
        <v>203958062.5985747</v>
      </c>
      <c r="Q59" s="45">
        <f>MIN(Exposure!$C$23,MAX(0,BC_with_index!$O59-Exposure!$E$23))</f>
        <v>0</v>
      </c>
      <c r="R59" s="45">
        <f>MIN(Exposure!$C$24,MAX(0,BC_with_index!$O59-Exposure!$E$24))</f>
        <v>0</v>
      </c>
      <c r="S59" s="1">
        <f t="shared" si="1"/>
        <v>0</v>
      </c>
      <c r="T59" s="1">
        <f t="shared" si="2"/>
        <v>0</v>
      </c>
    </row>
    <row r="60" spans="4:20" x14ac:dyDescent="0.3">
      <c r="D60">
        <f>Incurred_loss!$C58</f>
        <v>2020</v>
      </c>
      <c r="E60" s="45">
        <f>Incurred_loss!S58</f>
        <v>2789294.0703822547</v>
      </c>
      <c r="F60" s="45">
        <f>Incurred_loss!T58</f>
        <v>3695831.896591668</v>
      </c>
      <c r="G60" s="45">
        <f>Incurred_loss!U58</f>
        <v>3743679.5857865512</v>
      </c>
      <c r="H60" s="45">
        <f>Incurred_loss!V58</f>
        <v>3534675.1954131648</v>
      </c>
      <c r="I60" s="45">
        <f>Incurred_loss!W58</f>
        <v>3669833.3021374657</v>
      </c>
      <c r="J60" s="45">
        <f>Incurred_loss!X58</f>
        <v>3546966.0247669732</v>
      </c>
      <c r="K60" s="50">
        <f t="shared" ref="K60:M75" si="8">J60*K$120</f>
        <v>3541525.0652337889</v>
      </c>
      <c r="L60" s="50">
        <f t="shared" si="7"/>
        <v>3550038.9107187442</v>
      </c>
      <c r="M60" s="50">
        <f t="shared" si="7"/>
        <v>3548480.7005490209</v>
      </c>
      <c r="N60" s="49">
        <f t="shared" si="5"/>
        <v>3548480.7005490209</v>
      </c>
      <c r="O60" s="48">
        <f t="shared" si="0"/>
        <v>3548480.7005490209</v>
      </c>
      <c r="P60" s="45" t="s">
        <v>40</v>
      </c>
      <c r="Q60" s="45">
        <f>MIN(Exposure!$C$23,MAX(0,BC_with_index!$O60-Exposure!$E$23))</f>
        <v>0</v>
      </c>
      <c r="R60" s="45">
        <f>MIN(Exposure!$C$24,MAX(0,BC_with_index!$O60-Exposure!$E$24))</f>
        <v>0</v>
      </c>
      <c r="S60" s="1" t="str">
        <f t="shared" si="1"/>
        <v>-</v>
      </c>
      <c r="T60" s="1" t="str">
        <f t="shared" si="2"/>
        <v>-</v>
      </c>
    </row>
    <row r="61" spans="4:20" x14ac:dyDescent="0.3">
      <c r="D61">
        <f>Incurred_loss!$C59</f>
        <v>2020</v>
      </c>
      <c r="E61" s="45">
        <f>Incurred_loss!S59</f>
        <v>4960075.0633017318</v>
      </c>
      <c r="F61" s="45">
        <f>Incurred_loss!T59</f>
        <v>3207519.9012005753</v>
      </c>
      <c r="G61" s="45">
        <f>Incurred_loss!U59</f>
        <v>3411737.1199889225</v>
      </c>
      <c r="H61" s="45">
        <f>Incurred_loss!V59</f>
        <v>3315066.3799544713</v>
      </c>
      <c r="I61" s="45">
        <f>Incurred_loss!W59</f>
        <v>3244052.4463624842</v>
      </c>
      <c r="J61" s="45">
        <f>Incurred_loss!X59</f>
        <v>3240249.6913093915</v>
      </c>
      <c r="K61" s="50">
        <f t="shared" si="8"/>
        <v>3235279.2271649018</v>
      </c>
      <c r="L61" s="50">
        <f t="shared" si="8"/>
        <v>3243056.8559924276</v>
      </c>
      <c r="M61" s="50">
        <f t="shared" si="8"/>
        <v>3241633.388728804</v>
      </c>
      <c r="N61" s="49">
        <f t="shared" si="5"/>
        <v>3241633.388728804</v>
      </c>
      <c r="O61" s="48">
        <f t="shared" si="0"/>
        <v>3241633.388728804</v>
      </c>
      <c r="P61" s="45" t="s">
        <v>40</v>
      </c>
      <c r="Q61" s="45">
        <f>MIN(Exposure!$C$23,MAX(0,BC_with_index!$O61-Exposure!$E$23))</f>
        <v>0</v>
      </c>
      <c r="R61" s="45">
        <f>MIN(Exposure!$C$24,MAX(0,BC_with_index!$O61-Exposure!$E$24))</f>
        <v>0</v>
      </c>
      <c r="S61" s="1" t="str">
        <f t="shared" si="1"/>
        <v>-</v>
      </c>
      <c r="T61" s="1" t="str">
        <f t="shared" si="2"/>
        <v>-</v>
      </c>
    </row>
    <row r="62" spans="4:20" x14ac:dyDescent="0.3">
      <c r="D62">
        <f>Incurred_loss!$C60</f>
        <v>2020</v>
      </c>
      <c r="E62" s="45">
        <f>Incurred_loss!S60</f>
        <v>1061891.7213161585</v>
      </c>
      <c r="F62" s="45">
        <f>Incurred_loss!T60</f>
        <v>1609975.5258851789</v>
      </c>
      <c r="G62" s="45">
        <f>Incurred_loss!U60</f>
        <v>1364278.9224984369</v>
      </c>
      <c r="H62" s="45">
        <f>Incurred_loss!V60</f>
        <v>1366036.5356325579</v>
      </c>
      <c r="I62" s="45">
        <f>Incurred_loss!W60</f>
        <v>1383013.7944809101</v>
      </c>
      <c r="J62" s="45">
        <f>Incurred_loss!X60</f>
        <v>1381742.1056661163</v>
      </c>
      <c r="K62" s="50">
        <f t="shared" si="8"/>
        <v>1379622.546913726</v>
      </c>
      <c r="L62" s="50">
        <f t="shared" si="8"/>
        <v>1382939.1670069424</v>
      </c>
      <c r="M62" s="50">
        <f t="shared" si="8"/>
        <v>1382332.1567942847</v>
      </c>
      <c r="N62" s="49">
        <f t="shared" si="5"/>
        <v>1382332.1567942847</v>
      </c>
      <c r="O62" s="48">
        <f t="shared" si="0"/>
        <v>1382332.1567942847</v>
      </c>
      <c r="P62" s="45" t="s">
        <v>40</v>
      </c>
      <c r="Q62" s="45">
        <f>MIN(Exposure!$C$23,MAX(0,BC_with_index!$O62-Exposure!$E$23))</f>
        <v>0</v>
      </c>
      <c r="R62" s="45">
        <f>MIN(Exposure!$C$24,MAX(0,BC_with_index!$O62-Exposure!$E$24))</f>
        <v>0</v>
      </c>
      <c r="S62" s="1" t="str">
        <f t="shared" si="1"/>
        <v>-</v>
      </c>
      <c r="T62" s="1" t="str">
        <f t="shared" si="2"/>
        <v>-</v>
      </c>
    </row>
    <row r="63" spans="4:20" x14ac:dyDescent="0.3">
      <c r="D63">
        <f>Incurred_loss!$C61</f>
        <v>2020</v>
      </c>
      <c r="E63" s="45">
        <f>Incurred_loss!S61</f>
        <v>1566671.0038850585</v>
      </c>
      <c r="F63" s="45">
        <f>Incurred_loss!T61</f>
        <v>1820418.2301203038</v>
      </c>
      <c r="G63" s="45">
        <f>Incurred_loss!U61</f>
        <v>1275251.4357094793</v>
      </c>
      <c r="H63" s="45">
        <f>Incurred_loss!V61</f>
        <v>1331189.0050581265</v>
      </c>
      <c r="I63" s="45">
        <f>Incurred_loss!W61</f>
        <v>1342888.9439691154</v>
      </c>
      <c r="J63" s="45">
        <f>Incurred_loss!X61</f>
        <v>1347462.0402593615</v>
      </c>
      <c r="K63" s="50">
        <f t="shared" si="8"/>
        <v>1345395.066292777</v>
      </c>
      <c r="L63" s="50">
        <f t="shared" si="8"/>
        <v>1348629.403336748</v>
      </c>
      <c r="M63" s="50">
        <f t="shared" si="8"/>
        <v>1348037.4526273848</v>
      </c>
      <c r="N63" s="49">
        <f t="shared" si="5"/>
        <v>1348037.4526273848</v>
      </c>
      <c r="O63" s="48">
        <f t="shared" si="0"/>
        <v>1348037.4526273848</v>
      </c>
      <c r="P63" s="45" t="s">
        <v>40</v>
      </c>
      <c r="Q63" s="45">
        <f>MIN(Exposure!$C$23,MAX(0,BC_with_index!$O63-Exposure!$E$23))</f>
        <v>0</v>
      </c>
      <c r="R63" s="45">
        <f>MIN(Exposure!$C$24,MAX(0,BC_with_index!$O63-Exposure!$E$24))</f>
        <v>0</v>
      </c>
      <c r="S63" s="1" t="str">
        <f t="shared" si="1"/>
        <v>-</v>
      </c>
      <c r="T63" s="1" t="str">
        <f t="shared" si="2"/>
        <v>-</v>
      </c>
    </row>
    <row r="64" spans="4:20" x14ac:dyDescent="0.3">
      <c r="D64">
        <f>Incurred_loss!$C62</f>
        <v>2020</v>
      </c>
      <c r="E64" s="45">
        <f>Incurred_loss!S62</f>
        <v>191816.27003049961</v>
      </c>
      <c r="F64" s="45">
        <f>Incurred_loss!T62</f>
        <v>544634.12802422221</v>
      </c>
      <c r="G64" s="45">
        <f>Incurred_loss!U62</f>
        <v>660920.12348059472</v>
      </c>
      <c r="H64" s="45">
        <f>Incurred_loss!V62</f>
        <v>714358.19155906886</v>
      </c>
      <c r="I64" s="45">
        <f>Incurred_loss!W62</f>
        <v>667242.07717736682</v>
      </c>
      <c r="J64" s="45">
        <f>Incurred_loss!X62</f>
        <v>684202.0678637065</v>
      </c>
      <c r="K64" s="50">
        <f t="shared" si="8"/>
        <v>683152.51854810177</v>
      </c>
      <c r="L64" s="50">
        <f t="shared" si="8"/>
        <v>684794.82091175672</v>
      </c>
      <c r="M64" s="50">
        <f t="shared" si="8"/>
        <v>684494.24554316094</v>
      </c>
      <c r="N64" s="49">
        <f t="shared" si="5"/>
        <v>684494.24554316094</v>
      </c>
      <c r="O64" s="48">
        <f t="shared" si="0"/>
        <v>684494.24554316094</v>
      </c>
      <c r="P64" s="45" t="s">
        <v>40</v>
      </c>
      <c r="Q64" s="45">
        <f>MIN(Exposure!$C$23,MAX(0,BC_with_index!$O64-Exposure!$E$23))</f>
        <v>0</v>
      </c>
      <c r="R64" s="45">
        <f>MIN(Exposure!$C$24,MAX(0,BC_with_index!$O64-Exposure!$E$24))</f>
        <v>0</v>
      </c>
      <c r="S64" s="1" t="str">
        <f t="shared" si="1"/>
        <v>-</v>
      </c>
      <c r="T64" s="1" t="str">
        <f t="shared" si="2"/>
        <v>-</v>
      </c>
    </row>
    <row r="65" spans="4:20" x14ac:dyDescent="0.3">
      <c r="D65">
        <f>Incurred_loss!$C63</f>
        <v>2021</v>
      </c>
      <c r="E65" s="45">
        <f>Incurred_loss!S63</f>
        <v>5539421.4591329247</v>
      </c>
      <c r="F65" s="45">
        <f>Incurred_loss!T63</f>
        <v>2968920.7283569272</v>
      </c>
      <c r="G65" s="45">
        <f>Incurred_loss!U63</f>
        <v>3389595.0063632331</v>
      </c>
      <c r="H65" s="45">
        <f>Incurred_loss!V63</f>
        <v>2976942.9994495213</v>
      </c>
      <c r="I65" s="45">
        <f>Incurred_loss!W63</f>
        <v>2962899.2192980764</v>
      </c>
      <c r="J65" s="50">
        <f>I65*J$120</f>
        <v>2904358.5233259317</v>
      </c>
      <c r="K65" s="50">
        <f t="shared" si="8"/>
        <v>2899903.3080560551</v>
      </c>
      <c r="L65" s="50">
        <f t="shared" si="8"/>
        <v>2906874.6913531744</v>
      </c>
      <c r="M65" s="50">
        <f t="shared" si="8"/>
        <v>2905598.7837307253</v>
      </c>
      <c r="N65" s="49">
        <f t="shared" si="5"/>
        <v>2905598.7837307253</v>
      </c>
      <c r="O65" s="48">
        <f t="shared" si="0"/>
        <v>2905598.7837307253</v>
      </c>
      <c r="P65" s="45">
        <f>Exposure!$I$12</f>
        <v>208037223.85054621</v>
      </c>
      <c r="Q65" s="45">
        <f>MIN(Exposure!$C$23,MAX(0,BC_with_index!$O65-Exposure!$E$23))</f>
        <v>0</v>
      </c>
      <c r="R65" s="45">
        <f>MIN(Exposure!$C$24,MAX(0,BC_with_index!$O65-Exposure!$E$24))</f>
        <v>0</v>
      </c>
      <c r="S65" s="1">
        <f t="shared" si="1"/>
        <v>0</v>
      </c>
      <c r="T65" s="1">
        <f t="shared" si="2"/>
        <v>0</v>
      </c>
    </row>
    <row r="66" spans="4:20" x14ac:dyDescent="0.3">
      <c r="D66">
        <f>Incurred_loss!$C64</f>
        <v>2021</v>
      </c>
      <c r="E66" s="45">
        <f>Incurred_loss!S64</f>
        <v>2842913.1022807388</v>
      </c>
      <c r="F66" s="45">
        <f>Incurred_loss!T64</f>
        <v>1967267.0145343486</v>
      </c>
      <c r="G66" s="45">
        <f>Incurred_loss!U64</f>
        <v>2675686.4139390546</v>
      </c>
      <c r="H66" s="45">
        <f>Incurred_loss!V64</f>
        <v>2562229.7697310154</v>
      </c>
      <c r="I66" s="45">
        <f>Incurred_loss!W64</f>
        <v>2570665.7700156141</v>
      </c>
      <c r="J66" s="50">
        <f t="shared" ref="J66:M81" si="9">I66*J$120</f>
        <v>2519874.7872146079</v>
      </c>
      <c r="K66" s="50">
        <f t="shared" si="8"/>
        <v>2516009.3606358948</v>
      </c>
      <c r="L66" s="50">
        <f t="shared" si="8"/>
        <v>2522057.8607991263</v>
      </c>
      <c r="M66" s="50">
        <f t="shared" si="8"/>
        <v>2520950.8599165552</v>
      </c>
      <c r="N66" s="49">
        <f t="shared" si="5"/>
        <v>2520950.8599165552</v>
      </c>
      <c r="O66" s="48">
        <f t="shared" si="0"/>
        <v>2520950.8599165552</v>
      </c>
      <c r="P66" s="45" t="s">
        <v>40</v>
      </c>
      <c r="Q66" s="45">
        <f>MIN(Exposure!$C$23,MAX(0,BC_with_index!$O66-Exposure!$E$23))</f>
        <v>0</v>
      </c>
      <c r="R66" s="45">
        <f>MIN(Exposure!$C$24,MAX(0,BC_with_index!$O66-Exposure!$E$24))</f>
        <v>0</v>
      </c>
      <c r="S66" s="1" t="str">
        <f t="shared" si="1"/>
        <v>-</v>
      </c>
      <c r="T66" s="1" t="str">
        <f t="shared" si="2"/>
        <v>-</v>
      </c>
    </row>
    <row r="67" spans="4:20" x14ac:dyDescent="0.3">
      <c r="D67">
        <f>Incurred_loss!$C65</f>
        <v>2021</v>
      </c>
      <c r="E67" s="45">
        <f>Incurred_loss!S65</f>
        <v>2383197.807556848</v>
      </c>
      <c r="F67" s="45">
        <f>Incurred_loss!T65</f>
        <v>2143495.9867592826</v>
      </c>
      <c r="G67" s="45">
        <f>Incurred_loss!U65</f>
        <v>1726406.3088455084</v>
      </c>
      <c r="H67" s="45">
        <f>Incurred_loss!V65</f>
        <v>1722323.069812113</v>
      </c>
      <c r="I67" s="45">
        <f>Incurred_loss!W65</f>
        <v>1761934.3909255844</v>
      </c>
      <c r="J67" s="50">
        <f t="shared" si="9"/>
        <v>1727122.2498881056</v>
      </c>
      <c r="K67" s="50">
        <f t="shared" si="8"/>
        <v>1724472.8864025557</v>
      </c>
      <c r="L67" s="50">
        <f t="shared" si="8"/>
        <v>1728618.5285842121</v>
      </c>
      <c r="M67" s="50">
        <f t="shared" si="8"/>
        <v>1727859.7901482249</v>
      </c>
      <c r="N67" s="49">
        <f t="shared" si="5"/>
        <v>1727859.7901482249</v>
      </c>
      <c r="O67" s="48">
        <f t="shared" si="0"/>
        <v>1727859.7901482249</v>
      </c>
      <c r="P67" s="45" t="s">
        <v>40</v>
      </c>
      <c r="Q67" s="45">
        <f>MIN(Exposure!$C$23,MAX(0,BC_with_index!$O67-Exposure!$E$23))</f>
        <v>0</v>
      </c>
      <c r="R67" s="45">
        <f>MIN(Exposure!$C$24,MAX(0,BC_with_index!$O67-Exposure!$E$24))</f>
        <v>0</v>
      </c>
      <c r="S67" s="1" t="str">
        <f t="shared" si="1"/>
        <v>-</v>
      </c>
      <c r="T67" s="1" t="str">
        <f t="shared" si="2"/>
        <v>-</v>
      </c>
    </row>
    <row r="68" spans="4:20" x14ac:dyDescent="0.3">
      <c r="D68">
        <f>Incurred_loss!$C66</f>
        <v>2021</v>
      </c>
      <c r="E68" s="45">
        <f>Incurred_loss!S66</f>
        <v>636114.94864632748</v>
      </c>
      <c r="F68" s="45">
        <f>Incurred_loss!T66</f>
        <v>686578.64428441203</v>
      </c>
      <c r="G68" s="45">
        <f>Incurred_loss!U66</f>
        <v>815484.98932277365</v>
      </c>
      <c r="H68" s="45">
        <f>Incurred_loss!V66</f>
        <v>721063.10987182125</v>
      </c>
      <c r="I68" s="45">
        <f>Incurred_loss!W66</f>
        <v>723138.2676819514</v>
      </c>
      <c r="J68" s="50">
        <f t="shared" si="9"/>
        <v>708850.56690614799</v>
      </c>
      <c r="K68" s="50">
        <f t="shared" si="8"/>
        <v>707763.20739306544</v>
      </c>
      <c r="L68" s="50">
        <f t="shared" si="8"/>
        <v>709464.67398632341</v>
      </c>
      <c r="M68" s="50">
        <f t="shared" si="8"/>
        <v>709153.27033755579</v>
      </c>
      <c r="N68" s="49">
        <f t="shared" si="5"/>
        <v>709153.27033755579</v>
      </c>
      <c r="O68" s="48">
        <f t="shared" si="0"/>
        <v>709153.27033755579</v>
      </c>
      <c r="P68" s="45" t="s">
        <v>40</v>
      </c>
      <c r="Q68" s="45">
        <f>MIN(Exposure!$C$23,MAX(0,BC_with_index!$O68-Exposure!$E$23))</f>
        <v>0</v>
      </c>
      <c r="R68" s="45">
        <f>MIN(Exposure!$C$24,MAX(0,BC_with_index!$O68-Exposure!$E$24))</f>
        <v>0</v>
      </c>
      <c r="S68" s="1" t="str">
        <f t="shared" si="1"/>
        <v>-</v>
      </c>
      <c r="T68" s="1" t="str">
        <f t="shared" si="2"/>
        <v>-</v>
      </c>
    </row>
    <row r="69" spans="4:20" x14ac:dyDescent="0.3">
      <c r="D69">
        <f>Incurred_loss!$C67</f>
        <v>2021</v>
      </c>
      <c r="E69" s="45">
        <f>Incurred_loss!S67</f>
        <v>2321719.8136208672</v>
      </c>
      <c r="F69" s="45">
        <f>Incurred_loss!T67</f>
        <v>3174062.1127268663</v>
      </c>
      <c r="G69" s="45">
        <f>Incurred_loss!U67</f>
        <v>3785211.9537011343</v>
      </c>
      <c r="H69" s="45">
        <f>Incurred_loss!V67</f>
        <v>3649835.8933156971</v>
      </c>
      <c r="I69" s="45">
        <f>Incurred_loss!W67</f>
        <v>3709898.8325473531</v>
      </c>
      <c r="J69" s="50">
        <f t="shared" si="9"/>
        <v>3636598.9854823491</v>
      </c>
      <c r="K69" s="50">
        <f t="shared" si="8"/>
        <v>3631020.531169489</v>
      </c>
      <c r="L69" s="50">
        <f t="shared" si="8"/>
        <v>3639749.5242404547</v>
      </c>
      <c r="M69" s="50">
        <f t="shared" si="8"/>
        <v>3638151.9376036455</v>
      </c>
      <c r="N69" s="49">
        <f t="shared" si="5"/>
        <v>3638151.9376036455</v>
      </c>
      <c r="O69" s="48">
        <f t="shared" si="0"/>
        <v>3638151.9376036455</v>
      </c>
      <c r="P69" s="45" t="s">
        <v>40</v>
      </c>
      <c r="Q69" s="45">
        <f>MIN(Exposure!$C$23,MAX(0,BC_with_index!$O69-Exposure!$E$23))</f>
        <v>0</v>
      </c>
      <c r="R69" s="45">
        <f>MIN(Exposure!$C$24,MAX(0,BC_with_index!$O69-Exposure!$E$24))</f>
        <v>0</v>
      </c>
      <c r="S69" s="1" t="str">
        <f t="shared" si="1"/>
        <v>-</v>
      </c>
      <c r="T69" s="1" t="str">
        <f t="shared" si="2"/>
        <v>-</v>
      </c>
    </row>
    <row r="70" spans="4:20" x14ac:dyDescent="0.3">
      <c r="D70">
        <f>Incurred_loss!$C68</f>
        <v>2021</v>
      </c>
      <c r="E70" s="45">
        <f>Incurred_loss!S68</f>
        <v>958930.34296360216</v>
      </c>
      <c r="F70" s="45">
        <f>Incurred_loss!T68</f>
        <v>1207978.331886994</v>
      </c>
      <c r="G70" s="45">
        <f>Incurred_loss!U68</f>
        <v>1196351.165258558</v>
      </c>
      <c r="H70" s="45">
        <f>Incurred_loss!V68</f>
        <v>1211621.8086728372</v>
      </c>
      <c r="I70" s="45">
        <f>Incurred_loss!W68</f>
        <v>1211747.1291442343</v>
      </c>
      <c r="J70" s="50">
        <f t="shared" si="9"/>
        <v>1187805.5384818437</v>
      </c>
      <c r="K70" s="50">
        <f t="shared" si="8"/>
        <v>1185983.4737022419</v>
      </c>
      <c r="L70" s="50">
        <f t="shared" si="8"/>
        <v>1188834.5844121261</v>
      </c>
      <c r="M70" s="50">
        <f t="shared" si="8"/>
        <v>1188312.7720641103</v>
      </c>
      <c r="N70" s="49">
        <f t="shared" si="5"/>
        <v>1188312.7720641103</v>
      </c>
      <c r="O70" s="48">
        <f t="shared" ref="O70:O118" si="10">$N70</f>
        <v>1188312.7720641103</v>
      </c>
      <c r="P70" s="45" t="s">
        <v>40</v>
      </c>
      <c r="Q70" s="45">
        <f>MIN(Exposure!$C$23,MAX(0,BC_with_index!$O70-Exposure!$E$23))</f>
        <v>0</v>
      </c>
      <c r="R70" s="45">
        <f>MIN(Exposure!$C$24,MAX(0,BC_with_index!$O70-Exposure!$E$24))</f>
        <v>0</v>
      </c>
      <c r="S70" s="1" t="str">
        <f t="shared" ref="S70:S118" si="11">IF(ISNUMBER($P70),SUMIF($D$5:$D$118,$D70,$Q$5:$Q$118)/$P70,"-")</f>
        <v>-</v>
      </c>
      <c r="T70" s="1" t="str">
        <f t="shared" ref="T70:T118" si="12">IF(ISNUMBER($P70),SUMIF($D$5:$D$118,$D70,$R$5:$R$118)/$P70,"-")</f>
        <v>-</v>
      </c>
    </row>
    <row r="71" spans="4:20" x14ac:dyDescent="0.3">
      <c r="D71">
        <f>Incurred_loss!$C69</f>
        <v>2021</v>
      </c>
      <c r="E71" s="45">
        <f>Incurred_loss!S69</f>
        <v>1857191.394728119</v>
      </c>
      <c r="F71" s="45">
        <f>Incurred_loss!T69</f>
        <v>1792698.6417972094</v>
      </c>
      <c r="G71" s="45">
        <f>Incurred_loss!U69</f>
        <v>1846370.2176765162</v>
      </c>
      <c r="H71" s="45">
        <f>Incurred_loss!V69</f>
        <v>1935805.0936476425</v>
      </c>
      <c r="I71" s="45">
        <f>Incurred_loss!W69</f>
        <v>1965450.2382102236</v>
      </c>
      <c r="J71" s="50">
        <f t="shared" si="9"/>
        <v>1926617.0493882624</v>
      </c>
      <c r="K71" s="50">
        <f t="shared" si="8"/>
        <v>1923661.6657368634</v>
      </c>
      <c r="L71" s="50">
        <f t="shared" si="8"/>
        <v>1928286.1588255023</v>
      </c>
      <c r="M71" s="50">
        <f t="shared" si="8"/>
        <v>1927439.7807495475</v>
      </c>
      <c r="N71" s="49">
        <f t="shared" si="5"/>
        <v>1927439.7807495475</v>
      </c>
      <c r="O71" s="48">
        <f t="shared" si="10"/>
        <v>1927439.7807495475</v>
      </c>
      <c r="P71" s="45" t="s">
        <v>40</v>
      </c>
      <c r="Q71" s="45">
        <f>MIN(Exposure!$C$23,MAX(0,BC_with_index!$O71-Exposure!$E$23))</f>
        <v>0</v>
      </c>
      <c r="R71" s="45">
        <f>MIN(Exposure!$C$24,MAX(0,BC_with_index!$O71-Exposure!$E$24))</f>
        <v>0</v>
      </c>
      <c r="S71" s="1" t="str">
        <f t="shared" si="11"/>
        <v>-</v>
      </c>
      <c r="T71" s="1" t="str">
        <f t="shared" si="12"/>
        <v>-</v>
      </c>
    </row>
    <row r="72" spans="4:20" x14ac:dyDescent="0.3">
      <c r="D72">
        <f>Incurred_loss!$C70</f>
        <v>2021</v>
      </c>
      <c r="E72" s="45">
        <f>Incurred_loss!S70</f>
        <v>4364500.7544557769</v>
      </c>
      <c r="F72" s="45">
        <f>Incurred_loss!T70</f>
        <v>3296881.804325426</v>
      </c>
      <c r="G72" s="45">
        <f>Incurred_loss!U70</f>
        <v>3196688.6026358614</v>
      </c>
      <c r="H72" s="45">
        <f>Incurred_loss!V70</f>
        <v>2952284.1125188395</v>
      </c>
      <c r="I72" s="45">
        <f>Incurred_loss!W70</f>
        <v>2960271.9741540574</v>
      </c>
      <c r="J72" s="50">
        <f t="shared" si="9"/>
        <v>2901783.1870548907</v>
      </c>
      <c r="K72" s="50">
        <f t="shared" si="8"/>
        <v>2897331.9222881589</v>
      </c>
      <c r="L72" s="50">
        <f t="shared" si="8"/>
        <v>2904297.1239599311</v>
      </c>
      <c r="M72" s="50">
        <f t="shared" si="8"/>
        <v>2903022.3477030317</v>
      </c>
      <c r="N72" s="49">
        <f t="shared" si="5"/>
        <v>2903022.3477030317</v>
      </c>
      <c r="O72" s="48">
        <f t="shared" si="10"/>
        <v>2903022.3477030317</v>
      </c>
      <c r="P72" s="45" t="s">
        <v>40</v>
      </c>
      <c r="Q72" s="45">
        <f>MIN(Exposure!$C$23,MAX(0,BC_with_index!$O72-Exposure!$E$23))</f>
        <v>0</v>
      </c>
      <c r="R72" s="45">
        <f>MIN(Exposure!$C$24,MAX(0,BC_with_index!$O72-Exposure!$E$24))</f>
        <v>0</v>
      </c>
      <c r="S72" s="1" t="str">
        <f t="shared" si="11"/>
        <v>-</v>
      </c>
      <c r="T72" s="1" t="str">
        <f t="shared" si="12"/>
        <v>-</v>
      </c>
    </row>
    <row r="73" spans="4:20" x14ac:dyDescent="0.3">
      <c r="D73">
        <f>Incurred_loss!$C71</f>
        <v>2021</v>
      </c>
      <c r="E73" s="45">
        <f>Incurred_loss!S71</f>
        <v>510926.75267731445</v>
      </c>
      <c r="F73" s="45">
        <f>Incurred_loss!T71</f>
        <v>1859499.3302153437</v>
      </c>
      <c r="G73" s="45">
        <f>Incurred_loss!U71</f>
        <v>1458332.7248766313</v>
      </c>
      <c r="H73" s="45">
        <f>Incurred_loss!V71</f>
        <v>1418031.9348397262</v>
      </c>
      <c r="I73" s="45">
        <f>Incurred_loss!W71</f>
        <v>1420175.5640330508</v>
      </c>
      <c r="J73" s="50">
        <f t="shared" si="9"/>
        <v>1392115.8631226623</v>
      </c>
      <c r="K73" s="50">
        <f t="shared" si="8"/>
        <v>1389980.3912788767</v>
      </c>
      <c r="L73" s="50">
        <f t="shared" si="8"/>
        <v>1393321.9116861832</v>
      </c>
      <c r="M73" s="50">
        <f t="shared" si="8"/>
        <v>1392710.3441999981</v>
      </c>
      <c r="N73" s="49">
        <f t="shared" si="5"/>
        <v>1392710.3441999981</v>
      </c>
      <c r="O73" s="48">
        <f t="shared" si="10"/>
        <v>1392710.3441999981</v>
      </c>
      <c r="P73" s="45" t="s">
        <v>40</v>
      </c>
      <c r="Q73" s="45">
        <f>MIN(Exposure!$C$23,MAX(0,BC_with_index!$O73-Exposure!$E$23))</f>
        <v>0</v>
      </c>
      <c r="R73" s="45">
        <f>MIN(Exposure!$C$24,MAX(0,BC_with_index!$O73-Exposure!$E$24))</f>
        <v>0</v>
      </c>
      <c r="S73" s="1" t="str">
        <f t="shared" si="11"/>
        <v>-</v>
      </c>
      <c r="T73" s="1" t="str">
        <f t="shared" si="12"/>
        <v>-</v>
      </c>
    </row>
    <row r="74" spans="4:20" x14ac:dyDescent="0.3">
      <c r="D74">
        <f>Incurred_loss!$C72</f>
        <v>2021</v>
      </c>
      <c r="E74" s="45">
        <f>Incurred_loss!S72</f>
        <v>2273427.0492488379</v>
      </c>
      <c r="F74" s="45">
        <f>Incurred_loss!T72</f>
        <v>3132472.372239809</v>
      </c>
      <c r="G74" s="45">
        <f>Incurred_loss!U72</f>
        <v>2175732.9142110692</v>
      </c>
      <c r="H74" s="45">
        <f>Incurred_loss!V72</f>
        <v>2668403.0408692867</v>
      </c>
      <c r="I74" s="45">
        <f>Incurred_loss!W72</f>
        <v>2650573.9919323325</v>
      </c>
      <c r="J74" s="50">
        <f t="shared" si="9"/>
        <v>2598204.1896782606</v>
      </c>
      <c r="K74" s="50">
        <f t="shared" si="8"/>
        <v>2594218.6077030515</v>
      </c>
      <c r="L74" s="50">
        <f t="shared" si="8"/>
        <v>2600455.1233208571</v>
      </c>
      <c r="M74" s="50">
        <f t="shared" si="8"/>
        <v>2599313.7117135553</v>
      </c>
      <c r="N74" s="49">
        <f t="shared" si="5"/>
        <v>2599313.7117135553</v>
      </c>
      <c r="O74" s="48">
        <f t="shared" si="10"/>
        <v>2599313.7117135553</v>
      </c>
      <c r="P74" s="45" t="s">
        <v>40</v>
      </c>
      <c r="Q74" s="45">
        <f>MIN(Exposure!$C$23,MAX(0,BC_with_index!$O74-Exposure!$E$23))</f>
        <v>0</v>
      </c>
      <c r="R74" s="45">
        <f>MIN(Exposure!$C$24,MAX(0,BC_with_index!$O74-Exposure!$E$24))</f>
        <v>0</v>
      </c>
      <c r="S74" s="1" t="str">
        <f t="shared" si="11"/>
        <v>-</v>
      </c>
      <c r="T74" s="1" t="str">
        <f t="shared" si="12"/>
        <v>-</v>
      </c>
    </row>
    <row r="75" spans="4:20" x14ac:dyDescent="0.3">
      <c r="D75">
        <f>Incurred_loss!$C73</f>
        <v>2022</v>
      </c>
      <c r="E75" s="45">
        <f>Incurred_loss!S73</f>
        <v>11216580.968702884</v>
      </c>
      <c r="F75" s="45">
        <f>Incurred_loss!T73</f>
        <v>13252202.197487431</v>
      </c>
      <c r="G75" s="45">
        <f>Incurred_loss!U73</f>
        <v>15121633.476089437</v>
      </c>
      <c r="H75" s="45">
        <f>Incurred_loss!V73</f>
        <v>15531485.075728094</v>
      </c>
      <c r="I75" s="49">
        <f t="shared" ref="I75:N90" si="13">H75*I$120</f>
        <v>15694401.24722719</v>
      </c>
      <c r="J75" s="50">
        <f t="shared" si="9"/>
        <v>15384312.68063179</v>
      </c>
      <c r="K75" s="50">
        <f t="shared" si="8"/>
        <v>15360713.519501774</v>
      </c>
      <c r="L75" s="50">
        <f t="shared" si="8"/>
        <v>15397640.758201146</v>
      </c>
      <c r="M75" s="50">
        <f t="shared" si="8"/>
        <v>15390882.308217196</v>
      </c>
      <c r="N75" s="49">
        <f t="shared" si="5"/>
        <v>15390882.308217196</v>
      </c>
      <c r="O75" s="48">
        <f t="shared" si="10"/>
        <v>15390882.308217196</v>
      </c>
      <c r="P75" s="45">
        <f>Exposure!$I$13</f>
        <v>214278340.56606266</v>
      </c>
      <c r="Q75" s="45">
        <f>MIN(Exposure!$C$23,MAX(0,BC_with_index!$O75-Exposure!$E$23))</f>
        <v>6000000</v>
      </c>
      <c r="R75" s="45">
        <f>MIN(Exposure!$C$24,MAX(0,BC_with_index!$O75-Exposure!$E$24))</f>
        <v>5390882.3082171958</v>
      </c>
      <c r="S75" s="1">
        <f t="shared" si="11"/>
        <v>3.8836088643202801E-2</v>
      </c>
      <c r="T75" s="1">
        <f t="shared" si="12"/>
        <v>2.5158316486752756E-2</v>
      </c>
    </row>
    <row r="76" spans="4:20" x14ac:dyDescent="0.3">
      <c r="D76">
        <f>Incurred_loss!$C74</f>
        <v>2022</v>
      </c>
      <c r="E76" s="45">
        <f>Incurred_loss!S74</f>
        <v>346034.83505300479</v>
      </c>
      <c r="F76" s="45">
        <f>Incurred_loss!T74</f>
        <v>2561852.8692494612</v>
      </c>
      <c r="G76" s="45">
        <f>Incurred_loss!U74</f>
        <v>2527110.8393870746</v>
      </c>
      <c r="H76" s="45">
        <f>Incurred_loss!V74</f>
        <v>2651684.9601395484</v>
      </c>
      <c r="I76" s="49">
        <f t="shared" si="13"/>
        <v>2679499.5805458599</v>
      </c>
      <c r="J76" s="50">
        <f t="shared" si="9"/>
        <v>2626558.2691166494</v>
      </c>
      <c r="K76" s="50">
        <f t="shared" si="9"/>
        <v>2622529.1926738457</v>
      </c>
      <c r="L76" s="50">
        <f t="shared" si="9"/>
        <v>2628833.7670916286</v>
      </c>
      <c r="M76" s="50">
        <f t="shared" si="9"/>
        <v>2627679.8993134401</v>
      </c>
      <c r="N76" s="49">
        <f t="shared" si="5"/>
        <v>2627679.8993134401</v>
      </c>
      <c r="O76" s="48">
        <f t="shared" si="10"/>
        <v>2627679.8993134401</v>
      </c>
      <c r="P76" s="45" t="s">
        <v>40</v>
      </c>
      <c r="Q76" s="45">
        <f>MIN(Exposure!$C$23,MAX(0,BC_with_index!$O76-Exposure!$E$23))</f>
        <v>0</v>
      </c>
      <c r="R76" s="45">
        <f>MIN(Exposure!$C$24,MAX(0,BC_with_index!$O76-Exposure!$E$24))</f>
        <v>0</v>
      </c>
      <c r="S76" s="1" t="str">
        <f t="shared" si="11"/>
        <v>-</v>
      </c>
      <c r="T76" s="1" t="str">
        <f t="shared" si="12"/>
        <v>-</v>
      </c>
    </row>
    <row r="77" spans="4:20" x14ac:dyDescent="0.3">
      <c r="D77">
        <f>Incurred_loss!$C75</f>
        <v>2022</v>
      </c>
      <c r="E77" s="45">
        <f>Incurred_loss!S75</f>
        <v>3243557.414927809</v>
      </c>
      <c r="F77" s="45">
        <f>Incurred_loss!T75</f>
        <v>2994794.7157918098</v>
      </c>
      <c r="G77" s="45">
        <f>Incurred_loss!U75</f>
        <v>2681181.1543011237</v>
      </c>
      <c r="H77" s="45">
        <f>Incurred_loss!V75</f>
        <v>2737013.2524630898</v>
      </c>
      <c r="I77" s="49">
        <f t="shared" si="13"/>
        <v>2765722.9166233069</v>
      </c>
      <c r="J77" s="50">
        <f t="shared" si="9"/>
        <v>2711078.0122841056</v>
      </c>
      <c r="K77" s="50">
        <f t="shared" si="9"/>
        <v>2706919.2846128666</v>
      </c>
      <c r="L77" s="50">
        <f t="shared" si="9"/>
        <v>2713426.7332698531</v>
      </c>
      <c r="M77" s="50">
        <f t="shared" si="9"/>
        <v>2712235.7353014043</v>
      </c>
      <c r="N77" s="49">
        <f t="shared" si="5"/>
        <v>2712235.7353014043</v>
      </c>
      <c r="O77" s="48">
        <f t="shared" si="10"/>
        <v>2712235.7353014043</v>
      </c>
      <c r="P77" s="45" t="s">
        <v>40</v>
      </c>
      <c r="Q77" s="45">
        <f>MIN(Exposure!$C$23,MAX(0,BC_with_index!$O77-Exposure!$E$23))</f>
        <v>0</v>
      </c>
      <c r="R77" s="45">
        <f>MIN(Exposure!$C$24,MAX(0,BC_with_index!$O77-Exposure!$E$24))</f>
        <v>0</v>
      </c>
      <c r="S77" s="1" t="str">
        <f t="shared" si="11"/>
        <v>-</v>
      </c>
      <c r="T77" s="1" t="str">
        <f t="shared" si="12"/>
        <v>-</v>
      </c>
    </row>
    <row r="78" spans="4:20" x14ac:dyDescent="0.3">
      <c r="D78">
        <f>Incurred_loss!$C76</f>
        <v>2022</v>
      </c>
      <c r="E78" s="45">
        <f>Incurred_loss!S76</f>
        <v>4261708.0093028005</v>
      </c>
      <c r="F78" s="45">
        <f>Incurred_loss!T76</f>
        <v>5397607.9137654044</v>
      </c>
      <c r="G78" s="45">
        <f>Incurred_loss!U76</f>
        <v>5813567.9024209995</v>
      </c>
      <c r="H78" s="45">
        <f>Incurred_loss!V76</f>
        <v>5180016.4520155024</v>
      </c>
      <c r="I78" s="49">
        <f t="shared" si="13"/>
        <v>5234351.7872748151</v>
      </c>
      <c r="J78" s="50">
        <f t="shared" si="9"/>
        <v>5130931.9360040389</v>
      </c>
      <c r="K78" s="50">
        <f t="shared" si="9"/>
        <v>5123061.2113237381</v>
      </c>
      <c r="L78" s="50">
        <f t="shared" si="9"/>
        <v>5135377.0782905864</v>
      </c>
      <c r="M78" s="50">
        <f t="shared" si="9"/>
        <v>5133123.0193943316</v>
      </c>
      <c r="N78" s="49">
        <f t="shared" si="5"/>
        <v>5133123.0193943316</v>
      </c>
      <c r="O78" s="48">
        <f t="shared" si="10"/>
        <v>5133123.0193943316</v>
      </c>
      <c r="P78" s="45" t="s">
        <v>40</v>
      </c>
      <c r="Q78" s="45">
        <f>MIN(Exposure!$C$23,MAX(0,BC_with_index!$O78-Exposure!$E$23))</f>
        <v>1133123.0193943316</v>
      </c>
      <c r="R78" s="45">
        <f>MIN(Exposure!$C$24,MAX(0,BC_with_index!$O78-Exposure!$E$24))</f>
        <v>0</v>
      </c>
      <c r="S78" s="1" t="str">
        <f t="shared" si="11"/>
        <v>-</v>
      </c>
      <c r="T78" s="1" t="str">
        <f t="shared" si="12"/>
        <v>-</v>
      </c>
    </row>
    <row r="79" spans="4:20" x14ac:dyDescent="0.3">
      <c r="D79">
        <f>Incurred_loss!$C77</f>
        <v>2022</v>
      </c>
      <c r="E79" s="45">
        <f>Incurred_loss!S77</f>
        <v>2442101.1315905354</v>
      </c>
      <c r="F79" s="45">
        <f>Incurred_loss!T77</f>
        <v>1574719.6941648913</v>
      </c>
      <c r="G79" s="45">
        <f>Incurred_loss!U77</f>
        <v>1930295.2460463487</v>
      </c>
      <c r="H79" s="45">
        <f>Incurred_loss!V77</f>
        <v>1836843.8112611084</v>
      </c>
      <c r="I79" s="49">
        <f t="shared" si="13"/>
        <v>1856111.2258008888</v>
      </c>
      <c r="J79" s="50">
        <f t="shared" si="9"/>
        <v>1819438.3473403668</v>
      </c>
      <c r="K79" s="50">
        <f t="shared" si="9"/>
        <v>1816647.3732087065</v>
      </c>
      <c r="L79" s="50">
        <f t="shared" si="9"/>
        <v>1821014.6033570911</v>
      </c>
      <c r="M79" s="50">
        <f t="shared" si="9"/>
        <v>1820215.3097308725</v>
      </c>
      <c r="N79" s="49">
        <f t="shared" si="5"/>
        <v>1820215.3097308725</v>
      </c>
      <c r="O79" s="48">
        <f t="shared" si="10"/>
        <v>1820215.3097308725</v>
      </c>
      <c r="P79" s="45" t="s">
        <v>40</v>
      </c>
      <c r="Q79" s="45">
        <f>MIN(Exposure!$C$23,MAX(0,BC_with_index!$O79-Exposure!$E$23))</f>
        <v>0</v>
      </c>
      <c r="R79" s="45">
        <f>MIN(Exposure!$C$24,MAX(0,BC_with_index!$O79-Exposure!$E$24))</f>
        <v>0</v>
      </c>
      <c r="S79" s="1" t="str">
        <f t="shared" si="11"/>
        <v>-</v>
      </c>
      <c r="T79" s="1" t="str">
        <f t="shared" si="12"/>
        <v>-</v>
      </c>
    </row>
    <row r="80" spans="4:20" x14ac:dyDescent="0.3">
      <c r="D80">
        <f>Incurred_loss!$C78</f>
        <v>2022</v>
      </c>
      <c r="E80" s="45">
        <f>Incurred_loss!S78</f>
        <v>5277237.8169055646</v>
      </c>
      <c r="F80" s="45">
        <f>Incurred_loss!T78</f>
        <v>3787666.193444578</v>
      </c>
      <c r="G80" s="45">
        <f>Incurred_loss!U78</f>
        <v>5689045.1309019793</v>
      </c>
      <c r="H80" s="45">
        <f>Incurred_loss!V78</f>
        <v>5236009.93721011</v>
      </c>
      <c r="I80" s="49">
        <f t="shared" si="13"/>
        <v>5290932.6112971213</v>
      </c>
      <c r="J80" s="50">
        <f t="shared" si="9"/>
        <v>5186394.8412002949</v>
      </c>
      <c r="K80" s="50">
        <f t="shared" si="9"/>
        <v>5178439.0377736352</v>
      </c>
      <c r="L80" s="50">
        <f t="shared" si="9"/>
        <v>5190888.0333359344</v>
      </c>
      <c r="M80" s="50">
        <f t="shared" si="9"/>
        <v>5188609.6091476763</v>
      </c>
      <c r="N80" s="49">
        <f t="shared" si="5"/>
        <v>5188609.6091476763</v>
      </c>
      <c r="O80" s="48">
        <f t="shared" si="10"/>
        <v>5188609.6091476763</v>
      </c>
      <c r="P80" s="45" t="s">
        <v>40</v>
      </c>
      <c r="Q80" s="45">
        <f>MIN(Exposure!$C$23,MAX(0,BC_with_index!$O80-Exposure!$E$23))</f>
        <v>1188609.6091476763</v>
      </c>
      <c r="R80" s="45">
        <f>MIN(Exposure!$C$24,MAX(0,BC_with_index!$O80-Exposure!$E$24))</f>
        <v>0</v>
      </c>
      <c r="S80" s="1" t="str">
        <f t="shared" si="11"/>
        <v>-</v>
      </c>
      <c r="T80" s="1" t="str">
        <f t="shared" si="12"/>
        <v>-</v>
      </c>
    </row>
    <row r="81" spans="4:20" x14ac:dyDescent="0.3">
      <c r="D81">
        <f>Incurred_loss!$C79</f>
        <v>2023</v>
      </c>
      <c r="E81" s="45">
        <f>Incurred_loss!S79</f>
        <v>1546728.9623535692</v>
      </c>
      <c r="F81" s="45">
        <f>Incurred_loss!T79</f>
        <v>974233.54453295597</v>
      </c>
      <c r="G81" s="45">
        <f>Incurred_loss!U79</f>
        <v>1845495.6214065398</v>
      </c>
      <c r="H81" s="50">
        <f>G81*H$120</f>
        <v>1808894.9187502183</v>
      </c>
      <c r="I81" s="49">
        <f t="shared" si="13"/>
        <v>1827869.165795499</v>
      </c>
      <c r="J81" s="50">
        <f t="shared" si="9"/>
        <v>1791754.2914134262</v>
      </c>
      <c r="K81" s="50">
        <f t="shared" si="9"/>
        <v>1789005.7839496057</v>
      </c>
      <c r="L81" s="50">
        <f t="shared" si="9"/>
        <v>1793306.563567336</v>
      </c>
      <c r="M81" s="50">
        <f t="shared" si="9"/>
        <v>1792519.4317653873</v>
      </c>
      <c r="N81" s="49">
        <f t="shared" si="5"/>
        <v>1792519.4317653873</v>
      </c>
      <c r="O81" s="48">
        <f t="shared" si="10"/>
        <v>1792519.4317653873</v>
      </c>
      <c r="P81" s="45">
        <f>Exposure!$I$14</f>
        <v>216421123.97172332</v>
      </c>
      <c r="Q81" s="45">
        <f>MIN(Exposure!$C$23,MAX(0,BC_with_index!$O81-Exposure!$E$23))</f>
        <v>0</v>
      </c>
      <c r="R81" s="45">
        <f>MIN(Exposure!$C$24,MAX(0,BC_with_index!$O81-Exposure!$E$24))</f>
        <v>0</v>
      </c>
      <c r="S81" s="1">
        <f t="shared" si="11"/>
        <v>0</v>
      </c>
      <c r="T81" s="1">
        <f t="shared" si="12"/>
        <v>0</v>
      </c>
    </row>
    <row r="82" spans="4:20" x14ac:dyDescent="0.3">
      <c r="D82">
        <f>Incurred_loss!$C80</f>
        <v>2023</v>
      </c>
      <c r="E82" s="45">
        <f>Incurred_loss!S80</f>
        <v>2300643.2098404872</v>
      </c>
      <c r="F82" s="45">
        <f>Incurred_loss!T80</f>
        <v>1333325.5800767462</v>
      </c>
      <c r="G82" s="45">
        <f>Incurred_loss!U80</f>
        <v>1441109.5368812357</v>
      </c>
      <c r="H82" s="50">
        <f t="shared" ref="H82:N97" si="14">G82*H$120</f>
        <v>1412528.8016886052</v>
      </c>
      <c r="I82" s="49">
        <f t="shared" si="13"/>
        <v>1427345.4005766883</v>
      </c>
      <c r="J82" s="50">
        <f t="shared" si="13"/>
        <v>1399144.0386814992</v>
      </c>
      <c r="K82" s="50">
        <f t="shared" si="13"/>
        <v>1396997.785787503</v>
      </c>
      <c r="L82" s="50">
        <f t="shared" si="13"/>
        <v>1400356.1760493079</v>
      </c>
      <c r="M82" s="50">
        <f t="shared" si="13"/>
        <v>1399741.5210301287</v>
      </c>
      <c r="N82" s="49">
        <f t="shared" si="5"/>
        <v>1399741.5210301287</v>
      </c>
      <c r="O82" s="48">
        <f t="shared" si="10"/>
        <v>1399741.5210301287</v>
      </c>
      <c r="P82" s="45" t="s">
        <v>40</v>
      </c>
      <c r="Q82" s="45">
        <f>MIN(Exposure!$C$23,MAX(0,BC_with_index!$O82-Exposure!$E$23))</f>
        <v>0</v>
      </c>
      <c r="R82" s="45">
        <f>MIN(Exposure!$C$24,MAX(0,BC_with_index!$O82-Exposure!$E$24))</f>
        <v>0</v>
      </c>
      <c r="S82" s="1" t="str">
        <f t="shared" si="11"/>
        <v>-</v>
      </c>
      <c r="T82" s="1" t="str">
        <f t="shared" si="12"/>
        <v>-</v>
      </c>
    </row>
    <row r="83" spans="4:20" x14ac:dyDescent="0.3">
      <c r="D83">
        <f>Incurred_loss!$C81</f>
        <v>2023</v>
      </c>
      <c r="E83" s="45">
        <f>Incurred_loss!S81</f>
        <v>861811.7784387304</v>
      </c>
      <c r="F83" s="45">
        <f>Incurred_loss!T81</f>
        <v>2462351.3384632682</v>
      </c>
      <c r="G83" s="45">
        <f>Incurred_loss!U81</f>
        <v>2896034.744706824</v>
      </c>
      <c r="H83" s="50">
        <f t="shared" si="14"/>
        <v>2838599.2756957379</v>
      </c>
      <c r="I83" s="49">
        <f t="shared" si="13"/>
        <v>2868374.5176743148</v>
      </c>
      <c r="J83" s="50">
        <f t="shared" si="13"/>
        <v>2811701.432245105</v>
      </c>
      <c r="K83" s="50">
        <f t="shared" si="13"/>
        <v>2807388.3506972636</v>
      </c>
      <c r="L83" s="50">
        <f t="shared" si="13"/>
        <v>2814137.3275345974</v>
      </c>
      <c r="M83" s="50">
        <f t="shared" si="13"/>
        <v>2812902.1249035718</v>
      </c>
      <c r="N83" s="49">
        <f t="shared" si="5"/>
        <v>2812902.1249035718</v>
      </c>
      <c r="O83" s="48">
        <f t="shared" si="10"/>
        <v>2812902.1249035718</v>
      </c>
      <c r="P83" s="45" t="s">
        <v>40</v>
      </c>
      <c r="Q83" s="45">
        <f>MIN(Exposure!$C$23,MAX(0,BC_with_index!$O83-Exposure!$E$23))</f>
        <v>0</v>
      </c>
      <c r="R83" s="45">
        <f>MIN(Exposure!$C$24,MAX(0,BC_with_index!$O83-Exposure!$E$24))</f>
        <v>0</v>
      </c>
      <c r="S83" s="1" t="str">
        <f t="shared" si="11"/>
        <v>-</v>
      </c>
      <c r="T83" s="1" t="str">
        <f t="shared" si="12"/>
        <v>-</v>
      </c>
    </row>
    <row r="84" spans="4:20" x14ac:dyDescent="0.3">
      <c r="D84">
        <f>Incurred_loss!$C82</f>
        <v>2023</v>
      </c>
      <c r="E84" s="45">
        <f>Incurred_loss!S82</f>
        <v>2682014.9161015218</v>
      </c>
      <c r="F84" s="45">
        <f>Incurred_loss!T82</f>
        <v>2330559.1568999584</v>
      </c>
      <c r="G84" s="45">
        <f>Incurred_loss!U82</f>
        <v>2808639.5099582197</v>
      </c>
      <c r="H84" s="50">
        <f t="shared" si="14"/>
        <v>2752937.3027135176</v>
      </c>
      <c r="I84" s="49">
        <f t="shared" si="13"/>
        <v>2781814.0008237343</v>
      </c>
      <c r="J84" s="50">
        <f t="shared" si="13"/>
        <v>2726851.1702918685</v>
      </c>
      <c r="K84" s="50">
        <f t="shared" si="13"/>
        <v>2722668.2469802336</v>
      </c>
      <c r="L84" s="50">
        <f t="shared" si="13"/>
        <v>2729213.5562282577</v>
      </c>
      <c r="M84" s="50">
        <f t="shared" si="13"/>
        <v>2728015.6289870036</v>
      </c>
      <c r="N84" s="49">
        <f t="shared" si="5"/>
        <v>2728015.6289870036</v>
      </c>
      <c r="O84" s="48">
        <f t="shared" si="10"/>
        <v>2728015.6289870036</v>
      </c>
      <c r="P84" s="45" t="s">
        <v>40</v>
      </c>
      <c r="Q84" s="45">
        <f>MIN(Exposure!$C$23,MAX(0,BC_with_index!$O84-Exposure!$E$23))</f>
        <v>0</v>
      </c>
      <c r="R84" s="45">
        <f>MIN(Exposure!$C$24,MAX(0,BC_with_index!$O84-Exposure!$E$24))</f>
        <v>0</v>
      </c>
      <c r="S84" s="1" t="str">
        <f t="shared" si="11"/>
        <v>-</v>
      </c>
      <c r="T84" s="1" t="str">
        <f t="shared" si="12"/>
        <v>-</v>
      </c>
    </row>
    <row r="85" spans="4:20" x14ac:dyDescent="0.3">
      <c r="D85">
        <f>Incurred_loss!$C83</f>
        <v>2023</v>
      </c>
      <c r="E85" s="45">
        <f>Incurred_loss!S83</f>
        <v>1151429.7724527135</v>
      </c>
      <c r="F85" s="45">
        <f>Incurred_loss!T83</f>
        <v>1231891.06250057</v>
      </c>
      <c r="G85" s="45">
        <f>Incurred_loss!U83</f>
        <v>1313081.9043594645</v>
      </c>
      <c r="H85" s="50">
        <f t="shared" si="14"/>
        <v>1287040.2709969163</v>
      </c>
      <c r="I85" s="49">
        <f t="shared" si="13"/>
        <v>1300540.5687787205</v>
      </c>
      <c r="J85" s="50">
        <f t="shared" si="13"/>
        <v>1274844.6053316912</v>
      </c>
      <c r="K85" s="50">
        <f t="shared" si="13"/>
        <v>1272889.0247424569</v>
      </c>
      <c r="L85" s="50">
        <f t="shared" si="13"/>
        <v>1275949.0568688812</v>
      </c>
      <c r="M85" s="50">
        <f t="shared" si="13"/>
        <v>1275389.0075718274</v>
      </c>
      <c r="N85" s="49">
        <f t="shared" si="13"/>
        <v>1275389.0075718274</v>
      </c>
      <c r="O85" s="48">
        <f t="shared" si="10"/>
        <v>1275389.0075718274</v>
      </c>
      <c r="P85" s="45" t="s">
        <v>40</v>
      </c>
      <c r="Q85" s="45">
        <f>MIN(Exposure!$C$23,MAX(0,BC_with_index!$O85-Exposure!$E$23))</f>
        <v>0</v>
      </c>
      <c r="R85" s="45">
        <f>MIN(Exposure!$C$24,MAX(0,BC_with_index!$O85-Exposure!$E$24))</f>
        <v>0</v>
      </c>
      <c r="S85" s="1" t="str">
        <f t="shared" si="11"/>
        <v>-</v>
      </c>
      <c r="T85" s="1" t="str">
        <f t="shared" si="12"/>
        <v>-</v>
      </c>
    </row>
    <row r="86" spans="4:20" x14ac:dyDescent="0.3">
      <c r="D86">
        <f>Incurred_loss!$C84</f>
        <v>2023</v>
      </c>
      <c r="E86" s="45">
        <f>Incurred_loss!S84</f>
        <v>1530304.7524452892</v>
      </c>
      <c r="F86" s="45">
        <f>Incurred_loss!T84</f>
        <v>2611227.0682993969</v>
      </c>
      <c r="G86" s="45">
        <f>Incurred_loss!U84</f>
        <v>2250971.5711755343</v>
      </c>
      <c r="H86" s="50">
        <f t="shared" si="14"/>
        <v>2206329.286355786</v>
      </c>
      <c r="I86" s="49">
        <f t="shared" si="13"/>
        <v>2229472.3868800974</v>
      </c>
      <c r="J86" s="50">
        <f t="shared" si="13"/>
        <v>2185422.6722193477</v>
      </c>
      <c r="K86" s="50">
        <f t="shared" si="13"/>
        <v>2182070.2870429968</v>
      </c>
      <c r="L86" s="50">
        <f t="shared" si="13"/>
        <v>2187315.9958602432</v>
      </c>
      <c r="M86" s="50">
        <f t="shared" si="13"/>
        <v>2186355.9224315109</v>
      </c>
      <c r="N86" s="49">
        <f t="shared" si="13"/>
        <v>2186355.9224315109</v>
      </c>
      <c r="O86" s="48">
        <f t="shared" si="10"/>
        <v>2186355.9224315109</v>
      </c>
      <c r="P86" s="45" t="s">
        <v>40</v>
      </c>
      <c r="Q86" s="45">
        <f>MIN(Exposure!$C$23,MAX(0,BC_with_index!$O86-Exposure!$E$23))</f>
        <v>0</v>
      </c>
      <c r="R86" s="45">
        <f>MIN(Exposure!$C$24,MAX(0,BC_with_index!$O86-Exposure!$E$24))</f>
        <v>0</v>
      </c>
      <c r="S86" s="1" t="str">
        <f t="shared" si="11"/>
        <v>-</v>
      </c>
      <c r="T86" s="1" t="str">
        <f t="shared" si="12"/>
        <v>-</v>
      </c>
    </row>
    <row r="87" spans="4:20" x14ac:dyDescent="0.3">
      <c r="D87">
        <f>Incurred_loss!$C85</f>
        <v>2023</v>
      </c>
      <c r="E87" s="45">
        <f>Incurred_loss!S85</f>
        <v>563763.63863343443</v>
      </c>
      <c r="F87" s="45">
        <f>Incurred_loss!T85</f>
        <v>464668.49105248949</v>
      </c>
      <c r="G87" s="45">
        <f>Incurred_loss!U85</f>
        <v>437822.39286586863</v>
      </c>
      <c r="H87" s="50">
        <f t="shared" si="14"/>
        <v>429139.30143412104</v>
      </c>
      <c r="I87" s="49">
        <f t="shared" si="13"/>
        <v>433640.72107870493</v>
      </c>
      <c r="J87" s="50">
        <f t="shared" si="13"/>
        <v>425072.8867600527</v>
      </c>
      <c r="K87" s="50">
        <f t="shared" si="13"/>
        <v>424420.83529991296</v>
      </c>
      <c r="L87" s="50">
        <f t="shared" si="13"/>
        <v>425441.1452922977</v>
      </c>
      <c r="M87" s="50">
        <f t="shared" si="13"/>
        <v>425254.4074181827</v>
      </c>
      <c r="N87" s="49">
        <f t="shared" si="13"/>
        <v>425254.4074181827</v>
      </c>
      <c r="O87" s="48">
        <f t="shared" si="10"/>
        <v>425254.4074181827</v>
      </c>
      <c r="P87" s="45" t="s">
        <v>40</v>
      </c>
      <c r="Q87" s="45">
        <f>MIN(Exposure!$C$23,MAX(0,BC_with_index!$O87-Exposure!$E$23))</f>
        <v>0</v>
      </c>
      <c r="R87" s="45">
        <f>MIN(Exposure!$C$24,MAX(0,BC_with_index!$O87-Exposure!$E$24))</f>
        <v>0</v>
      </c>
      <c r="S87" s="1" t="str">
        <f t="shared" si="11"/>
        <v>-</v>
      </c>
      <c r="T87" s="1" t="str">
        <f t="shared" si="12"/>
        <v>-</v>
      </c>
    </row>
    <row r="88" spans="4:20" x14ac:dyDescent="0.3">
      <c r="D88">
        <f>Incurred_loss!$C86</f>
        <v>2023</v>
      </c>
      <c r="E88" s="45">
        <f>Incurred_loss!S86</f>
        <v>1175731.4673647764</v>
      </c>
      <c r="F88" s="45">
        <f>Incurred_loss!T86</f>
        <v>1368840.1149297031</v>
      </c>
      <c r="G88" s="45">
        <f>Incurred_loss!U86</f>
        <v>1350046.6537301417</v>
      </c>
      <c r="H88" s="50">
        <f t="shared" si="14"/>
        <v>1323271.9187634562</v>
      </c>
      <c r="I88" s="49">
        <f t="shared" si="13"/>
        <v>1337152.2652857669</v>
      </c>
      <c r="J88" s="50">
        <f t="shared" si="13"/>
        <v>1310732.9312359565</v>
      </c>
      <c r="K88" s="50">
        <f t="shared" si="13"/>
        <v>1308722.2988284652</v>
      </c>
      <c r="L88" s="50">
        <f t="shared" si="13"/>
        <v>1311868.4743403431</v>
      </c>
      <c r="M88" s="50">
        <f t="shared" si="13"/>
        <v>1311292.6590184646</v>
      </c>
      <c r="N88" s="49">
        <f t="shared" si="13"/>
        <v>1311292.6590184646</v>
      </c>
      <c r="O88" s="48">
        <f t="shared" si="10"/>
        <v>1311292.6590184646</v>
      </c>
      <c r="P88" s="45" t="s">
        <v>40</v>
      </c>
      <c r="Q88" s="45">
        <f>MIN(Exposure!$C$23,MAX(0,BC_with_index!$O88-Exposure!$E$23))</f>
        <v>0</v>
      </c>
      <c r="R88" s="45">
        <f>MIN(Exposure!$C$24,MAX(0,BC_with_index!$O88-Exposure!$E$24))</f>
        <v>0</v>
      </c>
      <c r="S88" s="1" t="str">
        <f t="shared" si="11"/>
        <v>-</v>
      </c>
      <c r="T88" s="1" t="str">
        <f t="shared" si="12"/>
        <v>-</v>
      </c>
    </row>
    <row r="89" spans="4:20" x14ac:dyDescent="0.3">
      <c r="D89">
        <f>Incurred_loss!$C87</f>
        <v>2023</v>
      </c>
      <c r="E89" s="45">
        <f>Incurred_loss!S87</f>
        <v>858374.17311558221</v>
      </c>
      <c r="F89" s="45">
        <f>Incurred_loss!T87</f>
        <v>679957.31970278698</v>
      </c>
      <c r="G89" s="45">
        <f>Incurred_loss!U87</f>
        <v>602538.12233565829</v>
      </c>
      <c r="H89" s="50">
        <f t="shared" si="14"/>
        <v>590588.31416548346</v>
      </c>
      <c r="I89" s="49">
        <f t="shared" si="13"/>
        <v>596783.23928737722</v>
      </c>
      <c r="J89" s="50">
        <f t="shared" si="13"/>
        <v>584992.0497845934</v>
      </c>
      <c r="K89" s="50">
        <f t="shared" si="13"/>
        <v>584094.68622151227</v>
      </c>
      <c r="L89" s="50">
        <f t="shared" si="13"/>
        <v>585498.85301843565</v>
      </c>
      <c r="M89" s="50">
        <f t="shared" si="13"/>
        <v>585241.86139381432</v>
      </c>
      <c r="N89" s="49">
        <f t="shared" si="13"/>
        <v>585241.86139381432</v>
      </c>
      <c r="O89" s="48">
        <f t="shared" si="10"/>
        <v>585241.86139381432</v>
      </c>
      <c r="P89" s="45" t="s">
        <v>40</v>
      </c>
      <c r="Q89" s="45">
        <f>MIN(Exposure!$C$23,MAX(0,BC_with_index!$O89-Exposure!$E$23))</f>
        <v>0</v>
      </c>
      <c r="R89" s="45">
        <f>MIN(Exposure!$C$24,MAX(0,BC_with_index!$O89-Exposure!$E$24))</f>
        <v>0</v>
      </c>
      <c r="S89" s="1" t="str">
        <f t="shared" si="11"/>
        <v>-</v>
      </c>
      <c r="T89" s="1" t="str">
        <f t="shared" si="12"/>
        <v>-</v>
      </c>
    </row>
    <row r="90" spans="4:20" x14ac:dyDescent="0.3">
      <c r="D90">
        <f>Incurred_loss!$C88</f>
        <v>2023</v>
      </c>
      <c r="E90" s="45">
        <f>Incurred_loss!S88</f>
        <v>291915.4662375279</v>
      </c>
      <c r="F90" s="45">
        <f>Incurred_loss!T88</f>
        <v>1511723.194744458</v>
      </c>
      <c r="G90" s="45">
        <f>Incurred_loss!U88</f>
        <v>1704036.4374867312</v>
      </c>
      <c r="H90" s="50">
        <f t="shared" si="14"/>
        <v>1670241.2172539923</v>
      </c>
      <c r="I90" s="49">
        <f t="shared" si="13"/>
        <v>1687761.0682707024</v>
      </c>
      <c r="J90" s="50">
        <f t="shared" si="13"/>
        <v>1654414.4370630896</v>
      </c>
      <c r="K90" s="50">
        <f t="shared" si="13"/>
        <v>1651876.6055923842</v>
      </c>
      <c r="L90" s="50">
        <f t="shared" si="13"/>
        <v>1655847.7259208232</v>
      </c>
      <c r="M90" s="50">
        <f t="shared" si="13"/>
        <v>1655120.9286008691</v>
      </c>
      <c r="N90" s="49">
        <f t="shared" si="13"/>
        <v>1655120.9286008691</v>
      </c>
      <c r="O90" s="48">
        <f t="shared" si="10"/>
        <v>1655120.9286008691</v>
      </c>
      <c r="P90" s="45" t="s">
        <v>40</v>
      </c>
      <c r="Q90" s="45">
        <f>MIN(Exposure!$C$23,MAX(0,BC_with_index!$O90-Exposure!$E$23))</f>
        <v>0</v>
      </c>
      <c r="R90" s="45">
        <f>MIN(Exposure!$C$24,MAX(0,BC_with_index!$O90-Exposure!$E$24))</f>
        <v>0</v>
      </c>
      <c r="S90" s="1" t="str">
        <f t="shared" si="11"/>
        <v>-</v>
      </c>
      <c r="T90" s="1" t="str">
        <f t="shared" si="12"/>
        <v>-</v>
      </c>
    </row>
    <row r="91" spans="4:20" x14ac:dyDescent="0.3">
      <c r="D91">
        <f>Incurred_loss!$C89</f>
        <v>2023</v>
      </c>
      <c r="E91" s="45">
        <f>Incurred_loss!S89</f>
        <v>2772288.0973276137</v>
      </c>
      <c r="F91" s="45">
        <f>Incurred_loss!T89</f>
        <v>2844658.8174337666</v>
      </c>
      <c r="G91" s="45">
        <f>Incurred_loss!U89</f>
        <v>2725803.0224957634</v>
      </c>
      <c r="H91" s="50">
        <f t="shared" si="14"/>
        <v>2671743.6658823714</v>
      </c>
      <c r="I91" s="49">
        <f t="shared" si="14"/>
        <v>2699768.6903504268</v>
      </c>
      <c r="J91" s="50">
        <f t="shared" si="14"/>
        <v>2646426.903674888</v>
      </c>
      <c r="K91" s="50">
        <f t="shared" si="14"/>
        <v>2642367.3492303621</v>
      </c>
      <c r="L91" s="50">
        <f t="shared" si="14"/>
        <v>2648719.6146842148</v>
      </c>
      <c r="M91" s="50">
        <f t="shared" si="14"/>
        <v>2647557.0184580483</v>
      </c>
      <c r="N91" s="49">
        <f t="shared" si="14"/>
        <v>2647557.0184580483</v>
      </c>
      <c r="O91" s="48">
        <f t="shared" si="10"/>
        <v>2647557.0184580483</v>
      </c>
      <c r="P91" s="45" t="s">
        <v>40</v>
      </c>
      <c r="Q91" s="45">
        <f>MIN(Exposure!$C$23,MAX(0,BC_with_index!$O91-Exposure!$E$23))</f>
        <v>0</v>
      </c>
      <c r="R91" s="45">
        <f>MIN(Exposure!$C$24,MAX(0,BC_with_index!$O91-Exposure!$E$24))</f>
        <v>0</v>
      </c>
      <c r="S91" s="1" t="str">
        <f t="shared" si="11"/>
        <v>-</v>
      </c>
      <c r="T91" s="1" t="str">
        <f t="shared" si="12"/>
        <v>-</v>
      </c>
    </row>
    <row r="92" spans="4:20" x14ac:dyDescent="0.3">
      <c r="D92">
        <f>Incurred_loss!$C90</f>
        <v>2023</v>
      </c>
      <c r="E92" s="45">
        <f>Incurred_loss!S90</f>
        <v>1498325.9044737378</v>
      </c>
      <c r="F92" s="45">
        <f>Incurred_loss!T90</f>
        <v>2302958.102101651</v>
      </c>
      <c r="G92" s="45">
        <f>Incurred_loss!U90</f>
        <v>2053682.7914120494</v>
      </c>
      <c r="H92" s="50">
        <f t="shared" si="14"/>
        <v>2012953.2267753209</v>
      </c>
      <c r="I92" s="49">
        <f t="shared" si="14"/>
        <v>2034067.9258214207</v>
      </c>
      <c r="J92" s="50">
        <f t="shared" si="14"/>
        <v>1993878.9949065137</v>
      </c>
      <c r="K92" s="50">
        <f t="shared" si="14"/>
        <v>1990820.4330681423</v>
      </c>
      <c r="L92" s="50">
        <f t="shared" si="14"/>
        <v>1995606.3761980732</v>
      </c>
      <c r="M92" s="50">
        <f t="shared" si="14"/>
        <v>1994730.4494185757</v>
      </c>
      <c r="N92" s="49">
        <f t="shared" si="14"/>
        <v>1994730.4494185757</v>
      </c>
      <c r="O92" s="48">
        <f t="shared" si="10"/>
        <v>1994730.4494185757</v>
      </c>
      <c r="P92" s="45" t="s">
        <v>40</v>
      </c>
      <c r="Q92" s="45">
        <f>MIN(Exposure!$C$23,MAX(0,BC_with_index!$O92-Exposure!$E$23))</f>
        <v>0</v>
      </c>
      <c r="R92" s="45">
        <f>MIN(Exposure!$C$24,MAX(0,BC_with_index!$O92-Exposure!$E$24))</f>
        <v>0</v>
      </c>
      <c r="S92" s="1" t="str">
        <f t="shared" si="11"/>
        <v>-</v>
      </c>
      <c r="T92" s="1" t="str">
        <f t="shared" si="12"/>
        <v>-</v>
      </c>
    </row>
    <row r="93" spans="4:20" x14ac:dyDescent="0.3">
      <c r="D93">
        <f>Incurred_loss!$C91</f>
        <v>2023</v>
      </c>
      <c r="E93" s="45">
        <f>Incurred_loss!S91</f>
        <v>3979663.4037784352</v>
      </c>
      <c r="F93" s="45">
        <f>Incurred_loss!T91</f>
        <v>1912748.1591374362</v>
      </c>
      <c r="G93" s="45">
        <f>Incurred_loss!U91</f>
        <v>2261782.9434210062</v>
      </c>
      <c r="H93" s="50">
        <f t="shared" si="14"/>
        <v>2216926.242584079</v>
      </c>
      <c r="I93" s="49">
        <f t="shared" si="14"/>
        <v>2240180.4989656596</v>
      </c>
      <c r="J93" s="50">
        <f t="shared" si="14"/>
        <v>2195919.2143905656</v>
      </c>
      <c r="K93" s="50">
        <f t="shared" si="14"/>
        <v>2192550.7277740561</v>
      </c>
      <c r="L93" s="50">
        <f t="shared" si="14"/>
        <v>2197821.6316277217</v>
      </c>
      <c r="M93" s="50">
        <f t="shared" si="14"/>
        <v>2196856.9469851675</v>
      </c>
      <c r="N93" s="49">
        <f t="shared" si="14"/>
        <v>2196856.9469851675</v>
      </c>
      <c r="O93" s="48">
        <f t="shared" si="10"/>
        <v>2196856.9469851675</v>
      </c>
      <c r="P93" s="45" t="s">
        <v>40</v>
      </c>
      <c r="Q93" s="45">
        <f>MIN(Exposure!$C$23,MAX(0,BC_with_index!$O93-Exposure!$E$23))</f>
        <v>0</v>
      </c>
      <c r="R93" s="45">
        <f>MIN(Exposure!$C$24,MAX(0,BC_with_index!$O93-Exposure!$E$24))</f>
        <v>0</v>
      </c>
      <c r="S93" s="1" t="str">
        <f t="shared" si="11"/>
        <v>-</v>
      </c>
      <c r="T93" s="1" t="str">
        <f t="shared" si="12"/>
        <v>-</v>
      </c>
    </row>
    <row r="94" spans="4:20" x14ac:dyDescent="0.3">
      <c r="D94">
        <f>Incurred_loss!$C92</f>
        <v>2023</v>
      </c>
      <c r="E94" s="45">
        <f>Incurred_loss!S92</f>
        <v>1155597.676137333</v>
      </c>
      <c r="F94" s="45">
        <f>Incurred_loss!T92</f>
        <v>2058354.6525850983</v>
      </c>
      <c r="G94" s="45">
        <f>Incurred_loss!U92</f>
        <v>1789251.6321696846</v>
      </c>
      <c r="H94" s="50">
        <f t="shared" si="14"/>
        <v>1753766.3857097286</v>
      </c>
      <c r="I94" s="49">
        <f t="shared" si="14"/>
        <v>1772162.3667682393</v>
      </c>
      <c r="J94" s="50">
        <f t="shared" si="14"/>
        <v>1737148.1423050689</v>
      </c>
      <c r="K94" s="50">
        <f t="shared" si="14"/>
        <v>1734483.3993446259</v>
      </c>
      <c r="L94" s="50">
        <f t="shared" si="14"/>
        <v>1738653.1068537454</v>
      </c>
      <c r="M94" s="50">
        <f t="shared" si="14"/>
        <v>1737889.9639640886</v>
      </c>
      <c r="N94" s="49">
        <f t="shared" si="14"/>
        <v>1737889.9639640886</v>
      </c>
      <c r="O94" s="48">
        <f t="shared" si="10"/>
        <v>1737889.9639640886</v>
      </c>
      <c r="P94" s="45" t="s">
        <v>40</v>
      </c>
      <c r="Q94" s="45">
        <f>MIN(Exposure!$C$23,MAX(0,BC_with_index!$O94-Exposure!$E$23))</f>
        <v>0</v>
      </c>
      <c r="R94" s="45">
        <f>MIN(Exposure!$C$24,MAX(0,BC_with_index!$O94-Exposure!$E$24))</f>
        <v>0</v>
      </c>
      <c r="S94" s="1" t="str">
        <f t="shared" si="11"/>
        <v>-</v>
      </c>
      <c r="T94" s="1" t="str">
        <f t="shared" si="12"/>
        <v>-</v>
      </c>
    </row>
    <row r="95" spans="4:20" x14ac:dyDescent="0.3">
      <c r="D95">
        <f>Incurred_loss!$C93</f>
        <v>2023</v>
      </c>
      <c r="E95" s="45">
        <f>Incurred_loss!S93</f>
        <v>803004.40877098544</v>
      </c>
      <c r="F95" s="45">
        <f>Incurred_loss!T93</f>
        <v>868441.96739201085</v>
      </c>
      <c r="G95" s="45">
        <f>Incurred_loss!U93</f>
        <v>838473.28927808162</v>
      </c>
      <c r="H95" s="50">
        <f t="shared" si="14"/>
        <v>821844.3083202478</v>
      </c>
      <c r="I95" s="49">
        <f t="shared" si="14"/>
        <v>830464.97322299413</v>
      </c>
      <c r="J95" s="50">
        <f t="shared" si="14"/>
        <v>814056.72106365149</v>
      </c>
      <c r="K95" s="50">
        <f t="shared" si="14"/>
        <v>812807.97787127341</v>
      </c>
      <c r="L95" s="50">
        <f t="shared" si="14"/>
        <v>814761.97266308439</v>
      </c>
      <c r="M95" s="50">
        <f t="shared" si="14"/>
        <v>814404.35112043761</v>
      </c>
      <c r="N95" s="49">
        <f t="shared" si="14"/>
        <v>814404.35112043761</v>
      </c>
      <c r="O95" s="48">
        <f t="shared" si="10"/>
        <v>814404.35112043761</v>
      </c>
      <c r="P95" s="45" t="s">
        <v>40</v>
      </c>
      <c r="Q95" s="45">
        <f>MIN(Exposure!$C$23,MAX(0,BC_with_index!$O95-Exposure!$E$23))</f>
        <v>0</v>
      </c>
      <c r="R95" s="45">
        <f>MIN(Exposure!$C$24,MAX(0,BC_with_index!$O95-Exposure!$E$24))</f>
        <v>0</v>
      </c>
      <c r="S95" s="1" t="str">
        <f t="shared" si="11"/>
        <v>-</v>
      </c>
      <c r="T95" s="1" t="str">
        <f t="shared" si="12"/>
        <v>-</v>
      </c>
    </row>
    <row r="96" spans="4:20" x14ac:dyDescent="0.3">
      <c r="D96">
        <f>Incurred_loss!$C94</f>
        <v>2023</v>
      </c>
      <c r="E96" s="45">
        <f>Incurred_loss!S94</f>
        <v>345121.51717417809</v>
      </c>
      <c r="F96" s="45">
        <f>Incurred_loss!T94</f>
        <v>1540316.7897257309</v>
      </c>
      <c r="G96" s="45">
        <f>Incurred_loss!U94</f>
        <v>2240656.204284973</v>
      </c>
      <c r="H96" s="50">
        <f t="shared" si="14"/>
        <v>2196218.4984801915</v>
      </c>
      <c r="I96" s="49">
        <f t="shared" si="14"/>
        <v>2219255.5427681869</v>
      </c>
      <c r="J96" s="50">
        <f t="shared" si="14"/>
        <v>2175407.6915933951</v>
      </c>
      <c r="K96" s="50">
        <f t="shared" si="14"/>
        <v>2172070.6691535157</v>
      </c>
      <c r="L96" s="50">
        <f t="shared" si="14"/>
        <v>2177292.3388350643</v>
      </c>
      <c r="M96" s="50">
        <f t="shared" si="14"/>
        <v>2176336.6650663656</v>
      </c>
      <c r="N96" s="49">
        <f t="shared" si="14"/>
        <v>2176336.6650663656</v>
      </c>
      <c r="O96" s="48">
        <f t="shared" si="10"/>
        <v>2176336.6650663656</v>
      </c>
      <c r="P96" s="45" t="s">
        <v>40</v>
      </c>
      <c r="Q96" s="45">
        <f>MIN(Exposure!$C$23,MAX(0,BC_with_index!$O96-Exposure!$E$23))</f>
        <v>0</v>
      </c>
      <c r="R96" s="45">
        <f>MIN(Exposure!$C$24,MAX(0,BC_with_index!$O96-Exposure!$E$24))</f>
        <v>0</v>
      </c>
      <c r="S96" s="1" t="str">
        <f t="shared" si="11"/>
        <v>-</v>
      </c>
      <c r="T96" s="1" t="str">
        <f t="shared" si="12"/>
        <v>-</v>
      </c>
    </row>
    <row r="97" spans="4:20" x14ac:dyDescent="0.3">
      <c r="D97">
        <f>Incurred_loss!$C95</f>
        <v>2024</v>
      </c>
      <c r="E97" s="45">
        <f>Incurred_loss!S95</f>
        <v>723301.81294165773</v>
      </c>
      <c r="F97" s="45">
        <f>Incurred_loss!T95</f>
        <v>720673.91550150001</v>
      </c>
      <c r="G97" s="50">
        <f>F97*F$120</f>
        <v>766423.82841364038</v>
      </c>
      <c r="H97" s="50">
        <f t="shared" si="14"/>
        <v>751223.76490381325</v>
      </c>
      <c r="I97" s="49">
        <f t="shared" si="14"/>
        <v>759103.66171474522</v>
      </c>
      <c r="J97" s="50">
        <f t="shared" si="14"/>
        <v>744105.35992224887</v>
      </c>
      <c r="K97" s="50">
        <f t="shared" si="14"/>
        <v>742963.92041493685</v>
      </c>
      <c r="L97" s="50">
        <f t="shared" si="14"/>
        <v>744750.00971341587</v>
      </c>
      <c r="M97" s="50">
        <f t="shared" si="14"/>
        <v>744423.1183558217</v>
      </c>
      <c r="N97" s="49">
        <f t="shared" si="14"/>
        <v>744423.1183558217</v>
      </c>
      <c r="O97" s="48">
        <f t="shared" si="10"/>
        <v>744423.1183558217</v>
      </c>
      <c r="P97" s="45">
        <f>Exposure!$I$15</f>
        <v>218585335.2114405</v>
      </c>
      <c r="Q97" s="45">
        <f>MIN(Exposure!$C$23,MAX(0,BC_with_index!$O97-Exposure!$E$23))</f>
        <v>0</v>
      </c>
      <c r="R97" s="45">
        <f>MIN(Exposure!$C$24,MAX(0,BC_with_index!$O97-Exposure!$E$24))</f>
        <v>0</v>
      </c>
      <c r="S97" s="1">
        <f t="shared" si="11"/>
        <v>1.4431041985180351E-2</v>
      </c>
      <c r="T97" s="1">
        <f t="shared" si="12"/>
        <v>0</v>
      </c>
    </row>
    <row r="98" spans="4:20" x14ac:dyDescent="0.3">
      <c r="D98">
        <f>Incurred_loss!$C96</f>
        <v>2024</v>
      </c>
      <c r="E98" s="45">
        <f>Incurred_loss!S96</f>
        <v>1261295.7305952788</v>
      </c>
      <c r="F98" s="45">
        <f>Incurred_loss!T96</f>
        <v>1584292.8014247038</v>
      </c>
      <c r="G98" s="50">
        <f t="shared" ref="G98:G118" si="15">F98*F$120</f>
        <v>1684867.0779920374</v>
      </c>
      <c r="H98" s="50">
        <f t="shared" ref="H98:N113" si="16">G98*H$120</f>
        <v>1651452.0331543735</v>
      </c>
      <c r="I98" s="49">
        <f t="shared" si="16"/>
        <v>1668774.796646988</v>
      </c>
      <c r="J98" s="50">
        <f t="shared" si="16"/>
        <v>1635803.2944844433</v>
      </c>
      <c r="K98" s="50">
        <f t="shared" si="16"/>
        <v>1633294.0120533763</v>
      </c>
      <c r="L98" s="50">
        <f t="shared" si="16"/>
        <v>1637220.4597260563</v>
      </c>
      <c r="M98" s="50">
        <f t="shared" si="16"/>
        <v>1636501.8384279287</v>
      </c>
      <c r="N98" s="49">
        <f t="shared" si="16"/>
        <v>1636501.8384279287</v>
      </c>
      <c r="O98" s="48">
        <f t="shared" si="10"/>
        <v>1636501.8384279287</v>
      </c>
      <c r="P98" s="45" t="s">
        <v>40</v>
      </c>
      <c r="Q98" s="45">
        <f>MIN(Exposure!$C$23,MAX(0,BC_with_index!$O98-Exposure!$E$23))</f>
        <v>0</v>
      </c>
      <c r="R98" s="45">
        <f>MIN(Exposure!$C$24,MAX(0,BC_with_index!$O98-Exposure!$E$24))</f>
        <v>0</v>
      </c>
      <c r="S98" s="1" t="str">
        <f t="shared" si="11"/>
        <v>-</v>
      </c>
      <c r="T98" s="1" t="str">
        <f t="shared" si="12"/>
        <v>-</v>
      </c>
    </row>
    <row r="99" spans="4:20" x14ac:dyDescent="0.3">
      <c r="D99">
        <f>Incurred_loss!$C97</f>
        <v>2024</v>
      </c>
      <c r="E99" s="45">
        <f>Incurred_loss!S97</f>
        <v>828028.99482907006</v>
      </c>
      <c r="F99" s="45">
        <f>Incurred_loss!T97</f>
        <v>518103.46354107873</v>
      </c>
      <c r="G99" s="50">
        <f t="shared" si="15"/>
        <v>550993.77332839509</v>
      </c>
      <c r="H99" s="50">
        <f t="shared" si="16"/>
        <v>540066.21596702503</v>
      </c>
      <c r="I99" s="49">
        <f t="shared" si="16"/>
        <v>545731.19390264119</v>
      </c>
      <c r="J99" s="50">
        <f t="shared" si="16"/>
        <v>534948.68611544126</v>
      </c>
      <c r="K99" s="50">
        <f t="shared" si="16"/>
        <v>534128.08785395231</v>
      </c>
      <c r="L99" s="50">
        <f t="shared" si="16"/>
        <v>535412.13467711466</v>
      </c>
      <c r="M99" s="50">
        <f t="shared" si="16"/>
        <v>535177.12749712903</v>
      </c>
      <c r="N99" s="49">
        <f t="shared" si="16"/>
        <v>535177.12749712903</v>
      </c>
      <c r="O99" s="48">
        <f t="shared" si="10"/>
        <v>535177.12749712903</v>
      </c>
      <c r="P99" s="45" t="s">
        <v>40</v>
      </c>
      <c r="Q99" s="45">
        <f>MIN(Exposure!$C$23,MAX(0,BC_with_index!$O99-Exposure!$E$23))</f>
        <v>0</v>
      </c>
      <c r="R99" s="45">
        <f>MIN(Exposure!$C$24,MAX(0,BC_with_index!$O99-Exposure!$E$24))</f>
        <v>0</v>
      </c>
      <c r="S99" s="1" t="str">
        <f t="shared" si="11"/>
        <v>-</v>
      </c>
      <c r="T99" s="1" t="str">
        <f t="shared" si="12"/>
        <v>-</v>
      </c>
    </row>
    <row r="100" spans="4:20" x14ac:dyDescent="0.3">
      <c r="D100">
        <f>Incurred_loss!$C98</f>
        <v>2024</v>
      </c>
      <c r="E100" s="45">
        <f>Incurred_loss!S98</f>
        <v>289889.03875492443</v>
      </c>
      <c r="F100" s="45">
        <f>Incurred_loss!T98</f>
        <v>434161.60262752639</v>
      </c>
      <c r="G100" s="50">
        <f t="shared" si="15"/>
        <v>461723.10455337662</v>
      </c>
      <c r="H100" s="50">
        <f t="shared" si="16"/>
        <v>452566.00341301627</v>
      </c>
      <c r="I100" s="49">
        <f t="shared" si="16"/>
        <v>457313.155425023</v>
      </c>
      <c r="J100" s="50">
        <f t="shared" si="16"/>
        <v>448277.60328020836</v>
      </c>
      <c r="K100" s="50">
        <f t="shared" si="16"/>
        <v>447589.95634983195</v>
      </c>
      <c r="L100" s="50">
        <f t="shared" si="16"/>
        <v>448665.96503501368</v>
      </c>
      <c r="M100" s="50">
        <f t="shared" si="16"/>
        <v>448469.03314578411</v>
      </c>
      <c r="N100" s="49">
        <f t="shared" si="16"/>
        <v>448469.03314578411</v>
      </c>
      <c r="O100" s="48">
        <f t="shared" si="10"/>
        <v>448469.03314578411</v>
      </c>
      <c r="P100" s="45" t="s">
        <v>40</v>
      </c>
      <c r="Q100" s="45">
        <f>MIN(Exposure!$C$23,MAX(0,BC_with_index!$O100-Exposure!$E$23))</f>
        <v>0</v>
      </c>
      <c r="R100" s="45">
        <f>MIN(Exposure!$C$24,MAX(0,BC_with_index!$O100-Exposure!$E$24))</f>
        <v>0</v>
      </c>
      <c r="S100" s="1" t="str">
        <f t="shared" si="11"/>
        <v>-</v>
      </c>
      <c r="T100" s="1" t="str">
        <f t="shared" si="12"/>
        <v>-</v>
      </c>
    </row>
    <row r="101" spans="4:20" x14ac:dyDescent="0.3">
      <c r="D101">
        <f>Incurred_loss!$C99</f>
        <v>2024</v>
      </c>
      <c r="E101" s="45">
        <f>Incurred_loss!S99</f>
        <v>3302938.7030147668</v>
      </c>
      <c r="F101" s="45">
        <f>Incurred_loss!T99</f>
        <v>3750919.5271863015</v>
      </c>
      <c r="G101" s="50">
        <f t="shared" si="15"/>
        <v>3989035.876367338</v>
      </c>
      <c r="H101" s="50">
        <f t="shared" si="16"/>
        <v>3909923.5152743082</v>
      </c>
      <c r="I101" s="49">
        <f t="shared" si="16"/>
        <v>3950936.3203510256</v>
      </c>
      <c r="J101" s="50">
        <f t="shared" si="16"/>
        <v>3872874.0763069079</v>
      </c>
      <c r="K101" s="50">
        <f t="shared" si="16"/>
        <v>3866933.1817567018</v>
      </c>
      <c r="L101" s="50">
        <f t="shared" si="16"/>
        <v>3876229.3101205286</v>
      </c>
      <c r="M101" s="50">
        <f t="shared" si="16"/>
        <v>3874527.9259714782</v>
      </c>
      <c r="N101" s="49">
        <f t="shared" si="16"/>
        <v>3874527.9259714782</v>
      </c>
      <c r="O101" s="48">
        <f t="shared" si="10"/>
        <v>3874527.9259714782</v>
      </c>
      <c r="P101" s="45" t="s">
        <v>40</v>
      </c>
      <c r="Q101" s="45">
        <f>MIN(Exposure!$C$23,MAX(0,BC_with_index!$O101-Exposure!$E$23))</f>
        <v>0</v>
      </c>
      <c r="R101" s="45">
        <f>MIN(Exposure!$C$24,MAX(0,BC_with_index!$O101-Exposure!$E$24))</f>
        <v>0</v>
      </c>
      <c r="S101" s="1" t="str">
        <f t="shared" si="11"/>
        <v>-</v>
      </c>
      <c r="T101" s="1" t="str">
        <f t="shared" si="12"/>
        <v>-</v>
      </c>
    </row>
    <row r="102" spans="4:20" x14ac:dyDescent="0.3">
      <c r="D102">
        <f>Incurred_loss!$C100</f>
        <v>2024</v>
      </c>
      <c r="E102" s="45">
        <f>Incurred_loss!S100</f>
        <v>2326416.3294832455</v>
      </c>
      <c r="F102" s="45">
        <f>Incurred_loss!T100</f>
        <v>2245089.6415613107</v>
      </c>
      <c r="G102" s="50">
        <f t="shared" si="15"/>
        <v>2387612.7069478291</v>
      </c>
      <c r="H102" s="50">
        <f t="shared" si="16"/>
        <v>2340260.4934113645</v>
      </c>
      <c r="I102" s="49">
        <f t="shared" si="16"/>
        <v>2364808.453766617</v>
      </c>
      <c r="J102" s="50">
        <f t="shared" si="16"/>
        <v>2318084.7812830471</v>
      </c>
      <c r="K102" s="50">
        <f t="shared" si="16"/>
        <v>2314528.8956609736</v>
      </c>
      <c r="L102" s="50">
        <f t="shared" si="16"/>
        <v>2320093.0356925</v>
      </c>
      <c r="M102" s="50">
        <f t="shared" si="16"/>
        <v>2319074.6827521971</v>
      </c>
      <c r="N102" s="49">
        <f t="shared" si="16"/>
        <v>2319074.6827521971</v>
      </c>
      <c r="O102" s="48">
        <f t="shared" si="10"/>
        <v>2319074.6827521971</v>
      </c>
      <c r="P102" s="45" t="s">
        <v>40</v>
      </c>
      <c r="Q102" s="45">
        <f>MIN(Exposure!$C$23,MAX(0,BC_with_index!$O102-Exposure!$E$23))</f>
        <v>0</v>
      </c>
      <c r="R102" s="45">
        <f>MIN(Exposure!$C$24,MAX(0,BC_with_index!$O102-Exposure!$E$24))</f>
        <v>0</v>
      </c>
      <c r="S102" s="1" t="str">
        <f t="shared" si="11"/>
        <v>-</v>
      </c>
      <c r="T102" s="1" t="str">
        <f t="shared" si="12"/>
        <v>-</v>
      </c>
    </row>
    <row r="103" spans="4:20" x14ac:dyDescent="0.3">
      <c r="D103">
        <f>Incurred_loss!$C101</f>
        <v>2024</v>
      </c>
      <c r="E103" s="45">
        <f>Incurred_loss!S101</f>
        <v>289860.26306145638</v>
      </c>
      <c r="F103" s="45">
        <f>Incurred_loss!T101</f>
        <v>574485.12559554342</v>
      </c>
      <c r="G103" s="50">
        <f t="shared" si="15"/>
        <v>610954.66320469452</v>
      </c>
      <c r="H103" s="50">
        <f t="shared" si="16"/>
        <v>598837.93439479067</v>
      </c>
      <c r="I103" s="49">
        <f t="shared" si="16"/>
        <v>605119.39319569373</v>
      </c>
      <c r="J103" s="50">
        <f t="shared" si="16"/>
        <v>593163.49871464225</v>
      </c>
      <c r="K103" s="50">
        <f t="shared" si="16"/>
        <v>592253.60034783161</v>
      </c>
      <c r="L103" s="50">
        <f t="shared" si="16"/>
        <v>593677.38121861219</v>
      </c>
      <c r="M103" s="50">
        <f t="shared" si="16"/>
        <v>593416.79981198127</v>
      </c>
      <c r="N103" s="49">
        <f t="shared" si="16"/>
        <v>593416.79981198127</v>
      </c>
      <c r="O103" s="48">
        <f t="shared" si="10"/>
        <v>593416.79981198127</v>
      </c>
      <c r="P103" s="45" t="s">
        <v>40</v>
      </c>
      <c r="Q103" s="45">
        <f>MIN(Exposure!$C$23,MAX(0,BC_with_index!$O103-Exposure!$E$23))</f>
        <v>0</v>
      </c>
      <c r="R103" s="45">
        <f>MIN(Exposure!$C$24,MAX(0,BC_with_index!$O103-Exposure!$E$24))</f>
        <v>0</v>
      </c>
      <c r="S103" s="1" t="str">
        <f t="shared" si="11"/>
        <v>-</v>
      </c>
      <c r="T103" s="1" t="str">
        <f t="shared" si="12"/>
        <v>-</v>
      </c>
    </row>
    <row r="104" spans="4:20" x14ac:dyDescent="0.3">
      <c r="D104">
        <f>Incurred_loss!$C102</f>
        <v>2024</v>
      </c>
      <c r="E104" s="45">
        <f>Incurred_loss!S102</f>
        <v>1228089.1293082912</v>
      </c>
      <c r="F104" s="45">
        <f>Incurred_loss!T102</f>
        <v>4030588.2384416191</v>
      </c>
      <c r="G104" s="50">
        <f t="shared" si="15"/>
        <v>4286458.5522229671</v>
      </c>
      <c r="H104" s="50">
        <f t="shared" si="16"/>
        <v>4201447.5702955276</v>
      </c>
      <c r="I104" s="49">
        <f t="shared" si="16"/>
        <v>4245518.2917731795</v>
      </c>
      <c r="J104" s="50">
        <f t="shared" si="16"/>
        <v>4161635.7236641804</v>
      </c>
      <c r="K104" s="50">
        <f t="shared" si="16"/>
        <v>4155251.8757766611</v>
      </c>
      <c r="L104" s="50">
        <f t="shared" si="16"/>
        <v>4165241.1238462911</v>
      </c>
      <c r="M104" s="50">
        <f t="shared" si="16"/>
        <v>4163412.8844264555</v>
      </c>
      <c r="N104" s="49">
        <f t="shared" si="16"/>
        <v>4163412.8844264555</v>
      </c>
      <c r="O104" s="48">
        <f t="shared" si="10"/>
        <v>4163412.8844264555</v>
      </c>
      <c r="P104" s="45" t="s">
        <v>40</v>
      </c>
      <c r="Q104" s="45">
        <f>MIN(Exposure!$C$23,MAX(0,BC_with_index!$O104-Exposure!$E$23))</f>
        <v>163412.88442645548</v>
      </c>
      <c r="R104" s="45">
        <f>MIN(Exposure!$C$24,MAX(0,BC_with_index!$O104-Exposure!$E$24))</f>
        <v>0</v>
      </c>
      <c r="S104" s="1" t="str">
        <f t="shared" si="11"/>
        <v>-</v>
      </c>
      <c r="T104" s="1" t="str">
        <f t="shared" si="12"/>
        <v>-</v>
      </c>
    </row>
    <row r="105" spans="4:20" x14ac:dyDescent="0.3">
      <c r="D105">
        <f>Incurred_loss!$C103</f>
        <v>2024</v>
      </c>
      <c r="E105" s="45">
        <f>Incurred_loss!S103</f>
        <v>3780031.9044130957</v>
      </c>
      <c r="F105" s="45">
        <f>Incurred_loss!T103</f>
        <v>2059077.9126428589</v>
      </c>
      <c r="G105" s="50">
        <f t="shared" si="15"/>
        <v>2189792.5578609658</v>
      </c>
      <c r="H105" s="50">
        <f t="shared" si="16"/>
        <v>2146363.6028639278</v>
      </c>
      <c r="I105" s="49">
        <f t="shared" si="16"/>
        <v>2168877.6985295159</v>
      </c>
      <c r="J105" s="50">
        <f t="shared" si="16"/>
        <v>2126025.2082647746</v>
      </c>
      <c r="K105" s="50">
        <f t="shared" si="16"/>
        <v>2122763.9373521334</v>
      </c>
      <c r="L105" s="50">
        <f t="shared" si="16"/>
        <v>2127867.0733827287</v>
      </c>
      <c r="M105" s="50">
        <f t="shared" si="16"/>
        <v>2126933.093728716</v>
      </c>
      <c r="N105" s="49">
        <f t="shared" si="16"/>
        <v>2126933.093728716</v>
      </c>
      <c r="O105" s="48">
        <f t="shared" si="10"/>
        <v>2126933.093728716</v>
      </c>
      <c r="P105" s="45" t="s">
        <v>40</v>
      </c>
      <c r="Q105" s="45">
        <f>MIN(Exposure!$C$23,MAX(0,BC_with_index!$O105-Exposure!$E$23))</f>
        <v>0</v>
      </c>
      <c r="R105" s="45">
        <f>MIN(Exposure!$C$24,MAX(0,BC_with_index!$O105-Exposure!$E$24))</f>
        <v>0</v>
      </c>
      <c r="S105" s="1" t="str">
        <f t="shared" si="11"/>
        <v>-</v>
      </c>
      <c r="T105" s="1" t="str">
        <f t="shared" si="12"/>
        <v>-</v>
      </c>
    </row>
    <row r="106" spans="4:20" x14ac:dyDescent="0.3">
      <c r="D106">
        <f>Incurred_loss!$C104</f>
        <v>2024</v>
      </c>
      <c r="E106" s="45">
        <f>Incurred_loss!S104</f>
        <v>6600500.2819850361</v>
      </c>
      <c r="F106" s="45">
        <f>Incurred_loss!T104</f>
        <v>3426932.988885215</v>
      </c>
      <c r="G106" s="50">
        <f t="shared" si="15"/>
        <v>3644481.983548271</v>
      </c>
      <c r="H106" s="50">
        <f t="shared" si="16"/>
        <v>3572202.9708706317</v>
      </c>
      <c r="I106" s="49">
        <f t="shared" si="16"/>
        <v>3609673.2854602789</v>
      </c>
      <c r="J106" s="50">
        <f t="shared" si="16"/>
        <v>3538353.6857295251</v>
      </c>
      <c r="K106" s="50">
        <f t="shared" si="16"/>
        <v>3532925.9373147618</v>
      </c>
      <c r="L106" s="50">
        <f t="shared" si="16"/>
        <v>3541419.110449512</v>
      </c>
      <c r="M106" s="50">
        <f t="shared" si="16"/>
        <v>3539864.6837483025</v>
      </c>
      <c r="N106" s="49">
        <f t="shared" si="16"/>
        <v>3539864.6837483025</v>
      </c>
      <c r="O106" s="48">
        <f t="shared" si="10"/>
        <v>3539864.6837483025</v>
      </c>
      <c r="P106" s="45" t="s">
        <v>40</v>
      </c>
      <c r="Q106" s="45">
        <f>MIN(Exposure!$C$23,MAX(0,BC_with_index!$O106-Exposure!$E$23))</f>
        <v>0</v>
      </c>
      <c r="R106" s="45">
        <f>MIN(Exposure!$C$24,MAX(0,BC_with_index!$O106-Exposure!$E$24))</f>
        <v>0</v>
      </c>
      <c r="S106" s="1" t="str">
        <f t="shared" si="11"/>
        <v>-</v>
      </c>
      <c r="T106" s="1" t="str">
        <f t="shared" si="12"/>
        <v>-</v>
      </c>
    </row>
    <row r="107" spans="4:20" x14ac:dyDescent="0.3">
      <c r="D107">
        <f>Incurred_loss!$C105</f>
        <v>2024</v>
      </c>
      <c r="E107" s="45">
        <f>Incurred_loss!S105</f>
        <v>6534169.6707505593</v>
      </c>
      <c r="F107" s="45">
        <f>Incurred_loss!T105</f>
        <v>6767968.553027695</v>
      </c>
      <c r="G107" s="50">
        <f t="shared" si="15"/>
        <v>7197613.5911412984</v>
      </c>
      <c r="H107" s="50">
        <f t="shared" si="16"/>
        <v>7054867.2676990982</v>
      </c>
      <c r="I107" s="49">
        <f t="shared" si="16"/>
        <v>7128868.6886890316</v>
      </c>
      <c r="J107" s="50">
        <f t="shared" si="16"/>
        <v>6988017.1430773139</v>
      </c>
      <c r="K107" s="50">
        <f t="shared" si="16"/>
        <v>6977297.6948990133</v>
      </c>
      <c r="L107" s="50">
        <f t="shared" si="16"/>
        <v>6994071.1564396517</v>
      </c>
      <c r="M107" s="50">
        <f t="shared" si="16"/>
        <v>6991001.2653545635</v>
      </c>
      <c r="N107" s="49">
        <f t="shared" si="16"/>
        <v>6991001.2653545635</v>
      </c>
      <c r="O107" s="48">
        <f t="shared" si="10"/>
        <v>6991001.2653545635</v>
      </c>
      <c r="P107" s="45" t="s">
        <v>40</v>
      </c>
      <c r="Q107" s="45">
        <f>MIN(Exposure!$C$23,MAX(0,BC_with_index!$O107-Exposure!$E$23))</f>
        <v>2991001.2653545635</v>
      </c>
      <c r="R107" s="45">
        <f>MIN(Exposure!$C$24,MAX(0,BC_with_index!$O107-Exposure!$E$24))</f>
        <v>0</v>
      </c>
      <c r="S107" s="1" t="str">
        <f t="shared" si="11"/>
        <v>-</v>
      </c>
      <c r="T107" s="1" t="str">
        <f t="shared" si="12"/>
        <v>-</v>
      </c>
    </row>
    <row r="108" spans="4:20" x14ac:dyDescent="0.3">
      <c r="D108">
        <f>Incurred_loss!$C106</f>
        <v>2024</v>
      </c>
      <c r="E108" s="45">
        <f>Incurred_loss!S106</f>
        <v>2021652.4908694332</v>
      </c>
      <c r="F108" s="45">
        <f>Incurred_loss!T106</f>
        <v>1018526.8660243391</v>
      </c>
      <c r="G108" s="50">
        <f t="shared" si="15"/>
        <v>1083185.1177204098</v>
      </c>
      <c r="H108" s="50">
        <f t="shared" si="16"/>
        <v>1061702.901260193</v>
      </c>
      <c r="I108" s="49">
        <f t="shared" si="16"/>
        <v>1072839.5421608819</v>
      </c>
      <c r="J108" s="50">
        <f t="shared" si="16"/>
        <v>1051642.4750937768</v>
      </c>
      <c r="K108" s="50">
        <f t="shared" si="16"/>
        <v>1050029.2811386024</v>
      </c>
      <c r="L108" s="50">
        <f t="shared" si="16"/>
        <v>1052553.5572314225</v>
      </c>
      <c r="M108" s="50">
        <f t="shared" si="16"/>
        <v>1052091.5623918436</v>
      </c>
      <c r="N108" s="49">
        <f t="shared" si="16"/>
        <v>1052091.5623918436</v>
      </c>
      <c r="O108" s="48">
        <f t="shared" si="10"/>
        <v>1052091.5623918436</v>
      </c>
      <c r="P108" s="45" t="s">
        <v>40</v>
      </c>
      <c r="Q108" s="45">
        <f>MIN(Exposure!$C$23,MAX(0,BC_with_index!$O108-Exposure!$E$23))</f>
        <v>0</v>
      </c>
      <c r="R108" s="45">
        <f>MIN(Exposure!$C$24,MAX(0,BC_with_index!$O108-Exposure!$E$24))</f>
        <v>0</v>
      </c>
      <c r="S108" s="1" t="str">
        <f t="shared" si="11"/>
        <v>-</v>
      </c>
      <c r="T108" s="1" t="str">
        <f t="shared" si="12"/>
        <v>-</v>
      </c>
    </row>
    <row r="109" spans="4:20" x14ac:dyDescent="0.3">
      <c r="D109">
        <f>Incurred_loss!$C107</f>
        <v>2024</v>
      </c>
      <c r="E109" s="45">
        <f>Incurred_loss!S107</f>
        <v>3688411.3220306612</v>
      </c>
      <c r="F109" s="45">
        <f>Incurred_loss!T107</f>
        <v>2260921.582751655</v>
      </c>
      <c r="G109" s="50">
        <f t="shared" si="15"/>
        <v>2404449.6934368978</v>
      </c>
      <c r="H109" s="50">
        <f t="shared" si="16"/>
        <v>2356763.5611801902</v>
      </c>
      <c r="I109" s="49">
        <f t="shared" si="16"/>
        <v>2381484.6290397011</v>
      </c>
      <c r="J109" s="50">
        <f t="shared" si="16"/>
        <v>2334431.4701867392</v>
      </c>
      <c r="K109" s="50">
        <f t="shared" si="16"/>
        <v>2330850.5091418382</v>
      </c>
      <c r="L109" s="50">
        <f t="shared" si="16"/>
        <v>2336453.8864207882</v>
      </c>
      <c r="M109" s="50">
        <f t="shared" si="16"/>
        <v>2335428.352251031</v>
      </c>
      <c r="N109" s="49">
        <f t="shared" si="16"/>
        <v>2335428.352251031</v>
      </c>
      <c r="O109" s="48">
        <f t="shared" si="10"/>
        <v>2335428.352251031</v>
      </c>
      <c r="P109" s="45" t="s">
        <v>40</v>
      </c>
      <c r="Q109" s="45">
        <f>MIN(Exposure!$C$23,MAX(0,BC_with_index!$O109-Exposure!$E$23))</f>
        <v>0</v>
      </c>
      <c r="R109" s="45">
        <f>MIN(Exposure!$C$24,MAX(0,BC_with_index!$O109-Exposure!$E$24))</f>
        <v>0</v>
      </c>
      <c r="S109" s="1" t="str">
        <f t="shared" si="11"/>
        <v>-</v>
      </c>
      <c r="T109" s="1" t="str">
        <f t="shared" si="12"/>
        <v>-</v>
      </c>
    </row>
    <row r="110" spans="4:20" x14ac:dyDescent="0.3">
      <c r="D110">
        <f>Incurred_loss!$C108</f>
        <v>2025</v>
      </c>
      <c r="E110" s="45">
        <f>Incurred_loss!S108</f>
        <v>487582.09961415012</v>
      </c>
      <c r="F110" s="50">
        <f>E110*E$120</f>
        <v>488924.54501794511</v>
      </c>
      <c r="G110" s="50">
        <f t="shared" si="15"/>
        <v>519962.51499860315</v>
      </c>
      <c r="H110" s="50">
        <f t="shared" si="16"/>
        <v>509650.38356726838</v>
      </c>
      <c r="I110" s="49">
        <f t="shared" si="16"/>
        <v>514996.31725545001</v>
      </c>
      <c r="J110" s="50">
        <f t="shared" si="16"/>
        <v>504821.06639343535</v>
      </c>
      <c r="K110" s="50">
        <f t="shared" si="16"/>
        <v>504046.68316716066</v>
      </c>
      <c r="L110" s="50">
        <f t="shared" si="16"/>
        <v>505258.41413013387</v>
      </c>
      <c r="M110" s="50">
        <f t="shared" si="16"/>
        <v>505036.64225127961</v>
      </c>
      <c r="N110" s="49">
        <f t="shared" si="16"/>
        <v>505036.64225127961</v>
      </c>
      <c r="O110" s="48">
        <f t="shared" si="10"/>
        <v>505036.64225127961</v>
      </c>
      <c r="P110" s="45">
        <f>Exposure!$I$16</f>
        <v>222957041.91566929</v>
      </c>
      <c r="Q110" s="45">
        <f>MIN(Exposure!$C$23,MAX(0,BC_with_index!$O110-Exposure!$E$23))</f>
        <v>0</v>
      </c>
      <c r="R110" s="45">
        <f>MIN(Exposure!$C$24,MAX(0,BC_with_index!$O110-Exposure!$E$24))</f>
        <v>0</v>
      </c>
      <c r="S110" s="1">
        <f t="shared" si="11"/>
        <v>3.1734432409841432E-2</v>
      </c>
      <c r="T110" s="1">
        <f t="shared" si="12"/>
        <v>6.6253788863948671E-2</v>
      </c>
    </row>
    <row r="111" spans="4:20" x14ac:dyDescent="0.3">
      <c r="D111">
        <f>Incurred_loss!$C109</f>
        <v>2025</v>
      </c>
      <c r="E111" s="45">
        <f>Incurred_loss!S109</f>
        <v>2694372.2674893877</v>
      </c>
      <c r="F111" s="50">
        <f t="shared" ref="F111:F118" si="17">E111*E$120</f>
        <v>2701790.6031285883</v>
      </c>
      <c r="G111" s="50">
        <f t="shared" si="15"/>
        <v>2873306.0168839996</v>
      </c>
      <c r="H111" s="50">
        <f t="shared" si="16"/>
        <v>2816321.3142682114</v>
      </c>
      <c r="I111" s="49">
        <f t="shared" si="16"/>
        <v>2845862.8734941809</v>
      </c>
      <c r="J111" s="50">
        <f t="shared" si="16"/>
        <v>2789634.5711035565</v>
      </c>
      <c r="K111" s="50">
        <f t="shared" si="16"/>
        <v>2785355.3395835017</v>
      </c>
      <c r="L111" s="50">
        <f t="shared" si="16"/>
        <v>2792051.3489424936</v>
      </c>
      <c r="M111" s="50">
        <f t="shared" si="16"/>
        <v>2790825.8404577342</v>
      </c>
      <c r="N111" s="49">
        <f t="shared" si="16"/>
        <v>2790825.8404577342</v>
      </c>
      <c r="O111" s="48">
        <f t="shared" si="10"/>
        <v>2790825.8404577342</v>
      </c>
      <c r="P111" s="45" t="s">
        <v>40</v>
      </c>
      <c r="Q111" s="45">
        <f>MIN(Exposure!$C$23,MAX(0,BC_with_index!$O111-Exposure!$E$23))</f>
        <v>0</v>
      </c>
      <c r="R111" s="45">
        <f>MIN(Exposure!$C$24,MAX(0,BC_with_index!$O111-Exposure!$E$24))</f>
        <v>0</v>
      </c>
      <c r="S111" s="1" t="str">
        <f t="shared" si="11"/>
        <v>-</v>
      </c>
      <c r="T111" s="1" t="str">
        <f t="shared" si="12"/>
        <v>-</v>
      </c>
    </row>
    <row r="112" spans="4:20" x14ac:dyDescent="0.3">
      <c r="D112">
        <f>Incurred_loss!$C110</f>
        <v>2025</v>
      </c>
      <c r="E112" s="45">
        <f>Incurred_loss!S110</f>
        <v>23915613.781648602</v>
      </c>
      <c r="F112" s="50">
        <f t="shared" si="17"/>
        <v>23981459.935200009</v>
      </c>
      <c r="G112" s="50">
        <f t="shared" si="15"/>
        <v>25503854.016548026</v>
      </c>
      <c r="H112" s="50">
        <f t="shared" si="16"/>
        <v>24998050.065228719</v>
      </c>
      <c r="I112" s="49">
        <f t="shared" si="16"/>
        <v>25260264.952711325</v>
      </c>
      <c r="J112" s="50">
        <f t="shared" si="16"/>
        <v>24761174.912408568</v>
      </c>
      <c r="K112" s="50">
        <f t="shared" si="16"/>
        <v>24723191.872889217</v>
      </c>
      <c r="L112" s="50">
        <f t="shared" si="16"/>
        <v>24782626.560382184</v>
      </c>
      <c r="M112" s="50">
        <f t="shared" si="16"/>
        <v>24771748.780811306</v>
      </c>
      <c r="N112" s="49">
        <f t="shared" si="16"/>
        <v>24771748.780811306</v>
      </c>
      <c r="O112" s="48">
        <f t="shared" si="10"/>
        <v>24771748.780811306</v>
      </c>
      <c r="P112" s="45" t="s">
        <v>40</v>
      </c>
      <c r="Q112" s="45">
        <f>MIN(Exposure!$C$23,MAX(0,BC_with_index!$O112-Exposure!$E$23))</f>
        <v>6000000</v>
      </c>
      <c r="R112" s="45">
        <f>MIN(Exposure!$C$24,MAX(0,BC_with_index!$O112-Exposure!$E$24))</f>
        <v>14771748.780811306</v>
      </c>
      <c r="S112" s="1" t="str">
        <f t="shared" si="11"/>
        <v>-</v>
      </c>
      <c r="T112" s="1" t="str">
        <f t="shared" si="12"/>
        <v>-</v>
      </c>
    </row>
    <row r="113" spans="4:23" x14ac:dyDescent="0.3">
      <c r="D113">
        <f>Incurred_loss!$C111</f>
        <v>2025</v>
      </c>
      <c r="E113" s="45">
        <f>Incurred_loss!S111</f>
        <v>570181.36752894882</v>
      </c>
      <c r="F113" s="50">
        <f>E113*E$120</f>
        <v>571751.23105916148</v>
      </c>
      <c r="G113" s="50">
        <f t="shared" si="15"/>
        <v>608047.21522859437</v>
      </c>
      <c r="H113" s="50">
        <f t="shared" si="16"/>
        <v>595988.14824006113</v>
      </c>
      <c r="I113" s="49">
        <f t="shared" si="16"/>
        <v>602239.71445518394</v>
      </c>
      <c r="J113" s="50">
        <f t="shared" si="16"/>
        <v>590340.71640737855</v>
      </c>
      <c r="K113" s="50">
        <f t="shared" si="16"/>
        <v>589435.14811990829</v>
      </c>
      <c r="L113" s="50">
        <f t="shared" si="16"/>
        <v>590852.15341623069</v>
      </c>
      <c r="M113" s="50">
        <f t="shared" si="16"/>
        <v>590592.81208014663</v>
      </c>
      <c r="N113" s="49">
        <f t="shared" si="16"/>
        <v>590592.81208014663</v>
      </c>
      <c r="O113" s="48">
        <f t="shared" si="10"/>
        <v>590592.81208014663</v>
      </c>
      <c r="P113" s="45" t="s">
        <v>40</v>
      </c>
      <c r="Q113" s="45">
        <f>MIN(Exposure!$C$23,MAX(0,BC_with_index!$O113-Exposure!$E$23))</f>
        <v>0</v>
      </c>
      <c r="R113" s="45">
        <f>MIN(Exposure!$C$24,MAX(0,BC_with_index!$O113-Exposure!$E$24))</f>
        <v>0</v>
      </c>
      <c r="S113" s="1" t="str">
        <f t="shared" si="11"/>
        <v>-</v>
      </c>
      <c r="T113" s="1" t="str">
        <f t="shared" si="12"/>
        <v>-</v>
      </c>
    </row>
    <row r="114" spans="4:23" x14ac:dyDescent="0.3">
      <c r="D114">
        <f>Incurred_loss!$C112</f>
        <v>2025</v>
      </c>
      <c r="E114" s="45">
        <f>Incurred_loss!S112</f>
        <v>1454609.2832226222</v>
      </c>
      <c r="F114" s="50">
        <f t="shared" si="17"/>
        <v>1458614.2160290666</v>
      </c>
      <c r="G114" s="50">
        <f t="shared" si="15"/>
        <v>1551210.1486975923</v>
      </c>
      <c r="H114" s="50">
        <f t="shared" ref="H114:N118" si="18">G114*H$120</f>
        <v>1520445.8484460004</v>
      </c>
      <c r="I114" s="49">
        <f t="shared" si="18"/>
        <v>1536394.4338769983</v>
      </c>
      <c r="J114" s="50">
        <f t="shared" si="18"/>
        <v>1506038.491001494</v>
      </c>
      <c r="K114" s="50">
        <f t="shared" si="18"/>
        <v>1503728.2646199218</v>
      </c>
      <c r="L114" s="50">
        <f t="shared" si="18"/>
        <v>1507343.2355323157</v>
      </c>
      <c r="M114" s="50">
        <f t="shared" si="18"/>
        <v>1506681.6209365493</v>
      </c>
      <c r="N114" s="49">
        <f t="shared" si="18"/>
        <v>1506681.6209365493</v>
      </c>
      <c r="O114" s="48">
        <f t="shared" si="10"/>
        <v>1506681.6209365493</v>
      </c>
      <c r="P114" s="45" t="s">
        <v>40</v>
      </c>
      <c r="Q114" s="45">
        <f>MIN(Exposure!$C$23,MAX(0,BC_with_index!$O114-Exposure!$E$23))</f>
        <v>0</v>
      </c>
      <c r="R114" s="45">
        <f>MIN(Exposure!$C$24,MAX(0,BC_with_index!$O114-Exposure!$E$24))</f>
        <v>0</v>
      </c>
      <c r="S114" s="1" t="str">
        <f t="shared" si="11"/>
        <v>-</v>
      </c>
      <c r="T114" s="1" t="str">
        <f t="shared" si="12"/>
        <v>-</v>
      </c>
    </row>
    <row r="115" spans="4:23" x14ac:dyDescent="0.3">
      <c r="D115">
        <f>Incurred_loss!$C113</f>
        <v>2025</v>
      </c>
      <c r="E115" s="45">
        <f>Incurred_loss!S113</f>
        <v>1479291.4671336822</v>
      </c>
      <c r="F115" s="50">
        <f t="shared" si="17"/>
        <v>1483364.3566685899</v>
      </c>
      <c r="G115" s="50">
        <f t="shared" si="15"/>
        <v>1577531.4809044327</v>
      </c>
      <c r="H115" s="50">
        <f t="shared" si="18"/>
        <v>1546245.1641048489</v>
      </c>
      <c r="I115" s="49">
        <f t="shared" si="18"/>
        <v>1562464.3692295812</v>
      </c>
      <c r="J115" s="50">
        <f t="shared" si="18"/>
        <v>1531593.3389189227</v>
      </c>
      <c r="K115" s="50">
        <f t="shared" si="18"/>
        <v>1529243.9120227629</v>
      </c>
      <c r="L115" s="50">
        <f t="shared" si="18"/>
        <v>1532920.2226900463</v>
      </c>
      <c r="M115" s="50">
        <f t="shared" si="18"/>
        <v>1532247.3816478937</v>
      </c>
      <c r="N115" s="49">
        <f t="shared" si="18"/>
        <v>1532247.3816478937</v>
      </c>
      <c r="O115" s="48">
        <f t="shared" si="10"/>
        <v>1532247.3816478937</v>
      </c>
      <c r="P115" s="45" t="s">
        <v>40</v>
      </c>
      <c r="Q115" s="45">
        <f>MIN(Exposure!$C$23,MAX(0,BC_with_index!$O115-Exposure!$E$23))</f>
        <v>0</v>
      </c>
      <c r="R115" s="45">
        <f>MIN(Exposure!$C$24,MAX(0,BC_with_index!$O115-Exposure!$E$24))</f>
        <v>0</v>
      </c>
      <c r="S115" s="1" t="str">
        <f t="shared" si="11"/>
        <v>-</v>
      </c>
      <c r="T115" s="1" t="str">
        <f t="shared" si="12"/>
        <v>-</v>
      </c>
    </row>
    <row r="116" spans="4:23" x14ac:dyDescent="0.3">
      <c r="D116">
        <f>Incurred_loss!$C114</f>
        <v>2025</v>
      </c>
      <c r="E116" s="45">
        <f>Incurred_loss!S114</f>
        <v>603665.86388840724</v>
      </c>
      <c r="F116" s="50">
        <f t="shared" si="17"/>
        <v>605327.91929414554</v>
      </c>
      <c r="G116" s="50">
        <f t="shared" si="15"/>
        <v>643755.42304488539</v>
      </c>
      <c r="H116" s="50">
        <f t="shared" si="18"/>
        <v>630988.17475182109</v>
      </c>
      <c r="I116" s="49">
        <f t="shared" si="18"/>
        <v>637606.87072265381</v>
      </c>
      <c r="J116" s="50">
        <f t="shared" si="18"/>
        <v>625009.09158605256</v>
      </c>
      <c r="K116" s="50">
        <f t="shared" si="18"/>
        <v>624050.3428550394</v>
      </c>
      <c r="L116" s="50">
        <f t="shared" si="18"/>
        <v>625550.56326744251</v>
      </c>
      <c r="M116" s="50">
        <f t="shared" si="18"/>
        <v>625275.99184051633</v>
      </c>
      <c r="N116" s="49">
        <f t="shared" si="18"/>
        <v>625275.99184051633</v>
      </c>
      <c r="O116" s="48">
        <f t="shared" si="10"/>
        <v>625275.99184051633</v>
      </c>
      <c r="P116" s="45" t="s">
        <v>40</v>
      </c>
      <c r="Q116" s="45">
        <f>MIN(Exposure!$C$23,MAX(0,BC_with_index!$O116-Exposure!$E$23))</f>
        <v>0</v>
      </c>
      <c r="R116" s="45">
        <f>MIN(Exposure!$C$24,MAX(0,BC_with_index!$O116-Exposure!$E$24))</f>
        <v>0</v>
      </c>
      <c r="S116" s="1" t="str">
        <f t="shared" si="11"/>
        <v>-</v>
      </c>
      <c r="T116" s="1" t="str">
        <f t="shared" si="12"/>
        <v>-</v>
      </c>
    </row>
    <row r="117" spans="4:23" x14ac:dyDescent="0.3">
      <c r="D117">
        <f>Incurred_loss!$C115</f>
        <v>2025</v>
      </c>
      <c r="E117" s="45">
        <f>Incurred_loss!S115</f>
        <v>4900004.0420230879</v>
      </c>
      <c r="F117" s="50">
        <f t="shared" si="17"/>
        <v>4913495.0785274971</v>
      </c>
      <c r="G117" s="50">
        <f t="shared" si="15"/>
        <v>5225414.1963166231</v>
      </c>
      <c r="H117" s="50">
        <f t="shared" si="18"/>
        <v>5121781.4219891811</v>
      </c>
      <c r="I117" s="49">
        <f>H117*I$120</f>
        <v>5175505.9059298486</v>
      </c>
      <c r="J117" s="50">
        <f t="shared" si="18"/>
        <v>5073248.7262837403</v>
      </c>
      <c r="K117" s="50">
        <f t="shared" si="18"/>
        <v>5065466.4862428866</v>
      </c>
      <c r="L117" s="50">
        <f t="shared" si="18"/>
        <v>5077643.895177939</v>
      </c>
      <c r="M117" s="50">
        <f t="shared" si="18"/>
        <v>5075415.1769709894</v>
      </c>
      <c r="N117" s="49">
        <f t="shared" si="18"/>
        <v>5075415.1769709894</v>
      </c>
      <c r="O117" s="48">
        <f t="shared" si="10"/>
        <v>5075415.1769709894</v>
      </c>
      <c r="P117" s="45" t="s">
        <v>40</v>
      </c>
      <c r="Q117" s="45">
        <f>MIN(Exposure!$C$23,MAX(0,BC_with_index!$O117-Exposure!$E$23))</f>
        <v>1075415.1769709894</v>
      </c>
      <c r="R117" s="45">
        <f>MIN(Exposure!$C$24,MAX(0,BC_with_index!$O117-Exposure!$E$24))</f>
        <v>0</v>
      </c>
      <c r="S117" s="1" t="str">
        <f t="shared" si="11"/>
        <v>-</v>
      </c>
      <c r="T117" s="1" t="str">
        <f t="shared" si="12"/>
        <v>-</v>
      </c>
    </row>
    <row r="118" spans="4:23" x14ac:dyDescent="0.3">
      <c r="D118">
        <f>Incurred_loss!$C116</f>
        <v>2025</v>
      </c>
      <c r="E118" s="45">
        <f>Incurred_loss!S116</f>
        <v>604928.77680031373</v>
      </c>
      <c r="F118" s="50">
        <f t="shared" si="17"/>
        <v>606594.30934689729</v>
      </c>
      <c r="G118" s="50">
        <f t="shared" si="15"/>
        <v>645102.20623159129</v>
      </c>
      <c r="H118" s="50">
        <f t="shared" si="18"/>
        <v>632308.24792611215</v>
      </c>
      <c r="I118" s="49">
        <f t="shared" si="18"/>
        <v>638940.79069051321</v>
      </c>
      <c r="J118" s="50">
        <f t="shared" si="18"/>
        <v>626316.65608330374</v>
      </c>
      <c r="K118" s="50">
        <f t="shared" si="18"/>
        <v>625355.90158018377</v>
      </c>
      <c r="L118" s="50">
        <f t="shared" si="18"/>
        <v>626859.26056285051</v>
      </c>
      <c r="M118" s="50">
        <f t="shared" si="18"/>
        <v>626584.1147125205</v>
      </c>
      <c r="N118" s="49">
        <f t="shared" si="18"/>
        <v>626584.1147125205</v>
      </c>
      <c r="O118" s="48">
        <f t="shared" si="10"/>
        <v>626584.1147125205</v>
      </c>
      <c r="P118" s="45" t="s">
        <v>40</v>
      </c>
      <c r="Q118" s="45">
        <f>MIN(Exposure!$C$23,MAX(0,BC_with_index!$O118-Exposure!$E$23))</f>
        <v>0</v>
      </c>
      <c r="R118" s="45">
        <f>MIN(Exposure!$C$24,MAX(0,BC_with_index!$O118-Exposure!$E$24))</f>
        <v>0</v>
      </c>
      <c r="S118" s="1" t="str">
        <f t="shared" si="11"/>
        <v>-</v>
      </c>
      <c r="T118" s="1" t="str">
        <f t="shared" si="12"/>
        <v>-</v>
      </c>
    </row>
    <row r="119" spans="4:23" ht="15" thickBot="1" x14ac:dyDescent="0.35">
      <c r="O119" t="s">
        <v>42</v>
      </c>
      <c r="P119" s="45">
        <f>SUMIF(P5:P118,"&gt;0")</f>
        <v>2060252899.5035505</v>
      </c>
      <c r="Q119" s="45">
        <f>SUMIF(Q5:Q118,"&gt;0")</f>
        <v>30942160.390090145</v>
      </c>
      <c r="R119" s="45">
        <f>SUMIF(R5:R118,"&gt;0")</f>
        <v>22986711.119442105</v>
      </c>
    </row>
    <row r="120" spans="4:23" ht="15" thickBot="1" x14ac:dyDescent="0.35">
      <c r="D120" s="33" t="s">
        <v>32</v>
      </c>
      <c r="E120" s="30">
        <f>SUMIF(F5:F109,"&gt;"&amp;$E$2)/SUMIF(E5:E109,"&gt;"&amp;$E$2)</f>
        <v>1.0027532704848217</v>
      </c>
      <c r="F120" s="30">
        <f>SUMIF(G5:G96,"&gt;"&amp;$E$2)/SUMIF(F5:F96,"&gt;"&amp;$E$2)</f>
        <v>1.0634821268372174</v>
      </c>
      <c r="G120" s="30">
        <f>SUMIF(H5:H80,"&gt;"&amp;$E$2)/SUMIF(G5:G80,"&gt;"&amp;$E$2)</f>
        <v>0.96961418309117453</v>
      </c>
      <c r="H120" s="30">
        <f>SUMIF(I5:I73,"&gt;"&amp;$E$2)/SUMIF(H5:H73,"&gt;"&amp;$E$2)</f>
        <v>0.98016754836382303</v>
      </c>
      <c r="I120" s="30">
        <f>SUMIF(J5:J64,"&gt;"&amp;$E$2)/SUMIF(I5:I64,"&gt;"&amp;$E$2)</f>
        <v>1.0104894136462002</v>
      </c>
      <c r="J120" s="30">
        <f>SUMIF(K5:K58,"&gt;"&amp;$E$2)/SUMIF(J5:J58,"&gt;"&amp;$E$2)</f>
        <v>0.98024209004786433</v>
      </c>
      <c r="K120" s="30">
        <f>SUMIF(L5:L43,"&gt;"&amp;$E$2)/SUMIF(K5:K43,"&gt;"&amp;$E$2)</f>
        <v>0.99846602434441367</v>
      </c>
      <c r="L120" s="30">
        <f>SUMIF(M5:M32,"&gt;"&amp;$E$2)/SUMIF(L5:L32,"&gt;"&amp;$E$2)</f>
        <v>1.0024040054293371</v>
      </c>
      <c r="M120" s="30">
        <f>SUMIF(N5:N19,"&gt;"&amp;$E$2)/SUMIF(M5:M19,"&gt;"&amp;$E$2)</f>
        <v>0.99956107236880742</v>
      </c>
      <c r="N120">
        <v>1</v>
      </c>
      <c r="P120" s="51" t="s">
        <v>43</v>
      </c>
      <c r="Q120" s="1">
        <f>Q119/P119</f>
        <v>1.5018622421328048E-2</v>
      </c>
      <c r="R120" s="1">
        <f>R119/P119</f>
        <v>1.1157227894197409E-2</v>
      </c>
    </row>
    <row r="121" spans="4:23" ht="15" thickBot="1" x14ac:dyDescent="0.35">
      <c r="Q121" s="51" t="s">
        <v>36</v>
      </c>
      <c r="R121" s="51" t="s">
        <v>38</v>
      </c>
    </row>
    <row r="122" spans="4:23" ht="15" thickBot="1" x14ac:dyDescent="0.35">
      <c r="P122" s="51" t="s">
        <v>44</v>
      </c>
      <c r="Q122" s="45">
        <f>Exposure!$C$18*Q$120</f>
        <v>3449632.5590946199</v>
      </c>
      <c r="R122" s="45">
        <f>Exposure!$C$18*R$120</f>
        <v>2562707.5195927783</v>
      </c>
    </row>
    <row r="125" spans="4:23" ht="15" thickBot="1" x14ac:dyDescent="0.35"/>
    <row r="126" spans="4:23" ht="15" thickBot="1" x14ac:dyDescent="0.35">
      <c r="P126" t="s">
        <v>79</v>
      </c>
      <c r="Q126" s="34" t="s">
        <v>136</v>
      </c>
      <c r="T126" s="73" t="s">
        <v>79</v>
      </c>
      <c r="U126" s="74">
        <v>6000000</v>
      </c>
      <c r="V126" s="74" t="s">
        <v>80</v>
      </c>
      <c r="W126" s="75">
        <v>4000000</v>
      </c>
    </row>
    <row r="127" spans="4:23" ht="15" thickBot="1" x14ac:dyDescent="0.35">
      <c r="P127" t="s">
        <v>137</v>
      </c>
      <c r="Q127" s="34" t="s">
        <v>138</v>
      </c>
      <c r="T127" s="73" t="s">
        <v>137</v>
      </c>
      <c r="U127" s="74">
        <v>20000000</v>
      </c>
      <c r="V127" s="74" t="s">
        <v>80</v>
      </c>
      <c r="W127" s="75">
        <v>10000000</v>
      </c>
    </row>
    <row r="131" spans="16:18" x14ac:dyDescent="0.3">
      <c r="Q131" t="s">
        <v>141</v>
      </c>
      <c r="R131" t="s">
        <v>142</v>
      </c>
    </row>
    <row r="132" spans="16:18" x14ac:dyDescent="0.3">
      <c r="P132" t="s">
        <v>140</v>
      </c>
      <c r="Q132" s="84">
        <f>Q120*Exposure!$I$18</f>
        <v>3449632.5590946199</v>
      </c>
      <c r="R132" s="84">
        <f>R120*Exposure!$I$18</f>
        <v>2562707.5195927783</v>
      </c>
    </row>
  </sheetData>
  <mergeCells count="1">
    <mergeCell ref="B3:C3"/>
  </mergeCells>
  <phoneticPr fontId="14" type="noConversion"/>
  <conditionalFormatting sqref="B11">
    <cfRule type="colorScale" priority="3">
      <colorScale>
        <cfvo type="min"/>
        <cfvo type="max"/>
        <color theme="1"/>
        <color rgb="FFFF0000"/>
      </colorScale>
    </cfRule>
  </conditionalFormatting>
  <conditionalFormatting sqref="E5:N118">
    <cfRule type="expression" dxfId="3" priority="1">
      <formula>E5&gt;2000000</formula>
    </cfRule>
    <cfRule type="expression" dxfId="2" priority="2">
      <formula>"&gt;2000000"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E261F-1672-4625-A1C7-BE8EE3E327CE}">
  <dimension ref="A1:AG142"/>
  <sheetViews>
    <sheetView tabSelected="1" topLeftCell="K109" zoomScale="65" workbookViewId="0">
      <selection activeCell="T137" sqref="T137"/>
    </sheetView>
  </sheetViews>
  <sheetFormatPr baseColWidth="10" defaultRowHeight="14.4" x14ac:dyDescent="0.3"/>
  <cols>
    <col min="5" max="5" width="12.21875" bestFit="1" customWidth="1"/>
    <col min="7" max="7" width="17.6640625" bestFit="1" customWidth="1"/>
    <col min="10" max="10" width="16.109375" customWidth="1"/>
    <col min="11" max="11" width="20.6640625" customWidth="1"/>
    <col min="12" max="12" width="25.5546875" bestFit="1" customWidth="1"/>
    <col min="13" max="13" width="14.88671875" bestFit="1" customWidth="1"/>
    <col min="14" max="14" width="13.88671875" bestFit="1" customWidth="1"/>
    <col min="16" max="16" width="13.44140625" bestFit="1" customWidth="1"/>
    <col min="19" max="19" width="14.77734375" bestFit="1" customWidth="1"/>
    <col min="20" max="20" width="11.21875" bestFit="1" customWidth="1"/>
    <col min="33" max="33" width="15" bestFit="1" customWidth="1"/>
  </cols>
  <sheetData>
    <row r="1" spans="1:29" x14ac:dyDescent="0.3">
      <c r="A1" s="34" t="s">
        <v>47</v>
      </c>
      <c r="O1" t="s">
        <v>63</v>
      </c>
      <c r="P1">
        <v>4000000</v>
      </c>
    </row>
    <row r="2" spans="1:29" x14ac:dyDescent="0.3">
      <c r="D2" t="s">
        <v>53</v>
      </c>
      <c r="E2" s="45">
        <v>2000000</v>
      </c>
      <c r="O2" t="s">
        <v>64</v>
      </c>
      <c r="P2">
        <v>10000000</v>
      </c>
      <c r="Q2" s="94" t="s">
        <v>48</v>
      </c>
      <c r="R2" s="94"/>
      <c r="S2" s="94"/>
    </row>
    <row r="3" spans="1:29" ht="15" thickBot="1" x14ac:dyDescent="0.35">
      <c r="B3" s="87" t="s">
        <v>29</v>
      </c>
      <c r="C3" s="87"/>
      <c r="Q3" s="87" t="s">
        <v>29</v>
      </c>
      <c r="R3" s="87"/>
    </row>
    <row r="4" spans="1:29" ht="15" thickBot="1" x14ac:dyDescent="0.35">
      <c r="D4" s="33" t="s">
        <v>0</v>
      </c>
      <c r="E4">
        <v>1</v>
      </c>
      <c r="F4">
        <v>2</v>
      </c>
      <c r="G4">
        <v>3</v>
      </c>
      <c r="H4">
        <v>4</v>
      </c>
      <c r="I4">
        <v>5</v>
      </c>
      <c r="J4">
        <v>6</v>
      </c>
      <c r="K4">
        <v>7</v>
      </c>
      <c r="L4">
        <v>8</v>
      </c>
      <c r="M4">
        <v>9</v>
      </c>
      <c r="N4">
        <v>10</v>
      </c>
      <c r="O4" s="52" t="s">
        <v>31</v>
      </c>
      <c r="P4" t="s">
        <v>52</v>
      </c>
      <c r="Q4" t="s">
        <v>62</v>
      </c>
      <c r="R4" t="s">
        <v>65</v>
      </c>
      <c r="S4" s="33" t="s">
        <v>0</v>
      </c>
      <c r="T4">
        <v>1</v>
      </c>
      <c r="U4">
        <v>2</v>
      </c>
      <c r="V4">
        <v>3</v>
      </c>
      <c r="W4">
        <v>4</v>
      </c>
      <c r="X4">
        <v>5</v>
      </c>
      <c r="Y4">
        <v>6</v>
      </c>
      <c r="Z4">
        <v>7</v>
      </c>
      <c r="AA4">
        <v>8</v>
      </c>
      <c r="AB4">
        <v>9</v>
      </c>
      <c r="AC4">
        <v>10</v>
      </c>
    </row>
    <row r="5" spans="1:29" x14ac:dyDescent="0.3">
      <c r="C5">
        <f>IF($O5&gt;$E$2,1,0)</f>
        <v>0</v>
      </c>
      <c r="D5">
        <f>Incurred_loss!$C3</f>
        <v>2016</v>
      </c>
      <c r="E5" s="45">
        <f>Incurred_loss!S3</f>
        <v>575612.45245820121</v>
      </c>
      <c r="F5" s="45">
        <f>Incurred_loss!T3</f>
        <v>909527.19792625098</v>
      </c>
      <c r="G5" s="45">
        <f>Incurred_loss!U3</f>
        <v>792049.35859412956</v>
      </c>
      <c r="H5" s="45">
        <f>Incurred_loss!V3</f>
        <v>680114.93916138797</v>
      </c>
      <c r="I5" s="45">
        <f>Incurred_loss!W3</f>
        <v>744670.99476873328</v>
      </c>
      <c r="J5" s="45">
        <f>Incurred_loss!X3</f>
        <v>738023.9278007308</v>
      </c>
      <c r="K5" s="45">
        <f>Incurred_loss!Y3</f>
        <v>740557.79685499531</v>
      </c>
      <c r="L5" s="45">
        <f>Incurred_loss!Z3</f>
        <v>739811.65350409481</v>
      </c>
      <c r="M5" s="45">
        <f>Incurred_loss!AA3</f>
        <v>740883.45601281826</v>
      </c>
      <c r="N5" s="45">
        <f>Incurred_loss!AB3</f>
        <v>740866.17861120636</v>
      </c>
      <c r="O5" s="48">
        <f>$N5</f>
        <v>740866.17861120636</v>
      </c>
      <c r="P5" s="47" t="str">
        <f>IF($O5&gt;$E$2,LN($O5/$E$2),"-")</f>
        <v>-</v>
      </c>
      <c r="Q5" s="45">
        <f>IF(O5&gt;P$1,1,0)</f>
        <v>0</v>
      </c>
      <c r="R5" s="45">
        <f>IF(O5&gt;P$2,1,0)</f>
        <v>0</v>
      </c>
      <c r="S5" s="55">
        <f>$D5</f>
        <v>2016</v>
      </c>
      <c r="T5" s="55">
        <f>IF(E5&gt;$E$2,1,0)</f>
        <v>0</v>
      </c>
      <c r="U5" s="55">
        <f t="shared" ref="U5:AC5" si="0">IF(F5&gt;$E$2,1,0)</f>
        <v>0</v>
      </c>
      <c r="V5" s="55">
        <f t="shared" si="0"/>
        <v>0</v>
      </c>
      <c r="W5" s="55">
        <f t="shared" si="0"/>
        <v>0</v>
      </c>
      <c r="X5" s="55">
        <f t="shared" si="0"/>
        <v>0</v>
      </c>
      <c r="Y5" s="55">
        <f t="shared" si="0"/>
        <v>0</v>
      </c>
      <c r="Z5" s="55">
        <f t="shared" si="0"/>
        <v>0</v>
      </c>
      <c r="AA5" s="55">
        <f t="shared" si="0"/>
        <v>0</v>
      </c>
      <c r="AB5" s="55">
        <f t="shared" si="0"/>
        <v>0</v>
      </c>
      <c r="AC5" s="55">
        <f t="shared" si="0"/>
        <v>0</v>
      </c>
    </row>
    <row r="6" spans="1:29" x14ac:dyDescent="0.3">
      <c r="C6">
        <f t="shared" ref="C6:C69" si="1">IF($O6&gt;$E$2,1,0)</f>
        <v>0</v>
      </c>
      <c r="D6">
        <f>Incurred_loss!$C4</f>
        <v>2016</v>
      </c>
      <c r="E6" s="45">
        <f>Incurred_loss!S4</f>
        <v>2732564.0716827968</v>
      </c>
      <c r="F6" s="45">
        <f>Incurred_loss!T4</f>
        <v>1755857.9553949754</v>
      </c>
      <c r="G6" s="45">
        <f>Incurred_loss!U4</f>
        <v>1933134.6540046399</v>
      </c>
      <c r="H6" s="45">
        <f>Incurred_loss!V4</f>
        <v>1781947.9339920229</v>
      </c>
      <c r="I6" s="45">
        <f>Incurred_loss!W4</f>
        <v>1726123.2594930788</v>
      </c>
      <c r="J6" s="45">
        <f>Incurred_loss!X4</f>
        <v>1726127.7132014607</v>
      </c>
      <c r="K6" s="45">
        <f>Incurred_loss!Y4</f>
        <v>1715957.2839587843</v>
      </c>
      <c r="L6" s="45">
        <f>Incurred_loss!Z4</f>
        <v>1716642.9282936915</v>
      </c>
      <c r="M6" s="45">
        <f>Incurred_loss!AA4</f>
        <v>1716659.9852237371</v>
      </c>
      <c r="N6" s="45">
        <f>Incurred_loss!AB4</f>
        <v>1716662.6172493265</v>
      </c>
      <c r="O6" s="48">
        <f t="shared" ref="O6:O69" si="2">$N6</f>
        <v>1716662.6172493265</v>
      </c>
      <c r="P6" s="47" t="str">
        <f t="shared" ref="P6:P69" si="3">IF($O6&gt;$E$2,LN($O6/$E$2),"-")</f>
        <v>-</v>
      </c>
      <c r="Q6" s="45">
        <f t="shared" ref="Q6:Q69" si="4">IF(O6&gt;P$1,1,0)</f>
        <v>0</v>
      </c>
      <c r="R6" s="45">
        <f t="shared" ref="R6:R69" si="5">IF(O6&gt;P$2,1,0)</f>
        <v>0</v>
      </c>
      <c r="S6" s="55">
        <f t="shared" ref="S6:S69" si="6">$D6</f>
        <v>2016</v>
      </c>
      <c r="T6" s="55">
        <f t="shared" ref="T6:T19" si="7">IF(E6&gt;$E$2,1,0)</f>
        <v>1</v>
      </c>
      <c r="U6" s="55">
        <f t="shared" ref="U6:U19" si="8">IF(F6&gt;$E$2,1,0)</f>
        <v>0</v>
      </c>
      <c r="V6" s="55">
        <f t="shared" ref="V6:V19" si="9">IF(G6&gt;$E$2,1,0)</f>
        <v>0</v>
      </c>
      <c r="W6" s="55">
        <f t="shared" ref="W6:W19" si="10">IF(H6&gt;$E$2,1,0)</f>
        <v>0</v>
      </c>
      <c r="X6" s="55">
        <f t="shared" ref="X6:X19" si="11">IF(I6&gt;$E$2,1,0)</f>
        <v>0</v>
      </c>
      <c r="Y6" s="55">
        <f t="shared" ref="Y6:Y19" si="12">IF(J6&gt;$E$2,1,0)</f>
        <v>0</v>
      </c>
      <c r="Z6" s="55">
        <f t="shared" ref="Z6:Z19" si="13">IF(K6&gt;$E$2,1,0)</f>
        <v>0</v>
      </c>
      <c r="AA6" s="55">
        <f t="shared" ref="AA6:AA19" si="14">IF(L6&gt;$E$2,1,0)</f>
        <v>0</v>
      </c>
      <c r="AB6" s="55">
        <f t="shared" ref="AB6:AB19" si="15">IF(M6&gt;$E$2,1,0)</f>
        <v>0</v>
      </c>
      <c r="AC6" s="55">
        <f t="shared" ref="AC6:AC19" si="16">IF(N6&gt;$E$2,1,0)</f>
        <v>0</v>
      </c>
    </row>
    <row r="7" spans="1:29" x14ac:dyDescent="0.3">
      <c r="C7">
        <f t="shared" si="1"/>
        <v>0</v>
      </c>
      <c r="D7">
        <f>Incurred_loss!$C5</f>
        <v>2016</v>
      </c>
      <c r="E7" s="45">
        <f>Incurred_loss!S5</f>
        <v>1001687.7316956777</v>
      </c>
      <c r="F7" s="45">
        <f>Incurred_loss!T5</f>
        <v>1002392.9460373395</v>
      </c>
      <c r="G7" s="45">
        <f>Incurred_loss!U5</f>
        <v>1197725.5357108151</v>
      </c>
      <c r="H7" s="45">
        <f>Incurred_loss!V5</f>
        <v>920481.50168592343</v>
      </c>
      <c r="I7" s="45">
        <f>Incurred_loss!W5</f>
        <v>930458.39518995013</v>
      </c>
      <c r="J7" s="45">
        <f>Incurred_loss!X5</f>
        <v>925397.10859290662</v>
      </c>
      <c r="K7" s="45">
        <f>Incurred_loss!Y5</f>
        <v>921436.31766134594</v>
      </c>
      <c r="L7" s="45">
        <f>Incurred_loss!Z5</f>
        <v>920711.48728036415</v>
      </c>
      <c r="M7" s="45">
        <f>Incurred_loss!AA5</f>
        <v>920180.29073840147</v>
      </c>
      <c r="N7" s="45">
        <f>Incurred_loss!AB5</f>
        <v>919761.49629254802</v>
      </c>
      <c r="O7" s="48">
        <f t="shared" si="2"/>
        <v>919761.49629254802</v>
      </c>
      <c r="P7" s="47" t="str">
        <f t="shared" si="3"/>
        <v>-</v>
      </c>
      <c r="Q7" s="45">
        <f t="shared" si="4"/>
        <v>0</v>
      </c>
      <c r="R7" s="45">
        <f t="shared" si="5"/>
        <v>0</v>
      </c>
      <c r="S7" s="55">
        <f t="shared" si="6"/>
        <v>2016</v>
      </c>
      <c r="T7" s="55">
        <f t="shared" si="7"/>
        <v>0</v>
      </c>
      <c r="U7" s="55">
        <f t="shared" si="8"/>
        <v>0</v>
      </c>
      <c r="V7" s="55">
        <f t="shared" si="9"/>
        <v>0</v>
      </c>
      <c r="W7" s="55">
        <f t="shared" si="10"/>
        <v>0</v>
      </c>
      <c r="X7" s="55">
        <f t="shared" si="11"/>
        <v>0</v>
      </c>
      <c r="Y7" s="55">
        <f t="shared" si="12"/>
        <v>0</v>
      </c>
      <c r="Z7" s="55">
        <f t="shared" si="13"/>
        <v>0</v>
      </c>
      <c r="AA7" s="55">
        <f t="shared" si="14"/>
        <v>0</v>
      </c>
      <c r="AB7" s="55">
        <f t="shared" si="15"/>
        <v>0</v>
      </c>
      <c r="AC7" s="55">
        <f t="shared" si="16"/>
        <v>0</v>
      </c>
    </row>
    <row r="8" spans="1:29" x14ac:dyDescent="0.3">
      <c r="C8">
        <f t="shared" si="1"/>
        <v>1</v>
      </c>
      <c r="D8">
        <f>Incurred_loss!$C6</f>
        <v>2016</v>
      </c>
      <c r="E8" s="45">
        <f>Incurred_loss!S6</f>
        <v>7133780.3936626986</v>
      </c>
      <c r="F8" s="45">
        <f>Incurred_loss!T6</f>
        <v>3914790.1380545581</v>
      </c>
      <c r="G8" s="45">
        <f>Incurred_loss!U6</f>
        <v>4478903.7726103561</v>
      </c>
      <c r="H8" s="45">
        <f>Incurred_loss!V6</f>
        <v>4115186.3248875588</v>
      </c>
      <c r="I8" s="45">
        <f>Incurred_loss!W6</f>
        <v>4295282.1989243627</v>
      </c>
      <c r="J8" s="45">
        <f>Incurred_loss!X6</f>
        <v>4288048.5627826527</v>
      </c>
      <c r="K8" s="45">
        <f>Incurred_loss!Y6</f>
        <v>4278261.5407704022</v>
      </c>
      <c r="L8" s="45">
        <f>Incurred_loss!Z6</f>
        <v>4280181.7792258859</v>
      </c>
      <c r="M8" s="45">
        <f>Incurred_loss!AA6</f>
        <v>4259218.486492401</v>
      </c>
      <c r="N8" s="45">
        <f>Incurred_loss!AB6</f>
        <v>4256661.0384554788</v>
      </c>
      <c r="O8" s="48">
        <f t="shared" si="2"/>
        <v>4256661.0384554788</v>
      </c>
      <c r="P8" s="47">
        <f t="shared" si="3"/>
        <v>0.75533787860458979</v>
      </c>
      <c r="Q8" s="45">
        <f t="shared" si="4"/>
        <v>1</v>
      </c>
      <c r="R8" s="45">
        <f t="shared" si="5"/>
        <v>0</v>
      </c>
      <c r="S8" s="55">
        <f t="shared" si="6"/>
        <v>2016</v>
      </c>
      <c r="T8" s="55">
        <f t="shared" si="7"/>
        <v>1</v>
      </c>
      <c r="U8" s="55">
        <f t="shared" si="8"/>
        <v>1</v>
      </c>
      <c r="V8" s="55">
        <f t="shared" si="9"/>
        <v>1</v>
      </c>
      <c r="W8" s="55">
        <f t="shared" si="10"/>
        <v>1</v>
      </c>
      <c r="X8" s="55">
        <f t="shared" si="11"/>
        <v>1</v>
      </c>
      <c r="Y8" s="55">
        <f t="shared" si="12"/>
        <v>1</v>
      </c>
      <c r="Z8" s="55">
        <f t="shared" si="13"/>
        <v>1</v>
      </c>
      <c r="AA8" s="55">
        <f t="shared" si="14"/>
        <v>1</v>
      </c>
      <c r="AB8" s="55">
        <f t="shared" si="15"/>
        <v>1</v>
      </c>
      <c r="AC8" s="55">
        <f t="shared" si="16"/>
        <v>1</v>
      </c>
    </row>
    <row r="9" spans="1:29" x14ac:dyDescent="0.3">
      <c r="C9">
        <f t="shared" si="1"/>
        <v>0</v>
      </c>
      <c r="D9">
        <f>Incurred_loss!$C7</f>
        <v>2016</v>
      </c>
      <c r="E9" s="45">
        <f>Incurred_loss!S7</f>
        <v>1265794.7939551733</v>
      </c>
      <c r="F9" s="45">
        <f>Incurred_loss!T7</f>
        <v>1661056.3325684522</v>
      </c>
      <c r="G9" s="45">
        <f>Incurred_loss!U7</f>
        <v>1587254.1412826141</v>
      </c>
      <c r="H9" s="45">
        <f>Incurred_loss!V7</f>
        <v>1546704.5869110278</v>
      </c>
      <c r="I9" s="45">
        <f>Incurred_loss!W7</f>
        <v>1667887.6426642849</v>
      </c>
      <c r="J9" s="45">
        <f>Incurred_loss!X7</f>
        <v>1527445.427156352</v>
      </c>
      <c r="K9" s="45">
        <f>Incurred_loss!Y7</f>
        <v>1526120.8967519759</v>
      </c>
      <c r="L9" s="45">
        <f>Incurred_loss!Z7</f>
        <v>1526713.1253017168</v>
      </c>
      <c r="M9" s="45">
        <f>Incurred_loss!AA7</f>
        <v>1526343.0177105069</v>
      </c>
      <c r="N9" s="45">
        <f>Incurred_loss!AB7</f>
        <v>1526276.5542783281</v>
      </c>
      <c r="O9" s="48">
        <f t="shared" si="2"/>
        <v>1526276.5542783281</v>
      </c>
      <c r="P9" s="47" t="str">
        <f t="shared" si="3"/>
        <v>-</v>
      </c>
      <c r="Q9" s="45">
        <f t="shared" si="4"/>
        <v>0</v>
      </c>
      <c r="R9" s="45">
        <f t="shared" si="5"/>
        <v>0</v>
      </c>
      <c r="S9" s="55">
        <f t="shared" si="6"/>
        <v>2016</v>
      </c>
      <c r="T9" s="55">
        <f t="shared" si="7"/>
        <v>0</v>
      </c>
      <c r="U9" s="55">
        <f t="shared" si="8"/>
        <v>0</v>
      </c>
      <c r="V9" s="55">
        <f t="shared" si="9"/>
        <v>0</v>
      </c>
      <c r="W9" s="55">
        <f t="shared" si="10"/>
        <v>0</v>
      </c>
      <c r="X9" s="55">
        <f t="shared" si="11"/>
        <v>0</v>
      </c>
      <c r="Y9" s="55">
        <f t="shared" si="12"/>
        <v>0</v>
      </c>
      <c r="Z9" s="55">
        <f t="shared" si="13"/>
        <v>0</v>
      </c>
      <c r="AA9" s="55">
        <f t="shared" si="14"/>
        <v>0</v>
      </c>
      <c r="AB9" s="55">
        <f t="shared" si="15"/>
        <v>0</v>
      </c>
      <c r="AC9" s="55">
        <f t="shared" si="16"/>
        <v>0</v>
      </c>
    </row>
    <row r="10" spans="1:29" x14ac:dyDescent="0.3">
      <c r="C10">
        <f t="shared" si="1"/>
        <v>1</v>
      </c>
      <c r="D10">
        <f>Incurred_loss!$C8</f>
        <v>2016</v>
      </c>
      <c r="E10" s="45">
        <f>Incurred_loss!S8</f>
        <v>3648623.4149383972</v>
      </c>
      <c r="F10" s="45">
        <f>Incurred_loss!T8</f>
        <v>2423182.3207844812</v>
      </c>
      <c r="G10" s="45">
        <f>Incurred_loss!U8</f>
        <v>2742465.2076609693</v>
      </c>
      <c r="H10" s="45">
        <f>Incurred_loss!V8</f>
        <v>3159232.0998887233</v>
      </c>
      <c r="I10" s="45">
        <f>Incurred_loss!W8</f>
        <v>3024290.8488662844</v>
      </c>
      <c r="J10" s="45">
        <f>Incurred_loss!X8</f>
        <v>3031606.2664243048</v>
      </c>
      <c r="K10" s="45">
        <f>Incurred_loss!Y8</f>
        <v>3031533.4665075741</v>
      </c>
      <c r="L10" s="45">
        <f>Incurred_loss!Z8</f>
        <v>3031532.9207578916</v>
      </c>
      <c r="M10" s="45">
        <f>Incurred_loss!AA8</f>
        <v>3031531.8341132631</v>
      </c>
      <c r="N10" s="45">
        <f>Incurred_loss!AB8</f>
        <v>3031531.6497195135</v>
      </c>
      <c r="O10" s="48">
        <f t="shared" si="2"/>
        <v>3031531.6497195135</v>
      </c>
      <c r="P10" s="47">
        <f t="shared" si="3"/>
        <v>0.41592080619873112</v>
      </c>
      <c r="Q10" s="45">
        <f t="shared" si="4"/>
        <v>0</v>
      </c>
      <c r="R10" s="45">
        <f t="shared" si="5"/>
        <v>0</v>
      </c>
      <c r="S10" s="55">
        <f t="shared" si="6"/>
        <v>2016</v>
      </c>
      <c r="T10" s="55">
        <f t="shared" si="7"/>
        <v>1</v>
      </c>
      <c r="U10" s="55">
        <f t="shared" si="8"/>
        <v>1</v>
      </c>
      <c r="V10" s="55">
        <f t="shared" si="9"/>
        <v>1</v>
      </c>
      <c r="W10" s="55">
        <f t="shared" si="10"/>
        <v>1</v>
      </c>
      <c r="X10" s="55">
        <f t="shared" si="11"/>
        <v>1</v>
      </c>
      <c r="Y10" s="55">
        <f t="shared" si="12"/>
        <v>1</v>
      </c>
      <c r="Z10" s="55">
        <f t="shared" si="13"/>
        <v>1</v>
      </c>
      <c r="AA10" s="55">
        <f t="shared" si="14"/>
        <v>1</v>
      </c>
      <c r="AB10" s="55">
        <f t="shared" si="15"/>
        <v>1</v>
      </c>
      <c r="AC10" s="55">
        <f t="shared" si="16"/>
        <v>1</v>
      </c>
    </row>
    <row r="11" spans="1:29" x14ac:dyDescent="0.3">
      <c r="C11">
        <f t="shared" si="1"/>
        <v>1</v>
      </c>
      <c r="D11">
        <f>Incurred_loss!$C9</f>
        <v>2016</v>
      </c>
      <c r="E11" s="45">
        <f>Incurred_loss!S9</f>
        <v>7349426.9924144438</v>
      </c>
      <c r="F11" s="45">
        <f>Incurred_loss!T9</f>
        <v>10434721.683723982</v>
      </c>
      <c r="G11" s="45">
        <f>Incurred_loss!U9</f>
        <v>13170992.556038627</v>
      </c>
      <c r="H11" s="45">
        <f>Incurred_loss!V9</f>
        <v>12914896.017598297</v>
      </c>
      <c r="I11" s="45">
        <f>Incurred_loss!W9</f>
        <v>12825240.178344384</v>
      </c>
      <c r="J11" s="45">
        <f>Incurred_loss!X9</f>
        <v>12831778.003345875</v>
      </c>
      <c r="K11" s="45">
        <f>Incurred_loss!Y9</f>
        <v>12825995.266781807</v>
      </c>
      <c r="L11" s="45">
        <f>Incurred_loss!Z9</f>
        <v>12826344.732164912</v>
      </c>
      <c r="M11" s="45">
        <f>Incurred_loss!AA9</f>
        <v>12824277.657967661</v>
      </c>
      <c r="N11" s="45">
        <f>Incurred_loss!AB9</f>
        <v>12824080.030413605</v>
      </c>
      <c r="O11" s="48">
        <f t="shared" si="2"/>
        <v>12824080.030413605</v>
      </c>
      <c r="P11" s="47">
        <f t="shared" si="3"/>
        <v>1.8581774754026312</v>
      </c>
      <c r="Q11" s="45">
        <f t="shared" si="4"/>
        <v>1</v>
      </c>
      <c r="R11" s="45">
        <f t="shared" si="5"/>
        <v>1</v>
      </c>
      <c r="S11" s="55">
        <f t="shared" si="6"/>
        <v>2016</v>
      </c>
      <c r="T11" s="55">
        <f t="shared" si="7"/>
        <v>1</v>
      </c>
      <c r="U11" s="55">
        <f t="shared" si="8"/>
        <v>1</v>
      </c>
      <c r="V11" s="55">
        <f t="shared" si="9"/>
        <v>1</v>
      </c>
      <c r="W11" s="55">
        <f t="shared" si="10"/>
        <v>1</v>
      </c>
      <c r="X11" s="55">
        <f t="shared" si="11"/>
        <v>1</v>
      </c>
      <c r="Y11" s="55">
        <f t="shared" si="12"/>
        <v>1</v>
      </c>
      <c r="Z11" s="55">
        <f t="shared" si="13"/>
        <v>1</v>
      </c>
      <c r="AA11" s="55">
        <f t="shared" si="14"/>
        <v>1</v>
      </c>
      <c r="AB11" s="55">
        <f t="shared" si="15"/>
        <v>1</v>
      </c>
      <c r="AC11" s="55">
        <f t="shared" si="16"/>
        <v>1</v>
      </c>
    </row>
    <row r="12" spans="1:29" x14ac:dyDescent="0.3">
      <c r="C12">
        <f t="shared" si="1"/>
        <v>0</v>
      </c>
      <c r="D12">
        <f>Incurred_loss!$C10</f>
        <v>2016</v>
      </c>
      <c r="E12" s="45">
        <f>Incurred_loss!S10</f>
        <v>1348780.3109249419</v>
      </c>
      <c r="F12" s="45">
        <f>Incurred_loss!T10</f>
        <v>1194290.9875584426</v>
      </c>
      <c r="G12" s="45">
        <f>Incurred_loss!U10</f>
        <v>1280370.0881005484</v>
      </c>
      <c r="H12" s="45">
        <f>Incurred_loss!V10</f>
        <v>1281447.2739135083</v>
      </c>
      <c r="I12" s="45">
        <f>Incurred_loss!W10</f>
        <v>1282910.6496942323</v>
      </c>
      <c r="J12" s="45">
        <f>Incurred_loss!X10</f>
        <v>1276706.6955209756</v>
      </c>
      <c r="K12" s="45">
        <f>Incurred_loss!Y10</f>
        <v>1279978.6690509191</v>
      </c>
      <c r="L12" s="45">
        <f>Incurred_loss!Z10</f>
        <v>1284319.4771797801</v>
      </c>
      <c r="M12" s="45">
        <f>Incurred_loss!AA10</f>
        <v>1290564.9487016452</v>
      </c>
      <c r="N12" s="45">
        <f>Incurred_loss!AB10</f>
        <v>1278829.8095996727</v>
      </c>
      <c r="O12" s="48">
        <f t="shared" si="2"/>
        <v>1278829.8095996727</v>
      </c>
      <c r="P12" s="47" t="str">
        <f t="shared" si="3"/>
        <v>-</v>
      </c>
      <c r="Q12" s="45">
        <f t="shared" si="4"/>
        <v>0</v>
      </c>
      <c r="R12" s="45">
        <f t="shared" si="5"/>
        <v>0</v>
      </c>
      <c r="S12" s="55">
        <f t="shared" si="6"/>
        <v>2016</v>
      </c>
      <c r="T12" s="55">
        <f t="shared" si="7"/>
        <v>0</v>
      </c>
      <c r="U12" s="55">
        <f t="shared" si="8"/>
        <v>0</v>
      </c>
      <c r="V12" s="55">
        <f t="shared" si="9"/>
        <v>0</v>
      </c>
      <c r="W12" s="55">
        <f t="shared" si="10"/>
        <v>0</v>
      </c>
      <c r="X12" s="55">
        <f t="shared" si="11"/>
        <v>0</v>
      </c>
      <c r="Y12" s="55">
        <f t="shared" si="12"/>
        <v>0</v>
      </c>
      <c r="Z12" s="55">
        <f t="shared" si="13"/>
        <v>0</v>
      </c>
      <c r="AA12" s="55">
        <f t="shared" si="14"/>
        <v>0</v>
      </c>
      <c r="AB12" s="55">
        <f t="shared" si="15"/>
        <v>0</v>
      </c>
      <c r="AC12" s="55">
        <f t="shared" si="16"/>
        <v>0</v>
      </c>
    </row>
    <row r="13" spans="1:29" x14ac:dyDescent="0.3">
      <c r="C13">
        <f t="shared" si="1"/>
        <v>0</v>
      </c>
      <c r="D13">
        <f>Incurred_loss!$C11</f>
        <v>2016</v>
      </c>
      <c r="E13" s="45">
        <f>Incurred_loss!S11</f>
        <v>966066.33544167702</v>
      </c>
      <c r="F13" s="45">
        <f>Incurred_loss!T11</f>
        <v>833384.40705598588</v>
      </c>
      <c r="G13" s="45">
        <f>Incurred_loss!U11</f>
        <v>935386.06652910542</v>
      </c>
      <c r="H13" s="45">
        <f>Incurred_loss!V11</f>
        <v>972923.52538301493</v>
      </c>
      <c r="I13" s="45">
        <f>Incurred_loss!W11</f>
        <v>966886.4256390949</v>
      </c>
      <c r="J13" s="45">
        <f>Incurred_loss!X11</f>
        <v>967116.50784173748</v>
      </c>
      <c r="K13" s="45">
        <f>Incurred_loss!Y11</f>
        <v>966651.37853641191</v>
      </c>
      <c r="L13" s="45">
        <f>Incurred_loss!Z11</f>
        <v>966548.79835354304</v>
      </c>
      <c r="M13" s="45">
        <f>Incurred_loss!AA11</f>
        <v>966548.52503835922</v>
      </c>
      <c r="N13" s="45">
        <f>Incurred_loss!AB11</f>
        <v>966548.49518426345</v>
      </c>
      <c r="O13" s="48">
        <f t="shared" si="2"/>
        <v>966548.49518426345</v>
      </c>
      <c r="P13" s="47" t="str">
        <f t="shared" si="3"/>
        <v>-</v>
      </c>
      <c r="Q13" s="45">
        <f t="shared" si="4"/>
        <v>0</v>
      </c>
      <c r="R13" s="45">
        <f t="shared" si="5"/>
        <v>0</v>
      </c>
      <c r="S13" s="55">
        <f t="shared" si="6"/>
        <v>2016</v>
      </c>
      <c r="T13" s="55">
        <f t="shared" si="7"/>
        <v>0</v>
      </c>
      <c r="U13" s="55">
        <f t="shared" si="8"/>
        <v>0</v>
      </c>
      <c r="V13" s="55">
        <f t="shared" si="9"/>
        <v>0</v>
      </c>
      <c r="W13" s="55">
        <f t="shared" si="10"/>
        <v>0</v>
      </c>
      <c r="X13" s="55">
        <f t="shared" si="11"/>
        <v>0</v>
      </c>
      <c r="Y13" s="55">
        <f t="shared" si="12"/>
        <v>0</v>
      </c>
      <c r="Z13" s="55">
        <f t="shared" si="13"/>
        <v>0</v>
      </c>
      <c r="AA13" s="55">
        <f t="shared" si="14"/>
        <v>0</v>
      </c>
      <c r="AB13" s="55">
        <f t="shared" si="15"/>
        <v>0</v>
      </c>
      <c r="AC13" s="55">
        <f t="shared" si="16"/>
        <v>0</v>
      </c>
    </row>
    <row r="14" spans="1:29" x14ac:dyDescent="0.3">
      <c r="C14">
        <f t="shared" si="1"/>
        <v>1</v>
      </c>
      <c r="D14">
        <f>Incurred_loss!$C12</f>
        <v>2016</v>
      </c>
      <c r="E14" s="45">
        <f>Incurred_loss!S12</f>
        <v>2560693.5972375032</v>
      </c>
      <c r="F14" s="45">
        <f>Incurred_loss!T12</f>
        <v>3066994.3026761916</v>
      </c>
      <c r="G14" s="45">
        <f>Incurred_loss!U12</f>
        <v>3774885.8325633416</v>
      </c>
      <c r="H14" s="45">
        <f>Incurred_loss!V12</f>
        <v>3575063.3191076382</v>
      </c>
      <c r="I14" s="45">
        <f>Incurred_loss!W12</f>
        <v>3682110.5577404136</v>
      </c>
      <c r="J14" s="45">
        <f>Incurred_loss!X12</f>
        <v>3704368.8647292601</v>
      </c>
      <c r="K14" s="45">
        <f>Incurred_loss!Y12</f>
        <v>3691619.3916970599</v>
      </c>
      <c r="L14" s="45">
        <f>Incurred_loss!Z12</f>
        <v>3692787.4586796379</v>
      </c>
      <c r="M14" s="45">
        <f>Incurred_loss!AA12</f>
        <v>3692895.9941157862</v>
      </c>
      <c r="N14" s="45">
        <f>Incurred_loss!AB12</f>
        <v>3692910.5232293434</v>
      </c>
      <c r="O14" s="48">
        <f t="shared" si="2"/>
        <v>3692910.5232293434</v>
      </c>
      <c r="P14" s="47">
        <f t="shared" si="3"/>
        <v>0.61326772626779757</v>
      </c>
      <c r="Q14" s="45">
        <f t="shared" si="4"/>
        <v>0</v>
      </c>
      <c r="R14" s="45">
        <f t="shared" si="5"/>
        <v>0</v>
      </c>
      <c r="S14" s="55">
        <f t="shared" si="6"/>
        <v>2016</v>
      </c>
      <c r="T14" s="55">
        <f t="shared" si="7"/>
        <v>1</v>
      </c>
      <c r="U14" s="55">
        <f t="shared" si="8"/>
        <v>1</v>
      </c>
      <c r="V14" s="55">
        <f t="shared" si="9"/>
        <v>1</v>
      </c>
      <c r="W14" s="55">
        <f t="shared" si="10"/>
        <v>1</v>
      </c>
      <c r="X14" s="55">
        <f t="shared" si="11"/>
        <v>1</v>
      </c>
      <c r="Y14" s="55">
        <f t="shared" si="12"/>
        <v>1</v>
      </c>
      <c r="Z14" s="55">
        <f t="shared" si="13"/>
        <v>1</v>
      </c>
      <c r="AA14" s="55">
        <f t="shared" si="14"/>
        <v>1</v>
      </c>
      <c r="AB14" s="55">
        <f t="shared" si="15"/>
        <v>1</v>
      </c>
      <c r="AC14" s="55">
        <f t="shared" si="16"/>
        <v>1</v>
      </c>
    </row>
    <row r="15" spans="1:29" x14ac:dyDescent="0.3">
      <c r="C15">
        <f t="shared" si="1"/>
        <v>1</v>
      </c>
      <c r="D15">
        <f>Incurred_loss!$C13</f>
        <v>2016</v>
      </c>
      <c r="E15" s="45">
        <f>Incurred_loss!S13</f>
        <v>4233842.9548907317</v>
      </c>
      <c r="F15" s="45">
        <f>Incurred_loss!T13</f>
        <v>3534103.1644189213</v>
      </c>
      <c r="G15" s="45">
        <f>Incurred_loss!U13</f>
        <v>3518188.4562699981</v>
      </c>
      <c r="H15" s="45">
        <f>Incurred_loss!V13</f>
        <v>3435215.2253873092</v>
      </c>
      <c r="I15" s="45">
        <f>Incurred_loss!W13</f>
        <v>3460420.0024426631</v>
      </c>
      <c r="J15" s="45">
        <f>Incurred_loss!X13</f>
        <v>3459975.0841018916</v>
      </c>
      <c r="K15" s="45">
        <f>Incurred_loss!Y13</f>
        <v>3457625.1770334928</v>
      </c>
      <c r="L15" s="45">
        <f>Incurred_loss!Z13</f>
        <v>3457616.1732568098</v>
      </c>
      <c r="M15" s="45">
        <f>Incurred_loss!AA13</f>
        <v>3457634.3567201467</v>
      </c>
      <c r="N15" s="45">
        <f>Incurred_loss!AB13</f>
        <v>3457634.50361215</v>
      </c>
      <c r="O15" s="48">
        <f t="shared" si="2"/>
        <v>3457634.50361215</v>
      </c>
      <c r="P15" s="47">
        <f t="shared" si="3"/>
        <v>0.54743750522488266</v>
      </c>
      <c r="Q15" s="45">
        <f t="shared" si="4"/>
        <v>0</v>
      </c>
      <c r="R15" s="45">
        <f t="shared" si="5"/>
        <v>0</v>
      </c>
      <c r="S15" s="55">
        <f t="shared" si="6"/>
        <v>2016</v>
      </c>
      <c r="T15" s="55">
        <f t="shared" si="7"/>
        <v>1</v>
      </c>
      <c r="U15" s="55">
        <f t="shared" si="8"/>
        <v>1</v>
      </c>
      <c r="V15" s="55">
        <f t="shared" si="9"/>
        <v>1</v>
      </c>
      <c r="W15" s="55">
        <f t="shared" si="10"/>
        <v>1</v>
      </c>
      <c r="X15" s="55">
        <f t="shared" si="11"/>
        <v>1</v>
      </c>
      <c r="Y15" s="55">
        <f t="shared" si="12"/>
        <v>1</v>
      </c>
      <c r="Z15" s="55">
        <f t="shared" si="13"/>
        <v>1</v>
      </c>
      <c r="AA15" s="55">
        <f t="shared" si="14"/>
        <v>1</v>
      </c>
      <c r="AB15" s="55">
        <f t="shared" si="15"/>
        <v>1</v>
      </c>
      <c r="AC15" s="55">
        <f t="shared" si="16"/>
        <v>1</v>
      </c>
    </row>
    <row r="16" spans="1:29" x14ac:dyDescent="0.3">
      <c r="C16">
        <f t="shared" si="1"/>
        <v>0</v>
      </c>
      <c r="D16">
        <f>Incurred_loss!$C14</f>
        <v>2016</v>
      </c>
      <c r="E16" s="45">
        <f>Incurred_loss!S14</f>
        <v>1717804.2048577496</v>
      </c>
      <c r="F16" s="45">
        <f>Incurred_loss!T14</f>
        <v>1956757.3444826244</v>
      </c>
      <c r="G16" s="45">
        <f>Incurred_loss!U14</f>
        <v>2375949.7627192512</v>
      </c>
      <c r="H16" s="45">
        <f>Incurred_loss!V14</f>
        <v>1896167.7283753504</v>
      </c>
      <c r="I16" s="45">
        <f>Incurred_loss!W14</f>
        <v>1887881.7529901399</v>
      </c>
      <c r="J16" s="45">
        <f>Incurred_loss!X14</f>
        <v>1887040.4204959059</v>
      </c>
      <c r="K16" s="45">
        <f>Incurred_loss!Y14</f>
        <v>1887040.5098147853</v>
      </c>
      <c r="L16" s="45">
        <f>Incurred_loss!Z14</f>
        <v>1887040.7012606582</v>
      </c>
      <c r="M16" s="45">
        <f>Incurred_loss!AA14</f>
        <v>1887040.5729467857</v>
      </c>
      <c r="N16" s="45">
        <f>Incurred_loss!AB14</f>
        <v>1887040.6005906588</v>
      </c>
      <c r="O16" s="48">
        <f t="shared" si="2"/>
        <v>1887040.6005906588</v>
      </c>
      <c r="P16" s="47" t="str">
        <f t="shared" si="3"/>
        <v>-</v>
      </c>
      <c r="Q16" s="45">
        <f t="shared" si="4"/>
        <v>0</v>
      </c>
      <c r="R16" s="45">
        <f t="shared" si="5"/>
        <v>0</v>
      </c>
      <c r="S16" s="55">
        <f t="shared" si="6"/>
        <v>2016</v>
      </c>
      <c r="T16" s="55">
        <f t="shared" si="7"/>
        <v>0</v>
      </c>
      <c r="U16" s="55">
        <f t="shared" si="8"/>
        <v>0</v>
      </c>
      <c r="V16" s="55">
        <f t="shared" si="9"/>
        <v>1</v>
      </c>
      <c r="W16" s="55">
        <f t="shared" si="10"/>
        <v>0</v>
      </c>
      <c r="X16" s="55">
        <f t="shared" si="11"/>
        <v>0</v>
      </c>
      <c r="Y16" s="55">
        <f t="shared" si="12"/>
        <v>0</v>
      </c>
      <c r="Z16" s="55">
        <f t="shared" si="13"/>
        <v>0</v>
      </c>
      <c r="AA16" s="55">
        <f t="shared" si="14"/>
        <v>0</v>
      </c>
      <c r="AB16" s="55">
        <f t="shared" si="15"/>
        <v>0</v>
      </c>
      <c r="AC16" s="55">
        <f t="shared" si="16"/>
        <v>0</v>
      </c>
    </row>
    <row r="17" spans="3:29" x14ac:dyDescent="0.3">
      <c r="C17">
        <f t="shared" si="1"/>
        <v>0</v>
      </c>
      <c r="D17">
        <f>Incurred_loss!$C15</f>
        <v>2016</v>
      </c>
      <c r="E17" s="45">
        <f>Incurred_loss!S15</f>
        <v>769074.19058257155</v>
      </c>
      <c r="F17" s="45">
        <f>Incurred_loss!T15</f>
        <v>1142629.3061754468</v>
      </c>
      <c r="G17" s="45">
        <f>Incurred_loss!U15</f>
        <v>1318570.0828424043</v>
      </c>
      <c r="H17" s="45">
        <f>Incurred_loss!V15</f>
        <v>1327957.5153958066</v>
      </c>
      <c r="I17" s="45">
        <f>Incurred_loss!W15</f>
        <v>1328261.8277088553</v>
      </c>
      <c r="J17" s="45">
        <f>Incurred_loss!X15</f>
        <v>1328289.5219954068</v>
      </c>
      <c r="K17" s="45">
        <f>Incurred_loss!Y15</f>
        <v>1328191.9953660895</v>
      </c>
      <c r="L17" s="45">
        <f>Incurred_loss!Z15</f>
        <v>1328196.972105996</v>
      </c>
      <c r="M17" s="45">
        <f>Incurred_loss!AA15</f>
        <v>1328196.9797135105</v>
      </c>
      <c r="N17" s="45">
        <f>Incurred_loss!AB15</f>
        <v>1328197.2139352183</v>
      </c>
      <c r="O17" s="48">
        <f t="shared" si="2"/>
        <v>1328197.2139352183</v>
      </c>
      <c r="P17" s="47" t="str">
        <f t="shared" si="3"/>
        <v>-</v>
      </c>
      <c r="Q17" s="45">
        <f t="shared" si="4"/>
        <v>0</v>
      </c>
      <c r="R17" s="45">
        <f t="shared" si="5"/>
        <v>0</v>
      </c>
      <c r="S17" s="55">
        <f t="shared" si="6"/>
        <v>2016</v>
      </c>
      <c r="T17" s="55">
        <f t="shared" si="7"/>
        <v>0</v>
      </c>
      <c r="U17" s="55">
        <f t="shared" si="8"/>
        <v>0</v>
      </c>
      <c r="V17" s="55">
        <f t="shared" si="9"/>
        <v>0</v>
      </c>
      <c r="W17" s="55">
        <f t="shared" si="10"/>
        <v>0</v>
      </c>
      <c r="X17" s="55">
        <f t="shared" si="11"/>
        <v>0</v>
      </c>
      <c r="Y17" s="55">
        <f t="shared" si="12"/>
        <v>0</v>
      </c>
      <c r="Z17" s="55">
        <f t="shared" si="13"/>
        <v>0</v>
      </c>
      <c r="AA17" s="55">
        <f t="shared" si="14"/>
        <v>0</v>
      </c>
      <c r="AB17" s="55">
        <f t="shared" si="15"/>
        <v>0</v>
      </c>
      <c r="AC17" s="55">
        <f t="shared" si="16"/>
        <v>0</v>
      </c>
    </row>
    <row r="18" spans="3:29" x14ac:dyDescent="0.3">
      <c r="C18">
        <f t="shared" si="1"/>
        <v>1</v>
      </c>
      <c r="D18">
        <f>Incurred_loss!$C16</f>
        <v>2016</v>
      </c>
      <c r="E18" s="45">
        <f>Incurred_loss!S16</f>
        <v>2960488.7474891474</v>
      </c>
      <c r="F18" s="45">
        <f>Incurred_loss!T16</f>
        <v>3672385.7433307674</v>
      </c>
      <c r="G18" s="45">
        <f>Incurred_loss!U16</f>
        <v>4301339.1346536428</v>
      </c>
      <c r="H18" s="45">
        <f>Incurred_loss!V16</f>
        <v>4562395.4204125982</v>
      </c>
      <c r="I18" s="45">
        <f>Incurred_loss!W16</f>
        <v>3745165.1895353282</v>
      </c>
      <c r="J18" s="45">
        <f>Incurred_loss!X16</f>
        <v>3798903.9668683372</v>
      </c>
      <c r="K18" s="45">
        <f>Incurred_loss!Y16</f>
        <v>3782170.6687195711</v>
      </c>
      <c r="L18" s="45">
        <f>Incurred_loss!Z16</f>
        <v>3779015.0076078409</v>
      </c>
      <c r="M18" s="45">
        <f>Incurred_loss!AA16</f>
        <v>3776333.9428157625</v>
      </c>
      <c r="N18" s="45">
        <f>Incurred_loss!AB16</f>
        <v>3778771.7111949939</v>
      </c>
      <c r="O18" s="48">
        <f t="shared" si="2"/>
        <v>3778771.7111949939</v>
      </c>
      <c r="P18" s="47">
        <f t="shared" si="3"/>
        <v>0.63625183213745962</v>
      </c>
      <c r="Q18" s="45">
        <f t="shared" si="4"/>
        <v>0</v>
      </c>
      <c r="R18" s="45">
        <f t="shared" si="5"/>
        <v>0</v>
      </c>
      <c r="S18" s="55">
        <f t="shared" si="6"/>
        <v>2016</v>
      </c>
      <c r="T18" s="55">
        <f t="shared" si="7"/>
        <v>1</v>
      </c>
      <c r="U18" s="55">
        <f t="shared" si="8"/>
        <v>1</v>
      </c>
      <c r="V18" s="55">
        <f t="shared" si="9"/>
        <v>1</v>
      </c>
      <c r="W18" s="55">
        <f t="shared" si="10"/>
        <v>1</v>
      </c>
      <c r="X18" s="55">
        <f t="shared" si="11"/>
        <v>1</v>
      </c>
      <c r="Y18" s="55">
        <f t="shared" si="12"/>
        <v>1</v>
      </c>
      <c r="Z18" s="55">
        <f t="shared" si="13"/>
        <v>1</v>
      </c>
      <c r="AA18" s="55">
        <f t="shared" si="14"/>
        <v>1</v>
      </c>
      <c r="AB18" s="55">
        <f t="shared" si="15"/>
        <v>1</v>
      </c>
      <c r="AC18" s="55">
        <f t="shared" si="16"/>
        <v>1</v>
      </c>
    </row>
    <row r="19" spans="3:29" x14ac:dyDescent="0.3">
      <c r="C19">
        <f t="shared" si="1"/>
        <v>1</v>
      </c>
      <c r="D19">
        <f>Incurred_loss!$C17</f>
        <v>2016</v>
      </c>
      <c r="E19" s="45">
        <f>Incurred_loss!S17</f>
        <v>3619793.2702687052</v>
      </c>
      <c r="F19" s="45">
        <f>Incurred_loss!T17</f>
        <v>3059917.8840752998</v>
      </c>
      <c r="G19" s="45">
        <f>Incurred_loss!U17</f>
        <v>3468493.2372203339</v>
      </c>
      <c r="H19" s="45">
        <f>Incurred_loss!V17</f>
        <v>3409370.6416846784</v>
      </c>
      <c r="I19" s="45">
        <f>Incurred_loss!W17</f>
        <v>4395391.4615959115</v>
      </c>
      <c r="J19" s="45">
        <f>Incurred_loss!X17</f>
        <v>4000176.1406406509</v>
      </c>
      <c r="K19" s="45">
        <f>Incurred_loss!Y17</f>
        <v>3704185.3495464353</v>
      </c>
      <c r="L19" s="45">
        <f>Incurred_loss!Z17</f>
        <v>3642551.405535724</v>
      </c>
      <c r="M19" s="45">
        <f>Incurred_loss!AA17</f>
        <v>3822225.1781560075</v>
      </c>
      <c r="N19" s="45">
        <f>Incurred_loss!AB17</f>
        <v>3807225.1692698291</v>
      </c>
      <c r="O19" s="48">
        <f t="shared" si="2"/>
        <v>3807225.1692698291</v>
      </c>
      <c r="P19" s="47">
        <f t="shared" si="3"/>
        <v>0.64375344120898537</v>
      </c>
      <c r="Q19" s="45">
        <f t="shared" si="4"/>
        <v>0</v>
      </c>
      <c r="R19" s="45">
        <f t="shared" si="5"/>
        <v>0</v>
      </c>
      <c r="S19" s="55">
        <f t="shared" si="6"/>
        <v>2016</v>
      </c>
      <c r="T19" s="55">
        <f t="shared" si="7"/>
        <v>1</v>
      </c>
      <c r="U19" s="55">
        <f t="shared" si="8"/>
        <v>1</v>
      </c>
      <c r="V19" s="55">
        <f t="shared" si="9"/>
        <v>1</v>
      </c>
      <c r="W19" s="55">
        <f t="shared" si="10"/>
        <v>1</v>
      </c>
      <c r="X19" s="55">
        <f t="shared" si="11"/>
        <v>1</v>
      </c>
      <c r="Y19" s="55">
        <f t="shared" si="12"/>
        <v>1</v>
      </c>
      <c r="Z19" s="55">
        <f t="shared" si="13"/>
        <v>1</v>
      </c>
      <c r="AA19" s="55">
        <f t="shared" si="14"/>
        <v>1</v>
      </c>
      <c r="AB19" s="55">
        <f t="shared" si="15"/>
        <v>1</v>
      </c>
      <c r="AC19" s="55">
        <f t="shared" si="16"/>
        <v>1</v>
      </c>
    </row>
    <row r="20" spans="3:29" x14ac:dyDescent="0.3">
      <c r="C20">
        <f t="shared" si="1"/>
        <v>1</v>
      </c>
      <c r="D20">
        <f>Incurred_loss!$C18</f>
        <v>2017</v>
      </c>
      <c r="E20" s="45">
        <f>Incurred_loss!S18</f>
        <v>5203392.148422976</v>
      </c>
      <c r="F20" s="45">
        <f>Incurred_loss!T18</f>
        <v>4447840.7296354836</v>
      </c>
      <c r="G20" s="45">
        <f>Incurred_loss!U18</f>
        <v>4699246.5035641734</v>
      </c>
      <c r="H20" s="45">
        <f>Incurred_loss!V18</f>
        <v>4562017.0046321144</v>
      </c>
      <c r="I20" s="45">
        <f>Incurred_loss!W18</f>
        <v>4491570.2701692423</v>
      </c>
      <c r="J20" s="45">
        <f>Incurred_loss!X18</f>
        <v>4554489.6701463349</v>
      </c>
      <c r="K20" s="45">
        <f>Incurred_loss!Y18</f>
        <v>4555388.9595937487</v>
      </c>
      <c r="L20" s="45">
        <f>Incurred_loss!Z18</f>
        <v>4554901.2310518101</v>
      </c>
      <c r="M20" s="45">
        <f>Incurred_loss!AA18</f>
        <v>4554760.2497885451</v>
      </c>
      <c r="N20" s="49">
        <f>M20*N$120</f>
        <v>4554760.2497885451</v>
      </c>
      <c r="O20" s="48">
        <f t="shared" si="2"/>
        <v>4554760.2497885451</v>
      </c>
      <c r="P20" s="47">
        <f t="shared" si="3"/>
        <v>0.82302571425269111</v>
      </c>
      <c r="Q20" s="45">
        <f t="shared" si="4"/>
        <v>1</v>
      </c>
      <c r="R20" s="45">
        <f t="shared" si="5"/>
        <v>0</v>
      </c>
      <c r="S20" s="55">
        <f t="shared" si="6"/>
        <v>2017</v>
      </c>
      <c r="T20" s="55">
        <f t="shared" ref="T20:T32" si="17">IF(E20&gt;$E$2,1,0)</f>
        <v>1</v>
      </c>
      <c r="U20" s="55">
        <f t="shared" ref="U20:U32" si="18">IF(F20&gt;$E$2,1,0)</f>
        <v>1</v>
      </c>
      <c r="V20" s="55">
        <f t="shared" ref="V20:V32" si="19">IF(G20&gt;$E$2,1,0)</f>
        <v>1</v>
      </c>
      <c r="W20" s="55">
        <f t="shared" ref="W20:W32" si="20">IF(H20&gt;$E$2,1,0)</f>
        <v>1</v>
      </c>
      <c r="X20" s="55">
        <f t="shared" ref="X20:X32" si="21">IF(I20&gt;$E$2,1,0)</f>
        <v>1</v>
      </c>
      <c r="Y20" s="55">
        <f t="shared" ref="Y20:Y32" si="22">IF(J20&gt;$E$2,1,0)</f>
        <v>1</v>
      </c>
      <c r="Z20" s="55">
        <f t="shared" ref="Z20:Z32" si="23">IF(K20&gt;$E$2,1,0)</f>
        <v>1</v>
      </c>
      <c r="AA20" s="55">
        <f t="shared" ref="AA20:AA32" si="24">IF(L20&gt;$E$2,1,0)</f>
        <v>1</v>
      </c>
      <c r="AB20" s="55">
        <f t="shared" ref="AB20:AB32" si="25">IF(M20&gt;$E$2,1,0)</f>
        <v>1</v>
      </c>
    </row>
    <row r="21" spans="3:29" x14ac:dyDescent="0.3">
      <c r="C21">
        <f t="shared" si="1"/>
        <v>1</v>
      </c>
      <c r="D21">
        <f>Incurred_loss!$C19</f>
        <v>2017</v>
      </c>
      <c r="E21" s="45">
        <f>Incurred_loss!S19</f>
        <v>3472143.2404432977</v>
      </c>
      <c r="F21" s="45">
        <f>Incurred_loss!T19</f>
        <v>1949690.9370552276</v>
      </c>
      <c r="G21" s="45">
        <f>Incurred_loss!U19</f>
        <v>2424250.6844135746</v>
      </c>
      <c r="H21" s="45">
        <f>Incurred_loss!V19</f>
        <v>2156709.6996040354</v>
      </c>
      <c r="I21" s="45">
        <f>Incurred_loss!W19</f>
        <v>2159021.2505650679</v>
      </c>
      <c r="J21" s="45">
        <f>Incurred_loss!X19</f>
        <v>2119925.2035879735</v>
      </c>
      <c r="K21" s="45">
        <f>Incurred_loss!Y19</f>
        <v>2133255.8133411473</v>
      </c>
      <c r="L21" s="45">
        <f>Incurred_loss!Z19</f>
        <v>2108064.4512475119</v>
      </c>
      <c r="M21" s="45">
        <f>Incurred_loss!AA19</f>
        <v>2118591.0909190089</v>
      </c>
      <c r="N21" s="49">
        <f t="shared" ref="N21:N84" si="26">M21*N$120</f>
        <v>2118591.0909190089</v>
      </c>
      <c r="O21" s="48">
        <f t="shared" si="2"/>
        <v>2118591.0909190089</v>
      </c>
      <c r="P21" s="47">
        <f t="shared" si="3"/>
        <v>5.7604107437776282E-2</v>
      </c>
      <c r="Q21" s="45">
        <f t="shared" si="4"/>
        <v>0</v>
      </c>
      <c r="R21" s="45">
        <f t="shared" si="5"/>
        <v>0</v>
      </c>
      <c r="S21" s="55">
        <f t="shared" si="6"/>
        <v>2017</v>
      </c>
      <c r="T21" s="55">
        <f t="shared" si="17"/>
        <v>1</v>
      </c>
      <c r="U21" s="55">
        <f t="shared" si="18"/>
        <v>0</v>
      </c>
      <c r="V21" s="55">
        <f t="shared" si="19"/>
        <v>1</v>
      </c>
      <c r="W21" s="55">
        <f t="shared" si="20"/>
        <v>1</v>
      </c>
      <c r="X21" s="55">
        <f t="shared" si="21"/>
        <v>1</v>
      </c>
      <c r="Y21" s="55">
        <f t="shared" si="22"/>
        <v>1</v>
      </c>
      <c r="Z21" s="55">
        <f t="shared" si="23"/>
        <v>1</v>
      </c>
      <c r="AA21" s="55">
        <f t="shared" si="24"/>
        <v>1</v>
      </c>
      <c r="AB21" s="55">
        <f t="shared" si="25"/>
        <v>1</v>
      </c>
    </row>
    <row r="22" spans="3:29" x14ac:dyDescent="0.3">
      <c r="C22">
        <f t="shared" si="1"/>
        <v>1</v>
      </c>
      <c r="D22">
        <f>Incurred_loss!$C20</f>
        <v>2017</v>
      </c>
      <c r="E22" s="45">
        <f>Incurred_loss!S20</f>
        <v>2954121.0922918534</v>
      </c>
      <c r="F22" s="45">
        <f>Incurred_loss!T20</f>
        <v>3280641.6895101597</v>
      </c>
      <c r="G22" s="45">
        <f>Incurred_loss!U20</f>
        <v>3305010.5059686364</v>
      </c>
      <c r="H22" s="45">
        <f>Incurred_loss!V20</f>
        <v>3114595.6261554048</v>
      </c>
      <c r="I22" s="45">
        <f>Incurred_loss!W20</f>
        <v>3389154.6476252633</v>
      </c>
      <c r="J22" s="45">
        <f>Incurred_loss!X20</f>
        <v>3157887.5143518136</v>
      </c>
      <c r="K22" s="45">
        <f>Incurred_loss!Y20</f>
        <v>3189960.9233727013</v>
      </c>
      <c r="L22" s="45">
        <f>Incurred_loss!Z20</f>
        <v>3140606.9210096924</v>
      </c>
      <c r="M22" s="45">
        <f>Incurred_loss!AA20</f>
        <v>3147983.3311646944</v>
      </c>
      <c r="N22" s="49">
        <f t="shared" si="26"/>
        <v>3147983.3311646944</v>
      </c>
      <c r="O22" s="48">
        <f t="shared" si="2"/>
        <v>3147983.3311646944</v>
      </c>
      <c r="P22" s="47">
        <f t="shared" si="3"/>
        <v>0.45361485492550468</v>
      </c>
      <c r="Q22" s="45">
        <f t="shared" si="4"/>
        <v>0</v>
      </c>
      <c r="R22" s="45">
        <f t="shared" si="5"/>
        <v>0</v>
      </c>
      <c r="S22" s="55">
        <f t="shared" si="6"/>
        <v>2017</v>
      </c>
      <c r="T22" s="55">
        <f t="shared" si="17"/>
        <v>1</v>
      </c>
      <c r="U22" s="55">
        <f t="shared" si="18"/>
        <v>1</v>
      </c>
      <c r="V22" s="55">
        <f t="shared" si="19"/>
        <v>1</v>
      </c>
      <c r="W22" s="55">
        <f t="shared" si="20"/>
        <v>1</v>
      </c>
      <c r="X22" s="55">
        <f t="shared" si="21"/>
        <v>1</v>
      </c>
      <c r="Y22" s="55">
        <f t="shared" si="22"/>
        <v>1</v>
      </c>
      <c r="Z22" s="55">
        <f t="shared" si="23"/>
        <v>1</v>
      </c>
      <c r="AA22" s="55">
        <f t="shared" si="24"/>
        <v>1</v>
      </c>
      <c r="AB22" s="55">
        <f t="shared" si="25"/>
        <v>1</v>
      </c>
    </row>
    <row r="23" spans="3:29" x14ac:dyDescent="0.3">
      <c r="C23">
        <f t="shared" si="1"/>
        <v>0</v>
      </c>
      <c r="D23">
        <f>Incurred_loss!$C21</f>
        <v>2017</v>
      </c>
      <c r="E23" s="45">
        <f>Incurred_loss!S21</f>
        <v>3110941.0010807123</v>
      </c>
      <c r="F23" s="45">
        <f>Incurred_loss!T21</f>
        <v>2220941.5548027237</v>
      </c>
      <c r="G23" s="45">
        <f>Incurred_loss!U21</f>
        <v>1383479.7310885845</v>
      </c>
      <c r="H23" s="45">
        <f>Incurred_loss!V21</f>
        <v>1911896.1208925638</v>
      </c>
      <c r="I23" s="45">
        <f>Incurred_loss!W21</f>
        <v>1960747.1198002892</v>
      </c>
      <c r="J23" s="45">
        <f>Incurred_loss!X21</f>
        <v>1960747.0870069421</v>
      </c>
      <c r="K23" s="45">
        <f>Incurred_loss!Y21</f>
        <v>1960747.078357711</v>
      </c>
      <c r="L23" s="45">
        <f>Incurred_loss!Z21</f>
        <v>1960747.0783812099</v>
      </c>
      <c r="M23" s="45">
        <f>Incurred_loss!AA21</f>
        <v>1960747.0783730501</v>
      </c>
      <c r="N23" s="49">
        <f t="shared" si="26"/>
        <v>1960747.0783730501</v>
      </c>
      <c r="O23" s="48">
        <f t="shared" si="2"/>
        <v>1960747.0783730501</v>
      </c>
      <c r="P23" s="47" t="str">
        <f t="shared" si="3"/>
        <v>-</v>
      </c>
      <c r="Q23" s="45">
        <f t="shared" si="4"/>
        <v>0</v>
      </c>
      <c r="R23" s="45">
        <f t="shared" si="5"/>
        <v>0</v>
      </c>
      <c r="S23" s="55">
        <f t="shared" si="6"/>
        <v>2017</v>
      </c>
      <c r="T23" s="55">
        <f t="shared" si="17"/>
        <v>1</v>
      </c>
      <c r="U23" s="55">
        <f t="shared" si="18"/>
        <v>1</v>
      </c>
      <c r="V23" s="55">
        <f t="shared" si="19"/>
        <v>0</v>
      </c>
      <c r="W23" s="55">
        <f t="shared" si="20"/>
        <v>0</v>
      </c>
      <c r="X23" s="55">
        <f t="shared" si="21"/>
        <v>0</v>
      </c>
      <c r="Y23" s="55">
        <f t="shared" si="22"/>
        <v>0</v>
      </c>
      <c r="Z23" s="55">
        <f t="shared" si="23"/>
        <v>0</v>
      </c>
      <c r="AA23" s="55">
        <f t="shared" si="24"/>
        <v>0</v>
      </c>
      <c r="AB23" s="55">
        <f t="shared" si="25"/>
        <v>0</v>
      </c>
    </row>
    <row r="24" spans="3:29" x14ac:dyDescent="0.3">
      <c r="C24">
        <f t="shared" si="1"/>
        <v>1</v>
      </c>
      <c r="D24">
        <f>Incurred_loss!$C22</f>
        <v>2017</v>
      </c>
      <c r="E24" s="45">
        <f>Incurred_loss!S22</f>
        <v>2543585.7694570827</v>
      </c>
      <c r="F24" s="45">
        <f>Incurred_loss!T22</f>
        <v>3569624.0675953315</v>
      </c>
      <c r="G24" s="45">
        <f>Incurred_loss!U22</f>
        <v>3925297.1807503095</v>
      </c>
      <c r="H24" s="45">
        <f>Incurred_loss!V22</f>
        <v>4084692.1976764998</v>
      </c>
      <c r="I24" s="45">
        <f>Incurred_loss!W22</f>
        <v>4111325.6791235469</v>
      </c>
      <c r="J24" s="45">
        <f>Incurred_loss!X22</f>
        <v>4102037.7711516437</v>
      </c>
      <c r="K24" s="45">
        <f>Incurred_loss!Y22</f>
        <v>4101583.5006314749</v>
      </c>
      <c r="L24" s="45">
        <f>Incurred_loss!Z22</f>
        <v>4099353.1421023337</v>
      </c>
      <c r="M24" s="45">
        <f>Incurred_loss!AA22</f>
        <v>4100753.9297875995</v>
      </c>
      <c r="N24" s="49">
        <f t="shared" si="26"/>
        <v>4100753.9297875995</v>
      </c>
      <c r="O24" s="48">
        <f t="shared" si="2"/>
        <v>4100753.9297875995</v>
      </c>
      <c r="P24" s="47">
        <f t="shared" si="3"/>
        <v>0.71802366155953357</v>
      </c>
      <c r="Q24" s="45">
        <f t="shared" si="4"/>
        <v>1</v>
      </c>
      <c r="R24" s="45">
        <f t="shared" si="5"/>
        <v>0</v>
      </c>
      <c r="S24" s="55">
        <f t="shared" si="6"/>
        <v>2017</v>
      </c>
      <c r="T24" s="55">
        <f t="shared" si="17"/>
        <v>1</v>
      </c>
      <c r="U24" s="55">
        <f t="shared" si="18"/>
        <v>1</v>
      </c>
      <c r="V24" s="55">
        <f t="shared" si="19"/>
        <v>1</v>
      </c>
      <c r="W24" s="55">
        <f t="shared" si="20"/>
        <v>1</v>
      </c>
      <c r="X24" s="55">
        <f t="shared" si="21"/>
        <v>1</v>
      </c>
      <c r="Y24" s="55">
        <f t="shared" si="22"/>
        <v>1</v>
      </c>
      <c r="Z24" s="55">
        <f t="shared" si="23"/>
        <v>1</v>
      </c>
      <c r="AA24" s="55">
        <f t="shared" si="24"/>
        <v>1</v>
      </c>
      <c r="AB24" s="55">
        <f t="shared" si="25"/>
        <v>1</v>
      </c>
    </row>
    <row r="25" spans="3:29" x14ac:dyDescent="0.3">
      <c r="C25">
        <f t="shared" si="1"/>
        <v>0</v>
      </c>
      <c r="D25">
        <f>Incurred_loss!$C23</f>
        <v>2017</v>
      </c>
      <c r="E25" s="45">
        <f>Incurred_loss!S23</f>
        <v>1527914.4039625286</v>
      </c>
      <c r="F25" s="45">
        <f>Incurred_loss!T23</f>
        <v>1495286.886468648</v>
      </c>
      <c r="G25" s="45">
        <f>Incurred_loss!U23</f>
        <v>1484519.4019812248</v>
      </c>
      <c r="H25" s="45">
        <f>Incurred_loss!V23</f>
        <v>1669537.0033176767</v>
      </c>
      <c r="I25" s="45">
        <f>Incurred_loss!W23</f>
        <v>1660390.5280471023</v>
      </c>
      <c r="J25" s="45">
        <f>Incurred_loss!X23</f>
        <v>1659005.2846404545</v>
      </c>
      <c r="K25" s="45">
        <f>Incurred_loss!Y23</f>
        <v>1659678.2315805538</v>
      </c>
      <c r="L25" s="45">
        <f>Incurred_loss!Z23</f>
        <v>1659350.9232021885</v>
      </c>
      <c r="M25" s="45">
        <f>Incurred_loss!AA23</f>
        <v>1659147.7848088506</v>
      </c>
      <c r="N25" s="49">
        <f t="shared" si="26"/>
        <v>1659147.7848088506</v>
      </c>
      <c r="O25" s="48">
        <f t="shared" si="2"/>
        <v>1659147.7848088506</v>
      </c>
      <c r="P25" s="47" t="str">
        <f t="shared" si="3"/>
        <v>-</v>
      </c>
      <c r="Q25" s="45">
        <f t="shared" si="4"/>
        <v>0</v>
      </c>
      <c r="R25" s="45">
        <f t="shared" si="5"/>
        <v>0</v>
      </c>
      <c r="S25" s="55">
        <f t="shared" si="6"/>
        <v>2017</v>
      </c>
      <c r="T25" s="55">
        <f t="shared" si="17"/>
        <v>0</v>
      </c>
      <c r="U25" s="55">
        <f t="shared" si="18"/>
        <v>0</v>
      </c>
      <c r="V25" s="55">
        <f t="shared" si="19"/>
        <v>0</v>
      </c>
      <c r="W25" s="55">
        <f t="shared" si="20"/>
        <v>0</v>
      </c>
      <c r="X25" s="55">
        <f t="shared" si="21"/>
        <v>0</v>
      </c>
      <c r="Y25" s="55">
        <f t="shared" si="22"/>
        <v>0</v>
      </c>
      <c r="Z25" s="55">
        <f t="shared" si="23"/>
        <v>0</v>
      </c>
      <c r="AA25" s="55">
        <f t="shared" si="24"/>
        <v>0</v>
      </c>
      <c r="AB25" s="55">
        <f t="shared" si="25"/>
        <v>0</v>
      </c>
    </row>
    <row r="26" spans="3:29" x14ac:dyDescent="0.3">
      <c r="C26">
        <f t="shared" si="1"/>
        <v>1</v>
      </c>
      <c r="D26">
        <f>Incurred_loss!$C24</f>
        <v>2017</v>
      </c>
      <c r="E26" s="45">
        <f>Incurred_loss!S24</f>
        <v>8209874.1330190338</v>
      </c>
      <c r="F26" s="45">
        <f>Incurred_loss!T24</f>
        <v>5466829.6932244627</v>
      </c>
      <c r="G26" s="45">
        <f>Incurred_loss!U24</f>
        <v>5805640.6493491549</v>
      </c>
      <c r="H26" s="45">
        <f>Incurred_loss!V24</f>
        <v>6307365.2347372463</v>
      </c>
      <c r="I26" s="45">
        <f>Incurred_loss!W24</f>
        <v>6051517.0829876773</v>
      </c>
      <c r="J26" s="45">
        <f>Incurred_loss!X24</f>
        <v>6026292.4886613004</v>
      </c>
      <c r="K26" s="45">
        <f>Incurred_loss!Y24</f>
        <v>6026256.0153700635</v>
      </c>
      <c r="L26" s="45">
        <f>Incurred_loss!Z24</f>
        <v>6026251.7508366769</v>
      </c>
      <c r="M26" s="45">
        <f>Incurred_loss!AA24</f>
        <v>6026242.8946571602</v>
      </c>
      <c r="N26" s="49">
        <f t="shared" si="26"/>
        <v>6026242.8946571602</v>
      </c>
      <c r="O26" s="48">
        <f t="shared" si="2"/>
        <v>6026242.8946571602</v>
      </c>
      <c r="P26" s="47">
        <f t="shared" si="3"/>
        <v>1.1029765671116589</v>
      </c>
      <c r="Q26" s="45">
        <f t="shared" si="4"/>
        <v>1</v>
      </c>
      <c r="R26" s="45">
        <f t="shared" si="5"/>
        <v>0</v>
      </c>
      <c r="S26" s="55">
        <f t="shared" si="6"/>
        <v>2017</v>
      </c>
      <c r="T26" s="55">
        <f t="shared" si="17"/>
        <v>1</v>
      </c>
      <c r="U26" s="55">
        <f t="shared" si="18"/>
        <v>1</v>
      </c>
      <c r="V26" s="55">
        <f t="shared" si="19"/>
        <v>1</v>
      </c>
      <c r="W26" s="55">
        <f t="shared" si="20"/>
        <v>1</v>
      </c>
      <c r="X26" s="55">
        <f t="shared" si="21"/>
        <v>1</v>
      </c>
      <c r="Y26" s="55">
        <f t="shared" si="22"/>
        <v>1</v>
      </c>
      <c r="Z26" s="55">
        <f t="shared" si="23"/>
        <v>1</v>
      </c>
      <c r="AA26" s="55">
        <f t="shared" si="24"/>
        <v>1</v>
      </c>
      <c r="AB26" s="55">
        <f t="shared" si="25"/>
        <v>1</v>
      </c>
    </row>
    <row r="27" spans="3:29" x14ac:dyDescent="0.3">
      <c r="C27">
        <f t="shared" si="1"/>
        <v>1</v>
      </c>
      <c r="D27">
        <f>Incurred_loss!$C25</f>
        <v>2017</v>
      </c>
      <c r="E27" s="45">
        <f>Incurred_loss!S25</f>
        <v>2565913.1861936403</v>
      </c>
      <c r="F27" s="45">
        <f>Incurred_loss!T25</f>
        <v>4057496.6511498117</v>
      </c>
      <c r="G27" s="45">
        <f>Incurred_loss!U25</f>
        <v>2129306.4964282732</v>
      </c>
      <c r="H27" s="45">
        <f>Incurred_loss!V25</f>
        <v>2182322.7114651278</v>
      </c>
      <c r="I27" s="45">
        <f>Incurred_loss!W25</f>
        <v>2335214.5489606978</v>
      </c>
      <c r="J27" s="45">
        <f>Incurred_loss!X25</f>
        <v>2363665.5245466307</v>
      </c>
      <c r="K27" s="45">
        <f>Incurred_loss!Y25</f>
        <v>2343612.5904779388</v>
      </c>
      <c r="L27" s="45">
        <f>Incurred_loss!Z25</f>
        <v>2344063.7657622667</v>
      </c>
      <c r="M27" s="45">
        <f>Incurred_loss!AA25</f>
        <v>2345303.9227981973</v>
      </c>
      <c r="N27" s="49">
        <f t="shared" si="26"/>
        <v>2345303.9227981973</v>
      </c>
      <c r="O27" s="48">
        <f t="shared" si="2"/>
        <v>2345303.9227981973</v>
      </c>
      <c r="P27" s="47">
        <f t="shared" si="3"/>
        <v>0.15926781754512118</v>
      </c>
      <c r="Q27" s="45">
        <f t="shared" si="4"/>
        <v>0</v>
      </c>
      <c r="R27" s="45">
        <f t="shared" si="5"/>
        <v>0</v>
      </c>
      <c r="S27" s="55">
        <f t="shared" si="6"/>
        <v>2017</v>
      </c>
      <c r="T27" s="55">
        <f t="shared" si="17"/>
        <v>1</v>
      </c>
      <c r="U27" s="55">
        <f t="shared" si="18"/>
        <v>1</v>
      </c>
      <c r="V27" s="55">
        <f t="shared" si="19"/>
        <v>1</v>
      </c>
      <c r="W27" s="55">
        <f t="shared" si="20"/>
        <v>1</v>
      </c>
      <c r="X27" s="55">
        <f t="shared" si="21"/>
        <v>1</v>
      </c>
      <c r="Y27" s="55">
        <f t="shared" si="22"/>
        <v>1</v>
      </c>
      <c r="Z27" s="55">
        <f t="shared" si="23"/>
        <v>1</v>
      </c>
      <c r="AA27" s="55">
        <f t="shared" si="24"/>
        <v>1</v>
      </c>
      <c r="AB27" s="55">
        <f t="shared" si="25"/>
        <v>1</v>
      </c>
    </row>
    <row r="28" spans="3:29" x14ac:dyDescent="0.3">
      <c r="C28">
        <f t="shared" si="1"/>
        <v>0</v>
      </c>
      <c r="D28">
        <f>Incurred_loss!$C26</f>
        <v>2017</v>
      </c>
      <c r="E28" s="45">
        <f>Incurred_loss!S26</f>
        <v>1657511.0016514342</v>
      </c>
      <c r="F28" s="45">
        <f>Incurred_loss!T26</f>
        <v>1978766.9443399711</v>
      </c>
      <c r="G28" s="45">
        <f>Incurred_loss!U26</f>
        <v>1680079.8555134607</v>
      </c>
      <c r="H28" s="45">
        <f>Incurred_loss!V26</f>
        <v>1759297.199428797</v>
      </c>
      <c r="I28" s="45">
        <f>Incurred_loss!W26</f>
        <v>1633029.1160748368</v>
      </c>
      <c r="J28" s="45">
        <f>Incurred_loss!X26</f>
        <v>1709947.1303271821</v>
      </c>
      <c r="K28" s="45">
        <f>Incurred_loss!Y26</f>
        <v>1680131.9297368489</v>
      </c>
      <c r="L28" s="45">
        <f>Incurred_loss!Z26</f>
        <v>1677253.1475088238</v>
      </c>
      <c r="M28" s="45">
        <f>Incurred_loss!AA26</f>
        <v>1674741.1043204458</v>
      </c>
      <c r="N28" s="49">
        <f t="shared" si="26"/>
        <v>1674741.1043204458</v>
      </c>
      <c r="O28" s="48">
        <f t="shared" si="2"/>
        <v>1674741.1043204458</v>
      </c>
      <c r="P28" s="47" t="str">
        <f t="shared" si="3"/>
        <v>-</v>
      </c>
      <c r="Q28" s="45">
        <f t="shared" si="4"/>
        <v>0</v>
      </c>
      <c r="R28" s="45">
        <f t="shared" si="5"/>
        <v>0</v>
      </c>
      <c r="S28" s="55">
        <f t="shared" si="6"/>
        <v>2017</v>
      </c>
      <c r="T28" s="55">
        <f t="shared" si="17"/>
        <v>0</v>
      </c>
      <c r="U28" s="55">
        <f t="shared" si="18"/>
        <v>0</v>
      </c>
      <c r="V28" s="55">
        <f t="shared" si="19"/>
        <v>0</v>
      </c>
      <c r="W28" s="55">
        <f t="shared" si="20"/>
        <v>0</v>
      </c>
      <c r="X28" s="55">
        <f t="shared" si="21"/>
        <v>0</v>
      </c>
      <c r="Y28" s="55">
        <f t="shared" si="22"/>
        <v>0</v>
      </c>
      <c r="Z28" s="55">
        <f t="shared" si="23"/>
        <v>0</v>
      </c>
      <c r="AA28" s="55">
        <f t="shared" si="24"/>
        <v>0</v>
      </c>
      <c r="AB28" s="55">
        <f t="shared" si="25"/>
        <v>0</v>
      </c>
    </row>
    <row r="29" spans="3:29" x14ac:dyDescent="0.3">
      <c r="C29">
        <f t="shared" si="1"/>
        <v>0</v>
      </c>
      <c r="D29">
        <f>Incurred_loss!$C27</f>
        <v>2017</v>
      </c>
      <c r="E29" s="45">
        <f>Incurred_loss!S27</f>
        <v>1057605.7704876333</v>
      </c>
      <c r="F29" s="45">
        <f>Incurred_loss!T27</f>
        <v>1659589.5877203234</v>
      </c>
      <c r="G29" s="45">
        <f>Incurred_loss!U27</f>
        <v>1122267.7646879354</v>
      </c>
      <c r="H29" s="45">
        <f>Incurred_loss!V27</f>
        <v>1177611.8500038339</v>
      </c>
      <c r="I29" s="45">
        <f>Incurred_loss!W27</f>
        <v>1188135.662533704</v>
      </c>
      <c r="J29" s="45">
        <f>Incurred_loss!X27</f>
        <v>1123871.6942783205</v>
      </c>
      <c r="K29" s="45">
        <f>Incurred_loss!Y27</f>
        <v>1117009.8392926487</v>
      </c>
      <c r="L29" s="45">
        <f>Incurred_loss!Z27</f>
        <v>1117087.605850765</v>
      </c>
      <c r="M29" s="45">
        <f>Incurred_loss!AA27</f>
        <v>1116918.3795102111</v>
      </c>
      <c r="N29" s="49">
        <f t="shared" si="26"/>
        <v>1116918.3795102111</v>
      </c>
      <c r="O29" s="48">
        <f t="shared" si="2"/>
        <v>1116918.3795102111</v>
      </c>
      <c r="P29" s="47" t="str">
        <f t="shared" si="3"/>
        <v>-</v>
      </c>
      <c r="Q29" s="45">
        <f t="shared" si="4"/>
        <v>0</v>
      </c>
      <c r="R29" s="45">
        <f t="shared" si="5"/>
        <v>0</v>
      </c>
      <c r="S29" s="55">
        <f t="shared" si="6"/>
        <v>2017</v>
      </c>
      <c r="T29" s="55">
        <f t="shared" si="17"/>
        <v>0</v>
      </c>
      <c r="U29" s="55">
        <f t="shared" si="18"/>
        <v>0</v>
      </c>
      <c r="V29" s="55">
        <f t="shared" si="19"/>
        <v>0</v>
      </c>
      <c r="W29" s="55">
        <f t="shared" si="20"/>
        <v>0</v>
      </c>
      <c r="X29" s="55">
        <f t="shared" si="21"/>
        <v>0</v>
      </c>
      <c r="Y29" s="55">
        <f t="shared" si="22"/>
        <v>0</v>
      </c>
      <c r="Z29" s="55">
        <f t="shared" si="23"/>
        <v>0</v>
      </c>
      <c r="AA29" s="55">
        <f t="shared" si="24"/>
        <v>0</v>
      </c>
      <c r="AB29" s="55">
        <f t="shared" si="25"/>
        <v>0</v>
      </c>
    </row>
    <row r="30" spans="3:29" x14ac:dyDescent="0.3">
      <c r="C30">
        <f t="shared" si="1"/>
        <v>1</v>
      </c>
      <c r="D30">
        <f>Incurred_loss!$C28</f>
        <v>2017</v>
      </c>
      <c r="E30" s="45">
        <f>Incurred_loss!S28</f>
        <v>1639376.6754386465</v>
      </c>
      <c r="F30" s="45">
        <f>Incurred_loss!T28</f>
        <v>4339034.6381610818</v>
      </c>
      <c r="G30" s="45">
        <f>Incurred_loss!U28</f>
        <v>3743044.0632876349</v>
      </c>
      <c r="H30" s="45">
        <f>Incurred_loss!V28</f>
        <v>3597192.4409892196</v>
      </c>
      <c r="I30" s="45">
        <f>Incurred_loss!W28</f>
        <v>3546566.5711646262</v>
      </c>
      <c r="J30" s="45">
        <f>Incurred_loss!X28</f>
        <v>3570103.0943055125</v>
      </c>
      <c r="K30" s="45">
        <f>Incurred_loss!Y28</f>
        <v>3570134.4415562204</v>
      </c>
      <c r="L30" s="45">
        <f>Incurred_loss!Z28</f>
        <v>3569619.1574875941</v>
      </c>
      <c r="M30" s="45">
        <f>Incurred_loss!AA28</f>
        <v>3569618.0568383485</v>
      </c>
      <c r="N30" s="49">
        <f t="shared" si="26"/>
        <v>3569618.0568383485</v>
      </c>
      <c r="O30" s="48">
        <f t="shared" si="2"/>
        <v>3569618.0568383485</v>
      </c>
      <c r="P30" s="47">
        <f t="shared" si="3"/>
        <v>0.57931142262808344</v>
      </c>
      <c r="Q30" s="45">
        <f t="shared" si="4"/>
        <v>0</v>
      </c>
      <c r="R30" s="45">
        <f t="shared" si="5"/>
        <v>0</v>
      </c>
      <c r="S30" s="55">
        <f t="shared" si="6"/>
        <v>2017</v>
      </c>
      <c r="T30" s="55">
        <f t="shared" si="17"/>
        <v>0</v>
      </c>
      <c r="U30" s="55">
        <f t="shared" si="18"/>
        <v>1</v>
      </c>
      <c r="V30" s="55">
        <f t="shared" si="19"/>
        <v>1</v>
      </c>
      <c r="W30" s="55">
        <f t="shared" si="20"/>
        <v>1</v>
      </c>
      <c r="X30" s="55">
        <f t="shared" si="21"/>
        <v>1</v>
      </c>
      <c r="Y30" s="55">
        <f t="shared" si="22"/>
        <v>1</v>
      </c>
      <c r="Z30" s="55">
        <f t="shared" si="23"/>
        <v>1</v>
      </c>
      <c r="AA30" s="55">
        <f t="shared" si="24"/>
        <v>1</v>
      </c>
      <c r="AB30" s="55">
        <f t="shared" si="25"/>
        <v>1</v>
      </c>
    </row>
    <row r="31" spans="3:29" x14ac:dyDescent="0.3">
      <c r="C31">
        <f t="shared" si="1"/>
        <v>1</v>
      </c>
      <c r="D31">
        <f>Incurred_loss!$C29</f>
        <v>2017</v>
      </c>
      <c r="E31" s="45">
        <f>Incurred_loss!S29</f>
        <v>9795765.9902207945</v>
      </c>
      <c r="F31" s="45">
        <f>Incurred_loss!T29</f>
        <v>5591858.8903607754</v>
      </c>
      <c r="G31" s="45">
        <f>Incurred_loss!U29</f>
        <v>4498436.2221482676</v>
      </c>
      <c r="H31" s="45">
        <f>Incurred_loss!V29</f>
        <v>5772221.2181333108</v>
      </c>
      <c r="I31" s="45">
        <f>Incurred_loss!W29</f>
        <v>5018951.3139301362</v>
      </c>
      <c r="J31" s="45">
        <f>Incurred_loss!X29</f>
        <v>5309892.2330461536</v>
      </c>
      <c r="K31" s="45">
        <f>Incurred_loss!Y29</f>
        <v>5224011.139830566</v>
      </c>
      <c r="L31" s="45">
        <f>Incurred_loss!Z29</f>
        <v>5224226.959261138</v>
      </c>
      <c r="M31" s="45">
        <f>Incurred_loss!AA29</f>
        <v>5224144.5975205507</v>
      </c>
      <c r="N31" s="49">
        <f t="shared" si="26"/>
        <v>5224144.5975205507</v>
      </c>
      <c r="O31" s="48">
        <f t="shared" si="2"/>
        <v>5224144.5975205507</v>
      </c>
      <c r="P31" s="47">
        <f t="shared" si="3"/>
        <v>0.96014389049523297</v>
      </c>
      <c r="Q31" s="45">
        <f t="shared" si="4"/>
        <v>1</v>
      </c>
      <c r="R31" s="45">
        <f t="shared" si="5"/>
        <v>0</v>
      </c>
      <c r="S31" s="55">
        <f t="shared" si="6"/>
        <v>2017</v>
      </c>
      <c r="T31" s="55">
        <f t="shared" si="17"/>
        <v>1</v>
      </c>
      <c r="U31" s="55">
        <f t="shared" si="18"/>
        <v>1</v>
      </c>
      <c r="V31" s="55">
        <f t="shared" si="19"/>
        <v>1</v>
      </c>
      <c r="W31" s="55">
        <f t="shared" si="20"/>
        <v>1</v>
      </c>
      <c r="X31" s="55">
        <f t="shared" si="21"/>
        <v>1</v>
      </c>
      <c r="Y31" s="55">
        <f t="shared" si="22"/>
        <v>1</v>
      </c>
      <c r="Z31" s="55">
        <f t="shared" si="23"/>
        <v>1</v>
      </c>
      <c r="AA31" s="55">
        <f t="shared" si="24"/>
        <v>1</v>
      </c>
      <c r="AB31" s="55">
        <f t="shared" si="25"/>
        <v>1</v>
      </c>
    </row>
    <row r="32" spans="3:29" x14ac:dyDescent="0.3">
      <c r="C32">
        <f t="shared" si="1"/>
        <v>1</v>
      </c>
      <c r="D32">
        <f>Incurred_loss!$C30</f>
        <v>2017</v>
      </c>
      <c r="E32" s="45">
        <f>Incurred_loss!S30</f>
        <v>3887680.4476395324</v>
      </c>
      <c r="F32" s="45">
        <f>Incurred_loss!T30</f>
        <v>4929002.7549480796</v>
      </c>
      <c r="G32" s="45">
        <f>Incurred_loss!U30</f>
        <v>4442680.577734815</v>
      </c>
      <c r="H32" s="45">
        <f>Incurred_loss!V30</f>
        <v>4724169.0232365038</v>
      </c>
      <c r="I32" s="45">
        <f>Incurred_loss!W30</f>
        <v>4884898.733753155</v>
      </c>
      <c r="J32" s="45">
        <f>Incurred_loss!X30</f>
        <v>4882664.2898878558</v>
      </c>
      <c r="K32" s="45">
        <f>Incurred_loss!Y30</f>
        <v>4886108.4090180565</v>
      </c>
      <c r="L32" s="45">
        <f>Incurred_loss!Z30</f>
        <v>4885125.3992040623</v>
      </c>
      <c r="M32" s="45">
        <f>Incurred_loss!AA30</f>
        <v>4880599.1453672675</v>
      </c>
      <c r="N32" s="49">
        <f t="shared" si="26"/>
        <v>4880599.1453672675</v>
      </c>
      <c r="O32" s="48">
        <f t="shared" si="2"/>
        <v>4880599.1453672675</v>
      </c>
      <c r="P32" s="47">
        <f t="shared" si="3"/>
        <v>0.89212080745880618</v>
      </c>
      <c r="Q32" s="45">
        <f t="shared" si="4"/>
        <v>1</v>
      </c>
      <c r="R32" s="45">
        <f t="shared" si="5"/>
        <v>0</v>
      </c>
      <c r="S32" s="55">
        <f t="shared" si="6"/>
        <v>2017</v>
      </c>
      <c r="T32" s="55">
        <f t="shared" si="17"/>
        <v>1</v>
      </c>
      <c r="U32" s="55">
        <f t="shared" si="18"/>
        <v>1</v>
      </c>
      <c r="V32" s="55">
        <f t="shared" si="19"/>
        <v>1</v>
      </c>
      <c r="W32" s="55">
        <f t="shared" si="20"/>
        <v>1</v>
      </c>
      <c r="X32" s="55">
        <f t="shared" si="21"/>
        <v>1</v>
      </c>
      <c r="Y32" s="55">
        <f t="shared" si="22"/>
        <v>1</v>
      </c>
      <c r="Z32" s="55">
        <f t="shared" si="23"/>
        <v>1</v>
      </c>
      <c r="AA32" s="55">
        <f t="shared" si="24"/>
        <v>1</v>
      </c>
      <c r="AB32" s="55">
        <f t="shared" si="25"/>
        <v>1</v>
      </c>
    </row>
    <row r="33" spans="3:27" x14ac:dyDescent="0.3">
      <c r="C33">
        <f t="shared" si="1"/>
        <v>1</v>
      </c>
      <c r="D33">
        <f>Incurred_loss!$C31</f>
        <v>2018</v>
      </c>
      <c r="E33" s="45">
        <f>Incurred_loss!S31</f>
        <v>3647983.8712935718</v>
      </c>
      <c r="F33" s="45">
        <f>Incurred_loss!T31</f>
        <v>2663655.6392339137</v>
      </c>
      <c r="G33" s="45">
        <f>Incurred_loss!U31</f>
        <v>2934523.0198280723</v>
      </c>
      <c r="H33" s="45">
        <f>Incurred_loss!V31</f>
        <v>2502334.9605533774</v>
      </c>
      <c r="I33" s="45">
        <f>Incurred_loss!W31</f>
        <v>2371345.1801916901</v>
      </c>
      <c r="J33" s="45">
        <f>Incurred_loss!X31</f>
        <v>2380526.0290939696</v>
      </c>
      <c r="K33" s="45">
        <f>Incurred_loss!Y31</f>
        <v>2365535.8644786663</v>
      </c>
      <c r="L33" s="45">
        <f>Incurred_loss!Z31</f>
        <v>2364556.2219643043</v>
      </c>
      <c r="M33" s="50">
        <f>L33*M$120</f>
        <v>2363518.3529029759</v>
      </c>
      <c r="N33" s="49">
        <f t="shared" si="26"/>
        <v>2363518.3529029759</v>
      </c>
      <c r="O33" s="48">
        <f t="shared" si="2"/>
        <v>2363518.3529029759</v>
      </c>
      <c r="P33" s="47">
        <f t="shared" si="3"/>
        <v>0.16700415579876937</v>
      </c>
      <c r="Q33" s="45">
        <f t="shared" si="4"/>
        <v>0</v>
      </c>
      <c r="R33" s="45">
        <f t="shared" si="5"/>
        <v>0</v>
      </c>
      <c r="S33" s="55">
        <f t="shared" si="6"/>
        <v>2018</v>
      </c>
      <c r="T33" s="55">
        <f t="shared" ref="T33:T43" si="27">IF(E33&gt;$E$2,1,0)</f>
        <v>1</v>
      </c>
      <c r="U33" s="55">
        <f t="shared" ref="U33:U43" si="28">IF(F33&gt;$E$2,1,0)</f>
        <v>1</v>
      </c>
      <c r="V33" s="55">
        <f t="shared" ref="V33:V43" si="29">IF(G33&gt;$E$2,1,0)</f>
        <v>1</v>
      </c>
      <c r="W33" s="55">
        <f t="shared" ref="W33:W43" si="30">IF(H33&gt;$E$2,1,0)</f>
        <v>1</v>
      </c>
      <c r="X33" s="55">
        <f t="shared" ref="X33:X43" si="31">IF(I33&gt;$E$2,1,0)</f>
        <v>1</v>
      </c>
      <c r="Y33" s="55">
        <f t="shared" ref="Y33:Y43" si="32">IF(J33&gt;$E$2,1,0)</f>
        <v>1</v>
      </c>
      <c r="Z33" s="55">
        <f t="shared" ref="Z33:Z43" si="33">IF(K33&gt;$E$2,1,0)</f>
        <v>1</v>
      </c>
      <c r="AA33" s="55">
        <f t="shared" ref="AA33:AA43" si="34">IF(L33&gt;$E$2,1,0)</f>
        <v>1</v>
      </c>
    </row>
    <row r="34" spans="3:27" x14ac:dyDescent="0.3">
      <c r="C34">
        <f t="shared" si="1"/>
        <v>1</v>
      </c>
      <c r="D34">
        <f>Incurred_loss!$C32</f>
        <v>2018</v>
      </c>
      <c r="E34" s="45">
        <f>Incurred_loss!S32</f>
        <v>1755041.7030136934</v>
      </c>
      <c r="F34" s="45">
        <f>Incurred_loss!T32</f>
        <v>3203242.6508661276</v>
      </c>
      <c r="G34" s="45">
        <f>Incurred_loss!U32</f>
        <v>2588832.161020068</v>
      </c>
      <c r="H34" s="45">
        <f>Incurred_loss!V32</f>
        <v>2778620.5841088132</v>
      </c>
      <c r="I34" s="45">
        <f>Incurred_loss!W32</f>
        <v>2767714.4343934194</v>
      </c>
      <c r="J34" s="45">
        <f>Incurred_loss!X32</f>
        <v>2755050.0164855602</v>
      </c>
      <c r="K34" s="45">
        <f>Incurred_loss!Y32</f>
        <v>2755329.5888398387</v>
      </c>
      <c r="L34" s="45">
        <f>Incurred_loss!Z32</f>
        <v>2755330.4386347365</v>
      </c>
      <c r="M34" s="50">
        <f t="shared" ref="M34:M49" si="35">L34*M$120</f>
        <v>2754121.0479721539</v>
      </c>
      <c r="N34" s="49">
        <f t="shared" si="26"/>
        <v>2754121.0479721539</v>
      </c>
      <c r="O34" s="48">
        <f t="shared" si="2"/>
        <v>2754121.0479721539</v>
      </c>
      <c r="P34" s="47">
        <f t="shared" si="3"/>
        <v>0.31995117229262893</v>
      </c>
      <c r="Q34" s="45">
        <f t="shared" si="4"/>
        <v>0</v>
      </c>
      <c r="R34" s="45">
        <f t="shared" si="5"/>
        <v>0</v>
      </c>
      <c r="S34" s="55">
        <f t="shared" si="6"/>
        <v>2018</v>
      </c>
      <c r="T34" s="55">
        <f t="shared" si="27"/>
        <v>0</v>
      </c>
      <c r="U34" s="55">
        <f t="shared" si="28"/>
        <v>1</v>
      </c>
      <c r="V34" s="55">
        <f t="shared" si="29"/>
        <v>1</v>
      </c>
      <c r="W34" s="55">
        <f t="shared" si="30"/>
        <v>1</v>
      </c>
      <c r="X34" s="55">
        <f t="shared" si="31"/>
        <v>1</v>
      </c>
      <c r="Y34" s="55">
        <f t="shared" si="32"/>
        <v>1</v>
      </c>
      <c r="Z34" s="55">
        <f t="shared" si="33"/>
        <v>1</v>
      </c>
      <c r="AA34" s="55">
        <f t="shared" si="34"/>
        <v>1</v>
      </c>
    </row>
    <row r="35" spans="3:27" x14ac:dyDescent="0.3">
      <c r="C35">
        <f t="shared" si="1"/>
        <v>1</v>
      </c>
      <c r="D35">
        <f>Incurred_loss!$C33</f>
        <v>2018</v>
      </c>
      <c r="E35" s="45">
        <f>Incurred_loss!S33</f>
        <v>1782056.4983226999</v>
      </c>
      <c r="F35" s="45">
        <f>Incurred_loss!T33</f>
        <v>2682915.8042027866</v>
      </c>
      <c r="G35" s="45">
        <f>Incurred_loss!U33</f>
        <v>2446048.2842919463</v>
      </c>
      <c r="H35" s="45">
        <f>Incurred_loss!V33</f>
        <v>2463277.9318342018</v>
      </c>
      <c r="I35" s="45">
        <f>Incurred_loss!W33</f>
        <v>2444627.3272653497</v>
      </c>
      <c r="J35" s="45">
        <f>Incurred_loss!X33</f>
        <v>2439210.3652469805</v>
      </c>
      <c r="K35" s="45">
        <f>Incurred_loss!Y33</f>
        <v>2443660.786923049</v>
      </c>
      <c r="L35" s="45">
        <f>Incurred_loss!Z33</f>
        <v>2440659.0632831426</v>
      </c>
      <c r="M35" s="50">
        <f t="shared" si="35"/>
        <v>2439587.7905819472</v>
      </c>
      <c r="N35" s="49">
        <f t="shared" si="26"/>
        <v>2439587.7905819472</v>
      </c>
      <c r="O35" s="48">
        <f t="shared" si="2"/>
        <v>2439587.7905819472</v>
      </c>
      <c r="P35" s="47">
        <f t="shared" si="3"/>
        <v>0.19868190618739842</v>
      </c>
      <c r="Q35" s="45">
        <f t="shared" si="4"/>
        <v>0</v>
      </c>
      <c r="R35" s="45">
        <f t="shared" si="5"/>
        <v>0</v>
      </c>
      <c r="S35" s="55">
        <f t="shared" si="6"/>
        <v>2018</v>
      </c>
      <c r="T35" s="55">
        <f t="shared" si="27"/>
        <v>0</v>
      </c>
      <c r="U35" s="55">
        <f t="shared" si="28"/>
        <v>1</v>
      </c>
      <c r="V35" s="55">
        <f t="shared" si="29"/>
        <v>1</v>
      </c>
      <c r="W35" s="55">
        <f t="shared" si="30"/>
        <v>1</v>
      </c>
      <c r="X35" s="55">
        <f t="shared" si="31"/>
        <v>1</v>
      </c>
      <c r="Y35" s="55">
        <f t="shared" si="32"/>
        <v>1</v>
      </c>
      <c r="Z35" s="55">
        <f t="shared" si="33"/>
        <v>1</v>
      </c>
      <c r="AA35" s="55">
        <f t="shared" si="34"/>
        <v>1</v>
      </c>
    </row>
    <row r="36" spans="3:27" x14ac:dyDescent="0.3">
      <c r="C36">
        <f t="shared" si="1"/>
        <v>1</v>
      </c>
      <c r="D36">
        <f>Incurred_loss!$C34</f>
        <v>2018</v>
      </c>
      <c r="E36" s="45">
        <f>Incurred_loss!S34</f>
        <v>1871237.0370504619</v>
      </c>
      <c r="F36" s="45">
        <f>Incurred_loss!T34</f>
        <v>2515108.9648864372</v>
      </c>
      <c r="G36" s="45">
        <f>Incurred_loss!U34</f>
        <v>2059418.8341624597</v>
      </c>
      <c r="H36" s="45">
        <f>Incurred_loss!V34</f>
        <v>2145436.9884395758</v>
      </c>
      <c r="I36" s="45">
        <f>Incurred_loss!W34</f>
        <v>2136835.1215215488</v>
      </c>
      <c r="J36" s="45">
        <f>Incurred_loss!X34</f>
        <v>2147771.9140172675</v>
      </c>
      <c r="K36" s="45">
        <f>Incurred_loss!Y34</f>
        <v>2141879.8178751217</v>
      </c>
      <c r="L36" s="45">
        <f>Incurred_loss!Z34</f>
        <v>2142212.1960527706</v>
      </c>
      <c r="M36" s="50">
        <f t="shared" si="35"/>
        <v>2141271.9199280455</v>
      </c>
      <c r="N36" s="49">
        <f t="shared" si="26"/>
        <v>2141271.9199280455</v>
      </c>
      <c r="O36" s="48">
        <f t="shared" si="2"/>
        <v>2141271.9199280455</v>
      </c>
      <c r="P36" s="47">
        <f t="shared" si="3"/>
        <v>6.8252827021337462E-2</v>
      </c>
      <c r="Q36" s="45">
        <f t="shared" si="4"/>
        <v>0</v>
      </c>
      <c r="R36" s="45">
        <f t="shared" si="5"/>
        <v>0</v>
      </c>
      <c r="S36" s="55">
        <f t="shared" si="6"/>
        <v>2018</v>
      </c>
      <c r="T36" s="55">
        <f t="shared" si="27"/>
        <v>0</v>
      </c>
      <c r="U36" s="55">
        <f t="shared" si="28"/>
        <v>1</v>
      </c>
      <c r="V36" s="55">
        <f t="shared" si="29"/>
        <v>1</v>
      </c>
      <c r="W36" s="55">
        <f t="shared" si="30"/>
        <v>1</v>
      </c>
      <c r="X36" s="55">
        <f t="shared" si="31"/>
        <v>1</v>
      </c>
      <c r="Y36" s="55">
        <f t="shared" si="32"/>
        <v>1</v>
      </c>
      <c r="Z36" s="55">
        <f t="shared" si="33"/>
        <v>1</v>
      </c>
      <c r="AA36" s="55">
        <f t="shared" si="34"/>
        <v>1</v>
      </c>
    </row>
    <row r="37" spans="3:27" x14ac:dyDescent="0.3">
      <c r="C37">
        <f t="shared" si="1"/>
        <v>1</v>
      </c>
      <c r="D37">
        <f>Incurred_loss!$C35</f>
        <v>2018</v>
      </c>
      <c r="E37" s="45">
        <f>Incurred_loss!S35</f>
        <v>1363941.5766761536</v>
      </c>
      <c r="F37" s="45">
        <f>Incurred_loss!T35</f>
        <v>1915008.1061064014</v>
      </c>
      <c r="G37" s="45">
        <f>Incurred_loss!U35</f>
        <v>2034796.8185545793</v>
      </c>
      <c r="H37" s="45">
        <f>Incurred_loss!V35</f>
        <v>2042221.728241608</v>
      </c>
      <c r="I37" s="45">
        <f>Incurred_loss!W35</f>
        <v>2034680.4602501264</v>
      </c>
      <c r="J37" s="45">
        <f>Incurred_loss!X35</f>
        <v>2038679.4791370616</v>
      </c>
      <c r="K37" s="45">
        <f>Incurred_loss!Y35</f>
        <v>2038971.2971769231</v>
      </c>
      <c r="L37" s="45">
        <f>Incurred_loss!Z35</f>
        <v>2037939.6508348135</v>
      </c>
      <c r="M37" s="50">
        <f t="shared" si="35"/>
        <v>2037045.1428113591</v>
      </c>
      <c r="N37" s="49">
        <f t="shared" si="26"/>
        <v>2037045.1428113591</v>
      </c>
      <c r="O37" s="48">
        <f t="shared" si="2"/>
        <v>2037045.1428113591</v>
      </c>
      <c r="P37" s="47">
        <f t="shared" si="3"/>
        <v>1.8353117858583144E-2</v>
      </c>
      <c r="Q37" s="45">
        <f t="shared" si="4"/>
        <v>0</v>
      </c>
      <c r="R37" s="45">
        <f t="shared" si="5"/>
        <v>0</v>
      </c>
      <c r="S37" s="55">
        <f t="shared" si="6"/>
        <v>2018</v>
      </c>
      <c r="T37" s="55">
        <f t="shared" si="27"/>
        <v>0</v>
      </c>
      <c r="U37" s="55">
        <f t="shared" si="28"/>
        <v>0</v>
      </c>
      <c r="V37" s="55">
        <f t="shared" si="29"/>
        <v>1</v>
      </c>
      <c r="W37" s="55">
        <f t="shared" si="30"/>
        <v>1</v>
      </c>
      <c r="X37" s="55">
        <f t="shared" si="31"/>
        <v>1</v>
      </c>
      <c r="Y37" s="55">
        <f t="shared" si="32"/>
        <v>1</v>
      </c>
      <c r="Z37" s="55">
        <f t="shared" si="33"/>
        <v>1</v>
      </c>
      <c r="AA37" s="55">
        <f t="shared" si="34"/>
        <v>1</v>
      </c>
    </row>
    <row r="38" spans="3:27" x14ac:dyDescent="0.3">
      <c r="C38">
        <f t="shared" si="1"/>
        <v>0</v>
      </c>
      <c r="D38">
        <f>Incurred_loss!$C36</f>
        <v>2018</v>
      </c>
      <c r="E38" s="45">
        <f>Incurred_loss!S36</f>
        <v>1514847.2251422561</v>
      </c>
      <c r="F38" s="45">
        <f>Incurred_loss!T36</f>
        <v>1216234.002636296</v>
      </c>
      <c r="G38" s="45">
        <f>Incurred_loss!U36</f>
        <v>1494730.6008669646</v>
      </c>
      <c r="H38" s="45">
        <f>Incurred_loss!V36</f>
        <v>1575868.3197030653</v>
      </c>
      <c r="I38" s="45">
        <f>Incurred_loss!W36</f>
        <v>1493642.8406907017</v>
      </c>
      <c r="J38" s="45">
        <f>Incurred_loss!X36</f>
        <v>1490805.0278439922</v>
      </c>
      <c r="K38" s="45">
        <f>Incurred_loss!Y36</f>
        <v>1510544.2070825405</v>
      </c>
      <c r="L38" s="45">
        <f>Incurred_loss!Z36</f>
        <v>1482636.1052143991</v>
      </c>
      <c r="M38" s="50">
        <f t="shared" si="35"/>
        <v>1481985.3352608166</v>
      </c>
      <c r="N38" s="49">
        <f t="shared" si="26"/>
        <v>1481985.3352608166</v>
      </c>
      <c r="O38" s="48">
        <f t="shared" si="2"/>
        <v>1481985.3352608166</v>
      </c>
      <c r="P38" s="47" t="str">
        <f t="shared" si="3"/>
        <v>-</v>
      </c>
      <c r="Q38" s="45">
        <f t="shared" si="4"/>
        <v>0</v>
      </c>
      <c r="R38" s="45">
        <f t="shared" si="5"/>
        <v>0</v>
      </c>
      <c r="S38" s="55">
        <f t="shared" si="6"/>
        <v>2018</v>
      </c>
      <c r="T38" s="55">
        <f t="shared" si="27"/>
        <v>0</v>
      </c>
      <c r="U38" s="55">
        <f t="shared" si="28"/>
        <v>0</v>
      </c>
      <c r="V38" s="55">
        <f t="shared" si="29"/>
        <v>0</v>
      </c>
      <c r="W38" s="55">
        <f t="shared" si="30"/>
        <v>0</v>
      </c>
      <c r="X38" s="55">
        <f t="shared" si="31"/>
        <v>0</v>
      </c>
      <c r="Y38" s="55">
        <f t="shared" si="32"/>
        <v>0</v>
      </c>
      <c r="Z38" s="55">
        <f t="shared" si="33"/>
        <v>0</v>
      </c>
      <c r="AA38" s="55">
        <f t="shared" si="34"/>
        <v>0</v>
      </c>
    </row>
    <row r="39" spans="3:27" x14ac:dyDescent="0.3">
      <c r="C39">
        <f t="shared" si="1"/>
        <v>1</v>
      </c>
      <c r="D39">
        <f>Incurred_loss!$C37</f>
        <v>2018</v>
      </c>
      <c r="E39" s="45">
        <f>Incurred_loss!S37</f>
        <v>3307875.5172522701</v>
      </c>
      <c r="F39" s="45">
        <f>Incurred_loss!T37</f>
        <v>2467557.4165175389</v>
      </c>
      <c r="G39" s="45">
        <f>Incurred_loss!U37</f>
        <v>2136557.2127756858</v>
      </c>
      <c r="H39" s="45">
        <f>Incurred_loss!V37</f>
        <v>2045239.2512578957</v>
      </c>
      <c r="I39" s="45">
        <f>Incurred_loss!W37</f>
        <v>2020365.0985146023</v>
      </c>
      <c r="J39" s="45">
        <f>Incurred_loss!X37</f>
        <v>2021136.399667098</v>
      </c>
      <c r="K39" s="45">
        <f>Incurred_loss!Y37</f>
        <v>2020112.0642710493</v>
      </c>
      <c r="L39" s="45">
        <f>Incurred_loss!Z37</f>
        <v>2020580.646030263</v>
      </c>
      <c r="M39" s="50">
        <f t="shared" si="35"/>
        <v>2019693.7573536674</v>
      </c>
      <c r="N39" s="49">
        <f t="shared" si="26"/>
        <v>2019693.7573536674</v>
      </c>
      <c r="O39" s="48">
        <f t="shared" si="2"/>
        <v>2019693.7573536674</v>
      </c>
      <c r="P39" s="47">
        <f t="shared" si="3"/>
        <v>9.7987140894658029E-3</v>
      </c>
      <c r="Q39" s="45">
        <f t="shared" si="4"/>
        <v>0</v>
      </c>
      <c r="R39" s="45">
        <f t="shared" si="5"/>
        <v>0</v>
      </c>
      <c r="S39" s="55">
        <f t="shared" si="6"/>
        <v>2018</v>
      </c>
      <c r="T39" s="55">
        <f t="shared" si="27"/>
        <v>1</v>
      </c>
      <c r="U39" s="55">
        <f t="shared" si="28"/>
        <v>1</v>
      </c>
      <c r="V39" s="55">
        <f t="shared" si="29"/>
        <v>1</v>
      </c>
      <c r="W39" s="55">
        <f t="shared" si="30"/>
        <v>1</v>
      </c>
      <c r="X39" s="55">
        <f t="shared" si="31"/>
        <v>1</v>
      </c>
      <c r="Y39" s="55">
        <f t="shared" si="32"/>
        <v>1</v>
      </c>
      <c r="Z39" s="55">
        <f t="shared" si="33"/>
        <v>1</v>
      </c>
      <c r="AA39" s="55">
        <f t="shared" si="34"/>
        <v>1</v>
      </c>
    </row>
    <row r="40" spans="3:27" x14ac:dyDescent="0.3">
      <c r="C40">
        <f t="shared" si="1"/>
        <v>1</v>
      </c>
      <c r="D40">
        <f>Incurred_loss!$C38</f>
        <v>2018</v>
      </c>
      <c r="E40" s="45">
        <f>Incurred_loss!S38</f>
        <v>2007653.8734549335</v>
      </c>
      <c r="F40" s="45">
        <f>Incurred_loss!T38</f>
        <v>4037284.8797259182</v>
      </c>
      <c r="G40" s="45">
        <f>Incurred_loss!U38</f>
        <v>3055852.214044699</v>
      </c>
      <c r="H40" s="45">
        <f>Incurred_loss!V38</f>
        <v>3098751.0512599479</v>
      </c>
      <c r="I40" s="45">
        <f>Incurred_loss!W38</f>
        <v>3133922.3155527078</v>
      </c>
      <c r="J40" s="45">
        <f>Incurred_loss!X38</f>
        <v>3119860.7856605817</v>
      </c>
      <c r="K40" s="45">
        <f>Incurred_loss!Y38</f>
        <v>3128387.7087453506</v>
      </c>
      <c r="L40" s="45">
        <f>Incurred_loss!Z38</f>
        <v>3126973.162178969</v>
      </c>
      <c r="M40" s="50">
        <f t="shared" si="35"/>
        <v>3125600.6472560912</v>
      </c>
      <c r="N40" s="49">
        <f t="shared" si="26"/>
        <v>3125600.6472560912</v>
      </c>
      <c r="O40" s="48">
        <f t="shared" si="2"/>
        <v>3125600.6472560912</v>
      </c>
      <c r="P40" s="47">
        <f t="shared" si="3"/>
        <v>0.44647929128094649</v>
      </c>
      <c r="Q40" s="45">
        <f t="shared" si="4"/>
        <v>0</v>
      </c>
      <c r="R40" s="45">
        <f t="shared" si="5"/>
        <v>0</v>
      </c>
      <c r="S40" s="55">
        <f t="shared" si="6"/>
        <v>2018</v>
      </c>
      <c r="T40" s="55">
        <f t="shared" si="27"/>
        <v>1</v>
      </c>
      <c r="U40" s="55">
        <f t="shared" si="28"/>
        <v>1</v>
      </c>
      <c r="V40" s="55">
        <f t="shared" si="29"/>
        <v>1</v>
      </c>
      <c r="W40" s="55">
        <f t="shared" si="30"/>
        <v>1</v>
      </c>
      <c r="X40" s="55">
        <f t="shared" si="31"/>
        <v>1</v>
      </c>
      <c r="Y40" s="55">
        <f t="shared" si="32"/>
        <v>1</v>
      </c>
      <c r="Z40" s="55">
        <f t="shared" si="33"/>
        <v>1</v>
      </c>
      <c r="AA40" s="55">
        <f t="shared" si="34"/>
        <v>1</v>
      </c>
    </row>
    <row r="41" spans="3:27" x14ac:dyDescent="0.3">
      <c r="C41">
        <f t="shared" si="1"/>
        <v>1</v>
      </c>
      <c r="D41">
        <f>Incurred_loss!$C39</f>
        <v>2018</v>
      </c>
      <c r="E41" s="45">
        <f>Incurred_loss!S39</f>
        <v>4474228.4450837681</v>
      </c>
      <c r="F41" s="45">
        <f>Incurred_loss!T39</f>
        <v>3737787.3599729929</v>
      </c>
      <c r="G41" s="45">
        <f>Incurred_loss!U39</f>
        <v>3480647.2654992738</v>
      </c>
      <c r="H41" s="45">
        <f>Incurred_loss!V39</f>
        <v>3494555.4823131179</v>
      </c>
      <c r="I41" s="45">
        <f>Incurred_loss!W39</f>
        <v>3378973.946781069</v>
      </c>
      <c r="J41" s="45">
        <f>Incurred_loss!X39</f>
        <v>3375980.2350064246</v>
      </c>
      <c r="K41" s="45">
        <f>Incurred_loss!Y39</f>
        <v>3374067.0177069176</v>
      </c>
      <c r="L41" s="45">
        <f>Incurred_loss!Z39</f>
        <v>3374015.8791770837</v>
      </c>
      <c r="M41" s="50">
        <f t="shared" si="35"/>
        <v>3372534.9303796305</v>
      </c>
      <c r="N41" s="49">
        <f t="shared" si="26"/>
        <v>3372534.9303796305</v>
      </c>
      <c r="O41" s="48">
        <f t="shared" si="2"/>
        <v>3372534.9303796305</v>
      </c>
      <c r="P41" s="47">
        <f t="shared" si="3"/>
        <v>0.52251748590046243</v>
      </c>
      <c r="Q41" s="45">
        <f t="shared" si="4"/>
        <v>0</v>
      </c>
      <c r="R41" s="45">
        <f t="shared" si="5"/>
        <v>0</v>
      </c>
      <c r="S41" s="55">
        <f t="shared" si="6"/>
        <v>2018</v>
      </c>
      <c r="T41" s="55">
        <f t="shared" si="27"/>
        <v>1</v>
      </c>
      <c r="U41" s="55">
        <f t="shared" si="28"/>
        <v>1</v>
      </c>
      <c r="V41" s="55">
        <f t="shared" si="29"/>
        <v>1</v>
      </c>
      <c r="W41" s="55">
        <f t="shared" si="30"/>
        <v>1</v>
      </c>
      <c r="X41" s="55">
        <f t="shared" si="31"/>
        <v>1</v>
      </c>
      <c r="Y41" s="55">
        <f t="shared" si="32"/>
        <v>1</v>
      </c>
      <c r="Z41" s="55">
        <f t="shared" si="33"/>
        <v>1</v>
      </c>
      <c r="AA41" s="55">
        <f t="shared" si="34"/>
        <v>1</v>
      </c>
    </row>
    <row r="42" spans="3:27" x14ac:dyDescent="0.3">
      <c r="C42">
        <f t="shared" si="1"/>
        <v>0</v>
      </c>
      <c r="D42">
        <f>Incurred_loss!$C40</f>
        <v>2018</v>
      </c>
      <c r="E42" s="45">
        <f>Incurred_loss!S40</f>
        <v>2467215.5068138903</v>
      </c>
      <c r="F42" s="45">
        <f>Incurred_loss!T40</f>
        <v>2478483.7213986437</v>
      </c>
      <c r="G42" s="45">
        <f>Incurred_loss!U40</f>
        <v>2184297.7499013008</v>
      </c>
      <c r="H42" s="45">
        <f>Incurred_loss!V40</f>
        <v>1796379.8272579338</v>
      </c>
      <c r="I42" s="45">
        <f>Incurred_loss!W40</f>
        <v>1703207.0268370255</v>
      </c>
      <c r="J42" s="45">
        <f>Incurred_loss!X40</f>
        <v>1717186.71982375</v>
      </c>
      <c r="K42" s="45">
        <f>Incurred_loss!Y40</f>
        <v>1716707.0231212878</v>
      </c>
      <c r="L42" s="45">
        <f>Incurred_loss!Z40</f>
        <v>1715885.9819908687</v>
      </c>
      <c r="M42" s="50">
        <f t="shared" si="35"/>
        <v>1715132.832221397</v>
      </c>
      <c r="N42" s="49">
        <f t="shared" si="26"/>
        <v>1715132.832221397</v>
      </c>
      <c r="O42" s="48">
        <f t="shared" si="2"/>
        <v>1715132.832221397</v>
      </c>
      <c r="P42" s="47" t="str">
        <f t="shared" si="3"/>
        <v>-</v>
      </c>
      <c r="Q42" s="45">
        <f t="shared" si="4"/>
        <v>0</v>
      </c>
      <c r="R42" s="45">
        <f t="shared" si="5"/>
        <v>0</v>
      </c>
      <c r="S42" s="55">
        <f t="shared" si="6"/>
        <v>2018</v>
      </c>
      <c r="T42" s="55">
        <f t="shared" si="27"/>
        <v>1</v>
      </c>
      <c r="U42" s="55">
        <f t="shared" si="28"/>
        <v>1</v>
      </c>
      <c r="V42" s="55">
        <f t="shared" si="29"/>
        <v>1</v>
      </c>
      <c r="W42" s="55">
        <f t="shared" si="30"/>
        <v>0</v>
      </c>
      <c r="X42" s="55">
        <f t="shared" si="31"/>
        <v>0</v>
      </c>
      <c r="Y42" s="55">
        <f t="shared" si="32"/>
        <v>0</v>
      </c>
      <c r="Z42" s="55">
        <f t="shared" si="33"/>
        <v>0</v>
      </c>
      <c r="AA42" s="55">
        <f t="shared" si="34"/>
        <v>0</v>
      </c>
    </row>
    <row r="43" spans="3:27" x14ac:dyDescent="0.3">
      <c r="C43">
        <f t="shared" si="1"/>
        <v>1</v>
      </c>
      <c r="D43">
        <f>Incurred_loss!$C41</f>
        <v>2018</v>
      </c>
      <c r="E43" s="45">
        <f>Incurred_loss!S41</f>
        <v>2551081.9588020137</v>
      </c>
      <c r="F43" s="45">
        <f>Incurred_loss!T41</f>
        <v>4519661.5622429047</v>
      </c>
      <c r="G43" s="45">
        <f>Incurred_loss!U41</f>
        <v>4109274.6875709845</v>
      </c>
      <c r="H43" s="45">
        <f>Incurred_loss!V41</f>
        <v>3887733.3498716992</v>
      </c>
      <c r="I43" s="45">
        <f>Incurred_loss!W41</f>
        <v>3822983.2802819763</v>
      </c>
      <c r="J43" s="45">
        <f>Incurred_loss!X41</f>
        <v>3818266.5407869988</v>
      </c>
      <c r="K43" s="45">
        <f>Incurred_loss!Y41</f>
        <v>3817708.3683462502</v>
      </c>
      <c r="L43" s="45">
        <f>Incurred_loss!Z41</f>
        <v>3817290.7624119306</v>
      </c>
      <c r="M43" s="50">
        <f t="shared" si="35"/>
        <v>3815615.2480200119</v>
      </c>
      <c r="N43" s="49">
        <f t="shared" si="26"/>
        <v>3815615.2480200119</v>
      </c>
      <c r="O43" s="48">
        <f t="shared" si="2"/>
        <v>3815615.2480200119</v>
      </c>
      <c r="P43" s="47">
        <f t="shared" si="3"/>
        <v>0.64595474195225</v>
      </c>
      <c r="Q43" s="45">
        <f t="shared" si="4"/>
        <v>0</v>
      </c>
      <c r="R43" s="45">
        <f t="shared" si="5"/>
        <v>0</v>
      </c>
      <c r="S43" s="55">
        <f t="shared" si="6"/>
        <v>2018</v>
      </c>
      <c r="T43" s="55">
        <f t="shared" si="27"/>
        <v>1</v>
      </c>
      <c r="U43" s="55">
        <f t="shared" si="28"/>
        <v>1</v>
      </c>
      <c r="V43" s="55">
        <f t="shared" si="29"/>
        <v>1</v>
      </c>
      <c r="W43" s="55">
        <f t="shared" si="30"/>
        <v>1</v>
      </c>
      <c r="X43" s="55">
        <f t="shared" si="31"/>
        <v>1</v>
      </c>
      <c r="Y43" s="55">
        <f t="shared" si="32"/>
        <v>1</v>
      </c>
      <c r="Z43" s="55">
        <f t="shared" si="33"/>
        <v>1</v>
      </c>
      <c r="AA43" s="55">
        <f t="shared" si="34"/>
        <v>1</v>
      </c>
    </row>
    <row r="44" spans="3:27" x14ac:dyDescent="0.3">
      <c r="C44">
        <f t="shared" si="1"/>
        <v>1</v>
      </c>
      <c r="D44">
        <f>Incurred_loss!$C42</f>
        <v>2019</v>
      </c>
      <c r="E44" s="45">
        <f>Incurred_loss!S42</f>
        <v>593182.26466504624</v>
      </c>
      <c r="F44" s="45">
        <f>Incurred_loss!T42</f>
        <v>2330948.1668094443</v>
      </c>
      <c r="G44" s="45">
        <f>Incurred_loss!U42</f>
        <v>2130471.6446035658</v>
      </c>
      <c r="H44" s="45">
        <f>Incurred_loss!V42</f>
        <v>2091336.1729067932</v>
      </c>
      <c r="I44" s="45">
        <f>Incurred_loss!W42</f>
        <v>2166678.0839611273</v>
      </c>
      <c r="J44" s="45">
        <f>Incurred_loss!X42</f>
        <v>2172350.6277143289</v>
      </c>
      <c r="K44" s="45">
        <f>Incurred_loss!Y42</f>
        <v>2172941.1620761482</v>
      </c>
      <c r="L44" s="50">
        <f>K44*L$120</f>
        <v>2178164.9244274092</v>
      </c>
      <c r="M44" s="50">
        <f t="shared" si="35"/>
        <v>2177208.8676567837</v>
      </c>
      <c r="N44" s="49">
        <f t="shared" si="26"/>
        <v>2177208.8676567837</v>
      </c>
      <c r="O44" s="48">
        <f t="shared" si="2"/>
        <v>2177208.8676567837</v>
      </c>
      <c r="P44" s="47">
        <f t="shared" si="3"/>
        <v>8.4896539973467286E-2</v>
      </c>
      <c r="Q44" s="45">
        <f t="shared" si="4"/>
        <v>0</v>
      </c>
      <c r="R44" s="45">
        <f t="shared" si="5"/>
        <v>0</v>
      </c>
      <c r="S44" s="55">
        <f t="shared" si="6"/>
        <v>2019</v>
      </c>
      <c r="T44" s="55">
        <f t="shared" ref="T44:T58" si="36">IF(E44&gt;$E$2,1,0)</f>
        <v>0</v>
      </c>
      <c r="U44" s="55">
        <f t="shared" ref="U44:U58" si="37">IF(F44&gt;$E$2,1,0)</f>
        <v>1</v>
      </c>
      <c r="V44" s="55">
        <f t="shared" ref="V44:V58" si="38">IF(G44&gt;$E$2,1,0)</f>
        <v>1</v>
      </c>
      <c r="W44" s="55">
        <f t="shared" ref="W44:W58" si="39">IF(H44&gt;$E$2,1,0)</f>
        <v>1</v>
      </c>
      <c r="X44" s="55">
        <f t="shared" ref="X44:X58" si="40">IF(I44&gt;$E$2,1,0)</f>
        <v>1</v>
      </c>
      <c r="Y44" s="55">
        <f t="shared" ref="Y44:Y58" si="41">IF(J44&gt;$E$2,1,0)</f>
        <v>1</v>
      </c>
      <c r="Z44" s="55">
        <f t="shared" ref="Z44:Z58" si="42">IF(K44&gt;$E$2,1,0)</f>
        <v>1</v>
      </c>
    </row>
    <row r="45" spans="3:27" x14ac:dyDescent="0.3">
      <c r="C45">
        <f t="shared" si="1"/>
        <v>0</v>
      </c>
      <c r="D45">
        <f>Incurred_loss!$C43</f>
        <v>2019</v>
      </c>
      <c r="E45" s="45">
        <f>Incurred_loss!S43</f>
        <v>2402285.0504073952</v>
      </c>
      <c r="F45" s="45">
        <f>Incurred_loss!T43</f>
        <v>1815869.713310075</v>
      </c>
      <c r="G45" s="45">
        <f>Incurred_loss!U43</f>
        <v>1667762.7630250594</v>
      </c>
      <c r="H45" s="45">
        <f>Incurred_loss!V43</f>
        <v>1725946.738513157</v>
      </c>
      <c r="I45" s="45">
        <f>Incurred_loss!W43</f>
        <v>1599358.8418830335</v>
      </c>
      <c r="J45" s="45">
        <f>Incurred_loss!X43</f>
        <v>1611705.6365758923</v>
      </c>
      <c r="K45" s="45">
        <f>Incurred_loss!Y43</f>
        <v>1607061.920115812</v>
      </c>
      <c r="L45" s="50">
        <f t="shared" ref="L45:M60" si="43">K45*L$120</f>
        <v>1610925.3056970511</v>
      </c>
      <c r="M45" s="50">
        <f t="shared" si="35"/>
        <v>1610218.2260685933</v>
      </c>
      <c r="N45" s="49">
        <f t="shared" si="26"/>
        <v>1610218.2260685933</v>
      </c>
      <c r="O45" s="48">
        <f t="shared" si="2"/>
        <v>1610218.2260685933</v>
      </c>
      <c r="P45" s="47" t="str">
        <f t="shared" si="3"/>
        <v>-</v>
      </c>
      <c r="Q45" s="45">
        <f t="shared" si="4"/>
        <v>0</v>
      </c>
      <c r="R45" s="45">
        <f t="shared" si="5"/>
        <v>0</v>
      </c>
      <c r="S45" s="55">
        <f t="shared" si="6"/>
        <v>2019</v>
      </c>
      <c r="T45" s="55">
        <f t="shared" si="36"/>
        <v>1</v>
      </c>
      <c r="U45" s="55">
        <f t="shared" si="37"/>
        <v>0</v>
      </c>
      <c r="V45" s="55">
        <f t="shared" si="38"/>
        <v>0</v>
      </c>
      <c r="W45" s="55">
        <f t="shared" si="39"/>
        <v>0</v>
      </c>
      <c r="X45" s="55">
        <f t="shared" si="40"/>
        <v>0</v>
      </c>
      <c r="Y45" s="55">
        <f t="shared" si="41"/>
        <v>0</v>
      </c>
      <c r="Z45" s="55">
        <f t="shared" si="42"/>
        <v>0</v>
      </c>
    </row>
    <row r="46" spans="3:27" x14ac:dyDescent="0.3">
      <c r="C46">
        <f t="shared" si="1"/>
        <v>0</v>
      </c>
      <c r="D46">
        <f>Incurred_loss!$C44</f>
        <v>2019</v>
      </c>
      <c r="E46" s="45">
        <f>Incurred_loss!S44</f>
        <v>1868101.259240815</v>
      </c>
      <c r="F46" s="45">
        <f>Incurred_loss!T44</f>
        <v>1943992.4433028302</v>
      </c>
      <c r="G46" s="45">
        <f>Incurred_loss!U44</f>
        <v>2389353.958275117</v>
      </c>
      <c r="H46" s="45">
        <f>Incurred_loss!V44</f>
        <v>2104098.7393390206</v>
      </c>
      <c r="I46" s="45">
        <f>Incurred_loss!W44</f>
        <v>1927906.4241548281</v>
      </c>
      <c r="J46" s="45">
        <f>Incurred_loss!X44</f>
        <v>2016225.4299567989</v>
      </c>
      <c r="K46" s="45">
        <f>Incurred_loss!Y44</f>
        <v>1992983.1089126619</v>
      </c>
      <c r="L46" s="50">
        <f t="shared" si="43"/>
        <v>1997774.2511270649</v>
      </c>
      <c r="M46" s="50">
        <f t="shared" si="35"/>
        <v>1996897.3728073603</v>
      </c>
      <c r="N46" s="49">
        <f t="shared" si="26"/>
        <v>1996897.3728073603</v>
      </c>
      <c r="O46" s="48">
        <f t="shared" si="2"/>
        <v>1996897.3728073603</v>
      </c>
      <c r="P46" s="47" t="str">
        <f t="shared" si="3"/>
        <v>-</v>
      </c>
      <c r="Q46" s="45">
        <f t="shared" si="4"/>
        <v>0</v>
      </c>
      <c r="R46" s="45">
        <f t="shared" si="5"/>
        <v>0</v>
      </c>
      <c r="S46" s="55">
        <f t="shared" si="6"/>
        <v>2019</v>
      </c>
      <c r="T46" s="55">
        <f t="shared" si="36"/>
        <v>0</v>
      </c>
      <c r="U46" s="55">
        <f t="shared" si="37"/>
        <v>0</v>
      </c>
      <c r="V46" s="55">
        <f t="shared" si="38"/>
        <v>1</v>
      </c>
      <c r="W46" s="55">
        <f t="shared" si="39"/>
        <v>1</v>
      </c>
      <c r="X46" s="55">
        <f t="shared" si="40"/>
        <v>0</v>
      </c>
      <c r="Y46" s="55">
        <f t="shared" si="41"/>
        <v>1</v>
      </c>
      <c r="Z46" s="55">
        <f t="shared" si="42"/>
        <v>0</v>
      </c>
    </row>
    <row r="47" spans="3:27" x14ac:dyDescent="0.3">
      <c r="C47">
        <f t="shared" si="1"/>
        <v>0</v>
      </c>
      <c r="D47">
        <f>Incurred_loss!$C45</f>
        <v>2019</v>
      </c>
      <c r="E47" s="45">
        <f>Incurred_loss!S45</f>
        <v>1445597.6301373926</v>
      </c>
      <c r="F47" s="45">
        <f>Incurred_loss!T45</f>
        <v>1208171.0908449583</v>
      </c>
      <c r="G47" s="45">
        <f>Incurred_loss!U45</f>
        <v>1210644.0860982654</v>
      </c>
      <c r="H47" s="45">
        <f>Incurred_loss!V45</f>
        <v>1177228.1857186912</v>
      </c>
      <c r="I47" s="45">
        <f>Incurred_loss!W45</f>
        <v>1160596.6407242857</v>
      </c>
      <c r="J47" s="45">
        <f>Incurred_loss!X45</f>
        <v>1159668.4360673362</v>
      </c>
      <c r="K47" s="45">
        <f>Incurred_loss!Y45</f>
        <v>1159563.2701056683</v>
      </c>
      <c r="L47" s="50">
        <f t="shared" si="43"/>
        <v>1162350.8665026622</v>
      </c>
      <c r="M47" s="50">
        <f t="shared" si="35"/>
        <v>1161840.6785902136</v>
      </c>
      <c r="N47" s="49">
        <f t="shared" si="26"/>
        <v>1161840.6785902136</v>
      </c>
      <c r="O47" s="48">
        <f t="shared" si="2"/>
        <v>1161840.6785902136</v>
      </c>
      <c r="P47" s="47" t="str">
        <f t="shared" si="3"/>
        <v>-</v>
      </c>
      <c r="Q47" s="45">
        <f t="shared" si="4"/>
        <v>0</v>
      </c>
      <c r="R47" s="45">
        <f t="shared" si="5"/>
        <v>0</v>
      </c>
      <c r="S47" s="55">
        <f t="shared" si="6"/>
        <v>2019</v>
      </c>
      <c r="T47" s="55">
        <f t="shared" si="36"/>
        <v>0</v>
      </c>
      <c r="U47" s="55">
        <f t="shared" si="37"/>
        <v>0</v>
      </c>
      <c r="V47" s="55">
        <f t="shared" si="38"/>
        <v>0</v>
      </c>
      <c r="W47" s="55">
        <f t="shared" si="39"/>
        <v>0</v>
      </c>
      <c r="X47" s="55">
        <f t="shared" si="40"/>
        <v>0</v>
      </c>
      <c r="Y47" s="55">
        <f t="shared" si="41"/>
        <v>0</v>
      </c>
      <c r="Z47" s="55">
        <f t="shared" si="42"/>
        <v>0</v>
      </c>
    </row>
    <row r="48" spans="3:27" x14ac:dyDescent="0.3">
      <c r="C48">
        <f t="shared" si="1"/>
        <v>1</v>
      </c>
      <c r="D48">
        <f>Incurred_loss!$C46</f>
        <v>2019</v>
      </c>
      <c r="E48" s="45">
        <f>Incurred_loss!S46</f>
        <v>1374668.1121374066</v>
      </c>
      <c r="F48" s="45">
        <f>Incurred_loss!T46</f>
        <v>2172333.9957298394</v>
      </c>
      <c r="G48" s="45">
        <f>Incurred_loss!U46</f>
        <v>2674238.4903363124</v>
      </c>
      <c r="H48" s="45">
        <f>Incurred_loss!V46</f>
        <v>2680041.9647310148</v>
      </c>
      <c r="I48" s="45">
        <f>Incurred_loss!W46</f>
        <v>2250438.340300289</v>
      </c>
      <c r="J48" s="45">
        <f>Incurred_loss!X46</f>
        <v>2107578.076367869</v>
      </c>
      <c r="K48" s="45">
        <f>Incurred_loss!Y46</f>
        <v>2114837.960540757</v>
      </c>
      <c r="L48" s="50">
        <f t="shared" si="43"/>
        <v>2119922.042480065</v>
      </c>
      <c r="M48" s="50">
        <f t="shared" si="35"/>
        <v>2118991.5501196464</v>
      </c>
      <c r="N48" s="49">
        <f t="shared" si="26"/>
        <v>2118991.5501196464</v>
      </c>
      <c r="O48" s="48">
        <f t="shared" si="2"/>
        <v>2118991.5501196464</v>
      </c>
      <c r="P48" s="47">
        <f t="shared" si="3"/>
        <v>5.7793111044668263E-2</v>
      </c>
      <c r="Q48" s="45">
        <f t="shared" si="4"/>
        <v>0</v>
      </c>
      <c r="R48" s="45">
        <f t="shared" si="5"/>
        <v>0</v>
      </c>
      <c r="S48" s="55">
        <f t="shared" si="6"/>
        <v>2019</v>
      </c>
      <c r="T48" s="55">
        <f t="shared" si="36"/>
        <v>0</v>
      </c>
      <c r="U48" s="55">
        <f t="shared" si="37"/>
        <v>1</v>
      </c>
      <c r="V48" s="55">
        <f t="shared" si="38"/>
        <v>1</v>
      </c>
      <c r="W48" s="55">
        <f t="shared" si="39"/>
        <v>1</v>
      </c>
      <c r="X48" s="55">
        <f t="shared" si="40"/>
        <v>1</v>
      </c>
      <c r="Y48" s="55">
        <f t="shared" si="41"/>
        <v>1</v>
      </c>
      <c r="Z48" s="55">
        <f t="shared" si="42"/>
        <v>1</v>
      </c>
    </row>
    <row r="49" spans="3:26" x14ac:dyDescent="0.3">
      <c r="C49">
        <f t="shared" si="1"/>
        <v>0</v>
      </c>
      <c r="D49">
        <f>Incurred_loss!$C47</f>
        <v>2019</v>
      </c>
      <c r="E49" s="45">
        <f>Incurred_loss!S47</f>
        <v>1616517.8699383487</v>
      </c>
      <c r="F49" s="45">
        <f>Incurred_loss!T47</f>
        <v>1205652.5438956828</v>
      </c>
      <c r="G49" s="45">
        <f>Incurred_loss!U47</f>
        <v>1418435.8870417839</v>
      </c>
      <c r="H49" s="45">
        <f>Incurred_loss!V47</f>
        <v>1435983.3887731037</v>
      </c>
      <c r="I49" s="45">
        <f>Incurred_loss!W47</f>
        <v>1401781.9357512072</v>
      </c>
      <c r="J49" s="45">
        <f>Incurred_loss!X47</f>
        <v>1314728.7143181656</v>
      </c>
      <c r="K49" s="45">
        <f>Incurred_loss!Y47</f>
        <v>1319074.6780881733</v>
      </c>
      <c r="L49" s="50">
        <f t="shared" si="43"/>
        <v>1322245.7407759982</v>
      </c>
      <c r="M49" s="50">
        <f t="shared" si="35"/>
        <v>1321665.370585145</v>
      </c>
      <c r="N49" s="49">
        <f t="shared" si="26"/>
        <v>1321665.370585145</v>
      </c>
      <c r="O49" s="48">
        <f t="shared" si="2"/>
        <v>1321665.370585145</v>
      </c>
      <c r="P49" s="47" t="str">
        <f t="shared" si="3"/>
        <v>-</v>
      </c>
      <c r="Q49" s="45">
        <f t="shared" si="4"/>
        <v>0</v>
      </c>
      <c r="R49" s="45">
        <f t="shared" si="5"/>
        <v>0</v>
      </c>
      <c r="S49" s="55">
        <f t="shared" si="6"/>
        <v>2019</v>
      </c>
      <c r="T49" s="55">
        <f t="shared" si="36"/>
        <v>0</v>
      </c>
      <c r="U49" s="55">
        <f t="shared" si="37"/>
        <v>0</v>
      </c>
      <c r="V49" s="55">
        <f t="shared" si="38"/>
        <v>0</v>
      </c>
      <c r="W49" s="55">
        <f t="shared" si="39"/>
        <v>0</v>
      </c>
      <c r="X49" s="55">
        <f t="shared" si="40"/>
        <v>0</v>
      </c>
      <c r="Y49" s="55">
        <f t="shared" si="41"/>
        <v>0</v>
      </c>
      <c r="Z49" s="55">
        <f t="shared" si="42"/>
        <v>0</v>
      </c>
    </row>
    <row r="50" spans="3:26" x14ac:dyDescent="0.3">
      <c r="C50">
        <f t="shared" si="1"/>
        <v>1</v>
      </c>
      <c r="D50">
        <f>Incurred_loss!$C48</f>
        <v>2019</v>
      </c>
      <c r="E50" s="45">
        <f>Incurred_loss!S48</f>
        <v>5230384.8079372607</v>
      </c>
      <c r="F50" s="45">
        <f>Incurred_loss!T48</f>
        <v>4547674.6532643847</v>
      </c>
      <c r="G50" s="45">
        <f>Incurred_loss!U48</f>
        <v>4091246.5877943202</v>
      </c>
      <c r="H50" s="45">
        <f>Incurred_loss!V48</f>
        <v>4048356.227679831</v>
      </c>
      <c r="I50" s="45">
        <f>Incurred_loss!W48</f>
        <v>4034841.2658916181</v>
      </c>
      <c r="J50" s="45">
        <f>Incurred_loss!X48</f>
        <v>4029981.2761463542</v>
      </c>
      <c r="K50" s="45">
        <f>Incurred_loss!Y48</f>
        <v>4031544.0607109736</v>
      </c>
      <c r="L50" s="50">
        <f t="shared" si="43"/>
        <v>4041235.9145215345</v>
      </c>
      <c r="M50" s="50">
        <f t="shared" si="43"/>
        <v>4039462.1044144831</v>
      </c>
      <c r="N50" s="49">
        <f t="shared" si="26"/>
        <v>4039462.1044144831</v>
      </c>
      <c r="O50" s="48">
        <f t="shared" si="2"/>
        <v>4039462.1044144831</v>
      </c>
      <c r="P50" s="47">
        <f t="shared" si="3"/>
        <v>0.70296436007720497</v>
      </c>
      <c r="Q50" s="45">
        <f t="shared" si="4"/>
        <v>1</v>
      </c>
      <c r="R50" s="45">
        <f t="shared" si="5"/>
        <v>0</v>
      </c>
      <c r="S50" s="55">
        <f t="shared" si="6"/>
        <v>2019</v>
      </c>
      <c r="T50" s="55">
        <f t="shared" si="36"/>
        <v>1</v>
      </c>
      <c r="U50" s="55">
        <f t="shared" si="37"/>
        <v>1</v>
      </c>
      <c r="V50" s="55">
        <f t="shared" si="38"/>
        <v>1</v>
      </c>
      <c r="W50" s="55">
        <f t="shared" si="39"/>
        <v>1</v>
      </c>
      <c r="X50" s="55">
        <f t="shared" si="40"/>
        <v>1</v>
      </c>
      <c r="Y50" s="55">
        <f t="shared" si="41"/>
        <v>1</v>
      </c>
      <c r="Z50" s="55">
        <f t="shared" si="42"/>
        <v>1</v>
      </c>
    </row>
    <row r="51" spans="3:26" x14ac:dyDescent="0.3">
      <c r="C51">
        <f t="shared" si="1"/>
        <v>0</v>
      </c>
      <c r="D51">
        <f>Incurred_loss!$C49</f>
        <v>2019</v>
      </c>
      <c r="E51" s="45">
        <f>Incurred_loss!S49</f>
        <v>1828427.1492417241</v>
      </c>
      <c r="F51" s="45">
        <f>Incurred_loss!T49</f>
        <v>1180425.6469071496</v>
      </c>
      <c r="G51" s="45">
        <f>Incurred_loss!U49</f>
        <v>1150152.6862277391</v>
      </c>
      <c r="H51" s="45">
        <f>Incurred_loss!V49</f>
        <v>990537.15411048685</v>
      </c>
      <c r="I51" s="45">
        <f>Incurred_loss!W49</f>
        <v>1077518.5338661333</v>
      </c>
      <c r="J51" s="45">
        <f>Incurred_loss!X49</f>
        <v>1077138.549936912</v>
      </c>
      <c r="K51" s="45">
        <f>Incurred_loss!Y49</f>
        <v>1079865.9136745317</v>
      </c>
      <c r="L51" s="50">
        <f t="shared" si="43"/>
        <v>1082461.9171939613</v>
      </c>
      <c r="M51" s="50">
        <f t="shared" si="43"/>
        <v>1081986.7947487913</v>
      </c>
      <c r="N51" s="49">
        <f t="shared" si="26"/>
        <v>1081986.7947487913</v>
      </c>
      <c r="O51" s="48">
        <f t="shared" si="2"/>
        <v>1081986.7947487913</v>
      </c>
      <c r="P51" s="47" t="str">
        <f t="shared" si="3"/>
        <v>-</v>
      </c>
      <c r="Q51" s="45">
        <f t="shared" si="4"/>
        <v>0</v>
      </c>
      <c r="R51" s="45">
        <f t="shared" si="5"/>
        <v>0</v>
      </c>
      <c r="S51" s="55">
        <f t="shared" si="6"/>
        <v>2019</v>
      </c>
      <c r="T51" s="55">
        <f t="shared" si="36"/>
        <v>0</v>
      </c>
      <c r="U51" s="55">
        <f t="shared" si="37"/>
        <v>0</v>
      </c>
      <c r="V51" s="55">
        <f t="shared" si="38"/>
        <v>0</v>
      </c>
      <c r="W51" s="55">
        <f t="shared" si="39"/>
        <v>0</v>
      </c>
      <c r="X51" s="55">
        <f t="shared" si="40"/>
        <v>0</v>
      </c>
      <c r="Y51" s="55">
        <f t="shared" si="41"/>
        <v>0</v>
      </c>
      <c r="Z51" s="55">
        <f t="shared" si="42"/>
        <v>0</v>
      </c>
    </row>
    <row r="52" spans="3:26" x14ac:dyDescent="0.3">
      <c r="C52">
        <f t="shared" si="1"/>
        <v>1</v>
      </c>
      <c r="D52">
        <f>Incurred_loss!$C50</f>
        <v>2019</v>
      </c>
      <c r="E52" s="45">
        <f>Incurred_loss!S50</f>
        <v>2228272.2645746935</v>
      </c>
      <c r="F52" s="45">
        <f>Incurred_loss!T50</f>
        <v>2556399.7385552535</v>
      </c>
      <c r="G52" s="45">
        <f>Incurred_loss!U50</f>
        <v>2351438.1413896387</v>
      </c>
      <c r="H52" s="45">
        <f>Incurred_loss!V50</f>
        <v>2596260.6731982958</v>
      </c>
      <c r="I52" s="45">
        <f>Incurred_loss!W50</f>
        <v>2738270.1506180703</v>
      </c>
      <c r="J52" s="45">
        <f>Incurred_loss!X50</f>
        <v>2595382.0306275771</v>
      </c>
      <c r="K52" s="45">
        <f>Incurred_loss!Y50</f>
        <v>2559017.2531144167</v>
      </c>
      <c r="L52" s="50">
        <f t="shared" si="43"/>
        <v>2565169.1444846708</v>
      </c>
      <c r="M52" s="50">
        <f t="shared" si="43"/>
        <v>2564043.2208684739</v>
      </c>
      <c r="N52" s="49">
        <f t="shared" si="26"/>
        <v>2564043.2208684739</v>
      </c>
      <c r="O52" s="48">
        <f t="shared" si="2"/>
        <v>2564043.2208684739</v>
      </c>
      <c r="P52" s="47">
        <f t="shared" si="3"/>
        <v>0.24843821516938122</v>
      </c>
      <c r="Q52" s="45">
        <f t="shared" si="4"/>
        <v>0</v>
      </c>
      <c r="R52" s="45">
        <f t="shared" si="5"/>
        <v>0</v>
      </c>
      <c r="S52" s="55">
        <f t="shared" si="6"/>
        <v>2019</v>
      </c>
      <c r="T52" s="55">
        <f t="shared" si="36"/>
        <v>1</v>
      </c>
      <c r="U52" s="55">
        <f t="shared" si="37"/>
        <v>1</v>
      </c>
      <c r="V52" s="55">
        <f t="shared" si="38"/>
        <v>1</v>
      </c>
      <c r="W52" s="55">
        <f t="shared" si="39"/>
        <v>1</v>
      </c>
      <c r="X52" s="55">
        <f t="shared" si="40"/>
        <v>1</v>
      </c>
      <c r="Y52" s="55">
        <f t="shared" si="41"/>
        <v>1</v>
      </c>
      <c r="Z52" s="55">
        <f t="shared" si="42"/>
        <v>1</v>
      </c>
    </row>
    <row r="53" spans="3:26" x14ac:dyDescent="0.3">
      <c r="C53">
        <f t="shared" si="1"/>
        <v>1</v>
      </c>
      <c r="D53">
        <f>Incurred_loss!$C51</f>
        <v>2019</v>
      </c>
      <c r="E53" s="45">
        <f>Incurred_loss!S51</f>
        <v>4979023.7390434397</v>
      </c>
      <c r="F53" s="45">
        <f>Incurred_loss!T51</f>
        <v>3712299.9773049708</v>
      </c>
      <c r="G53" s="45">
        <f>Incurred_loss!U51</f>
        <v>3886214.9043652033</v>
      </c>
      <c r="H53" s="45">
        <f>Incurred_loss!V51</f>
        <v>3877030.4587814002</v>
      </c>
      <c r="I53" s="45">
        <f>Incurred_loss!W51</f>
        <v>3854113.8377061323</v>
      </c>
      <c r="J53" s="45">
        <f>Incurred_loss!X51</f>
        <v>3857638.3657974158</v>
      </c>
      <c r="K53" s="45">
        <f>Incurred_loss!Y51</f>
        <v>3860761.8945601792</v>
      </c>
      <c r="L53" s="50">
        <f t="shared" si="43"/>
        <v>3870043.1871160795</v>
      </c>
      <c r="M53" s="50">
        <f t="shared" si="43"/>
        <v>3868344.5182273458</v>
      </c>
      <c r="N53" s="49">
        <f t="shared" si="26"/>
        <v>3868344.5182273458</v>
      </c>
      <c r="O53" s="48">
        <f t="shared" si="2"/>
        <v>3868344.5182273458</v>
      </c>
      <c r="P53" s="47">
        <f t="shared" si="3"/>
        <v>0.65967946189287596</v>
      </c>
      <c r="Q53" s="45">
        <f t="shared" si="4"/>
        <v>0</v>
      </c>
      <c r="R53" s="45">
        <f t="shared" si="5"/>
        <v>0</v>
      </c>
      <c r="S53" s="55">
        <f t="shared" si="6"/>
        <v>2019</v>
      </c>
      <c r="T53" s="55">
        <f t="shared" si="36"/>
        <v>1</v>
      </c>
      <c r="U53" s="55">
        <f t="shared" si="37"/>
        <v>1</v>
      </c>
      <c r="V53" s="55">
        <f t="shared" si="38"/>
        <v>1</v>
      </c>
      <c r="W53" s="55">
        <f t="shared" si="39"/>
        <v>1</v>
      </c>
      <c r="X53" s="55">
        <f t="shared" si="40"/>
        <v>1</v>
      </c>
      <c r="Y53" s="55">
        <f t="shared" si="41"/>
        <v>1</v>
      </c>
      <c r="Z53" s="55">
        <f t="shared" si="42"/>
        <v>1</v>
      </c>
    </row>
    <row r="54" spans="3:26" x14ac:dyDescent="0.3">
      <c r="C54">
        <f t="shared" si="1"/>
        <v>1</v>
      </c>
      <c r="D54">
        <f>Incurred_loss!$C52</f>
        <v>2019</v>
      </c>
      <c r="E54" s="45">
        <f>Incurred_loss!S52</f>
        <v>1679831.3727933078</v>
      </c>
      <c r="F54" s="45">
        <f>Incurred_loss!T52</f>
        <v>2352299.8209672626</v>
      </c>
      <c r="G54" s="45">
        <f>Incurred_loss!U52</f>
        <v>2201688.9991665934</v>
      </c>
      <c r="H54" s="45">
        <f>Incurred_loss!V52</f>
        <v>2119127.9317575172</v>
      </c>
      <c r="I54" s="45">
        <f>Incurred_loss!W52</f>
        <v>2044842.494061131</v>
      </c>
      <c r="J54" s="45">
        <f>Incurred_loss!X52</f>
        <v>2041247.2496199033</v>
      </c>
      <c r="K54" s="45">
        <f>Incurred_loss!Y52</f>
        <v>2041647.8887822209</v>
      </c>
      <c r="L54" s="50">
        <f t="shared" si="43"/>
        <v>2046556.0213916479</v>
      </c>
      <c r="M54" s="50">
        <f t="shared" si="43"/>
        <v>2045657.7314050756</v>
      </c>
      <c r="N54" s="49">
        <f t="shared" si="26"/>
        <v>2045657.7314050756</v>
      </c>
      <c r="O54" s="48">
        <f t="shared" si="2"/>
        <v>2045657.7314050756</v>
      </c>
      <c r="P54" s="47">
        <f t="shared" si="3"/>
        <v>2.2572186272221507E-2</v>
      </c>
      <c r="Q54" s="45">
        <f t="shared" si="4"/>
        <v>0</v>
      </c>
      <c r="R54" s="45">
        <f t="shared" si="5"/>
        <v>0</v>
      </c>
      <c r="S54" s="55">
        <f t="shared" si="6"/>
        <v>2019</v>
      </c>
      <c r="T54" s="55">
        <f t="shared" si="36"/>
        <v>0</v>
      </c>
      <c r="U54" s="55">
        <f t="shared" si="37"/>
        <v>1</v>
      </c>
      <c r="V54" s="55">
        <f t="shared" si="38"/>
        <v>1</v>
      </c>
      <c r="W54" s="55">
        <f t="shared" si="39"/>
        <v>1</v>
      </c>
      <c r="X54" s="55">
        <f t="shared" si="40"/>
        <v>1</v>
      </c>
      <c r="Y54" s="55">
        <f t="shared" si="41"/>
        <v>1</v>
      </c>
      <c r="Z54" s="55">
        <f t="shared" si="42"/>
        <v>1</v>
      </c>
    </row>
    <row r="55" spans="3:26" x14ac:dyDescent="0.3">
      <c r="C55">
        <f t="shared" si="1"/>
        <v>0</v>
      </c>
      <c r="D55">
        <f>Incurred_loss!$C53</f>
        <v>2019</v>
      </c>
      <c r="E55" s="45">
        <f>Incurred_loss!S53</f>
        <v>1004416.3587820012</v>
      </c>
      <c r="F55" s="45">
        <f>Incurred_loss!T53</f>
        <v>1260208.3631840479</v>
      </c>
      <c r="G55" s="45">
        <f>Incurred_loss!U53</f>
        <v>1135177.7671411112</v>
      </c>
      <c r="H55" s="45">
        <f>Incurred_loss!V53</f>
        <v>1029470.9910313629</v>
      </c>
      <c r="I55" s="45">
        <f>Incurred_loss!W53</f>
        <v>1022392.3237764891</v>
      </c>
      <c r="J55" s="45">
        <f>Incurred_loss!X53</f>
        <v>1013511.2216955415</v>
      </c>
      <c r="K55" s="45">
        <f>Incurred_loss!Y53</f>
        <v>1013620.6111277206</v>
      </c>
      <c r="L55" s="50">
        <f t="shared" si="43"/>
        <v>1016057.3605801596</v>
      </c>
      <c r="M55" s="50">
        <f t="shared" si="43"/>
        <v>1015611.3849297244</v>
      </c>
      <c r="N55" s="49">
        <f t="shared" si="26"/>
        <v>1015611.3849297244</v>
      </c>
      <c r="O55" s="48">
        <f t="shared" si="2"/>
        <v>1015611.3849297244</v>
      </c>
      <c r="P55" s="47" t="str">
        <f t="shared" si="3"/>
        <v>-</v>
      </c>
      <c r="Q55" s="45">
        <f t="shared" si="4"/>
        <v>0</v>
      </c>
      <c r="R55" s="45">
        <f t="shared" si="5"/>
        <v>0</v>
      </c>
      <c r="S55" s="55">
        <f t="shared" si="6"/>
        <v>2019</v>
      </c>
      <c r="T55" s="55">
        <f t="shared" si="36"/>
        <v>0</v>
      </c>
      <c r="U55" s="55">
        <f t="shared" si="37"/>
        <v>0</v>
      </c>
      <c r="V55" s="55">
        <f t="shared" si="38"/>
        <v>0</v>
      </c>
      <c r="W55" s="55">
        <f t="shared" si="39"/>
        <v>0</v>
      </c>
      <c r="X55" s="55">
        <f t="shared" si="40"/>
        <v>0</v>
      </c>
      <c r="Y55" s="55">
        <f t="shared" si="41"/>
        <v>0</v>
      </c>
      <c r="Z55" s="55">
        <f t="shared" si="42"/>
        <v>0</v>
      </c>
    </row>
    <row r="56" spans="3:26" x14ac:dyDescent="0.3">
      <c r="C56">
        <f t="shared" si="1"/>
        <v>1</v>
      </c>
      <c r="D56">
        <f>Incurred_loss!$C54</f>
        <v>2019</v>
      </c>
      <c r="E56" s="45">
        <f>Incurred_loss!S54</f>
        <v>4136872.0051644635</v>
      </c>
      <c r="F56" s="45">
        <f>Incurred_loss!T54</f>
        <v>5319542.2784024272</v>
      </c>
      <c r="G56" s="45">
        <f>Incurred_loss!U54</f>
        <v>5530112.9695209414</v>
      </c>
      <c r="H56" s="45">
        <f>Incurred_loss!V54</f>
        <v>5080860.3939118031</v>
      </c>
      <c r="I56" s="45">
        <f>Incurred_loss!W54</f>
        <v>5063638.3991765827</v>
      </c>
      <c r="J56" s="45">
        <f>Incurred_loss!X54</f>
        <v>5145246.2222874174</v>
      </c>
      <c r="K56" s="45">
        <f>Incurred_loss!Y54</f>
        <v>5143879.2432688139</v>
      </c>
      <c r="L56" s="50">
        <f t="shared" si="43"/>
        <v>5156245.1568974862</v>
      </c>
      <c r="M56" s="50">
        <f t="shared" si="43"/>
        <v>5153981.9384249207</v>
      </c>
      <c r="N56" s="49">
        <f t="shared" si="26"/>
        <v>5153981.9384249207</v>
      </c>
      <c r="O56" s="48">
        <f t="shared" si="2"/>
        <v>5153981.9384249207</v>
      </c>
      <c r="P56" s="47">
        <f t="shared" si="3"/>
        <v>0.94662242728397916</v>
      </c>
      <c r="Q56" s="45">
        <f t="shared" si="4"/>
        <v>1</v>
      </c>
      <c r="R56" s="45">
        <f t="shared" si="5"/>
        <v>0</v>
      </c>
      <c r="S56" s="55">
        <f t="shared" si="6"/>
        <v>2019</v>
      </c>
      <c r="T56" s="55">
        <f t="shared" si="36"/>
        <v>1</v>
      </c>
      <c r="U56" s="55">
        <f t="shared" si="37"/>
        <v>1</v>
      </c>
      <c r="V56" s="55">
        <f t="shared" si="38"/>
        <v>1</v>
      </c>
      <c r="W56" s="55">
        <f t="shared" si="39"/>
        <v>1</v>
      </c>
      <c r="X56" s="55">
        <f t="shared" si="40"/>
        <v>1</v>
      </c>
      <c r="Y56" s="55">
        <f t="shared" si="41"/>
        <v>1</v>
      </c>
      <c r="Z56" s="55">
        <f t="shared" si="42"/>
        <v>1</v>
      </c>
    </row>
    <row r="57" spans="3:26" x14ac:dyDescent="0.3">
      <c r="C57">
        <f t="shared" si="1"/>
        <v>1</v>
      </c>
      <c r="D57">
        <f>Incurred_loss!$C55</f>
        <v>2019</v>
      </c>
      <c r="E57" s="45">
        <f>Incurred_loss!S55</f>
        <v>5361425.0466771973</v>
      </c>
      <c r="F57" s="45">
        <f>Incurred_loss!T55</f>
        <v>5195487.9340468151</v>
      </c>
      <c r="G57" s="45">
        <f>Incurred_loss!U55</f>
        <v>4168576.7405652027</v>
      </c>
      <c r="H57" s="45">
        <f>Incurred_loss!V55</f>
        <v>4170173.4284920553</v>
      </c>
      <c r="I57" s="45">
        <f>Incurred_loss!W55</f>
        <v>4237449.729740263</v>
      </c>
      <c r="J57" s="45">
        <f>Incurred_loss!X55</f>
        <v>4131933.5743124364</v>
      </c>
      <c r="K57" s="45">
        <f>Incurred_loss!Y55</f>
        <v>4145849.9932402461</v>
      </c>
      <c r="L57" s="50">
        <f t="shared" si="43"/>
        <v>4155816.6391332126</v>
      </c>
      <c r="M57" s="50">
        <f t="shared" si="43"/>
        <v>4153992.5363801271</v>
      </c>
      <c r="N57" s="49">
        <f t="shared" si="26"/>
        <v>4153992.5363801271</v>
      </c>
      <c r="O57" s="48">
        <f t="shared" si="2"/>
        <v>4153992.5363801271</v>
      </c>
      <c r="P57" s="47">
        <f t="shared" si="3"/>
        <v>0.7309227481615298</v>
      </c>
      <c r="Q57" s="45">
        <f t="shared" si="4"/>
        <v>1</v>
      </c>
      <c r="R57" s="45">
        <f t="shared" si="5"/>
        <v>0</v>
      </c>
      <c r="S57" s="55">
        <f t="shared" si="6"/>
        <v>2019</v>
      </c>
      <c r="T57" s="55">
        <f t="shared" si="36"/>
        <v>1</v>
      </c>
      <c r="U57" s="55">
        <f t="shared" si="37"/>
        <v>1</v>
      </c>
      <c r="V57" s="55">
        <f t="shared" si="38"/>
        <v>1</v>
      </c>
      <c r="W57" s="55">
        <f t="shared" si="39"/>
        <v>1</v>
      </c>
      <c r="X57" s="55">
        <f t="shared" si="40"/>
        <v>1</v>
      </c>
      <c r="Y57" s="55">
        <f t="shared" si="41"/>
        <v>1</v>
      </c>
      <c r="Z57" s="55">
        <f t="shared" si="42"/>
        <v>1</v>
      </c>
    </row>
    <row r="58" spans="3:26" x14ac:dyDescent="0.3">
      <c r="C58">
        <f t="shared" si="1"/>
        <v>0</v>
      </c>
      <c r="D58">
        <f>Incurred_loss!$C56</f>
        <v>2019</v>
      </c>
      <c r="E58" s="45">
        <f>Incurred_loss!S56</f>
        <v>1197895.8574352977</v>
      </c>
      <c r="F58" s="45">
        <f>Incurred_loss!T56</f>
        <v>1022739.9862260383</v>
      </c>
      <c r="G58" s="45">
        <f>Incurred_loss!U56</f>
        <v>872098.49635224114</v>
      </c>
      <c r="H58" s="45">
        <f>Incurred_loss!V56</f>
        <v>965044.08597637375</v>
      </c>
      <c r="I58" s="45">
        <f>Incurred_loss!W56</f>
        <v>925104.33939514332</v>
      </c>
      <c r="J58" s="45">
        <f>Incurred_loss!X56</f>
        <v>888527.43384205364</v>
      </c>
      <c r="K58" s="45">
        <f>Incurred_loss!Y56</f>
        <v>930193.69498349796</v>
      </c>
      <c r="L58" s="50">
        <f t="shared" si="43"/>
        <v>932429.88567657338</v>
      </c>
      <c r="M58" s="50">
        <f t="shared" si="43"/>
        <v>932020.61643560021</v>
      </c>
      <c r="N58" s="49">
        <f t="shared" si="26"/>
        <v>932020.61643560021</v>
      </c>
      <c r="O58" s="48">
        <f t="shared" si="2"/>
        <v>932020.61643560021</v>
      </c>
      <c r="P58" s="47" t="str">
        <f t="shared" si="3"/>
        <v>-</v>
      </c>
      <c r="Q58" s="45">
        <f t="shared" si="4"/>
        <v>0</v>
      </c>
      <c r="R58" s="45">
        <f t="shared" si="5"/>
        <v>0</v>
      </c>
      <c r="S58" s="55">
        <f t="shared" si="6"/>
        <v>2019</v>
      </c>
      <c r="T58" s="55">
        <f t="shared" si="36"/>
        <v>0</v>
      </c>
      <c r="U58" s="55">
        <f t="shared" si="37"/>
        <v>0</v>
      </c>
      <c r="V58" s="55">
        <f t="shared" si="38"/>
        <v>0</v>
      </c>
      <c r="W58" s="55">
        <f t="shared" si="39"/>
        <v>0</v>
      </c>
      <c r="X58" s="55">
        <f t="shared" si="40"/>
        <v>0</v>
      </c>
      <c r="Y58" s="55">
        <f t="shared" si="41"/>
        <v>0</v>
      </c>
      <c r="Z58" s="55">
        <f t="shared" si="42"/>
        <v>0</v>
      </c>
    </row>
    <row r="59" spans="3:26" x14ac:dyDescent="0.3">
      <c r="C59">
        <f t="shared" si="1"/>
        <v>0</v>
      </c>
      <c r="D59">
        <f>Incurred_loss!$C57</f>
        <v>2020</v>
      </c>
      <c r="E59" s="45">
        <f>Incurred_loss!S57</f>
        <v>783744.20035917487</v>
      </c>
      <c r="F59" s="45">
        <f>Incurred_loss!T57</f>
        <v>1272528.7374151601</v>
      </c>
      <c r="G59" s="45">
        <f>Incurred_loss!U57</f>
        <v>1517944.7163948291</v>
      </c>
      <c r="H59" s="45">
        <f>Incurred_loss!V57</f>
        <v>1407933.6565516251</v>
      </c>
      <c r="I59" s="45">
        <f>Incurred_loss!W57</f>
        <v>1410301.9655802906</v>
      </c>
      <c r="J59" s="45">
        <f>Incurred_loss!X57</f>
        <v>1408859.0218216726</v>
      </c>
      <c r="K59" s="50">
        <f>J59*K$120</f>
        <v>1406697.866380045</v>
      </c>
      <c r="L59" s="50">
        <f t="shared" si="43"/>
        <v>1410079.5756882594</v>
      </c>
      <c r="M59" s="50">
        <f t="shared" si="43"/>
        <v>1409460.6528003095</v>
      </c>
      <c r="N59" s="49">
        <f t="shared" si="26"/>
        <v>1409460.6528003095</v>
      </c>
      <c r="O59" s="48">
        <f t="shared" si="2"/>
        <v>1409460.6528003095</v>
      </c>
      <c r="P59" s="47" t="str">
        <f t="shared" si="3"/>
        <v>-</v>
      </c>
      <c r="Q59" s="45">
        <f t="shared" si="4"/>
        <v>0</v>
      </c>
      <c r="R59" s="45">
        <f t="shared" si="5"/>
        <v>0</v>
      </c>
      <c r="S59" s="55">
        <f t="shared" si="6"/>
        <v>2020</v>
      </c>
      <c r="T59" s="55">
        <f t="shared" ref="T59:T64" si="44">IF(E59&gt;$E$2,1,0)</f>
        <v>0</v>
      </c>
      <c r="U59" s="55">
        <f t="shared" ref="U59:U64" si="45">IF(F59&gt;$E$2,1,0)</f>
        <v>0</v>
      </c>
      <c r="V59" s="55">
        <f t="shared" ref="V59:V64" si="46">IF(G59&gt;$E$2,1,0)</f>
        <v>0</v>
      </c>
      <c r="W59" s="55">
        <f t="shared" ref="W59:W64" si="47">IF(H59&gt;$E$2,1,0)</f>
        <v>0</v>
      </c>
      <c r="X59" s="55">
        <f t="shared" ref="X59:X64" si="48">IF(I59&gt;$E$2,1,0)</f>
        <v>0</v>
      </c>
      <c r="Y59" s="55">
        <f t="shared" ref="Y59:Y64" si="49">IF(J59&gt;$E$2,1,0)</f>
        <v>0</v>
      </c>
    </row>
    <row r="60" spans="3:26" x14ac:dyDescent="0.3">
      <c r="C60">
        <f t="shared" si="1"/>
        <v>1</v>
      </c>
      <c r="D60">
        <f>Incurred_loss!$C58</f>
        <v>2020</v>
      </c>
      <c r="E60" s="45">
        <f>Incurred_loss!S58</f>
        <v>2789294.0703822547</v>
      </c>
      <c r="F60" s="45">
        <f>Incurred_loss!T58</f>
        <v>3695831.896591668</v>
      </c>
      <c r="G60" s="45">
        <f>Incurred_loss!U58</f>
        <v>3743679.5857865512</v>
      </c>
      <c r="H60" s="45">
        <f>Incurred_loss!V58</f>
        <v>3534675.1954131648</v>
      </c>
      <c r="I60" s="45">
        <f>Incurred_loss!W58</f>
        <v>3669833.3021374657</v>
      </c>
      <c r="J60" s="45">
        <f>Incurred_loss!X58</f>
        <v>3546966.0247669732</v>
      </c>
      <c r="K60" s="50">
        <f t="shared" ref="K60:M75" si="50">J60*K$120</f>
        <v>3541525.0652337889</v>
      </c>
      <c r="L60" s="50">
        <f t="shared" si="43"/>
        <v>3550038.9107187442</v>
      </c>
      <c r="M60" s="50">
        <f t="shared" si="43"/>
        <v>3548480.7005490209</v>
      </c>
      <c r="N60" s="49">
        <f t="shared" si="26"/>
        <v>3548480.7005490209</v>
      </c>
      <c r="O60" s="48">
        <f t="shared" si="2"/>
        <v>3548480.7005490209</v>
      </c>
      <c r="P60" s="47">
        <f t="shared" si="3"/>
        <v>0.57337235964503175</v>
      </c>
      <c r="Q60" s="45">
        <f t="shared" si="4"/>
        <v>0</v>
      </c>
      <c r="R60" s="45">
        <f t="shared" si="5"/>
        <v>0</v>
      </c>
      <c r="S60" s="55">
        <f t="shared" si="6"/>
        <v>2020</v>
      </c>
      <c r="T60" s="55">
        <f t="shared" si="44"/>
        <v>1</v>
      </c>
      <c r="U60" s="55">
        <f t="shared" si="45"/>
        <v>1</v>
      </c>
      <c r="V60" s="55">
        <f t="shared" si="46"/>
        <v>1</v>
      </c>
      <c r="W60" s="55">
        <f t="shared" si="47"/>
        <v>1</v>
      </c>
      <c r="X60" s="55">
        <f t="shared" si="48"/>
        <v>1</v>
      </c>
      <c r="Y60" s="55">
        <f t="shared" si="49"/>
        <v>1</v>
      </c>
    </row>
    <row r="61" spans="3:26" x14ac:dyDescent="0.3">
      <c r="C61">
        <f t="shared" si="1"/>
        <v>1</v>
      </c>
      <c r="D61">
        <f>Incurred_loss!$C59</f>
        <v>2020</v>
      </c>
      <c r="E61" s="45">
        <f>Incurred_loss!S59</f>
        <v>4960075.0633017318</v>
      </c>
      <c r="F61" s="45">
        <f>Incurred_loss!T59</f>
        <v>3207519.9012005753</v>
      </c>
      <c r="G61" s="45">
        <f>Incurred_loss!U59</f>
        <v>3411737.1199889225</v>
      </c>
      <c r="H61" s="45">
        <f>Incurred_loss!V59</f>
        <v>3315066.3799544713</v>
      </c>
      <c r="I61" s="45">
        <f>Incurred_loss!W59</f>
        <v>3244052.4463624842</v>
      </c>
      <c r="J61" s="45">
        <f>Incurred_loss!X59</f>
        <v>3240249.6913093915</v>
      </c>
      <c r="K61" s="50">
        <f t="shared" si="50"/>
        <v>3235279.2271649018</v>
      </c>
      <c r="L61" s="50">
        <f t="shared" si="50"/>
        <v>3243056.8559924276</v>
      </c>
      <c r="M61" s="50">
        <f t="shared" si="50"/>
        <v>3241633.388728804</v>
      </c>
      <c r="N61" s="49">
        <f t="shared" si="26"/>
        <v>3241633.388728804</v>
      </c>
      <c r="O61" s="48">
        <f t="shared" si="2"/>
        <v>3241633.388728804</v>
      </c>
      <c r="P61" s="47">
        <f t="shared" si="3"/>
        <v>0.48293015453598992</v>
      </c>
      <c r="Q61" s="45">
        <f t="shared" si="4"/>
        <v>0</v>
      </c>
      <c r="R61" s="45">
        <f t="shared" si="5"/>
        <v>0</v>
      </c>
      <c r="S61" s="55">
        <f t="shared" si="6"/>
        <v>2020</v>
      </c>
      <c r="T61" s="55">
        <f t="shared" si="44"/>
        <v>1</v>
      </c>
      <c r="U61" s="55">
        <f t="shared" si="45"/>
        <v>1</v>
      </c>
      <c r="V61" s="55">
        <f t="shared" si="46"/>
        <v>1</v>
      </c>
      <c r="W61" s="55">
        <f t="shared" si="47"/>
        <v>1</v>
      </c>
      <c r="X61" s="55">
        <f t="shared" si="48"/>
        <v>1</v>
      </c>
      <c r="Y61" s="55">
        <f t="shared" si="49"/>
        <v>1</v>
      </c>
    </row>
    <row r="62" spans="3:26" x14ac:dyDescent="0.3">
      <c r="C62">
        <f t="shared" si="1"/>
        <v>0</v>
      </c>
      <c r="D62">
        <f>Incurred_loss!$C60</f>
        <v>2020</v>
      </c>
      <c r="E62" s="45">
        <f>Incurred_loss!S60</f>
        <v>1061891.7213161585</v>
      </c>
      <c r="F62" s="45">
        <f>Incurred_loss!T60</f>
        <v>1609975.5258851789</v>
      </c>
      <c r="G62" s="45">
        <f>Incurred_loss!U60</f>
        <v>1364278.9224984369</v>
      </c>
      <c r="H62" s="45">
        <f>Incurred_loss!V60</f>
        <v>1366036.5356325579</v>
      </c>
      <c r="I62" s="45">
        <f>Incurred_loss!W60</f>
        <v>1383013.7944809101</v>
      </c>
      <c r="J62" s="45">
        <f>Incurred_loss!X60</f>
        <v>1381742.1056661163</v>
      </c>
      <c r="K62" s="50">
        <f t="shared" si="50"/>
        <v>1379622.546913726</v>
      </c>
      <c r="L62" s="50">
        <f t="shared" si="50"/>
        <v>1382939.1670069424</v>
      </c>
      <c r="M62" s="50">
        <f t="shared" si="50"/>
        <v>1382332.1567942847</v>
      </c>
      <c r="N62" s="49">
        <f t="shared" si="26"/>
        <v>1382332.1567942847</v>
      </c>
      <c r="O62" s="48">
        <f t="shared" si="2"/>
        <v>1382332.1567942847</v>
      </c>
      <c r="P62" s="47" t="str">
        <f t="shared" si="3"/>
        <v>-</v>
      </c>
      <c r="Q62" s="45">
        <f t="shared" si="4"/>
        <v>0</v>
      </c>
      <c r="R62" s="45">
        <f t="shared" si="5"/>
        <v>0</v>
      </c>
      <c r="S62" s="55">
        <f t="shared" si="6"/>
        <v>2020</v>
      </c>
      <c r="T62" s="55">
        <f t="shared" si="44"/>
        <v>0</v>
      </c>
      <c r="U62" s="55">
        <f t="shared" si="45"/>
        <v>0</v>
      </c>
      <c r="V62" s="55">
        <f t="shared" si="46"/>
        <v>0</v>
      </c>
      <c r="W62" s="55">
        <f t="shared" si="47"/>
        <v>0</v>
      </c>
      <c r="X62" s="55">
        <f t="shared" si="48"/>
        <v>0</v>
      </c>
      <c r="Y62" s="55">
        <f t="shared" si="49"/>
        <v>0</v>
      </c>
    </row>
    <row r="63" spans="3:26" x14ac:dyDescent="0.3">
      <c r="C63">
        <f t="shared" si="1"/>
        <v>0</v>
      </c>
      <c r="D63">
        <f>Incurred_loss!$C61</f>
        <v>2020</v>
      </c>
      <c r="E63" s="45">
        <f>Incurred_loss!S61</f>
        <v>1566671.0038850585</v>
      </c>
      <c r="F63" s="45">
        <f>Incurred_loss!T61</f>
        <v>1820418.2301203038</v>
      </c>
      <c r="G63" s="45">
        <f>Incurred_loss!U61</f>
        <v>1275251.4357094793</v>
      </c>
      <c r="H63" s="45">
        <f>Incurred_loss!V61</f>
        <v>1331189.0050581265</v>
      </c>
      <c r="I63" s="45">
        <f>Incurred_loss!W61</f>
        <v>1342888.9439691154</v>
      </c>
      <c r="J63" s="45">
        <f>Incurred_loss!X61</f>
        <v>1347462.0402593615</v>
      </c>
      <c r="K63" s="50">
        <f t="shared" si="50"/>
        <v>1345395.066292777</v>
      </c>
      <c r="L63" s="50">
        <f t="shared" si="50"/>
        <v>1348629.403336748</v>
      </c>
      <c r="M63" s="50">
        <f t="shared" si="50"/>
        <v>1348037.4526273848</v>
      </c>
      <c r="N63" s="49">
        <f t="shared" si="26"/>
        <v>1348037.4526273848</v>
      </c>
      <c r="O63" s="48">
        <f t="shared" si="2"/>
        <v>1348037.4526273848</v>
      </c>
      <c r="P63" s="47" t="str">
        <f t="shared" si="3"/>
        <v>-</v>
      </c>
      <c r="Q63" s="45">
        <f t="shared" si="4"/>
        <v>0</v>
      </c>
      <c r="R63" s="45">
        <f t="shared" si="5"/>
        <v>0</v>
      </c>
      <c r="S63" s="55">
        <f t="shared" si="6"/>
        <v>2020</v>
      </c>
      <c r="T63" s="55">
        <f t="shared" si="44"/>
        <v>0</v>
      </c>
      <c r="U63" s="55">
        <f t="shared" si="45"/>
        <v>0</v>
      </c>
      <c r="V63" s="55">
        <f t="shared" si="46"/>
        <v>0</v>
      </c>
      <c r="W63" s="55">
        <f t="shared" si="47"/>
        <v>0</v>
      </c>
      <c r="X63" s="55">
        <f t="shared" si="48"/>
        <v>0</v>
      </c>
      <c r="Y63" s="55">
        <f t="shared" si="49"/>
        <v>0</v>
      </c>
    </row>
    <row r="64" spans="3:26" x14ac:dyDescent="0.3">
      <c r="C64">
        <f t="shared" si="1"/>
        <v>0</v>
      </c>
      <c r="D64">
        <f>Incurred_loss!$C62</f>
        <v>2020</v>
      </c>
      <c r="E64" s="45">
        <f>Incurred_loss!S62</f>
        <v>191816.27003049961</v>
      </c>
      <c r="F64" s="45">
        <f>Incurred_loss!T62</f>
        <v>544634.12802422221</v>
      </c>
      <c r="G64" s="45">
        <f>Incurred_loss!U62</f>
        <v>660920.12348059472</v>
      </c>
      <c r="H64" s="45">
        <f>Incurred_loss!V62</f>
        <v>714358.19155906886</v>
      </c>
      <c r="I64" s="45">
        <f>Incurred_loss!W62</f>
        <v>667242.07717736682</v>
      </c>
      <c r="J64" s="45">
        <f>Incurred_loss!X62</f>
        <v>684202.0678637065</v>
      </c>
      <c r="K64" s="50">
        <f t="shared" si="50"/>
        <v>683152.51854810177</v>
      </c>
      <c r="L64" s="50">
        <f t="shared" si="50"/>
        <v>684794.82091175672</v>
      </c>
      <c r="M64" s="50">
        <f t="shared" si="50"/>
        <v>684494.24554316094</v>
      </c>
      <c r="N64" s="49">
        <f t="shared" si="26"/>
        <v>684494.24554316094</v>
      </c>
      <c r="O64" s="48">
        <f t="shared" si="2"/>
        <v>684494.24554316094</v>
      </c>
      <c r="P64" s="47" t="str">
        <f t="shared" si="3"/>
        <v>-</v>
      </c>
      <c r="Q64" s="45">
        <f t="shared" si="4"/>
        <v>0</v>
      </c>
      <c r="R64" s="45">
        <f t="shared" si="5"/>
        <v>0</v>
      </c>
      <c r="S64" s="55">
        <f t="shared" si="6"/>
        <v>2020</v>
      </c>
      <c r="T64" s="55">
        <f t="shared" si="44"/>
        <v>0</v>
      </c>
      <c r="U64" s="55">
        <f t="shared" si="45"/>
        <v>0</v>
      </c>
      <c r="V64" s="55">
        <f t="shared" si="46"/>
        <v>0</v>
      </c>
      <c r="W64" s="55">
        <f t="shared" si="47"/>
        <v>0</v>
      </c>
      <c r="X64" s="55">
        <f t="shared" si="48"/>
        <v>0</v>
      </c>
      <c r="Y64" s="55">
        <f t="shared" si="49"/>
        <v>0</v>
      </c>
    </row>
    <row r="65" spans="3:24" x14ac:dyDescent="0.3">
      <c r="C65">
        <f t="shared" si="1"/>
        <v>1</v>
      </c>
      <c r="D65">
        <f>Incurred_loss!$C63</f>
        <v>2021</v>
      </c>
      <c r="E65" s="45">
        <f>Incurred_loss!S63</f>
        <v>5539421.4591329247</v>
      </c>
      <c r="F65" s="45">
        <f>Incurred_loss!T63</f>
        <v>2968920.7283569272</v>
      </c>
      <c r="G65" s="45">
        <f>Incurred_loss!U63</f>
        <v>3389595.0063632331</v>
      </c>
      <c r="H65" s="45">
        <f>Incurred_loss!V63</f>
        <v>2976942.9994495213</v>
      </c>
      <c r="I65" s="45">
        <f>Incurred_loss!W63</f>
        <v>2962899.2192980764</v>
      </c>
      <c r="J65" s="50">
        <f>I65*J$120</f>
        <v>2904358.5233259317</v>
      </c>
      <c r="K65" s="50">
        <f t="shared" si="50"/>
        <v>2899903.3080560551</v>
      </c>
      <c r="L65" s="50">
        <f t="shared" si="50"/>
        <v>2906874.6913531744</v>
      </c>
      <c r="M65" s="50">
        <f t="shared" si="50"/>
        <v>2905598.7837307253</v>
      </c>
      <c r="N65" s="49">
        <f t="shared" si="26"/>
        <v>2905598.7837307253</v>
      </c>
      <c r="O65" s="48">
        <f t="shared" si="2"/>
        <v>2905598.7837307253</v>
      </c>
      <c r="P65" s="47">
        <f t="shared" si="3"/>
        <v>0.37349231026992707</v>
      </c>
      <c r="Q65" s="45">
        <f t="shared" si="4"/>
        <v>0</v>
      </c>
      <c r="R65" s="45">
        <f t="shared" si="5"/>
        <v>0</v>
      </c>
      <c r="S65" s="55">
        <f t="shared" si="6"/>
        <v>2021</v>
      </c>
      <c r="T65" s="55">
        <f t="shared" ref="T65:T72" si="51">IF(E65&gt;$E$2,1,0)</f>
        <v>1</v>
      </c>
      <c r="U65" s="55">
        <f t="shared" ref="U65:U72" si="52">IF(F65&gt;$E$2,1,0)</f>
        <v>1</v>
      </c>
      <c r="V65" s="55">
        <f t="shared" ref="V65:V72" si="53">IF(G65&gt;$E$2,1,0)</f>
        <v>1</v>
      </c>
      <c r="W65" s="55">
        <f t="shared" ref="W65:W72" si="54">IF(H65&gt;$E$2,1,0)</f>
        <v>1</v>
      </c>
      <c r="X65" s="55">
        <f t="shared" ref="X65:X72" si="55">IF(I65&gt;$E$2,1,0)</f>
        <v>1</v>
      </c>
    </row>
    <row r="66" spans="3:24" x14ac:dyDescent="0.3">
      <c r="C66">
        <f t="shared" si="1"/>
        <v>1</v>
      </c>
      <c r="D66">
        <f>Incurred_loss!$C64</f>
        <v>2021</v>
      </c>
      <c r="E66" s="45">
        <f>Incurred_loss!S64</f>
        <v>2842913.1022807388</v>
      </c>
      <c r="F66" s="45">
        <f>Incurred_loss!T64</f>
        <v>1967267.0145343486</v>
      </c>
      <c r="G66" s="45">
        <f>Incurred_loss!U64</f>
        <v>2675686.4139390546</v>
      </c>
      <c r="H66" s="45">
        <f>Incurred_loss!V64</f>
        <v>2562229.7697310154</v>
      </c>
      <c r="I66" s="45">
        <f>Incurred_loss!W64</f>
        <v>2570665.7700156141</v>
      </c>
      <c r="J66" s="50">
        <f t="shared" ref="J66:M81" si="56">I66*J$120</f>
        <v>2519874.7872146079</v>
      </c>
      <c r="K66" s="50">
        <f t="shared" si="50"/>
        <v>2516009.3606358948</v>
      </c>
      <c r="L66" s="50">
        <f t="shared" si="50"/>
        <v>2522057.8607991263</v>
      </c>
      <c r="M66" s="50">
        <f t="shared" si="50"/>
        <v>2520950.8599165552</v>
      </c>
      <c r="N66" s="49">
        <f t="shared" si="26"/>
        <v>2520950.8599165552</v>
      </c>
      <c r="O66" s="48">
        <f t="shared" si="2"/>
        <v>2520950.8599165552</v>
      </c>
      <c r="P66" s="47">
        <f t="shared" si="3"/>
        <v>0.2314889751577861</v>
      </c>
      <c r="Q66" s="45">
        <f t="shared" si="4"/>
        <v>0</v>
      </c>
      <c r="R66" s="45">
        <f t="shared" si="5"/>
        <v>0</v>
      </c>
      <c r="S66" s="55">
        <f t="shared" si="6"/>
        <v>2021</v>
      </c>
      <c r="T66" s="55">
        <f t="shared" si="51"/>
        <v>1</v>
      </c>
      <c r="U66" s="55">
        <f t="shared" si="52"/>
        <v>0</v>
      </c>
      <c r="V66" s="55">
        <f t="shared" si="53"/>
        <v>1</v>
      </c>
      <c r="W66" s="55">
        <f t="shared" si="54"/>
        <v>1</v>
      </c>
      <c r="X66" s="55">
        <f t="shared" si="55"/>
        <v>1</v>
      </c>
    </row>
    <row r="67" spans="3:24" x14ac:dyDescent="0.3">
      <c r="C67">
        <f t="shared" si="1"/>
        <v>0</v>
      </c>
      <c r="D67">
        <f>Incurred_loss!$C65</f>
        <v>2021</v>
      </c>
      <c r="E67" s="45">
        <f>Incurred_loss!S65</f>
        <v>2383197.807556848</v>
      </c>
      <c r="F67" s="45">
        <f>Incurred_loss!T65</f>
        <v>2143495.9867592826</v>
      </c>
      <c r="G67" s="45">
        <f>Incurred_loss!U65</f>
        <v>1726406.3088455084</v>
      </c>
      <c r="H67" s="45">
        <f>Incurred_loss!V65</f>
        <v>1722323.069812113</v>
      </c>
      <c r="I67" s="45">
        <f>Incurred_loss!W65</f>
        <v>1761934.3909255844</v>
      </c>
      <c r="J67" s="50">
        <f t="shared" si="56"/>
        <v>1727122.2498881056</v>
      </c>
      <c r="K67" s="50">
        <f t="shared" si="50"/>
        <v>1724472.8864025557</v>
      </c>
      <c r="L67" s="50">
        <f t="shared" si="50"/>
        <v>1728618.5285842121</v>
      </c>
      <c r="M67" s="50">
        <f t="shared" si="50"/>
        <v>1727859.7901482249</v>
      </c>
      <c r="N67" s="49">
        <f t="shared" si="26"/>
        <v>1727859.7901482249</v>
      </c>
      <c r="O67" s="48">
        <f t="shared" si="2"/>
        <v>1727859.7901482249</v>
      </c>
      <c r="P67" s="47" t="str">
        <f t="shared" si="3"/>
        <v>-</v>
      </c>
      <c r="Q67" s="45">
        <f t="shared" si="4"/>
        <v>0</v>
      </c>
      <c r="R67" s="45">
        <f t="shared" si="5"/>
        <v>0</v>
      </c>
      <c r="S67" s="55">
        <f t="shared" si="6"/>
        <v>2021</v>
      </c>
      <c r="T67" s="55">
        <f t="shared" si="51"/>
        <v>1</v>
      </c>
      <c r="U67" s="55">
        <f t="shared" si="52"/>
        <v>1</v>
      </c>
      <c r="V67" s="55">
        <f t="shared" si="53"/>
        <v>0</v>
      </c>
      <c r="W67" s="55">
        <f t="shared" si="54"/>
        <v>0</v>
      </c>
      <c r="X67" s="55">
        <f t="shared" si="55"/>
        <v>0</v>
      </c>
    </row>
    <row r="68" spans="3:24" x14ac:dyDescent="0.3">
      <c r="C68">
        <f t="shared" si="1"/>
        <v>0</v>
      </c>
      <c r="D68">
        <f>Incurred_loss!$C66</f>
        <v>2021</v>
      </c>
      <c r="E68" s="45">
        <f>Incurred_loss!S66</f>
        <v>636114.94864632748</v>
      </c>
      <c r="F68" s="45">
        <f>Incurred_loss!T66</f>
        <v>686578.64428441203</v>
      </c>
      <c r="G68" s="45">
        <f>Incurred_loss!U66</f>
        <v>815484.98932277365</v>
      </c>
      <c r="H68" s="45">
        <f>Incurred_loss!V66</f>
        <v>721063.10987182125</v>
      </c>
      <c r="I68" s="45">
        <f>Incurred_loss!W66</f>
        <v>723138.2676819514</v>
      </c>
      <c r="J68" s="50">
        <f t="shared" si="56"/>
        <v>708850.56690614799</v>
      </c>
      <c r="K68" s="50">
        <f t="shared" si="50"/>
        <v>707763.20739306544</v>
      </c>
      <c r="L68" s="50">
        <f t="shared" si="50"/>
        <v>709464.67398632341</v>
      </c>
      <c r="M68" s="50">
        <f t="shared" si="50"/>
        <v>709153.27033755579</v>
      </c>
      <c r="N68" s="49">
        <f t="shared" si="26"/>
        <v>709153.27033755579</v>
      </c>
      <c r="O68" s="48">
        <f t="shared" si="2"/>
        <v>709153.27033755579</v>
      </c>
      <c r="P68" s="47" t="str">
        <f t="shared" si="3"/>
        <v>-</v>
      </c>
      <c r="Q68" s="45">
        <f t="shared" si="4"/>
        <v>0</v>
      </c>
      <c r="R68" s="45">
        <f t="shared" si="5"/>
        <v>0</v>
      </c>
      <c r="S68" s="55">
        <f t="shared" si="6"/>
        <v>2021</v>
      </c>
      <c r="T68" s="55">
        <f t="shared" si="51"/>
        <v>0</v>
      </c>
      <c r="U68" s="55">
        <f t="shared" si="52"/>
        <v>0</v>
      </c>
      <c r="V68" s="55">
        <f t="shared" si="53"/>
        <v>0</v>
      </c>
      <c r="W68" s="55">
        <f t="shared" si="54"/>
        <v>0</v>
      </c>
      <c r="X68" s="55">
        <f t="shared" si="55"/>
        <v>0</v>
      </c>
    </row>
    <row r="69" spans="3:24" x14ac:dyDescent="0.3">
      <c r="C69">
        <f t="shared" si="1"/>
        <v>1</v>
      </c>
      <c r="D69">
        <f>Incurred_loss!$C67</f>
        <v>2021</v>
      </c>
      <c r="E69" s="45">
        <f>Incurred_loss!S67</f>
        <v>2321719.8136208672</v>
      </c>
      <c r="F69" s="45">
        <f>Incurred_loss!T67</f>
        <v>3174062.1127268663</v>
      </c>
      <c r="G69" s="45">
        <f>Incurred_loss!U67</f>
        <v>3785211.9537011343</v>
      </c>
      <c r="H69" s="45">
        <f>Incurred_loss!V67</f>
        <v>3649835.8933156971</v>
      </c>
      <c r="I69" s="45">
        <f>Incurred_loss!W67</f>
        <v>3709898.8325473531</v>
      </c>
      <c r="J69" s="50">
        <f t="shared" si="56"/>
        <v>3636598.9854823491</v>
      </c>
      <c r="K69" s="50">
        <f t="shared" si="50"/>
        <v>3631020.531169489</v>
      </c>
      <c r="L69" s="50">
        <f t="shared" si="50"/>
        <v>3639749.5242404547</v>
      </c>
      <c r="M69" s="50">
        <f t="shared" si="50"/>
        <v>3638151.9376036455</v>
      </c>
      <c r="N69" s="49">
        <f t="shared" si="26"/>
        <v>3638151.9376036455</v>
      </c>
      <c r="O69" s="48">
        <f t="shared" si="2"/>
        <v>3638151.9376036455</v>
      </c>
      <c r="P69" s="47">
        <f t="shared" si="3"/>
        <v>0.59832866271107299</v>
      </c>
      <c r="Q69" s="45">
        <f t="shared" si="4"/>
        <v>0</v>
      </c>
      <c r="R69" s="45">
        <f t="shared" si="5"/>
        <v>0</v>
      </c>
      <c r="S69" s="55">
        <f t="shared" si="6"/>
        <v>2021</v>
      </c>
      <c r="T69" s="55">
        <f t="shared" si="51"/>
        <v>1</v>
      </c>
      <c r="U69" s="55">
        <f t="shared" si="52"/>
        <v>1</v>
      </c>
      <c r="V69" s="55">
        <f t="shared" si="53"/>
        <v>1</v>
      </c>
      <c r="W69" s="55">
        <f t="shared" si="54"/>
        <v>1</v>
      </c>
      <c r="X69" s="55">
        <f t="shared" si="55"/>
        <v>1</v>
      </c>
    </row>
    <row r="70" spans="3:24" x14ac:dyDescent="0.3">
      <c r="C70">
        <f t="shared" ref="C70:C118" si="57">IF($O70&gt;$E$2,1,0)</f>
        <v>0</v>
      </c>
      <c r="D70">
        <f>Incurred_loss!$C68</f>
        <v>2021</v>
      </c>
      <c r="E70" s="45">
        <f>Incurred_loss!S68</f>
        <v>958930.34296360216</v>
      </c>
      <c r="F70" s="45">
        <f>Incurred_loss!T68</f>
        <v>1207978.331886994</v>
      </c>
      <c r="G70" s="45">
        <f>Incurred_loss!U68</f>
        <v>1196351.165258558</v>
      </c>
      <c r="H70" s="45">
        <f>Incurred_loss!V68</f>
        <v>1211621.8086728372</v>
      </c>
      <c r="I70" s="45">
        <f>Incurred_loss!W68</f>
        <v>1211747.1291442343</v>
      </c>
      <c r="J70" s="50">
        <f t="shared" si="56"/>
        <v>1187805.5384818437</v>
      </c>
      <c r="K70" s="50">
        <f t="shared" si="50"/>
        <v>1185983.4737022419</v>
      </c>
      <c r="L70" s="50">
        <f t="shared" si="50"/>
        <v>1188834.5844121261</v>
      </c>
      <c r="M70" s="50">
        <f t="shared" si="50"/>
        <v>1188312.7720641103</v>
      </c>
      <c r="N70" s="49">
        <f t="shared" si="26"/>
        <v>1188312.7720641103</v>
      </c>
      <c r="O70" s="48">
        <f t="shared" ref="O70:O118" si="58">$N70</f>
        <v>1188312.7720641103</v>
      </c>
      <c r="P70" s="47" t="str">
        <f t="shared" ref="P70:P118" si="59">IF($O70&gt;$E$2,LN($O70/$E$2),"-")</f>
        <v>-</v>
      </c>
      <c r="Q70" s="45">
        <f t="shared" ref="Q70:Q118" si="60">IF(O70&gt;P$1,1,0)</f>
        <v>0</v>
      </c>
      <c r="R70" s="45">
        <f t="shared" ref="R70:R118" si="61">IF(O70&gt;P$2,1,0)</f>
        <v>0</v>
      </c>
      <c r="S70" s="55">
        <f t="shared" ref="S70:S118" si="62">$D70</f>
        <v>2021</v>
      </c>
      <c r="T70" s="55">
        <f t="shared" si="51"/>
        <v>0</v>
      </c>
      <c r="U70" s="55">
        <f t="shared" si="52"/>
        <v>0</v>
      </c>
      <c r="V70" s="55">
        <f t="shared" si="53"/>
        <v>0</v>
      </c>
      <c r="W70" s="55">
        <f t="shared" si="54"/>
        <v>0</v>
      </c>
      <c r="X70" s="55">
        <f t="shared" si="55"/>
        <v>0</v>
      </c>
    </row>
    <row r="71" spans="3:24" x14ac:dyDescent="0.3">
      <c r="C71">
        <f t="shared" si="57"/>
        <v>0</v>
      </c>
      <c r="D71">
        <f>Incurred_loss!$C69</f>
        <v>2021</v>
      </c>
      <c r="E71" s="45">
        <f>Incurred_loss!S69</f>
        <v>1857191.394728119</v>
      </c>
      <c r="F71" s="45">
        <f>Incurred_loss!T69</f>
        <v>1792698.6417972094</v>
      </c>
      <c r="G71" s="45">
        <f>Incurred_loss!U69</f>
        <v>1846370.2176765162</v>
      </c>
      <c r="H71" s="45">
        <f>Incurred_loss!V69</f>
        <v>1935805.0936476425</v>
      </c>
      <c r="I71" s="45">
        <f>Incurred_loss!W69</f>
        <v>1965450.2382102236</v>
      </c>
      <c r="J71" s="50">
        <f t="shared" si="56"/>
        <v>1926617.0493882624</v>
      </c>
      <c r="K71" s="50">
        <f t="shared" si="50"/>
        <v>1923661.6657368634</v>
      </c>
      <c r="L71" s="50">
        <f t="shared" si="50"/>
        <v>1928286.1588255023</v>
      </c>
      <c r="M71" s="50">
        <f t="shared" si="50"/>
        <v>1927439.7807495475</v>
      </c>
      <c r="N71" s="49">
        <f t="shared" si="26"/>
        <v>1927439.7807495475</v>
      </c>
      <c r="O71" s="48">
        <f t="shared" si="58"/>
        <v>1927439.7807495475</v>
      </c>
      <c r="P71" s="47" t="str">
        <f t="shared" si="59"/>
        <v>-</v>
      </c>
      <c r="Q71" s="45">
        <f t="shared" si="60"/>
        <v>0</v>
      </c>
      <c r="R71" s="45">
        <f t="shared" si="61"/>
        <v>0</v>
      </c>
      <c r="S71" s="55">
        <f t="shared" si="62"/>
        <v>2021</v>
      </c>
      <c r="T71" s="55">
        <f t="shared" si="51"/>
        <v>0</v>
      </c>
      <c r="U71" s="55">
        <f t="shared" si="52"/>
        <v>0</v>
      </c>
      <c r="V71" s="55">
        <f t="shared" si="53"/>
        <v>0</v>
      </c>
      <c r="W71" s="55">
        <f t="shared" si="54"/>
        <v>0</v>
      </c>
      <c r="X71" s="55">
        <f t="shared" si="55"/>
        <v>0</v>
      </c>
    </row>
    <row r="72" spans="3:24" x14ac:dyDescent="0.3">
      <c r="C72">
        <f t="shared" si="57"/>
        <v>1</v>
      </c>
      <c r="D72">
        <f>Incurred_loss!$C70</f>
        <v>2021</v>
      </c>
      <c r="E72" s="45">
        <f>Incurred_loss!S70</f>
        <v>4364500.7544557769</v>
      </c>
      <c r="F72" s="45">
        <f>Incurred_loss!T70</f>
        <v>3296881.804325426</v>
      </c>
      <c r="G72" s="45">
        <f>Incurred_loss!U70</f>
        <v>3196688.6026358614</v>
      </c>
      <c r="H72" s="45">
        <f>Incurred_loss!V70</f>
        <v>2952284.1125188395</v>
      </c>
      <c r="I72" s="45">
        <f>Incurred_loss!W70</f>
        <v>2960271.9741540574</v>
      </c>
      <c r="J72" s="50">
        <f t="shared" si="56"/>
        <v>2901783.1870548907</v>
      </c>
      <c r="K72" s="50">
        <f t="shared" si="50"/>
        <v>2897331.9222881589</v>
      </c>
      <c r="L72" s="50">
        <f t="shared" si="50"/>
        <v>2904297.1239599311</v>
      </c>
      <c r="M72" s="50">
        <f t="shared" si="50"/>
        <v>2903022.3477030317</v>
      </c>
      <c r="N72" s="49">
        <f t="shared" si="26"/>
        <v>2903022.3477030317</v>
      </c>
      <c r="O72" s="48">
        <f t="shared" si="58"/>
        <v>2903022.3477030317</v>
      </c>
      <c r="P72" s="47">
        <f t="shared" si="59"/>
        <v>0.37260520259381663</v>
      </c>
      <c r="Q72" s="45">
        <f t="shared" si="60"/>
        <v>0</v>
      </c>
      <c r="R72" s="45">
        <f t="shared" si="61"/>
        <v>0</v>
      </c>
      <c r="S72" s="55">
        <f t="shared" si="62"/>
        <v>2021</v>
      </c>
      <c r="T72" s="55">
        <f t="shared" si="51"/>
        <v>1</v>
      </c>
      <c r="U72" s="55">
        <f t="shared" si="52"/>
        <v>1</v>
      </c>
      <c r="V72" s="55">
        <f t="shared" si="53"/>
        <v>1</v>
      </c>
      <c r="W72" s="55">
        <f t="shared" si="54"/>
        <v>1</v>
      </c>
      <c r="X72" s="55">
        <f t="shared" si="55"/>
        <v>1</v>
      </c>
    </row>
    <row r="73" spans="3:24" x14ac:dyDescent="0.3">
      <c r="C73">
        <f t="shared" si="57"/>
        <v>0</v>
      </c>
      <c r="D73">
        <f>Incurred_loss!$C71</f>
        <v>2021</v>
      </c>
      <c r="E73" s="45">
        <f>Incurred_loss!S71</f>
        <v>510926.75267731445</v>
      </c>
      <c r="F73" s="45">
        <f>Incurred_loss!T71</f>
        <v>1859499.3302153437</v>
      </c>
      <c r="G73" s="45">
        <f>Incurred_loss!U71</f>
        <v>1458332.7248766313</v>
      </c>
      <c r="H73" s="45">
        <f>Incurred_loss!V71</f>
        <v>1418031.9348397262</v>
      </c>
      <c r="I73" s="45">
        <f>Incurred_loss!W71</f>
        <v>1420175.5640330508</v>
      </c>
      <c r="J73" s="50">
        <f t="shared" si="56"/>
        <v>1392115.8631226623</v>
      </c>
      <c r="K73" s="50">
        <f t="shared" si="50"/>
        <v>1389980.3912788767</v>
      </c>
      <c r="L73" s="50">
        <f t="shared" si="50"/>
        <v>1393321.9116861832</v>
      </c>
      <c r="M73" s="50">
        <f t="shared" si="50"/>
        <v>1392710.3441999981</v>
      </c>
      <c r="N73" s="49">
        <f t="shared" si="26"/>
        <v>1392710.3441999981</v>
      </c>
      <c r="O73" s="48">
        <f t="shared" si="58"/>
        <v>1392710.3441999981</v>
      </c>
      <c r="P73" s="47" t="str">
        <f t="shared" si="59"/>
        <v>-</v>
      </c>
      <c r="Q73" s="45">
        <f t="shared" si="60"/>
        <v>0</v>
      </c>
      <c r="R73" s="45">
        <f t="shared" si="61"/>
        <v>0</v>
      </c>
      <c r="S73" s="55">
        <f t="shared" si="62"/>
        <v>2021</v>
      </c>
      <c r="T73" s="55">
        <f t="shared" ref="T73:T74" si="63">IF(E73&gt;$E$2,1,0)</f>
        <v>0</v>
      </c>
      <c r="U73" s="55">
        <f t="shared" ref="U73:U74" si="64">IF(F73&gt;$E$2,1,0)</f>
        <v>0</v>
      </c>
      <c r="V73" s="55">
        <f t="shared" ref="V73:V74" si="65">IF(G73&gt;$E$2,1,0)</f>
        <v>0</v>
      </c>
      <c r="W73" s="55">
        <f t="shared" ref="W73:W74" si="66">IF(H73&gt;$E$2,1,0)</f>
        <v>0</v>
      </c>
      <c r="X73" s="55">
        <f t="shared" ref="X73:X74" si="67">IF(I73&gt;$E$2,1,0)</f>
        <v>0</v>
      </c>
    </row>
    <row r="74" spans="3:24" x14ac:dyDescent="0.3">
      <c r="C74">
        <f t="shared" si="57"/>
        <v>1</v>
      </c>
      <c r="D74">
        <f>Incurred_loss!$C72</f>
        <v>2021</v>
      </c>
      <c r="E74" s="45">
        <f>Incurred_loss!S72</f>
        <v>2273427.0492488379</v>
      </c>
      <c r="F74" s="45">
        <f>Incurred_loss!T72</f>
        <v>3132472.372239809</v>
      </c>
      <c r="G74" s="45">
        <f>Incurred_loss!U72</f>
        <v>2175732.9142110692</v>
      </c>
      <c r="H74" s="45">
        <f>Incurred_loss!V72</f>
        <v>2668403.0408692867</v>
      </c>
      <c r="I74" s="45">
        <f>Incurred_loss!W72</f>
        <v>2650573.9919323325</v>
      </c>
      <c r="J74" s="50">
        <f t="shared" si="56"/>
        <v>2598204.1896782606</v>
      </c>
      <c r="K74" s="50">
        <f t="shared" si="50"/>
        <v>2594218.6077030515</v>
      </c>
      <c r="L74" s="50">
        <f t="shared" si="50"/>
        <v>2600455.1233208571</v>
      </c>
      <c r="M74" s="50">
        <f t="shared" si="50"/>
        <v>2599313.7117135553</v>
      </c>
      <c r="N74" s="49">
        <f t="shared" si="26"/>
        <v>2599313.7117135553</v>
      </c>
      <c r="O74" s="48">
        <f t="shared" si="58"/>
        <v>2599313.7117135553</v>
      </c>
      <c r="P74" s="47">
        <f t="shared" si="59"/>
        <v>0.26210027259145385</v>
      </c>
      <c r="Q74" s="45">
        <f t="shared" si="60"/>
        <v>0</v>
      </c>
      <c r="R74" s="45">
        <f t="shared" si="61"/>
        <v>0</v>
      </c>
      <c r="S74" s="55">
        <f t="shared" si="62"/>
        <v>2021</v>
      </c>
      <c r="T74" s="55">
        <f t="shared" si="63"/>
        <v>1</v>
      </c>
      <c r="U74" s="55">
        <f t="shared" si="64"/>
        <v>1</v>
      </c>
      <c r="V74" s="55">
        <f t="shared" si="65"/>
        <v>1</v>
      </c>
      <c r="W74" s="55">
        <f t="shared" si="66"/>
        <v>1</v>
      </c>
      <c r="X74" s="55">
        <f t="shared" si="67"/>
        <v>1</v>
      </c>
    </row>
    <row r="75" spans="3:24" x14ac:dyDescent="0.3">
      <c r="C75">
        <f t="shared" si="57"/>
        <v>1</v>
      </c>
      <c r="D75">
        <f>Incurred_loss!$C73</f>
        <v>2022</v>
      </c>
      <c r="E75" s="45">
        <f>Incurred_loss!S73</f>
        <v>11216580.968702884</v>
      </c>
      <c r="F75" s="45">
        <f>Incurred_loss!T73</f>
        <v>13252202.197487431</v>
      </c>
      <c r="G75" s="45">
        <f>Incurred_loss!U73</f>
        <v>15121633.476089437</v>
      </c>
      <c r="H75" s="45">
        <f>Incurred_loss!V73</f>
        <v>15531485.075728094</v>
      </c>
      <c r="I75" s="49">
        <f t="shared" ref="I75:N90" si="68">H75*I$120</f>
        <v>15694401.24722719</v>
      </c>
      <c r="J75" s="50">
        <f t="shared" si="56"/>
        <v>15384312.68063179</v>
      </c>
      <c r="K75" s="50">
        <f t="shared" si="50"/>
        <v>15360713.519501774</v>
      </c>
      <c r="L75" s="50">
        <f t="shared" si="50"/>
        <v>15397640.758201146</v>
      </c>
      <c r="M75" s="50">
        <f t="shared" si="50"/>
        <v>15390882.308217196</v>
      </c>
      <c r="N75" s="49">
        <f t="shared" si="26"/>
        <v>15390882.308217196</v>
      </c>
      <c r="O75" s="48">
        <f t="shared" si="58"/>
        <v>15390882.308217196</v>
      </c>
      <c r="P75" s="47">
        <f t="shared" si="59"/>
        <v>2.0406280956161713</v>
      </c>
      <c r="Q75" s="45">
        <f t="shared" si="60"/>
        <v>1</v>
      </c>
      <c r="R75" s="45">
        <f t="shared" si="61"/>
        <v>1</v>
      </c>
      <c r="S75" s="55">
        <f t="shared" si="62"/>
        <v>2022</v>
      </c>
      <c r="T75" s="55">
        <f t="shared" ref="T75:T80" si="69">IF(E75&gt;$E$2,1,0)</f>
        <v>1</v>
      </c>
      <c r="U75" s="55">
        <f t="shared" ref="U75:U80" si="70">IF(F75&gt;$E$2,1,0)</f>
        <v>1</v>
      </c>
      <c r="V75" s="55">
        <f t="shared" ref="V75:V80" si="71">IF(G75&gt;$E$2,1,0)</f>
        <v>1</v>
      </c>
      <c r="W75" s="55">
        <f t="shared" ref="W75:W80" si="72">IF(H75&gt;$E$2,1,0)</f>
        <v>1</v>
      </c>
    </row>
    <row r="76" spans="3:24" x14ac:dyDescent="0.3">
      <c r="C76">
        <f t="shared" si="57"/>
        <v>1</v>
      </c>
      <c r="D76">
        <f>Incurred_loss!$C74</f>
        <v>2022</v>
      </c>
      <c r="E76" s="45">
        <f>Incurred_loss!S74</f>
        <v>346034.83505300479</v>
      </c>
      <c r="F76" s="45">
        <f>Incurred_loss!T74</f>
        <v>2561852.8692494612</v>
      </c>
      <c r="G76" s="45">
        <f>Incurred_loss!U74</f>
        <v>2527110.8393870746</v>
      </c>
      <c r="H76" s="45">
        <f>Incurred_loss!V74</f>
        <v>2651684.9601395484</v>
      </c>
      <c r="I76" s="49">
        <f t="shared" si="68"/>
        <v>2679499.5805458599</v>
      </c>
      <c r="J76" s="50">
        <f t="shared" si="56"/>
        <v>2626558.2691166494</v>
      </c>
      <c r="K76" s="50">
        <f t="shared" si="56"/>
        <v>2622529.1926738457</v>
      </c>
      <c r="L76" s="50">
        <f t="shared" si="56"/>
        <v>2628833.7670916286</v>
      </c>
      <c r="M76" s="50">
        <f t="shared" si="56"/>
        <v>2627679.8993134401</v>
      </c>
      <c r="N76" s="49">
        <f t="shared" si="26"/>
        <v>2627679.8993134401</v>
      </c>
      <c r="O76" s="48">
        <f t="shared" si="58"/>
        <v>2627679.8993134401</v>
      </c>
      <c r="P76" s="47">
        <f t="shared" si="59"/>
        <v>0.27295410872950354</v>
      </c>
      <c r="Q76" s="45">
        <f t="shared" si="60"/>
        <v>0</v>
      </c>
      <c r="R76" s="45">
        <f t="shared" si="61"/>
        <v>0</v>
      </c>
      <c r="S76" s="55">
        <f t="shared" si="62"/>
        <v>2022</v>
      </c>
      <c r="T76" s="55">
        <f t="shared" si="69"/>
        <v>0</v>
      </c>
      <c r="U76" s="55">
        <f t="shared" si="70"/>
        <v>1</v>
      </c>
      <c r="V76" s="55">
        <f t="shared" si="71"/>
        <v>1</v>
      </c>
      <c r="W76" s="55">
        <f t="shared" si="72"/>
        <v>1</v>
      </c>
    </row>
    <row r="77" spans="3:24" x14ac:dyDescent="0.3">
      <c r="C77">
        <f t="shared" si="57"/>
        <v>1</v>
      </c>
      <c r="D77">
        <f>Incurred_loss!$C75</f>
        <v>2022</v>
      </c>
      <c r="E77" s="45">
        <f>Incurred_loss!S75</f>
        <v>3243557.414927809</v>
      </c>
      <c r="F77" s="45">
        <f>Incurred_loss!T75</f>
        <v>2994794.7157918098</v>
      </c>
      <c r="G77" s="45">
        <f>Incurred_loss!U75</f>
        <v>2681181.1543011237</v>
      </c>
      <c r="H77" s="45">
        <f>Incurred_loss!V75</f>
        <v>2737013.2524630898</v>
      </c>
      <c r="I77" s="49">
        <f t="shared" si="68"/>
        <v>2765722.9166233069</v>
      </c>
      <c r="J77" s="50">
        <f t="shared" si="56"/>
        <v>2711078.0122841056</v>
      </c>
      <c r="K77" s="50">
        <f t="shared" si="56"/>
        <v>2706919.2846128666</v>
      </c>
      <c r="L77" s="50">
        <f t="shared" si="56"/>
        <v>2713426.7332698531</v>
      </c>
      <c r="M77" s="50">
        <f t="shared" si="56"/>
        <v>2712235.7353014043</v>
      </c>
      <c r="N77" s="49">
        <f t="shared" si="26"/>
        <v>2712235.7353014043</v>
      </c>
      <c r="O77" s="48">
        <f t="shared" si="58"/>
        <v>2712235.7353014043</v>
      </c>
      <c r="P77" s="47">
        <f t="shared" si="59"/>
        <v>0.30462610878685531</v>
      </c>
      <c r="Q77" s="45">
        <f t="shared" si="60"/>
        <v>0</v>
      </c>
      <c r="R77" s="45">
        <f t="shared" si="61"/>
        <v>0</v>
      </c>
      <c r="S77" s="55">
        <f t="shared" si="62"/>
        <v>2022</v>
      </c>
      <c r="T77" s="55">
        <f t="shared" si="69"/>
        <v>1</v>
      </c>
      <c r="U77" s="55">
        <f t="shared" si="70"/>
        <v>1</v>
      </c>
      <c r="V77" s="55">
        <f t="shared" si="71"/>
        <v>1</v>
      </c>
      <c r="W77" s="55">
        <f t="shared" si="72"/>
        <v>1</v>
      </c>
    </row>
    <row r="78" spans="3:24" x14ac:dyDescent="0.3">
      <c r="C78">
        <f t="shared" si="57"/>
        <v>1</v>
      </c>
      <c r="D78">
        <f>Incurred_loss!$C76</f>
        <v>2022</v>
      </c>
      <c r="E78" s="45">
        <f>Incurred_loss!S76</f>
        <v>4261708.0093028005</v>
      </c>
      <c r="F78" s="45">
        <f>Incurred_loss!T76</f>
        <v>5397607.9137654044</v>
      </c>
      <c r="G78" s="45">
        <f>Incurred_loss!U76</f>
        <v>5813567.9024209995</v>
      </c>
      <c r="H78" s="45">
        <f>Incurred_loss!V76</f>
        <v>5180016.4520155024</v>
      </c>
      <c r="I78" s="49">
        <f t="shared" si="68"/>
        <v>5234351.7872748151</v>
      </c>
      <c r="J78" s="50">
        <f t="shared" si="56"/>
        <v>5130931.9360040389</v>
      </c>
      <c r="K78" s="50">
        <f t="shared" si="56"/>
        <v>5123061.2113237381</v>
      </c>
      <c r="L78" s="50">
        <f t="shared" si="56"/>
        <v>5135377.0782905864</v>
      </c>
      <c r="M78" s="50">
        <f t="shared" si="56"/>
        <v>5133123.0193943316</v>
      </c>
      <c r="N78" s="49">
        <f t="shared" si="26"/>
        <v>5133123.0193943316</v>
      </c>
      <c r="O78" s="48">
        <f t="shared" si="58"/>
        <v>5133123.0193943316</v>
      </c>
      <c r="P78" s="47">
        <f t="shared" si="59"/>
        <v>0.94256706910436749</v>
      </c>
      <c r="Q78" s="45">
        <f t="shared" si="60"/>
        <v>1</v>
      </c>
      <c r="R78" s="45">
        <f t="shared" si="61"/>
        <v>0</v>
      </c>
      <c r="S78" s="55">
        <f t="shared" si="62"/>
        <v>2022</v>
      </c>
      <c r="T78" s="55">
        <f t="shared" si="69"/>
        <v>1</v>
      </c>
      <c r="U78" s="55">
        <f t="shared" si="70"/>
        <v>1</v>
      </c>
      <c r="V78" s="55">
        <f t="shared" si="71"/>
        <v>1</v>
      </c>
      <c r="W78" s="55">
        <f t="shared" si="72"/>
        <v>1</v>
      </c>
    </row>
    <row r="79" spans="3:24" x14ac:dyDescent="0.3">
      <c r="C79">
        <f t="shared" si="57"/>
        <v>0</v>
      </c>
      <c r="D79">
        <f>Incurred_loss!$C77</f>
        <v>2022</v>
      </c>
      <c r="E79" s="45">
        <f>Incurred_loss!S77</f>
        <v>2442101.1315905354</v>
      </c>
      <c r="F79" s="45">
        <f>Incurred_loss!T77</f>
        <v>1574719.6941648913</v>
      </c>
      <c r="G79" s="45">
        <f>Incurred_loss!U77</f>
        <v>1930295.2460463487</v>
      </c>
      <c r="H79" s="45">
        <f>Incurred_loss!V77</f>
        <v>1836843.8112611084</v>
      </c>
      <c r="I79" s="49">
        <f t="shared" si="68"/>
        <v>1856111.2258008888</v>
      </c>
      <c r="J79" s="50">
        <f t="shared" si="56"/>
        <v>1819438.3473403668</v>
      </c>
      <c r="K79" s="50">
        <f t="shared" si="56"/>
        <v>1816647.3732087065</v>
      </c>
      <c r="L79" s="50">
        <f t="shared" si="56"/>
        <v>1821014.6033570911</v>
      </c>
      <c r="M79" s="50">
        <f t="shared" si="56"/>
        <v>1820215.3097308725</v>
      </c>
      <c r="N79" s="49">
        <f t="shared" si="26"/>
        <v>1820215.3097308725</v>
      </c>
      <c r="O79" s="48">
        <f t="shared" si="58"/>
        <v>1820215.3097308725</v>
      </c>
      <c r="P79" s="47" t="str">
        <f t="shared" si="59"/>
        <v>-</v>
      </c>
      <c r="Q79" s="45">
        <f t="shared" si="60"/>
        <v>0</v>
      </c>
      <c r="R79" s="45">
        <f t="shared" si="61"/>
        <v>0</v>
      </c>
      <c r="S79" s="55">
        <f t="shared" si="62"/>
        <v>2022</v>
      </c>
      <c r="T79" s="55">
        <f t="shared" si="69"/>
        <v>1</v>
      </c>
      <c r="U79" s="55">
        <f t="shared" si="70"/>
        <v>0</v>
      </c>
      <c r="V79" s="55">
        <f t="shared" si="71"/>
        <v>0</v>
      </c>
      <c r="W79" s="55">
        <f t="shared" si="72"/>
        <v>0</v>
      </c>
    </row>
    <row r="80" spans="3:24" x14ac:dyDescent="0.3">
      <c r="C80">
        <f t="shared" si="57"/>
        <v>1</v>
      </c>
      <c r="D80">
        <f>Incurred_loss!$C78</f>
        <v>2022</v>
      </c>
      <c r="E80" s="45">
        <f>Incurred_loss!S78</f>
        <v>5277237.8169055646</v>
      </c>
      <c r="F80" s="45">
        <f>Incurred_loss!T78</f>
        <v>3787666.193444578</v>
      </c>
      <c r="G80" s="45">
        <f>Incurred_loss!U78</f>
        <v>5689045.1309019793</v>
      </c>
      <c r="H80" s="45">
        <f>Incurred_loss!V78</f>
        <v>5236009.93721011</v>
      </c>
      <c r="I80" s="49">
        <f t="shared" si="68"/>
        <v>5290932.6112971213</v>
      </c>
      <c r="J80" s="50">
        <f t="shared" si="56"/>
        <v>5186394.8412002949</v>
      </c>
      <c r="K80" s="50">
        <f t="shared" si="56"/>
        <v>5178439.0377736352</v>
      </c>
      <c r="L80" s="50">
        <f t="shared" si="56"/>
        <v>5190888.0333359344</v>
      </c>
      <c r="M80" s="50">
        <f t="shared" si="56"/>
        <v>5188609.6091476763</v>
      </c>
      <c r="N80" s="49">
        <f t="shared" si="26"/>
        <v>5188609.6091476763</v>
      </c>
      <c r="O80" s="48">
        <f t="shared" si="58"/>
        <v>5188609.6091476763</v>
      </c>
      <c r="P80" s="47">
        <f t="shared" si="59"/>
        <v>0.95331858268199676</v>
      </c>
      <c r="Q80" s="45">
        <f t="shared" si="60"/>
        <v>1</v>
      </c>
      <c r="R80" s="45">
        <f t="shared" si="61"/>
        <v>0</v>
      </c>
      <c r="S80" s="55">
        <f t="shared" si="62"/>
        <v>2022</v>
      </c>
      <c r="T80" s="55">
        <f t="shared" si="69"/>
        <v>1</v>
      </c>
      <c r="U80" s="55">
        <f t="shared" si="70"/>
        <v>1</v>
      </c>
      <c r="V80" s="55">
        <f t="shared" si="71"/>
        <v>1</v>
      </c>
      <c r="W80" s="55">
        <f t="shared" si="72"/>
        <v>1</v>
      </c>
    </row>
    <row r="81" spans="3:22" x14ac:dyDescent="0.3">
      <c r="C81">
        <f t="shared" si="57"/>
        <v>0</v>
      </c>
      <c r="D81">
        <f>Incurred_loss!$C79</f>
        <v>2023</v>
      </c>
      <c r="E81" s="45">
        <f>Incurred_loss!S79</f>
        <v>1546728.9623535692</v>
      </c>
      <c r="F81" s="45">
        <f>Incurred_loss!T79</f>
        <v>974233.54453295597</v>
      </c>
      <c r="G81" s="45">
        <f>Incurred_loss!U79</f>
        <v>1845495.6214065398</v>
      </c>
      <c r="H81" s="50">
        <f>G81*H$120</f>
        <v>1808894.9187502183</v>
      </c>
      <c r="I81" s="49">
        <f t="shared" si="68"/>
        <v>1827869.165795499</v>
      </c>
      <c r="J81" s="50">
        <f t="shared" si="56"/>
        <v>1791754.2914134262</v>
      </c>
      <c r="K81" s="50">
        <f t="shared" si="56"/>
        <v>1789005.7839496057</v>
      </c>
      <c r="L81" s="50">
        <f t="shared" si="56"/>
        <v>1793306.563567336</v>
      </c>
      <c r="M81" s="50">
        <f t="shared" si="56"/>
        <v>1792519.4317653873</v>
      </c>
      <c r="N81" s="49">
        <f t="shared" si="26"/>
        <v>1792519.4317653873</v>
      </c>
      <c r="O81" s="48">
        <f t="shared" si="58"/>
        <v>1792519.4317653873</v>
      </c>
      <c r="P81" s="47" t="str">
        <f t="shared" si="59"/>
        <v>-</v>
      </c>
      <c r="Q81" s="45">
        <f t="shared" si="60"/>
        <v>0</v>
      </c>
      <c r="R81" s="45">
        <f t="shared" si="61"/>
        <v>0</v>
      </c>
      <c r="S81" s="55">
        <f t="shared" si="62"/>
        <v>2023</v>
      </c>
      <c r="T81" s="55">
        <f t="shared" ref="T81:T96" si="73">IF(E81&gt;$E$2,1,0)</f>
        <v>0</v>
      </c>
      <c r="U81" s="55">
        <f t="shared" ref="U81:U96" si="74">IF(F81&gt;$E$2,1,0)</f>
        <v>0</v>
      </c>
      <c r="V81" s="55">
        <f t="shared" ref="V81:V96" si="75">IF(G81&gt;$E$2,1,0)</f>
        <v>0</v>
      </c>
    </row>
    <row r="82" spans="3:22" x14ac:dyDescent="0.3">
      <c r="C82">
        <f t="shared" si="57"/>
        <v>0</v>
      </c>
      <c r="D82">
        <f>Incurred_loss!$C80</f>
        <v>2023</v>
      </c>
      <c r="E82" s="45">
        <f>Incurred_loss!S80</f>
        <v>2300643.2098404872</v>
      </c>
      <c r="F82" s="45">
        <f>Incurred_loss!T80</f>
        <v>1333325.5800767462</v>
      </c>
      <c r="G82" s="45">
        <f>Incurred_loss!U80</f>
        <v>1441109.5368812357</v>
      </c>
      <c r="H82" s="50">
        <f t="shared" ref="H82:N97" si="76">G82*H$120</f>
        <v>1412528.8016886052</v>
      </c>
      <c r="I82" s="49">
        <f t="shared" si="68"/>
        <v>1427345.4005766883</v>
      </c>
      <c r="J82" s="50">
        <f t="shared" si="68"/>
        <v>1399144.0386814992</v>
      </c>
      <c r="K82" s="50">
        <f t="shared" si="68"/>
        <v>1396997.785787503</v>
      </c>
      <c r="L82" s="50">
        <f t="shared" si="68"/>
        <v>1400356.1760493079</v>
      </c>
      <c r="M82" s="50">
        <f t="shared" si="68"/>
        <v>1399741.5210301287</v>
      </c>
      <c r="N82" s="49">
        <f t="shared" si="26"/>
        <v>1399741.5210301287</v>
      </c>
      <c r="O82" s="48">
        <f t="shared" si="58"/>
        <v>1399741.5210301287</v>
      </c>
      <c r="P82" s="47" t="str">
        <f t="shared" si="59"/>
        <v>-</v>
      </c>
      <c r="Q82" s="45">
        <f t="shared" si="60"/>
        <v>0</v>
      </c>
      <c r="R82" s="45">
        <f t="shared" si="61"/>
        <v>0</v>
      </c>
      <c r="S82" s="55">
        <f t="shared" si="62"/>
        <v>2023</v>
      </c>
      <c r="T82" s="55">
        <f t="shared" si="73"/>
        <v>1</v>
      </c>
      <c r="U82" s="55">
        <f t="shared" si="74"/>
        <v>0</v>
      </c>
      <c r="V82" s="55">
        <f t="shared" si="75"/>
        <v>0</v>
      </c>
    </row>
    <row r="83" spans="3:22" x14ac:dyDescent="0.3">
      <c r="C83">
        <f t="shared" si="57"/>
        <v>1</v>
      </c>
      <c r="D83">
        <f>Incurred_loss!$C81</f>
        <v>2023</v>
      </c>
      <c r="E83" s="45">
        <f>Incurred_loss!S81</f>
        <v>861811.7784387304</v>
      </c>
      <c r="F83" s="45">
        <f>Incurred_loss!T81</f>
        <v>2462351.3384632682</v>
      </c>
      <c r="G83" s="45">
        <f>Incurred_loss!U81</f>
        <v>2896034.744706824</v>
      </c>
      <c r="H83" s="50">
        <f t="shared" si="76"/>
        <v>2838599.2756957379</v>
      </c>
      <c r="I83" s="49">
        <f t="shared" si="68"/>
        <v>2868374.5176743148</v>
      </c>
      <c r="J83" s="50">
        <f t="shared" si="68"/>
        <v>2811701.432245105</v>
      </c>
      <c r="K83" s="50">
        <f t="shared" si="68"/>
        <v>2807388.3506972636</v>
      </c>
      <c r="L83" s="50">
        <f t="shared" si="68"/>
        <v>2814137.3275345974</v>
      </c>
      <c r="M83" s="50">
        <f t="shared" si="68"/>
        <v>2812902.1249035718</v>
      </c>
      <c r="N83" s="49">
        <f t="shared" si="26"/>
        <v>2812902.1249035718</v>
      </c>
      <c r="O83" s="48">
        <f t="shared" si="58"/>
        <v>2812902.1249035718</v>
      </c>
      <c r="P83" s="47">
        <f t="shared" si="59"/>
        <v>0.34106955449374199</v>
      </c>
      <c r="Q83" s="45">
        <f t="shared" si="60"/>
        <v>0</v>
      </c>
      <c r="R83" s="45">
        <f t="shared" si="61"/>
        <v>0</v>
      </c>
      <c r="S83" s="55">
        <f t="shared" si="62"/>
        <v>2023</v>
      </c>
      <c r="T83" s="55">
        <f t="shared" si="73"/>
        <v>0</v>
      </c>
      <c r="U83" s="55">
        <f t="shared" si="74"/>
        <v>1</v>
      </c>
      <c r="V83" s="55">
        <f t="shared" si="75"/>
        <v>1</v>
      </c>
    </row>
    <row r="84" spans="3:22" x14ac:dyDescent="0.3">
      <c r="C84">
        <f t="shared" si="57"/>
        <v>1</v>
      </c>
      <c r="D84">
        <f>Incurred_loss!$C82</f>
        <v>2023</v>
      </c>
      <c r="E84" s="45">
        <f>Incurred_loss!S82</f>
        <v>2682014.9161015218</v>
      </c>
      <c r="F84" s="45">
        <f>Incurred_loss!T82</f>
        <v>2330559.1568999584</v>
      </c>
      <c r="G84" s="45">
        <f>Incurred_loss!U82</f>
        <v>2808639.5099582197</v>
      </c>
      <c r="H84" s="50">
        <f t="shared" si="76"/>
        <v>2752937.3027135176</v>
      </c>
      <c r="I84" s="49">
        <f t="shared" si="68"/>
        <v>2781814.0008237343</v>
      </c>
      <c r="J84" s="50">
        <f t="shared" si="68"/>
        <v>2726851.1702918685</v>
      </c>
      <c r="K84" s="50">
        <f t="shared" si="68"/>
        <v>2722668.2469802336</v>
      </c>
      <c r="L84" s="50">
        <f t="shared" si="68"/>
        <v>2729213.5562282577</v>
      </c>
      <c r="M84" s="50">
        <f t="shared" si="68"/>
        <v>2728015.6289870036</v>
      </c>
      <c r="N84" s="49">
        <f t="shared" si="26"/>
        <v>2728015.6289870036</v>
      </c>
      <c r="O84" s="48">
        <f t="shared" si="58"/>
        <v>2728015.6289870036</v>
      </c>
      <c r="P84" s="47">
        <f t="shared" si="59"/>
        <v>0.31042728850566681</v>
      </c>
      <c r="Q84" s="45">
        <f t="shared" si="60"/>
        <v>0</v>
      </c>
      <c r="R84" s="45">
        <f t="shared" si="61"/>
        <v>0</v>
      </c>
      <c r="S84" s="55">
        <f t="shared" si="62"/>
        <v>2023</v>
      </c>
      <c r="T84" s="55">
        <f t="shared" si="73"/>
        <v>1</v>
      </c>
      <c r="U84" s="55">
        <f t="shared" si="74"/>
        <v>1</v>
      </c>
      <c r="V84" s="55">
        <f t="shared" si="75"/>
        <v>1</v>
      </c>
    </row>
    <row r="85" spans="3:22" x14ac:dyDescent="0.3">
      <c r="C85">
        <f t="shared" si="57"/>
        <v>0</v>
      </c>
      <c r="D85">
        <f>Incurred_loss!$C83</f>
        <v>2023</v>
      </c>
      <c r="E85" s="45">
        <f>Incurred_loss!S83</f>
        <v>1151429.7724527135</v>
      </c>
      <c r="F85" s="45">
        <f>Incurred_loss!T83</f>
        <v>1231891.06250057</v>
      </c>
      <c r="G85" s="45">
        <f>Incurred_loss!U83</f>
        <v>1313081.9043594645</v>
      </c>
      <c r="H85" s="50">
        <f t="shared" si="76"/>
        <v>1287040.2709969163</v>
      </c>
      <c r="I85" s="49">
        <f t="shared" si="68"/>
        <v>1300540.5687787205</v>
      </c>
      <c r="J85" s="50">
        <f t="shared" si="68"/>
        <v>1274844.6053316912</v>
      </c>
      <c r="K85" s="50">
        <f t="shared" si="68"/>
        <v>1272889.0247424569</v>
      </c>
      <c r="L85" s="50">
        <f t="shared" si="68"/>
        <v>1275949.0568688812</v>
      </c>
      <c r="M85" s="50">
        <f t="shared" si="68"/>
        <v>1275389.0075718274</v>
      </c>
      <c r="N85" s="49">
        <f t="shared" si="68"/>
        <v>1275389.0075718274</v>
      </c>
      <c r="O85" s="48">
        <f t="shared" si="58"/>
        <v>1275389.0075718274</v>
      </c>
      <c r="P85" s="47" t="str">
        <f t="shared" si="59"/>
        <v>-</v>
      </c>
      <c r="Q85" s="45">
        <f t="shared" si="60"/>
        <v>0</v>
      </c>
      <c r="R85" s="45">
        <f t="shared" si="61"/>
        <v>0</v>
      </c>
      <c r="S85" s="55">
        <f t="shared" si="62"/>
        <v>2023</v>
      </c>
      <c r="T85" s="55">
        <f t="shared" si="73"/>
        <v>0</v>
      </c>
      <c r="U85" s="55">
        <f t="shared" si="74"/>
        <v>0</v>
      </c>
      <c r="V85" s="55">
        <f t="shared" si="75"/>
        <v>0</v>
      </c>
    </row>
    <row r="86" spans="3:22" x14ac:dyDescent="0.3">
      <c r="C86">
        <f t="shared" si="57"/>
        <v>1</v>
      </c>
      <c r="D86">
        <f>Incurred_loss!$C84</f>
        <v>2023</v>
      </c>
      <c r="E86" s="45">
        <f>Incurred_loss!S84</f>
        <v>1530304.7524452892</v>
      </c>
      <c r="F86" s="45">
        <f>Incurred_loss!T84</f>
        <v>2611227.0682993969</v>
      </c>
      <c r="G86" s="45">
        <f>Incurred_loss!U84</f>
        <v>2250971.5711755343</v>
      </c>
      <c r="H86" s="50">
        <f t="shared" si="76"/>
        <v>2206329.286355786</v>
      </c>
      <c r="I86" s="49">
        <f t="shared" si="68"/>
        <v>2229472.3868800974</v>
      </c>
      <c r="J86" s="50">
        <f t="shared" si="68"/>
        <v>2185422.6722193477</v>
      </c>
      <c r="K86" s="50">
        <f t="shared" si="68"/>
        <v>2182070.2870429968</v>
      </c>
      <c r="L86" s="50">
        <f t="shared" si="68"/>
        <v>2187315.9958602432</v>
      </c>
      <c r="M86" s="50">
        <f t="shared" si="68"/>
        <v>2186355.9224315109</v>
      </c>
      <c r="N86" s="49">
        <f t="shared" si="68"/>
        <v>2186355.9224315109</v>
      </c>
      <c r="O86" s="48">
        <f t="shared" si="58"/>
        <v>2186355.9224315109</v>
      </c>
      <c r="P86" s="47">
        <f t="shared" si="59"/>
        <v>8.9089014985426512E-2</v>
      </c>
      <c r="Q86" s="45">
        <f t="shared" si="60"/>
        <v>0</v>
      </c>
      <c r="R86" s="45">
        <f t="shared" si="61"/>
        <v>0</v>
      </c>
      <c r="S86" s="55">
        <f t="shared" si="62"/>
        <v>2023</v>
      </c>
      <c r="T86" s="55">
        <f t="shared" si="73"/>
        <v>0</v>
      </c>
      <c r="U86" s="55">
        <f t="shared" si="74"/>
        <v>1</v>
      </c>
      <c r="V86" s="55">
        <f t="shared" si="75"/>
        <v>1</v>
      </c>
    </row>
    <row r="87" spans="3:22" x14ac:dyDescent="0.3">
      <c r="C87">
        <f t="shared" si="57"/>
        <v>0</v>
      </c>
      <c r="D87">
        <f>Incurred_loss!$C85</f>
        <v>2023</v>
      </c>
      <c r="E87" s="45">
        <f>Incurred_loss!S85</f>
        <v>563763.63863343443</v>
      </c>
      <c r="F87" s="45">
        <f>Incurred_loss!T85</f>
        <v>464668.49105248949</v>
      </c>
      <c r="G87" s="45">
        <f>Incurred_loss!U85</f>
        <v>437822.39286586863</v>
      </c>
      <c r="H87" s="50">
        <f t="shared" si="76"/>
        <v>429139.30143412104</v>
      </c>
      <c r="I87" s="49">
        <f t="shared" si="68"/>
        <v>433640.72107870493</v>
      </c>
      <c r="J87" s="50">
        <f t="shared" si="68"/>
        <v>425072.8867600527</v>
      </c>
      <c r="K87" s="50">
        <f t="shared" si="68"/>
        <v>424420.83529991296</v>
      </c>
      <c r="L87" s="50">
        <f t="shared" si="68"/>
        <v>425441.1452922977</v>
      </c>
      <c r="M87" s="50">
        <f t="shared" si="68"/>
        <v>425254.4074181827</v>
      </c>
      <c r="N87" s="49">
        <f t="shared" si="68"/>
        <v>425254.4074181827</v>
      </c>
      <c r="O87" s="48">
        <f t="shared" si="58"/>
        <v>425254.4074181827</v>
      </c>
      <c r="P87" s="47" t="str">
        <f t="shared" si="59"/>
        <v>-</v>
      </c>
      <c r="Q87" s="45">
        <f t="shared" si="60"/>
        <v>0</v>
      </c>
      <c r="R87" s="45">
        <f t="shared" si="61"/>
        <v>0</v>
      </c>
      <c r="S87" s="55">
        <f t="shared" si="62"/>
        <v>2023</v>
      </c>
      <c r="T87" s="55">
        <f t="shared" si="73"/>
        <v>0</v>
      </c>
      <c r="U87" s="55">
        <f t="shared" si="74"/>
        <v>0</v>
      </c>
      <c r="V87" s="55">
        <f t="shared" si="75"/>
        <v>0</v>
      </c>
    </row>
    <row r="88" spans="3:22" x14ac:dyDescent="0.3">
      <c r="C88">
        <f t="shared" si="57"/>
        <v>0</v>
      </c>
      <c r="D88">
        <f>Incurred_loss!$C86</f>
        <v>2023</v>
      </c>
      <c r="E88" s="45">
        <f>Incurred_loss!S86</f>
        <v>1175731.4673647764</v>
      </c>
      <c r="F88" s="45">
        <f>Incurred_loss!T86</f>
        <v>1368840.1149297031</v>
      </c>
      <c r="G88" s="45">
        <f>Incurred_loss!U86</f>
        <v>1350046.6537301417</v>
      </c>
      <c r="H88" s="50">
        <f t="shared" si="76"/>
        <v>1323271.9187634562</v>
      </c>
      <c r="I88" s="49">
        <f t="shared" si="68"/>
        <v>1337152.2652857669</v>
      </c>
      <c r="J88" s="50">
        <f t="shared" si="68"/>
        <v>1310732.9312359565</v>
      </c>
      <c r="K88" s="50">
        <f t="shared" si="68"/>
        <v>1308722.2988284652</v>
      </c>
      <c r="L88" s="50">
        <f t="shared" si="68"/>
        <v>1311868.4743403431</v>
      </c>
      <c r="M88" s="50">
        <f t="shared" si="68"/>
        <v>1311292.6590184646</v>
      </c>
      <c r="N88" s="49">
        <f t="shared" si="68"/>
        <v>1311292.6590184646</v>
      </c>
      <c r="O88" s="48">
        <f t="shared" si="58"/>
        <v>1311292.6590184646</v>
      </c>
      <c r="P88" s="47" t="str">
        <f t="shared" si="59"/>
        <v>-</v>
      </c>
      <c r="Q88" s="45">
        <f t="shared" si="60"/>
        <v>0</v>
      </c>
      <c r="R88" s="45">
        <f t="shared" si="61"/>
        <v>0</v>
      </c>
      <c r="S88" s="55">
        <f t="shared" si="62"/>
        <v>2023</v>
      </c>
      <c r="T88" s="55">
        <f t="shared" si="73"/>
        <v>0</v>
      </c>
      <c r="U88" s="55">
        <f t="shared" si="74"/>
        <v>0</v>
      </c>
      <c r="V88" s="55">
        <f t="shared" si="75"/>
        <v>0</v>
      </c>
    </row>
    <row r="89" spans="3:22" x14ac:dyDescent="0.3">
      <c r="C89">
        <f t="shared" si="57"/>
        <v>0</v>
      </c>
      <c r="D89">
        <f>Incurred_loss!$C87</f>
        <v>2023</v>
      </c>
      <c r="E89" s="45">
        <f>Incurred_loss!S87</f>
        <v>858374.17311558221</v>
      </c>
      <c r="F89" s="45">
        <f>Incurred_loss!T87</f>
        <v>679957.31970278698</v>
      </c>
      <c r="G89" s="45">
        <f>Incurred_loss!U87</f>
        <v>602538.12233565829</v>
      </c>
      <c r="H89" s="50">
        <f t="shared" si="76"/>
        <v>590588.31416548346</v>
      </c>
      <c r="I89" s="49">
        <f t="shared" si="68"/>
        <v>596783.23928737722</v>
      </c>
      <c r="J89" s="50">
        <f t="shared" si="68"/>
        <v>584992.0497845934</v>
      </c>
      <c r="K89" s="50">
        <f t="shared" si="68"/>
        <v>584094.68622151227</v>
      </c>
      <c r="L89" s="50">
        <f t="shared" si="68"/>
        <v>585498.85301843565</v>
      </c>
      <c r="M89" s="50">
        <f t="shared" si="68"/>
        <v>585241.86139381432</v>
      </c>
      <c r="N89" s="49">
        <f t="shared" si="68"/>
        <v>585241.86139381432</v>
      </c>
      <c r="O89" s="48">
        <f t="shared" si="58"/>
        <v>585241.86139381432</v>
      </c>
      <c r="P89" s="47" t="str">
        <f t="shared" si="59"/>
        <v>-</v>
      </c>
      <c r="Q89" s="45">
        <f t="shared" si="60"/>
        <v>0</v>
      </c>
      <c r="R89" s="45">
        <f t="shared" si="61"/>
        <v>0</v>
      </c>
      <c r="S89" s="55">
        <f t="shared" si="62"/>
        <v>2023</v>
      </c>
      <c r="T89" s="55">
        <f t="shared" si="73"/>
        <v>0</v>
      </c>
      <c r="U89" s="55">
        <f t="shared" si="74"/>
        <v>0</v>
      </c>
      <c r="V89" s="55">
        <f t="shared" si="75"/>
        <v>0</v>
      </c>
    </row>
    <row r="90" spans="3:22" x14ac:dyDescent="0.3">
      <c r="C90">
        <f t="shared" si="57"/>
        <v>0</v>
      </c>
      <c r="D90">
        <f>Incurred_loss!$C88</f>
        <v>2023</v>
      </c>
      <c r="E90" s="45">
        <f>Incurred_loss!S88</f>
        <v>291915.4662375279</v>
      </c>
      <c r="F90" s="45">
        <f>Incurred_loss!T88</f>
        <v>1511723.194744458</v>
      </c>
      <c r="G90" s="45">
        <f>Incurred_loss!U88</f>
        <v>1704036.4374867312</v>
      </c>
      <c r="H90" s="50">
        <f t="shared" si="76"/>
        <v>1670241.2172539923</v>
      </c>
      <c r="I90" s="49">
        <f t="shared" si="68"/>
        <v>1687761.0682707024</v>
      </c>
      <c r="J90" s="50">
        <f t="shared" si="68"/>
        <v>1654414.4370630896</v>
      </c>
      <c r="K90" s="50">
        <f t="shared" si="68"/>
        <v>1651876.6055923842</v>
      </c>
      <c r="L90" s="50">
        <f t="shared" si="68"/>
        <v>1655847.7259208232</v>
      </c>
      <c r="M90" s="50">
        <f t="shared" si="68"/>
        <v>1655120.9286008691</v>
      </c>
      <c r="N90" s="49">
        <f t="shared" si="68"/>
        <v>1655120.9286008691</v>
      </c>
      <c r="O90" s="48">
        <f t="shared" si="58"/>
        <v>1655120.9286008691</v>
      </c>
      <c r="P90" s="47" t="str">
        <f t="shared" si="59"/>
        <v>-</v>
      </c>
      <c r="Q90" s="45">
        <f t="shared" si="60"/>
        <v>0</v>
      </c>
      <c r="R90" s="45">
        <f t="shared" si="61"/>
        <v>0</v>
      </c>
      <c r="S90" s="55">
        <f t="shared" si="62"/>
        <v>2023</v>
      </c>
      <c r="T90" s="55">
        <f t="shared" si="73"/>
        <v>0</v>
      </c>
      <c r="U90" s="55">
        <f t="shared" si="74"/>
        <v>0</v>
      </c>
      <c r="V90" s="55">
        <f t="shared" si="75"/>
        <v>0</v>
      </c>
    </row>
    <row r="91" spans="3:22" x14ac:dyDescent="0.3">
      <c r="C91">
        <f t="shared" si="57"/>
        <v>1</v>
      </c>
      <c r="D91">
        <f>Incurred_loss!$C89</f>
        <v>2023</v>
      </c>
      <c r="E91" s="45">
        <f>Incurred_loss!S89</f>
        <v>2772288.0973276137</v>
      </c>
      <c r="F91" s="45">
        <f>Incurred_loss!T89</f>
        <v>2844658.8174337666</v>
      </c>
      <c r="G91" s="45">
        <f>Incurred_loss!U89</f>
        <v>2725803.0224957634</v>
      </c>
      <c r="H91" s="50">
        <f t="shared" si="76"/>
        <v>2671743.6658823714</v>
      </c>
      <c r="I91" s="49">
        <f t="shared" si="76"/>
        <v>2699768.6903504268</v>
      </c>
      <c r="J91" s="50">
        <f t="shared" si="76"/>
        <v>2646426.903674888</v>
      </c>
      <c r="K91" s="50">
        <f t="shared" si="76"/>
        <v>2642367.3492303621</v>
      </c>
      <c r="L91" s="50">
        <f t="shared" si="76"/>
        <v>2648719.6146842148</v>
      </c>
      <c r="M91" s="50">
        <f t="shared" si="76"/>
        <v>2647557.0184580483</v>
      </c>
      <c r="N91" s="49">
        <f t="shared" si="76"/>
        <v>2647557.0184580483</v>
      </c>
      <c r="O91" s="48">
        <f t="shared" si="58"/>
        <v>2647557.0184580483</v>
      </c>
      <c r="P91" s="47">
        <f t="shared" si="59"/>
        <v>0.2804901544184884</v>
      </c>
      <c r="Q91" s="45">
        <f t="shared" si="60"/>
        <v>0</v>
      </c>
      <c r="R91" s="45">
        <f t="shared" si="61"/>
        <v>0</v>
      </c>
      <c r="S91" s="55">
        <f t="shared" si="62"/>
        <v>2023</v>
      </c>
      <c r="T91" s="55">
        <f t="shared" si="73"/>
        <v>1</v>
      </c>
      <c r="U91" s="55">
        <f t="shared" si="74"/>
        <v>1</v>
      </c>
      <c r="V91" s="55">
        <f t="shared" si="75"/>
        <v>1</v>
      </c>
    </row>
    <row r="92" spans="3:22" x14ac:dyDescent="0.3">
      <c r="C92">
        <f t="shared" si="57"/>
        <v>0</v>
      </c>
      <c r="D92">
        <f>Incurred_loss!$C90</f>
        <v>2023</v>
      </c>
      <c r="E92" s="45">
        <f>Incurred_loss!S90</f>
        <v>1498325.9044737378</v>
      </c>
      <c r="F92" s="45">
        <f>Incurred_loss!T90</f>
        <v>2302958.102101651</v>
      </c>
      <c r="G92" s="45">
        <f>Incurred_loss!U90</f>
        <v>2053682.7914120494</v>
      </c>
      <c r="H92" s="50">
        <f t="shared" si="76"/>
        <v>2012953.2267753209</v>
      </c>
      <c r="I92" s="49">
        <f t="shared" si="76"/>
        <v>2034067.9258214207</v>
      </c>
      <c r="J92" s="50">
        <f t="shared" si="76"/>
        <v>1993878.9949065137</v>
      </c>
      <c r="K92" s="50">
        <f t="shared" si="76"/>
        <v>1990820.4330681423</v>
      </c>
      <c r="L92" s="50">
        <f t="shared" si="76"/>
        <v>1995606.3761980732</v>
      </c>
      <c r="M92" s="50">
        <f t="shared" si="76"/>
        <v>1994730.4494185757</v>
      </c>
      <c r="N92" s="49">
        <f t="shared" si="76"/>
        <v>1994730.4494185757</v>
      </c>
      <c r="O92" s="48">
        <f t="shared" si="58"/>
        <v>1994730.4494185757</v>
      </c>
      <c r="P92" s="47" t="str">
        <f t="shared" si="59"/>
        <v>-</v>
      </c>
      <c r="Q92" s="45">
        <f t="shared" si="60"/>
        <v>0</v>
      </c>
      <c r="R92" s="45">
        <f t="shared" si="61"/>
        <v>0</v>
      </c>
      <c r="S92" s="55">
        <f t="shared" si="62"/>
        <v>2023</v>
      </c>
      <c r="T92" s="55">
        <f t="shared" si="73"/>
        <v>0</v>
      </c>
      <c r="U92" s="55">
        <f t="shared" si="74"/>
        <v>1</v>
      </c>
      <c r="V92" s="55">
        <f t="shared" si="75"/>
        <v>1</v>
      </c>
    </row>
    <row r="93" spans="3:22" x14ac:dyDescent="0.3">
      <c r="C93">
        <f t="shared" si="57"/>
        <v>1</v>
      </c>
      <c r="D93">
        <f>Incurred_loss!$C91</f>
        <v>2023</v>
      </c>
      <c r="E93" s="45">
        <f>Incurred_loss!S91</f>
        <v>3979663.4037784352</v>
      </c>
      <c r="F93" s="45">
        <f>Incurred_loss!T91</f>
        <v>1912748.1591374362</v>
      </c>
      <c r="G93" s="45">
        <f>Incurred_loss!U91</f>
        <v>2261782.9434210062</v>
      </c>
      <c r="H93" s="50">
        <f t="shared" si="76"/>
        <v>2216926.242584079</v>
      </c>
      <c r="I93" s="49">
        <f t="shared" si="76"/>
        <v>2240180.4989656596</v>
      </c>
      <c r="J93" s="50">
        <f t="shared" si="76"/>
        <v>2195919.2143905656</v>
      </c>
      <c r="K93" s="50">
        <f t="shared" si="76"/>
        <v>2192550.7277740561</v>
      </c>
      <c r="L93" s="50">
        <f t="shared" si="76"/>
        <v>2197821.6316277217</v>
      </c>
      <c r="M93" s="50">
        <f t="shared" si="76"/>
        <v>2196856.9469851675</v>
      </c>
      <c r="N93" s="49">
        <f t="shared" si="76"/>
        <v>2196856.9469851675</v>
      </c>
      <c r="O93" s="48">
        <f t="shared" si="58"/>
        <v>2196856.9469851675</v>
      </c>
      <c r="P93" s="47">
        <f t="shared" si="59"/>
        <v>9.3880497834638865E-2</v>
      </c>
      <c r="Q93" s="45">
        <f t="shared" si="60"/>
        <v>0</v>
      </c>
      <c r="R93" s="45">
        <f t="shared" si="61"/>
        <v>0</v>
      </c>
      <c r="S93" s="55">
        <f t="shared" si="62"/>
        <v>2023</v>
      </c>
      <c r="T93" s="55">
        <f t="shared" si="73"/>
        <v>1</v>
      </c>
      <c r="U93" s="55">
        <f t="shared" si="74"/>
        <v>0</v>
      </c>
      <c r="V93" s="55">
        <f t="shared" si="75"/>
        <v>1</v>
      </c>
    </row>
    <row r="94" spans="3:22" x14ac:dyDescent="0.3">
      <c r="C94">
        <f t="shared" si="57"/>
        <v>0</v>
      </c>
      <c r="D94">
        <f>Incurred_loss!$C92</f>
        <v>2023</v>
      </c>
      <c r="E94" s="45">
        <f>Incurred_loss!S92</f>
        <v>1155597.676137333</v>
      </c>
      <c r="F94" s="45">
        <f>Incurred_loss!T92</f>
        <v>2058354.6525850983</v>
      </c>
      <c r="G94" s="45">
        <f>Incurred_loss!U92</f>
        <v>1789251.6321696846</v>
      </c>
      <c r="H94" s="50">
        <f t="shared" si="76"/>
        <v>1753766.3857097286</v>
      </c>
      <c r="I94" s="49">
        <f t="shared" si="76"/>
        <v>1772162.3667682393</v>
      </c>
      <c r="J94" s="50">
        <f t="shared" si="76"/>
        <v>1737148.1423050689</v>
      </c>
      <c r="K94" s="50">
        <f t="shared" si="76"/>
        <v>1734483.3993446259</v>
      </c>
      <c r="L94" s="50">
        <f t="shared" si="76"/>
        <v>1738653.1068537454</v>
      </c>
      <c r="M94" s="50">
        <f t="shared" si="76"/>
        <v>1737889.9639640886</v>
      </c>
      <c r="N94" s="49">
        <f t="shared" si="76"/>
        <v>1737889.9639640886</v>
      </c>
      <c r="O94" s="48">
        <f t="shared" si="58"/>
        <v>1737889.9639640886</v>
      </c>
      <c r="P94" s="47" t="str">
        <f t="shared" si="59"/>
        <v>-</v>
      </c>
      <c r="Q94" s="45">
        <f t="shared" si="60"/>
        <v>0</v>
      </c>
      <c r="R94" s="45">
        <f t="shared" si="61"/>
        <v>0</v>
      </c>
      <c r="S94" s="55">
        <f t="shared" si="62"/>
        <v>2023</v>
      </c>
      <c r="T94" s="55">
        <f t="shared" si="73"/>
        <v>0</v>
      </c>
      <c r="U94" s="55">
        <f t="shared" si="74"/>
        <v>1</v>
      </c>
      <c r="V94" s="55">
        <f t="shared" si="75"/>
        <v>0</v>
      </c>
    </row>
    <row r="95" spans="3:22" x14ac:dyDescent="0.3">
      <c r="C95">
        <f t="shared" si="57"/>
        <v>0</v>
      </c>
      <c r="D95">
        <f>Incurred_loss!$C93</f>
        <v>2023</v>
      </c>
      <c r="E95" s="45">
        <f>Incurred_loss!S93</f>
        <v>803004.40877098544</v>
      </c>
      <c r="F95" s="45">
        <f>Incurred_loss!T93</f>
        <v>868441.96739201085</v>
      </c>
      <c r="G95" s="45">
        <f>Incurred_loss!U93</f>
        <v>838473.28927808162</v>
      </c>
      <c r="H95" s="50">
        <f t="shared" si="76"/>
        <v>821844.3083202478</v>
      </c>
      <c r="I95" s="49">
        <f t="shared" si="76"/>
        <v>830464.97322299413</v>
      </c>
      <c r="J95" s="50">
        <f t="shared" si="76"/>
        <v>814056.72106365149</v>
      </c>
      <c r="K95" s="50">
        <f t="shared" si="76"/>
        <v>812807.97787127341</v>
      </c>
      <c r="L95" s="50">
        <f t="shared" si="76"/>
        <v>814761.97266308439</v>
      </c>
      <c r="M95" s="50">
        <f t="shared" si="76"/>
        <v>814404.35112043761</v>
      </c>
      <c r="N95" s="49">
        <f t="shared" si="76"/>
        <v>814404.35112043761</v>
      </c>
      <c r="O95" s="48">
        <f t="shared" si="58"/>
        <v>814404.35112043761</v>
      </c>
      <c r="P95" s="47" t="str">
        <f t="shared" si="59"/>
        <v>-</v>
      </c>
      <c r="Q95" s="45">
        <f t="shared" si="60"/>
        <v>0</v>
      </c>
      <c r="R95" s="45">
        <f t="shared" si="61"/>
        <v>0</v>
      </c>
      <c r="S95" s="55">
        <f t="shared" si="62"/>
        <v>2023</v>
      </c>
      <c r="T95" s="55">
        <f t="shared" si="73"/>
        <v>0</v>
      </c>
      <c r="U95" s="55">
        <f t="shared" si="74"/>
        <v>0</v>
      </c>
      <c r="V95" s="55">
        <f t="shared" si="75"/>
        <v>0</v>
      </c>
    </row>
    <row r="96" spans="3:22" x14ac:dyDescent="0.3">
      <c r="C96">
        <f t="shared" si="57"/>
        <v>1</v>
      </c>
      <c r="D96">
        <f>Incurred_loss!$C94</f>
        <v>2023</v>
      </c>
      <c r="E96" s="45">
        <f>Incurred_loss!S94</f>
        <v>345121.51717417809</v>
      </c>
      <c r="F96" s="45">
        <f>Incurred_loss!T94</f>
        <v>1540316.7897257309</v>
      </c>
      <c r="G96" s="45">
        <f>Incurred_loss!U94</f>
        <v>2240656.204284973</v>
      </c>
      <c r="H96" s="50">
        <f t="shared" si="76"/>
        <v>2196218.4984801915</v>
      </c>
      <c r="I96" s="49">
        <f t="shared" si="76"/>
        <v>2219255.5427681869</v>
      </c>
      <c r="J96" s="50">
        <f t="shared" si="76"/>
        <v>2175407.6915933951</v>
      </c>
      <c r="K96" s="50">
        <f t="shared" si="76"/>
        <v>2172070.6691535157</v>
      </c>
      <c r="L96" s="50">
        <f t="shared" si="76"/>
        <v>2177292.3388350643</v>
      </c>
      <c r="M96" s="50">
        <f t="shared" si="76"/>
        <v>2176336.6650663656</v>
      </c>
      <c r="N96" s="49">
        <f t="shared" si="76"/>
        <v>2176336.6650663656</v>
      </c>
      <c r="O96" s="48">
        <f t="shared" si="58"/>
        <v>2176336.6650663656</v>
      </c>
      <c r="P96" s="47">
        <f t="shared" si="59"/>
        <v>8.4495853868070459E-2</v>
      </c>
      <c r="Q96" s="45">
        <f t="shared" si="60"/>
        <v>0</v>
      </c>
      <c r="R96" s="45">
        <f t="shared" si="61"/>
        <v>0</v>
      </c>
      <c r="S96" s="55">
        <f t="shared" si="62"/>
        <v>2023</v>
      </c>
      <c r="T96" s="55">
        <f t="shared" si="73"/>
        <v>0</v>
      </c>
      <c r="U96" s="55">
        <f t="shared" si="74"/>
        <v>0</v>
      </c>
      <c r="V96" s="55">
        <f t="shared" si="75"/>
        <v>1</v>
      </c>
    </row>
    <row r="97" spans="3:21" x14ac:dyDescent="0.3">
      <c r="C97">
        <f t="shared" si="57"/>
        <v>0</v>
      </c>
      <c r="D97">
        <f>Incurred_loss!$C95</f>
        <v>2024</v>
      </c>
      <c r="E97" s="45">
        <f>Incurred_loss!S95</f>
        <v>723301.81294165773</v>
      </c>
      <c r="F97" s="45">
        <f>Incurred_loss!T95</f>
        <v>720673.91550150001</v>
      </c>
      <c r="G97" s="50">
        <f>F97*F$120</f>
        <v>766423.82841364038</v>
      </c>
      <c r="H97" s="50">
        <f t="shared" si="76"/>
        <v>751223.76490381325</v>
      </c>
      <c r="I97" s="49">
        <f t="shared" si="76"/>
        <v>759103.66171474522</v>
      </c>
      <c r="J97" s="50">
        <f t="shared" si="76"/>
        <v>744105.35992224887</v>
      </c>
      <c r="K97" s="50">
        <f t="shared" si="76"/>
        <v>742963.92041493685</v>
      </c>
      <c r="L97" s="50">
        <f t="shared" si="76"/>
        <v>744750.00971341587</v>
      </c>
      <c r="M97" s="50">
        <f t="shared" si="76"/>
        <v>744423.1183558217</v>
      </c>
      <c r="N97" s="49">
        <f t="shared" si="76"/>
        <v>744423.1183558217</v>
      </c>
      <c r="O97" s="48">
        <f t="shared" si="58"/>
        <v>744423.1183558217</v>
      </c>
      <c r="P97" s="47" t="str">
        <f t="shared" si="59"/>
        <v>-</v>
      </c>
      <c r="Q97" s="45">
        <f t="shared" si="60"/>
        <v>0</v>
      </c>
      <c r="R97" s="45">
        <f t="shared" si="61"/>
        <v>0</v>
      </c>
      <c r="S97" s="55">
        <f t="shared" si="62"/>
        <v>2024</v>
      </c>
      <c r="T97" s="55">
        <f t="shared" ref="T97:T118" si="77">IF(E97&gt;$E$2,1,0)</f>
        <v>0</v>
      </c>
      <c r="U97" s="55">
        <f t="shared" ref="U97:U109" si="78">IF(F97&gt;$E$2,1,0)</f>
        <v>0</v>
      </c>
    </row>
    <row r="98" spans="3:21" x14ac:dyDescent="0.3">
      <c r="C98">
        <f t="shared" si="57"/>
        <v>0</v>
      </c>
      <c r="D98">
        <f>Incurred_loss!$C96</f>
        <v>2024</v>
      </c>
      <c r="E98" s="45">
        <f>Incurred_loss!S96</f>
        <v>1261295.7305952788</v>
      </c>
      <c r="F98" s="45">
        <f>Incurred_loss!T96</f>
        <v>1584292.8014247038</v>
      </c>
      <c r="G98" s="50">
        <f t="shared" ref="G98:G118" si="79">F98*F$120</f>
        <v>1684867.0779920374</v>
      </c>
      <c r="H98" s="50">
        <f t="shared" ref="H98:N113" si="80">G98*H$120</f>
        <v>1651452.0331543735</v>
      </c>
      <c r="I98" s="49">
        <f t="shared" si="80"/>
        <v>1668774.796646988</v>
      </c>
      <c r="J98" s="50">
        <f t="shared" si="80"/>
        <v>1635803.2944844433</v>
      </c>
      <c r="K98" s="50">
        <f t="shared" si="80"/>
        <v>1633294.0120533763</v>
      </c>
      <c r="L98" s="50">
        <f t="shared" si="80"/>
        <v>1637220.4597260563</v>
      </c>
      <c r="M98" s="50">
        <f t="shared" si="80"/>
        <v>1636501.8384279287</v>
      </c>
      <c r="N98" s="49">
        <f t="shared" si="80"/>
        <v>1636501.8384279287</v>
      </c>
      <c r="O98" s="48">
        <f t="shared" si="58"/>
        <v>1636501.8384279287</v>
      </c>
      <c r="P98" s="47" t="str">
        <f t="shared" si="59"/>
        <v>-</v>
      </c>
      <c r="Q98" s="45">
        <f t="shared" si="60"/>
        <v>0</v>
      </c>
      <c r="R98" s="45">
        <f t="shared" si="61"/>
        <v>0</v>
      </c>
      <c r="S98" s="55">
        <f t="shared" si="62"/>
        <v>2024</v>
      </c>
      <c r="T98" s="55">
        <f t="shared" si="77"/>
        <v>0</v>
      </c>
      <c r="U98" s="55">
        <f t="shared" si="78"/>
        <v>0</v>
      </c>
    </row>
    <row r="99" spans="3:21" x14ac:dyDescent="0.3">
      <c r="C99">
        <f t="shared" si="57"/>
        <v>0</v>
      </c>
      <c r="D99">
        <f>Incurred_loss!$C97</f>
        <v>2024</v>
      </c>
      <c r="E99" s="45">
        <f>Incurred_loss!S97</f>
        <v>828028.99482907006</v>
      </c>
      <c r="F99" s="45">
        <f>Incurred_loss!T97</f>
        <v>518103.46354107873</v>
      </c>
      <c r="G99" s="50">
        <f t="shared" si="79"/>
        <v>550993.77332839509</v>
      </c>
      <c r="H99" s="50">
        <f t="shared" si="80"/>
        <v>540066.21596702503</v>
      </c>
      <c r="I99" s="49">
        <f t="shared" si="80"/>
        <v>545731.19390264119</v>
      </c>
      <c r="J99" s="50">
        <f t="shared" si="80"/>
        <v>534948.68611544126</v>
      </c>
      <c r="K99" s="50">
        <f t="shared" si="80"/>
        <v>534128.08785395231</v>
      </c>
      <c r="L99" s="50">
        <f t="shared" si="80"/>
        <v>535412.13467711466</v>
      </c>
      <c r="M99" s="50">
        <f t="shared" si="80"/>
        <v>535177.12749712903</v>
      </c>
      <c r="N99" s="49">
        <f t="shared" si="80"/>
        <v>535177.12749712903</v>
      </c>
      <c r="O99" s="48">
        <f t="shared" si="58"/>
        <v>535177.12749712903</v>
      </c>
      <c r="P99" s="47" t="str">
        <f t="shared" si="59"/>
        <v>-</v>
      </c>
      <c r="Q99" s="45">
        <f t="shared" si="60"/>
        <v>0</v>
      </c>
      <c r="R99" s="45">
        <f t="shared" si="61"/>
        <v>0</v>
      </c>
      <c r="S99" s="55">
        <f t="shared" si="62"/>
        <v>2024</v>
      </c>
      <c r="T99" s="55">
        <f t="shared" si="77"/>
        <v>0</v>
      </c>
      <c r="U99" s="55">
        <f t="shared" si="78"/>
        <v>0</v>
      </c>
    </row>
    <row r="100" spans="3:21" x14ac:dyDescent="0.3">
      <c r="C100">
        <f t="shared" si="57"/>
        <v>0</v>
      </c>
      <c r="D100">
        <f>Incurred_loss!$C98</f>
        <v>2024</v>
      </c>
      <c r="E100" s="45">
        <f>Incurred_loss!S98</f>
        <v>289889.03875492443</v>
      </c>
      <c r="F100" s="45">
        <f>Incurred_loss!T98</f>
        <v>434161.60262752639</v>
      </c>
      <c r="G100" s="50">
        <f t="shared" si="79"/>
        <v>461723.10455337662</v>
      </c>
      <c r="H100" s="50">
        <f t="shared" si="80"/>
        <v>452566.00341301627</v>
      </c>
      <c r="I100" s="49">
        <f t="shared" si="80"/>
        <v>457313.155425023</v>
      </c>
      <c r="J100" s="50">
        <f t="shared" si="80"/>
        <v>448277.60328020836</v>
      </c>
      <c r="K100" s="50">
        <f t="shared" si="80"/>
        <v>447589.95634983195</v>
      </c>
      <c r="L100" s="50">
        <f t="shared" si="80"/>
        <v>448665.96503501368</v>
      </c>
      <c r="M100" s="50">
        <f t="shared" si="80"/>
        <v>448469.03314578411</v>
      </c>
      <c r="N100" s="49">
        <f t="shared" si="80"/>
        <v>448469.03314578411</v>
      </c>
      <c r="O100" s="48">
        <f t="shared" si="58"/>
        <v>448469.03314578411</v>
      </c>
      <c r="P100" s="47" t="str">
        <f t="shared" si="59"/>
        <v>-</v>
      </c>
      <c r="Q100" s="45">
        <f t="shared" si="60"/>
        <v>0</v>
      </c>
      <c r="R100" s="45">
        <f t="shared" si="61"/>
        <v>0</v>
      </c>
      <c r="S100" s="55">
        <f t="shared" si="62"/>
        <v>2024</v>
      </c>
      <c r="T100" s="55">
        <f t="shared" si="77"/>
        <v>0</v>
      </c>
      <c r="U100" s="55">
        <f t="shared" si="78"/>
        <v>0</v>
      </c>
    </row>
    <row r="101" spans="3:21" x14ac:dyDescent="0.3">
      <c r="C101">
        <f t="shared" si="57"/>
        <v>1</v>
      </c>
      <c r="D101">
        <f>Incurred_loss!$C99</f>
        <v>2024</v>
      </c>
      <c r="E101" s="45">
        <f>Incurred_loss!S99</f>
        <v>3302938.7030147668</v>
      </c>
      <c r="F101" s="45">
        <f>Incurred_loss!T99</f>
        <v>3750919.5271863015</v>
      </c>
      <c r="G101" s="50">
        <f t="shared" si="79"/>
        <v>3989035.876367338</v>
      </c>
      <c r="H101" s="50">
        <f t="shared" si="80"/>
        <v>3909923.5152743082</v>
      </c>
      <c r="I101" s="49">
        <f t="shared" si="80"/>
        <v>3950936.3203510256</v>
      </c>
      <c r="J101" s="50">
        <f t="shared" si="80"/>
        <v>3872874.0763069079</v>
      </c>
      <c r="K101" s="50">
        <f t="shared" si="80"/>
        <v>3866933.1817567018</v>
      </c>
      <c r="L101" s="50">
        <f t="shared" si="80"/>
        <v>3876229.3101205286</v>
      </c>
      <c r="M101" s="50">
        <f t="shared" si="80"/>
        <v>3874527.9259714782</v>
      </c>
      <c r="N101" s="49">
        <f t="shared" si="80"/>
        <v>3874527.9259714782</v>
      </c>
      <c r="O101" s="48">
        <f t="shared" si="58"/>
        <v>3874527.9259714782</v>
      </c>
      <c r="P101" s="47">
        <f t="shared" si="59"/>
        <v>0.66127664926828167</v>
      </c>
      <c r="Q101" s="45">
        <f t="shared" si="60"/>
        <v>0</v>
      </c>
      <c r="R101" s="45">
        <f t="shared" si="61"/>
        <v>0</v>
      </c>
      <c r="S101" s="55">
        <f t="shared" si="62"/>
        <v>2024</v>
      </c>
      <c r="T101" s="55">
        <f t="shared" si="77"/>
        <v>1</v>
      </c>
      <c r="U101" s="55">
        <f t="shared" si="78"/>
        <v>1</v>
      </c>
    </row>
    <row r="102" spans="3:21" x14ac:dyDescent="0.3">
      <c r="C102">
        <f t="shared" si="57"/>
        <v>1</v>
      </c>
      <c r="D102">
        <f>Incurred_loss!$C100</f>
        <v>2024</v>
      </c>
      <c r="E102" s="45">
        <f>Incurred_loss!S100</f>
        <v>2326416.3294832455</v>
      </c>
      <c r="F102" s="45">
        <f>Incurred_loss!T100</f>
        <v>2245089.6415613107</v>
      </c>
      <c r="G102" s="50">
        <f t="shared" si="79"/>
        <v>2387612.7069478291</v>
      </c>
      <c r="H102" s="50">
        <f t="shared" si="80"/>
        <v>2340260.4934113645</v>
      </c>
      <c r="I102" s="49">
        <f t="shared" si="80"/>
        <v>2364808.453766617</v>
      </c>
      <c r="J102" s="50">
        <f t="shared" si="80"/>
        <v>2318084.7812830471</v>
      </c>
      <c r="K102" s="50">
        <f t="shared" si="80"/>
        <v>2314528.8956609736</v>
      </c>
      <c r="L102" s="50">
        <f t="shared" si="80"/>
        <v>2320093.0356925</v>
      </c>
      <c r="M102" s="50">
        <f t="shared" si="80"/>
        <v>2319074.6827521971</v>
      </c>
      <c r="N102" s="49">
        <f t="shared" si="80"/>
        <v>2319074.6827521971</v>
      </c>
      <c r="O102" s="48">
        <f t="shared" si="58"/>
        <v>2319074.6827521971</v>
      </c>
      <c r="P102" s="47">
        <f t="shared" si="59"/>
        <v>0.14802108191769864</v>
      </c>
      <c r="Q102" s="45">
        <f t="shared" si="60"/>
        <v>0</v>
      </c>
      <c r="R102" s="45">
        <f t="shared" si="61"/>
        <v>0</v>
      </c>
      <c r="S102" s="55">
        <f t="shared" si="62"/>
        <v>2024</v>
      </c>
      <c r="T102" s="55">
        <f t="shared" si="77"/>
        <v>1</v>
      </c>
      <c r="U102" s="55">
        <f t="shared" si="78"/>
        <v>1</v>
      </c>
    </row>
    <row r="103" spans="3:21" x14ac:dyDescent="0.3">
      <c r="C103">
        <f t="shared" si="57"/>
        <v>0</v>
      </c>
      <c r="D103">
        <f>Incurred_loss!$C101</f>
        <v>2024</v>
      </c>
      <c r="E103" s="45">
        <f>Incurred_loss!S101</f>
        <v>289860.26306145638</v>
      </c>
      <c r="F103" s="45">
        <f>Incurred_loss!T101</f>
        <v>574485.12559554342</v>
      </c>
      <c r="G103" s="50">
        <f t="shared" si="79"/>
        <v>610954.66320469452</v>
      </c>
      <c r="H103" s="50">
        <f t="shared" si="80"/>
        <v>598837.93439479067</v>
      </c>
      <c r="I103" s="49">
        <f t="shared" si="80"/>
        <v>605119.39319569373</v>
      </c>
      <c r="J103" s="50">
        <f t="shared" si="80"/>
        <v>593163.49871464225</v>
      </c>
      <c r="K103" s="50">
        <f t="shared" si="80"/>
        <v>592253.60034783161</v>
      </c>
      <c r="L103" s="50">
        <f t="shared" si="80"/>
        <v>593677.38121861219</v>
      </c>
      <c r="M103" s="50">
        <f t="shared" si="80"/>
        <v>593416.79981198127</v>
      </c>
      <c r="N103" s="49">
        <f t="shared" si="80"/>
        <v>593416.79981198127</v>
      </c>
      <c r="O103" s="48">
        <f t="shared" si="58"/>
        <v>593416.79981198127</v>
      </c>
      <c r="P103" s="47" t="str">
        <f t="shared" si="59"/>
        <v>-</v>
      </c>
      <c r="Q103" s="45">
        <f t="shared" si="60"/>
        <v>0</v>
      </c>
      <c r="R103" s="45">
        <f t="shared" si="61"/>
        <v>0</v>
      </c>
      <c r="S103" s="55">
        <f t="shared" si="62"/>
        <v>2024</v>
      </c>
      <c r="T103" s="55">
        <f t="shared" si="77"/>
        <v>0</v>
      </c>
      <c r="U103" s="55">
        <f t="shared" si="78"/>
        <v>0</v>
      </c>
    </row>
    <row r="104" spans="3:21" x14ac:dyDescent="0.3">
      <c r="C104">
        <f t="shared" si="57"/>
        <v>1</v>
      </c>
      <c r="D104">
        <f>Incurred_loss!$C102</f>
        <v>2024</v>
      </c>
      <c r="E104" s="45">
        <f>Incurred_loss!S102</f>
        <v>1228089.1293082912</v>
      </c>
      <c r="F104" s="45">
        <f>Incurred_loss!T102</f>
        <v>4030588.2384416191</v>
      </c>
      <c r="G104" s="50">
        <f t="shared" si="79"/>
        <v>4286458.5522229671</v>
      </c>
      <c r="H104" s="50">
        <f t="shared" si="80"/>
        <v>4201447.5702955276</v>
      </c>
      <c r="I104" s="49">
        <f t="shared" si="80"/>
        <v>4245518.2917731795</v>
      </c>
      <c r="J104" s="50">
        <f t="shared" si="80"/>
        <v>4161635.7236641804</v>
      </c>
      <c r="K104" s="50">
        <f t="shared" si="80"/>
        <v>4155251.8757766611</v>
      </c>
      <c r="L104" s="50">
        <f t="shared" si="80"/>
        <v>4165241.1238462911</v>
      </c>
      <c r="M104" s="50">
        <f t="shared" si="80"/>
        <v>4163412.8844264555</v>
      </c>
      <c r="N104" s="49">
        <f t="shared" si="80"/>
        <v>4163412.8844264555</v>
      </c>
      <c r="O104" s="48">
        <f t="shared" si="58"/>
        <v>4163412.8844264555</v>
      </c>
      <c r="P104" s="47">
        <f t="shared" si="59"/>
        <v>0.7331879622752725</v>
      </c>
      <c r="Q104" s="45">
        <f t="shared" si="60"/>
        <v>1</v>
      </c>
      <c r="R104" s="45">
        <f t="shared" si="61"/>
        <v>0</v>
      </c>
      <c r="S104" s="55">
        <f t="shared" si="62"/>
        <v>2024</v>
      </c>
      <c r="T104" s="55">
        <f t="shared" si="77"/>
        <v>0</v>
      </c>
      <c r="U104" s="55">
        <f t="shared" si="78"/>
        <v>1</v>
      </c>
    </row>
    <row r="105" spans="3:21" x14ac:dyDescent="0.3">
      <c r="C105">
        <f t="shared" si="57"/>
        <v>1</v>
      </c>
      <c r="D105">
        <f>Incurred_loss!$C103</f>
        <v>2024</v>
      </c>
      <c r="E105" s="45">
        <f>Incurred_loss!S103</f>
        <v>3780031.9044130957</v>
      </c>
      <c r="F105" s="45">
        <f>Incurred_loss!T103</f>
        <v>2059077.9126428589</v>
      </c>
      <c r="G105" s="50">
        <f t="shared" si="79"/>
        <v>2189792.5578609658</v>
      </c>
      <c r="H105" s="50">
        <f t="shared" si="80"/>
        <v>2146363.6028639278</v>
      </c>
      <c r="I105" s="49">
        <f t="shared" si="80"/>
        <v>2168877.6985295159</v>
      </c>
      <c r="J105" s="50">
        <f t="shared" si="80"/>
        <v>2126025.2082647746</v>
      </c>
      <c r="K105" s="50">
        <f t="shared" si="80"/>
        <v>2122763.9373521334</v>
      </c>
      <c r="L105" s="50">
        <f t="shared" si="80"/>
        <v>2127867.0733827287</v>
      </c>
      <c r="M105" s="50">
        <f t="shared" si="80"/>
        <v>2126933.093728716</v>
      </c>
      <c r="N105" s="49">
        <f t="shared" si="80"/>
        <v>2126933.093728716</v>
      </c>
      <c r="O105" s="48">
        <f t="shared" si="58"/>
        <v>2126933.093728716</v>
      </c>
      <c r="P105" s="47">
        <f t="shared" si="59"/>
        <v>6.1533899464643903E-2</v>
      </c>
      <c r="Q105" s="45">
        <f t="shared" si="60"/>
        <v>0</v>
      </c>
      <c r="R105" s="45">
        <f t="shared" si="61"/>
        <v>0</v>
      </c>
      <c r="S105" s="55">
        <f t="shared" si="62"/>
        <v>2024</v>
      </c>
      <c r="T105" s="55">
        <f t="shared" si="77"/>
        <v>1</v>
      </c>
      <c r="U105" s="55">
        <f t="shared" si="78"/>
        <v>1</v>
      </c>
    </row>
    <row r="106" spans="3:21" x14ac:dyDescent="0.3">
      <c r="C106">
        <f t="shared" si="57"/>
        <v>1</v>
      </c>
      <c r="D106">
        <f>Incurred_loss!$C104</f>
        <v>2024</v>
      </c>
      <c r="E106" s="45">
        <f>Incurred_loss!S104</f>
        <v>6600500.2819850361</v>
      </c>
      <c r="F106" s="45">
        <f>Incurred_loss!T104</f>
        <v>3426932.988885215</v>
      </c>
      <c r="G106" s="50">
        <f t="shared" si="79"/>
        <v>3644481.983548271</v>
      </c>
      <c r="H106" s="50">
        <f t="shared" si="80"/>
        <v>3572202.9708706317</v>
      </c>
      <c r="I106" s="49">
        <f t="shared" si="80"/>
        <v>3609673.2854602789</v>
      </c>
      <c r="J106" s="50">
        <f t="shared" si="80"/>
        <v>3538353.6857295251</v>
      </c>
      <c r="K106" s="50">
        <f t="shared" si="80"/>
        <v>3532925.9373147618</v>
      </c>
      <c r="L106" s="50">
        <f t="shared" si="80"/>
        <v>3541419.110449512</v>
      </c>
      <c r="M106" s="50">
        <f t="shared" si="80"/>
        <v>3539864.6837483025</v>
      </c>
      <c r="N106" s="49">
        <f t="shared" si="80"/>
        <v>3539864.6837483025</v>
      </c>
      <c r="O106" s="48">
        <f t="shared" si="58"/>
        <v>3539864.6837483025</v>
      </c>
      <c r="P106" s="47">
        <f t="shared" si="59"/>
        <v>0.57094132092528849</v>
      </c>
      <c r="Q106" s="45">
        <f t="shared" si="60"/>
        <v>0</v>
      </c>
      <c r="R106" s="45">
        <f t="shared" si="61"/>
        <v>0</v>
      </c>
      <c r="S106" s="55">
        <f t="shared" si="62"/>
        <v>2024</v>
      </c>
      <c r="T106" s="55">
        <f t="shared" si="77"/>
        <v>1</v>
      </c>
      <c r="U106" s="55">
        <f t="shared" si="78"/>
        <v>1</v>
      </c>
    </row>
    <row r="107" spans="3:21" x14ac:dyDescent="0.3">
      <c r="C107">
        <f t="shared" si="57"/>
        <v>1</v>
      </c>
      <c r="D107">
        <f>Incurred_loss!$C105</f>
        <v>2024</v>
      </c>
      <c r="E107" s="45">
        <f>Incurred_loss!S105</f>
        <v>6534169.6707505593</v>
      </c>
      <c r="F107" s="45">
        <f>Incurred_loss!T105</f>
        <v>6767968.553027695</v>
      </c>
      <c r="G107" s="50">
        <f t="shared" si="79"/>
        <v>7197613.5911412984</v>
      </c>
      <c r="H107" s="50">
        <f t="shared" si="80"/>
        <v>7054867.2676990982</v>
      </c>
      <c r="I107" s="49">
        <f t="shared" si="80"/>
        <v>7128868.6886890316</v>
      </c>
      <c r="J107" s="50">
        <f t="shared" si="80"/>
        <v>6988017.1430773139</v>
      </c>
      <c r="K107" s="50">
        <f t="shared" si="80"/>
        <v>6977297.6948990133</v>
      </c>
      <c r="L107" s="50">
        <f t="shared" si="80"/>
        <v>6994071.1564396517</v>
      </c>
      <c r="M107" s="50">
        <f t="shared" si="80"/>
        <v>6991001.2653545635</v>
      </c>
      <c r="N107" s="49">
        <f t="shared" si="80"/>
        <v>6991001.2653545635</v>
      </c>
      <c r="O107" s="48">
        <f t="shared" si="58"/>
        <v>6991001.2653545635</v>
      </c>
      <c r="P107" s="47">
        <f t="shared" si="59"/>
        <v>1.2514766079675355</v>
      </c>
      <c r="Q107" s="45">
        <f t="shared" si="60"/>
        <v>1</v>
      </c>
      <c r="R107" s="45">
        <f t="shared" si="61"/>
        <v>0</v>
      </c>
      <c r="S107" s="55">
        <f t="shared" si="62"/>
        <v>2024</v>
      </c>
      <c r="T107" s="55">
        <f t="shared" si="77"/>
        <v>1</v>
      </c>
      <c r="U107" s="55">
        <f t="shared" si="78"/>
        <v>1</v>
      </c>
    </row>
    <row r="108" spans="3:21" x14ac:dyDescent="0.3">
      <c r="C108">
        <f t="shared" si="57"/>
        <v>0</v>
      </c>
      <c r="D108">
        <f>Incurred_loss!$C106</f>
        <v>2024</v>
      </c>
      <c r="E108" s="45">
        <f>Incurred_loss!S106</f>
        <v>2021652.4908694332</v>
      </c>
      <c r="F108" s="45">
        <f>Incurred_loss!T106</f>
        <v>1018526.8660243391</v>
      </c>
      <c r="G108" s="50">
        <f t="shared" si="79"/>
        <v>1083185.1177204098</v>
      </c>
      <c r="H108" s="50">
        <f t="shared" si="80"/>
        <v>1061702.901260193</v>
      </c>
      <c r="I108" s="49">
        <f t="shared" si="80"/>
        <v>1072839.5421608819</v>
      </c>
      <c r="J108" s="50">
        <f t="shared" si="80"/>
        <v>1051642.4750937768</v>
      </c>
      <c r="K108" s="50">
        <f t="shared" si="80"/>
        <v>1050029.2811386024</v>
      </c>
      <c r="L108" s="50">
        <f t="shared" si="80"/>
        <v>1052553.5572314225</v>
      </c>
      <c r="M108" s="50">
        <f t="shared" si="80"/>
        <v>1052091.5623918436</v>
      </c>
      <c r="N108" s="49">
        <f t="shared" si="80"/>
        <v>1052091.5623918436</v>
      </c>
      <c r="O108" s="48">
        <f t="shared" si="58"/>
        <v>1052091.5623918436</v>
      </c>
      <c r="P108" s="47" t="str">
        <f t="shared" si="59"/>
        <v>-</v>
      </c>
      <c r="Q108" s="45">
        <f t="shared" si="60"/>
        <v>0</v>
      </c>
      <c r="R108" s="45">
        <f t="shared" si="61"/>
        <v>0</v>
      </c>
      <c r="S108" s="55">
        <f t="shared" si="62"/>
        <v>2024</v>
      </c>
      <c r="T108" s="55">
        <f t="shared" si="77"/>
        <v>1</v>
      </c>
      <c r="U108" s="55">
        <f t="shared" si="78"/>
        <v>0</v>
      </c>
    </row>
    <row r="109" spans="3:21" x14ac:dyDescent="0.3">
      <c r="C109">
        <f t="shared" si="57"/>
        <v>1</v>
      </c>
      <c r="D109">
        <f>Incurred_loss!$C107</f>
        <v>2024</v>
      </c>
      <c r="E109" s="45">
        <f>Incurred_loss!S107</f>
        <v>3688411.3220306612</v>
      </c>
      <c r="F109" s="45">
        <f>Incurred_loss!T107</f>
        <v>2260921.582751655</v>
      </c>
      <c r="G109" s="50">
        <f t="shared" si="79"/>
        <v>2404449.6934368978</v>
      </c>
      <c r="H109" s="50">
        <f t="shared" si="80"/>
        <v>2356763.5611801902</v>
      </c>
      <c r="I109" s="49">
        <f t="shared" si="80"/>
        <v>2381484.6290397011</v>
      </c>
      <c r="J109" s="50">
        <f t="shared" si="80"/>
        <v>2334431.4701867392</v>
      </c>
      <c r="K109" s="50">
        <f t="shared" si="80"/>
        <v>2330850.5091418382</v>
      </c>
      <c r="L109" s="50">
        <f t="shared" si="80"/>
        <v>2336453.8864207882</v>
      </c>
      <c r="M109" s="50">
        <f t="shared" si="80"/>
        <v>2335428.352251031</v>
      </c>
      <c r="N109" s="49">
        <f t="shared" si="80"/>
        <v>2335428.352251031</v>
      </c>
      <c r="O109" s="48">
        <f t="shared" si="58"/>
        <v>2335428.352251031</v>
      </c>
      <c r="P109" s="47">
        <f t="shared" si="59"/>
        <v>0.15504814223780872</v>
      </c>
      <c r="Q109" s="45">
        <f t="shared" si="60"/>
        <v>0</v>
      </c>
      <c r="R109" s="45">
        <f t="shared" si="61"/>
        <v>0</v>
      </c>
      <c r="S109" s="55">
        <f t="shared" si="62"/>
        <v>2024</v>
      </c>
      <c r="T109" s="55">
        <f t="shared" si="77"/>
        <v>1</v>
      </c>
      <c r="U109" s="55">
        <f t="shared" si="78"/>
        <v>1</v>
      </c>
    </row>
    <row r="110" spans="3:21" x14ac:dyDescent="0.3">
      <c r="C110">
        <f t="shared" si="57"/>
        <v>0</v>
      </c>
      <c r="D110">
        <f>Incurred_loss!$C108</f>
        <v>2025</v>
      </c>
      <c r="E110" s="45">
        <f>Incurred_loss!S108</f>
        <v>487582.09961415012</v>
      </c>
      <c r="F110" s="50">
        <f>E110*E$120</f>
        <v>488924.54501794511</v>
      </c>
      <c r="G110" s="50">
        <f t="shared" si="79"/>
        <v>519962.51499860315</v>
      </c>
      <c r="H110" s="50">
        <f t="shared" si="80"/>
        <v>509650.38356726838</v>
      </c>
      <c r="I110" s="49">
        <f t="shared" si="80"/>
        <v>514996.31725545001</v>
      </c>
      <c r="J110" s="50">
        <f t="shared" si="80"/>
        <v>504821.06639343535</v>
      </c>
      <c r="K110" s="50">
        <f t="shared" si="80"/>
        <v>504046.68316716066</v>
      </c>
      <c r="L110" s="50">
        <f t="shared" si="80"/>
        <v>505258.41413013387</v>
      </c>
      <c r="M110" s="50">
        <f t="shared" si="80"/>
        <v>505036.64225127961</v>
      </c>
      <c r="N110" s="49">
        <f t="shared" si="80"/>
        <v>505036.64225127961</v>
      </c>
      <c r="O110" s="48">
        <f t="shared" si="58"/>
        <v>505036.64225127961</v>
      </c>
      <c r="P110" s="47" t="str">
        <f t="shared" si="59"/>
        <v>-</v>
      </c>
      <c r="Q110" s="45">
        <f t="shared" si="60"/>
        <v>0</v>
      </c>
      <c r="R110" s="45">
        <f t="shared" si="61"/>
        <v>0</v>
      </c>
      <c r="S110" s="55">
        <f t="shared" si="62"/>
        <v>2025</v>
      </c>
      <c r="T110" s="55">
        <f t="shared" si="77"/>
        <v>0</v>
      </c>
    </row>
    <row r="111" spans="3:21" x14ac:dyDescent="0.3">
      <c r="C111">
        <f t="shared" si="57"/>
        <v>1</v>
      </c>
      <c r="D111">
        <f>Incurred_loss!$C109</f>
        <v>2025</v>
      </c>
      <c r="E111" s="45">
        <f>Incurred_loss!S109</f>
        <v>2694372.2674893877</v>
      </c>
      <c r="F111" s="50">
        <f t="shared" ref="F111:F118" si="81">E111*E$120</f>
        <v>2701790.6031285883</v>
      </c>
      <c r="G111" s="50">
        <f t="shared" si="79"/>
        <v>2873306.0168839996</v>
      </c>
      <c r="H111" s="50">
        <f t="shared" si="80"/>
        <v>2816321.3142682114</v>
      </c>
      <c r="I111" s="49">
        <f t="shared" si="80"/>
        <v>2845862.8734941809</v>
      </c>
      <c r="J111" s="50">
        <f t="shared" si="80"/>
        <v>2789634.5711035565</v>
      </c>
      <c r="K111" s="50">
        <f t="shared" si="80"/>
        <v>2785355.3395835017</v>
      </c>
      <c r="L111" s="50">
        <f t="shared" si="80"/>
        <v>2792051.3489424936</v>
      </c>
      <c r="M111" s="50">
        <f t="shared" si="80"/>
        <v>2790825.8404577342</v>
      </c>
      <c r="N111" s="49">
        <f t="shared" si="80"/>
        <v>2790825.8404577342</v>
      </c>
      <c r="O111" s="48">
        <f t="shared" si="58"/>
        <v>2790825.8404577342</v>
      </c>
      <c r="P111" s="47">
        <f t="shared" si="59"/>
        <v>0.33319037163798576</v>
      </c>
      <c r="Q111" s="45">
        <f t="shared" si="60"/>
        <v>0</v>
      </c>
      <c r="R111" s="45">
        <f t="shared" si="61"/>
        <v>0</v>
      </c>
      <c r="S111" s="55">
        <f t="shared" si="62"/>
        <v>2025</v>
      </c>
      <c r="T111" s="55">
        <f t="shared" si="77"/>
        <v>1</v>
      </c>
    </row>
    <row r="112" spans="3:21" x14ac:dyDescent="0.3">
      <c r="C112">
        <f t="shared" si="57"/>
        <v>1</v>
      </c>
      <c r="D112">
        <f>Incurred_loss!$C110</f>
        <v>2025</v>
      </c>
      <c r="E112" s="45">
        <f>Incurred_loss!S110</f>
        <v>23915613.781648602</v>
      </c>
      <c r="F112" s="50">
        <f t="shared" si="81"/>
        <v>23981459.935200009</v>
      </c>
      <c r="G112" s="50">
        <f t="shared" si="79"/>
        <v>25503854.016548026</v>
      </c>
      <c r="H112" s="50">
        <f t="shared" si="80"/>
        <v>24998050.065228719</v>
      </c>
      <c r="I112" s="49">
        <f t="shared" si="80"/>
        <v>25260264.952711325</v>
      </c>
      <c r="J112" s="50">
        <f t="shared" si="80"/>
        <v>24761174.912408568</v>
      </c>
      <c r="K112" s="50">
        <f t="shared" si="80"/>
        <v>24723191.872889217</v>
      </c>
      <c r="L112" s="50">
        <f t="shared" si="80"/>
        <v>24782626.560382184</v>
      </c>
      <c r="M112" s="50">
        <f t="shared" si="80"/>
        <v>24771748.780811306</v>
      </c>
      <c r="N112" s="49">
        <f t="shared" si="80"/>
        <v>24771748.780811306</v>
      </c>
      <c r="O112" s="48">
        <f t="shared" si="58"/>
        <v>24771748.780811306</v>
      </c>
      <c r="P112" s="47">
        <f t="shared" si="59"/>
        <v>2.5165566612086456</v>
      </c>
      <c r="Q112" s="45">
        <f t="shared" si="60"/>
        <v>1</v>
      </c>
      <c r="R112" s="45">
        <f t="shared" si="61"/>
        <v>1</v>
      </c>
      <c r="S112" s="55">
        <f t="shared" si="62"/>
        <v>2025</v>
      </c>
      <c r="T112" s="55">
        <f t="shared" si="77"/>
        <v>1</v>
      </c>
    </row>
    <row r="113" spans="3:33" x14ac:dyDescent="0.3">
      <c r="C113">
        <f t="shared" si="57"/>
        <v>0</v>
      </c>
      <c r="D113">
        <f>Incurred_loss!$C111</f>
        <v>2025</v>
      </c>
      <c r="E113" s="45">
        <f>Incurred_loss!S111</f>
        <v>570181.36752894882</v>
      </c>
      <c r="F113" s="50">
        <f>E113*E$120</f>
        <v>571751.23105916148</v>
      </c>
      <c r="G113" s="50">
        <f t="shared" si="79"/>
        <v>608047.21522859437</v>
      </c>
      <c r="H113" s="50">
        <f t="shared" si="80"/>
        <v>595988.14824006113</v>
      </c>
      <c r="I113" s="49">
        <f t="shared" si="80"/>
        <v>602239.71445518394</v>
      </c>
      <c r="J113" s="50">
        <f t="shared" si="80"/>
        <v>590340.71640737855</v>
      </c>
      <c r="K113" s="50">
        <f t="shared" si="80"/>
        <v>589435.14811990829</v>
      </c>
      <c r="L113" s="50">
        <f t="shared" si="80"/>
        <v>590852.15341623069</v>
      </c>
      <c r="M113" s="50">
        <f t="shared" si="80"/>
        <v>590592.81208014663</v>
      </c>
      <c r="N113" s="49">
        <f t="shared" si="80"/>
        <v>590592.81208014663</v>
      </c>
      <c r="O113" s="48">
        <f t="shared" si="58"/>
        <v>590592.81208014663</v>
      </c>
      <c r="P113" s="47" t="str">
        <f t="shared" si="59"/>
        <v>-</v>
      </c>
      <c r="Q113" s="45">
        <f t="shared" si="60"/>
        <v>0</v>
      </c>
      <c r="R113" s="45">
        <f t="shared" si="61"/>
        <v>0</v>
      </c>
      <c r="S113" s="55">
        <f t="shared" si="62"/>
        <v>2025</v>
      </c>
      <c r="T113" s="55">
        <f t="shared" si="77"/>
        <v>0</v>
      </c>
    </row>
    <row r="114" spans="3:33" x14ac:dyDescent="0.3">
      <c r="C114">
        <f t="shared" si="57"/>
        <v>0</v>
      </c>
      <c r="D114">
        <f>Incurred_loss!$C112</f>
        <v>2025</v>
      </c>
      <c r="E114" s="45">
        <f>Incurred_loss!S112</f>
        <v>1454609.2832226222</v>
      </c>
      <c r="F114" s="50">
        <f t="shared" si="81"/>
        <v>1458614.2160290666</v>
      </c>
      <c r="G114" s="50">
        <f t="shared" si="79"/>
        <v>1551210.1486975923</v>
      </c>
      <c r="H114" s="50">
        <f t="shared" ref="H114:N118" si="82">G114*H$120</f>
        <v>1520445.8484460004</v>
      </c>
      <c r="I114" s="49">
        <f t="shared" si="82"/>
        <v>1536394.4338769983</v>
      </c>
      <c r="J114" s="50">
        <f t="shared" si="82"/>
        <v>1506038.491001494</v>
      </c>
      <c r="K114" s="50">
        <f t="shared" si="82"/>
        <v>1503728.2646199218</v>
      </c>
      <c r="L114" s="50">
        <f t="shared" si="82"/>
        <v>1507343.2355323157</v>
      </c>
      <c r="M114" s="50">
        <f t="shared" si="82"/>
        <v>1506681.6209365493</v>
      </c>
      <c r="N114" s="49">
        <f t="shared" si="82"/>
        <v>1506681.6209365493</v>
      </c>
      <c r="O114" s="48">
        <f t="shared" si="58"/>
        <v>1506681.6209365493</v>
      </c>
      <c r="P114" s="47" t="str">
        <f t="shared" si="59"/>
        <v>-</v>
      </c>
      <c r="Q114" s="45">
        <f t="shared" si="60"/>
        <v>0</v>
      </c>
      <c r="R114" s="45">
        <f t="shared" si="61"/>
        <v>0</v>
      </c>
      <c r="S114" s="55">
        <f t="shared" si="62"/>
        <v>2025</v>
      </c>
      <c r="T114" s="55">
        <f t="shared" si="77"/>
        <v>0</v>
      </c>
    </row>
    <row r="115" spans="3:33" x14ac:dyDescent="0.3">
      <c r="C115">
        <f t="shared" si="57"/>
        <v>0</v>
      </c>
      <c r="D115">
        <f>Incurred_loss!$C113</f>
        <v>2025</v>
      </c>
      <c r="E115" s="45">
        <f>Incurred_loss!S113</f>
        <v>1479291.4671336822</v>
      </c>
      <c r="F115" s="50">
        <f t="shared" si="81"/>
        <v>1483364.3566685899</v>
      </c>
      <c r="G115" s="50">
        <f t="shared" si="79"/>
        <v>1577531.4809044327</v>
      </c>
      <c r="H115" s="50">
        <f t="shared" si="82"/>
        <v>1546245.1641048489</v>
      </c>
      <c r="I115" s="49">
        <f t="shared" si="82"/>
        <v>1562464.3692295812</v>
      </c>
      <c r="J115" s="50">
        <f t="shared" si="82"/>
        <v>1531593.3389189227</v>
      </c>
      <c r="K115" s="50">
        <f t="shared" si="82"/>
        <v>1529243.9120227629</v>
      </c>
      <c r="L115" s="50">
        <f t="shared" si="82"/>
        <v>1532920.2226900463</v>
      </c>
      <c r="M115" s="50">
        <f t="shared" si="82"/>
        <v>1532247.3816478937</v>
      </c>
      <c r="N115" s="49">
        <f t="shared" si="82"/>
        <v>1532247.3816478937</v>
      </c>
      <c r="O115" s="48">
        <f t="shared" si="58"/>
        <v>1532247.3816478937</v>
      </c>
      <c r="P115" s="47" t="str">
        <f t="shared" si="59"/>
        <v>-</v>
      </c>
      <c r="Q115" s="45">
        <f t="shared" si="60"/>
        <v>0</v>
      </c>
      <c r="R115" s="45">
        <f t="shared" si="61"/>
        <v>0</v>
      </c>
      <c r="S115" s="55">
        <f t="shared" si="62"/>
        <v>2025</v>
      </c>
      <c r="T115" s="55">
        <f t="shared" si="77"/>
        <v>0</v>
      </c>
    </row>
    <row r="116" spans="3:33" x14ac:dyDescent="0.3">
      <c r="C116">
        <f t="shared" si="57"/>
        <v>0</v>
      </c>
      <c r="D116">
        <f>Incurred_loss!$C114</f>
        <v>2025</v>
      </c>
      <c r="E116" s="45">
        <f>Incurred_loss!S114</f>
        <v>603665.86388840724</v>
      </c>
      <c r="F116" s="50">
        <f t="shared" si="81"/>
        <v>605327.91929414554</v>
      </c>
      <c r="G116" s="50">
        <f t="shared" si="79"/>
        <v>643755.42304488539</v>
      </c>
      <c r="H116" s="50">
        <f t="shared" si="82"/>
        <v>630988.17475182109</v>
      </c>
      <c r="I116" s="49">
        <f t="shared" si="82"/>
        <v>637606.87072265381</v>
      </c>
      <c r="J116" s="50">
        <f t="shared" si="82"/>
        <v>625009.09158605256</v>
      </c>
      <c r="K116" s="50">
        <f t="shared" si="82"/>
        <v>624050.3428550394</v>
      </c>
      <c r="L116" s="50">
        <f t="shared" si="82"/>
        <v>625550.56326744251</v>
      </c>
      <c r="M116" s="50">
        <f t="shared" si="82"/>
        <v>625275.99184051633</v>
      </c>
      <c r="N116" s="49">
        <f t="shared" si="82"/>
        <v>625275.99184051633</v>
      </c>
      <c r="O116" s="48">
        <f t="shared" si="58"/>
        <v>625275.99184051633</v>
      </c>
      <c r="P116" s="47" t="str">
        <f t="shared" si="59"/>
        <v>-</v>
      </c>
      <c r="Q116" s="45">
        <f t="shared" si="60"/>
        <v>0</v>
      </c>
      <c r="R116" s="45">
        <f t="shared" si="61"/>
        <v>0</v>
      </c>
      <c r="S116" s="55">
        <f t="shared" si="62"/>
        <v>2025</v>
      </c>
      <c r="T116" s="55">
        <f t="shared" si="77"/>
        <v>0</v>
      </c>
    </row>
    <row r="117" spans="3:33" x14ac:dyDescent="0.3">
      <c r="C117">
        <f t="shared" si="57"/>
        <v>1</v>
      </c>
      <c r="D117">
        <f>Incurred_loss!$C115</f>
        <v>2025</v>
      </c>
      <c r="E117" s="45">
        <f>Incurred_loss!S115</f>
        <v>4900004.0420230879</v>
      </c>
      <c r="F117" s="50">
        <f t="shared" si="81"/>
        <v>4913495.0785274971</v>
      </c>
      <c r="G117" s="50">
        <f t="shared" si="79"/>
        <v>5225414.1963166231</v>
      </c>
      <c r="H117" s="50">
        <f t="shared" si="82"/>
        <v>5121781.4219891811</v>
      </c>
      <c r="I117" s="49">
        <f>H117*I$120</f>
        <v>5175505.9059298486</v>
      </c>
      <c r="J117" s="50">
        <f t="shared" si="82"/>
        <v>5073248.7262837403</v>
      </c>
      <c r="K117" s="50">
        <f t="shared" si="82"/>
        <v>5065466.4862428866</v>
      </c>
      <c r="L117" s="50">
        <f t="shared" si="82"/>
        <v>5077643.895177939</v>
      </c>
      <c r="M117" s="50">
        <f t="shared" si="82"/>
        <v>5075415.1769709894</v>
      </c>
      <c r="N117" s="49">
        <f t="shared" si="82"/>
        <v>5075415.1769709894</v>
      </c>
      <c r="O117" s="48">
        <f t="shared" si="58"/>
        <v>5075415.1769709894</v>
      </c>
      <c r="P117" s="47">
        <f t="shared" si="59"/>
        <v>0.93126114929193737</v>
      </c>
      <c r="Q117" s="45">
        <f t="shared" si="60"/>
        <v>1</v>
      </c>
      <c r="R117" s="45">
        <f t="shared" si="61"/>
        <v>0</v>
      </c>
      <c r="S117" s="55">
        <f t="shared" si="62"/>
        <v>2025</v>
      </c>
      <c r="T117" s="55">
        <f t="shared" si="77"/>
        <v>1</v>
      </c>
    </row>
    <row r="118" spans="3:33" ht="15" thickBot="1" x14ac:dyDescent="0.35">
      <c r="C118">
        <f t="shared" si="57"/>
        <v>0</v>
      </c>
      <c r="D118">
        <f>Incurred_loss!$C116</f>
        <v>2025</v>
      </c>
      <c r="E118" s="45">
        <f>Incurred_loss!S116</f>
        <v>604928.77680031373</v>
      </c>
      <c r="F118" s="50">
        <f t="shared" si="81"/>
        <v>606594.30934689729</v>
      </c>
      <c r="G118" s="50">
        <f t="shared" si="79"/>
        <v>645102.20623159129</v>
      </c>
      <c r="H118" s="50">
        <f t="shared" si="82"/>
        <v>632308.24792611215</v>
      </c>
      <c r="I118" s="49">
        <f t="shared" si="82"/>
        <v>638940.79069051321</v>
      </c>
      <c r="J118" s="50">
        <f t="shared" si="82"/>
        <v>626316.65608330374</v>
      </c>
      <c r="K118" s="50">
        <f t="shared" si="82"/>
        <v>625355.90158018377</v>
      </c>
      <c r="L118" s="50">
        <f t="shared" si="82"/>
        <v>626859.26056285051</v>
      </c>
      <c r="M118" s="50">
        <f t="shared" si="82"/>
        <v>626584.1147125205</v>
      </c>
      <c r="N118" s="49">
        <f t="shared" si="82"/>
        <v>626584.1147125205</v>
      </c>
      <c r="O118" s="48">
        <f t="shared" si="58"/>
        <v>626584.1147125205</v>
      </c>
      <c r="P118" s="47" t="str">
        <f t="shared" si="59"/>
        <v>-</v>
      </c>
      <c r="Q118" s="45">
        <f t="shared" si="60"/>
        <v>0</v>
      </c>
      <c r="R118" s="45">
        <f t="shared" si="61"/>
        <v>0</v>
      </c>
      <c r="S118" s="55">
        <f t="shared" si="62"/>
        <v>2025</v>
      </c>
      <c r="T118" s="55">
        <f t="shared" si="77"/>
        <v>0</v>
      </c>
    </row>
    <row r="119" spans="3:33" ht="15" thickBot="1" x14ac:dyDescent="0.35">
      <c r="C119">
        <f>SUM(C5:C118)</f>
        <v>61</v>
      </c>
      <c r="O119" s="46" t="s">
        <v>42</v>
      </c>
      <c r="P119" s="47" cm="1">
        <f t="array" ref="P119">SUM(IF(ISNUMBER(P5:P118),P5:P118))</f>
        <v>33.03747608344176</v>
      </c>
      <c r="Q119" s="46">
        <f>SUM(Q5:Q118)</f>
        <v>17</v>
      </c>
      <c r="R119" s="46">
        <f>SUM(R5:R118)</f>
        <v>3</v>
      </c>
      <c r="S119" t="s">
        <v>32</v>
      </c>
      <c r="T119" s="56">
        <f>SUM(U5:U109)/SUM(T5:T109)</f>
        <v>1.0943396226415094</v>
      </c>
      <c r="U119" s="56">
        <f>SUM(V5:V96)/SUM(U5:U96)</f>
        <v>1.0784313725490196</v>
      </c>
      <c r="V119" s="56">
        <f>SUM(W5:W80)/SUM(V5:V80)</f>
        <v>0.95833333333333337</v>
      </c>
      <c r="W119" s="56">
        <f>SUM(X5:X74)/SUM(W5:W74)</f>
        <v>0.97560975609756095</v>
      </c>
      <c r="X119" s="56">
        <f>SUM(Y5:Y64)/SUM(X5:X64)</f>
        <v>1.0285714285714285</v>
      </c>
      <c r="Y119" s="56">
        <f>SUM(Z5:Z58)/SUM(Y5:Y58)</f>
        <v>0.97058823529411764</v>
      </c>
      <c r="Z119" s="56">
        <f>SUM(AA5:AA43)/SUM(Z5:Z43)</f>
        <v>1</v>
      </c>
      <c r="AA119" s="56">
        <f>SUM(AB5:AB32)/SUM(AA5:AA32)</f>
        <v>1</v>
      </c>
      <c r="AB119" s="56">
        <f>SUM(AC5:AC19)/SUM(AB5:AB19)</f>
        <v>1</v>
      </c>
      <c r="AC119" s="56">
        <f>1</f>
        <v>1</v>
      </c>
    </row>
    <row r="120" spans="3:33" x14ac:dyDescent="0.3">
      <c r="D120" s="33" t="s">
        <v>32</v>
      </c>
      <c r="E120" s="30">
        <f>SUMIF(F5:F109,"&gt;"&amp;$E$2)/SUMIF(E5:E109,"&gt;"&amp;$E$2)</f>
        <v>1.0027532704848217</v>
      </c>
      <c r="F120" s="30">
        <f>SUMIF(G5:G96,"&gt;"&amp;$E$2)/SUMIF(F5:F96,"&gt;"&amp;$E$2)</f>
        <v>1.0634821268372174</v>
      </c>
      <c r="G120" s="30">
        <f>SUMIF(H5:H80,"&gt;"&amp;$E$2)/SUMIF(G5:G80,"&gt;"&amp;$E$2)</f>
        <v>0.96961418309117453</v>
      </c>
      <c r="H120" s="30">
        <f>SUMIF(I5:I73,"&gt;"&amp;$E$2)/SUMIF(H5:H73,"&gt;"&amp;$E$2)</f>
        <v>0.98016754836382303</v>
      </c>
      <c r="I120" s="30">
        <f>SUMIF(J5:J64,"&gt;"&amp;$E$2)/SUMIF(I5:I64,"&gt;"&amp;$E$2)</f>
        <v>1.0104894136462002</v>
      </c>
      <c r="J120" s="30">
        <f>SUMIF(K5:K58,"&gt;"&amp;$E$2)/SUMIF(J5:J58,"&gt;"&amp;$E$2)</f>
        <v>0.98024209004786433</v>
      </c>
      <c r="K120" s="30">
        <f>SUMIF(L5:L43,"&gt;"&amp;$E$2)/SUMIF(K5:K43,"&gt;"&amp;$E$2)</f>
        <v>0.99846602434441367</v>
      </c>
      <c r="L120" s="30">
        <f>SUMIF(M5:M32,"&gt;"&amp;$E$2)/SUMIF(L5:L32,"&gt;"&amp;$E$2)</f>
        <v>1.0024040054293371</v>
      </c>
      <c r="M120" s="30">
        <f>SUMIF(N5:N19,"&gt;"&amp;$E$2)/SUMIF(M5:M19,"&gt;"&amp;$E$2)</f>
        <v>0.99956107236880742</v>
      </c>
      <c r="N120">
        <v>1</v>
      </c>
      <c r="P120" s="45"/>
      <c r="Q120" s="45"/>
      <c r="R120" s="53"/>
    </row>
    <row r="121" spans="3:33" ht="15" thickBot="1" x14ac:dyDescent="0.35">
      <c r="R121" s="54"/>
    </row>
    <row r="122" spans="3:33" ht="15" thickBot="1" x14ac:dyDescent="0.35">
      <c r="O122" s="46" t="s">
        <v>54</v>
      </c>
      <c r="P122" s="63" cm="1">
        <f t="array" ref="P122">COUNT(IF(ISNUMBER(P5:P118),P5:P118))/P119</f>
        <v>1.8463880184410617</v>
      </c>
      <c r="Q122" s="45" cm="1">
        <f t="array" ref="Q122">COUNT(IF(ISNUMBER(P5:P118),P5:P118))</f>
        <v>61</v>
      </c>
      <c r="R122" s="33" t="s">
        <v>49</v>
      </c>
    </row>
    <row r="123" spans="3:33" ht="15" thickBot="1" x14ac:dyDescent="0.35">
      <c r="S123" s="33" t="s">
        <v>0</v>
      </c>
      <c r="T123" s="33">
        <v>1</v>
      </c>
      <c r="U123" s="33">
        <v>2</v>
      </c>
      <c r="V123" s="33">
        <v>3</v>
      </c>
      <c r="W123" s="33">
        <v>4</v>
      </c>
      <c r="X123" s="33">
        <v>5</v>
      </c>
      <c r="Y123" s="33">
        <v>6</v>
      </c>
      <c r="Z123" s="33">
        <v>7</v>
      </c>
      <c r="AA123" s="33">
        <v>8</v>
      </c>
      <c r="AB123" s="33">
        <v>9</v>
      </c>
      <c r="AC123" s="33">
        <v>10</v>
      </c>
      <c r="AD123" s="33" t="s">
        <v>50</v>
      </c>
      <c r="AF123" s="58" t="s">
        <v>0</v>
      </c>
      <c r="AG123" s="21" t="s">
        <v>4</v>
      </c>
    </row>
    <row r="124" spans="3:33" ht="15.6" thickTop="1" thickBot="1" x14ac:dyDescent="0.35">
      <c r="G124" s="92" t="s">
        <v>59</v>
      </c>
      <c r="H124" s="93"/>
      <c r="L124" s="92" t="s">
        <v>74</v>
      </c>
      <c r="M124" s="93"/>
      <c r="S124">
        <v>2016</v>
      </c>
      <c r="T124">
        <f>SUMIF($S$5:$S$118,$S124,T$5:T$118)</f>
        <v>8</v>
      </c>
      <c r="U124">
        <f t="shared" ref="T124:V131" si="83">SUMIF($S$5:$S$118,$S124,U$5:U$118)</f>
        <v>7</v>
      </c>
      <c r="V124">
        <f t="shared" si="83"/>
        <v>8</v>
      </c>
      <c r="W124">
        <f t="shared" ref="W124:AC130" si="84">SUMIF($S$5:$S$118,$S124,W$5:W$118)</f>
        <v>7</v>
      </c>
      <c r="X124">
        <f t="shared" si="84"/>
        <v>7</v>
      </c>
      <c r="Y124">
        <f t="shared" si="84"/>
        <v>7</v>
      </c>
      <c r="Z124">
        <f t="shared" si="84"/>
        <v>7</v>
      </c>
      <c r="AA124">
        <f t="shared" si="84"/>
        <v>7</v>
      </c>
      <c r="AB124">
        <f t="shared" si="84"/>
        <v>7</v>
      </c>
      <c r="AC124">
        <f>SUMIF($S$5:$S$118,$S124,AC$5:AC$118)</f>
        <v>7</v>
      </c>
      <c r="AD124" s="30">
        <f>$AC124</f>
        <v>7</v>
      </c>
      <c r="AF124" s="59">
        <v>2016</v>
      </c>
      <c r="AG124" s="57">
        <v>124123</v>
      </c>
    </row>
    <row r="125" spans="3:33" x14ac:dyDescent="0.3">
      <c r="G125" s="26" t="s">
        <v>61</v>
      </c>
      <c r="H125" s="84">
        <f>E2</f>
        <v>2000000</v>
      </c>
      <c r="I125" t="s">
        <v>18</v>
      </c>
      <c r="J125" s="65">
        <f>T137</f>
        <v>6.8772858801713532</v>
      </c>
      <c r="L125" t="s">
        <v>69</v>
      </c>
      <c r="M125" s="47">
        <f>(H126^P122*(H126+Exposure!C23)^(1-P122)-H126)/(1-P122)</f>
        <v>2549864.9203293184</v>
      </c>
      <c r="N125" s="31">
        <f>(H126^P122*(H126+Exposure!C23)^(1-P122)-H126)/(1-P122)</f>
        <v>2549864.9203293184</v>
      </c>
      <c r="O125" t="s">
        <v>55</v>
      </c>
      <c r="S125">
        <v>2017</v>
      </c>
      <c r="T125">
        <f>SUMIF($S$5:$S$118,$S125,T$5:T$118)</f>
        <v>9</v>
      </c>
      <c r="U125">
        <f t="shared" si="83"/>
        <v>9</v>
      </c>
      <c r="V125">
        <f t="shared" si="83"/>
        <v>9</v>
      </c>
      <c r="W125">
        <f t="shared" si="84"/>
        <v>9</v>
      </c>
      <c r="X125">
        <f t="shared" si="84"/>
        <v>9</v>
      </c>
      <c r="Y125">
        <f t="shared" si="84"/>
        <v>9</v>
      </c>
      <c r="Z125">
        <f t="shared" si="84"/>
        <v>9</v>
      </c>
      <c r="AA125">
        <f t="shared" si="84"/>
        <v>9</v>
      </c>
      <c r="AB125">
        <f t="shared" si="84"/>
        <v>9</v>
      </c>
      <c r="AC125">
        <f>AB125*AB134</f>
        <v>9</v>
      </c>
      <c r="AD125" s="30">
        <f>$AC125</f>
        <v>9</v>
      </c>
      <c r="AF125" s="60">
        <v>2017</v>
      </c>
      <c r="AG125" s="57">
        <v>124487</v>
      </c>
    </row>
    <row r="126" spans="3:33" x14ac:dyDescent="0.3">
      <c r="G126" s="26" t="s">
        <v>60</v>
      </c>
      <c r="H126" s="84">
        <v>4000000</v>
      </c>
      <c r="I126" s="26" t="s">
        <v>66</v>
      </c>
      <c r="J126" s="65">
        <f>(H126/H125)^(-P122)</f>
        <v>0.27808772731181847</v>
      </c>
      <c r="L126" t="s">
        <v>70</v>
      </c>
      <c r="M126" s="31">
        <f>J127*M125</f>
        <v>4876588.1028934494</v>
      </c>
      <c r="O126" t="s">
        <v>56</v>
      </c>
      <c r="P126" s="45">
        <f>E2</f>
        <v>2000000</v>
      </c>
      <c r="S126">
        <v>2018</v>
      </c>
      <c r="T126">
        <f t="shared" si="83"/>
        <v>6</v>
      </c>
      <c r="U126">
        <f t="shared" si="83"/>
        <v>9</v>
      </c>
      <c r="V126">
        <f t="shared" si="83"/>
        <v>10</v>
      </c>
      <c r="W126">
        <f t="shared" si="84"/>
        <v>9</v>
      </c>
      <c r="X126">
        <f t="shared" si="84"/>
        <v>9</v>
      </c>
      <c r="Y126">
        <f t="shared" si="84"/>
        <v>9</v>
      </c>
      <c r="Z126">
        <f t="shared" si="84"/>
        <v>9</v>
      </c>
      <c r="AA126">
        <f t="shared" si="84"/>
        <v>9</v>
      </c>
      <c r="AB126">
        <f>AA126*AA134</f>
        <v>9</v>
      </c>
      <c r="AC126">
        <f>AB126*AB134</f>
        <v>9</v>
      </c>
      <c r="AD126" s="30">
        <f t="shared" ref="AD125:AD133" si="85">$AC126</f>
        <v>9</v>
      </c>
      <c r="AF126" s="60">
        <v>2018</v>
      </c>
      <c r="AG126" s="57">
        <v>125731.87</v>
      </c>
    </row>
    <row r="127" spans="3:33" x14ac:dyDescent="0.3">
      <c r="G127" s="26" t="s">
        <v>67</v>
      </c>
      <c r="H127" s="84">
        <f>H126</f>
        <v>4000000</v>
      </c>
      <c r="I127" t="s">
        <v>18</v>
      </c>
      <c r="J127" s="66">
        <f>J125*J126</f>
        <v>1.9124888004905107</v>
      </c>
      <c r="O127" t="s">
        <v>57</v>
      </c>
      <c r="P127" s="30">
        <f>P122</f>
        <v>1.8463880184410617</v>
      </c>
      <c r="S127">
        <v>2019</v>
      </c>
      <c r="T127">
        <f t="shared" si="83"/>
        <v>6</v>
      </c>
      <c r="U127">
        <f t="shared" si="83"/>
        <v>8</v>
      </c>
      <c r="V127">
        <f t="shared" si="83"/>
        <v>9</v>
      </c>
      <c r="W127">
        <f t="shared" si="84"/>
        <v>9</v>
      </c>
      <c r="X127">
        <f t="shared" si="84"/>
        <v>8</v>
      </c>
      <c r="Y127">
        <f t="shared" si="84"/>
        <v>9</v>
      </c>
      <c r="Z127">
        <f t="shared" si="84"/>
        <v>8</v>
      </c>
      <c r="AA127">
        <f>Z127*Z134</f>
        <v>8</v>
      </c>
      <c r="AB127">
        <f t="shared" ref="AB127:AC127" si="86">AA127*AA134</f>
        <v>8</v>
      </c>
      <c r="AC127">
        <f t="shared" si="86"/>
        <v>8</v>
      </c>
      <c r="AD127" s="30">
        <f t="shared" si="85"/>
        <v>8</v>
      </c>
      <c r="AF127" s="60">
        <v>2019</v>
      </c>
      <c r="AG127" s="57">
        <v>128246.5074</v>
      </c>
    </row>
    <row r="128" spans="3:33" x14ac:dyDescent="0.3">
      <c r="G128" s="26" t="s">
        <v>68</v>
      </c>
      <c r="H128" s="84">
        <f>H127</f>
        <v>4000000</v>
      </c>
      <c r="I128" t="s">
        <v>18</v>
      </c>
      <c r="J128" s="66">
        <f>Q119*AG135/SUM(AG124:AG133)</f>
        <v>1.8952701674764243</v>
      </c>
      <c r="O128" s="26" t="s">
        <v>58</v>
      </c>
      <c r="P128" s="64">
        <f>P126*P127/(P127-1)</f>
        <v>4362982.4104596181</v>
      </c>
      <c r="S128">
        <v>2020</v>
      </c>
      <c r="T128">
        <f t="shared" si="83"/>
        <v>2</v>
      </c>
      <c r="U128">
        <f t="shared" si="83"/>
        <v>2</v>
      </c>
      <c r="V128">
        <f t="shared" si="83"/>
        <v>2</v>
      </c>
      <c r="W128">
        <f t="shared" si="84"/>
        <v>2</v>
      </c>
      <c r="X128">
        <f t="shared" si="84"/>
        <v>2</v>
      </c>
      <c r="Y128">
        <f t="shared" si="84"/>
        <v>2</v>
      </c>
      <c r="Z128" s="30">
        <f>Y128*Y134</f>
        <v>1.9411764705882353</v>
      </c>
      <c r="AA128" s="30">
        <f t="shared" ref="AA128:AC128" si="87">Z128*Z134</f>
        <v>1.9411764705882353</v>
      </c>
      <c r="AB128" s="30">
        <f t="shared" si="87"/>
        <v>1.9411764705882353</v>
      </c>
      <c r="AC128" s="30">
        <f t="shared" si="87"/>
        <v>1.9411764705882353</v>
      </c>
      <c r="AD128" s="30">
        <f t="shared" si="85"/>
        <v>1.9411764705882353</v>
      </c>
      <c r="AF128" s="60">
        <v>2020</v>
      </c>
      <c r="AG128" s="57">
        <v>132093.90262199999</v>
      </c>
    </row>
    <row r="129" spans="7:33" ht="15" thickBot="1" x14ac:dyDescent="0.35">
      <c r="S129">
        <v>2021</v>
      </c>
      <c r="T129">
        <f t="shared" si="83"/>
        <v>6</v>
      </c>
      <c r="U129">
        <f t="shared" si="83"/>
        <v>5</v>
      </c>
      <c r="V129">
        <f t="shared" si="83"/>
        <v>5</v>
      </c>
      <c r="W129">
        <f t="shared" si="84"/>
        <v>5</v>
      </c>
      <c r="X129">
        <f t="shared" si="84"/>
        <v>5</v>
      </c>
      <c r="Y129" s="30">
        <f>X129*X134</f>
        <v>5.1428571428571423</v>
      </c>
      <c r="Z129" s="30">
        <f t="shared" ref="Z129:AC129" si="88">Y129*Y134</f>
        <v>4.9915966386554613</v>
      </c>
      <c r="AA129" s="30">
        <f t="shared" si="88"/>
        <v>4.9915966386554613</v>
      </c>
      <c r="AB129" s="30">
        <f t="shared" si="88"/>
        <v>4.9915966386554613</v>
      </c>
      <c r="AC129" s="30">
        <f t="shared" si="88"/>
        <v>4.9915966386554613</v>
      </c>
      <c r="AD129" s="30">
        <f t="shared" si="85"/>
        <v>4.9915966386554613</v>
      </c>
      <c r="AF129" s="60">
        <v>2021</v>
      </c>
      <c r="AG129" s="57">
        <v>134735.78067444</v>
      </c>
    </row>
    <row r="130" spans="7:33" ht="15" thickBot="1" x14ac:dyDescent="0.35">
      <c r="G130" s="26"/>
      <c r="H130" s="45"/>
      <c r="I130" s="26"/>
      <c r="J130" s="67"/>
      <c r="L130" s="92" t="s">
        <v>75</v>
      </c>
      <c r="M130" s="93"/>
      <c r="S130">
        <v>2022</v>
      </c>
      <c r="T130">
        <f t="shared" si="83"/>
        <v>5</v>
      </c>
      <c r="U130">
        <f t="shared" si="83"/>
        <v>5</v>
      </c>
      <c r="V130">
        <f t="shared" si="83"/>
        <v>5</v>
      </c>
      <c r="W130">
        <f t="shared" si="84"/>
        <v>5</v>
      </c>
      <c r="X130" s="30">
        <f>W130*W134</f>
        <v>4.8780487804878048</v>
      </c>
      <c r="Y130" s="30">
        <f t="shared" ref="Y130:AC130" si="89">X130*X134</f>
        <v>5.0174216027874561</v>
      </c>
      <c r="Z130" s="30">
        <f t="shared" si="89"/>
        <v>4.8698503791760599</v>
      </c>
      <c r="AA130" s="30">
        <f t="shared" si="89"/>
        <v>4.8698503791760599</v>
      </c>
      <c r="AB130" s="30">
        <f t="shared" si="89"/>
        <v>4.8698503791760599</v>
      </c>
      <c r="AC130" s="30">
        <f t="shared" si="89"/>
        <v>4.8698503791760599</v>
      </c>
      <c r="AD130" s="30">
        <f t="shared" si="85"/>
        <v>4.8698503791760599</v>
      </c>
      <c r="AF130" s="60">
        <v>2022</v>
      </c>
      <c r="AG130" s="57">
        <v>138777.85409467321</v>
      </c>
    </row>
    <row r="131" spans="7:33" x14ac:dyDescent="0.3">
      <c r="G131" s="26" t="s">
        <v>71</v>
      </c>
      <c r="H131" s="45">
        <v>10000000</v>
      </c>
      <c r="I131" s="26" t="s">
        <v>66</v>
      </c>
      <c r="J131" s="69">
        <f>(H131/H125)^(-P122)</f>
        <v>5.1218889576145427E-2</v>
      </c>
      <c r="L131" t="s">
        <v>69</v>
      </c>
      <c r="M131" s="47">
        <f>(H131^P122*(H131+Exposure!C24)^(1-P122)-H131)/(1-P122)</f>
        <v>7152605.9902312364</v>
      </c>
      <c r="S131">
        <v>2023</v>
      </c>
      <c r="T131">
        <f t="shared" si="83"/>
        <v>4</v>
      </c>
      <c r="U131">
        <f t="shared" si="83"/>
        <v>6</v>
      </c>
      <c r="V131">
        <f t="shared" si="83"/>
        <v>7</v>
      </c>
      <c r="W131" s="30">
        <f>V131*V134</f>
        <v>6.7083333333333339</v>
      </c>
      <c r="X131" s="30">
        <f t="shared" ref="X131:AC131" si="90">W131*W134</f>
        <v>6.5447154471544717</v>
      </c>
      <c r="Y131" s="30">
        <f t="shared" si="90"/>
        <v>6.7317073170731705</v>
      </c>
      <c r="Z131" s="30">
        <f t="shared" si="90"/>
        <v>6.5337159253945476</v>
      </c>
      <c r="AA131" s="30">
        <f t="shared" si="90"/>
        <v>6.5337159253945476</v>
      </c>
      <c r="AB131" s="30">
        <f t="shared" si="90"/>
        <v>6.5337159253945476</v>
      </c>
      <c r="AC131" s="30">
        <f t="shared" si="90"/>
        <v>6.5337159253945476</v>
      </c>
      <c r="AD131" s="30">
        <f t="shared" si="85"/>
        <v>6.5337159253945476</v>
      </c>
      <c r="AF131" s="60">
        <v>2023</v>
      </c>
      <c r="AG131" s="57">
        <v>140165.63263561996</v>
      </c>
    </row>
    <row r="132" spans="7:33" x14ac:dyDescent="0.3">
      <c r="G132" s="26" t="s">
        <v>72</v>
      </c>
      <c r="H132" s="45">
        <f>H131</f>
        <v>10000000</v>
      </c>
      <c r="I132" t="s">
        <v>18</v>
      </c>
      <c r="J132" s="66">
        <f>J125*J131</f>
        <v>0.35224694608008067</v>
      </c>
      <c r="L132" t="s">
        <v>70</v>
      </c>
      <c r="M132" s="31">
        <f>J132*M131</f>
        <v>2519483.6165730446</v>
      </c>
      <c r="S132">
        <v>2024</v>
      </c>
      <c r="T132">
        <f>SUMIF($S$5:$S$118,$S132,T$5:T$118)</f>
        <v>7</v>
      </c>
      <c r="U132">
        <f>SUMIF($S$5:$S$118,$S132,U$5:U$118)</f>
        <v>7</v>
      </c>
      <c r="V132" s="30">
        <f>U132*U134</f>
        <v>7.5490196078431371</v>
      </c>
      <c r="W132" s="30">
        <f t="shared" ref="W132:AC132" si="91">V132*V134</f>
        <v>7.234477124183007</v>
      </c>
      <c r="X132" s="30">
        <f t="shared" si="91"/>
        <v>7.0580264626175673</v>
      </c>
      <c r="Y132" s="30">
        <f t="shared" si="91"/>
        <v>7.259684361549497</v>
      </c>
      <c r="Z132" s="30">
        <f t="shared" si="91"/>
        <v>7.0461642332686294</v>
      </c>
      <c r="AA132" s="30">
        <f t="shared" si="91"/>
        <v>7.0461642332686294</v>
      </c>
      <c r="AB132" s="30">
        <f t="shared" si="91"/>
        <v>7.0461642332686294</v>
      </c>
      <c r="AC132" s="30">
        <f t="shared" si="91"/>
        <v>7.0461642332686294</v>
      </c>
      <c r="AD132" s="30">
        <f t="shared" si="85"/>
        <v>7.0461642332686294</v>
      </c>
      <c r="AF132" s="60">
        <v>2024</v>
      </c>
      <c r="AG132" s="57">
        <v>141567.28896197616</v>
      </c>
    </row>
    <row r="133" spans="7:33" x14ac:dyDescent="0.3">
      <c r="G133" s="26" t="s">
        <v>73</v>
      </c>
      <c r="H133" s="45">
        <f>H132</f>
        <v>10000000</v>
      </c>
      <c r="I133" t="s">
        <v>18</v>
      </c>
      <c r="J133" s="66">
        <f>R119*AG135/SUM(AG124:AG133)</f>
        <v>0.334459441319369</v>
      </c>
      <c r="S133">
        <v>2025</v>
      </c>
      <c r="T133">
        <f>SUMIF($S$5:$S$118,$S133,T$5:T$118)</f>
        <v>3</v>
      </c>
      <c r="U133" s="30">
        <f>T133*T134</f>
        <v>3.283018867924528</v>
      </c>
      <c r="V133" s="30">
        <f t="shared" ref="V133:AC133" si="92">U133*U134</f>
        <v>3.5405105438401772</v>
      </c>
      <c r="W133" s="30">
        <f t="shared" si="92"/>
        <v>3.3929892711801699</v>
      </c>
      <c r="X133" s="30">
        <f>W133*W134</f>
        <v>3.3102334352977265</v>
      </c>
      <c r="Y133" s="30">
        <f t="shared" si="92"/>
        <v>3.4048115334490898</v>
      </c>
      <c r="Z133" s="30">
        <f t="shared" si="92"/>
        <v>3.3046700177594106</v>
      </c>
      <c r="AA133" s="30">
        <f t="shared" si="92"/>
        <v>3.3046700177594106</v>
      </c>
      <c r="AB133" s="30">
        <f t="shared" si="92"/>
        <v>3.3046700177594106</v>
      </c>
      <c r="AC133" s="30">
        <f t="shared" si="92"/>
        <v>3.3046700177594106</v>
      </c>
      <c r="AD133" s="30">
        <f t="shared" si="85"/>
        <v>3.3046700177594106</v>
      </c>
      <c r="AF133" s="60">
        <v>2025</v>
      </c>
      <c r="AG133" s="57">
        <v>144398.63474121568</v>
      </c>
    </row>
    <row r="134" spans="7:33" x14ac:dyDescent="0.3">
      <c r="H134" s="45"/>
      <c r="K134" s="68"/>
      <c r="S134" t="s">
        <v>32</v>
      </c>
      <c r="T134" s="29">
        <f>SUM(U124:U132)/SUM(T124:T132)</f>
        <v>1.0943396226415094</v>
      </c>
      <c r="U134" s="29">
        <f>SUM(V124:V131)/SUM(U124:U131)</f>
        <v>1.0784313725490196</v>
      </c>
      <c r="V134" s="29">
        <f>SUM(W124:W130)/SUM(V124:V130)</f>
        <v>0.95833333333333337</v>
      </c>
      <c r="W134" s="29">
        <f>SUM(X124:X129)/SUM(W124:W129)</f>
        <v>0.97560975609756095</v>
      </c>
      <c r="X134" s="29">
        <f>SUM(Y124:Y128)/SUM(X124:X128)</f>
        <v>1.0285714285714285</v>
      </c>
      <c r="Y134" s="29">
        <f>SUM(Z124:Z127)/SUM(Y124:Y127)</f>
        <v>0.97058823529411764</v>
      </c>
      <c r="Z134" s="29">
        <f>SUM(AA124:AA126)/SUM(Z124:Z126)</f>
        <v>1</v>
      </c>
      <c r="AA134" s="29">
        <f>SUM(AB124:AB125)/SUM(AA124:AA125)</f>
        <v>1</v>
      </c>
      <c r="AB134" s="29">
        <f>SUM(AC124)/SUM(AB124)</f>
        <v>1</v>
      </c>
      <c r="AC134" s="29">
        <f>1</f>
        <v>1</v>
      </c>
      <c r="AD134" s="30"/>
      <c r="AF134" s="60">
        <v>2026</v>
      </c>
      <c r="AG134" s="57">
        <v>145842.62108862784</v>
      </c>
    </row>
    <row r="135" spans="7:33" ht="15" thickBot="1" x14ac:dyDescent="0.35">
      <c r="AF135" s="61">
        <v>2027</v>
      </c>
      <c r="AG135" s="57">
        <v>148759.47351040039</v>
      </c>
    </row>
    <row r="136" spans="7:33" ht="15" thickBot="1" x14ac:dyDescent="0.35">
      <c r="G136" s="26"/>
      <c r="H136" s="45"/>
      <c r="J136" s="67"/>
    </row>
    <row r="137" spans="7:33" ht="15" thickBot="1" x14ac:dyDescent="0.35">
      <c r="S137" s="46" t="s">
        <v>51</v>
      </c>
      <c r="T137" s="62">
        <f>AG135*SUM(AD124:AD133)/SUM(AG124:AG133)</f>
        <v>6.8772858801713532</v>
      </c>
    </row>
    <row r="138" spans="7:33" x14ac:dyDescent="0.3">
      <c r="H138" s="45"/>
    </row>
    <row r="139" spans="7:33" x14ac:dyDescent="0.3">
      <c r="H139" s="30"/>
      <c r="L139" s="85"/>
    </row>
    <row r="140" spans="7:33" x14ac:dyDescent="0.3">
      <c r="H140" s="45"/>
      <c r="L140" s="85"/>
    </row>
    <row r="141" spans="7:33" x14ac:dyDescent="0.3">
      <c r="L141" s="85"/>
    </row>
    <row r="142" spans="7:33" x14ac:dyDescent="0.3">
      <c r="G142" s="26"/>
      <c r="K142" s="32"/>
      <c r="L142" s="84"/>
    </row>
  </sheetData>
  <mergeCells count="6">
    <mergeCell ref="L130:M130"/>
    <mergeCell ref="B3:C3"/>
    <mergeCell ref="Q2:S2"/>
    <mergeCell ref="Q3:R3"/>
    <mergeCell ref="G124:H124"/>
    <mergeCell ref="L124:M124"/>
  </mergeCells>
  <conditionalFormatting sqref="B11">
    <cfRule type="colorScale" priority="3">
      <colorScale>
        <cfvo type="min"/>
        <cfvo type="max"/>
        <color theme="1"/>
        <color rgb="FFFF0000"/>
      </colorScale>
    </cfRule>
  </conditionalFormatting>
  <conditionalFormatting sqref="E5:N118">
    <cfRule type="expression" dxfId="1" priority="1">
      <formula>E5&gt;2000000</formula>
    </cfRule>
    <cfRule type="expression" dxfId="0" priority="2">
      <formula>"&gt;2000000"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6C953-246D-42BF-B1A2-2A9CF5DA5508}">
  <dimension ref="B2:D5"/>
  <sheetViews>
    <sheetView workbookViewId="0">
      <selection activeCell="D5" sqref="D5"/>
    </sheetView>
  </sheetViews>
  <sheetFormatPr baseColWidth="10" defaultRowHeight="14.4" x14ac:dyDescent="0.3"/>
  <cols>
    <col min="2" max="2" width="17.6640625" bestFit="1" customWidth="1"/>
  </cols>
  <sheetData>
    <row r="2" spans="2:4" x14ac:dyDescent="0.3">
      <c r="B2" t="s">
        <v>151</v>
      </c>
      <c r="C2" t="s">
        <v>141</v>
      </c>
      <c r="D2" t="s">
        <v>142</v>
      </c>
    </row>
    <row r="3" spans="2:4" x14ac:dyDescent="0.3">
      <c r="B3" t="s">
        <v>55</v>
      </c>
      <c r="C3" s="84">
        <f>XL_Pure_Premium!M126</f>
        <v>4876588.1028934494</v>
      </c>
      <c r="D3" s="84">
        <f>XL_Pure_Premium!M132</f>
        <v>2519483.6165730446</v>
      </c>
    </row>
    <row r="4" spans="2:4" x14ac:dyDescent="0.3">
      <c r="B4" t="s">
        <v>150</v>
      </c>
      <c r="C4" s="86">
        <f>BC_with_index!Q132</f>
        <v>3449632.5590946199</v>
      </c>
      <c r="D4" s="86">
        <f>BC_with_index!R132</f>
        <v>2562707.5195927783</v>
      </c>
    </row>
    <row r="5" spans="2:4" x14ac:dyDescent="0.3">
      <c r="B5" t="s">
        <v>152</v>
      </c>
      <c r="C5" s="86">
        <f>BC_without_index!Q132</f>
        <v>2710659.039346091</v>
      </c>
      <c r="D5" s="86">
        <f>BC_without_index!R132</f>
        <v>2129445.5194967235</v>
      </c>
    </row>
  </sheetData>
  <phoneticPr fontId="1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08823-B287-488F-B7FF-288BEB04D597}">
  <dimension ref="A1:AV130"/>
  <sheetViews>
    <sheetView topLeftCell="AG105" workbookViewId="0">
      <selection activeCell="AL123" sqref="AL123"/>
    </sheetView>
  </sheetViews>
  <sheetFormatPr baseColWidth="10" defaultRowHeight="14.4" x14ac:dyDescent="0.3"/>
  <cols>
    <col min="3" max="3" width="16.77734375" bestFit="1" customWidth="1"/>
    <col min="19" max="19" width="17.77734375" bestFit="1" customWidth="1"/>
    <col min="20" max="20" width="11.77734375" bestFit="1" customWidth="1"/>
    <col min="37" max="37" width="22.88671875" bestFit="1" customWidth="1"/>
  </cols>
  <sheetData>
    <row r="1" spans="1:48" ht="15" thickBot="1" x14ac:dyDescent="0.35">
      <c r="A1" s="34" t="s">
        <v>76</v>
      </c>
    </row>
    <row r="2" spans="1:48" ht="15" thickBot="1" x14ac:dyDescent="0.35">
      <c r="P2" s="73" t="s">
        <v>79</v>
      </c>
      <c r="Q2" s="74">
        <v>6000000</v>
      </c>
      <c r="R2" s="74" t="s">
        <v>80</v>
      </c>
      <c r="S2" s="75">
        <v>4000000</v>
      </c>
      <c r="AH2" s="73" t="s">
        <v>79</v>
      </c>
      <c r="AI2" s="74">
        <v>20000000</v>
      </c>
      <c r="AJ2" s="74" t="s">
        <v>80</v>
      </c>
      <c r="AK2" s="75">
        <v>10000000</v>
      </c>
    </row>
    <row r="3" spans="1:48" x14ac:dyDescent="0.3">
      <c r="A3" s="87" t="s">
        <v>88</v>
      </c>
      <c r="B3" s="87"/>
      <c r="Q3" s="87" t="s">
        <v>81</v>
      </c>
      <c r="R3" s="87"/>
      <c r="AI3" s="87" t="s">
        <v>81</v>
      </c>
      <c r="AJ3" s="87"/>
    </row>
    <row r="4" spans="1:48" x14ac:dyDescent="0.3">
      <c r="C4" s="33" t="s">
        <v>0</v>
      </c>
      <c r="D4" s="33">
        <v>1</v>
      </c>
      <c r="E4" s="33">
        <v>2</v>
      </c>
      <c r="F4" s="33">
        <v>3</v>
      </c>
      <c r="G4" s="33">
        <v>4</v>
      </c>
      <c r="H4" s="33">
        <v>5</v>
      </c>
      <c r="I4" s="33">
        <v>6</v>
      </c>
      <c r="J4" s="33">
        <v>7</v>
      </c>
      <c r="K4" s="33">
        <v>8</v>
      </c>
      <c r="L4" s="33">
        <v>9</v>
      </c>
      <c r="M4" s="33">
        <v>10</v>
      </c>
      <c r="N4" s="33" t="s">
        <v>77</v>
      </c>
      <c r="S4" s="33" t="s">
        <v>0</v>
      </c>
      <c r="T4" s="33">
        <v>1</v>
      </c>
      <c r="U4" s="33">
        <v>2</v>
      </c>
      <c r="V4" s="33">
        <v>3</v>
      </c>
      <c r="W4" s="33">
        <v>4</v>
      </c>
      <c r="X4" s="33">
        <v>5</v>
      </c>
      <c r="Y4" s="33">
        <v>6</v>
      </c>
      <c r="Z4" s="33">
        <v>7</v>
      </c>
      <c r="AA4" s="33">
        <v>8</v>
      </c>
      <c r="AB4" s="33">
        <v>9</v>
      </c>
      <c r="AC4" s="33">
        <v>10</v>
      </c>
      <c r="AD4" s="33" t="s">
        <v>77</v>
      </c>
      <c r="AK4" s="33" t="s">
        <v>0</v>
      </c>
      <c r="AL4" s="33">
        <v>1</v>
      </c>
      <c r="AM4" s="33">
        <v>2</v>
      </c>
      <c r="AN4" s="33">
        <v>3</v>
      </c>
      <c r="AO4" s="33">
        <v>4</v>
      </c>
      <c r="AP4" s="33">
        <v>5</v>
      </c>
      <c r="AQ4" s="33">
        <v>6</v>
      </c>
      <c r="AR4" s="33">
        <v>7</v>
      </c>
      <c r="AS4" s="33">
        <v>8</v>
      </c>
      <c r="AT4" s="33">
        <v>9</v>
      </c>
      <c r="AU4" s="33">
        <v>10</v>
      </c>
      <c r="AV4" s="33" t="s">
        <v>77</v>
      </c>
    </row>
    <row r="5" spans="1:48" x14ac:dyDescent="0.3">
      <c r="C5">
        <f>Incurred_loss!R3</f>
        <v>2016</v>
      </c>
      <c r="D5" s="45">
        <f>'Cum. payments'!B124</f>
        <v>1726.7181039962932</v>
      </c>
      <c r="E5" s="45">
        <f>'Cum. payments'!C124</f>
        <v>285486.42318549292</v>
      </c>
      <c r="F5" s="45">
        <f>'Cum. payments'!D124</f>
        <v>286105.18920216523</v>
      </c>
      <c r="G5" s="45">
        <f>'Cum. payments'!E124</f>
        <v>310011.13515025016</v>
      </c>
      <c r="H5" s="45">
        <f>'Cum. payments'!F124</f>
        <v>655656.28306528169</v>
      </c>
      <c r="I5" s="45">
        <f>'Cum. payments'!G124</f>
        <v>655773.84047717764</v>
      </c>
      <c r="J5" s="45">
        <f>'Cum. payments'!H124</f>
        <v>714316.64463182027</v>
      </c>
      <c r="K5" s="45">
        <f>'Cum. payments'!I124</f>
        <v>719989.14672644075</v>
      </c>
      <c r="L5" s="45">
        <f>'Cum. payments'!J124</f>
        <v>740711.37841233658</v>
      </c>
      <c r="M5" s="45">
        <f>'Cum. payments'!K124</f>
        <v>740762.25827526569</v>
      </c>
      <c r="N5" s="48">
        <f>XL_Pure_Premium!$O5</f>
        <v>740866.17861120636</v>
      </c>
      <c r="S5">
        <f>$C5</f>
        <v>2016</v>
      </c>
      <c r="T5" s="45">
        <f>MIN(MAX(D5-$S$2,0),$Q$2)</f>
        <v>0</v>
      </c>
      <c r="U5" s="45">
        <f t="shared" ref="U5:AC5" si="0">MIN(MAX(E5-$S$2,0),$Q$2)</f>
        <v>0</v>
      </c>
      <c r="V5" s="45">
        <f t="shared" si="0"/>
        <v>0</v>
      </c>
      <c r="W5" s="45">
        <f t="shared" si="0"/>
        <v>0</v>
      </c>
      <c r="X5" s="45">
        <f t="shared" si="0"/>
        <v>0</v>
      </c>
      <c r="Y5" s="45">
        <f t="shared" si="0"/>
        <v>0</v>
      </c>
      <c r="Z5" s="45">
        <f t="shared" si="0"/>
        <v>0</v>
      </c>
      <c r="AA5" s="45">
        <f t="shared" si="0"/>
        <v>0</v>
      </c>
      <c r="AB5" s="45">
        <f t="shared" si="0"/>
        <v>0</v>
      </c>
      <c r="AC5" s="45">
        <f t="shared" si="0"/>
        <v>0</v>
      </c>
      <c r="AD5" s="45">
        <f>MIN(MAX(N5-$S$2,0),$Q$2)</f>
        <v>0</v>
      </c>
      <c r="AK5">
        <f>$C5</f>
        <v>2016</v>
      </c>
      <c r="AL5" s="45">
        <f>MIN(MAX(D5-$AK$2,0),$AI$2)</f>
        <v>0</v>
      </c>
      <c r="AM5" s="45">
        <f t="shared" ref="AM5:AU5" si="1">MIN(MAX(E5-$AK$2,0),$AI$2)</f>
        <v>0</v>
      </c>
      <c r="AN5" s="45">
        <f t="shared" si="1"/>
        <v>0</v>
      </c>
      <c r="AO5" s="45">
        <f t="shared" si="1"/>
        <v>0</v>
      </c>
      <c r="AP5" s="45">
        <f t="shared" si="1"/>
        <v>0</v>
      </c>
      <c r="AQ5" s="45">
        <f t="shared" si="1"/>
        <v>0</v>
      </c>
      <c r="AR5" s="45">
        <f t="shared" si="1"/>
        <v>0</v>
      </c>
      <c r="AS5" s="45">
        <f t="shared" si="1"/>
        <v>0</v>
      </c>
      <c r="AT5" s="45">
        <f t="shared" si="1"/>
        <v>0</v>
      </c>
      <c r="AU5" s="45">
        <f t="shared" si="1"/>
        <v>0</v>
      </c>
      <c r="AV5" s="45">
        <f>MIN(MAX($N5-$AK$2,0),$AI$2)</f>
        <v>0</v>
      </c>
    </row>
    <row r="6" spans="1:48" x14ac:dyDescent="0.3">
      <c r="C6">
        <f>Incurred_loss!R4</f>
        <v>2016</v>
      </c>
      <c r="D6" s="45">
        <f>'Cum. payments'!B125</f>
        <v>214208.03648627794</v>
      </c>
      <c r="E6" s="45">
        <f>'Cum. payments'!C125</f>
        <v>408180.34690505086</v>
      </c>
      <c r="F6" s="45">
        <f>'Cum. payments'!D125</f>
        <v>818784.2626691669</v>
      </c>
      <c r="G6" s="45">
        <f>'Cum. payments'!E125</f>
        <v>1295819.4120164779</v>
      </c>
      <c r="H6" s="45">
        <f>'Cum. payments'!F125</f>
        <v>1633378.927105489</v>
      </c>
      <c r="I6" s="45">
        <f>'Cum. payments'!G125</f>
        <v>1634047.7511735603</v>
      </c>
      <c r="J6" s="45">
        <f>'Cum. payments'!H125</f>
        <v>1695206.388305553</v>
      </c>
      <c r="K6" s="45">
        <f>'Cum. payments'!I125</f>
        <v>1715982.9411307394</v>
      </c>
      <c r="L6" s="45">
        <f>'Cum. payments'!J125</f>
        <v>1716589.5117279843</v>
      </c>
      <c r="M6" s="45">
        <f>'Cum. payments'!K125</f>
        <v>1716662.4510255686</v>
      </c>
      <c r="N6" s="48">
        <f>XL_Pure_Premium!$O6</f>
        <v>1716662.6172493265</v>
      </c>
      <c r="S6">
        <f t="shared" ref="S6:S69" si="2">$C6</f>
        <v>2016</v>
      </c>
      <c r="T6" s="45">
        <f t="shared" ref="T6:T19" si="3">MIN(MAX(D6-$S$2,0),$Q$2)</f>
        <v>0</v>
      </c>
      <c r="U6" s="45">
        <f t="shared" ref="U6:U19" si="4">MIN(MAX(E6-$S$2,0),$Q$2)</f>
        <v>0</v>
      </c>
      <c r="V6" s="45">
        <f t="shared" ref="V6:V19" si="5">MIN(MAX(F6-$S$2,0),$Q$2)</f>
        <v>0</v>
      </c>
      <c r="W6" s="45">
        <f t="shared" ref="W6:W19" si="6">MIN(MAX(G6-$S$2,0),$Q$2)</f>
        <v>0</v>
      </c>
      <c r="X6" s="45">
        <f t="shared" ref="X6:X19" si="7">MIN(MAX(H6-$S$2,0),$Q$2)</f>
        <v>0</v>
      </c>
      <c r="Y6" s="45">
        <f t="shared" ref="Y6:Y19" si="8">MIN(MAX(I6-$S$2,0),$Q$2)</f>
        <v>0</v>
      </c>
      <c r="Z6" s="45">
        <f t="shared" ref="Z6:Z19" si="9">MIN(MAX(J6-$S$2,0),$Q$2)</f>
        <v>0</v>
      </c>
      <c r="AA6" s="45">
        <f t="shared" ref="AA6:AA19" si="10">MIN(MAX(K6-$S$2,0),$Q$2)</f>
        <v>0</v>
      </c>
      <c r="AB6" s="45">
        <f t="shared" ref="AB6:AB19" si="11">MIN(MAX(L6-$S$2,0),$Q$2)</f>
        <v>0</v>
      </c>
      <c r="AC6" s="45">
        <f t="shared" ref="AC6:AC19" si="12">MIN(MAX(M6-$S$2,0),$Q$2)</f>
        <v>0</v>
      </c>
      <c r="AD6" s="45">
        <f t="shared" ref="AD6:AD69" si="13">MIN(MAX(N6-$S$2,0),$Q$2)</f>
        <v>0</v>
      </c>
      <c r="AK6">
        <f t="shared" ref="AK6:AK69" si="14">$C6</f>
        <v>2016</v>
      </c>
      <c r="AL6" s="45">
        <f t="shared" ref="AL6:AL19" si="15">MIN(MAX(D6-$AK$2,0),$AI$2)</f>
        <v>0</v>
      </c>
      <c r="AM6" s="45">
        <f t="shared" ref="AM6:AM19" si="16">MIN(MAX(E6-$AK$2,0),$AI$2)</f>
        <v>0</v>
      </c>
      <c r="AN6" s="45">
        <f t="shared" ref="AN6:AN19" si="17">MIN(MAX(F6-$AK$2,0),$AI$2)</f>
        <v>0</v>
      </c>
      <c r="AO6" s="45">
        <f t="shared" ref="AO6:AO19" si="18">MIN(MAX(G6-$AK$2,0),$AI$2)</f>
        <v>0</v>
      </c>
      <c r="AP6" s="45">
        <f t="shared" ref="AP6:AP19" si="19">MIN(MAX(H6-$AK$2,0),$AI$2)</f>
        <v>0</v>
      </c>
      <c r="AQ6" s="45">
        <f t="shared" ref="AQ6:AQ19" si="20">MIN(MAX(I6-$AK$2,0),$AI$2)</f>
        <v>0</v>
      </c>
      <c r="AR6" s="45">
        <f t="shared" ref="AR6:AR19" si="21">MIN(MAX(J6-$AK$2,0),$AI$2)</f>
        <v>0</v>
      </c>
      <c r="AS6" s="45">
        <f t="shared" ref="AS6:AS19" si="22">MIN(MAX(K6-$AK$2,0),$AI$2)</f>
        <v>0</v>
      </c>
      <c r="AT6" s="45">
        <f t="shared" ref="AT6:AT19" si="23">MIN(MAX(L6-$AK$2,0),$AI$2)</f>
        <v>0</v>
      </c>
      <c r="AU6" s="45">
        <f t="shared" ref="AU6:AU19" si="24">MIN(MAX(M6-$AK$2,0),$AI$2)</f>
        <v>0</v>
      </c>
      <c r="AV6" s="45">
        <f t="shared" ref="AV6:AV69" si="25">MIN(MAX($N6-$AK$2,0),$AI$2)</f>
        <v>0</v>
      </c>
    </row>
    <row r="7" spans="1:48" x14ac:dyDescent="0.3">
      <c r="C7">
        <f>Incurred_loss!R5</f>
        <v>2016</v>
      </c>
      <c r="D7" s="45">
        <f>'Cum. payments'!B126</f>
        <v>1438.5007798161876</v>
      </c>
      <c r="E7" s="45">
        <f>'Cum. payments'!C126</f>
        <v>35418.67550610051</v>
      </c>
      <c r="F7" s="45">
        <f>'Cum. payments'!D126</f>
        <v>71073.71687946716</v>
      </c>
      <c r="G7" s="45">
        <f>'Cum. payments'!E126</f>
        <v>864417.15853350563</v>
      </c>
      <c r="H7" s="45">
        <f>'Cum. payments'!F126</f>
        <v>879742.8373713902</v>
      </c>
      <c r="I7" s="45">
        <f>'Cum. payments'!G126</f>
        <v>887635.92258188385</v>
      </c>
      <c r="J7" s="45">
        <f>'Cum. payments'!H126</f>
        <v>887642.20165994321</v>
      </c>
      <c r="K7" s="45">
        <f>'Cum. payments'!I126</f>
        <v>903093.45574915467</v>
      </c>
      <c r="L7" s="45">
        <f>'Cum. payments'!J126</f>
        <v>912723.22730432206</v>
      </c>
      <c r="M7" s="45">
        <f>'Cum. payments'!K126</f>
        <v>917036.9555924451</v>
      </c>
      <c r="N7" s="48">
        <f>XL_Pure_Premium!$O7</f>
        <v>919761.49629254802</v>
      </c>
      <c r="S7">
        <f t="shared" si="2"/>
        <v>2016</v>
      </c>
      <c r="T7" s="45">
        <f t="shared" si="3"/>
        <v>0</v>
      </c>
      <c r="U7" s="45">
        <f t="shared" si="4"/>
        <v>0</v>
      </c>
      <c r="V7" s="45">
        <f t="shared" si="5"/>
        <v>0</v>
      </c>
      <c r="W7" s="45">
        <f t="shared" si="6"/>
        <v>0</v>
      </c>
      <c r="X7" s="45">
        <f t="shared" si="7"/>
        <v>0</v>
      </c>
      <c r="Y7" s="45">
        <f t="shared" si="8"/>
        <v>0</v>
      </c>
      <c r="Z7" s="45">
        <f t="shared" si="9"/>
        <v>0</v>
      </c>
      <c r="AA7" s="45">
        <f t="shared" si="10"/>
        <v>0</v>
      </c>
      <c r="AB7" s="45">
        <f t="shared" si="11"/>
        <v>0</v>
      </c>
      <c r="AC7" s="45">
        <f t="shared" si="12"/>
        <v>0</v>
      </c>
      <c r="AD7" s="45">
        <f t="shared" si="13"/>
        <v>0</v>
      </c>
      <c r="AK7">
        <f t="shared" si="14"/>
        <v>2016</v>
      </c>
      <c r="AL7" s="45">
        <f t="shared" si="15"/>
        <v>0</v>
      </c>
      <c r="AM7" s="45">
        <f t="shared" si="16"/>
        <v>0</v>
      </c>
      <c r="AN7" s="45">
        <f t="shared" si="17"/>
        <v>0</v>
      </c>
      <c r="AO7" s="45">
        <f t="shared" si="18"/>
        <v>0</v>
      </c>
      <c r="AP7" s="45">
        <f t="shared" si="19"/>
        <v>0</v>
      </c>
      <c r="AQ7" s="45">
        <f t="shared" si="20"/>
        <v>0</v>
      </c>
      <c r="AR7" s="45">
        <f t="shared" si="21"/>
        <v>0</v>
      </c>
      <c r="AS7" s="45">
        <f t="shared" si="22"/>
        <v>0</v>
      </c>
      <c r="AT7" s="45">
        <f t="shared" si="23"/>
        <v>0</v>
      </c>
      <c r="AU7" s="45">
        <f t="shared" si="24"/>
        <v>0</v>
      </c>
      <c r="AV7" s="45">
        <f t="shared" si="25"/>
        <v>0</v>
      </c>
    </row>
    <row r="8" spans="1:48" x14ac:dyDescent="0.3">
      <c r="C8">
        <f>Incurred_loss!R6</f>
        <v>2016</v>
      </c>
      <c r="D8" s="45">
        <f>'Cum. payments'!B127</f>
        <v>63564.432430362962</v>
      </c>
      <c r="E8" s="45">
        <f>'Cum. payments'!C127</f>
        <v>1292097.7186425279</v>
      </c>
      <c r="F8" s="45">
        <f>'Cum. payments'!D127</f>
        <v>3432674.6941577382</v>
      </c>
      <c r="G8" s="45">
        <f>'Cum. payments'!E127</f>
        <v>3687089.8753104997</v>
      </c>
      <c r="H8" s="45">
        <f>'Cum. payments'!F127</f>
        <v>3784606.9082612284</v>
      </c>
      <c r="I8" s="45">
        <f>'Cum. payments'!G127</f>
        <v>4008334.0687958142</v>
      </c>
      <c r="J8" s="45">
        <f>'Cum. payments'!H127</f>
        <v>4055685.8138263673</v>
      </c>
      <c r="K8" s="45">
        <f>'Cum. payments'!I127</f>
        <v>4058584.3179907706</v>
      </c>
      <c r="L8" s="45">
        <f>'Cum. payments'!J127</f>
        <v>4231654.680316478</v>
      </c>
      <c r="M8" s="45">
        <f>'Cum. payments'!K127</f>
        <v>4238721.5568052502</v>
      </c>
      <c r="N8" s="48">
        <f>XL_Pure_Premium!$O8</f>
        <v>4256661.0384554788</v>
      </c>
      <c r="S8">
        <f t="shared" si="2"/>
        <v>2016</v>
      </c>
      <c r="T8" s="45">
        <f t="shared" si="3"/>
        <v>0</v>
      </c>
      <c r="U8" s="45">
        <f t="shared" si="4"/>
        <v>0</v>
      </c>
      <c r="V8" s="45">
        <f t="shared" si="5"/>
        <v>0</v>
      </c>
      <c r="W8" s="45">
        <f t="shared" si="6"/>
        <v>0</v>
      </c>
      <c r="X8" s="45">
        <f t="shared" si="7"/>
        <v>0</v>
      </c>
      <c r="Y8" s="45">
        <f t="shared" si="8"/>
        <v>8334.0687958141789</v>
      </c>
      <c r="Z8" s="45">
        <f t="shared" si="9"/>
        <v>55685.813826367259</v>
      </c>
      <c r="AA8" s="45">
        <f t="shared" si="10"/>
        <v>58584.317990770563</v>
      </c>
      <c r="AB8" s="45">
        <f t="shared" si="11"/>
        <v>231654.68031647801</v>
      </c>
      <c r="AC8" s="45">
        <f t="shared" si="12"/>
        <v>238721.55680525023</v>
      </c>
      <c r="AD8" s="45">
        <f t="shared" si="13"/>
        <v>256661.03845547885</v>
      </c>
      <c r="AK8">
        <f t="shared" si="14"/>
        <v>2016</v>
      </c>
      <c r="AL8" s="45">
        <f t="shared" si="15"/>
        <v>0</v>
      </c>
      <c r="AM8" s="45">
        <f t="shared" si="16"/>
        <v>0</v>
      </c>
      <c r="AN8" s="45">
        <f t="shared" si="17"/>
        <v>0</v>
      </c>
      <c r="AO8" s="45">
        <f t="shared" si="18"/>
        <v>0</v>
      </c>
      <c r="AP8" s="45">
        <f t="shared" si="19"/>
        <v>0</v>
      </c>
      <c r="AQ8" s="45">
        <f t="shared" si="20"/>
        <v>0</v>
      </c>
      <c r="AR8" s="45">
        <f t="shared" si="21"/>
        <v>0</v>
      </c>
      <c r="AS8" s="45">
        <f t="shared" si="22"/>
        <v>0</v>
      </c>
      <c r="AT8" s="45">
        <f t="shared" si="23"/>
        <v>0</v>
      </c>
      <c r="AU8" s="45">
        <f t="shared" si="24"/>
        <v>0</v>
      </c>
      <c r="AV8" s="45">
        <f t="shared" si="25"/>
        <v>0</v>
      </c>
    </row>
    <row r="9" spans="1:48" x14ac:dyDescent="0.3">
      <c r="C9">
        <f>Incurred_loss!R7</f>
        <v>2016</v>
      </c>
      <c r="D9" s="45">
        <f>'Cum. payments'!B128</f>
        <v>50505.182501113275</v>
      </c>
      <c r="E9" s="45">
        <f>'Cum. payments'!C128</f>
        <v>70673.913624850393</v>
      </c>
      <c r="F9" s="45">
        <f>'Cum. payments'!D128</f>
        <v>653377.1722435595</v>
      </c>
      <c r="G9" s="45">
        <f>'Cum. payments'!E128</f>
        <v>662582.34655883943</v>
      </c>
      <c r="H9" s="45">
        <f>'Cum. payments'!F128</f>
        <v>685085.44056249096</v>
      </c>
      <c r="I9" s="45">
        <f>'Cum. payments'!G128</f>
        <v>1511757.6816906086</v>
      </c>
      <c r="J9" s="45">
        <f>'Cum. payments'!H128</f>
        <v>1521750.1864478106</v>
      </c>
      <c r="K9" s="45">
        <f>'Cum. payments'!I128</f>
        <v>1522256.8210255657</v>
      </c>
      <c r="L9" s="45">
        <f>'Cum. payments'!J128</f>
        <v>1523619.9481674675</v>
      </c>
      <c r="M9" s="45">
        <f>'Cum. payments'!K128</f>
        <v>1526276.5542783281</v>
      </c>
      <c r="N9" s="48">
        <f>XL_Pure_Premium!$O9</f>
        <v>1526276.5542783281</v>
      </c>
      <c r="S9">
        <f t="shared" si="2"/>
        <v>2016</v>
      </c>
      <c r="T9" s="45">
        <f t="shared" si="3"/>
        <v>0</v>
      </c>
      <c r="U9" s="45">
        <f t="shared" si="4"/>
        <v>0</v>
      </c>
      <c r="V9" s="45">
        <f t="shared" si="5"/>
        <v>0</v>
      </c>
      <c r="W9" s="45">
        <f t="shared" si="6"/>
        <v>0</v>
      </c>
      <c r="X9" s="45">
        <f t="shared" si="7"/>
        <v>0</v>
      </c>
      <c r="Y9" s="45">
        <f t="shared" si="8"/>
        <v>0</v>
      </c>
      <c r="Z9" s="45">
        <f t="shared" si="9"/>
        <v>0</v>
      </c>
      <c r="AA9" s="45">
        <f t="shared" si="10"/>
        <v>0</v>
      </c>
      <c r="AB9" s="45">
        <f t="shared" si="11"/>
        <v>0</v>
      </c>
      <c r="AC9" s="45">
        <f t="shared" si="12"/>
        <v>0</v>
      </c>
      <c r="AD9" s="45">
        <f t="shared" si="13"/>
        <v>0</v>
      </c>
      <c r="AK9">
        <f t="shared" si="14"/>
        <v>2016</v>
      </c>
      <c r="AL9" s="45">
        <f t="shared" si="15"/>
        <v>0</v>
      </c>
      <c r="AM9" s="45">
        <f t="shared" si="16"/>
        <v>0</v>
      </c>
      <c r="AN9" s="45">
        <f t="shared" si="17"/>
        <v>0</v>
      </c>
      <c r="AO9" s="45">
        <f t="shared" si="18"/>
        <v>0</v>
      </c>
      <c r="AP9" s="45">
        <f t="shared" si="19"/>
        <v>0</v>
      </c>
      <c r="AQ9" s="45">
        <f t="shared" si="20"/>
        <v>0</v>
      </c>
      <c r="AR9" s="45">
        <f t="shared" si="21"/>
        <v>0</v>
      </c>
      <c r="AS9" s="45">
        <f t="shared" si="22"/>
        <v>0</v>
      </c>
      <c r="AT9" s="45">
        <f t="shared" si="23"/>
        <v>0</v>
      </c>
      <c r="AU9" s="45">
        <f t="shared" si="24"/>
        <v>0</v>
      </c>
      <c r="AV9" s="45">
        <f t="shared" si="25"/>
        <v>0</v>
      </c>
    </row>
    <row r="10" spans="1:48" x14ac:dyDescent="0.3">
      <c r="C10">
        <f>Incurred_loss!R8</f>
        <v>2016</v>
      </c>
      <c r="D10" s="45">
        <f>'Cum. payments'!B129</f>
        <v>365355.75535303587</v>
      </c>
      <c r="E10" s="45">
        <f>'Cum. payments'!C129</f>
        <v>526689.5372867079</v>
      </c>
      <c r="F10" s="45">
        <f>'Cum. payments'!D129</f>
        <v>564034.94214833539</v>
      </c>
      <c r="G10" s="45">
        <f>'Cum. payments'!E129</f>
        <v>835735.31923590624</v>
      </c>
      <c r="H10" s="45">
        <f>'Cum. payments'!F129</f>
        <v>2987011.3370246999</v>
      </c>
      <c r="I10" s="45">
        <f>'Cum. payments'!G129</f>
        <v>3029903.6702499921</v>
      </c>
      <c r="J10" s="45">
        <f>'Cum. payments'!H129</f>
        <v>3031480.5614197119</v>
      </c>
      <c r="K10" s="45">
        <f>'Cum. payments'!I129</f>
        <v>3031504.8770173849</v>
      </c>
      <c r="L10" s="45">
        <f>'Cum. payments'!J129</f>
        <v>3031528.3989425306</v>
      </c>
      <c r="M10" s="45">
        <f>'Cum. payments'!K129</f>
        <v>3031528.4619387658</v>
      </c>
      <c r="N10" s="48">
        <f>XL_Pure_Premium!$O10</f>
        <v>3031531.6497195135</v>
      </c>
      <c r="S10">
        <f t="shared" si="2"/>
        <v>2016</v>
      </c>
      <c r="T10" s="45">
        <f t="shared" si="3"/>
        <v>0</v>
      </c>
      <c r="U10" s="45">
        <f t="shared" si="4"/>
        <v>0</v>
      </c>
      <c r="V10" s="45">
        <f t="shared" si="5"/>
        <v>0</v>
      </c>
      <c r="W10" s="45">
        <f t="shared" si="6"/>
        <v>0</v>
      </c>
      <c r="X10" s="45">
        <f t="shared" si="7"/>
        <v>0</v>
      </c>
      <c r="Y10" s="45">
        <f t="shared" si="8"/>
        <v>0</v>
      </c>
      <c r="Z10" s="45">
        <f t="shared" si="9"/>
        <v>0</v>
      </c>
      <c r="AA10" s="45">
        <f t="shared" si="10"/>
        <v>0</v>
      </c>
      <c r="AB10" s="45">
        <f t="shared" si="11"/>
        <v>0</v>
      </c>
      <c r="AC10" s="45">
        <f t="shared" si="12"/>
        <v>0</v>
      </c>
      <c r="AD10" s="45">
        <f t="shared" si="13"/>
        <v>0</v>
      </c>
      <c r="AK10">
        <f t="shared" si="14"/>
        <v>2016</v>
      </c>
      <c r="AL10" s="45">
        <f t="shared" si="15"/>
        <v>0</v>
      </c>
      <c r="AM10" s="45">
        <f t="shared" si="16"/>
        <v>0</v>
      </c>
      <c r="AN10" s="45">
        <f t="shared" si="17"/>
        <v>0</v>
      </c>
      <c r="AO10" s="45">
        <f t="shared" si="18"/>
        <v>0</v>
      </c>
      <c r="AP10" s="45">
        <f t="shared" si="19"/>
        <v>0</v>
      </c>
      <c r="AQ10" s="45">
        <f t="shared" si="20"/>
        <v>0</v>
      </c>
      <c r="AR10" s="45">
        <f t="shared" si="21"/>
        <v>0</v>
      </c>
      <c r="AS10" s="45">
        <f t="shared" si="22"/>
        <v>0</v>
      </c>
      <c r="AT10" s="45">
        <f t="shared" si="23"/>
        <v>0</v>
      </c>
      <c r="AU10" s="45">
        <f t="shared" si="24"/>
        <v>0</v>
      </c>
      <c r="AV10" s="45">
        <f t="shared" si="25"/>
        <v>0</v>
      </c>
    </row>
    <row r="11" spans="1:48" x14ac:dyDescent="0.3">
      <c r="C11">
        <f>Incurred_loss!R9</f>
        <v>2016</v>
      </c>
      <c r="D11" s="45">
        <f>'Cum. payments'!B130</f>
        <v>261626.34880820208</v>
      </c>
      <c r="E11" s="45">
        <f>'Cum. payments'!C130</f>
        <v>6874609.10972628</v>
      </c>
      <c r="F11" s="45">
        <f>'Cum. payments'!D130</f>
        <v>7065424.7156496858</v>
      </c>
      <c r="G11" s="45">
        <f>'Cum. payments'!E130</f>
        <v>10744710.664500857</v>
      </c>
      <c r="H11" s="45">
        <f>'Cum. payments'!F130</f>
        <v>11031140.707639238</v>
      </c>
      <c r="I11" s="45">
        <f>'Cum. payments'!G130</f>
        <v>11767427.814788308</v>
      </c>
      <c r="J11" s="45">
        <f>'Cum. payments'!H130</f>
        <v>12781502.636395864</v>
      </c>
      <c r="K11" s="45">
        <f>'Cum. payments'!I130</f>
        <v>12801894.392733807</v>
      </c>
      <c r="L11" s="45">
        <f>'Cum. payments'!J130</f>
        <v>12815153.62502083</v>
      </c>
      <c r="M11" s="45">
        <f>'Cum. payments'!K130</f>
        <v>12822197.619585168</v>
      </c>
      <c r="N11" s="48">
        <f>XL_Pure_Premium!$O11</f>
        <v>12824080.030413605</v>
      </c>
      <c r="S11">
        <f t="shared" si="2"/>
        <v>2016</v>
      </c>
      <c r="T11" s="45">
        <f t="shared" si="3"/>
        <v>0</v>
      </c>
      <c r="U11" s="45">
        <f t="shared" si="4"/>
        <v>2874609.10972628</v>
      </c>
      <c r="V11" s="45">
        <f t="shared" si="5"/>
        <v>3065424.7156496858</v>
      </c>
      <c r="W11" s="45">
        <f t="shared" si="6"/>
        <v>6000000</v>
      </c>
      <c r="X11" s="45">
        <f t="shared" si="7"/>
        <v>6000000</v>
      </c>
      <c r="Y11" s="45">
        <f t="shared" si="8"/>
        <v>6000000</v>
      </c>
      <c r="Z11" s="45">
        <f t="shared" si="9"/>
        <v>6000000</v>
      </c>
      <c r="AA11" s="45">
        <f t="shared" si="10"/>
        <v>6000000</v>
      </c>
      <c r="AB11" s="45">
        <f t="shared" si="11"/>
        <v>6000000</v>
      </c>
      <c r="AC11" s="45">
        <f t="shared" si="12"/>
        <v>6000000</v>
      </c>
      <c r="AD11" s="45">
        <f t="shared" si="13"/>
        <v>6000000</v>
      </c>
      <c r="AK11">
        <f t="shared" si="14"/>
        <v>2016</v>
      </c>
      <c r="AL11" s="45">
        <f t="shared" si="15"/>
        <v>0</v>
      </c>
      <c r="AM11" s="45">
        <f t="shared" si="16"/>
        <v>0</v>
      </c>
      <c r="AN11" s="45">
        <f t="shared" si="17"/>
        <v>0</v>
      </c>
      <c r="AO11" s="45">
        <f t="shared" si="18"/>
        <v>744710.66450085677</v>
      </c>
      <c r="AP11" s="45">
        <f t="shared" si="19"/>
        <v>1031140.7076392379</v>
      </c>
      <c r="AQ11" s="45">
        <f t="shared" si="20"/>
        <v>1767427.814788308</v>
      </c>
      <c r="AR11" s="45">
        <f t="shared" si="21"/>
        <v>2781502.6363958642</v>
      </c>
      <c r="AS11" s="45">
        <f t="shared" si="22"/>
        <v>2801894.3927338067</v>
      </c>
      <c r="AT11" s="45">
        <f t="shared" si="23"/>
        <v>2815153.62502083</v>
      </c>
      <c r="AU11" s="45">
        <f t="shared" si="24"/>
        <v>2822197.6195851676</v>
      </c>
      <c r="AV11" s="45">
        <f t="shared" si="25"/>
        <v>2824080.0304136053</v>
      </c>
    </row>
    <row r="12" spans="1:48" x14ac:dyDescent="0.3">
      <c r="C12">
        <f>Incurred_loss!R10</f>
        <v>2016</v>
      </c>
      <c r="D12" s="45">
        <f>'Cum. payments'!B131</f>
        <v>306531.4290529624</v>
      </c>
      <c r="E12" s="45">
        <f>'Cum. payments'!C131</f>
        <v>972413.6112862858</v>
      </c>
      <c r="F12" s="45">
        <f>'Cum. payments'!D131</f>
        <v>1016011.0780379361</v>
      </c>
      <c r="G12" s="45">
        <f>'Cum. payments'!E131</f>
        <v>1022659.3567438102</v>
      </c>
      <c r="H12" s="45">
        <f>'Cum. payments'!F131</f>
        <v>1104858.9789752404</v>
      </c>
      <c r="I12" s="45">
        <f>'Cum. payments'!G131</f>
        <v>1173112.5436437612</v>
      </c>
      <c r="J12" s="45">
        <f>'Cum. payments'!H131</f>
        <v>1174615.3723100645</v>
      </c>
      <c r="K12" s="45">
        <f>'Cum. payments'!I131</f>
        <v>1178904.3627655292</v>
      </c>
      <c r="L12" s="45">
        <f>'Cum. payments'!J131</f>
        <v>1179544.1503557402</v>
      </c>
      <c r="M12" s="45">
        <f>'Cum. payments'!K131</f>
        <v>1264766.3502600612</v>
      </c>
      <c r="N12" s="48">
        <f>XL_Pure_Premium!$O12</f>
        <v>1278829.8095996727</v>
      </c>
      <c r="S12">
        <f t="shared" si="2"/>
        <v>2016</v>
      </c>
      <c r="T12" s="45">
        <f t="shared" si="3"/>
        <v>0</v>
      </c>
      <c r="U12" s="45">
        <f t="shared" si="4"/>
        <v>0</v>
      </c>
      <c r="V12" s="45">
        <f t="shared" si="5"/>
        <v>0</v>
      </c>
      <c r="W12" s="45">
        <f t="shared" si="6"/>
        <v>0</v>
      </c>
      <c r="X12" s="45">
        <f t="shared" si="7"/>
        <v>0</v>
      </c>
      <c r="Y12" s="45">
        <f t="shared" si="8"/>
        <v>0</v>
      </c>
      <c r="Z12" s="45">
        <f t="shared" si="9"/>
        <v>0</v>
      </c>
      <c r="AA12" s="45">
        <f t="shared" si="10"/>
        <v>0</v>
      </c>
      <c r="AB12" s="45">
        <f t="shared" si="11"/>
        <v>0</v>
      </c>
      <c r="AC12" s="45">
        <f t="shared" si="12"/>
        <v>0</v>
      </c>
      <c r="AD12" s="45">
        <f t="shared" si="13"/>
        <v>0</v>
      </c>
      <c r="AK12">
        <f t="shared" si="14"/>
        <v>2016</v>
      </c>
      <c r="AL12" s="45">
        <f t="shared" si="15"/>
        <v>0</v>
      </c>
      <c r="AM12" s="45">
        <f t="shared" si="16"/>
        <v>0</v>
      </c>
      <c r="AN12" s="45">
        <f t="shared" si="17"/>
        <v>0</v>
      </c>
      <c r="AO12" s="45">
        <f t="shared" si="18"/>
        <v>0</v>
      </c>
      <c r="AP12" s="45">
        <f t="shared" si="19"/>
        <v>0</v>
      </c>
      <c r="AQ12" s="45">
        <f t="shared" si="20"/>
        <v>0</v>
      </c>
      <c r="AR12" s="45">
        <f t="shared" si="21"/>
        <v>0</v>
      </c>
      <c r="AS12" s="45">
        <f t="shared" si="22"/>
        <v>0</v>
      </c>
      <c r="AT12" s="45">
        <f t="shared" si="23"/>
        <v>0</v>
      </c>
      <c r="AU12" s="45">
        <f t="shared" si="24"/>
        <v>0</v>
      </c>
      <c r="AV12" s="45">
        <f t="shared" si="25"/>
        <v>0</v>
      </c>
    </row>
    <row r="13" spans="1:48" x14ac:dyDescent="0.3">
      <c r="C13">
        <f>Incurred_loss!R11</f>
        <v>2016</v>
      </c>
      <c r="D13" s="45">
        <f>'Cum. payments'!B132</f>
        <v>1130.9489057999997</v>
      </c>
      <c r="E13" s="45">
        <f>'Cum. payments'!C132</f>
        <v>346192.4548463049</v>
      </c>
      <c r="F13" s="45">
        <f>'Cum. payments'!D132</f>
        <v>396807.00624823669</v>
      </c>
      <c r="G13" s="45">
        <f>'Cum. payments'!E132</f>
        <v>662414.10700633936</v>
      </c>
      <c r="H13" s="45">
        <f>'Cum. payments'!F132</f>
        <v>961892.38599183678</v>
      </c>
      <c r="I13" s="45">
        <f>'Cum. payments'!G132</f>
        <v>961904.38568224316</v>
      </c>
      <c r="J13" s="45">
        <f>'Cum. payments'!H132</f>
        <v>965841.21793213324</v>
      </c>
      <c r="K13" s="45">
        <f>'Cum. payments'!I132</f>
        <v>966514.08455134637</v>
      </c>
      <c r="L13" s="45">
        <f>'Cum. payments'!J132</f>
        <v>966546.38539875171</v>
      </c>
      <c r="M13" s="45">
        <f>'Cum. payments'!K132</f>
        <v>966548.02122047276</v>
      </c>
      <c r="N13" s="48">
        <f>XL_Pure_Premium!$O13</f>
        <v>966548.49518426345</v>
      </c>
      <c r="S13">
        <f t="shared" si="2"/>
        <v>2016</v>
      </c>
      <c r="T13" s="45">
        <f t="shared" si="3"/>
        <v>0</v>
      </c>
      <c r="U13" s="45">
        <f t="shared" si="4"/>
        <v>0</v>
      </c>
      <c r="V13" s="45">
        <f t="shared" si="5"/>
        <v>0</v>
      </c>
      <c r="W13" s="45">
        <f t="shared" si="6"/>
        <v>0</v>
      </c>
      <c r="X13" s="45">
        <f t="shared" si="7"/>
        <v>0</v>
      </c>
      <c r="Y13" s="45">
        <f t="shared" si="8"/>
        <v>0</v>
      </c>
      <c r="Z13" s="45">
        <f t="shared" si="9"/>
        <v>0</v>
      </c>
      <c r="AA13" s="45">
        <f t="shared" si="10"/>
        <v>0</v>
      </c>
      <c r="AB13" s="45">
        <f t="shared" si="11"/>
        <v>0</v>
      </c>
      <c r="AC13" s="45">
        <f t="shared" si="12"/>
        <v>0</v>
      </c>
      <c r="AD13" s="45">
        <f t="shared" si="13"/>
        <v>0</v>
      </c>
      <c r="AK13">
        <f t="shared" si="14"/>
        <v>2016</v>
      </c>
      <c r="AL13" s="45">
        <f t="shared" si="15"/>
        <v>0</v>
      </c>
      <c r="AM13" s="45">
        <f t="shared" si="16"/>
        <v>0</v>
      </c>
      <c r="AN13" s="45">
        <f t="shared" si="17"/>
        <v>0</v>
      </c>
      <c r="AO13" s="45">
        <f t="shared" si="18"/>
        <v>0</v>
      </c>
      <c r="AP13" s="45">
        <f t="shared" si="19"/>
        <v>0</v>
      </c>
      <c r="AQ13" s="45">
        <f t="shared" si="20"/>
        <v>0</v>
      </c>
      <c r="AR13" s="45">
        <f t="shared" si="21"/>
        <v>0</v>
      </c>
      <c r="AS13" s="45">
        <f t="shared" si="22"/>
        <v>0</v>
      </c>
      <c r="AT13" s="45">
        <f t="shared" si="23"/>
        <v>0</v>
      </c>
      <c r="AU13" s="45">
        <f t="shared" si="24"/>
        <v>0</v>
      </c>
      <c r="AV13" s="45">
        <f t="shared" si="25"/>
        <v>0</v>
      </c>
    </row>
    <row r="14" spans="1:48" x14ac:dyDescent="0.3">
      <c r="C14">
        <f>Incurred_loss!R12</f>
        <v>2016</v>
      </c>
      <c r="D14" s="45">
        <f>'Cum. payments'!B133</f>
        <v>1199022.2811230018</v>
      </c>
      <c r="E14" s="45">
        <f>'Cum. payments'!C133</f>
        <v>1205260.6045393646</v>
      </c>
      <c r="F14" s="45">
        <f>'Cum. payments'!D133</f>
        <v>1844612.1816921406</v>
      </c>
      <c r="G14" s="45">
        <f>'Cum. payments'!E133</f>
        <v>1863793.5284404003</v>
      </c>
      <c r="H14" s="45">
        <f>'Cum. payments'!F133</f>
        <v>3414487.4430430094</v>
      </c>
      <c r="I14" s="45">
        <f>'Cum. payments'!G133</f>
        <v>3644651.6124627884</v>
      </c>
      <c r="J14" s="45">
        <f>'Cum. payments'!H133</f>
        <v>3671349.486831015</v>
      </c>
      <c r="K14" s="45">
        <f>'Cum. payments'!I133</f>
        <v>3690422.0126254903</v>
      </c>
      <c r="L14" s="45">
        <f>'Cum. payments'!J133</f>
        <v>3692723.6809277968</v>
      </c>
      <c r="M14" s="45">
        <f>'Cum. payments'!K133</f>
        <v>3692731.9942140603</v>
      </c>
      <c r="N14" s="48">
        <f>XL_Pure_Premium!$O14</f>
        <v>3692910.5232293434</v>
      </c>
      <c r="S14">
        <f t="shared" si="2"/>
        <v>2016</v>
      </c>
      <c r="T14" s="45">
        <f t="shared" si="3"/>
        <v>0</v>
      </c>
      <c r="U14" s="45">
        <f t="shared" si="4"/>
        <v>0</v>
      </c>
      <c r="V14" s="45">
        <f t="shared" si="5"/>
        <v>0</v>
      </c>
      <c r="W14" s="45">
        <f t="shared" si="6"/>
        <v>0</v>
      </c>
      <c r="X14" s="45">
        <f t="shared" si="7"/>
        <v>0</v>
      </c>
      <c r="Y14" s="45">
        <f t="shared" si="8"/>
        <v>0</v>
      </c>
      <c r="Z14" s="45">
        <f t="shared" si="9"/>
        <v>0</v>
      </c>
      <c r="AA14" s="45">
        <f t="shared" si="10"/>
        <v>0</v>
      </c>
      <c r="AB14" s="45">
        <f t="shared" si="11"/>
        <v>0</v>
      </c>
      <c r="AC14" s="45">
        <f t="shared" si="12"/>
        <v>0</v>
      </c>
      <c r="AD14" s="45">
        <f t="shared" si="13"/>
        <v>0</v>
      </c>
      <c r="AK14">
        <f t="shared" si="14"/>
        <v>2016</v>
      </c>
      <c r="AL14" s="45">
        <f t="shared" si="15"/>
        <v>0</v>
      </c>
      <c r="AM14" s="45">
        <f t="shared" si="16"/>
        <v>0</v>
      </c>
      <c r="AN14" s="45">
        <f t="shared" si="17"/>
        <v>0</v>
      </c>
      <c r="AO14" s="45">
        <f t="shared" si="18"/>
        <v>0</v>
      </c>
      <c r="AP14" s="45">
        <f t="shared" si="19"/>
        <v>0</v>
      </c>
      <c r="AQ14" s="45">
        <f t="shared" si="20"/>
        <v>0</v>
      </c>
      <c r="AR14" s="45">
        <f t="shared" si="21"/>
        <v>0</v>
      </c>
      <c r="AS14" s="45">
        <f t="shared" si="22"/>
        <v>0</v>
      </c>
      <c r="AT14" s="45">
        <f t="shared" si="23"/>
        <v>0</v>
      </c>
      <c r="AU14" s="45">
        <f t="shared" si="24"/>
        <v>0</v>
      </c>
      <c r="AV14" s="45">
        <f t="shared" si="25"/>
        <v>0</v>
      </c>
    </row>
    <row r="15" spans="1:48" x14ac:dyDescent="0.3">
      <c r="C15">
        <f>Incurred_loss!R13</f>
        <v>2016</v>
      </c>
      <c r="D15" s="45">
        <f>'Cum. payments'!B134</f>
        <v>35514.14576649919</v>
      </c>
      <c r="E15" s="45">
        <f>'Cum. payments'!C134</f>
        <v>358499.43507123145</v>
      </c>
      <c r="F15" s="45">
        <f>'Cum. payments'!D134</f>
        <v>3039000.7064789901</v>
      </c>
      <c r="G15" s="45">
        <f>'Cum. payments'!E134</f>
        <v>3088947.5649135029</v>
      </c>
      <c r="H15" s="45">
        <f>'Cum. payments'!F134</f>
        <v>3431430.1944038295</v>
      </c>
      <c r="I15" s="45">
        <f>'Cum. payments'!G134</f>
        <v>3442465.3161816625</v>
      </c>
      <c r="J15" s="45">
        <f>'Cum. payments'!H134</f>
        <v>3457285.1580805667</v>
      </c>
      <c r="K15" s="45">
        <f>'Cum. payments'!I134</f>
        <v>3457285.2508988064</v>
      </c>
      <c r="L15" s="45">
        <f>'Cum. payments'!J134</f>
        <v>3457632.2464670879</v>
      </c>
      <c r="M15" s="45">
        <f>'Cum. payments'!K134</f>
        <v>3457633.4070184338</v>
      </c>
      <c r="N15" s="48">
        <f>XL_Pure_Premium!$O15</f>
        <v>3457634.50361215</v>
      </c>
      <c r="S15">
        <f t="shared" si="2"/>
        <v>2016</v>
      </c>
      <c r="T15" s="45">
        <f t="shared" si="3"/>
        <v>0</v>
      </c>
      <c r="U15" s="45">
        <f t="shared" si="4"/>
        <v>0</v>
      </c>
      <c r="V15" s="45">
        <f t="shared" si="5"/>
        <v>0</v>
      </c>
      <c r="W15" s="45">
        <f t="shared" si="6"/>
        <v>0</v>
      </c>
      <c r="X15" s="45">
        <f t="shared" si="7"/>
        <v>0</v>
      </c>
      <c r="Y15" s="45">
        <f t="shared" si="8"/>
        <v>0</v>
      </c>
      <c r="Z15" s="45">
        <f t="shared" si="9"/>
        <v>0</v>
      </c>
      <c r="AA15" s="45">
        <f t="shared" si="10"/>
        <v>0</v>
      </c>
      <c r="AB15" s="45">
        <f t="shared" si="11"/>
        <v>0</v>
      </c>
      <c r="AC15" s="45">
        <f t="shared" si="12"/>
        <v>0</v>
      </c>
      <c r="AD15" s="45">
        <f t="shared" si="13"/>
        <v>0</v>
      </c>
      <c r="AK15">
        <f t="shared" si="14"/>
        <v>2016</v>
      </c>
      <c r="AL15" s="45">
        <f t="shared" si="15"/>
        <v>0</v>
      </c>
      <c r="AM15" s="45">
        <f t="shared" si="16"/>
        <v>0</v>
      </c>
      <c r="AN15" s="45">
        <f t="shared" si="17"/>
        <v>0</v>
      </c>
      <c r="AO15" s="45">
        <f t="shared" si="18"/>
        <v>0</v>
      </c>
      <c r="AP15" s="45">
        <f t="shared" si="19"/>
        <v>0</v>
      </c>
      <c r="AQ15" s="45">
        <f t="shared" si="20"/>
        <v>0</v>
      </c>
      <c r="AR15" s="45">
        <f t="shared" si="21"/>
        <v>0</v>
      </c>
      <c r="AS15" s="45">
        <f t="shared" si="22"/>
        <v>0</v>
      </c>
      <c r="AT15" s="45">
        <f t="shared" si="23"/>
        <v>0</v>
      </c>
      <c r="AU15" s="45">
        <f t="shared" si="24"/>
        <v>0</v>
      </c>
      <c r="AV15" s="45">
        <f t="shared" si="25"/>
        <v>0</v>
      </c>
    </row>
    <row r="16" spans="1:48" x14ac:dyDescent="0.3">
      <c r="C16">
        <f>Incurred_loss!R14</f>
        <v>2016</v>
      </c>
      <c r="D16" s="45">
        <f>'Cum. payments'!B135</f>
        <v>8383.9103839311338</v>
      </c>
      <c r="E16" s="45">
        <f>'Cum. payments'!C135</f>
        <v>575168.53376337141</v>
      </c>
      <c r="F16" s="45">
        <f>'Cum. payments'!D135</f>
        <v>591291.34941636678</v>
      </c>
      <c r="G16" s="45">
        <f>'Cum. payments'!E135</f>
        <v>1774436.3128038836</v>
      </c>
      <c r="H16" s="45">
        <f>'Cum. payments'!F135</f>
        <v>1873372.8379627112</v>
      </c>
      <c r="I16" s="45">
        <f>'Cum. payments'!G135</f>
        <v>1887033.906798264</v>
      </c>
      <c r="J16" s="45">
        <f>'Cum. payments'!H135</f>
        <v>1887036.3369508621</v>
      </c>
      <c r="K16" s="45">
        <f>'Cum. payments'!I135</f>
        <v>1887037.1992200688</v>
      </c>
      <c r="L16" s="45">
        <f>'Cum. payments'!J135</f>
        <v>1887039.4353618654</v>
      </c>
      <c r="M16" s="45">
        <f>'Cum. payments'!K135</f>
        <v>1887040.3040331653</v>
      </c>
      <c r="N16" s="48">
        <f>XL_Pure_Premium!$O16</f>
        <v>1887040.6005906588</v>
      </c>
      <c r="S16">
        <f t="shared" si="2"/>
        <v>2016</v>
      </c>
      <c r="T16" s="45">
        <f t="shared" si="3"/>
        <v>0</v>
      </c>
      <c r="U16" s="45">
        <f t="shared" si="4"/>
        <v>0</v>
      </c>
      <c r="V16" s="45">
        <f t="shared" si="5"/>
        <v>0</v>
      </c>
      <c r="W16" s="45">
        <f t="shared" si="6"/>
        <v>0</v>
      </c>
      <c r="X16" s="45">
        <f t="shared" si="7"/>
        <v>0</v>
      </c>
      <c r="Y16" s="45">
        <f t="shared" si="8"/>
        <v>0</v>
      </c>
      <c r="Z16" s="45">
        <f t="shared" si="9"/>
        <v>0</v>
      </c>
      <c r="AA16" s="45">
        <f t="shared" si="10"/>
        <v>0</v>
      </c>
      <c r="AB16" s="45">
        <f t="shared" si="11"/>
        <v>0</v>
      </c>
      <c r="AC16" s="45">
        <f t="shared" si="12"/>
        <v>0</v>
      </c>
      <c r="AD16" s="45">
        <f t="shared" si="13"/>
        <v>0</v>
      </c>
      <c r="AK16">
        <f t="shared" si="14"/>
        <v>2016</v>
      </c>
      <c r="AL16" s="45">
        <f t="shared" si="15"/>
        <v>0</v>
      </c>
      <c r="AM16" s="45">
        <f t="shared" si="16"/>
        <v>0</v>
      </c>
      <c r="AN16" s="45">
        <f t="shared" si="17"/>
        <v>0</v>
      </c>
      <c r="AO16" s="45">
        <f t="shared" si="18"/>
        <v>0</v>
      </c>
      <c r="AP16" s="45">
        <f t="shared" si="19"/>
        <v>0</v>
      </c>
      <c r="AQ16" s="45">
        <f t="shared" si="20"/>
        <v>0</v>
      </c>
      <c r="AR16" s="45">
        <f t="shared" si="21"/>
        <v>0</v>
      </c>
      <c r="AS16" s="45">
        <f t="shared" si="22"/>
        <v>0</v>
      </c>
      <c r="AT16" s="45">
        <f t="shared" si="23"/>
        <v>0</v>
      </c>
      <c r="AU16" s="45">
        <f t="shared" si="24"/>
        <v>0</v>
      </c>
      <c r="AV16" s="45">
        <f t="shared" si="25"/>
        <v>0</v>
      </c>
    </row>
    <row r="17" spans="3:48" x14ac:dyDescent="0.3">
      <c r="C17">
        <f>Incurred_loss!R15</f>
        <v>2016</v>
      </c>
      <c r="D17" s="45">
        <f>'Cum. payments'!B136</f>
        <v>77897.509538109007</v>
      </c>
      <c r="E17" s="45">
        <f>'Cum. payments'!C136</f>
        <v>93985.273428232176</v>
      </c>
      <c r="F17" s="45">
        <f>'Cum. payments'!D136</f>
        <v>1244385.8207938967</v>
      </c>
      <c r="G17" s="45">
        <f>'Cum. payments'!E136</f>
        <v>1323881.0503070611</v>
      </c>
      <c r="H17" s="45">
        <f>'Cum. payments'!F136</f>
        <v>1323982.7460142772</v>
      </c>
      <c r="I17" s="45">
        <f>'Cum. payments'!G136</f>
        <v>1327514.6035196518</v>
      </c>
      <c r="J17" s="45">
        <f>'Cum. payments'!H136</f>
        <v>1328088.6057507989</v>
      </c>
      <c r="K17" s="45">
        <f>'Cum. payments'!I136</f>
        <v>1328119.6269758318</v>
      </c>
      <c r="L17" s="45">
        <f>'Cum. payments'!J136</f>
        <v>1328148.9146219164</v>
      </c>
      <c r="M17" s="45">
        <f>'Cum. payments'!K136</f>
        <v>1328197.2139352183</v>
      </c>
      <c r="N17" s="48">
        <f>XL_Pure_Premium!$O17</f>
        <v>1328197.2139352183</v>
      </c>
      <c r="S17">
        <f t="shared" si="2"/>
        <v>2016</v>
      </c>
      <c r="T17" s="45">
        <f t="shared" si="3"/>
        <v>0</v>
      </c>
      <c r="U17" s="45">
        <f t="shared" si="4"/>
        <v>0</v>
      </c>
      <c r="V17" s="45">
        <f t="shared" si="5"/>
        <v>0</v>
      </c>
      <c r="W17" s="45">
        <f t="shared" si="6"/>
        <v>0</v>
      </c>
      <c r="X17" s="45">
        <f t="shared" si="7"/>
        <v>0</v>
      </c>
      <c r="Y17" s="45">
        <f t="shared" si="8"/>
        <v>0</v>
      </c>
      <c r="Z17" s="45">
        <f t="shared" si="9"/>
        <v>0</v>
      </c>
      <c r="AA17" s="45">
        <f t="shared" si="10"/>
        <v>0</v>
      </c>
      <c r="AB17" s="45">
        <f t="shared" si="11"/>
        <v>0</v>
      </c>
      <c r="AC17" s="45">
        <f t="shared" si="12"/>
        <v>0</v>
      </c>
      <c r="AD17" s="45">
        <f t="shared" si="13"/>
        <v>0</v>
      </c>
      <c r="AK17">
        <f t="shared" si="14"/>
        <v>2016</v>
      </c>
      <c r="AL17" s="45">
        <f t="shared" si="15"/>
        <v>0</v>
      </c>
      <c r="AM17" s="45">
        <f t="shared" si="16"/>
        <v>0</v>
      </c>
      <c r="AN17" s="45">
        <f t="shared" si="17"/>
        <v>0</v>
      </c>
      <c r="AO17" s="45">
        <f t="shared" si="18"/>
        <v>0</v>
      </c>
      <c r="AP17" s="45">
        <f t="shared" si="19"/>
        <v>0</v>
      </c>
      <c r="AQ17" s="45">
        <f t="shared" si="20"/>
        <v>0</v>
      </c>
      <c r="AR17" s="45">
        <f t="shared" si="21"/>
        <v>0</v>
      </c>
      <c r="AS17" s="45">
        <f t="shared" si="22"/>
        <v>0</v>
      </c>
      <c r="AT17" s="45">
        <f t="shared" si="23"/>
        <v>0</v>
      </c>
      <c r="AU17" s="45">
        <f t="shared" si="24"/>
        <v>0</v>
      </c>
      <c r="AV17" s="45">
        <f t="shared" si="25"/>
        <v>0</v>
      </c>
    </row>
    <row r="18" spans="3:48" x14ac:dyDescent="0.3">
      <c r="C18">
        <f>Incurred_loss!R16</f>
        <v>2016</v>
      </c>
      <c r="D18" s="45">
        <f>'Cum. payments'!B137</f>
        <v>2057898.1930741186</v>
      </c>
      <c r="E18" s="45">
        <f>'Cum. payments'!C137</f>
        <v>2072811.2434166507</v>
      </c>
      <c r="F18" s="45">
        <f>'Cum. payments'!D137</f>
        <v>2077224.3555852638</v>
      </c>
      <c r="G18" s="45">
        <f>'Cum. payments'!E137</f>
        <v>2228368.916436146</v>
      </c>
      <c r="H18" s="45">
        <f>'Cum. payments'!F137</f>
        <v>2850774.8811284173</v>
      </c>
      <c r="I18" s="45">
        <f>'Cum. payments'!G137</f>
        <v>3596309.1203157669</v>
      </c>
      <c r="J18" s="45">
        <f>'Cum. payments'!H137</f>
        <v>3670249.2230686089</v>
      </c>
      <c r="K18" s="45">
        <f>'Cum. payments'!I137</f>
        <v>3757554.6428337814</v>
      </c>
      <c r="L18" s="45">
        <f>'Cum. payments'!J137</f>
        <v>3760020.7747130315</v>
      </c>
      <c r="M18" s="45">
        <f>'Cum. payments'!K137</f>
        <v>3760047.0722310725</v>
      </c>
      <c r="N18" s="48">
        <f>XL_Pure_Premium!$O18</f>
        <v>3778771.7111949939</v>
      </c>
      <c r="S18">
        <f t="shared" si="2"/>
        <v>2016</v>
      </c>
      <c r="T18" s="45">
        <f t="shared" si="3"/>
        <v>0</v>
      </c>
      <c r="U18" s="45">
        <f t="shared" si="4"/>
        <v>0</v>
      </c>
      <c r="V18" s="45">
        <f t="shared" si="5"/>
        <v>0</v>
      </c>
      <c r="W18" s="45">
        <f t="shared" si="6"/>
        <v>0</v>
      </c>
      <c r="X18" s="45">
        <f t="shared" si="7"/>
        <v>0</v>
      </c>
      <c r="Y18" s="45">
        <f t="shared" si="8"/>
        <v>0</v>
      </c>
      <c r="Z18" s="45">
        <f t="shared" si="9"/>
        <v>0</v>
      </c>
      <c r="AA18" s="45">
        <f t="shared" si="10"/>
        <v>0</v>
      </c>
      <c r="AB18" s="45">
        <f t="shared" si="11"/>
        <v>0</v>
      </c>
      <c r="AC18" s="45">
        <f t="shared" si="12"/>
        <v>0</v>
      </c>
      <c r="AD18" s="45">
        <f t="shared" si="13"/>
        <v>0</v>
      </c>
      <c r="AK18">
        <f t="shared" si="14"/>
        <v>2016</v>
      </c>
      <c r="AL18" s="45">
        <f t="shared" si="15"/>
        <v>0</v>
      </c>
      <c r="AM18" s="45">
        <f t="shared" si="16"/>
        <v>0</v>
      </c>
      <c r="AN18" s="45">
        <f t="shared" si="17"/>
        <v>0</v>
      </c>
      <c r="AO18" s="45">
        <f t="shared" si="18"/>
        <v>0</v>
      </c>
      <c r="AP18" s="45">
        <f t="shared" si="19"/>
        <v>0</v>
      </c>
      <c r="AQ18" s="45">
        <f t="shared" si="20"/>
        <v>0</v>
      </c>
      <c r="AR18" s="45">
        <f t="shared" si="21"/>
        <v>0</v>
      </c>
      <c r="AS18" s="45">
        <f t="shared" si="22"/>
        <v>0</v>
      </c>
      <c r="AT18" s="45">
        <f t="shared" si="23"/>
        <v>0</v>
      </c>
      <c r="AU18" s="45">
        <f t="shared" si="24"/>
        <v>0</v>
      </c>
      <c r="AV18" s="45">
        <f t="shared" si="25"/>
        <v>0</v>
      </c>
    </row>
    <row r="19" spans="3:48" x14ac:dyDescent="0.3">
      <c r="C19">
        <f>Incurred_loss!R17</f>
        <v>2016</v>
      </c>
      <c r="D19" s="45">
        <f>'Cum. payments'!B138</f>
        <v>656005.71316448739</v>
      </c>
      <c r="E19" s="45">
        <f>'Cum. payments'!C138</f>
        <v>1349496.6797428573</v>
      </c>
      <c r="F19" s="45">
        <f>'Cum. payments'!D138</f>
        <v>1357942.5005600809</v>
      </c>
      <c r="G19" s="45">
        <f>'Cum. payments'!E138</f>
        <v>1414792.6005547724</v>
      </c>
      <c r="H19" s="45">
        <f>'Cum. payments'!F138</f>
        <v>1664604.8285536263</v>
      </c>
      <c r="I19" s="45">
        <f>'Cum. payments'!G138</f>
        <v>1867149.4472551367</v>
      </c>
      <c r="J19" s="45">
        <f>'Cum. payments'!H138</f>
        <v>2109387.480660656</v>
      </c>
      <c r="K19" s="45">
        <f>'Cum. payments'!I138</f>
        <v>2321499.7416039594</v>
      </c>
      <c r="L19" s="45">
        <f>'Cum. payments'!J138</f>
        <v>3648484.8129568286</v>
      </c>
      <c r="M19" s="45">
        <f>'Cum. payments'!K138</f>
        <v>3662608.134464283</v>
      </c>
      <c r="N19" s="48">
        <f>XL_Pure_Premium!$O19</f>
        <v>3807225.1692698291</v>
      </c>
      <c r="S19">
        <f t="shared" si="2"/>
        <v>2016</v>
      </c>
      <c r="T19" s="45">
        <f t="shared" si="3"/>
        <v>0</v>
      </c>
      <c r="U19" s="45">
        <f t="shared" si="4"/>
        <v>0</v>
      </c>
      <c r="V19" s="45">
        <f t="shared" si="5"/>
        <v>0</v>
      </c>
      <c r="W19" s="45">
        <f t="shared" si="6"/>
        <v>0</v>
      </c>
      <c r="X19" s="45">
        <f t="shared" si="7"/>
        <v>0</v>
      </c>
      <c r="Y19" s="45">
        <f t="shared" si="8"/>
        <v>0</v>
      </c>
      <c r="Z19" s="45">
        <f t="shared" si="9"/>
        <v>0</v>
      </c>
      <c r="AA19" s="45">
        <f t="shared" si="10"/>
        <v>0</v>
      </c>
      <c r="AB19" s="45">
        <f t="shared" si="11"/>
        <v>0</v>
      </c>
      <c r="AC19" s="45">
        <f t="shared" si="12"/>
        <v>0</v>
      </c>
      <c r="AD19" s="45">
        <f t="shared" si="13"/>
        <v>0</v>
      </c>
      <c r="AK19">
        <f t="shared" si="14"/>
        <v>2016</v>
      </c>
      <c r="AL19" s="45">
        <f t="shared" si="15"/>
        <v>0</v>
      </c>
      <c r="AM19" s="45">
        <f t="shared" si="16"/>
        <v>0</v>
      </c>
      <c r="AN19" s="45">
        <f t="shared" si="17"/>
        <v>0</v>
      </c>
      <c r="AO19" s="45">
        <f t="shared" si="18"/>
        <v>0</v>
      </c>
      <c r="AP19" s="45">
        <f t="shared" si="19"/>
        <v>0</v>
      </c>
      <c r="AQ19" s="45">
        <f t="shared" si="20"/>
        <v>0</v>
      </c>
      <c r="AR19" s="45">
        <f t="shared" si="21"/>
        <v>0</v>
      </c>
      <c r="AS19" s="45">
        <f t="shared" si="22"/>
        <v>0</v>
      </c>
      <c r="AT19" s="45">
        <f t="shared" si="23"/>
        <v>0</v>
      </c>
      <c r="AU19" s="45">
        <f t="shared" si="24"/>
        <v>0</v>
      </c>
      <c r="AV19" s="45">
        <f t="shared" si="25"/>
        <v>0</v>
      </c>
    </row>
    <row r="20" spans="3:48" x14ac:dyDescent="0.3">
      <c r="C20">
        <f>Incurred_loss!R18</f>
        <v>2017</v>
      </c>
      <c r="D20" s="45">
        <f>'Cum. payments'!B139</f>
        <v>914807.40307194053</v>
      </c>
      <c r="E20" s="45">
        <f>'Cum. payments'!C139</f>
        <v>937334.9057779595</v>
      </c>
      <c r="F20" s="45">
        <f>'Cum. payments'!D139</f>
        <v>3052431.7548686019</v>
      </c>
      <c r="G20" s="45">
        <f>'Cum. payments'!E139</f>
        <v>3513867.4641207294</v>
      </c>
      <c r="H20" s="45">
        <f>'Cum. payments'!F139</f>
        <v>3892597.3334542937</v>
      </c>
      <c r="I20" s="45">
        <f>'Cum. payments'!G139</f>
        <v>4548034.8802460507</v>
      </c>
      <c r="J20" s="45">
        <f>'Cum. payments'!H139</f>
        <v>4549943.975828697</v>
      </c>
      <c r="K20" s="45">
        <f>'Cum. payments'!I139</f>
        <v>4550469.7223048788</v>
      </c>
      <c r="L20" s="45">
        <f>'Cum. payments'!J139</f>
        <v>4550480.1611919608</v>
      </c>
      <c r="N20" s="48">
        <f>XL_Pure_Premium!$O20</f>
        <v>4554760.2497885451</v>
      </c>
      <c r="S20">
        <f t="shared" si="2"/>
        <v>2017</v>
      </c>
      <c r="T20" s="45">
        <f t="shared" ref="T20:T32" si="26">MIN(MAX(D20-$S$2,0),$Q$2)</f>
        <v>0</v>
      </c>
      <c r="U20" s="45">
        <f t="shared" ref="U20:U32" si="27">MIN(MAX(E20-$S$2,0),$Q$2)</f>
        <v>0</v>
      </c>
      <c r="V20" s="45">
        <f t="shared" ref="V20:V32" si="28">MIN(MAX(F20-$S$2,0),$Q$2)</f>
        <v>0</v>
      </c>
      <c r="W20" s="45">
        <f t="shared" ref="W20:W32" si="29">MIN(MAX(G20-$S$2,0),$Q$2)</f>
        <v>0</v>
      </c>
      <c r="X20" s="45">
        <f t="shared" ref="X20:X32" si="30">MIN(MAX(H20-$S$2,0),$Q$2)</f>
        <v>0</v>
      </c>
      <c r="Y20" s="45">
        <f t="shared" ref="Y20:Y32" si="31">MIN(MAX(I20-$S$2,0),$Q$2)</f>
        <v>548034.88024605066</v>
      </c>
      <c r="Z20" s="45">
        <f t="shared" ref="Z20:Z32" si="32">MIN(MAX(J20-$S$2,0),$Q$2)</f>
        <v>549943.97582869697</v>
      </c>
      <c r="AA20" s="45">
        <f t="shared" ref="AA20:AA32" si="33">MIN(MAX(K20-$S$2,0),$Q$2)</f>
        <v>550469.72230487876</v>
      </c>
      <c r="AB20" s="45">
        <f t="shared" ref="AB20:AB32" si="34">MIN(MAX(L20-$S$2,0),$Q$2)</f>
        <v>550480.1611919608</v>
      </c>
      <c r="AD20" s="45">
        <f t="shared" si="13"/>
        <v>554760.24978854507</v>
      </c>
      <c r="AK20">
        <f t="shared" si="14"/>
        <v>2017</v>
      </c>
      <c r="AL20" s="45">
        <f t="shared" ref="AL20:AL32" si="35">MIN(MAX(D20-$AK$2,0),$AI$2)</f>
        <v>0</v>
      </c>
      <c r="AM20" s="45">
        <f t="shared" ref="AM20:AM32" si="36">MIN(MAX(E20-$AK$2,0),$AI$2)</f>
        <v>0</v>
      </c>
      <c r="AN20" s="45">
        <f t="shared" ref="AN20:AN32" si="37">MIN(MAX(F20-$AK$2,0),$AI$2)</f>
        <v>0</v>
      </c>
      <c r="AO20" s="45">
        <f t="shared" ref="AO20:AO32" si="38">MIN(MAX(G20-$AK$2,0),$AI$2)</f>
        <v>0</v>
      </c>
      <c r="AP20" s="45">
        <f t="shared" ref="AP20:AP32" si="39">MIN(MAX(H20-$AK$2,0),$AI$2)</f>
        <v>0</v>
      </c>
      <c r="AQ20" s="45">
        <f t="shared" ref="AQ20:AQ32" si="40">MIN(MAX(I20-$AK$2,0),$AI$2)</f>
        <v>0</v>
      </c>
      <c r="AR20" s="45">
        <f t="shared" ref="AR20:AR32" si="41">MIN(MAX(J20-$AK$2,0),$AI$2)</f>
        <v>0</v>
      </c>
      <c r="AS20" s="45">
        <f t="shared" ref="AS20:AS32" si="42">MIN(MAX(K20-$AK$2,0),$AI$2)</f>
        <v>0</v>
      </c>
      <c r="AT20" s="45">
        <f t="shared" ref="AT20:AT32" si="43">MIN(MAX(L20-$AK$2,0),$AI$2)</f>
        <v>0</v>
      </c>
      <c r="AV20" s="45">
        <f t="shared" si="25"/>
        <v>0</v>
      </c>
    </row>
    <row r="21" spans="3:48" x14ac:dyDescent="0.3">
      <c r="C21">
        <f>Incurred_loss!R19</f>
        <v>2017</v>
      </c>
      <c r="D21" s="45">
        <f>'Cum. payments'!B140</f>
        <v>460910.57213902124</v>
      </c>
      <c r="E21" s="45">
        <f>'Cum. payments'!C140</f>
        <v>502290.80920194212</v>
      </c>
      <c r="F21" s="45">
        <f>'Cum. payments'!D140</f>
        <v>512771.45388144749</v>
      </c>
      <c r="G21" s="45">
        <f>'Cum. payments'!E140</f>
        <v>1894954.659540395</v>
      </c>
      <c r="H21" s="45">
        <f>'Cum. payments'!F140</f>
        <v>1898756.4557388835</v>
      </c>
      <c r="I21" s="45">
        <f>'Cum. payments'!G140</f>
        <v>1921545.4922175165</v>
      </c>
      <c r="J21" s="45">
        <f>'Cum. payments'!H140</f>
        <v>1924796.8543690403</v>
      </c>
      <c r="K21" s="45">
        <f>'Cum. payments'!I140</f>
        <v>1948811.4269695489</v>
      </c>
      <c r="L21" s="45">
        <f>'Cum. payments'!J140</f>
        <v>1986910.1147827115</v>
      </c>
      <c r="N21" s="48">
        <f>XL_Pure_Premium!$O21</f>
        <v>2118591.0909190089</v>
      </c>
      <c r="S21">
        <f t="shared" si="2"/>
        <v>2017</v>
      </c>
      <c r="T21" s="45">
        <f t="shared" si="26"/>
        <v>0</v>
      </c>
      <c r="U21" s="45">
        <f t="shared" si="27"/>
        <v>0</v>
      </c>
      <c r="V21" s="45">
        <f t="shared" si="28"/>
        <v>0</v>
      </c>
      <c r="W21" s="45">
        <f t="shared" si="29"/>
        <v>0</v>
      </c>
      <c r="X21" s="45">
        <f t="shared" si="30"/>
        <v>0</v>
      </c>
      <c r="Y21" s="45">
        <f t="shared" si="31"/>
        <v>0</v>
      </c>
      <c r="Z21" s="45">
        <f t="shared" si="32"/>
        <v>0</v>
      </c>
      <c r="AA21" s="45">
        <f t="shared" si="33"/>
        <v>0</v>
      </c>
      <c r="AB21" s="45">
        <f t="shared" si="34"/>
        <v>0</v>
      </c>
      <c r="AD21" s="45">
        <f t="shared" si="13"/>
        <v>0</v>
      </c>
      <c r="AK21">
        <f t="shared" si="14"/>
        <v>2017</v>
      </c>
      <c r="AL21" s="45">
        <f t="shared" si="35"/>
        <v>0</v>
      </c>
      <c r="AM21" s="45">
        <f t="shared" si="36"/>
        <v>0</v>
      </c>
      <c r="AN21" s="45">
        <f t="shared" si="37"/>
        <v>0</v>
      </c>
      <c r="AO21" s="45">
        <f t="shared" si="38"/>
        <v>0</v>
      </c>
      <c r="AP21" s="45">
        <f t="shared" si="39"/>
        <v>0</v>
      </c>
      <c r="AQ21" s="45">
        <f t="shared" si="40"/>
        <v>0</v>
      </c>
      <c r="AR21" s="45">
        <f t="shared" si="41"/>
        <v>0</v>
      </c>
      <c r="AS21" s="45">
        <f t="shared" si="42"/>
        <v>0</v>
      </c>
      <c r="AT21" s="45">
        <f t="shared" si="43"/>
        <v>0</v>
      </c>
      <c r="AV21" s="45">
        <f t="shared" si="25"/>
        <v>0</v>
      </c>
    </row>
    <row r="22" spans="3:48" x14ac:dyDescent="0.3">
      <c r="C22">
        <f>Incurred_loss!R20</f>
        <v>2017</v>
      </c>
      <c r="D22" s="45">
        <f>'Cum. payments'!B141</f>
        <v>142859.2629253417</v>
      </c>
      <c r="E22" s="45">
        <f>'Cum. payments'!C141</f>
        <v>1314746.6703044351</v>
      </c>
      <c r="F22" s="45">
        <f>'Cum. payments'!D141</f>
        <v>1983080.1603138647</v>
      </c>
      <c r="G22" s="45">
        <f>'Cum. payments'!E141</f>
        <v>2102046.0120793781</v>
      </c>
      <c r="H22" s="45">
        <f>'Cum. payments'!F141</f>
        <v>2102326.931080034</v>
      </c>
      <c r="I22" s="45">
        <f>'Cum. payments'!G141</f>
        <v>2638813.0731119188</v>
      </c>
      <c r="J22" s="45">
        <f>'Cum. payments'!H141</f>
        <v>2643411.27684878</v>
      </c>
      <c r="K22" s="45">
        <f>'Cum. payments'!I141</f>
        <v>2816223.8039392186</v>
      </c>
      <c r="L22" s="45">
        <f>'Cum. payments'!J141</f>
        <v>2822550.6431119731</v>
      </c>
      <c r="N22" s="48">
        <f>XL_Pure_Premium!$O22</f>
        <v>3147983.3311646944</v>
      </c>
      <c r="S22">
        <f t="shared" si="2"/>
        <v>2017</v>
      </c>
      <c r="T22" s="45">
        <f t="shared" si="26"/>
        <v>0</v>
      </c>
      <c r="U22" s="45">
        <f t="shared" si="27"/>
        <v>0</v>
      </c>
      <c r="V22" s="45">
        <f t="shared" si="28"/>
        <v>0</v>
      </c>
      <c r="W22" s="45">
        <f t="shared" si="29"/>
        <v>0</v>
      </c>
      <c r="X22" s="45">
        <f t="shared" si="30"/>
        <v>0</v>
      </c>
      <c r="Y22" s="45">
        <f t="shared" si="31"/>
        <v>0</v>
      </c>
      <c r="Z22" s="45">
        <f t="shared" si="32"/>
        <v>0</v>
      </c>
      <c r="AA22" s="45">
        <f t="shared" si="33"/>
        <v>0</v>
      </c>
      <c r="AB22" s="45">
        <f t="shared" si="34"/>
        <v>0</v>
      </c>
      <c r="AD22" s="45">
        <f t="shared" si="13"/>
        <v>0</v>
      </c>
      <c r="AK22">
        <f t="shared" si="14"/>
        <v>2017</v>
      </c>
      <c r="AL22" s="45">
        <f t="shared" si="35"/>
        <v>0</v>
      </c>
      <c r="AM22" s="45">
        <f t="shared" si="36"/>
        <v>0</v>
      </c>
      <c r="AN22" s="45">
        <f t="shared" si="37"/>
        <v>0</v>
      </c>
      <c r="AO22" s="45">
        <f t="shared" si="38"/>
        <v>0</v>
      </c>
      <c r="AP22" s="45">
        <f t="shared" si="39"/>
        <v>0</v>
      </c>
      <c r="AQ22" s="45">
        <f t="shared" si="40"/>
        <v>0</v>
      </c>
      <c r="AR22" s="45">
        <f t="shared" si="41"/>
        <v>0</v>
      </c>
      <c r="AS22" s="45">
        <f t="shared" si="42"/>
        <v>0</v>
      </c>
      <c r="AT22" s="45">
        <f t="shared" si="43"/>
        <v>0</v>
      </c>
      <c r="AV22" s="45">
        <f t="shared" si="25"/>
        <v>0</v>
      </c>
    </row>
    <row r="23" spans="3:48" x14ac:dyDescent="0.3">
      <c r="C23">
        <f>Incurred_loss!R21</f>
        <v>2017</v>
      </c>
      <c r="D23" s="45">
        <f>'Cum. payments'!B142</f>
        <v>56283.595784063167</v>
      </c>
      <c r="E23" s="45">
        <f>'Cum. payments'!C142</f>
        <v>328923.51491796062</v>
      </c>
      <c r="F23" s="45">
        <f>'Cum. payments'!D142</f>
        <v>770060.52551080147</v>
      </c>
      <c r="G23" s="45">
        <f>'Cum. payments'!E142</f>
        <v>1157908.8229878978</v>
      </c>
      <c r="H23" s="45">
        <f>'Cum. payments'!F142</f>
        <v>1960746.7921862202</v>
      </c>
      <c r="I23" s="45">
        <f>'Cum. payments'!G142</f>
        <v>1960746.9652922743</v>
      </c>
      <c r="J23" s="45">
        <f>'Cum. payments'!H142</f>
        <v>1960747.0776972556</v>
      </c>
      <c r="K23" s="45">
        <f>'Cum. payments'!I142</f>
        <v>1960747.0782425886</v>
      </c>
      <c r="L23" s="45">
        <f>'Cum. payments'!J142</f>
        <v>1960747.0783189468</v>
      </c>
      <c r="N23" s="48">
        <f>XL_Pure_Premium!$O23</f>
        <v>1960747.0783730501</v>
      </c>
      <c r="S23">
        <f t="shared" si="2"/>
        <v>2017</v>
      </c>
      <c r="T23" s="45">
        <f t="shared" si="26"/>
        <v>0</v>
      </c>
      <c r="U23" s="45">
        <f t="shared" si="27"/>
        <v>0</v>
      </c>
      <c r="V23" s="45">
        <f t="shared" si="28"/>
        <v>0</v>
      </c>
      <c r="W23" s="45">
        <f t="shared" si="29"/>
        <v>0</v>
      </c>
      <c r="X23" s="45">
        <f t="shared" si="30"/>
        <v>0</v>
      </c>
      <c r="Y23" s="45">
        <f t="shared" si="31"/>
        <v>0</v>
      </c>
      <c r="Z23" s="45">
        <f t="shared" si="32"/>
        <v>0</v>
      </c>
      <c r="AA23" s="45">
        <f t="shared" si="33"/>
        <v>0</v>
      </c>
      <c r="AB23" s="45">
        <f t="shared" si="34"/>
        <v>0</v>
      </c>
      <c r="AD23" s="45">
        <f t="shared" si="13"/>
        <v>0</v>
      </c>
      <c r="AK23">
        <f t="shared" si="14"/>
        <v>2017</v>
      </c>
      <c r="AL23" s="45">
        <f t="shared" si="35"/>
        <v>0</v>
      </c>
      <c r="AM23" s="45">
        <f t="shared" si="36"/>
        <v>0</v>
      </c>
      <c r="AN23" s="45">
        <f t="shared" si="37"/>
        <v>0</v>
      </c>
      <c r="AO23" s="45">
        <f t="shared" si="38"/>
        <v>0</v>
      </c>
      <c r="AP23" s="45">
        <f t="shared" si="39"/>
        <v>0</v>
      </c>
      <c r="AQ23" s="45">
        <f t="shared" si="40"/>
        <v>0</v>
      </c>
      <c r="AR23" s="45">
        <f t="shared" si="41"/>
        <v>0</v>
      </c>
      <c r="AS23" s="45">
        <f t="shared" si="42"/>
        <v>0</v>
      </c>
      <c r="AT23" s="45">
        <f t="shared" si="43"/>
        <v>0</v>
      </c>
      <c r="AV23" s="45">
        <f t="shared" si="25"/>
        <v>0</v>
      </c>
    </row>
    <row r="24" spans="3:48" x14ac:dyDescent="0.3">
      <c r="C24">
        <f>Incurred_loss!R22</f>
        <v>2017</v>
      </c>
      <c r="D24" s="45">
        <f>'Cum. payments'!B143</f>
        <v>156297.17973751607</v>
      </c>
      <c r="E24" s="45">
        <f>'Cum. payments'!C143</f>
        <v>2420355.7582880668</v>
      </c>
      <c r="F24" s="45">
        <f>'Cum. payments'!D143</f>
        <v>2570176.8538731649</v>
      </c>
      <c r="G24" s="45">
        <f>'Cum. payments'!E143</f>
        <v>3934534.389789951</v>
      </c>
      <c r="H24" s="45">
        <f>'Cum. payments'!F143</f>
        <v>4028476.0061029806</v>
      </c>
      <c r="I24" s="45">
        <f>'Cum. payments'!G143</f>
        <v>4028674.4876655615</v>
      </c>
      <c r="J24" s="45">
        <f>'Cum. payments'!H143</f>
        <v>4059887.467418164</v>
      </c>
      <c r="K24" s="45">
        <f>'Cum. payments'!I143</f>
        <v>4064329.9617357394</v>
      </c>
      <c r="L24" s="45">
        <f>'Cum. payments'!J143</f>
        <v>4065230.9815606154</v>
      </c>
      <c r="N24" s="48">
        <f>XL_Pure_Premium!$O24</f>
        <v>4100753.9297875995</v>
      </c>
      <c r="S24">
        <f t="shared" si="2"/>
        <v>2017</v>
      </c>
      <c r="T24" s="45">
        <f t="shared" si="26"/>
        <v>0</v>
      </c>
      <c r="U24" s="45">
        <f t="shared" si="27"/>
        <v>0</v>
      </c>
      <c r="V24" s="45">
        <f t="shared" si="28"/>
        <v>0</v>
      </c>
      <c r="W24" s="45">
        <f t="shared" si="29"/>
        <v>0</v>
      </c>
      <c r="X24" s="45">
        <f t="shared" si="30"/>
        <v>28476.00610298058</v>
      </c>
      <c r="Y24" s="45">
        <f t="shared" si="31"/>
        <v>28674.487665561493</v>
      </c>
      <c r="Z24" s="45">
        <f t="shared" si="32"/>
        <v>59887.467418164015</v>
      </c>
      <c r="AA24" s="45">
        <f t="shared" si="33"/>
        <v>64329.961735739373</v>
      </c>
      <c r="AB24" s="45">
        <f t="shared" si="34"/>
        <v>65230.981560615357</v>
      </c>
      <c r="AD24" s="45">
        <f t="shared" si="13"/>
        <v>100753.92978759948</v>
      </c>
      <c r="AK24">
        <f t="shared" si="14"/>
        <v>2017</v>
      </c>
      <c r="AL24" s="45">
        <f t="shared" si="35"/>
        <v>0</v>
      </c>
      <c r="AM24" s="45">
        <f t="shared" si="36"/>
        <v>0</v>
      </c>
      <c r="AN24" s="45">
        <f t="shared" si="37"/>
        <v>0</v>
      </c>
      <c r="AO24" s="45">
        <f t="shared" si="38"/>
        <v>0</v>
      </c>
      <c r="AP24" s="45">
        <f t="shared" si="39"/>
        <v>0</v>
      </c>
      <c r="AQ24" s="45">
        <f t="shared" si="40"/>
        <v>0</v>
      </c>
      <c r="AR24" s="45">
        <f t="shared" si="41"/>
        <v>0</v>
      </c>
      <c r="AS24" s="45">
        <f t="shared" si="42"/>
        <v>0</v>
      </c>
      <c r="AT24" s="45">
        <f t="shared" si="43"/>
        <v>0</v>
      </c>
      <c r="AV24" s="45">
        <f t="shared" si="25"/>
        <v>0</v>
      </c>
    </row>
    <row r="25" spans="3:48" x14ac:dyDescent="0.3">
      <c r="C25">
        <f>Incurred_loss!R23</f>
        <v>2017</v>
      </c>
      <c r="D25" s="45">
        <f>'Cum. payments'!B144</f>
        <v>298559.8753934977</v>
      </c>
      <c r="E25" s="45">
        <f>'Cum. payments'!C144</f>
        <v>385790.98083082313</v>
      </c>
      <c r="F25" s="45">
        <f>'Cum. payments'!D144</f>
        <v>776338.82110288134</v>
      </c>
      <c r="G25" s="45">
        <f>'Cum. payments'!E144</f>
        <v>916656.27080480347</v>
      </c>
      <c r="H25" s="45">
        <f>'Cum. payments'!F144</f>
        <v>1648836.60430732</v>
      </c>
      <c r="I25" s="45">
        <f>'Cum. payments'!G144</f>
        <v>1649120.2340697788</v>
      </c>
      <c r="J25" s="45">
        <f>'Cum. payments'!H144</f>
        <v>1655057.4409772558</v>
      </c>
      <c r="K25" s="45">
        <f>'Cum. payments'!I144</f>
        <v>1655969.4361612315</v>
      </c>
      <c r="L25" s="45">
        <f>'Cum. payments'!J144</f>
        <v>1659147.7848088506</v>
      </c>
      <c r="N25" s="48">
        <f>XL_Pure_Premium!$O25</f>
        <v>1659147.7848088506</v>
      </c>
      <c r="S25">
        <f t="shared" si="2"/>
        <v>2017</v>
      </c>
      <c r="T25" s="45">
        <f t="shared" si="26"/>
        <v>0</v>
      </c>
      <c r="U25" s="45">
        <f t="shared" si="27"/>
        <v>0</v>
      </c>
      <c r="V25" s="45">
        <f t="shared" si="28"/>
        <v>0</v>
      </c>
      <c r="W25" s="45">
        <f t="shared" si="29"/>
        <v>0</v>
      </c>
      <c r="X25" s="45">
        <f t="shared" si="30"/>
        <v>0</v>
      </c>
      <c r="Y25" s="45">
        <f t="shared" si="31"/>
        <v>0</v>
      </c>
      <c r="Z25" s="45">
        <f t="shared" si="32"/>
        <v>0</v>
      </c>
      <c r="AA25" s="45">
        <f t="shared" si="33"/>
        <v>0</v>
      </c>
      <c r="AB25" s="45">
        <f t="shared" si="34"/>
        <v>0</v>
      </c>
      <c r="AD25" s="45">
        <f t="shared" si="13"/>
        <v>0</v>
      </c>
      <c r="AK25">
        <f t="shared" si="14"/>
        <v>2017</v>
      </c>
      <c r="AL25" s="45">
        <f t="shared" si="35"/>
        <v>0</v>
      </c>
      <c r="AM25" s="45">
        <f t="shared" si="36"/>
        <v>0</v>
      </c>
      <c r="AN25" s="45">
        <f t="shared" si="37"/>
        <v>0</v>
      </c>
      <c r="AO25" s="45">
        <f t="shared" si="38"/>
        <v>0</v>
      </c>
      <c r="AP25" s="45">
        <f t="shared" si="39"/>
        <v>0</v>
      </c>
      <c r="AQ25" s="45">
        <f t="shared" si="40"/>
        <v>0</v>
      </c>
      <c r="AR25" s="45">
        <f t="shared" si="41"/>
        <v>0</v>
      </c>
      <c r="AS25" s="45">
        <f t="shared" si="42"/>
        <v>0</v>
      </c>
      <c r="AT25" s="45">
        <f t="shared" si="43"/>
        <v>0</v>
      </c>
      <c r="AV25" s="45">
        <f t="shared" si="25"/>
        <v>0</v>
      </c>
    </row>
    <row r="26" spans="3:48" x14ac:dyDescent="0.3">
      <c r="C26">
        <f>Incurred_loss!R24</f>
        <v>2017</v>
      </c>
      <c r="D26" s="45">
        <f>'Cum. payments'!B145</f>
        <v>1637949.9050740201</v>
      </c>
      <c r="E26" s="45">
        <f>'Cum. payments'!C145</f>
        <v>1808447.9029392123</v>
      </c>
      <c r="F26" s="45">
        <f>'Cum. payments'!D145</f>
        <v>3196997.5047708103</v>
      </c>
      <c r="G26" s="45">
        <f>'Cum. payments'!E145</f>
        <v>3360409.3604299338</v>
      </c>
      <c r="H26" s="45">
        <f>'Cum. payments'!F145</f>
        <v>5902084.4827130791</v>
      </c>
      <c r="I26" s="45">
        <f>'Cum. payments'!G145</f>
        <v>6025014.0646145456</v>
      </c>
      <c r="J26" s="45">
        <f>'Cum. payments'!H145</f>
        <v>6026042.0788342906</v>
      </c>
      <c r="K26" s="45">
        <f>'Cum. payments'!I145</f>
        <v>6026055.3173176041</v>
      </c>
      <c r="L26" s="45">
        <f>'Cum. payments'!J145</f>
        <v>6026235.6913787564</v>
      </c>
      <c r="N26" s="48">
        <f>XL_Pure_Premium!$O26</f>
        <v>6026242.8946571602</v>
      </c>
      <c r="S26">
        <f t="shared" si="2"/>
        <v>2017</v>
      </c>
      <c r="T26" s="45">
        <f t="shared" si="26"/>
        <v>0</v>
      </c>
      <c r="U26" s="45">
        <f t="shared" si="27"/>
        <v>0</v>
      </c>
      <c r="V26" s="45">
        <f t="shared" si="28"/>
        <v>0</v>
      </c>
      <c r="W26" s="45">
        <f t="shared" si="29"/>
        <v>0</v>
      </c>
      <c r="X26" s="45">
        <f t="shared" si="30"/>
        <v>1902084.4827130791</v>
      </c>
      <c r="Y26" s="45">
        <f t="shared" si="31"/>
        <v>2025014.0646145456</v>
      </c>
      <c r="Z26" s="45">
        <f t="shared" si="32"/>
        <v>2026042.0788342906</v>
      </c>
      <c r="AA26" s="45">
        <f t="shared" si="33"/>
        <v>2026055.3173176041</v>
      </c>
      <c r="AB26" s="45">
        <f t="shared" si="34"/>
        <v>2026235.6913787564</v>
      </c>
      <c r="AD26" s="45">
        <f t="shared" si="13"/>
        <v>2026242.8946571602</v>
      </c>
      <c r="AK26">
        <f t="shared" si="14"/>
        <v>2017</v>
      </c>
      <c r="AL26" s="45">
        <f t="shared" si="35"/>
        <v>0</v>
      </c>
      <c r="AM26" s="45">
        <f t="shared" si="36"/>
        <v>0</v>
      </c>
      <c r="AN26" s="45">
        <f t="shared" si="37"/>
        <v>0</v>
      </c>
      <c r="AO26" s="45">
        <f t="shared" si="38"/>
        <v>0</v>
      </c>
      <c r="AP26" s="45">
        <f t="shared" si="39"/>
        <v>0</v>
      </c>
      <c r="AQ26" s="45">
        <f t="shared" si="40"/>
        <v>0</v>
      </c>
      <c r="AR26" s="45">
        <f t="shared" si="41"/>
        <v>0</v>
      </c>
      <c r="AS26" s="45">
        <f t="shared" si="42"/>
        <v>0</v>
      </c>
      <c r="AT26" s="45">
        <f t="shared" si="43"/>
        <v>0</v>
      </c>
      <c r="AV26" s="45">
        <f t="shared" si="25"/>
        <v>0</v>
      </c>
    </row>
    <row r="27" spans="3:48" x14ac:dyDescent="0.3">
      <c r="C27">
        <f>Incurred_loss!R25</f>
        <v>2017</v>
      </c>
      <c r="D27" s="45">
        <f>'Cum. payments'!B146</f>
        <v>497815.91431526723</v>
      </c>
      <c r="E27" s="45">
        <f>'Cum. payments'!C146</f>
        <v>552849.65214362985</v>
      </c>
      <c r="F27" s="45">
        <f>'Cum. payments'!D146</f>
        <v>616368.08724296221</v>
      </c>
      <c r="G27" s="45">
        <f>'Cum. payments'!E146</f>
        <v>1241300.936961676</v>
      </c>
      <c r="H27" s="45">
        <f>'Cum. payments'!F146</f>
        <v>2047569.4923583169</v>
      </c>
      <c r="I27" s="45">
        <f>'Cum. payments'!G146</f>
        <v>2156656.3794113323</v>
      </c>
      <c r="J27" s="45">
        <f>'Cum. payments'!H146</f>
        <v>2280768.301190007</v>
      </c>
      <c r="K27" s="45">
        <f>'Cum. payments'!I146</f>
        <v>2283844.3444124428</v>
      </c>
      <c r="L27" s="45">
        <f>'Cum. payments'!J146</f>
        <v>2345266.4127437617</v>
      </c>
      <c r="N27" s="48">
        <f>XL_Pure_Premium!$O27</f>
        <v>2345303.9227981973</v>
      </c>
      <c r="S27">
        <f t="shared" si="2"/>
        <v>2017</v>
      </c>
      <c r="T27" s="45">
        <f t="shared" si="26"/>
        <v>0</v>
      </c>
      <c r="U27" s="45">
        <f t="shared" si="27"/>
        <v>0</v>
      </c>
      <c r="V27" s="45">
        <f t="shared" si="28"/>
        <v>0</v>
      </c>
      <c r="W27" s="45">
        <f t="shared" si="29"/>
        <v>0</v>
      </c>
      <c r="X27" s="45">
        <f t="shared" si="30"/>
        <v>0</v>
      </c>
      <c r="Y27" s="45">
        <f t="shared" si="31"/>
        <v>0</v>
      </c>
      <c r="Z27" s="45">
        <f t="shared" si="32"/>
        <v>0</v>
      </c>
      <c r="AA27" s="45">
        <f t="shared" si="33"/>
        <v>0</v>
      </c>
      <c r="AB27" s="45">
        <f t="shared" si="34"/>
        <v>0</v>
      </c>
      <c r="AD27" s="45">
        <f t="shared" si="13"/>
        <v>0</v>
      </c>
      <c r="AK27">
        <f t="shared" si="14"/>
        <v>2017</v>
      </c>
      <c r="AL27" s="45">
        <f t="shared" si="35"/>
        <v>0</v>
      </c>
      <c r="AM27" s="45">
        <f t="shared" si="36"/>
        <v>0</v>
      </c>
      <c r="AN27" s="45">
        <f t="shared" si="37"/>
        <v>0</v>
      </c>
      <c r="AO27" s="45">
        <f t="shared" si="38"/>
        <v>0</v>
      </c>
      <c r="AP27" s="45">
        <f t="shared" si="39"/>
        <v>0</v>
      </c>
      <c r="AQ27" s="45">
        <f t="shared" si="40"/>
        <v>0</v>
      </c>
      <c r="AR27" s="45">
        <f t="shared" si="41"/>
        <v>0</v>
      </c>
      <c r="AS27" s="45">
        <f t="shared" si="42"/>
        <v>0</v>
      </c>
      <c r="AT27" s="45">
        <f t="shared" si="43"/>
        <v>0</v>
      </c>
      <c r="AV27" s="45">
        <f t="shared" si="25"/>
        <v>0</v>
      </c>
    </row>
    <row r="28" spans="3:48" x14ac:dyDescent="0.3">
      <c r="C28">
        <f>Incurred_loss!R26</f>
        <v>2017</v>
      </c>
      <c r="D28" s="45">
        <f>'Cum. payments'!B147</f>
        <v>4175.8556010328439</v>
      </c>
      <c r="E28" s="45">
        <f>'Cum. payments'!C147</f>
        <v>25482.973760494384</v>
      </c>
      <c r="F28" s="45">
        <f>'Cum. payments'!D147</f>
        <v>124692.60999277416</v>
      </c>
      <c r="G28" s="45">
        <f>'Cum. payments'!E147</f>
        <v>327163.37707937293</v>
      </c>
      <c r="H28" s="45">
        <f>'Cum. payments'!F147</f>
        <v>1003762.6022074423</v>
      </c>
      <c r="I28" s="45">
        <f>'Cum. payments'!G147</f>
        <v>1478393.2713310972</v>
      </c>
      <c r="J28" s="45">
        <f>'Cum. payments'!H147</f>
        <v>1534542.4812876063</v>
      </c>
      <c r="K28" s="45">
        <f>'Cum. payments'!I147</f>
        <v>1587371.2633723111</v>
      </c>
      <c r="L28" s="45">
        <f>'Cum. payments'!J147</f>
        <v>1605309.4210868736</v>
      </c>
      <c r="N28" s="48">
        <f>XL_Pure_Premium!$O28</f>
        <v>1674741.1043204458</v>
      </c>
      <c r="S28">
        <f t="shared" si="2"/>
        <v>2017</v>
      </c>
      <c r="T28" s="45">
        <f t="shared" si="26"/>
        <v>0</v>
      </c>
      <c r="U28" s="45">
        <f t="shared" si="27"/>
        <v>0</v>
      </c>
      <c r="V28" s="45">
        <f t="shared" si="28"/>
        <v>0</v>
      </c>
      <c r="W28" s="45">
        <f t="shared" si="29"/>
        <v>0</v>
      </c>
      <c r="X28" s="45">
        <f t="shared" si="30"/>
        <v>0</v>
      </c>
      <c r="Y28" s="45">
        <f t="shared" si="31"/>
        <v>0</v>
      </c>
      <c r="Z28" s="45">
        <f t="shared" si="32"/>
        <v>0</v>
      </c>
      <c r="AA28" s="45">
        <f t="shared" si="33"/>
        <v>0</v>
      </c>
      <c r="AB28" s="45">
        <f t="shared" si="34"/>
        <v>0</v>
      </c>
      <c r="AD28" s="45">
        <f t="shared" si="13"/>
        <v>0</v>
      </c>
      <c r="AK28">
        <f t="shared" si="14"/>
        <v>2017</v>
      </c>
      <c r="AL28" s="45">
        <f t="shared" si="35"/>
        <v>0</v>
      </c>
      <c r="AM28" s="45">
        <f t="shared" si="36"/>
        <v>0</v>
      </c>
      <c r="AN28" s="45">
        <f t="shared" si="37"/>
        <v>0</v>
      </c>
      <c r="AO28" s="45">
        <f t="shared" si="38"/>
        <v>0</v>
      </c>
      <c r="AP28" s="45">
        <f t="shared" si="39"/>
        <v>0</v>
      </c>
      <c r="AQ28" s="45">
        <f t="shared" si="40"/>
        <v>0</v>
      </c>
      <c r="AR28" s="45">
        <f t="shared" si="41"/>
        <v>0</v>
      </c>
      <c r="AS28" s="45">
        <f t="shared" si="42"/>
        <v>0</v>
      </c>
      <c r="AT28" s="45">
        <f t="shared" si="43"/>
        <v>0</v>
      </c>
      <c r="AV28" s="45">
        <f t="shared" si="25"/>
        <v>0</v>
      </c>
    </row>
    <row r="29" spans="3:48" x14ac:dyDescent="0.3">
      <c r="C29">
        <f>Incurred_loss!R27</f>
        <v>2017</v>
      </c>
      <c r="D29" s="45">
        <f>'Cum. payments'!B148</f>
        <v>64109.072066790024</v>
      </c>
      <c r="E29" s="45">
        <f>'Cum. payments'!C148</f>
        <v>171223.05329072083</v>
      </c>
      <c r="F29" s="45">
        <f>'Cum. payments'!D148</f>
        <v>801180.75244830712</v>
      </c>
      <c r="G29" s="45">
        <f>'Cum. payments'!E148</f>
        <v>808777.99585227645</v>
      </c>
      <c r="H29" s="45">
        <f>'Cum. payments'!F148</f>
        <v>855832.76098734664</v>
      </c>
      <c r="I29" s="45">
        <f>'Cum. payments'!G148</f>
        <v>927146.27746516676</v>
      </c>
      <c r="J29" s="45">
        <f>'Cum. payments'!H148</f>
        <v>1109852.027473226</v>
      </c>
      <c r="K29" s="45">
        <f>'Cum. payments'!I148</f>
        <v>1115297.4810976021</v>
      </c>
      <c r="L29" s="45">
        <f>'Cum. payments'!J148</f>
        <v>1116846.7634732386</v>
      </c>
      <c r="N29" s="48">
        <f>XL_Pure_Premium!$O29</f>
        <v>1116918.3795102111</v>
      </c>
      <c r="S29">
        <f t="shared" si="2"/>
        <v>2017</v>
      </c>
      <c r="T29" s="45">
        <f t="shared" si="26"/>
        <v>0</v>
      </c>
      <c r="U29" s="45">
        <f t="shared" si="27"/>
        <v>0</v>
      </c>
      <c r="V29" s="45">
        <f t="shared" si="28"/>
        <v>0</v>
      </c>
      <c r="W29" s="45">
        <f t="shared" si="29"/>
        <v>0</v>
      </c>
      <c r="X29" s="45">
        <f t="shared" si="30"/>
        <v>0</v>
      </c>
      <c r="Y29" s="45">
        <f t="shared" si="31"/>
        <v>0</v>
      </c>
      <c r="Z29" s="45">
        <f t="shared" si="32"/>
        <v>0</v>
      </c>
      <c r="AA29" s="45">
        <f t="shared" si="33"/>
        <v>0</v>
      </c>
      <c r="AB29" s="45">
        <f t="shared" si="34"/>
        <v>0</v>
      </c>
      <c r="AD29" s="45">
        <f t="shared" si="13"/>
        <v>0</v>
      </c>
      <c r="AK29">
        <f t="shared" si="14"/>
        <v>2017</v>
      </c>
      <c r="AL29" s="45">
        <f t="shared" si="35"/>
        <v>0</v>
      </c>
      <c r="AM29" s="45">
        <f t="shared" si="36"/>
        <v>0</v>
      </c>
      <c r="AN29" s="45">
        <f t="shared" si="37"/>
        <v>0</v>
      </c>
      <c r="AO29" s="45">
        <f t="shared" si="38"/>
        <v>0</v>
      </c>
      <c r="AP29" s="45">
        <f t="shared" si="39"/>
        <v>0</v>
      </c>
      <c r="AQ29" s="45">
        <f t="shared" si="40"/>
        <v>0</v>
      </c>
      <c r="AR29" s="45">
        <f t="shared" si="41"/>
        <v>0</v>
      </c>
      <c r="AS29" s="45">
        <f t="shared" si="42"/>
        <v>0</v>
      </c>
      <c r="AT29" s="45">
        <f t="shared" si="43"/>
        <v>0</v>
      </c>
      <c r="AV29" s="45">
        <f t="shared" si="25"/>
        <v>0</v>
      </c>
    </row>
    <row r="30" spans="3:48" x14ac:dyDescent="0.3">
      <c r="C30">
        <f>Incurred_loss!R28</f>
        <v>2017</v>
      </c>
      <c r="D30" s="45">
        <f>'Cum. payments'!B149</f>
        <v>191002.07092740125</v>
      </c>
      <c r="E30" s="45">
        <f>'Cum. payments'!C149</f>
        <v>208514.01783615749</v>
      </c>
      <c r="F30" s="45">
        <f>'Cum. payments'!D149</f>
        <v>240130.49163794017</v>
      </c>
      <c r="G30" s="45">
        <f>'Cum. payments'!E149</f>
        <v>3344248.5611534179</v>
      </c>
      <c r="H30" s="45">
        <f>'Cum. payments'!F149</f>
        <v>3368529.9453651765</v>
      </c>
      <c r="I30" s="45">
        <f>'Cum. payments'!G149</f>
        <v>3561024.2578560696</v>
      </c>
      <c r="J30" s="45">
        <f>'Cum. payments'!H149</f>
        <v>3561716.1433019447</v>
      </c>
      <c r="K30" s="45">
        <f>'Cum. payments'!I149</f>
        <v>3569591.8973846035</v>
      </c>
      <c r="L30" s="45">
        <f>'Cum. payments'!J149</f>
        <v>3569618.0568383485</v>
      </c>
      <c r="N30" s="48">
        <f>XL_Pure_Premium!$O30</f>
        <v>3569618.0568383485</v>
      </c>
      <c r="S30">
        <f t="shared" si="2"/>
        <v>2017</v>
      </c>
      <c r="T30" s="45">
        <f t="shared" si="26"/>
        <v>0</v>
      </c>
      <c r="U30" s="45">
        <f t="shared" si="27"/>
        <v>0</v>
      </c>
      <c r="V30" s="45">
        <f t="shared" si="28"/>
        <v>0</v>
      </c>
      <c r="W30" s="45">
        <f t="shared" si="29"/>
        <v>0</v>
      </c>
      <c r="X30" s="45">
        <f t="shared" si="30"/>
        <v>0</v>
      </c>
      <c r="Y30" s="45">
        <f t="shared" si="31"/>
        <v>0</v>
      </c>
      <c r="Z30" s="45">
        <f t="shared" si="32"/>
        <v>0</v>
      </c>
      <c r="AA30" s="45">
        <f t="shared" si="33"/>
        <v>0</v>
      </c>
      <c r="AB30" s="45">
        <f t="shared" si="34"/>
        <v>0</v>
      </c>
      <c r="AD30" s="45">
        <f t="shared" si="13"/>
        <v>0</v>
      </c>
      <c r="AK30">
        <f t="shared" si="14"/>
        <v>2017</v>
      </c>
      <c r="AL30" s="45">
        <f t="shared" si="35"/>
        <v>0</v>
      </c>
      <c r="AM30" s="45">
        <f t="shared" si="36"/>
        <v>0</v>
      </c>
      <c r="AN30" s="45">
        <f t="shared" si="37"/>
        <v>0</v>
      </c>
      <c r="AO30" s="45">
        <f t="shared" si="38"/>
        <v>0</v>
      </c>
      <c r="AP30" s="45">
        <f t="shared" si="39"/>
        <v>0</v>
      </c>
      <c r="AQ30" s="45">
        <f t="shared" si="40"/>
        <v>0</v>
      </c>
      <c r="AR30" s="45">
        <f t="shared" si="41"/>
        <v>0</v>
      </c>
      <c r="AS30" s="45">
        <f t="shared" si="42"/>
        <v>0</v>
      </c>
      <c r="AT30" s="45">
        <f t="shared" si="43"/>
        <v>0</v>
      </c>
      <c r="AV30" s="45">
        <f t="shared" si="25"/>
        <v>0</v>
      </c>
    </row>
    <row r="31" spans="3:48" x14ac:dyDescent="0.3">
      <c r="C31">
        <f>Incurred_loss!R29</f>
        <v>2017</v>
      </c>
      <c r="D31" s="45">
        <f>'Cum. payments'!B150</f>
        <v>90827.458506167764</v>
      </c>
      <c r="E31" s="45">
        <f>'Cum. payments'!C150</f>
        <v>282978.82783973677</v>
      </c>
      <c r="F31" s="45">
        <f>'Cum. payments'!D150</f>
        <v>592581.38214346487</v>
      </c>
      <c r="G31" s="45">
        <f>'Cum. payments'!E150</f>
        <v>3234022.1424099742</v>
      </c>
      <c r="H31" s="45">
        <f>'Cum. payments'!F150</f>
        <v>3367534.759414373</v>
      </c>
      <c r="I31" s="45">
        <f>'Cum. payments'!G150</f>
        <v>4415498.7643823205</v>
      </c>
      <c r="J31" s="45">
        <f>'Cum. payments'!H150</f>
        <v>5220815.9603517447</v>
      </c>
      <c r="K31" s="45">
        <f>'Cum. payments'!I150</f>
        <v>5222380.1708349213</v>
      </c>
      <c r="L31" s="45">
        <f>'Cum. payments'!J150</f>
        <v>5222635.1181233628</v>
      </c>
      <c r="N31" s="48">
        <f>XL_Pure_Premium!$O31</f>
        <v>5224144.5975205507</v>
      </c>
      <c r="S31">
        <f t="shared" si="2"/>
        <v>2017</v>
      </c>
      <c r="T31" s="45">
        <f t="shared" si="26"/>
        <v>0</v>
      </c>
      <c r="U31" s="45">
        <f t="shared" si="27"/>
        <v>0</v>
      </c>
      <c r="V31" s="45">
        <f t="shared" si="28"/>
        <v>0</v>
      </c>
      <c r="W31" s="45">
        <f t="shared" si="29"/>
        <v>0</v>
      </c>
      <c r="X31" s="45">
        <f t="shared" si="30"/>
        <v>0</v>
      </c>
      <c r="Y31" s="45">
        <f t="shared" si="31"/>
        <v>415498.76438232046</v>
      </c>
      <c r="Z31" s="45">
        <f t="shared" si="32"/>
        <v>1220815.9603517447</v>
      </c>
      <c r="AA31" s="45">
        <f t="shared" si="33"/>
        <v>1222380.1708349213</v>
      </c>
      <c r="AB31" s="45">
        <f t="shared" si="34"/>
        <v>1222635.1181233628</v>
      </c>
      <c r="AD31" s="45">
        <f t="shared" si="13"/>
        <v>1224144.5975205507</v>
      </c>
      <c r="AK31">
        <f t="shared" si="14"/>
        <v>2017</v>
      </c>
      <c r="AL31" s="45">
        <f t="shared" si="35"/>
        <v>0</v>
      </c>
      <c r="AM31" s="45">
        <f t="shared" si="36"/>
        <v>0</v>
      </c>
      <c r="AN31" s="45">
        <f t="shared" si="37"/>
        <v>0</v>
      </c>
      <c r="AO31" s="45">
        <f t="shared" si="38"/>
        <v>0</v>
      </c>
      <c r="AP31" s="45">
        <f t="shared" si="39"/>
        <v>0</v>
      </c>
      <c r="AQ31" s="45">
        <f t="shared" si="40"/>
        <v>0</v>
      </c>
      <c r="AR31" s="45">
        <f t="shared" si="41"/>
        <v>0</v>
      </c>
      <c r="AS31" s="45">
        <f t="shared" si="42"/>
        <v>0</v>
      </c>
      <c r="AT31" s="45">
        <f t="shared" si="43"/>
        <v>0</v>
      </c>
      <c r="AV31" s="45">
        <f t="shared" si="25"/>
        <v>0</v>
      </c>
    </row>
    <row r="32" spans="3:48" x14ac:dyDescent="0.3">
      <c r="C32">
        <f>Incurred_loss!R30</f>
        <v>2017</v>
      </c>
      <c r="D32" s="45">
        <f>'Cum. payments'!B151</f>
        <v>1307400.1321565777</v>
      </c>
      <c r="E32" s="45">
        <f>'Cum. payments'!C151</f>
        <v>2721557.7069910076</v>
      </c>
      <c r="F32" s="45">
        <f>'Cum. payments'!D151</f>
        <v>2745399.6830519503</v>
      </c>
      <c r="G32" s="45">
        <f>'Cum. payments'!E151</f>
        <v>2844447.5336866132</v>
      </c>
      <c r="H32" s="45">
        <f>'Cum. payments'!F151</f>
        <v>4844754.9008333785</v>
      </c>
      <c r="I32" s="45">
        <f>'Cum. payments'!G151</f>
        <v>4853276.6237741066</v>
      </c>
      <c r="J32" s="45">
        <f>'Cum. payments'!H151</f>
        <v>4853307.635491536</v>
      </c>
      <c r="K32" s="45">
        <f>'Cum. payments'!I151</f>
        <v>4853449.0551973358</v>
      </c>
      <c r="L32" s="45">
        <f>'Cum. payments'!J151</f>
        <v>4855325.3072015746</v>
      </c>
      <c r="N32" s="48">
        <f>XL_Pure_Premium!$O32</f>
        <v>4880599.1453672675</v>
      </c>
      <c r="S32">
        <f t="shared" si="2"/>
        <v>2017</v>
      </c>
      <c r="T32" s="45">
        <f t="shared" si="26"/>
        <v>0</v>
      </c>
      <c r="U32" s="45">
        <f t="shared" si="27"/>
        <v>0</v>
      </c>
      <c r="V32" s="45">
        <f t="shared" si="28"/>
        <v>0</v>
      </c>
      <c r="W32" s="45">
        <f t="shared" si="29"/>
        <v>0</v>
      </c>
      <c r="X32" s="45">
        <f t="shared" si="30"/>
        <v>844754.90083337855</v>
      </c>
      <c r="Y32" s="45">
        <f t="shared" si="31"/>
        <v>853276.62377410661</v>
      </c>
      <c r="Z32" s="45">
        <f t="shared" si="32"/>
        <v>853307.635491536</v>
      </c>
      <c r="AA32" s="45">
        <f t="shared" si="33"/>
        <v>853449.05519733578</v>
      </c>
      <c r="AB32" s="45">
        <f t="shared" si="34"/>
        <v>855325.30720157456</v>
      </c>
      <c r="AD32" s="45">
        <f t="shared" si="13"/>
        <v>880599.14536726754</v>
      </c>
      <c r="AK32">
        <f t="shared" si="14"/>
        <v>2017</v>
      </c>
      <c r="AL32" s="45">
        <f t="shared" si="35"/>
        <v>0</v>
      </c>
      <c r="AM32" s="45">
        <f t="shared" si="36"/>
        <v>0</v>
      </c>
      <c r="AN32" s="45">
        <f t="shared" si="37"/>
        <v>0</v>
      </c>
      <c r="AO32" s="45">
        <f t="shared" si="38"/>
        <v>0</v>
      </c>
      <c r="AP32" s="45">
        <f t="shared" si="39"/>
        <v>0</v>
      </c>
      <c r="AQ32" s="45">
        <f t="shared" si="40"/>
        <v>0</v>
      </c>
      <c r="AR32" s="45">
        <f t="shared" si="41"/>
        <v>0</v>
      </c>
      <c r="AS32" s="45">
        <f t="shared" si="42"/>
        <v>0</v>
      </c>
      <c r="AT32" s="45">
        <f t="shared" si="43"/>
        <v>0</v>
      </c>
      <c r="AV32" s="45">
        <f t="shared" si="25"/>
        <v>0</v>
      </c>
    </row>
    <row r="33" spans="3:48" x14ac:dyDescent="0.3">
      <c r="C33">
        <f>Incurred_loss!R31</f>
        <v>2018</v>
      </c>
      <c r="D33" s="45">
        <f>'Cum. payments'!B152</f>
        <v>273535.88268818491</v>
      </c>
      <c r="E33" s="45">
        <f>'Cum. payments'!C152</f>
        <v>290593.15337222244</v>
      </c>
      <c r="F33" s="45">
        <f>'Cum. payments'!D152</f>
        <v>325994.06393314607</v>
      </c>
      <c r="G33" s="45">
        <f>'Cum. payments'!E152</f>
        <v>424138.05366145808</v>
      </c>
      <c r="H33" s="45">
        <f>'Cum. payments'!F152</f>
        <v>2199428.1586309411</v>
      </c>
      <c r="I33" s="45">
        <f>'Cum. payments'!G152</f>
        <v>2263967.9118905533</v>
      </c>
      <c r="J33" s="45">
        <f>'Cum. payments'!H152</f>
        <v>2266113.1909155208</v>
      </c>
      <c r="K33" s="45">
        <f>'Cum. payments'!I152</f>
        <v>2273085.4207503465</v>
      </c>
      <c r="N33" s="48">
        <f>XL_Pure_Premium!$O33</f>
        <v>2363518.3529029759</v>
      </c>
      <c r="S33">
        <f t="shared" si="2"/>
        <v>2018</v>
      </c>
      <c r="T33" s="45">
        <f t="shared" ref="T33:T43" si="44">MIN(MAX(D33-$S$2,0),$Q$2)</f>
        <v>0</v>
      </c>
      <c r="U33" s="45">
        <f t="shared" ref="U33:U43" si="45">MIN(MAX(E33-$S$2,0),$Q$2)</f>
        <v>0</v>
      </c>
      <c r="V33" s="45">
        <f t="shared" ref="V33:V43" si="46">MIN(MAX(F33-$S$2,0),$Q$2)</f>
        <v>0</v>
      </c>
      <c r="W33" s="45">
        <f t="shared" ref="W33:W43" si="47">MIN(MAX(G33-$S$2,0),$Q$2)</f>
        <v>0</v>
      </c>
      <c r="X33" s="45">
        <f t="shared" ref="X33:X43" si="48">MIN(MAX(H33-$S$2,0),$Q$2)</f>
        <v>0</v>
      </c>
      <c r="Y33" s="45">
        <f t="shared" ref="Y33:Y43" si="49">MIN(MAX(I33-$S$2,0),$Q$2)</f>
        <v>0</v>
      </c>
      <c r="Z33" s="45">
        <f t="shared" ref="Z33:Z43" si="50">MIN(MAX(J33-$S$2,0),$Q$2)</f>
        <v>0</v>
      </c>
      <c r="AA33" s="45">
        <f t="shared" ref="AA33:AA43" si="51">MIN(MAX(K33-$S$2,0),$Q$2)</f>
        <v>0</v>
      </c>
      <c r="AD33" s="45">
        <f t="shared" si="13"/>
        <v>0</v>
      </c>
      <c r="AK33">
        <f t="shared" si="14"/>
        <v>2018</v>
      </c>
      <c r="AL33" s="45">
        <f t="shared" ref="AL33:AL43" si="52">MIN(MAX(D33-$AK$2,0),$AI$2)</f>
        <v>0</v>
      </c>
      <c r="AM33" s="45">
        <f t="shared" ref="AM33:AM43" si="53">MIN(MAX(E33-$AK$2,0),$AI$2)</f>
        <v>0</v>
      </c>
      <c r="AN33" s="45">
        <f t="shared" ref="AN33:AN43" si="54">MIN(MAX(F33-$AK$2,0),$AI$2)</f>
        <v>0</v>
      </c>
      <c r="AO33" s="45">
        <f t="shared" ref="AO33:AO43" si="55">MIN(MAX(G33-$AK$2,0),$AI$2)</f>
        <v>0</v>
      </c>
      <c r="AP33" s="45">
        <f t="shared" ref="AP33:AP43" si="56">MIN(MAX(H33-$AK$2,0),$AI$2)</f>
        <v>0</v>
      </c>
      <c r="AQ33" s="45">
        <f t="shared" ref="AQ33:AQ43" si="57">MIN(MAX(I33-$AK$2,0),$AI$2)</f>
        <v>0</v>
      </c>
      <c r="AR33" s="45">
        <f t="shared" ref="AR33:AR43" si="58">MIN(MAX(J33-$AK$2,0),$AI$2)</f>
        <v>0</v>
      </c>
      <c r="AS33" s="45">
        <f t="shared" ref="AS33:AS43" si="59">MIN(MAX(K33-$AK$2,0),$AI$2)</f>
        <v>0</v>
      </c>
      <c r="AV33" s="45">
        <f t="shared" si="25"/>
        <v>0</v>
      </c>
    </row>
    <row r="34" spans="3:48" x14ac:dyDescent="0.3">
      <c r="C34">
        <f>Incurred_loss!R32</f>
        <v>2018</v>
      </c>
      <c r="D34" s="45">
        <f>'Cum. payments'!B153</f>
        <v>261797.86675205527</v>
      </c>
      <c r="E34" s="45">
        <f>'Cum. payments'!C153</f>
        <v>647877.91775646585</v>
      </c>
      <c r="F34" s="45">
        <f>'Cum. payments'!D153</f>
        <v>2302581.4787657615</v>
      </c>
      <c r="G34" s="45">
        <f>'Cum. payments'!E153</f>
        <v>2537648.6497863107</v>
      </c>
      <c r="H34" s="45">
        <f>'Cum. payments'!F153</f>
        <v>2569840.048158884</v>
      </c>
      <c r="I34" s="45">
        <f>'Cum. payments'!G153</f>
        <v>2750129.1203580312</v>
      </c>
      <c r="J34" s="45">
        <f>'Cum. payments'!H153</f>
        <v>2755266.6493640319</v>
      </c>
      <c r="K34" s="45">
        <f>'Cum. payments'!I153</f>
        <v>2755266.6522144163</v>
      </c>
      <c r="N34" s="48">
        <f>XL_Pure_Premium!$O34</f>
        <v>2754121.0479721539</v>
      </c>
      <c r="S34">
        <f t="shared" si="2"/>
        <v>2018</v>
      </c>
      <c r="T34" s="45">
        <f t="shared" si="44"/>
        <v>0</v>
      </c>
      <c r="U34" s="45">
        <f t="shared" si="45"/>
        <v>0</v>
      </c>
      <c r="V34" s="45">
        <f t="shared" si="46"/>
        <v>0</v>
      </c>
      <c r="W34" s="45">
        <f t="shared" si="47"/>
        <v>0</v>
      </c>
      <c r="X34" s="45">
        <f t="shared" si="48"/>
        <v>0</v>
      </c>
      <c r="Y34" s="45">
        <f t="shared" si="49"/>
        <v>0</v>
      </c>
      <c r="Z34" s="45">
        <f t="shared" si="50"/>
        <v>0</v>
      </c>
      <c r="AA34" s="45">
        <f t="shared" si="51"/>
        <v>0</v>
      </c>
      <c r="AD34" s="45">
        <f t="shared" si="13"/>
        <v>0</v>
      </c>
      <c r="AK34">
        <f t="shared" si="14"/>
        <v>2018</v>
      </c>
      <c r="AL34" s="45">
        <f t="shared" si="52"/>
        <v>0</v>
      </c>
      <c r="AM34" s="45">
        <f t="shared" si="53"/>
        <v>0</v>
      </c>
      <c r="AN34" s="45">
        <f t="shared" si="54"/>
        <v>0</v>
      </c>
      <c r="AO34" s="45">
        <f t="shared" si="55"/>
        <v>0</v>
      </c>
      <c r="AP34" s="45">
        <f t="shared" si="56"/>
        <v>0</v>
      </c>
      <c r="AQ34" s="45">
        <f t="shared" si="57"/>
        <v>0</v>
      </c>
      <c r="AR34" s="45">
        <f t="shared" si="58"/>
        <v>0</v>
      </c>
      <c r="AS34" s="45">
        <f t="shared" si="59"/>
        <v>0</v>
      </c>
      <c r="AV34" s="45">
        <f t="shared" si="25"/>
        <v>0</v>
      </c>
    </row>
    <row r="35" spans="3:48" x14ac:dyDescent="0.3">
      <c r="C35">
        <f>Incurred_loss!R33</f>
        <v>2018</v>
      </c>
      <c r="D35" s="45">
        <f>'Cum. payments'!B154</f>
        <v>37363.090247835338</v>
      </c>
      <c r="E35" s="45">
        <f>'Cum. payments'!C154</f>
        <v>76095.557833487022</v>
      </c>
      <c r="F35" s="45">
        <f>'Cum. payments'!D154</f>
        <v>2201455.5993660009</v>
      </c>
      <c r="G35" s="45">
        <f>'Cum. payments'!E154</f>
        <v>2201490.5074951388</v>
      </c>
      <c r="H35" s="45">
        <f>'Cum. payments'!F154</f>
        <v>2386492.2533060601</v>
      </c>
      <c r="I35" s="45">
        <f>'Cum. payments'!G154</f>
        <v>2408342.6538002337</v>
      </c>
      <c r="J35" s="45">
        <f>'Cum. payments'!H154</f>
        <v>2419939.3424645145</v>
      </c>
      <c r="K35" s="45">
        <f>'Cum. payments'!I154</f>
        <v>2425789.4591386705</v>
      </c>
      <c r="N35" s="48">
        <f>XL_Pure_Premium!$O35</f>
        <v>2439587.7905819472</v>
      </c>
      <c r="S35">
        <f t="shared" si="2"/>
        <v>2018</v>
      </c>
      <c r="T35" s="45">
        <f t="shared" si="44"/>
        <v>0</v>
      </c>
      <c r="U35" s="45">
        <f t="shared" si="45"/>
        <v>0</v>
      </c>
      <c r="V35" s="45">
        <f t="shared" si="46"/>
        <v>0</v>
      </c>
      <c r="W35" s="45">
        <f t="shared" si="47"/>
        <v>0</v>
      </c>
      <c r="X35" s="45">
        <f t="shared" si="48"/>
        <v>0</v>
      </c>
      <c r="Y35" s="45">
        <f t="shared" si="49"/>
        <v>0</v>
      </c>
      <c r="Z35" s="45">
        <f t="shared" si="50"/>
        <v>0</v>
      </c>
      <c r="AA35" s="45">
        <f t="shared" si="51"/>
        <v>0</v>
      </c>
      <c r="AD35" s="45">
        <f t="shared" si="13"/>
        <v>0</v>
      </c>
      <c r="AK35">
        <f t="shared" si="14"/>
        <v>2018</v>
      </c>
      <c r="AL35" s="45">
        <f t="shared" si="52"/>
        <v>0</v>
      </c>
      <c r="AM35" s="45">
        <f t="shared" si="53"/>
        <v>0</v>
      </c>
      <c r="AN35" s="45">
        <f t="shared" si="54"/>
        <v>0</v>
      </c>
      <c r="AO35" s="45">
        <f t="shared" si="55"/>
        <v>0</v>
      </c>
      <c r="AP35" s="45">
        <f t="shared" si="56"/>
        <v>0</v>
      </c>
      <c r="AQ35" s="45">
        <f t="shared" si="57"/>
        <v>0</v>
      </c>
      <c r="AR35" s="45">
        <f t="shared" si="58"/>
        <v>0</v>
      </c>
      <c r="AS35" s="45">
        <f t="shared" si="59"/>
        <v>0</v>
      </c>
      <c r="AV35" s="45">
        <f t="shared" si="25"/>
        <v>0</v>
      </c>
    </row>
    <row r="36" spans="3:48" x14ac:dyDescent="0.3">
      <c r="C36">
        <f>Incurred_loss!R34</f>
        <v>2018</v>
      </c>
      <c r="D36" s="45">
        <f>'Cum. payments'!B155</f>
        <v>801897.83384163072</v>
      </c>
      <c r="E36" s="45">
        <f>'Cum. payments'!C155</f>
        <v>865217.80169615266</v>
      </c>
      <c r="F36" s="45">
        <f>'Cum. payments'!D155</f>
        <v>1922699.4937939898</v>
      </c>
      <c r="G36" s="45">
        <f>'Cum. payments'!E155</f>
        <v>2091901.8086182093</v>
      </c>
      <c r="H36" s="45">
        <f>'Cum. payments'!F155</f>
        <v>2092719.4048329303</v>
      </c>
      <c r="I36" s="45">
        <f>'Cum. payments'!G155</f>
        <v>2102847.1719344999</v>
      </c>
      <c r="J36" s="45">
        <f>'Cum. payments'!H155</f>
        <v>2115531.188174915</v>
      </c>
      <c r="K36" s="45">
        <f>'Cum. payments'!I155</f>
        <v>2141369.3812105879</v>
      </c>
      <c r="N36" s="48">
        <f>XL_Pure_Premium!$O36</f>
        <v>2141271.9199280455</v>
      </c>
      <c r="S36">
        <f t="shared" si="2"/>
        <v>2018</v>
      </c>
      <c r="T36" s="45">
        <f t="shared" si="44"/>
        <v>0</v>
      </c>
      <c r="U36" s="45">
        <f t="shared" si="45"/>
        <v>0</v>
      </c>
      <c r="V36" s="45">
        <f t="shared" si="46"/>
        <v>0</v>
      </c>
      <c r="W36" s="45">
        <f t="shared" si="47"/>
        <v>0</v>
      </c>
      <c r="X36" s="45">
        <f t="shared" si="48"/>
        <v>0</v>
      </c>
      <c r="Y36" s="45">
        <f t="shared" si="49"/>
        <v>0</v>
      </c>
      <c r="Z36" s="45">
        <f t="shared" si="50"/>
        <v>0</v>
      </c>
      <c r="AA36" s="45">
        <f t="shared" si="51"/>
        <v>0</v>
      </c>
      <c r="AD36" s="45">
        <f t="shared" si="13"/>
        <v>0</v>
      </c>
      <c r="AK36">
        <f t="shared" si="14"/>
        <v>2018</v>
      </c>
      <c r="AL36" s="45">
        <f t="shared" si="52"/>
        <v>0</v>
      </c>
      <c r="AM36" s="45">
        <f t="shared" si="53"/>
        <v>0</v>
      </c>
      <c r="AN36" s="45">
        <f t="shared" si="54"/>
        <v>0</v>
      </c>
      <c r="AO36" s="45">
        <f t="shared" si="55"/>
        <v>0</v>
      </c>
      <c r="AP36" s="45">
        <f t="shared" si="56"/>
        <v>0</v>
      </c>
      <c r="AQ36" s="45">
        <f t="shared" si="57"/>
        <v>0</v>
      </c>
      <c r="AR36" s="45">
        <f t="shared" si="58"/>
        <v>0</v>
      </c>
      <c r="AS36" s="45">
        <f t="shared" si="59"/>
        <v>0</v>
      </c>
      <c r="AV36" s="45">
        <f t="shared" si="25"/>
        <v>0</v>
      </c>
    </row>
    <row r="37" spans="3:48" x14ac:dyDescent="0.3">
      <c r="C37">
        <f>Incurred_loss!R35</f>
        <v>2018</v>
      </c>
      <c r="D37" s="45">
        <f>'Cum. payments'!B156</f>
        <v>926102.83180659416</v>
      </c>
      <c r="E37" s="45">
        <f>'Cum. payments'!C156</f>
        <v>1041097.7986606692</v>
      </c>
      <c r="F37" s="45">
        <f>'Cum. payments'!D156</f>
        <v>1251345.7541279411</v>
      </c>
      <c r="G37" s="45">
        <f>'Cum. payments'!E156</f>
        <v>2005464.9740034835</v>
      </c>
      <c r="H37" s="45">
        <f>'Cum. payments'!F156</f>
        <v>2006265.8806255008</v>
      </c>
      <c r="I37" s="45">
        <f>'Cum. payments'!G156</f>
        <v>2006557.6793253554</v>
      </c>
      <c r="J37" s="45">
        <f>'Cum. payments'!H156</f>
        <v>2017034.7266306947</v>
      </c>
      <c r="K37" s="45">
        <f>'Cum. payments'!I156</f>
        <v>2037416.8325766516</v>
      </c>
      <c r="N37" s="48">
        <f>XL_Pure_Premium!$O37</f>
        <v>2037045.1428113591</v>
      </c>
      <c r="S37">
        <f t="shared" si="2"/>
        <v>2018</v>
      </c>
      <c r="T37" s="45">
        <f t="shared" si="44"/>
        <v>0</v>
      </c>
      <c r="U37" s="45">
        <f t="shared" si="45"/>
        <v>0</v>
      </c>
      <c r="V37" s="45">
        <f t="shared" si="46"/>
        <v>0</v>
      </c>
      <c r="W37" s="45">
        <f t="shared" si="47"/>
        <v>0</v>
      </c>
      <c r="X37" s="45">
        <f t="shared" si="48"/>
        <v>0</v>
      </c>
      <c r="Y37" s="45">
        <f t="shared" si="49"/>
        <v>0</v>
      </c>
      <c r="Z37" s="45">
        <f t="shared" si="50"/>
        <v>0</v>
      </c>
      <c r="AA37" s="45">
        <f t="shared" si="51"/>
        <v>0</v>
      </c>
      <c r="AD37" s="45">
        <f t="shared" si="13"/>
        <v>0</v>
      </c>
      <c r="AK37">
        <f t="shared" si="14"/>
        <v>2018</v>
      </c>
      <c r="AL37" s="45">
        <f t="shared" si="52"/>
        <v>0</v>
      </c>
      <c r="AM37" s="45">
        <f t="shared" si="53"/>
        <v>0</v>
      </c>
      <c r="AN37" s="45">
        <f t="shared" si="54"/>
        <v>0</v>
      </c>
      <c r="AO37" s="45">
        <f t="shared" si="55"/>
        <v>0</v>
      </c>
      <c r="AP37" s="45">
        <f t="shared" si="56"/>
        <v>0</v>
      </c>
      <c r="AQ37" s="45">
        <f t="shared" si="57"/>
        <v>0</v>
      </c>
      <c r="AR37" s="45">
        <f t="shared" si="58"/>
        <v>0</v>
      </c>
      <c r="AS37" s="45">
        <f t="shared" si="59"/>
        <v>0</v>
      </c>
      <c r="AV37" s="45">
        <f t="shared" si="25"/>
        <v>0</v>
      </c>
    </row>
    <row r="38" spans="3:48" x14ac:dyDescent="0.3">
      <c r="C38">
        <f>Incurred_loss!R36</f>
        <v>2018</v>
      </c>
      <c r="D38" s="45">
        <f>'Cum. payments'!B157</f>
        <v>92850.115013738265</v>
      </c>
      <c r="E38" s="45">
        <f>'Cum. payments'!C157</f>
        <v>445054.21920618479</v>
      </c>
      <c r="F38" s="45">
        <f>'Cum. payments'!D157</f>
        <v>486909.92678563501</v>
      </c>
      <c r="G38" s="45">
        <f>'Cum. payments'!E157</f>
        <v>791525.20904711587</v>
      </c>
      <c r="H38" s="45">
        <f>'Cum. payments'!F157</f>
        <v>908767.55296590133</v>
      </c>
      <c r="I38" s="45">
        <f>'Cum. payments'!G157</f>
        <v>1001481.9097320546</v>
      </c>
      <c r="J38" s="45">
        <f>'Cum. payments'!H157</f>
        <v>1062531.3863166051</v>
      </c>
      <c r="K38" s="45">
        <f>'Cum. payments'!I157</f>
        <v>1278304.5245784132</v>
      </c>
      <c r="N38" s="48">
        <f>XL_Pure_Premium!$O38</f>
        <v>1481985.3352608166</v>
      </c>
      <c r="S38">
        <f t="shared" si="2"/>
        <v>2018</v>
      </c>
      <c r="T38" s="45">
        <f t="shared" si="44"/>
        <v>0</v>
      </c>
      <c r="U38" s="45">
        <f t="shared" si="45"/>
        <v>0</v>
      </c>
      <c r="V38" s="45">
        <f t="shared" si="46"/>
        <v>0</v>
      </c>
      <c r="W38" s="45">
        <f t="shared" si="47"/>
        <v>0</v>
      </c>
      <c r="X38" s="45">
        <f t="shared" si="48"/>
        <v>0</v>
      </c>
      <c r="Y38" s="45">
        <f t="shared" si="49"/>
        <v>0</v>
      </c>
      <c r="Z38" s="45">
        <f t="shared" si="50"/>
        <v>0</v>
      </c>
      <c r="AA38" s="45">
        <f t="shared" si="51"/>
        <v>0</v>
      </c>
      <c r="AD38" s="45">
        <f t="shared" si="13"/>
        <v>0</v>
      </c>
      <c r="AK38">
        <f t="shared" si="14"/>
        <v>2018</v>
      </c>
      <c r="AL38" s="45">
        <f t="shared" si="52"/>
        <v>0</v>
      </c>
      <c r="AM38" s="45">
        <f t="shared" si="53"/>
        <v>0</v>
      </c>
      <c r="AN38" s="45">
        <f t="shared" si="54"/>
        <v>0</v>
      </c>
      <c r="AO38" s="45">
        <f t="shared" si="55"/>
        <v>0</v>
      </c>
      <c r="AP38" s="45">
        <f t="shared" si="56"/>
        <v>0</v>
      </c>
      <c r="AQ38" s="45">
        <f t="shared" si="57"/>
        <v>0</v>
      </c>
      <c r="AR38" s="45">
        <f t="shared" si="58"/>
        <v>0</v>
      </c>
      <c r="AS38" s="45">
        <f t="shared" si="59"/>
        <v>0</v>
      </c>
      <c r="AV38" s="45">
        <f t="shared" si="25"/>
        <v>0</v>
      </c>
    </row>
    <row r="39" spans="3:48" x14ac:dyDescent="0.3">
      <c r="C39">
        <f>Incurred_loss!R37</f>
        <v>2018</v>
      </c>
      <c r="D39" s="45">
        <f>'Cum. payments'!B158</f>
        <v>50681.298117289618</v>
      </c>
      <c r="E39" s="45">
        <f>'Cum. payments'!C158</f>
        <v>65192.659679027565</v>
      </c>
      <c r="F39" s="45">
        <f>'Cum. payments'!D158</f>
        <v>1463386.891113787</v>
      </c>
      <c r="G39" s="45">
        <f>'Cum. payments'!E158</f>
        <v>1593035.2669143816</v>
      </c>
      <c r="H39" s="45">
        <f>'Cum. payments'!F158</f>
        <v>2004607.0689033396</v>
      </c>
      <c r="I39" s="45">
        <f>'Cum. payments'!G158</f>
        <v>2010882.7016563434</v>
      </c>
      <c r="J39" s="45">
        <f>'Cum. payments'!H158</f>
        <v>2014626.3991587015</v>
      </c>
      <c r="K39" s="45">
        <f>'Cum. payments'!I158</f>
        <v>2020561.2762940584</v>
      </c>
      <c r="N39" s="48">
        <f>XL_Pure_Premium!$O39</f>
        <v>2019693.7573536674</v>
      </c>
      <c r="S39">
        <f t="shared" si="2"/>
        <v>2018</v>
      </c>
      <c r="T39" s="45">
        <f t="shared" si="44"/>
        <v>0</v>
      </c>
      <c r="U39" s="45">
        <f t="shared" si="45"/>
        <v>0</v>
      </c>
      <c r="V39" s="45">
        <f t="shared" si="46"/>
        <v>0</v>
      </c>
      <c r="W39" s="45">
        <f t="shared" si="47"/>
        <v>0</v>
      </c>
      <c r="X39" s="45">
        <f t="shared" si="48"/>
        <v>0</v>
      </c>
      <c r="Y39" s="45">
        <f t="shared" si="49"/>
        <v>0</v>
      </c>
      <c r="Z39" s="45">
        <f t="shared" si="50"/>
        <v>0</v>
      </c>
      <c r="AA39" s="45">
        <f t="shared" si="51"/>
        <v>0</v>
      </c>
      <c r="AD39" s="45">
        <f t="shared" si="13"/>
        <v>0</v>
      </c>
      <c r="AK39">
        <f t="shared" si="14"/>
        <v>2018</v>
      </c>
      <c r="AL39" s="45">
        <f t="shared" si="52"/>
        <v>0</v>
      </c>
      <c r="AM39" s="45">
        <f t="shared" si="53"/>
        <v>0</v>
      </c>
      <c r="AN39" s="45">
        <f t="shared" si="54"/>
        <v>0</v>
      </c>
      <c r="AO39" s="45">
        <f t="shared" si="55"/>
        <v>0</v>
      </c>
      <c r="AP39" s="45">
        <f t="shared" si="56"/>
        <v>0</v>
      </c>
      <c r="AQ39" s="45">
        <f t="shared" si="57"/>
        <v>0</v>
      </c>
      <c r="AR39" s="45">
        <f t="shared" si="58"/>
        <v>0</v>
      </c>
      <c r="AS39" s="45">
        <f t="shared" si="59"/>
        <v>0</v>
      </c>
      <c r="AV39" s="45">
        <f t="shared" si="25"/>
        <v>0</v>
      </c>
    </row>
    <row r="40" spans="3:48" x14ac:dyDescent="0.3">
      <c r="C40">
        <f>Incurred_loss!R38</f>
        <v>2018</v>
      </c>
      <c r="D40" s="45">
        <f>'Cum. payments'!B159</f>
        <v>223810.99751633374</v>
      </c>
      <c r="E40" s="45">
        <f>'Cum. payments'!C159</f>
        <v>781704.17859572941</v>
      </c>
      <c r="F40" s="45">
        <f>'Cum. payments'!D159</f>
        <v>957211.90341092634</v>
      </c>
      <c r="G40" s="45">
        <f>'Cum. payments'!E159</f>
        <v>957239.83083441865</v>
      </c>
      <c r="H40" s="45">
        <f>'Cum. payments'!F159</f>
        <v>2808706.1484506112</v>
      </c>
      <c r="I40" s="45">
        <f>'Cum. payments'!G159</f>
        <v>3074607.9657599116</v>
      </c>
      <c r="J40" s="45">
        <f>'Cum. payments'!H159</f>
        <v>3115934.7114371485</v>
      </c>
      <c r="K40" s="45">
        <f>'Cum. payments'!I159</f>
        <v>3124907.4788035825</v>
      </c>
      <c r="N40" s="48">
        <f>XL_Pure_Premium!$O40</f>
        <v>3125600.6472560912</v>
      </c>
      <c r="S40">
        <f t="shared" si="2"/>
        <v>2018</v>
      </c>
      <c r="T40" s="45">
        <f t="shared" si="44"/>
        <v>0</v>
      </c>
      <c r="U40" s="45">
        <f t="shared" si="45"/>
        <v>0</v>
      </c>
      <c r="V40" s="45">
        <f t="shared" si="46"/>
        <v>0</v>
      </c>
      <c r="W40" s="45">
        <f t="shared" si="47"/>
        <v>0</v>
      </c>
      <c r="X40" s="45">
        <f t="shared" si="48"/>
        <v>0</v>
      </c>
      <c r="Y40" s="45">
        <f t="shared" si="49"/>
        <v>0</v>
      </c>
      <c r="Z40" s="45">
        <f t="shared" si="50"/>
        <v>0</v>
      </c>
      <c r="AA40" s="45">
        <f t="shared" si="51"/>
        <v>0</v>
      </c>
      <c r="AD40" s="45">
        <f t="shared" si="13"/>
        <v>0</v>
      </c>
      <c r="AK40">
        <f t="shared" si="14"/>
        <v>2018</v>
      </c>
      <c r="AL40" s="45">
        <f t="shared" si="52"/>
        <v>0</v>
      </c>
      <c r="AM40" s="45">
        <f t="shared" si="53"/>
        <v>0</v>
      </c>
      <c r="AN40" s="45">
        <f t="shared" si="54"/>
        <v>0</v>
      </c>
      <c r="AO40" s="45">
        <f t="shared" si="55"/>
        <v>0</v>
      </c>
      <c r="AP40" s="45">
        <f t="shared" si="56"/>
        <v>0</v>
      </c>
      <c r="AQ40" s="45">
        <f t="shared" si="57"/>
        <v>0</v>
      </c>
      <c r="AR40" s="45">
        <f t="shared" si="58"/>
        <v>0</v>
      </c>
      <c r="AS40" s="45">
        <f t="shared" si="59"/>
        <v>0</v>
      </c>
      <c r="AV40" s="45">
        <f t="shared" si="25"/>
        <v>0</v>
      </c>
    </row>
    <row r="41" spans="3:48" x14ac:dyDescent="0.3">
      <c r="C41">
        <f>Incurred_loss!R39</f>
        <v>2018</v>
      </c>
      <c r="D41" s="45">
        <f>'Cum. payments'!B160</f>
        <v>6499.894755307535</v>
      </c>
      <c r="E41" s="45">
        <f>'Cum. payments'!C160</f>
        <v>1022045.4207910561</v>
      </c>
      <c r="F41" s="45">
        <f>'Cum. payments'!D160</f>
        <v>2490990.1149421339</v>
      </c>
      <c r="G41" s="45">
        <f>'Cum. payments'!E160</f>
        <v>2616140.0032291473</v>
      </c>
      <c r="H41" s="45">
        <f>'Cum. payments'!F160</f>
        <v>3315940.3693176773</v>
      </c>
      <c r="I41" s="45">
        <f>'Cum. payments'!G160</f>
        <v>3316818.9657874438</v>
      </c>
      <c r="J41" s="45">
        <f>'Cum. payments'!H160</f>
        <v>3371799.2207738692</v>
      </c>
      <c r="K41" s="45">
        <f>'Cum. payments'!I160</f>
        <v>3373510.8018595991</v>
      </c>
      <c r="N41" s="48">
        <f>XL_Pure_Premium!$O41</f>
        <v>3372534.9303796305</v>
      </c>
      <c r="S41">
        <f t="shared" si="2"/>
        <v>2018</v>
      </c>
      <c r="T41" s="45">
        <f t="shared" si="44"/>
        <v>0</v>
      </c>
      <c r="U41" s="45">
        <f t="shared" si="45"/>
        <v>0</v>
      </c>
      <c r="V41" s="45">
        <f t="shared" si="46"/>
        <v>0</v>
      </c>
      <c r="W41" s="45">
        <f t="shared" si="47"/>
        <v>0</v>
      </c>
      <c r="X41" s="45">
        <f t="shared" si="48"/>
        <v>0</v>
      </c>
      <c r="Y41" s="45">
        <f t="shared" si="49"/>
        <v>0</v>
      </c>
      <c r="Z41" s="45">
        <f t="shared" si="50"/>
        <v>0</v>
      </c>
      <c r="AA41" s="45">
        <f t="shared" si="51"/>
        <v>0</v>
      </c>
      <c r="AD41" s="45">
        <f t="shared" si="13"/>
        <v>0</v>
      </c>
      <c r="AK41">
        <f t="shared" si="14"/>
        <v>2018</v>
      </c>
      <c r="AL41" s="45">
        <f t="shared" si="52"/>
        <v>0</v>
      </c>
      <c r="AM41" s="45">
        <f t="shared" si="53"/>
        <v>0</v>
      </c>
      <c r="AN41" s="45">
        <f t="shared" si="54"/>
        <v>0</v>
      </c>
      <c r="AO41" s="45">
        <f t="shared" si="55"/>
        <v>0</v>
      </c>
      <c r="AP41" s="45">
        <f t="shared" si="56"/>
        <v>0</v>
      </c>
      <c r="AQ41" s="45">
        <f t="shared" si="57"/>
        <v>0</v>
      </c>
      <c r="AR41" s="45">
        <f t="shared" si="58"/>
        <v>0</v>
      </c>
      <c r="AS41" s="45">
        <f t="shared" si="59"/>
        <v>0</v>
      </c>
      <c r="AV41" s="45">
        <f t="shared" si="25"/>
        <v>0</v>
      </c>
    </row>
    <row r="42" spans="3:48" x14ac:dyDescent="0.3">
      <c r="C42">
        <f>Incurred_loss!R40</f>
        <v>2018</v>
      </c>
      <c r="D42" s="45">
        <f>'Cum. payments'!B161</f>
        <v>63478.944141127969</v>
      </c>
      <c r="E42" s="45">
        <f>'Cum. payments'!C161</f>
        <v>77025.538732912173</v>
      </c>
      <c r="F42" s="45">
        <f>'Cum. payments'!D161</f>
        <v>329953.12286196841</v>
      </c>
      <c r="G42" s="45">
        <f>'Cum. payments'!E161</f>
        <v>848938.04290676373</v>
      </c>
      <c r="H42" s="45">
        <f>'Cum. payments'!F161</f>
        <v>1556833.8761508386</v>
      </c>
      <c r="I42" s="45">
        <f>'Cum. payments'!G161</f>
        <v>1710692.4940809091</v>
      </c>
      <c r="J42" s="45">
        <f>'Cum. payments'!H161</f>
        <v>1710924.2365652099</v>
      </c>
      <c r="K42" s="45">
        <f>'Cum. payments'!I161</f>
        <v>1711218.3345863237</v>
      </c>
      <c r="N42" s="48">
        <f>XL_Pure_Premium!$O42</f>
        <v>1715132.832221397</v>
      </c>
      <c r="S42">
        <f t="shared" si="2"/>
        <v>2018</v>
      </c>
      <c r="T42" s="45">
        <f t="shared" si="44"/>
        <v>0</v>
      </c>
      <c r="U42" s="45">
        <f t="shared" si="45"/>
        <v>0</v>
      </c>
      <c r="V42" s="45">
        <f t="shared" si="46"/>
        <v>0</v>
      </c>
      <c r="W42" s="45">
        <f t="shared" si="47"/>
        <v>0</v>
      </c>
      <c r="X42" s="45">
        <f t="shared" si="48"/>
        <v>0</v>
      </c>
      <c r="Y42" s="45">
        <f t="shared" si="49"/>
        <v>0</v>
      </c>
      <c r="Z42" s="45">
        <f t="shared" si="50"/>
        <v>0</v>
      </c>
      <c r="AA42" s="45">
        <f t="shared" si="51"/>
        <v>0</v>
      </c>
      <c r="AD42" s="45">
        <f t="shared" si="13"/>
        <v>0</v>
      </c>
      <c r="AK42">
        <f t="shared" si="14"/>
        <v>2018</v>
      </c>
      <c r="AL42" s="45">
        <f t="shared" si="52"/>
        <v>0</v>
      </c>
      <c r="AM42" s="45">
        <f t="shared" si="53"/>
        <v>0</v>
      </c>
      <c r="AN42" s="45">
        <f t="shared" si="54"/>
        <v>0</v>
      </c>
      <c r="AO42" s="45">
        <f t="shared" si="55"/>
        <v>0</v>
      </c>
      <c r="AP42" s="45">
        <f t="shared" si="56"/>
        <v>0</v>
      </c>
      <c r="AQ42" s="45">
        <f t="shared" si="57"/>
        <v>0</v>
      </c>
      <c r="AR42" s="45">
        <f t="shared" si="58"/>
        <v>0</v>
      </c>
      <c r="AS42" s="45">
        <f t="shared" si="59"/>
        <v>0</v>
      </c>
      <c r="AV42" s="45">
        <f t="shared" si="25"/>
        <v>0</v>
      </c>
    </row>
    <row r="43" spans="3:48" x14ac:dyDescent="0.3">
      <c r="C43">
        <f>Incurred_loss!R41</f>
        <v>2018</v>
      </c>
      <c r="D43" s="45">
        <f>'Cum. payments'!B162</f>
        <v>914296.05299005727</v>
      </c>
      <c r="E43" s="45">
        <f>'Cum. payments'!C162</f>
        <v>2020558.342465966</v>
      </c>
      <c r="F43" s="45">
        <f>'Cum. payments'!D162</f>
        <v>2497572.02885229</v>
      </c>
      <c r="G43" s="45">
        <f>'Cum. payments'!E162</f>
        <v>3558440.0613074433</v>
      </c>
      <c r="H43" s="45">
        <f>'Cum. payments'!F162</f>
        <v>3786456.2627770673</v>
      </c>
      <c r="I43" s="45">
        <f>'Cum. payments'!G162</f>
        <v>3813692.0846618116</v>
      </c>
      <c r="J43" s="45">
        <f>'Cum. payments'!H162</f>
        <v>3813743.9631920047</v>
      </c>
      <c r="K43" s="45">
        <f>'Cum. payments'!I162</f>
        <v>3813962.6244563758</v>
      </c>
      <c r="N43" s="48">
        <f>XL_Pure_Premium!$O43</f>
        <v>3815615.2480200119</v>
      </c>
      <c r="S43">
        <f t="shared" si="2"/>
        <v>2018</v>
      </c>
      <c r="T43" s="45">
        <f t="shared" si="44"/>
        <v>0</v>
      </c>
      <c r="U43" s="45">
        <f t="shared" si="45"/>
        <v>0</v>
      </c>
      <c r="V43" s="45">
        <f t="shared" si="46"/>
        <v>0</v>
      </c>
      <c r="W43" s="45">
        <f t="shared" si="47"/>
        <v>0</v>
      </c>
      <c r="X43" s="45">
        <f t="shared" si="48"/>
        <v>0</v>
      </c>
      <c r="Y43" s="45">
        <f t="shared" si="49"/>
        <v>0</v>
      </c>
      <c r="Z43" s="45">
        <f t="shared" si="50"/>
        <v>0</v>
      </c>
      <c r="AA43" s="45">
        <f t="shared" si="51"/>
        <v>0</v>
      </c>
      <c r="AD43" s="45">
        <f t="shared" si="13"/>
        <v>0</v>
      </c>
      <c r="AK43">
        <f t="shared" si="14"/>
        <v>2018</v>
      </c>
      <c r="AL43" s="45">
        <f t="shared" si="52"/>
        <v>0</v>
      </c>
      <c r="AM43" s="45">
        <f t="shared" si="53"/>
        <v>0</v>
      </c>
      <c r="AN43" s="45">
        <f t="shared" si="54"/>
        <v>0</v>
      </c>
      <c r="AO43" s="45">
        <f t="shared" si="55"/>
        <v>0</v>
      </c>
      <c r="AP43" s="45">
        <f t="shared" si="56"/>
        <v>0</v>
      </c>
      <c r="AQ43" s="45">
        <f t="shared" si="57"/>
        <v>0</v>
      </c>
      <c r="AR43" s="45">
        <f t="shared" si="58"/>
        <v>0</v>
      </c>
      <c r="AS43" s="45">
        <f t="shared" si="59"/>
        <v>0</v>
      </c>
      <c r="AV43" s="45">
        <f t="shared" si="25"/>
        <v>0</v>
      </c>
    </row>
    <row r="44" spans="3:48" x14ac:dyDescent="0.3">
      <c r="C44">
        <f>Incurred_loss!R42</f>
        <v>2019</v>
      </c>
      <c r="D44" s="45">
        <f>'Cum. payments'!B163</f>
        <v>168973.78035162904</v>
      </c>
      <c r="E44" s="45">
        <f>'Cum. payments'!C163</f>
        <v>936744.06661670958</v>
      </c>
      <c r="F44" s="45">
        <f>'Cum. payments'!D163</f>
        <v>937999.73085630185</v>
      </c>
      <c r="G44" s="45">
        <f>'Cum. payments'!E163</f>
        <v>1874715.0862154691</v>
      </c>
      <c r="H44" s="45">
        <f>'Cum. payments'!F163</f>
        <v>2057613.798931991</v>
      </c>
      <c r="I44" s="45">
        <f>'Cum. payments'!G163</f>
        <v>2121748.0385414604</v>
      </c>
      <c r="J44" s="45">
        <f>'Cum. payments'!H163</f>
        <v>2151311.6992805554</v>
      </c>
      <c r="N44" s="48">
        <f>XL_Pure_Premium!$O44</f>
        <v>2177208.8676567837</v>
      </c>
      <c r="S44">
        <f t="shared" si="2"/>
        <v>2019</v>
      </c>
      <c r="T44" s="45">
        <f t="shared" ref="T44:T58" si="60">MIN(MAX(D44-$S$2,0),$Q$2)</f>
        <v>0</v>
      </c>
      <c r="U44" s="45">
        <f t="shared" ref="U44:U58" si="61">MIN(MAX(E44-$S$2,0),$Q$2)</f>
        <v>0</v>
      </c>
      <c r="V44" s="45">
        <f t="shared" ref="V44:V58" si="62">MIN(MAX(F44-$S$2,0),$Q$2)</f>
        <v>0</v>
      </c>
      <c r="W44" s="45">
        <f t="shared" ref="W44:W58" si="63">MIN(MAX(G44-$S$2,0),$Q$2)</f>
        <v>0</v>
      </c>
      <c r="X44" s="45">
        <f t="shared" ref="X44:X58" si="64">MIN(MAX(H44-$S$2,0),$Q$2)</f>
        <v>0</v>
      </c>
      <c r="Y44" s="45">
        <f t="shared" ref="Y44:Y58" si="65">MIN(MAX(I44-$S$2,0),$Q$2)</f>
        <v>0</v>
      </c>
      <c r="Z44" s="45">
        <f t="shared" ref="Z44:Z58" si="66">MIN(MAX(J44-$S$2,0),$Q$2)</f>
        <v>0</v>
      </c>
      <c r="AD44" s="45">
        <f t="shared" si="13"/>
        <v>0</v>
      </c>
      <c r="AK44">
        <f t="shared" si="14"/>
        <v>2019</v>
      </c>
      <c r="AL44" s="45">
        <f t="shared" ref="AL44:AL58" si="67">MIN(MAX(D44-$AK$2,0),$AI$2)</f>
        <v>0</v>
      </c>
      <c r="AM44" s="45">
        <f t="shared" ref="AM44:AM58" si="68">MIN(MAX(E44-$AK$2,0),$AI$2)</f>
        <v>0</v>
      </c>
      <c r="AN44" s="45">
        <f t="shared" ref="AN44:AN58" si="69">MIN(MAX(F44-$AK$2,0),$AI$2)</f>
        <v>0</v>
      </c>
      <c r="AO44" s="45">
        <f t="shared" ref="AO44:AO58" si="70">MIN(MAX(G44-$AK$2,0),$AI$2)</f>
        <v>0</v>
      </c>
      <c r="AP44" s="45">
        <f t="shared" ref="AP44:AP58" si="71">MIN(MAX(H44-$AK$2,0),$AI$2)</f>
        <v>0</v>
      </c>
      <c r="AQ44" s="45">
        <f t="shared" ref="AQ44:AQ58" si="72">MIN(MAX(I44-$AK$2,0),$AI$2)</f>
        <v>0</v>
      </c>
      <c r="AR44" s="45">
        <f t="shared" ref="AR44:AR58" si="73">MIN(MAX(J44-$AK$2,0),$AI$2)</f>
        <v>0</v>
      </c>
      <c r="AV44" s="45">
        <f t="shared" si="25"/>
        <v>0</v>
      </c>
    </row>
    <row r="45" spans="3:48" x14ac:dyDescent="0.3">
      <c r="C45">
        <f>Incurred_loss!R43</f>
        <v>2019</v>
      </c>
      <c r="D45" s="45">
        <f>'Cum. payments'!B164</f>
        <v>62607.732625629549</v>
      </c>
      <c r="E45" s="45">
        <f>'Cum. payments'!C164</f>
        <v>64095.525651306663</v>
      </c>
      <c r="F45" s="45">
        <f>'Cum. payments'!D164</f>
        <v>954901.60999873152</v>
      </c>
      <c r="G45" s="45">
        <f>'Cum. payments'!E164</f>
        <v>955481.36917335668</v>
      </c>
      <c r="H45" s="45">
        <f>'Cum. payments'!F164</f>
        <v>1380649.0299392659</v>
      </c>
      <c r="I45" s="45">
        <f>'Cum. payments'!G164</f>
        <v>1439470.3567273675</v>
      </c>
      <c r="J45" s="45">
        <f>'Cum. payments'!H164</f>
        <v>1528542.3020188087</v>
      </c>
      <c r="N45" s="48">
        <f>XL_Pure_Premium!$O45</f>
        <v>1610218.2260685933</v>
      </c>
      <c r="S45">
        <f t="shared" si="2"/>
        <v>2019</v>
      </c>
      <c r="T45" s="45">
        <f t="shared" si="60"/>
        <v>0</v>
      </c>
      <c r="U45" s="45">
        <f t="shared" si="61"/>
        <v>0</v>
      </c>
      <c r="V45" s="45">
        <f t="shared" si="62"/>
        <v>0</v>
      </c>
      <c r="W45" s="45">
        <f t="shared" si="63"/>
        <v>0</v>
      </c>
      <c r="X45" s="45">
        <f t="shared" si="64"/>
        <v>0</v>
      </c>
      <c r="Y45" s="45">
        <f t="shared" si="65"/>
        <v>0</v>
      </c>
      <c r="Z45" s="45">
        <f t="shared" si="66"/>
        <v>0</v>
      </c>
      <c r="AD45" s="45">
        <f t="shared" si="13"/>
        <v>0</v>
      </c>
      <c r="AK45">
        <f t="shared" si="14"/>
        <v>2019</v>
      </c>
      <c r="AL45" s="45">
        <f t="shared" si="67"/>
        <v>0</v>
      </c>
      <c r="AM45" s="45">
        <f t="shared" si="68"/>
        <v>0</v>
      </c>
      <c r="AN45" s="45">
        <f t="shared" si="69"/>
        <v>0</v>
      </c>
      <c r="AO45" s="45">
        <f t="shared" si="70"/>
        <v>0</v>
      </c>
      <c r="AP45" s="45">
        <f t="shared" si="71"/>
        <v>0</v>
      </c>
      <c r="AQ45" s="45">
        <f t="shared" si="72"/>
        <v>0</v>
      </c>
      <c r="AR45" s="45">
        <f t="shared" si="73"/>
        <v>0</v>
      </c>
      <c r="AV45" s="45">
        <f t="shared" si="25"/>
        <v>0</v>
      </c>
    </row>
    <row r="46" spans="3:48" x14ac:dyDescent="0.3">
      <c r="C46">
        <f>Incurred_loss!R44</f>
        <v>2019</v>
      </c>
      <c r="D46" s="45">
        <f>'Cum. payments'!B165</f>
        <v>749046.38022164872</v>
      </c>
      <c r="E46" s="45">
        <f>'Cum. payments'!C165</f>
        <v>766953.75190999208</v>
      </c>
      <c r="F46" s="45">
        <f>'Cum. payments'!D165</f>
        <v>809706.65805516229</v>
      </c>
      <c r="G46" s="45">
        <f>'Cum. payments'!E165</f>
        <v>810646.91446565825</v>
      </c>
      <c r="H46" s="45">
        <f>'Cum. payments'!F165</f>
        <v>1319621.0254616053</v>
      </c>
      <c r="I46" s="45">
        <f>'Cum. payments'!G165</f>
        <v>1693934.1449042491</v>
      </c>
      <c r="J46" s="45">
        <f>'Cum. payments'!H165</f>
        <v>1950367.3151530519</v>
      </c>
      <c r="N46" s="48">
        <f>XL_Pure_Premium!$O46</f>
        <v>1996897.3728073603</v>
      </c>
      <c r="S46">
        <f t="shared" si="2"/>
        <v>2019</v>
      </c>
      <c r="T46" s="45">
        <f t="shared" si="60"/>
        <v>0</v>
      </c>
      <c r="U46" s="45">
        <f t="shared" si="61"/>
        <v>0</v>
      </c>
      <c r="V46" s="45">
        <f t="shared" si="62"/>
        <v>0</v>
      </c>
      <c r="W46" s="45">
        <f t="shared" si="63"/>
        <v>0</v>
      </c>
      <c r="X46" s="45">
        <f t="shared" si="64"/>
        <v>0</v>
      </c>
      <c r="Y46" s="45">
        <f t="shared" si="65"/>
        <v>0</v>
      </c>
      <c r="Z46" s="45">
        <f t="shared" si="66"/>
        <v>0</v>
      </c>
      <c r="AD46" s="45">
        <f t="shared" si="13"/>
        <v>0</v>
      </c>
      <c r="AK46">
        <f t="shared" si="14"/>
        <v>2019</v>
      </c>
      <c r="AL46" s="45">
        <f t="shared" si="67"/>
        <v>0</v>
      </c>
      <c r="AM46" s="45">
        <f t="shared" si="68"/>
        <v>0</v>
      </c>
      <c r="AN46" s="45">
        <f t="shared" si="69"/>
        <v>0</v>
      </c>
      <c r="AO46" s="45">
        <f t="shared" si="70"/>
        <v>0</v>
      </c>
      <c r="AP46" s="45">
        <f t="shared" si="71"/>
        <v>0</v>
      </c>
      <c r="AQ46" s="45">
        <f t="shared" si="72"/>
        <v>0</v>
      </c>
      <c r="AR46" s="45">
        <f t="shared" si="73"/>
        <v>0</v>
      </c>
      <c r="AV46" s="45">
        <f t="shared" si="25"/>
        <v>0</v>
      </c>
    </row>
    <row r="47" spans="3:48" x14ac:dyDescent="0.3">
      <c r="C47">
        <f>Incurred_loss!R45</f>
        <v>2019</v>
      </c>
      <c r="D47" s="45">
        <f>'Cum. payments'!B166</f>
        <v>240378.68115575085</v>
      </c>
      <c r="E47" s="45">
        <f>'Cum. payments'!C166</f>
        <v>283251.9514711863</v>
      </c>
      <c r="F47" s="45">
        <f>'Cum. payments'!D166</f>
        <v>761359.89442496782</v>
      </c>
      <c r="G47" s="45">
        <f>'Cum. payments'!E166</f>
        <v>1057851.7555558558</v>
      </c>
      <c r="H47" s="45">
        <f>'Cum. payments'!F166</f>
        <v>1124531.3186409744</v>
      </c>
      <c r="I47" s="45">
        <f>'Cum. payments'!G166</f>
        <v>1143311.339822989</v>
      </c>
      <c r="J47" s="45">
        <f>'Cum. payments'!H166</f>
        <v>1154129.9299958206</v>
      </c>
      <c r="N47" s="48">
        <f>XL_Pure_Premium!$O47</f>
        <v>1161840.6785902136</v>
      </c>
      <c r="S47">
        <f t="shared" si="2"/>
        <v>2019</v>
      </c>
      <c r="T47" s="45">
        <f t="shared" si="60"/>
        <v>0</v>
      </c>
      <c r="U47" s="45">
        <f t="shared" si="61"/>
        <v>0</v>
      </c>
      <c r="V47" s="45">
        <f t="shared" si="62"/>
        <v>0</v>
      </c>
      <c r="W47" s="45">
        <f t="shared" si="63"/>
        <v>0</v>
      </c>
      <c r="X47" s="45">
        <f t="shared" si="64"/>
        <v>0</v>
      </c>
      <c r="Y47" s="45">
        <f t="shared" si="65"/>
        <v>0</v>
      </c>
      <c r="Z47" s="45">
        <f t="shared" si="66"/>
        <v>0</v>
      </c>
      <c r="AD47" s="45">
        <f t="shared" si="13"/>
        <v>0</v>
      </c>
      <c r="AK47">
        <f t="shared" si="14"/>
        <v>2019</v>
      </c>
      <c r="AL47" s="45">
        <f t="shared" si="67"/>
        <v>0</v>
      </c>
      <c r="AM47" s="45">
        <f t="shared" si="68"/>
        <v>0</v>
      </c>
      <c r="AN47" s="45">
        <f t="shared" si="69"/>
        <v>0</v>
      </c>
      <c r="AO47" s="45">
        <f t="shared" si="70"/>
        <v>0</v>
      </c>
      <c r="AP47" s="45">
        <f t="shared" si="71"/>
        <v>0</v>
      </c>
      <c r="AQ47" s="45">
        <f t="shared" si="72"/>
        <v>0</v>
      </c>
      <c r="AR47" s="45">
        <f t="shared" si="73"/>
        <v>0</v>
      </c>
      <c r="AV47" s="45">
        <f t="shared" si="25"/>
        <v>0</v>
      </c>
    </row>
    <row r="48" spans="3:48" x14ac:dyDescent="0.3">
      <c r="C48">
        <f>Incurred_loss!R46</f>
        <v>2019</v>
      </c>
      <c r="D48" s="45">
        <f>'Cum. payments'!B167</f>
        <v>70614.939377711897</v>
      </c>
      <c r="E48" s="45">
        <f>'Cum. payments'!C167</f>
        <v>163983.57217671888</v>
      </c>
      <c r="F48" s="45">
        <f>'Cum. payments'!D167</f>
        <v>268457.93278934417</v>
      </c>
      <c r="G48" s="45">
        <f>'Cum. payments'!E167</f>
        <v>312168.65453076636</v>
      </c>
      <c r="H48" s="45">
        <f>'Cum. payments'!F167</f>
        <v>879193.98144943849</v>
      </c>
      <c r="I48" s="45">
        <f>'Cum. payments'!G167</f>
        <v>1631535.9157975432</v>
      </c>
      <c r="J48" s="45">
        <f>'Cum. payments'!H167</f>
        <v>1760569.9407081935</v>
      </c>
      <c r="N48" s="48">
        <f>XL_Pure_Premium!$O48</f>
        <v>2118991.5501196464</v>
      </c>
      <c r="S48">
        <f t="shared" si="2"/>
        <v>2019</v>
      </c>
      <c r="T48" s="45">
        <f t="shared" si="60"/>
        <v>0</v>
      </c>
      <c r="U48" s="45">
        <f t="shared" si="61"/>
        <v>0</v>
      </c>
      <c r="V48" s="45">
        <f t="shared" si="62"/>
        <v>0</v>
      </c>
      <c r="W48" s="45">
        <f t="shared" si="63"/>
        <v>0</v>
      </c>
      <c r="X48" s="45">
        <f t="shared" si="64"/>
        <v>0</v>
      </c>
      <c r="Y48" s="45">
        <f t="shared" si="65"/>
        <v>0</v>
      </c>
      <c r="Z48" s="45">
        <f t="shared" si="66"/>
        <v>0</v>
      </c>
      <c r="AD48" s="45">
        <f t="shared" si="13"/>
        <v>0</v>
      </c>
      <c r="AK48">
        <f t="shared" si="14"/>
        <v>2019</v>
      </c>
      <c r="AL48" s="45">
        <f t="shared" si="67"/>
        <v>0</v>
      </c>
      <c r="AM48" s="45">
        <f t="shared" si="68"/>
        <v>0</v>
      </c>
      <c r="AN48" s="45">
        <f t="shared" si="69"/>
        <v>0</v>
      </c>
      <c r="AO48" s="45">
        <f t="shared" si="70"/>
        <v>0</v>
      </c>
      <c r="AP48" s="45">
        <f t="shared" si="71"/>
        <v>0</v>
      </c>
      <c r="AQ48" s="45">
        <f t="shared" si="72"/>
        <v>0</v>
      </c>
      <c r="AR48" s="45">
        <f t="shared" si="73"/>
        <v>0</v>
      </c>
      <c r="AV48" s="45">
        <f t="shared" si="25"/>
        <v>0</v>
      </c>
    </row>
    <row r="49" spans="3:48" x14ac:dyDescent="0.3">
      <c r="C49">
        <f>Incurred_loss!R47</f>
        <v>2019</v>
      </c>
      <c r="D49" s="45">
        <f>'Cum. payments'!B168</f>
        <v>31835.750945092957</v>
      </c>
      <c r="E49" s="45">
        <f>'Cum. payments'!C168</f>
        <v>154707.73575733209</v>
      </c>
      <c r="F49" s="45">
        <f>'Cum. payments'!D168</f>
        <v>391217.28798236931</v>
      </c>
      <c r="G49" s="45">
        <f>'Cum. payments'!E168</f>
        <v>460647.47734745021</v>
      </c>
      <c r="H49" s="45">
        <f>'Cum. payments'!F168</f>
        <v>639459.27935429884</v>
      </c>
      <c r="I49" s="45">
        <f>'Cum. payments'!G168</f>
        <v>1276469.9629877373</v>
      </c>
      <c r="J49" s="45">
        <f>'Cum. payments'!H168</f>
        <v>1276943.7326384482</v>
      </c>
      <c r="N49" s="48">
        <f>XL_Pure_Premium!$O49</f>
        <v>1321665.370585145</v>
      </c>
      <c r="S49">
        <f t="shared" si="2"/>
        <v>2019</v>
      </c>
      <c r="T49" s="45">
        <f t="shared" si="60"/>
        <v>0</v>
      </c>
      <c r="U49" s="45">
        <f t="shared" si="61"/>
        <v>0</v>
      </c>
      <c r="V49" s="45">
        <f t="shared" si="62"/>
        <v>0</v>
      </c>
      <c r="W49" s="45">
        <f t="shared" si="63"/>
        <v>0</v>
      </c>
      <c r="X49" s="45">
        <f t="shared" si="64"/>
        <v>0</v>
      </c>
      <c r="Y49" s="45">
        <f t="shared" si="65"/>
        <v>0</v>
      </c>
      <c r="Z49" s="45">
        <f t="shared" si="66"/>
        <v>0</v>
      </c>
      <c r="AD49" s="45">
        <f t="shared" si="13"/>
        <v>0</v>
      </c>
      <c r="AK49">
        <f t="shared" si="14"/>
        <v>2019</v>
      </c>
      <c r="AL49" s="45">
        <f t="shared" si="67"/>
        <v>0</v>
      </c>
      <c r="AM49" s="45">
        <f t="shared" si="68"/>
        <v>0</v>
      </c>
      <c r="AN49" s="45">
        <f t="shared" si="69"/>
        <v>0</v>
      </c>
      <c r="AO49" s="45">
        <f t="shared" si="70"/>
        <v>0</v>
      </c>
      <c r="AP49" s="45">
        <f t="shared" si="71"/>
        <v>0</v>
      </c>
      <c r="AQ49" s="45">
        <f t="shared" si="72"/>
        <v>0</v>
      </c>
      <c r="AR49" s="45">
        <f t="shared" si="73"/>
        <v>0</v>
      </c>
      <c r="AV49" s="45">
        <f t="shared" si="25"/>
        <v>0</v>
      </c>
    </row>
    <row r="50" spans="3:48" x14ac:dyDescent="0.3">
      <c r="C50">
        <f>Incurred_loss!R48</f>
        <v>2019</v>
      </c>
      <c r="D50" s="45">
        <f>'Cum. payments'!B169</f>
        <v>666867.36346154672</v>
      </c>
      <c r="E50" s="45">
        <f>'Cum. payments'!C169</f>
        <v>3017225.1684260797</v>
      </c>
      <c r="F50" s="45">
        <f>'Cum. payments'!D169</f>
        <v>3129816.7473597419</v>
      </c>
      <c r="G50" s="45">
        <f>'Cum. payments'!E169</f>
        <v>3831807.1607746361</v>
      </c>
      <c r="H50" s="45">
        <f>'Cum. payments'!F169</f>
        <v>3968259.9967426006</v>
      </c>
      <c r="I50" s="45">
        <f>'Cum. payments'!G169</f>
        <v>4020401.8948135967</v>
      </c>
      <c r="J50" s="45">
        <f>'Cum. payments'!H169</f>
        <v>4026906.7921500159</v>
      </c>
      <c r="N50" s="48">
        <f>XL_Pure_Premium!$O50</f>
        <v>4039462.1044144831</v>
      </c>
      <c r="S50">
        <f t="shared" si="2"/>
        <v>2019</v>
      </c>
      <c r="T50" s="45">
        <f t="shared" si="60"/>
        <v>0</v>
      </c>
      <c r="U50" s="45">
        <f t="shared" si="61"/>
        <v>0</v>
      </c>
      <c r="V50" s="45">
        <f t="shared" si="62"/>
        <v>0</v>
      </c>
      <c r="W50" s="45">
        <f t="shared" si="63"/>
        <v>0</v>
      </c>
      <c r="X50" s="45">
        <f t="shared" si="64"/>
        <v>0</v>
      </c>
      <c r="Y50" s="45">
        <f t="shared" si="65"/>
        <v>20401.894813596737</v>
      </c>
      <c r="Z50" s="45">
        <f t="shared" si="66"/>
        <v>26906.792150015943</v>
      </c>
      <c r="AD50" s="45">
        <f t="shared" si="13"/>
        <v>39462.104414483067</v>
      </c>
      <c r="AK50">
        <f t="shared" si="14"/>
        <v>2019</v>
      </c>
      <c r="AL50" s="45">
        <f t="shared" si="67"/>
        <v>0</v>
      </c>
      <c r="AM50" s="45">
        <f t="shared" si="68"/>
        <v>0</v>
      </c>
      <c r="AN50" s="45">
        <f t="shared" si="69"/>
        <v>0</v>
      </c>
      <c r="AO50" s="45">
        <f t="shared" si="70"/>
        <v>0</v>
      </c>
      <c r="AP50" s="45">
        <f t="shared" si="71"/>
        <v>0</v>
      </c>
      <c r="AQ50" s="45">
        <f t="shared" si="72"/>
        <v>0</v>
      </c>
      <c r="AR50" s="45">
        <f t="shared" si="73"/>
        <v>0</v>
      </c>
      <c r="AV50" s="45">
        <f t="shared" si="25"/>
        <v>0</v>
      </c>
    </row>
    <row r="51" spans="3:48" x14ac:dyDescent="0.3">
      <c r="C51">
        <f>Incurred_loss!R49</f>
        <v>2019</v>
      </c>
      <c r="D51" s="45">
        <f>'Cum. payments'!B170</f>
        <v>518172.51290278276</v>
      </c>
      <c r="E51" s="45">
        <f>'Cum. payments'!C170</f>
        <v>650297.78601222637</v>
      </c>
      <c r="F51" s="45">
        <f>'Cum. payments'!D170</f>
        <v>847675.16253139568</v>
      </c>
      <c r="G51" s="45">
        <f>'Cum. payments'!E170</f>
        <v>859783.37817956845</v>
      </c>
      <c r="H51" s="45">
        <f>'Cum. payments'!F170</f>
        <v>1009373.8032160179</v>
      </c>
      <c r="I51" s="45">
        <f>'Cum. payments'!G170</f>
        <v>1047855.305543158</v>
      </c>
      <c r="J51" s="45">
        <f>'Cum. payments'!H170</f>
        <v>1079860.0098929908</v>
      </c>
      <c r="N51" s="48">
        <f>XL_Pure_Premium!$O51</f>
        <v>1081986.7947487913</v>
      </c>
      <c r="S51">
        <f t="shared" si="2"/>
        <v>2019</v>
      </c>
      <c r="T51" s="45">
        <f t="shared" si="60"/>
        <v>0</v>
      </c>
      <c r="U51" s="45">
        <f t="shared" si="61"/>
        <v>0</v>
      </c>
      <c r="V51" s="45">
        <f t="shared" si="62"/>
        <v>0</v>
      </c>
      <c r="W51" s="45">
        <f t="shared" si="63"/>
        <v>0</v>
      </c>
      <c r="X51" s="45">
        <f t="shared" si="64"/>
        <v>0</v>
      </c>
      <c r="Y51" s="45">
        <f t="shared" si="65"/>
        <v>0</v>
      </c>
      <c r="Z51" s="45">
        <f t="shared" si="66"/>
        <v>0</v>
      </c>
      <c r="AD51" s="45">
        <f t="shared" si="13"/>
        <v>0</v>
      </c>
      <c r="AK51">
        <f t="shared" si="14"/>
        <v>2019</v>
      </c>
      <c r="AL51" s="45">
        <f t="shared" si="67"/>
        <v>0</v>
      </c>
      <c r="AM51" s="45">
        <f t="shared" si="68"/>
        <v>0</v>
      </c>
      <c r="AN51" s="45">
        <f t="shared" si="69"/>
        <v>0</v>
      </c>
      <c r="AO51" s="45">
        <f t="shared" si="70"/>
        <v>0</v>
      </c>
      <c r="AP51" s="45">
        <f t="shared" si="71"/>
        <v>0</v>
      </c>
      <c r="AQ51" s="45">
        <f t="shared" si="72"/>
        <v>0</v>
      </c>
      <c r="AR51" s="45">
        <f t="shared" si="73"/>
        <v>0</v>
      </c>
      <c r="AV51" s="45">
        <f t="shared" si="25"/>
        <v>0</v>
      </c>
    </row>
    <row r="52" spans="3:48" x14ac:dyDescent="0.3">
      <c r="C52">
        <f>Incurred_loss!R50</f>
        <v>2019</v>
      </c>
      <c r="D52" s="45">
        <f>'Cum. payments'!B171</f>
        <v>59834.956477522814</v>
      </c>
      <c r="E52" s="45">
        <f>'Cum. payments'!C171</f>
        <v>144622.10348478434</v>
      </c>
      <c r="F52" s="45">
        <f>'Cum. payments'!D171</f>
        <v>646208.57350024721</v>
      </c>
      <c r="G52" s="45">
        <f>'Cum. payments'!E171</f>
        <v>1732640.4263843263</v>
      </c>
      <c r="H52" s="45">
        <f>'Cum. payments'!F171</f>
        <v>1829843.109387985</v>
      </c>
      <c r="I52" s="45">
        <f>'Cum. payments'!G171</f>
        <v>1976455.977607666</v>
      </c>
      <c r="J52" s="45">
        <f>'Cum. payments'!H171</f>
        <v>2303112.0505889971</v>
      </c>
      <c r="N52" s="48">
        <f>XL_Pure_Premium!$O52</f>
        <v>2564043.2208684739</v>
      </c>
      <c r="S52">
        <f t="shared" si="2"/>
        <v>2019</v>
      </c>
      <c r="T52" s="45">
        <f t="shared" si="60"/>
        <v>0</v>
      </c>
      <c r="U52" s="45">
        <f t="shared" si="61"/>
        <v>0</v>
      </c>
      <c r="V52" s="45">
        <f t="shared" si="62"/>
        <v>0</v>
      </c>
      <c r="W52" s="45">
        <f t="shared" si="63"/>
        <v>0</v>
      </c>
      <c r="X52" s="45">
        <f t="shared" si="64"/>
        <v>0</v>
      </c>
      <c r="Y52" s="45">
        <f t="shared" si="65"/>
        <v>0</v>
      </c>
      <c r="Z52" s="45">
        <f t="shared" si="66"/>
        <v>0</v>
      </c>
      <c r="AD52" s="45">
        <f t="shared" si="13"/>
        <v>0</v>
      </c>
      <c r="AK52">
        <f t="shared" si="14"/>
        <v>2019</v>
      </c>
      <c r="AL52" s="45">
        <f t="shared" si="67"/>
        <v>0</v>
      </c>
      <c r="AM52" s="45">
        <f t="shared" si="68"/>
        <v>0</v>
      </c>
      <c r="AN52" s="45">
        <f t="shared" si="69"/>
        <v>0</v>
      </c>
      <c r="AO52" s="45">
        <f t="shared" si="70"/>
        <v>0</v>
      </c>
      <c r="AP52" s="45">
        <f t="shared" si="71"/>
        <v>0</v>
      </c>
      <c r="AQ52" s="45">
        <f t="shared" si="72"/>
        <v>0</v>
      </c>
      <c r="AR52" s="45">
        <f t="shared" si="73"/>
        <v>0</v>
      </c>
      <c r="AV52" s="45">
        <f t="shared" si="25"/>
        <v>0</v>
      </c>
    </row>
    <row r="53" spans="3:48" x14ac:dyDescent="0.3">
      <c r="C53">
        <f>Incurred_loss!R51</f>
        <v>2019</v>
      </c>
      <c r="D53" s="45">
        <f>'Cum. payments'!B172</f>
        <v>302275.43280873034</v>
      </c>
      <c r="E53" s="45">
        <f>'Cum. payments'!C172</f>
        <v>1858641.284996052</v>
      </c>
      <c r="F53" s="45">
        <f>'Cum. payments'!D172</f>
        <v>3683932.6089783339</v>
      </c>
      <c r="G53" s="45">
        <f>'Cum. payments'!E172</f>
        <v>3744918.2693090192</v>
      </c>
      <c r="H53" s="45">
        <f>'Cum. payments'!F172</f>
        <v>3819646.8723584181</v>
      </c>
      <c r="I53" s="45">
        <f>'Cum. payments'!G172</f>
        <v>3841342.1375376899</v>
      </c>
      <c r="J53" s="45">
        <f>'Cum. payments'!H172</f>
        <v>3847201.9172138553</v>
      </c>
      <c r="N53" s="48">
        <f>XL_Pure_Premium!$O53</f>
        <v>3868344.5182273458</v>
      </c>
      <c r="S53">
        <f t="shared" si="2"/>
        <v>2019</v>
      </c>
      <c r="T53" s="45">
        <f t="shared" si="60"/>
        <v>0</v>
      </c>
      <c r="U53" s="45">
        <f t="shared" si="61"/>
        <v>0</v>
      </c>
      <c r="V53" s="45">
        <f t="shared" si="62"/>
        <v>0</v>
      </c>
      <c r="W53" s="45">
        <f t="shared" si="63"/>
        <v>0</v>
      </c>
      <c r="X53" s="45">
        <f t="shared" si="64"/>
        <v>0</v>
      </c>
      <c r="Y53" s="45">
        <f t="shared" si="65"/>
        <v>0</v>
      </c>
      <c r="Z53" s="45">
        <f t="shared" si="66"/>
        <v>0</v>
      </c>
      <c r="AD53" s="45">
        <f t="shared" si="13"/>
        <v>0</v>
      </c>
      <c r="AK53">
        <f t="shared" si="14"/>
        <v>2019</v>
      </c>
      <c r="AL53" s="45">
        <f t="shared" si="67"/>
        <v>0</v>
      </c>
      <c r="AM53" s="45">
        <f t="shared" si="68"/>
        <v>0</v>
      </c>
      <c r="AN53" s="45">
        <f t="shared" si="69"/>
        <v>0</v>
      </c>
      <c r="AO53" s="45">
        <f t="shared" si="70"/>
        <v>0</v>
      </c>
      <c r="AP53" s="45">
        <f t="shared" si="71"/>
        <v>0</v>
      </c>
      <c r="AQ53" s="45">
        <f t="shared" si="72"/>
        <v>0</v>
      </c>
      <c r="AR53" s="45">
        <f t="shared" si="73"/>
        <v>0</v>
      </c>
      <c r="AV53" s="45">
        <f t="shared" si="25"/>
        <v>0</v>
      </c>
    </row>
    <row r="54" spans="3:48" x14ac:dyDescent="0.3">
      <c r="C54">
        <f>Incurred_loss!R52</f>
        <v>2019</v>
      </c>
      <c r="D54" s="45">
        <f>'Cum. payments'!B173</f>
        <v>520770.34161322616</v>
      </c>
      <c r="E54" s="45">
        <f>'Cum. payments'!C173</f>
        <v>770165.02527884115</v>
      </c>
      <c r="F54" s="45">
        <f>'Cum. payments'!D173</f>
        <v>772904.96263520361</v>
      </c>
      <c r="G54" s="45">
        <f>'Cum. payments'!E173</f>
        <v>1189638.5360987645</v>
      </c>
      <c r="H54" s="45">
        <f>'Cum. payments'!F173</f>
        <v>2011134.7180669694</v>
      </c>
      <c r="I54" s="45">
        <f>'Cum. payments'!G173</f>
        <v>2034692.6740511602</v>
      </c>
      <c r="J54" s="45">
        <f>'Cum. payments'!H173</f>
        <v>2035613.581078694</v>
      </c>
      <c r="N54" s="48">
        <f>XL_Pure_Premium!$O54</f>
        <v>2045657.7314050756</v>
      </c>
      <c r="S54">
        <f t="shared" si="2"/>
        <v>2019</v>
      </c>
      <c r="T54" s="45">
        <f t="shared" si="60"/>
        <v>0</v>
      </c>
      <c r="U54" s="45">
        <f t="shared" si="61"/>
        <v>0</v>
      </c>
      <c r="V54" s="45">
        <f t="shared" si="62"/>
        <v>0</v>
      </c>
      <c r="W54" s="45">
        <f t="shared" si="63"/>
        <v>0</v>
      </c>
      <c r="X54" s="45">
        <f t="shared" si="64"/>
        <v>0</v>
      </c>
      <c r="Y54" s="45">
        <f t="shared" si="65"/>
        <v>0</v>
      </c>
      <c r="Z54" s="45">
        <f t="shared" si="66"/>
        <v>0</v>
      </c>
      <c r="AD54" s="45">
        <f t="shared" si="13"/>
        <v>0</v>
      </c>
      <c r="AK54">
        <f t="shared" si="14"/>
        <v>2019</v>
      </c>
      <c r="AL54" s="45">
        <f t="shared" si="67"/>
        <v>0</v>
      </c>
      <c r="AM54" s="45">
        <f t="shared" si="68"/>
        <v>0</v>
      </c>
      <c r="AN54" s="45">
        <f t="shared" si="69"/>
        <v>0</v>
      </c>
      <c r="AO54" s="45">
        <f t="shared" si="70"/>
        <v>0</v>
      </c>
      <c r="AP54" s="45">
        <f t="shared" si="71"/>
        <v>0</v>
      </c>
      <c r="AQ54" s="45">
        <f t="shared" si="72"/>
        <v>0</v>
      </c>
      <c r="AR54" s="45">
        <f t="shared" si="73"/>
        <v>0</v>
      </c>
      <c r="AV54" s="45">
        <f t="shared" si="25"/>
        <v>0</v>
      </c>
    </row>
    <row r="55" spans="3:48" x14ac:dyDescent="0.3">
      <c r="C55">
        <f>Incurred_loss!R53</f>
        <v>2019</v>
      </c>
      <c r="D55" s="45">
        <f>'Cum. payments'!B174</f>
        <v>56879.758015424137</v>
      </c>
      <c r="E55" s="45">
        <f>'Cum. payments'!C174</f>
        <v>334767.97605433071</v>
      </c>
      <c r="F55" s="45">
        <f>'Cum. payments'!D174</f>
        <v>354786.52456066228</v>
      </c>
      <c r="G55" s="45">
        <f>'Cum. payments'!E174</f>
        <v>535642.26855766831</v>
      </c>
      <c r="H55" s="45">
        <f>'Cum. payments'!F174</f>
        <v>900308.3096134814</v>
      </c>
      <c r="I55" s="45">
        <f>'Cum. payments'!G174</f>
        <v>1012255.4846708503</v>
      </c>
      <c r="J55" s="45">
        <f>'Cum. payments'!H174</f>
        <v>1012703.0502480392</v>
      </c>
      <c r="N55" s="48">
        <f>XL_Pure_Premium!$O55</f>
        <v>1015611.3849297244</v>
      </c>
      <c r="S55">
        <f t="shared" si="2"/>
        <v>2019</v>
      </c>
      <c r="T55" s="45">
        <f t="shared" si="60"/>
        <v>0</v>
      </c>
      <c r="U55" s="45">
        <f t="shared" si="61"/>
        <v>0</v>
      </c>
      <c r="V55" s="45">
        <f t="shared" si="62"/>
        <v>0</v>
      </c>
      <c r="W55" s="45">
        <f t="shared" si="63"/>
        <v>0</v>
      </c>
      <c r="X55" s="45">
        <f t="shared" si="64"/>
        <v>0</v>
      </c>
      <c r="Y55" s="45">
        <f t="shared" si="65"/>
        <v>0</v>
      </c>
      <c r="Z55" s="45">
        <f t="shared" si="66"/>
        <v>0</v>
      </c>
      <c r="AD55" s="45">
        <f t="shared" si="13"/>
        <v>0</v>
      </c>
      <c r="AK55">
        <f t="shared" si="14"/>
        <v>2019</v>
      </c>
      <c r="AL55" s="45">
        <f t="shared" si="67"/>
        <v>0</v>
      </c>
      <c r="AM55" s="45">
        <f t="shared" si="68"/>
        <v>0</v>
      </c>
      <c r="AN55" s="45">
        <f t="shared" si="69"/>
        <v>0</v>
      </c>
      <c r="AO55" s="45">
        <f t="shared" si="70"/>
        <v>0</v>
      </c>
      <c r="AP55" s="45">
        <f t="shared" si="71"/>
        <v>0</v>
      </c>
      <c r="AQ55" s="45">
        <f t="shared" si="72"/>
        <v>0</v>
      </c>
      <c r="AR55" s="45">
        <f t="shared" si="73"/>
        <v>0</v>
      </c>
      <c r="AV55" s="45">
        <f t="shared" si="25"/>
        <v>0</v>
      </c>
    </row>
    <row r="56" spans="3:48" x14ac:dyDescent="0.3">
      <c r="C56">
        <f>Incurred_loss!R54</f>
        <v>2019</v>
      </c>
      <c r="D56" s="45">
        <f>'Cum. payments'!B175</f>
        <v>11561.241171148036</v>
      </c>
      <c r="E56" s="45">
        <f>'Cum. payments'!C175</f>
        <v>1156812.0339360402</v>
      </c>
      <c r="F56" s="45">
        <f>'Cum. payments'!D175</f>
        <v>2405715.2570086485</v>
      </c>
      <c r="G56" s="45">
        <f>'Cum. payments'!E175</f>
        <v>4444037.9265641151</v>
      </c>
      <c r="H56" s="45">
        <f>'Cum. payments'!F175</f>
        <v>4618369.3619758729</v>
      </c>
      <c r="I56" s="45">
        <f>'Cum. payments'!G175</f>
        <v>5070676.4057252118</v>
      </c>
      <c r="J56" s="45">
        <f>'Cum. payments'!H175</f>
        <v>5116632.1933612088</v>
      </c>
      <c r="N56" s="48">
        <f>XL_Pure_Premium!$O56</f>
        <v>5153981.9384249207</v>
      </c>
      <c r="S56">
        <f t="shared" si="2"/>
        <v>2019</v>
      </c>
      <c r="T56" s="45">
        <f t="shared" si="60"/>
        <v>0</v>
      </c>
      <c r="U56" s="45">
        <f t="shared" si="61"/>
        <v>0</v>
      </c>
      <c r="V56" s="45">
        <f t="shared" si="62"/>
        <v>0</v>
      </c>
      <c r="W56" s="45">
        <f t="shared" si="63"/>
        <v>444037.9265641151</v>
      </c>
      <c r="X56" s="45">
        <f t="shared" si="64"/>
        <v>618369.36197587289</v>
      </c>
      <c r="Y56" s="45">
        <f t="shared" si="65"/>
        <v>1070676.4057252118</v>
      </c>
      <c r="Z56" s="45">
        <f t="shared" si="66"/>
        <v>1116632.1933612088</v>
      </c>
      <c r="AD56" s="45">
        <f t="shared" si="13"/>
        <v>1153981.9384249207</v>
      </c>
      <c r="AK56">
        <f t="shared" si="14"/>
        <v>2019</v>
      </c>
      <c r="AL56" s="45">
        <f t="shared" si="67"/>
        <v>0</v>
      </c>
      <c r="AM56" s="45">
        <f t="shared" si="68"/>
        <v>0</v>
      </c>
      <c r="AN56" s="45">
        <f t="shared" si="69"/>
        <v>0</v>
      </c>
      <c r="AO56" s="45">
        <f t="shared" si="70"/>
        <v>0</v>
      </c>
      <c r="AP56" s="45">
        <f t="shared" si="71"/>
        <v>0</v>
      </c>
      <c r="AQ56" s="45">
        <f t="shared" si="72"/>
        <v>0</v>
      </c>
      <c r="AR56" s="45">
        <f t="shared" si="73"/>
        <v>0</v>
      </c>
      <c r="AV56" s="45">
        <f t="shared" si="25"/>
        <v>0</v>
      </c>
    </row>
    <row r="57" spans="3:48" x14ac:dyDescent="0.3">
      <c r="C57">
        <f>Incurred_loss!R55</f>
        <v>2019</v>
      </c>
      <c r="D57" s="45">
        <f>'Cum. payments'!B176</f>
        <v>382775.67349608958</v>
      </c>
      <c r="E57" s="45">
        <f>'Cum. payments'!C176</f>
        <v>421881.86398313643</v>
      </c>
      <c r="F57" s="45">
        <f>'Cum. payments'!D176</f>
        <v>425001.43269561639</v>
      </c>
      <c r="G57" s="45">
        <f>'Cum. payments'!E176</f>
        <v>3018695.1353463843</v>
      </c>
      <c r="H57" s="45">
        <f>'Cum. payments'!F176</f>
        <v>3704447.9170867186</v>
      </c>
      <c r="I57" s="45">
        <f>'Cum. payments'!G176</f>
        <v>3846795.1906848843</v>
      </c>
      <c r="J57" s="45">
        <f>'Cum. payments'!H176</f>
        <v>4027654.0976336561</v>
      </c>
      <c r="N57" s="48">
        <f>XL_Pure_Premium!$O57</f>
        <v>4153992.5363801271</v>
      </c>
      <c r="S57">
        <f t="shared" si="2"/>
        <v>2019</v>
      </c>
      <c r="T57" s="45">
        <f t="shared" si="60"/>
        <v>0</v>
      </c>
      <c r="U57" s="45">
        <f t="shared" si="61"/>
        <v>0</v>
      </c>
      <c r="V57" s="45">
        <f t="shared" si="62"/>
        <v>0</v>
      </c>
      <c r="W57" s="45">
        <f t="shared" si="63"/>
        <v>0</v>
      </c>
      <c r="X57" s="45">
        <f t="shared" si="64"/>
        <v>0</v>
      </c>
      <c r="Y57" s="45">
        <f t="shared" si="65"/>
        <v>0</v>
      </c>
      <c r="Z57" s="45">
        <f t="shared" si="66"/>
        <v>27654.097633656114</v>
      </c>
      <c r="AD57" s="45">
        <f t="shared" si="13"/>
        <v>153992.53638012707</v>
      </c>
      <c r="AK57">
        <f t="shared" si="14"/>
        <v>2019</v>
      </c>
      <c r="AL57" s="45">
        <f t="shared" si="67"/>
        <v>0</v>
      </c>
      <c r="AM57" s="45">
        <f t="shared" si="68"/>
        <v>0</v>
      </c>
      <c r="AN57" s="45">
        <f t="shared" si="69"/>
        <v>0</v>
      </c>
      <c r="AO57" s="45">
        <f t="shared" si="70"/>
        <v>0</v>
      </c>
      <c r="AP57" s="45">
        <f t="shared" si="71"/>
        <v>0</v>
      </c>
      <c r="AQ57" s="45">
        <f t="shared" si="72"/>
        <v>0</v>
      </c>
      <c r="AR57" s="45">
        <f t="shared" si="73"/>
        <v>0</v>
      </c>
      <c r="AV57" s="45">
        <f t="shared" si="25"/>
        <v>0</v>
      </c>
    </row>
    <row r="58" spans="3:48" x14ac:dyDescent="0.3">
      <c r="C58">
        <f>Incurred_loss!R56</f>
        <v>2019</v>
      </c>
      <c r="D58" s="45">
        <f>'Cum. payments'!B177</f>
        <v>178443.30433534959</v>
      </c>
      <c r="E58" s="45">
        <f>'Cum. payments'!C177</f>
        <v>611958.94927710528</v>
      </c>
      <c r="F58" s="45">
        <f>'Cum. payments'!D177</f>
        <v>688494.49724989757</v>
      </c>
      <c r="G58" s="45">
        <f>'Cum. payments'!E177</f>
        <v>699468.58704701753</v>
      </c>
      <c r="H58" s="45">
        <f>'Cum. payments'!F177</f>
        <v>704194.11237403483</v>
      </c>
      <c r="I58" s="45">
        <f>'Cum. payments'!G177</f>
        <v>721757.45558760001</v>
      </c>
      <c r="J58" s="45">
        <f>'Cum. payments'!H177</f>
        <v>732689.99252323632</v>
      </c>
      <c r="N58" s="48">
        <f>XL_Pure_Premium!$O58</f>
        <v>932020.61643560021</v>
      </c>
      <c r="S58">
        <f t="shared" si="2"/>
        <v>2019</v>
      </c>
      <c r="T58" s="45">
        <f t="shared" si="60"/>
        <v>0</v>
      </c>
      <c r="U58" s="45">
        <f t="shared" si="61"/>
        <v>0</v>
      </c>
      <c r="V58" s="45">
        <f t="shared" si="62"/>
        <v>0</v>
      </c>
      <c r="W58" s="45">
        <f t="shared" si="63"/>
        <v>0</v>
      </c>
      <c r="X58" s="45">
        <f t="shared" si="64"/>
        <v>0</v>
      </c>
      <c r="Y58" s="45">
        <f t="shared" si="65"/>
        <v>0</v>
      </c>
      <c r="Z58" s="45">
        <f t="shared" si="66"/>
        <v>0</v>
      </c>
      <c r="AD58" s="45">
        <f t="shared" si="13"/>
        <v>0</v>
      </c>
      <c r="AK58">
        <f t="shared" si="14"/>
        <v>2019</v>
      </c>
      <c r="AL58" s="45">
        <f t="shared" si="67"/>
        <v>0</v>
      </c>
      <c r="AM58" s="45">
        <f t="shared" si="68"/>
        <v>0</v>
      </c>
      <c r="AN58" s="45">
        <f t="shared" si="69"/>
        <v>0</v>
      </c>
      <c r="AO58" s="45">
        <f t="shared" si="70"/>
        <v>0</v>
      </c>
      <c r="AP58" s="45">
        <f t="shared" si="71"/>
        <v>0</v>
      </c>
      <c r="AQ58" s="45">
        <f t="shared" si="72"/>
        <v>0</v>
      </c>
      <c r="AR58" s="45">
        <f t="shared" si="73"/>
        <v>0</v>
      </c>
      <c r="AV58" s="45">
        <f t="shared" si="25"/>
        <v>0</v>
      </c>
    </row>
    <row r="59" spans="3:48" x14ac:dyDescent="0.3">
      <c r="C59">
        <f>Incurred_loss!R57</f>
        <v>2020</v>
      </c>
      <c r="D59" s="45">
        <f>'Cum. payments'!B178</f>
        <v>136268.12093087882</v>
      </c>
      <c r="E59" s="45">
        <f>'Cum. payments'!C178</f>
        <v>563136.5470610077</v>
      </c>
      <c r="F59" s="45">
        <f>'Cum. payments'!D178</f>
        <v>577940.97080310481</v>
      </c>
      <c r="G59" s="45">
        <f>'Cum. payments'!E178</f>
        <v>1292700.7646212946</v>
      </c>
      <c r="H59" s="45">
        <f>'Cum. payments'!F178</f>
        <v>1394061.3553657788</v>
      </c>
      <c r="I59" s="45">
        <f>'Cum. payments'!G178</f>
        <v>1407562.8948764692</v>
      </c>
      <c r="N59" s="48">
        <f>XL_Pure_Premium!$O59</f>
        <v>1409460.6528003095</v>
      </c>
      <c r="S59">
        <f t="shared" si="2"/>
        <v>2020</v>
      </c>
      <c r="T59" s="45">
        <f t="shared" ref="T59:T64" si="74">MIN(MAX(D59-$S$2,0),$Q$2)</f>
        <v>0</v>
      </c>
      <c r="U59" s="45">
        <f t="shared" ref="U59:U64" si="75">MIN(MAX(E59-$S$2,0),$Q$2)</f>
        <v>0</v>
      </c>
      <c r="V59" s="45">
        <f t="shared" ref="V59:V64" si="76">MIN(MAX(F59-$S$2,0),$Q$2)</f>
        <v>0</v>
      </c>
      <c r="W59" s="45">
        <f t="shared" ref="W59:W64" si="77">MIN(MAX(G59-$S$2,0),$Q$2)</f>
        <v>0</v>
      </c>
      <c r="X59" s="45">
        <f t="shared" ref="X59:X64" si="78">MIN(MAX(H59-$S$2,0),$Q$2)</f>
        <v>0</v>
      </c>
      <c r="Y59" s="45">
        <f t="shared" ref="Y59:Y64" si="79">MIN(MAX(I59-$S$2,0),$Q$2)</f>
        <v>0</v>
      </c>
      <c r="AD59" s="45">
        <f t="shared" si="13"/>
        <v>0</v>
      </c>
      <c r="AK59">
        <f t="shared" si="14"/>
        <v>2020</v>
      </c>
      <c r="AL59" s="45">
        <f t="shared" ref="AL59:AL64" si="80">MIN(MAX(D59-$AK$2,0),$AI$2)</f>
        <v>0</v>
      </c>
      <c r="AM59" s="45">
        <f t="shared" ref="AM59:AM64" si="81">MIN(MAX(E59-$AK$2,0),$AI$2)</f>
        <v>0</v>
      </c>
      <c r="AN59" s="45">
        <f t="shared" ref="AN59:AN64" si="82">MIN(MAX(F59-$AK$2,0),$AI$2)</f>
        <v>0</v>
      </c>
      <c r="AO59" s="45">
        <f t="shared" ref="AO59:AO64" si="83">MIN(MAX(G59-$AK$2,0),$AI$2)</f>
        <v>0</v>
      </c>
      <c r="AP59" s="45">
        <f t="shared" ref="AP59:AP64" si="84">MIN(MAX(H59-$AK$2,0),$AI$2)</f>
        <v>0</v>
      </c>
      <c r="AQ59" s="45">
        <f t="shared" ref="AQ59:AQ64" si="85">MIN(MAX(I59-$AK$2,0),$AI$2)</f>
        <v>0</v>
      </c>
      <c r="AV59" s="45">
        <f t="shared" si="25"/>
        <v>0</v>
      </c>
    </row>
    <row r="60" spans="3:48" x14ac:dyDescent="0.3">
      <c r="C60">
        <f>Incurred_loss!R58</f>
        <v>2020</v>
      </c>
      <c r="D60" s="45">
        <f>'Cum. payments'!B179</f>
        <v>216610.74886295386</v>
      </c>
      <c r="E60" s="45">
        <f>'Cum. payments'!C179</f>
        <v>2069489.9223577271</v>
      </c>
      <c r="F60" s="45">
        <f>'Cum. payments'!D179</f>
        <v>3063811.5998541685</v>
      </c>
      <c r="G60" s="45">
        <f>'Cum. payments'!E179</f>
        <v>3072530.8229355002</v>
      </c>
      <c r="H60" s="45">
        <f>'Cum. payments'!F179</f>
        <v>3089023.5672485</v>
      </c>
      <c r="I60" s="45">
        <f>'Cum. payments'!G179</f>
        <v>3534190.5009272732</v>
      </c>
      <c r="N60" s="48">
        <f>XL_Pure_Premium!$O60</f>
        <v>3548480.7005490209</v>
      </c>
      <c r="S60">
        <f t="shared" si="2"/>
        <v>2020</v>
      </c>
      <c r="T60" s="45">
        <f t="shared" si="74"/>
        <v>0</v>
      </c>
      <c r="U60" s="45">
        <f t="shared" si="75"/>
        <v>0</v>
      </c>
      <c r="V60" s="45">
        <f t="shared" si="76"/>
        <v>0</v>
      </c>
      <c r="W60" s="45">
        <f t="shared" si="77"/>
        <v>0</v>
      </c>
      <c r="X60" s="45">
        <f t="shared" si="78"/>
        <v>0</v>
      </c>
      <c r="Y60" s="45">
        <f t="shared" si="79"/>
        <v>0</v>
      </c>
      <c r="AD60" s="45">
        <f t="shared" si="13"/>
        <v>0</v>
      </c>
      <c r="AK60">
        <f t="shared" si="14"/>
        <v>2020</v>
      </c>
      <c r="AL60" s="45">
        <f t="shared" si="80"/>
        <v>0</v>
      </c>
      <c r="AM60" s="45">
        <f t="shared" si="81"/>
        <v>0</v>
      </c>
      <c r="AN60" s="45">
        <f t="shared" si="82"/>
        <v>0</v>
      </c>
      <c r="AO60" s="45">
        <f t="shared" si="83"/>
        <v>0</v>
      </c>
      <c r="AP60" s="45">
        <f t="shared" si="84"/>
        <v>0</v>
      </c>
      <c r="AQ60" s="45">
        <f t="shared" si="85"/>
        <v>0</v>
      </c>
      <c r="AV60" s="45">
        <f t="shared" si="25"/>
        <v>0</v>
      </c>
    </row>
    <row r="61" spans="3:48" x14ac:dyDescent="0.3">
      <c r="C61">
        <f>Incurred_loss!R59</f>
        <v>2020</v>
      </c>
      <c r="D61" s="45">
        <f>'Cum. payments'!B180</f>
        <v>274704.64548018499</v>
      </c>
      <c r="E61" s="45">
        <f>'Cum. payments'!C180</f>
        <v>333967.22915220767</v>
      </c>
      <c r="F61" s="45">
        <f>'Cum. payments'!D180</f>
        <v>1305534.1664378229</v>
      </c>
      <c r="G61" s="45">
        <f>'Cum. payments'!E180</f>
        <v>1544479.2486169511</v>
      </c>
      <c r="H61" s="45">
        <f>'Cum. payments'!F180</f>
        <v>2245864.3787483359</v>
      </c>
      <c r="I61" s="45">
        <f>'Cum. payments'!G180</f>
        <v>2927690.0586944805</v>
      </c>
      <c r="N61" s="48">
        <f>XL_Pure_Premium!$O61</f>
        <v>3241633.388728804</v>
      </c>
      <c r="S61">
        <f t="shared" si="2"/>
        <v>2020</v>
      </c>
      <c r="T61" s="45">
        <f t="shared" si="74"/>
        <v>0</v>
      </c>
      <c r="U61" s="45">
        <f t="shared" si="75"/>
        <v>0</v>
      </c>
      <c r="V61" s="45">
        <f t="shared" si="76"/>
        <v>0</v>
      </c>
      <c r="W61" s="45">
        <f t="shared" si="77"/>
        <v>0</v>
      </c>
      <c r="X61" s="45">
        <f t="shared" si="78"/>
        <v>0</v>
      </c>
      <c r="Y61" s="45">
        <f t="shared" si="79"/>
        <v>0</v>
      </c>
      <c r="AD61" s="45">
        <f t="shared" si="13"/>
        <v>0</v>
      </c>
      <c r="AK61">
        <f t="shared" si="14"/>
        <v>2020</v>
      </c>
      <c r="AL61" s="45">
        <f t="shared" si="80"/>
        <v>0</v>
      </c>
      <c r="AM61" s="45">
        <f t="shared" si="81"/>
        <v>0</v>
      </c>
      <c r="AN61" s="45">
        <f t="shared" si="82"/>
        <v>0</v>
      </c>
      <c r="AO61" s="45">
        <f t="shared" si="83"/>
        <v>0</v>
      </c>
      <c r="AP61" s="45">
        <f t="shared" si="84"/>
        <v>0</v>
      </c>
      <c r="AQ61" s="45">
        <f t="shared" si="85"/>
        <v>0</v>
      </c>
      <c r="AV61" s="45">
        <f t="shared" si="25"/>
        <v>0</v>
      </c>
    </row>
    <row r="62" spans="3:48" x14ac:dyDescent="0.3">
      <c r="C62">
        <f>Incurred_loss!R60</f>
        <v>2020</v>
      </c>
      <c r="D62" s="45">
        <f>'Cum. payments'!B181</f>
        <v>63219.847920492153</v>
      </c>
      <c r="E62" s="45">
        <f>'Cum. payments'!C181</f>
        <v>179803.81374886734</v>
      </c>
      <c r="F62" s="45">
        <f>'Cum. payments'!D181</f>
        <v>671412.01596149569</v>
      </c>
      <c r="G62" s="45">
        <f>'Cum. payments'!E181</f>
        <v>671412.06053014135</v>
      </c>
      <c r="H62" s="45">
        <f>'Cum. payments'!F181</f>
        <v>673417.17550233612</v>
      </c>
      <c r="I62" s="45">
        <f>'Cum. payments'!G181</f>
        <v>695707.44062730391</v>
      </c>
      <c r="N62" s="48">
        <f>XL_Pure_Premium!$O62</f>
        <v>1382332.1567942847</v>
      </c>
      <c r="S62">
        <f t="shared" si="2"/>
        <v>2020</v>
      </c>
      <c r="T62" s="45">
        <f t="shared" si="74"/>
        <v>0</v>
      </c>
      <c r="U62" s="45">
        <f t="shared" si="75"/>
        <v>0</v>
      </c>
      <c r="V62" s="45">
        <f t="shared" si="76"/>
        <v>0</v>
      </c>
      <c r="W62" s="45">
        <f t="shared" si="77"/>
        <v>0</v>
      </c>
      <c r="X62" s="45">
        <f t="shared" si="78"/>
        <v>0</v>
      </c>
      <c r="Y62" s="45">
        <f t="shared" si="79"/>
        <v>0</v>
      </c>
      <c r="AD62" s="45">
        <f t="shared" si="13"/>
        <v>0</v>
      </c>
      <c r="AK62">
        <f t="shared" si="14"/>
        <v>2020</v>
      </c>
      <c r="AL62" s="45">
        <f t="shared" si="80"/>
        <v>0</v>
      </c>
      <c r="AM62" s="45">
        <f t="shared" si="81"/>
        <v>0</v>
      </c>
      <c r="AN62" s="45">
        <f t="shared" si="82"/>
        <v>0</v>
      </c>
      <c r="AO62" s="45">
        <f t="shared" si="83"/>
        <v>0</v>
      </c>
      <c r="AP62" s="45">
        <f t="shared" si="84"/>
        <v>0</v>
      </c>
      <c r="AQ62" s="45">
        <f t="shared" si="85"/>
        <v>0</v>
      </c>
      <c r="AV62" s="45">
        <f t="shared" si="25"/>
        <v>0</v>
      </c>
    </row>
    <row r="63" spans="3:48" x14ac:dyDescent="0.3">
      <c r="C63">
        <f>Incurred_loss!R61</f>
        <v>2020</v>
      </c>
      <c r="D63" s="45">
        <f>'Cum. payments'!B182</f>
        <v>3229.09592559571</v>
      </c>
      <c r="E63" s="45">
        <f>'Cum. payments'!C182</f>
        <v>165485.99474600545</v>
      </c>
      <c r="F63" s="45">
        <f>'Cum. payments'!D182</f>
        <v>311617.4730421073</v>
      </c>
      <c r="G63" s="45">
        <f>'Cum. payments'!E182</f>
        <v>1216055.966518847</v>
      </c>
      <c r="H63" s="45">
        <f>'Cum. payments'!F182</f>
        <v>1300175.5736468644</v>
      </c>
      <c r="I63" s="45">
        <f>'Cum. payments'!G182</f>
        <v>1331014.9199384078</v>
      </c>
      <c r="N63" s="48">
        <f>XL_Pure_Premium!$O63</f>
        <v>1348037.4526273848</v>
      </c>
      <c r="S63">
        <f t="shared" si="2"/>
        <v>2020</v>
      </c>
      <c r="T63" s="45">
        <f t="shared" si="74"/>
        <v>0</v>
      </c>
      <c r="U63" s="45">
        <f t="shared" si="75"/>
        <v>0</v>
      </c>
      <c r="V63" s="45">
        <f t="shared" si="76"/>
        <v>0</v>
      </c>
      <c r="W63" s="45">
        <f t="shared" si="77"/>
        <v>0</v>
      </c>
      <c r="X63" s="45">
        <f t="shared" si="78"/>
        <v>0</v>
      </c>
      <c r="Y63" s="45">
        <f t="shared" si="79"/>
        <v>0</v>
      </c>
      <c r="AD63" s="45">
        <f t="shared" si="13"/>
        <v>0</v>
      </c>
      <c r="AK63">
        <f t="shared" si="14"/>
        <v>2020</v>
      </c>
      <c r="AL63" s="45">
        <f t="shared" si="80"/>
        <v>0</v>
      </c>
      <c r="AM63" s="45">
        <f t="shared" si="81"/>
        <v>0</v>
      </c>
      <c r="AN63" s="45">
        <f t="shared" si="82"/>
        <v>0</v>
      </c>
      <c r="AO63" s="45">
        <f t="shared" si="83"/>
        <v>0</v>
      </c>
      <c r="AP63" s="45">
        <f t="shared" si="84"/>
        <v>0</v>
      </c>
      <c r="AQ63" s="45">
        <f t="shared" si="85"/>
        <v>0</v>
      </c>
      <c r="AV63" s="45">
        <f t="shared" si="25"/>
        <v>0</v>
      </c>
    </row>
    <row r="64" spans="3:48" x14ac:dyDescent="0.3">
      <c r="C64">
        <f>Incurred_loss!R62</f>
        <v>2020</v>
      </c>
      <c r="D64" s="45">
        <f>'Cum. payments'!B183</f>
        <v>2338.1446942216185</v>
      </c>
      <c r="E64" s="45">
        <f>'Cum. payments'!C183</f>
        <v>141614.98441207633</v>
      </c>
      <c r="F64" s="45">
        <f>'Cum. payments'!D183</f>
        <v>404997.05021339771</v>
      </c>
      <c r="G64" s="45">
        <f>'Cum. payments'!E183</f>
        <v>484954.76920786803</v>
      </c>
      <c r="H64" s="45">
        <f>'Cum. payments'!F183</f>
        <v>485303.56457245891</v>
      </c>
      <c r="I64" s="45">
        <f>'Cum. payments'!G183</f>
        <v>589248.50934305741</v>
      </c>
      <c r="N64" s="48">
        <f>XL_Pure_Premium!$O64</f>
        <v>684494.24554316094</v>
      </c>
      <c r="S64">
        <f t="shared" si="2"/>
        <v>2020</v>
      </c>
      <c r="T64" s="45">
        <f t="shared" si="74"/>
        <v>0</v>
      </c>
      <c r="U64" s="45">
        <f t="shared" si="75"/>
        <v>0</v>
      </c>
      <c r="V64" s="45">
        <f t="shared" si="76"/>
        <v>0</v>
      </c>
      <c r="W64" s="45">
        <f t="shared" si="77"/>
        <v>0</v>
      </c>
      <c r="X64" s="45">
        <f t="shared" si="78"/>
        <v>0</v>
      </c>
      <c r="Y64" s="45">
        <f t="shared" si="79"/>
        <v>0</v>
      </c>
      <c r="AD64" s="45">
        <f t="shared" si="13"/>
        <v>0</v>
      </c>
      <c r="AK64">
        <f t="shared" si="14"/>
        <v>2020</v>
      </c>
      <c r="AL64" s="45">
        <f t="shared" si="80"/>
        <v>0</v>
      </c>
      <c r="AM64" s="45">
        <f t="shared" si="81"/>
        <v>0</v>
      </c>
      <c r="AN64" s="45">
        <f t="shared" si="82"/>
        <v>0</v>
      </c>
      <c r="AO64" s="45">
        <f t="shared" si="83"/>
        <v>0</v>
      </c>
      <c r="AP64" s="45">
        <f t="shared" si="84"/>
        <v>0</v>
      </c>
      <c r="AQ64" s="45">
        <f t="shared" si="85"/>
        <v>0</v>
      </c>
      <c r="AV64" s="45">
        <f t="shared" si="25"/>
        <v>0</v>
      </c>
    </row>
    <row r="65" spans="3:48" x14ac:dyDescent="0.3">
      <c r="C65">
        <f>Incurred_loss!R63</f>
        <v>2021</v>
      </c>
      <c r="D65" s="45">
        <f>'Cum. payments'!B184</f>
        <v>219970.01556534591</v>
      </c>
      <c r="E65" s="45">
        <f>'Cum. payments'!C184</f>
        <v>954533.41118724481</v>
      </c>
      <c r="F65" s="45">
        <f>'Cum. payments'!D184</f>
        <v>960476.10188800085</v>
      </c>
      <c r="G65" s="45">
        <f>'Cum. payments'!E184</f>
        <v>2604299.2431823905</v>
      </c>
      <c r="H65" s="45">
        <f>'Cum. payments'!F184</f>
        <v>2604378.3640692825</v>
      </c>
      <c r="N65" s="48">
        <f>XL_Pure_Premium!$O65</f>
        <v>2905598.7837307253</v>
      </c>
      <c r="S65">
        <f t="shared" si="2"/>
        <v>2021</v>
      </c>
      <c r="T65" s="45">
        <f t="shared" ref="T65:T74" si="86">MIN(MAX(D65-$S$2,0),$Q$2)</f>
        <v>0</v>
      </c>
      <c r="U65" s="45">
        <f t="shared" ref="U65:U74" si="87">MIN(MAX(E65-$S$2,0),$Q$2)</f>
        <v>0</v>
      </c>
      <c r="V65" s="45">
        <f t="shared" ref="V65:V74" si="88">MIN(MAX(F65-$S$2,0),$Q$2)</f>
        <v>0</v>
      </c>
      <c r="W65" s="45">
        <f t="shared" ref="W65:W74" si="89">MIN(MAX(G65-$S$2,0),$Q$2)</f>
        <v>0</v>
      </c>
      <c r="X65" s="45">
        <f t="shared" ref="X65:X74" si="90">MIN(MAX(H65-$S$2,0),$Q$2)</f>
        <v>0</v>
      </c>
      <c r="AD65" s="45">
        <f t="shared" si="13"/>
        <v>0</v>
      </c>
      <c r="AK65">
        <f t="shared" si="14"/>
        <v>2021</v>
      </c>
      <c r="AL65" s="45">
        <f t="shared" ref="AL65:AL74" si="91">MIN(MAX(D65-$AK$2,0),$AI$2)</f>
        <v>0</v>
      </c>
      <c r="AM65" s="45">
        <f t="shared" ref="AM65:AM74" si="92">MIN(MAX(E65-$AK$2,0),$AI$2)</f>
        <v>0</v>
      </c>
      <c r="AN65" s="45">
        <f t="shared" ref="AN65:AN74" si="93">MIN(MAX(F65-$AK$2,0),$AI$2)</f>
        <v>0</v>
      </c>
      <c r="AO65" s="45">
        <f t="shared" ref="AO65:AO74" si="94">MIN(MAX(G65-$AK$2,0),$AI$2)</f>
        <v>0</v>
      </c>
      <c r="AP65" s="45">
        <f t="shared" ref="AP65:AP74" si="95">MIN(MAX(H65-$AK$2,0),$AI$2)</f>
        <v>0</v>
      </c>
      <c r="AV65" s="45">
        <f t="shared" si="25"/>
        <v>0</v>
      </c>
    </row>
    <row r="66" spans="3:48" x14ac:dyDescent="0.3">
      <c r="C66">
        <f>Incurred_loss!R64</f>
        <v>2021</v>
      </c>
      <c r="D66" s="45">
        <f>'Cum. payments'!B185</f>
        <v>135062.60478285188</v>
      </c>
      <c r="E66" s="45">
        <f>'Cum. payments'!C185</f>
        <v>1026970.4888702696</v>
      </c>
      <c r="F66" s="45">
        <f>'Cum. payments'!D185</f>
        <v>1238172.7910544854</v>
      </c>
      <c r="G66" s="45">
        <f>'Cum. payments'!E185</f>
        <v>2493714.2383059282</v>
      </c>
      <c r="H66" s="45">
        <f>'Cum. payments'!F185</f>
        <v>2545913.5219008587</v>
      </c>
      <c r="N66" s="48">
        <f>XL_Pure_Premium!$O66</f>
        <v>2520950.8599165552</v>
      </c>
      <c r="S66">
        <f t="shared" si="2"/>
        <v>2021</v>
      </c>
      <c r="T66" s="45">
        <f t="shared" si="86"/>
        <v>0</v>
      </c>
      <c r="U66" s="45">
        <f t="shared" si="87"/>
        <v>0</v>
      </c>
      <c r="V66" s="45">
        <f t="shared" si="88"/>
        <v>0</v>
      </c>
      <c r="W66" s="45">
        <f t="shared" si="89"/>
        <v>0</v>
      </c>
      <c r="X66" s="45">
        <f t="shared" si="90"/>
        <v>0</v>
      </c>
      <c r="AD66" s="45">
        <f t="shared" si="13"/>
        <v>0</v>
      </c>
      <c r="AK66">
        <f t="shared" si="14"/>
        <v>2021</v>
      </c>
      <c r="AL66" s="45">
        <f t="shared" si="91"/>
        <v>0</v>
      </c>
      <c r="AM66" s="45">
        <f t="shared" si="92"/>
        <v>0</v>
      </c>
      <c r="AN66" s="45">
        <f t="shared" si="93"/>
        <v>0</v>
      </c>
      <c r="AO66" s="45">
        <f t="shared" si="94"/>
        <v>0</v>
      </c>
      <c r="AP66" s="45">
        <f t="shared" si="95"/>
        <v>0</v>
      </c>
      <c r="AV66" s="45">
        <f t="shared" si="25"/>
        <v>0</v>
      </c>
    </row>
    <row r="67" spans="3:48" x14ac:dyDescent="0.3">
      <c r="C67">
        <f>Incurred_loss!R65</f>
        <v>2021</v>
      </c>
      <c r="D67" s="45">
        <f>'Cum. payments'!B186</f>
        <v>76666.049213681792</v>
      </c>
      <c r="E67" s="45">
        <f>'Cum. payments'!C186</f>
        <v>114488.26014368072</v>
      </c>
      <c r="F67" s="45">
        <f>'Cum. payments'!D186</f>
        <v>938902.95217435679</v>
      </c>
      <c r="G67" s="45">
        <f>'Cum. payments'!E186</f>
        <v>1455469.8183303531</v>
      </c>
      <c r="H67" s="45">
        <f>'Cum. payments'!F186</f>
        <v>1684320.9694627796</v>
      </c>
      <c r="N67" s="48">
        <f>XL_Pure_Premium!$O67</f>
        <v>1727859.7901482249</v>
      </c>
      <c r="S67">
        <f t="shared" si="2"/>
        <v>2021</v>
      </c>
      <c r="T67" s="45">
        <f t="shared" si="86"/>
        <v>0</v>
      </c>
      <c r="U67" s="45">
        <f t="shared" si="87"/>
        <v>0</v>
      </c>
      <c r="V67" s="45">
        <f t="shared" si="88"/>
        <v>0</v>
      </c>
      <c r="W67" s="45">
        <f t="shared" si="89"/>
        <v>0</v>
      </c>
      <c r="X67" s="45">
        <f t="shared" si="90"/>
        <v>0</v>
      </c>
      <c r="AD67" s="45">
        <f t="shared" si="13"/>
        <v>0</v>
      </c>
      <c r="AK67">
        <f t="shared" si="14"/>
        <v>2021</v>
      </c>
      <c r="AL67" s="45">
        <f t="shared" si="91"/>
        <v>0</v>
      </c>
      <c r="AM67" s="45">
        <f t="shared" si="92"/>
        <v>0</v>
      </c>
      <c r="AN67" s="45">
        <f t="shared" si="93"/>
        <v>0</v>
      </c>
      <c r="AO67" s="45">
        <f t="shared" si="94"/>
        <v>0</v>
      </c>
      <c r="AP67" s="45">
        <f t="shared" si="95"/>
        <v>0</v>
      </c>
      <c r="AV67" s="45">
        <f t="shared" si="25"/>
        <v>0</v>
      </c>
    </row>
    <row r="68" spans="3:48" x14ac:dyDescent="0.3">
      <c r="C68">
        <f>Incurred_loss!R66</f>
        <v>2021</v>
      </c>
      <c r="D68" s="45">
        <f>'Cum. payments'!B187</f>
        <v>165207.70133194546</v>
      </c>
      <c r="E68" s="45">
        <f>'Cum. payments'!C187</f>
        <v>181116.30157078244</v>
      </c>
      <c r="F68" s="45">
        <f>'Cum. payments'!D187</f>
        <v>317788.10408473213</v>
      </c>
      <c r="G68" s="45">
        <f>'Cum. payments'!E187</f>
        <v>581281.54702192463</v>
      </c>
      <c r="H68" s="45">
        <f>'Cum. payments'!F187</f>
        <v>699452.11836890772</v>
      </c>
      <c r="N68" s="48">
        <f>XL_Pure_Premium!$O68</f>
        <v>709153.27033755579</v>
      </c>
      <c r="S68">
        <f t="shared" si="2"/>
        <v>2021</v>
      </c>
      <c r="T68" s="45">
        <f t="shared" si="86"/>
        <v>0</v>
      </c>
      <c r="U68" s="45">
        <f t="shared" si="87"/>
        <v>0</v>
      </c>
      <c r="V68" s="45">
        <f t="shared" si="88"/>
        <v>0</v>
      </c>
      <c r="W68" s="45">
        <f t="shared" si="89"/>
        <v>0</v>
      </c>
      <c r="X68" s="45">
        <f t="shared" si="90"/>
        <v>0</v>
      </c>
      <c r="AD68" s="45">
        <f t="shared" si="13"/>
        <v>0</v>
      </c>
      <c r="AK68">
        <f t="shared" si="14"/>
        <v>2021</v>
      </c>
      <c r="AL68" s="45">
        <f t="shared" si="91"/>
        <v>0</v>
      </c>
      <c r="AM68" s="45">
        <f t="shared" si="92"/>
        <v>0</v>
      </c>
      <c r="AN68" s="45">
        <f t="shared" si="93"/>
        <v>0</v>
      </c>
      <c r="AO68" s="45">
        <f t="shared" si="94"/>
        <v>0</v>
      </c>
      <c r="AP68" s="45">
        <f t="shared" si="95"/>
        <v>0</v>
      </c>
      <c r="AV68" s="45">
        <f t="shared" si="25"/>
        <v>0</v>
      </c>
    </row>
    <row r="69" spans="3:48" x14ac:dyDescent="0.3">
      <c r="C69">
        <f>Incurred_loss!R67</f>
        <v>2021</v>
      </c>
      <c r="D69" s="45">
        <f>'Cum. payments'!B188</f>
        <v>344066.62816816237</v>
      </c>
      <c r="E69" s="45">
        <f>'Cum. payments'!C188</f>
        <v>346858.59205512505</v>
      </c>
      <c r="F69" s="45">
        <f>'Cum. payments'!D188</f>
        <v>3302527.3712686095</v>
      </c>
      <c r="G69" s="45">
        <f>'Cum. payments'!E188</f>
        <v>3354356.1922385683</v>
      </c>
      <c r="H69" s="45">
        <f>'Cum. payments'!F188</f>
        <v>3693578.9988778909</v>
      </c>
      <c r="N69" s="48">
        <f>XL_Pure_Premium!$O69</f>
        <v>3638151.9376036455</v>
      </c>
      <c r="S69">
        <f t="shared" si="2"/>
        <v>2021</v>
      </c>
      <c r="T69" s="45">
        <f t="shared" si="86"/>
        <v>0</v>
      </c>
      <c r="U69" s="45">
        <f t="shared" si="87"/>
        <v>0</v>
      </c>
      <c r="V69" s="45">
        <f t="shared" si="88"/>
        <v>0</v>
      </c>
      <c r="W69" s="45">
        <f t="shared" si="89"/>
        <v>0</v>
      </c>
      <c r="X69" s="45">
        <f t="shared" si="90"/>
        <v>0</v>
      </c>
      <c r="AD69" s="45">
        <f t="shared" si="13"/>
        <v>0</v>
      </c>
      <c r="AK69">
        <f t="shared" si="14"/>
        <v>2021</v>
      </c>
      <c r="AL69" s="45">
        <f t="shared" si="91"/>
        <v>0</v>
      </c>
      <c r="AM69" s="45">
        <f t="shared" si="92"/>
        <v>0</v>
      </c>
      <c r="AN69" s="45">
        <f t="shared" si="93"/>
        <v>0</v>
      </c>
      <c r="AO69" s="45">
        <f t="shared" si="94"/>
        <v>0</v>
      </c>
      <c r="AP69" s="45">
        <f t="shared" si="95"/>
        <v>0</v>
      </c>
      <c r="AV69" s="45">
        <f t="shared" si="25"/>
        <v>0</v>
      </c>
    </row>
    <row r="70" spans="3:48" x14ac:dyDescent="0.3">
      <c r="C70">
        <f>Incurred_loss!R68</f>
        <v>2021</v>
      </c>
      <c r="D70" s="45">
        <f>'Cum. payments'!B189</f>
        <v>949150.51700034866</v>
      </c>
      <c r="E70" s="45">
        <f>'Cum. payments'!C189</f>
        <v>1086693.0915659652</v>
      </c>
      <c r="F70" s="45">
        <f>'Cum. payments'!D189</f>
        <v>1128673.2315074909</v>
      </c>
      <c r="G70" s="45">
        <f>'Cum. payments'!E189</f>
        <v>1203060.315808286</v>
      </c>
      <c r="H70" s="45">
        <f>'Cum. payments'!F189</f>
        <v>1205223.7572619373</v>
      </c>
      <c r="N70" s="48">
        <f>XL_Pure_Premium!$O70</f>
        <v>1188312.7720641103</v>
      </c>
      <c r="S70">
        <f t="shared" ref="S70:S118" si="96">$C70</f>
        <v>2021</v>
      </c>
      <c r="T70" s="45">
        <f t="shared" si="86"/>
        <v>0</v>
      </c>
      <c r="U70" s="45">
        <f t="shared" si="87"/>
        <v>0</v>
      </c>
      <c r="V70" s="45">
        <f t="shared" si="88"/>
        <v>0</v>
      </c>
      <c r="W70" s="45">
        <f t="shared" si="89"/>
        <v>0</v>
      </c>
      <c r="X70" s="45">
        <f t="shared" si="90"/>
        <v>0</v>
      </c>
      <c r="AD70" s="45">
        <f t="shared" ref="AD70:AD118" si="97">MIN(MAX(N70-$S$2,0),$Q$2)</f>
        <v>0</v>
      </c>
      <c r="AK70">
        <f t="shared" ref="AK70:AK118" si="98">$C70</f>
        <v>2021</v>
      </c>
      <c r="AL70" s="45">
        <f t="shared" si="91"/>
        <v>0</v>
      </c>
      <c r="AM70" s="45">
        <f t="shared" si="92"/>
        <v>0</v>
      </c>
      <c r="AN70" s="45">
        <f t="shared" si="93"/>
        <v>0</v>
      </c>
      <c r="AO70" s="45">
        <f t="shared" si="94"/>
        <v>0</v>
      </c>
      <c r="AP70" s="45">
        <f t="shared" si="95"/>
        <v>0</v>
      </c>
      <c r="AV70" s="45">
        <f t="shared" ref="AV70:AV118" si="99">MIN(MAX($N70-$AK$2,0),$AI$2)</f>
        <v>0</v>
      </c>
    </row>
    <row r="71" spans="3:48" x14ac:dyDescent="0.3">
      <c r="C71">
        <f>Incurred_loss!R69</f>
        <v>2021</v>
      </c>
      <c r="D71" s="45">
        <f>'Cum. payments'!B190</f>
        <v>52778.56244583684</v>
      </c>
      <c r="E71" s="45">
        <f>'Cum. payments'!C190</f>
        <v>904651.78545796883</v>
      </c>
      <c r="F71" s="45">
        <f>'Cum. payments'!D190</f>
        <v>1179119.2255380689</v>
      </c>
      <c r="G71" s="45">
        <f>'Cum. payments'!E190</f>
        <v>1716335.6916755799</v>
      </c>
      <c r="H71" s="45">
        <f>'Cum. payments'!F190</f>
        <v>1728175.2190721545</v>
      </c>
      <c r="N71" s="48">
        <f>XL_Pure_Premium!$O71</f>
        <v>1927439.7807495475</v>
      </c>
      <c r="S71">
        <f t="shared" si="96"/>
        <v>2021</v>
      </c>
      <c r="T71" s="45">
        <f t="shared" si="86"/>
        <v>0</v>
      </c>
      <c r="U71" s="45">
        <f t="shared" si="87"/>
        <v>0</v>
      </c>
      <c r="V71" s="45">
        <f t="shared" si="88"/>
        <v>0</v>
      </c>
      <c r="W71" s="45">
        <f t="shared" si="89"/>
        <v>0</v>
      </c>
      <c r="X71" s="45">
        <f t="shared" si="90"/>
        <v>0</v>
      </c>
      <c r="AD71" s="45">
        <f t="shared" si="97"/>
        <v>0</v>
      </c>
      <c r="AK71">
        <f t="shared" si="98"/>
        <v>2021</v>
      </c>
      <c r="AL71" s="45">
        <f t="shared" si="91"/>
        <v>0</v>
      </c>
      <c r="AM71" s="45">
        <f t="shared" si="92"/>
        <v>0</v>
      </c>
      <c r="AN71" s="45">
        <f t="shared" si="93"/>
        <v>0</v>
      </c>
      <c r="AO71" s="45">
        <f t="shared" si="94"/>
        <v>0</v>
      </c>
      <c r="AP71" s="45">
        <f t="shared" si="95"/>
        <v>0</v>
      </c>
      <c r="AV71" s="45">
        <f t="shared" si="99"/>
        <v>0</v>
      </c>
    </row>
    <row r="72" spans="3:48" x14ac:dyDescent="0.3">
      <c r="C72">
        <f>Incurred_loss!R70</f>
        <v>2021</v>
      </c>
      <c r="D72" s="45">
        <f>'Cum. payments'!B191</f>
        <v>275139.70149400481</v>
      </c>
      <c r="E72" s="45">
        <f>'Cum. payments'!C191</f>
        <v>1094986.975227691</v>
      </c>
      <c r="F72" s="45">
        <f>'Cum. payments'!D191</f>
        <v>1824369.6629896159</v>
      </c>
      <c r="G72" s="45">
        <f>'Cum. payments'!E191</f>
        <v>1825719.2594477406</v>
      </c>
      <c r="H72" s="45">
        <f>'Cum. payments'!F191</f>
        <v>2915232.4562286511</v>
      </c>
      <c r="N72" s="48">
        <f>XL_Pure_Premium!$O72</f>
        <v>2903022.3477030317</v>
      </c>
      <c r="S72">
        <f t="shared" si="96"/>
        <v>2021</v>
      </c>
      <c r="T72" s="45">
        <f t="shared" si="86"/>
        <v>0</v>
      </c>
      <c r="U72" s="45">
        <f t="shared" si="87"/>
        <v>0</v>
      </c>
      <c r="V72" s="45">
        <f t="shared" si="88"/>
        <v>0</v>
      </c>
      <c r="W72" s="45">
        <f t="shared" si="89"/>
        <v>0</v>
      </c>
      <c r="X72" s="45">
        <f t="shared" si="90"/>
        <v>0</v>
      </c>
      <c r="AD72" s="45">
        <f t="shared" si="97"/>
        <v>0</v>
      </c>
      <c r="AK72">
        <f t="shared" si="98"/>
        <v>2021</v>
      </c>
      <c r="AL72" s="45">
        <f t="shared" si="91"/>
        <v>0</v>
      </c>
      <c r="AM72" s="45">
        <f t="shared" si="92"/>
        <v>0</v>
      </c>
      <c r="AN72" s="45">
        <f t="shared" si="93"/>
        <v>0</v>
      </c>
      <c r="AO72" s="45">
        <f t="shared" si="94"/>
        <v>0</v>
      </c>
      <c r="AP72" s="45">
        <f t="shared" si="95"/>
        <v>0</v>
      </c>
      <c r="AV72" s="45">
        <f t="shared" si="99"/>
        <v>0</v>
      </c>
    </row>
    <row r="73" spans="3:48" x14ac:dyDescent="0.3">
      <c r="C73">
        <f>Incurred_loss!R71</f>
        <v>2021</v>
      </c>
      <c r="D73" s="45">
        <f>'Cum. payments'!B192</f>
        <v>206138.5455073459</v>
      </c>
      <c r="E73" s="45">
        <f>'Cum. payments'!C192</f>
        <v>333135.30033614003</v>
      </c>
      <c r="F73" s="45">
        <f>'Cum. payments'!D192</f>
        <v>333150.84284718923</v>
      </c>
      <c r="G73" s="45">
        <f>'Cum. payments'!E192</f>
        <v>1396981.1267771854</v>
      </c>
      <c r="H73" s="45">
        <f>'Cum. payments'!F192</f>
        <v>1419171.7152576267</v>
      </c>
      <c r="N73" s="48">
        <f>XL_Pure_Premium!$O73</f>
        <v>1392710.3441999981</v>
      </c>
      <c r="S73">
        <f t="shared" si="96"/>
        <v>2021</v>
      </c>
      <c r="T73" s="45">
        <f t="shared" si="86"/>
        <v>0</v>
      </c>
      <c r="U73" s="45">
        <f t="shared" si="87"/>
        <v>0</v>
      </c>
      <c r="V73" s="45">
        <f t="shared" si="88"/>
        <v>0</v>
      </c>
      <c r="W73" s="45">
        <f t="shared" si="89"/>
        <v>0</v>
      </c>
      <c r="X73" s="45">
        <f t="shared" si="90"/>
        <v>0</v>
      </c>
      <c r="AD73" s="45">
        <f t="shared" si="97"/>
        <v>0</v>
      </c>
      <c r="AK73">
        <f t="shared" si="98"/>
        <v>2021</v>
      </c>
      <c r="AL73" s="45">
        <f t="shared" si="91"/>
        <v>0</v>
      </c>
      <c r="AM73" s="45">
        <f t="shared" si="92"/>
        <v>0</v>
      </c>
      <c r="AN73" s="45">
        <f t="shared" si="93"/>
        <v>0</v>
      </c>
      <c r="AO73" s="45">
        <f t="shared" si="94"/>
        <v>0</v>
      </c>
      <c r="AP73" s="45">
        <f t="shared" si="95"/>
        <v>0</v>
      </c>
      <c r="AV73" s="45">
        <f t="shared" si="99"/>
        <v>0</v>
      </c>
    </row>
    <row r="74" spans="3:48" x14ac:dyDescent="0.3">
      <c r="C74">
        <f>Incurred_loss!R72</f>
        <v>2021</v>
      </c>
      <c r="D74" s="45">
        <f>'Cum. payments'!B193</f>
        <v>638154.99150581181</v>
      </c>
      <c r="E74" s="45">
        <f>'Cum. payments'!C193</f>
        <v>750550.40217846166</v>
      </c>
      <c r="F74" s="45">
        <f>'Cum. payments'!D193</f>
        <v>1290301.7236535838</v>
      </c>
      <c r="G74" s="45">
        <f>'Cum. payments'!E193</f>
        <v>2404221.3699316224</v>
      </c>
      <c r="H74" s="45">
        <f>'Cum. payments'!F193</f>
        <v>2539823.9030660246</v>
      </c>
      <c r="N74" s="48">
        <f>XL_Pure_Premium!$O74</f>
        <v>2599313.7117135553</v>
      </c>
      <c r="S74">
        <f t="shared" si="96"/>
        <v>2021</v>
      </c>
      <c r="T74" s="45">
        <f t="shared" si="86"/>
        <v>0</v>
      </c>
      <c r="U74" s="45">
        <f t="shared" si="87"/>
        <v>0</v>
      </c>
      <c r="V74" s="45">
        <f t="shared" si="88"/>
        <v>0</v>
      </c>
      <c r="W74" s="45">
        <f t="shared" si="89"/>
        <v>0</v>
      </c>
      <c r="X74" s="45">
        <f t="shared" si="90"/>
        <v>0</v>
      </c>
      <c r="AD74" s="45">
        <f t="shared" si="97"/>
        <v>0</v>
      </c>
      <c r="AK74">
        <f t="shared" si="98"/>
        <v>2021</v>
      </c>
      <c r="AL74" s="45">
        <f t="shared" si="91"/>
        <v>0</v>
      </c>
      <c r="AM74" s="45">
        <f t="shared" si="92"/>
        <v>0</v>
      </c>
      <c r="AN74" s="45">
        <f t="shared" si="93"/>
        <v>0</v>
      </c>
      <c r="AO74" s="45">
        <f t="shared" si="94"/>
        <v>0</v>
      </c>
      <c r="AP74" s="45">
        <f t="shared" si="95"/>
        <v>0</v>
      </c>
      <c r="AV74" s="45">
        <f t="shared" si="99"/>
        <v>0</v>
      </c>
    </row>
    <row r="75" spans="3:48" x14ac:dyDescent="0.3">
      <c r="C75">
        <f>Incurred_loss!R73</f>
        <v>2022</v>
      </c>
      <c r="D75" s="45">
        <f>'Cum. payments'!B194</f>
        <v>134373.6100626846</v>
      </c>
      <c r="E75" s="45">
        <f>'Cum. payments'!C194</f>
        <v>6645168.0643838365</v>
      </c>
      <c r="F75" s="45">
        <f>'Cum. payments'!D194</f>
        <v>7970019.608669294</v>
      </c>
      <c r="G75" s="45">
        <f>'Cum. payments'!E194</f>
        <v>13178827.50695201</v>
      </c>
      <c r="N75" s="48">
        <f>XL_Pure_Premium!$O75</f>
        <v>15390882.308217196</v>
      </c>
      <c r="S75">
        <f t="shared" si="96"/>
        <v>2022</v>
      </c>
      <c r="T75" s="45">
        <f t="shared" ref="T75:T80" si="100">MIN(MAX(D75-$S$2,0),$Q$2)</f>
        <v>0</v>
      </c>
      <c r="U75" s="45">
        <f t="shared" ref="U75:U80" si="101">MIN(MAX(E75-$S$2,0),$Q$2)</f>
        <v>2645168.0643838365</v>
      </c>
      <c r="V75" s="45">
        <f t="shared" ref="V75:V80" si="102">MIN(MAX(F75-$S$2,0),$Q$2)</f>
        <v>3970019.608669294</v>
      </c>
      <c r="W75" s="45">
        <f t="shared" ref="W75:W80" si="103">MIN(MAX(G75-$S$2,0),$Q$2)</f>
        <v>6000000</v>
      </c>
      <c r="AD75" s="45">
        <f t="shared" si="97"/>
        <v>6000000</v>
      </c>
      <c r="AK75">
        <f t="shared" si="98"/>
        <v>2022</v>
      </c>
      <c r="AL75" s="45">
        <f t="shared" ref="AL75:AL80" si="104">MIN(MAX(D75-$AK$2,0),$AI$2)</f>
        <v>0</v>
      </c>
      <c r="AM75" s="45">
        <f t="shared" ref="AM75:AM80" si="105">MIN(MAX(E75-$AK$2,0),$AI$2)</f>
        <v>0</v>
      </c>
      <c r="AN75" s="45">
        <f t="shared" ref="AN75:AN80" si="106">MIN(MAX(F75-$AK$2,0),$AI$2)</f>
        <v>0</v>
      </c>
      <c r="AO75" s="45">
        <f t="shared" ref="AO75:AO80" si="107">MIN(MAX(G75-$AK$2,0),$AI$2)</f>
        <v>3178827.5069520101</v>
      </c>
      <c r="AV75" s="45">
        <f t="shared" si="99"/>
        <v>5390882.3082171958</v>
      </c>
    </row>
    <row r="76" spans="3:48" x14ac:dyDescent="0.3">
      <c r="C76">
        <f>Incurred_loss!R74</f>
        <v>2022</v>
      </c>
      <c r="D76" s="45">
        <f>'Cum. payments'!B195</f>
        <v>67047.463476308316</v>
      </c>
      <c r="E76" s="45">
        <f>'Cum. payments'!C195</f>
        <v>844603.18114122236</v>
      </c>
      <c r="F76" s="45">
        <f>'Cum. payments'!D195</f>
        <v>862474.80340755242</v>
      </c>
      <c r="G76" s="45">
        <f>'Cum. payments'!E195</f>
        <v>1061948.4544840713</v>
      </c>
      <c r="N76" s="48">
        <f>XL_Pure_Premium!$O76</f>
        <v>2627679.8993134401</v>
      </c>
      <c r="S76">
        <f t="shared" si="96"/>
        <v>2022</v>
      </c>
      <c r="T76" s="45">
        <f t="shared" si="100"/>
        <v>0</v>
      </c>
      <c r="U76" s="45">
        <f t="shared" si="101"/>
        <v>0</v>
      </c>
      <c r="V76" s="45">
        <f t="shared" si="102"/>
        <v>0</v>
      </c>
      <c r="W76" s="45">
        <f t="shared" si="103"/>
        <v>0</v>
      </c>
      <c r="AD76" s="45">
        <f t="shared" si="97"/>
        <v>0</v>
      </c>
      <c r="AK76">
        <f t="shared" si="98"/>
        <v>2022</v>
      </c>
      <c r="AL76" s="45">
        <f t="shared" si="104"/>
        <v>0</v>
      </c>
      <c r="AM76" s="45">
        <f t="shared" si="105"/>
        <v>0</v>
      </c>
      <c r="AN76" s="45">
        <f t="shared" si="106"/>
        <v>0</v>
      </c>
      <c r="AO76" s="45">
        <f t="shared" si="107"/>
        <v>0</v>
      </c>
      <c r="AV76" s="45">
        <f t="shared" si="99"/>
        <v>0</v>
      </c>
    </row>
    <row r="77" spans="3:48" x14ac:dyDescent="0.3">
      <c r="C77">
        <f>Incurred_loss!R75</f>
        <v>2022</v>
      </c>
      <c r="D77" s="45">
        <f>'Cum. payments'!B196</f>
        <v>483459.8295000614</v>
      </c>
      <c r="E77" s="45">
        <f>'Cum. payments'!C196</f>
        <v>1258514.7855436478</v>
      </c>
      <c r="F77" s="45">
        <f>'Cum. payments'!D196</f>
        <v>1507694.8133800083</v>
      </c>
      <c r="G77" s="45">
        <f>'Cum. payments'!E196</f>
        <v>1938314.0467015607</v>
      </c>
      <c r="N77" s="48">
        <f>XL_Pure_Premium!$O77</f>
        <v>2712235.7353014043</v>
      </c>
      <c r="S77">
        <f t="shared" si="96"/>
        <v>2022</v>
      </c>
      <c r="T77" s="45">
        <f t="shared" si="100"/>
        <v>0</v>
      </c>
      <c r="U77" s="45">
        <f t="shared" si="101"/>
        <v>0</v>
      </c>
      <c r="V77" s="45">
        <f t="shared" si="102"/>
        <v>0</v>
      </c>
      <c r="W77" s="45">
        <f t="shared" si="103"/>
        <v>0</v>
      </c>
      <c r="AD77" s="45">
        <f t="shared" si="97"/>
        <v>0</v>
      </c>
      <c r="AK77">
        <f t="shared" si="98"/>
        <v>2022</v>
      </c>
      <c r="AL77" s="45">
        <f t="shared" si="104"/>
        <v>0</v>
      </c>
      <c r="AM77" s="45">
        <f t="shared" si="105"/>
        <v>0</v>
      </c>
      <c r="AN77" s="45">
        <f t="shared" si="106"/>
        <v>0</v>
      </c>
      <c r="AO77" s="45">
        <f t="shared" si="107"/>
        <v>0</v>
      </c>
      <c r="AV77" s="45">
        <f t="shared" si="99"/>
        <v>0</v>
      </c>
    </row>
    <row r="78" spans="3:48" x14ac:dyDescent="0.3">
      <c r="C78">
        <f>Incurred_loss!R76</f>
        <v>2022</v>
      </c>
      <c r="D78" s="45">
        <f>'Cum. payments'!B197</f>
        <v>182710.66706087056</v>
      </c>
      <c r="E78" s="45">
        <f>'Cum. payments'!C197</f>
        <v>717808.2732043775</v>
      </c>
      <c r="F78" s="45">
        <f>'Cum. payments'!D197</f>
        <v>1035923.6173317721</v>
      </c>
      <c r="G78" s="45">
        <f>'Cum. payments'!E197</f>
        <v>4989433.1218841616</v>
      </c>
      <c r="N78" s="48">
        <f>XL_Pure_Premium!$O78</f>
        <v>5133123.0193943316</v>
      </c>
      <c r="S78">
        <f t="shared" si="96"/>
        <v>2022</v>
      </c>
      <c r="T78" s="45">
        <f t="shared" si="100"/>
        <v>0</v>
      </c>
      <c r="U78" s="45">
        <f t="shared" si="101"/>
        <v>0</v>
      </c>
      <c r="V78" s="45">
        <f t="shared" si="102"/>
        <v>0</v>
      </c>
      <c r="W78" s="45">
        <f t="shared" si="103"/>
        <v>989433.12188416161</v>
      </c>
      <c r="AD78" s="45">
        <f t="shared" si="97"/>
        <v>1133123.0193943316</v>
      </c>
      <c r="AK78">
        <f t="shared" si="98"/>
        <v>2022</v>
      </c>
      <c r="AL78" s="45">
        <f t="shared" si="104"/>
        <v>0</v>
      </c>
      <c r="AM78" s="45">
        <f t="shared" si="105"/>
        <v>0</v>
      </c>
      <c r="AN78" s="45">
        <f t="shared" si="106"/>
        <v>0</v>
      </c>
      <c r="AO78" s="45">
        <f t="shared" si="107"/>
        <v>0</v>
      </c>
      <c r="AV78" s="45">
        <f t="shared" si="99"/>
        <v>0</v>
      </c>
    </row>
    <row r="79" spans="3:48" x14ac:dyDescent="0.3">
      <c r="C79">
        <f>Incurred_loss!R77</f>
        <v>2022</v>
      </c>
      <c r="D79" s="45">
        <f>'Cum. payments'!B198</f>
        <v>343207.87674860685</v>
      </c>
      <c r="E79" s="45">
        <f>'Cum. payments'!C198</f>
        <v>507079.84279319434</v>
      </c>
      <c r="F79" s="45">
        <f>'Cum. payments'!D198</f>
        <v>687205.96512390859</v>
      </c>
      <c r="G79" s="45">
        <f>'Cum. payments'!E198</f>
        <v>1003792.817463023</v>
      </c>
      <c r="N79" s="48">
        <f>XL_Pure_Premium!$O79</f>
        <v>1820215.3097308725</v>
      </c>
      <c r="S79">
        <f t="shared" si="96"/>
        <v>2022</v>
      </c>
      <c r="T79" s="45">
        <f t="shared" si="100"/>
        <v>0</v>
      </c>
      <c r="U79" s="45">
        <f t="shared" si="101"/>
        <v>0</v>
      </c>
      <c r="V79" s="45">
        <f t="shared" si="102"/>
        <v>0</v>
      </c>
      <c r="W79" s="45">
        <f t="shared" si="103"/>
        <v>0</v>
      </c>
      <c r="AD79" s="45">
        <f t="shared" si="97"/>
        <v>0</v>
      </c>
      <c r="AK79">
        <f t="shared" si="98"/>
        <v>2022</v>
      </c>
      <c r="AL79" s="45">
        <f t="shared" si="104"/>
        <v>0</v>
      </c>
      <c r="AM79" s="45">
        <f t="shared" si="105"/>
        <v>0</v>
      </c>
      <c r="AN79" s="45">
        <f t="shared" si="106"/>
        <v>0</v>
      </c>
      <c r="AO79" s="45">
        <f t="shared" si="107"/>
        <v>0</v>
      </c>
      <c r="AV79" s="45">
        <f t="shared" si="99"/>
        <v>0</v>
      </c>
    </row>
    <row r="80" spans="3:48" x14ac:dyDescent="0.3">
      <c r="C80">
        <f>Incurred_loss!R78</f>
        <v>2022</v>
      </c>
      <c r="D80" s="45">
        <f>'Cum. payments'!B199</f>
        <v>5715.7159566175815</v>
      </c>
      <c r="E80" s="45">
        <f>'Cum. payments'!C199</f>
        <v>57306.761406543148</v>
      </c>
      <c r="F80" s="45">
        <f>'Cum. payments'!D199</f>
        <v>365816.21189092012</v>
      </c>
      <c r="G80" s="45">
        <f>'Cum. payments'!E199</f>
        <v>379310.73500911985</v>
      </c>
      <c r="N80" s="48">
        <f>XL_Pure_Premium!$O80</f>
        <v>5188609.6091476763</v>
      </c>
      <c r="S80">
        <f t="shared" si="96"/>
        <v>2022</v>
      </c>
      <c r="T80" s="45">
        <f t="shared" si="100"/>
        <v>0</v>
      </c>
      <c r="U80" s="45">
        <f t="shared" si="101"/>
        <v>0</v>
      </c>
      <c r="V80" s="45">
        <f t="shared" si="102"/>
        <v>0</v>
      </c>
      <c r="W80" s="45">
        <f t="shared" si="103"/>
        <v>0</v>
      </c>
      <c r="AD80" s="45">
        <f t="shared" si="97"/>
        <v>1188609.6091476763</v>
      </c>
      <c r="AK80">
        <f t="shared" si="98"/>
        <v>2022</v>
      </c>
      <c r="AL80" s="45">
        <f t="shared" si="104"/>
        <v>0</v>
      </c>
      <c r="AM80" s="45">
        <f t="shared" si="105"/>
        <v>0</v>
      </c>
      <c r="AN80" s="45">
        <f t="shared" si="106"/>
        <v>0</v>
      </c>
      <c r="AO80" s="45">
        <f t="shared" si="107"/>
        <v>0</v>
      </c>
      <c r="AV80" s="45">
        <f t="shared" si="99"/>
        <v>0</v>
      </c>
    </row>
    <row r="81" spans="3:48" x14ac:dyDescent="0.3">
      <c r="C81">
        <f>Incurred_loss!R79</f>
        <v>2023</v>
      </c>
      <c r="D81" s="45">
        <f>'Cum. payments'!B200</f>
        <v>16423.255960733237</v>
      </c>
      <c r="E81" s="45">
        <f>'Cum. payments'!C200</f>
        <v>61474.362025990034</v>
      </c>
      <c r="F81" s="45">
        <f>'Cum. payments'!D200</f>
        <v>156090.01104363526</v>
      </c>
      <c r="N81" s="48">
        <f>XL_Pure_Premium!$O81</f>
        <v>1792519.4317653873</v>
      </c>
      <c r="S81">
        <f t="shared" si="96"/>
        <v>2023</v>
      </c>
      <c r="T81" s="45">
        <f t="shared" ref="T81:T95" si="108">MIN(MAX(D81-$S$2,0),$Q$2)</f>
        <v>0</v>
      </c>
      <c r="U81" s="45">
        <f t="shared" ref="U81:U95" si="109">MIN(MAX(E81-$S$2,0),$Q$2)</f>
        <v>0</v>
      </c>
      <c r="V81" s="45">
        <f t="shared" ref="V81:V95" si="110">MIN(MAX(F81-$S$2,0),$Q$2)</f>
        <v>0</v>
      </c>
      <c r="AD81" s="45">
        <f t="shared" si="97"/>
        <v>0</v>
      </c>
      <c r="AK81">
        <f t="shared" si="98"/>
        <v>2023</v>
      </c>
      <c r="AL81" s="45">
        <f t="shared" ref="AL81:AL96" si="111">MIN(MAX(D81-$AK$2,0),$AI$2)</f>
        <v>0</v>
      </c>
      <c r="AM81" s="45">
        <f t="shared" ref="AM81:AM96" si="112">MIN(MAX(E81-$AK$2,0),$AI$2)</f>
        <v>0</v>
      </c>
      <c r="AN81" s="45">
        <f t="shared" ref="AN81:AN96" si="113">MIN(MAX(F81-$AK$2,0),$AI$2)</f>
        <v>0</v>
      </c>
      <c r="AV81" s="45">
        <f t="shared" si="99"/>
        <v>0</v>
      </c>
    </row>
    <row r="82" spans="3:48" x14ac:dyDescent="0.3">
      <c r="C82">
        <f>Incurred_loss!R80</f>
        <v>2023</v>
      </c>
      <c r="D82" s="45">
        <f>'Cum. payments'!B201</f>
        <v>84025.142773794752</v>
      </c>
      <c r="E82" s="45">
        <f>'Cum. payments'!C201</f>
        <v>815435.98410760611</v>
      </c>
      <c r="F82" s="45">
        <f>'Cum. payments'!D201</f>
        <v>1058198.7808052355</v>
      </c>
      <c r="N82" s="48">
        <f>XL_Pure_Premium!$O82</f>
        <v>1399741.5210301287</v>
      </c>
      <c r="S82">
        <f t="shared" si="96"/>
        <v>2023</v>
      </c>
      <c r="T82" s="45">
        <f t="shared" si="108"/>
        <v>0</v>
      </c>
      <c r="U82" s="45">
        <f t="shared" si="109"/>
        <v>0</v>
      </c>
      <c r="V82" s="45">
        <f t="shared" si="110"/>
        <v>0</v>
      </c>
      <c r="AD82" s="45">
        <f t="shared" si="97"/>
        <v>0</v>
      </c>
      <c r="AK82">
        <f t="shared" si="98"/>
        <v>2023</v>
      </c>
      <c r="AL82" s="45">
        <f t="shared" si="111"/>
        <v>0</v>
      </c>
      <c r="AM82" s="45">
        <f t="shared" si="112"/>
        <v>0</v>
      </c>
      <c r="AN82" s="45">
        <f t="shared" si="113"/>
        <v>0</v>
      </c>
      <c r="AV82" s="45">
        <f t="shared" si="99"/>
        <v>0</v>
      </c>
    </row>
    <row r="83" spans="3:48" x14ac:dyDescent="0.3">
      <c r="C83">
        <f>Incurred_loss!R81</f>
        <v>2023</v>
      </c>
      <c r="D83" s="45">
        <f>'Cum. payments'!B202</f>
        <v>647480.1097556235</v>
      </c>
      <c r="E83" s="45">
        <f>'Cum. payments'!C202</f>
        <v>1662595.0229298519</v>
      </c>
      <c r="F83" s="45">
        <f>'Cum. payments'!D202</f>
        <v>1735255.945161415</v>
      </c>
      <c r="N83" s="48">
        <f>XL_Pure_Premium!$O83</f>
        <v>2812902.1249035718</v>
      </c>
      <c r="S83">
        <f t="shared" si="96"/>
        <v>2023</v>
      </c>
      <c r="T83" s="45">
        <f t="shared" si="108"/>
        <v>0</v>
      </c>
      <c r="U83" s="45">
        <f t="shared" si="109"/>
        <v>0</v>
      </c>
      <c r="V83" s="45">
        <f t="shared" si="110"/>
        <v>0</v>
      </c>
      <c r="AD83" s="45">
        <f t="shared" si="97"/>
        <v>0</v>
      </c>
      <c r="AK83">
        <f t="shared" si="98"/>
        <v>2023</v>
      </c>
      <c r="AL83" s="45">
        <f t="shared" si="111"/>
        <v>0</v>
      </c>
      <c r="AM83" s="45">
        <f t="shared" si="112"/>
        <v>0</v>
      </c>
      <c r="AN83" s="45">
        <f t="shared" si="113"/>
        <v>0</v>
      </c>
      <c r="AV83" s="45">
        <f t="shared" si="99"/>
        <v>0</v>
      </c>
    </row>
    <row r="84" spans="3:48" x14ac:dyDescent="0.3">
      <c r="C84">
        <f>Incurred_loss!R82</f>
        <v>2023</v>
      </c>
      <c r="D84" s="45">
        <f>'Cum. payments'!B203</f>
        <v>99898.073897466107</v>
      </c>
      <c r="E84" s="45">
        <f>'Cum. payments'!C203</f>
        <v>700990.20340327162</v>
      </c>
      <c r="F84" s="45">
        <f>'Cum. payments'!D203</f>
        <v>1421793.1626574195</v>
      </c>
      <c r="N84" s="48">
        <f>XL_Pure_Premium!$O84</f>
        <v>2728015.6289870036</v>
      </c>
      <c r="S84">
        <f t="shared" si="96"/>
        <v>2023</v>
      </c>
      <c r="T84" s="45">
        <f t="shared" si="108"/>
        <v>0</v>
      </c>
      <c r="U84" s="45">
        <f t="shared" si="109"/>
        <v>0</v>
      </c>
      <c r="V84" s="45">
        <f t="shared" si="110"/>
        <v>0</v>
      </c>
      <c r="AD84" s="45">
        <f t="shared" si="97"/>
        <v>0</v>
      </c>
      <c r="AK84">
        <f t="shared" si="98"/>
        <v>2023</v>
      </c>
      <c r="AL84" s="45">
        <f t="shared" si="111"/>
        <v>0</v>
      </c>
      <c r="AM84" s="45">
        <f t="shared" si="112"/>
        <v>0</v>
      </c>
      <c r="AN84" s="45">
        <f t="shared" si="113"/>
        <v>0</v>
      </c>
      <c r="AV84" s="45">
        <f t="shared" si="99"/>
        <v>0</v>
      </c>
    </row>
    <row r="85" spans="3:48" x14ac:dyDescent="0.3">
      <c r="C85">
        <f>Incurred_loss!R83</f>
        <v>2023</v>
      </c>
      <c r="D85" s="45">
        <f>'Cum. payments'!B204</f>
        <v>175534.18027993402</v>
      </c>
      <c r="E85" s="45">
        <f>'Cum. payments'!C204</f>
        <v>786866.69791636965</v>
      </c>
      <c r="F85" s="45">
        <f>'Cum. payments'!D204</f>
        <v>795316.68045147252</v>
      </c>
      <c r="N85" s="48">
        <f>XL_Pure_Premium!$O85</f>
        <v>1275389.0075718274</v>
      </c>
      <c r="S85">
        <f t="shared" si="96"/>
        <v>2023</v>
      </c>
      <c r="T85" s="45">
        <f t="shared" si="108"/>
        <v>0</v>
      </c>
      <c r="U85" s="45">
        <f t="shared" si="109"/>
        <v>0</v>
      </c>
      <c r="V85" s="45">
        <f t="shared" si="110"/>
        <v>0</v>
      </c>
      <c r="AD85" s="45">
        <f t="shared" si="97"/>
        <v>0</v>
      </c>
      <c r="AK85">
        <f t="shared" si="98"/>
        <v>2023</v>
      </c>
      <c r="AL85" s="45">
        <f t="shared" si="111"/>
        <v>0</v>
      </c>
      <c r="AM85" s="45">
        <f t="shared" si="112"/>
        <v>0</v>
      </c>
      <c r="AN85" s="45">
        <f t="shared" si="113"/>
        <v>0</v>
      </c>
      <c r="AV85" s="45">
        <f t="shared" si="99"/>
        <v>0</v>
      </c>
    </row>
    <row r="86" spans="3:48" x14ac:dyDescent="0.3">
      <c r="C86">
        <f>Incurred_loss!R84</f>
        <v>2023</v>
      </c>
      <c r="D86" s="45">
        <f>'Cum. payments'!B205</f>
        <v>73251.408083271177</v>
      </c>
      <c r="E86" s="45">
        <f>'Cum. payments'!C205</f>
        <v>83383.734435106191</v>
      </c>
      <c r="F86" s="45">
        <f>'Cum. payments'!D205</f>
        <v>1117281.1646520847</v>
      </c>
      <c r="N86" s="48">
        <f>XL_Pure_Premium!$O86</f>
        <v>2186355.9224315109</v>
      </c>
      <c r="S86">
        <f t="shared" si="96"/>
        <v>2023</v>
      </c>
      <c r="T86" s="45">
        <f t="shared" si="108"/>
        <v>0</v>
      </c>
      <c r="U86" s="45">
        <f t="shared" si="109"/>
        <v>0</v>
      </c>
      <c r="V86" s="45">
        <f t="shared" si="110"/>
        <v>0</v>
      </c>
      <c r="AD86" s="45">
        <f t="shared" si="97"/>
        <v>0</v>
      </c>
      <c r="AK86">
        <f t="shared" si="98"/>
        <v>2023</v>
      </c>
      <c r="AL86" s="45">
        <f t="shared" si="111"/>
        <v>0</v>
      </c>
      <c r="AM86" s="45">
        <f t="shared" si="112"/>
        <v>0</v>
      </c>
      <c r="AN86" s="45">
        <f t="shared" si="113"/>
        <v>0</v>
      </c>
      <c r="AV86" s="45">
        <f t="shared" si="99"/>
        <v>0</v>
      </c>
    </row>
    <row r="87" spans="3:48" x14ac:dyDescent="0.3">
      <c r="C87">
        <f>Incurred_loss!R85</f>
        <v>2023</v>
      </c>
      <c r="D87" s="45">
        <f>'Cum. payments'!B206</f>
        <v>48286.258139577178</v>
      </c>
      <c r="E87" s="45">
        <f>'Cum. payments'!C206</f>
        <v>50317.391529746419</v>
      </c>
      <c r="F87" s="45">
        <f>'Cum. payments'!D206</f>
        <v>50817.434345578637</v>
      </c>
      <c r="N87" s="48">
        <f>XL_Pure_Premium!$O87</f>
        <v>425254.4074181827</v>
      </c>
      <c r="S87">
        <f t="shared" si="96"/>
        <v>2023</v>
      </c>
      <c r="T87" s="45">
        <f t="shared" si="108"/>
        <v>0</v>
      </c>
      <c r="U87" s="45">
        <f t="shared" si="109"/>
        <v>0</v>
      </c>
      <c r="V87" s="45">
        <f t="shared" si="110"/>
        <v>0</v>
      </c>
      <c r="AD87" s="45">
        <f t="shared" si="97"/>
        <v>0</v>
      </c>
      <c r="AK87">
        <f t="shared" si="98"/>
        <v>2023</v>
      </c>
      <c r="AL87" s="45">
        <f t="shared" si="111"/>
        <v>0</v>
      </c>
      <c r="AM87" s="45">
        <f t="shared" si="112"/>
        <v>0</v>
      </c>
      <c r="AN87" s="45">
        <f t="shared" si="113"/>
        <v>0</v>
      </c>
      <c r="AV87" s="45">
        <f t="shared" si="99"/>
        <v>0</v>
      </c>
    </row>
    <row r="88" spans="3:48" x14ac:dyDescent="0.3">
      <c r="C88">
        <f>Incurred_loss!R86</f>
        <v>2023</v>
      </c>
      <c r="D88" s="45">
        <f>'Cum. payments'!B207</f>
        <v>179721.69064643909</v>
      </c>
      <c r="E88" s="45">
        <f>'Cum. payments'!C207</f>
        <v>677012.06244559202</v>
      </c>
      <c r="F88" s="45">
        <f>'Cum. payments'!D207</f>
        <v>689841.44818351755</v>
      </c>
      <c r="N88" s="48">
        <f>XL_Pure_Premium!$O88</f>
        <v>1311292.6590184646</v>
      </c>
      <c r="S88">
        <f t="shared" si="96"/>
        <v>2023</v>
      </c>
      <c r="T88" s="45">
        <f t="shared" si="108"/>
        <v>0</v>
      </c>
      <c r="U88" s="45">
        <f t="shared" si="109"/>
        <v>0</v>
      </c>
      <c r="V88" s="45">
        <f t="shared" si="110"/>
        <v>0</v>
      </c>
      <c r="AD88" s="45">
        <f t="shared" si="97"/>
        <v>0</v>
      </c>
      <c r="AK88">
        <f t="shared" si="98"/>
        <v>2023</v>
      </c>
      <c r="AL88" s="45">
        <f t="shared" si="111"/>
        <v>0</v>
      </c>
      <c r="AM88" s="45">
        <f t="shared" si="112"/>
        <v>0</v>
      </c>
      <c r="AN88" s="45">
        <f t="shared" si="113"/>
        <v>0</v>
      </c>
      <c r="AV88" s="45">
        <f t="shared" si="99"/>
        <v>0</v>
      </c>
    </row>
    <row r="89" spans="3:48" x14ac:dyDescent="0.3">
      <c r="C89">
        <f>Incurred_loss!R87</f>
        <v>2023</v>
      </c>
      <c r="D89" s="45">
        <f>'Cum. payments'!B208</f>
        <v>14439.570287212418</v>
      </c>
      <c r="E89" s="45">
        <f>'Cum. payments'!C208</f>
        <v>14621.074887774337</v>
      </c>
      <c r="F89" s="45">
        <f>'Cum. payments'!D208</f>
        <v>14641.026368288516</v>
      </c>
      <c r="N89" s="48">
        <f>XL_Pure_Premium!$O89</f>
        <v>585241.86139381432</v>
      </c>
      <c r="S89">
        <f t="shared" si="96"/>
        <v>2023</v>
      </c>
      <c r="T89" s="45">
        <f t="shared" si="108"/>
        <v>0</v>
      </c>
      <c r="U89" s="45">
        <f t="shared" si="109"/>
        <v>0</v>
      </c>
      <c r="V89" s="45">
        <f t="shared" si="110"/>
        <v>0</v>
      </c>
      <c r="AD89" s="45">
        <f t="shared" si="97"/>
        <v>0</v>
      </c>
      <c r="AK89">
        <f t="shared" si="98"/>
        <v>2023</v>
      </c>
      <c r="AL89" s="45">
        <f t="shared" si="111"/>
        <v>0</v>
      </c>
      <c r="AM89" s="45">
        <f t="shared" si="112"/>
        <v>0</v>
      </c>
      <c r="AN89" s="45">
        <f t="shared" si="113"/>
        <v>0</v>
      </c>
      <c r="AV89" s="45">
        <f t="shared" si="99"/>
        <v>0</v>
      </c>
    </row>
    <row r="90" spans="3:48" x14ac:dyDescent="0.3">
      <c r="C90">
        <f>Incurred_loss!R88</f>
        <v>2023</v>
      </c>
      <c r="D90" s="45">
        <f>'Cum. payments'!B209</f>
        <v>39069.191015525677</v>
      </c>
      <c r="E90" s="45">
        <f>'Cum. payments'!C209</f>
        <v>123394.66774939102</v>
      </c>
      <c r="F90" s="45">
        <f>'Cum. payments'!D209</f>
        <v>130466.51724247508</v>
      </c>
      <c r="N90" s="48">
        <f>XL_Pure_Premium!$O90</f>
        <v>1655120.9286008691</v>
      </c>
      <c r="S90">
        <f t="shared" si="96"/>
        <v>2023</v>
      </c>
      <c r="T90" s="45">
        <f t="shared" si="108"/>
        <v>0</v>
      </c>
      <c r="U90" s="45">
        <f t="shared" si="109"/>
        <v>0</v>
      </c>
      <c r="V90" s="45">
        <f t="shared" si="110"/>
        <v>0</v>
      </c>
      <c r="AD90" s="45">
        <f t="shared" si="97"/>
        <v>0</v>
      </c>
      <c r="AK90">
        <f t="shared" si="98"/>
        <v>2023</v>
      </c>
      <c r="AL90" s="45">
        <f t="shared" si="111"/>
        <v>0</v>
      </c>
      <c r="AM90" s="45">
        <f t="shared" si="112"/>
        <v>0</v>
      </c>
      <c r="AN90" s="45">
        <f t="shared" si="113"/>
        <v>0</v>
      </c>
      <c r="AV90" s="45">
        <f t="shared" si="99"/>
        <v>0</v>
      </c>
    </row>
    <row r="91" spans="3:48" x14ac:dyDescent="0.3">
      <c r="C91">
        <f>Incurred_loss!R89</f>
        <v>2023</v>
      </c>
      <c r="D91" s="45">
        <f>'Cum. payments'!B210</f>
        <v>600882.37417554285</v>
      </c>
      <c r="E91" s="45">
        <f>'Cum. payments'!C210</f>
        <v>1568547.4502701354</v>
      </c>
      <c r="F91" s="45">
        <f>'Cum. payments'!D210</f>
        <v>1984606.9230726073</v>
      </c>
      <c r="N91" s="48">
        <f>XL_Pure_Premium!$O91</f>
        <v>2647557.0184580483</v>
      </c>
      <c r="S91">
        <f t="shared" si="96"/>
        <v>2023</v>
      </c>
      <c r="T91" s="45">
        <f t="shared" si="108"/>
        <v>0</v>
      </c>
      <c r="U91" s="45">
        <f t="shared" si="109"/>
        <v>0</v>
      </c>
      <c r="V91" s="45">
        <f t="shared" si="110"/>
        <v>0</v>
      </c>
      <c r="AD91" s="45">
        <f t="shared" si="97"/>
        <v>0</v>
      </c>
      <c r="AK91">
        <f t="shared" si="98"/>
        <v>2023</v>
      </c>
      <c r="AL91" s="45">
        <f t="shared" si="111"/>
        <v>0</v>
      </c>
      <c r="AM91" s="45">
        <f t="shared" si="112"/>
        <v>0</v>
      </c>
      <c r="AN91" s="45">
        <f t="shared" si="113"/>
        <v>0</v>
      </c>
      <c r="AV91" s="45">
        <f t="shared" si="99"/>
        <v>0</v>
      </c>
    </row>
    <row r="92" spans="3:48" x14ac:dyDescent="0.3">
      <c r="C92">
        <f>Incurred_loss!R90</f>
        <v>2023</v>
      </c>
      <c r="D92" s="45">
        <f>'Cum. payments'!B211</f>
        <v>1280387.1411343773</v>
      </c>
      <c r="E92" s="45">
        <f>'Cum. payments'!C211</f>
        <v>1312714.6810530981</v>
      </c>
      <c r="F92" s="45">
        <f>'Cum. payments'!D211</f>
        <v>1581617.2465919058</v>
      </c>
      <c r="N92" s="48">
        <f>XL_Pure_Premium!$O92</f>
        <v>1994730.4494185757</v>
      </c>
      <c r="S92">
        <f t="shared" si="96"/>
        <v>2023</v>
      </c>
      <c r="T92" s="45">
        <f t="shared" si="108"/>
        <v>0</v>
      </c>
      <c r="U92" s="45">
        <f t="shared" si="109"/>
        <v>0</v>
      </c>
      <c r="V92" s="45">
        <f t="shared" si="110"/>
        <v>0</v>
      </c>
      <c r="AD92" s="45">
        <f t="shared" si="97"/>
        <v>0</v>
      </c>
      <c r="AK92">
        <f t="shared" si="98"/>
        <v>2023</v>
      </c>
      <c r="AL92" s="45">
        <f t="shared" si="111"/>
        <v>0</v>
      </c>
      <c r="AM92" s="45">
        <f t="shared" si="112"/>
        <v>0</v>
      </c>
      <c r="AN92" s="45">
        <f t="shared" si="113"/>
        <v>0</v>
      </c>
      <c r="AV92" s="45">
        <f t="shared" si="99"/>
        <v>0</v>
      </c>
    </row>
    <row r="93" spans="3:48" x14ac:dyDescent="0.3">
      <c r="C93">
        <f>Incurred_loss!R91</f>
        <v>2023</v>
      </c>
      <c r="D93" s="45">
        <f>'Cum. payments'!B212</f>
        <v>1964.4804530535696</v>
      </c>
      <c r="E93" s="45">
        <f>'Cum. payments'!C212</f>
        <v>102911.97327136372</v>
      </c>
      <c r="F93" s="45">
        <f>'Cum. payments'!D212</f>
        <v>337483.65205607371</v>
      </c>
      <c r="N93" s="48">
        <f>XL_Pure_Premium!$O93</f>
        <v>2196856.9469851675</v>
      </c>
      <c r="S93">
        <f t="shared" si="96"/>
        <v>2023</v>
      </c>
      <c r="T93" s="45">
        <f t="shared" si="108"/>
        <v>0</v>
      </c>
      <c r="U93" s="45">
        <f t="shared" si="109"/>
        <v>0</v>
      </c>
      <c r="V93" s="45">
        <f t="shared" si="110"/>
        <v>0</v>
      </c>
      <c r="AD93" s="45">
        <f t="shared" si="97"/>
        <v>0</v>
      </c>
      <c r="AK93">
        <f t="shared" si="98"/>
        <v>2023</v>
      </c>
      <c r="AL93" s="45">
        <f t="shared" si="111"/>
        <v>0</v>
      </c>
      <c r="AM93" s="45">
        <f t="shared" si="112"/>
        <v>0</v>
      </c>
      <c r="AN93" s="45">
        <f t="shared" si="113"/>
        <v>0</v>
      </c>
      <c r="AV93" s="45">
        <f t="shared" si="99"/>
        <v>0</v>
      </c>
    </row>
    <row r="94" spans="3:48" x14ac:dyDescent="0.3">
      <c r="C94">
        <f>Incurred_loss!R92</f>
        <v>2023</v>
      </c>
      <c r="D94" s="45">
        <f>'Cum. payments'!B213</f>
        <v>9053.9660218025947</v>
      </c>
      <c r="E94" s="45">
        <f>'Cum. payments'!C213</f>
        <v>9053.9860802422354</v>
      </c>
      <c r="F94" s="45">
        <f>'Cum. payments'!D213</f>
        <v>813620.03872872237</v>
      </c>
      <c r="N94" s="48">
        <f>XL_Pure_Premium!$O94</f>
        <v>1737889.9639640886</v>
      </c>
      <c r="S94">
        <f t="shared" si="96"/>
        <v>2023</v>
      </c>
      <c r="T94" s="45">
        <f t="shared" si="108"/>
        <v>0</v>
      </c>
      <c r="U94" s="45">
        <f t="shared" si="109"/>
        <v>0</v>
      </c>
      <c r="V94" s="45">
        <f t="shared" si="110"/>
        <v>0</v>
      </c>
      <c r="AD94" s="45">
        <f t="shared" si="97"/>
        <v>0</v>
      </c>
      <c r="AK94">
        <f t="shared" si="98"/>
        <v>2023</v>
      </c>
      <c r="AL94" s="45">
        <f t="shared" si="111"/>
        <v>0</v>
      </c>
      <c r="AM94" s="45">
        <f t="shared" si="112"/>
        <v>0</v>
      </c>
      <c r="AN94" s="45">
        <f t="shared" si="113"/>
        <v>0</v>
      </c>
      <c r="AV94" s="45">
        <f t="shared" si="99"/>
        <v>0</v>
      </c>
    </row>
    <row r="95" spans="3:48" x14ac:dyDescent="0.3">
      <c r="C95">
        <f>Incurred_loss!R93</f>
        <v>2023</v>
      </c>
      <c r="D95" s="45">
        <f>'Cum. payments'!B214</f>
        <v>395678.19242976949</v>
      </c>
      <c r="E95" s="45">
        <f>'Cum. payments'!C214</f>
        <v>395681.11397653673</v>
      </c>
      <c r="F95" s="45">
        <f>'Cum. payments'!D214</f>
        <v>444029.26240497665</v>
      </c>
      <c r="N95" s="48">
        <f>XL_Pure_Premium!$O95</f>
        <v>814404.35112043761</v>
      </c>
      <c r="S95">
        <f t="shared" si="96"/>
        <v>2023</v>
      </c>
      <c r="T95" s="45">
        <f t="shared" si="108"/>
        <v>0</v>
      </c>
      <c r="U95" s="45">
        <f t="shared" si="109"/>
        <v>0</v>
      </c>
      <c r="V95" s="45">
        <f t="shared" si="110"/>
        <v>0</v>
      </c>
      <c r="AD95" s="45">
        <f t="shared" si="97"/>
        <v>0</v>
      </c>
      <c r="AK95">
        <f t="shared" si="98"/>
        <v>2023</v>
      </c>
      <c r="AL95" s="45">
        <f t="shared" si="111"/>
        <v>0</v>
      </c>
      <c r="AM95" s="45">
        <f t="shared" si="112"/>
        <v>0</v>
      </c>
      <c r="AN95" s="45">
        <f t="shared" si="113"/>
        <v>0</v>
      </c>
      <c r="AV95" s="45">
        <f t="shared" si="99"/>
        <v>0</v>
      </c>
    </row>
    <row r="96" spans="3:48" x14ac:dyDescent="0.3">
      <c r="C96">
        <f>Incurred_loss!R94</f>
        <v>2023</v>
      </c>
      <c r="D96" s="45">
        <f>'Cum. payments'!B215</f>
        <v>24.593920871942025</v>
      </c>
      <c r="E96" s="45">
        <f>'Cum. payments'!C215</f>
        <v>406799.62001571473</v>
      </c>
      <c r="F96" s="45">
        <f>'Cum. payments'!D215</f>
        <v>413999.24399901426</v>
      </c>
      <c r="N96" s="48">
        <f>XL_Pure_Premium!$O96</f>
        <v>2176336.6650663656</v>
      </c>
      <c r="S96">
        <f t="shared" si="96"/>
        <v>2023</v>
      </c>
      <c r="T96" s="45">
        <f t="shared" ref="T96:T97" si="114">MIN(MAX(D96-$S$2,0),$Q$2)</f>
        <v>0</v>
      </c>
      <c r="U96" s="45">
        <f t="shared" ref="U96:U97" si="115">MIN(MAX(E96-$S$2,0),$Q$2)</f>
        <v>0</v>
      </c>
      <c r="V96" s="45">
        <f t="shared" ref="V96" si="116">MIN(MAX(F96-$S$2,0),$Q$2)</f>
        <v>0</v>
      </c>
      <c r="AD96" s="45">
        <f t="shared" si="97"/>
        <v>0</v>
      </c>
      <c r="AK96">
        <f t="shared" si="98"/>
        <v>2023</v>
      </c>
      <c r="AL96" s="45">
        <f t="shared" si="111"/>
        <v>0</v>
      </c>
      <c r="AM96" s="45">
        <f t="shared" si="112"/>
        <v>0</v>
      </c>
      <c r="AN96" s="45">
        <f t="shared" si="113"/>
        <v>0</v>
      </c>
      <c r="AV96" s="45">
        <f t="shared" si="99"/>
        <v>0</v>
      </c>
    </row>
    <row r="97" spans="3:48" x14ac:dyDescent="0.3">
      <c r="C97">
        <f>Incurred_loss!R95</f>
        <v>2024</v>
      </c>
      <c r="D97" s="45">
        <f>'Cum. payments'!B216</f>
        <v>37342.142145904239</v>
      </c>
      <c r="E97" s="45">
        <f>'Cum. payments'!C216</f>
        <v>40971.039154710554</v>
      </c>
      <c r="N97" s="48">
        <f>XL_Pure_Premium!$O97</f>
        <v>744423.1183558217</v>
      </c>
      <c r="S97">
        <f t="shared" si="96"/>
        <v>2024</v>
      </c>
      <c r="T97" s="45">
        <f t="shared" si="114"/>
        <v>0</v>
      </c>
      <c r="U97" s="45">
        <f t="shared" si="115"/>
        <v>0</v>
      </c>
      <c r="AD97" s="45">
        <f t="shared" si="97"/>
        <v>0</v>
      </c>
      <c r="AK97">
        <f t="shared" si="98"/>
        <v>2024</v>
      </c>
      <c r="AL97" s="45">
        <f t="shared" ref="AL97:AL118" si="117">MIN(MAX(D97-$AK$2,0),$AI$2)</f>
        <v>0</v>
      </c>
      <c r="AM97" s="45">
        <f t="shared" ref="AM97:AM109" si="118">MIN(MAX(E97-$AK$2,0),$AI$2)</f>
        <v>0</v>
      </c>
      <c r="AV97" s="45">
        <f t="shared" si="99"/>
        <v>0</v>
      </c>
    </row>
    <row r="98" spans="3:48" x14ac:dyDescent="0.3">
      <c r="C98">
        <f>Incurred_loss!R96</f>
        <v>2024</v>
      </c>
      <c r="D98" s="45">
        <f>'Cum. payments'!B217</f>
        <v>247251.48486921214</v>
      </c>
      <c r="E98" s="45">
        <f>'Cum. payments'!C217</f>
        <v>282575.2612036292</v>
      </c>
      <c r="N98" s="48">
        <f>XL_Pure_Premium!$O98</f>
        <v>1636501.8384279287</v>
      </c>
      <c r="S98">
        <f t="shared" si="96"/>
        <v>2024</v>
      </c>
      <c r="T98" s="45">
        <f t="shared" ref="T98:T118" si="119">MIN(MAX(D98-$S$2,0),$Q$2)</f>
        <v>0</v>
      </c>
      <c r="U98" s="45">
        <f t="shared" ref="U98:U109" si="120">MIN(MAX(E98-$S$2,0),$Q$2)</f>
        <v>0</v>
      </c>
      <c r="AD98" s="45">
        <f t="shared" si="97"/>
        <v>0</v>
      </c>
      <c r="AK98">
        <f t="shared" si="98"/>
        <v>2024</v>
      </c>
      <c r="AL98" s="45">
        <f t="shared" si="117"/>
        <v>0</v>
      </c>
      <c r="AM98" s="45">
        <f t="shared" si="118"/>
        <v>0</v>
      </c>
      <c r="AV98" s="45">
        <f t="shared" si="99"/>
        <v>0</v>
      </c>
    </row>
    <row r="99" spans="3:48" x14ac:dyDescent="0.3">
      <c r="C99">
        <f>Incurred_loss!R97</f>
        <v>2024</v>
      </c>
      <c r="D99" s="45">
        <f>'Cum. payments'!B218</f>
        <v>64299.656301252682</v>
      </c>
      <c r="E99" s="45">
        <f>'Cum. payments'!C218</f>
        <v>68876.657828801894</v>
      </c>
      <c r="N99" s="48">
        <f>XL_Pure_Premium!$O99</f>
        <v>535177.12749712903</v>
      </c>
      <c r="S99">
        <f t="shared" si="96"/>
        <v>2024</v>
      </c>
      <c r="T99" s="45">
        <f t="shared" si="119"/>
        <v>0</v>
      </c>
      <c r="U99" s="45">
        <f t="shared" si="120"/>
        <v>0</v>
      </c>
      <c r="AD99" s="45">
        <f t="shared" si="97"/>
        <v>0</v>
      </c>
      <c r="AK99">
        <f t="shared" si="98"/>
        <v>2024</v>
      </c>
      <c r="AL99" s="45">
        <f t="shared" si="117"/>
        <v>0</v>
      </c>
      <c r="AM99" s="45">
        <f t="shared" si="118"/>
        <v>0</v>
      </c>
      <c r="AV99" s="45">
        <f t="shared" si="99"/>
        <v>0</v>
      </c>
    </row>
    <row r="100" spans="3:48" x14ac:dyDescent="0.3">
      <c r="C100">
        <f>Incurred_loss!R98</f>
        <v>2024</v>
      </c>
      <c r="D100" s="45">
        <f>'Cum. payments'!B219</f>
        <v>79869.804153342586</v>
      </c>
      <c r="E100" s="45">
        <f>'Cum. payments'!C219</f>
        <v>172125.39814903447</v>
      </c>
      <c r="N100" s="48">
        <f>XL_Pure_Premium!$O100</f>
        <v>448469.03314578411</v>
      </c>
      <c r="S100">
        <f t="shared" si="96"/>
        <v>2024</v>
      </c>
      <c r="T100" s="45">
        <f t="shared" si="119"/>
        <v>0</v>
      </c>
      <c r="U100" s="45">
        <f t="shared" si="120"/>
        <v>0</v>
      </c>
      <c r="AD100" s="45">
        <f t="shared" si="97"/>
        <v>0</v>
      </c>
      <c r="AK100">
        <f t="shared" si="98"/>
        <v>2024</v>
      </c>
      <c r="AL100" s="45">
        <f t="shared" si="117"/>
        <v>0</v>
      </c>
      <c r="AM100" s="45">
        <f t="shared" si="118"/>
        <v>0</v>
      </c>
      <c r="AV100" s="45">
        <f t="shared" si="99"/>
        <v>0</v>
      </c>
    </row>
    <row r="101" spans="3:48" x14ac:dyDescent="0.3">
      <c r="C101">
        <f>Incurred_loss!R99</f>
        <v>2024</v>
      </c>
      <c r="D101" s="45">
        <f>'Cum. payments'!B220</f>
        <v>47676.893399993583</v>
      </c>
      <c r="E101" s="45">
        <f>'Cum. payments'!C220</f>
        <v>71239.274096614448</v>
      </c>
      <c r="N101" s="48">
        <f>XL_Pure_Premium!$O101</f>
        <v>3874527.9259714782</v>
      </c>
      <c r="S101">
        <f t="shared" si="96"/>
        <v>2024</v>
      </c>
      <c r="T101" s="45">
        <f t="shared" si="119"/>
        <v>0</v>
      </c>
      <c r="U101" s="45">
        <f t="shared" si="120"/>
        <v>0</v>
      </c>
      <c r="AD101" s="45">
        <f t="shared" si="97"/>
        <v>0</v>
      </c>
      <c r="AK101">
        <f t="shared" si="98"/>
        <v>2024</v>
      </c>
      <c r="AL101" s="45">
        <f t="shared" si="117"/>
        <v>0</v>
      </c>
      <c r="AM101" s="45">
        <f t="shared" si="118"/>
        <v>0</v>
      </c>
      <c r="AV101" s="45">
        <f t="shared" si="99"/>
        <v>0</v>
      </c>
    </row>
    <row r="102" spans="3:48" x14ac:dyDescent="0.3">
      <c r="C102">
        <f>Incurred_loss!R100</f>
        <v>2024</v>
      </c>
      <c r="D102" s="45">
        <f>'Cum. payments'!B221</f>
        <v>534105.74198306457</v>
      </c>
      <c r="E102" s="45">
        <f>'Cum. payments'!C221</f>
        <v>534434.645443524</v>
      </c>
      <c r="N102" s="48">
        <f>XL_Pure_Premium!$O102</f>
        <v>2319074.6827521971</v>
      </c>
      <c r="S102">
        <f t="shared" si="96"/>
        <v>2024</v>
      </c>
      <c r="T102" s="45">
        <f t="shared" si="119"/>
        <v>0</v>
      </c>
      <c r="U102" s="45">
        <f t="shared" si="120"/>
        <v>0</v>
      </c>
      <c r="AD102" s="45">
        <f t="shared" si="97"/>
        <v>0</v>
      </c>
      <c r="AK102">
        <f t="shared" si="98"/>
        <v>2024</v>
      </c>
      <c r="AL102" s="45">
        <f t="shared" si="117"/>
        <v>0</v>
      </c>
      <c r="AM102" s="45">
        <f t="shared" si="118"/>
        <v>0</v>
      </c>
      <c r="AV102" s="45">
        <f t="shared" si="99"/>
        <v>0</v>
      </c>
    </row>
    <row r="103" spans="3:48" x14ac:dyDescent="0.3">
      <c r="C103">
        <f>Incurred_loss!R101</f>
        <v>2024</v>
      </c>
      <c r="D103" s="45">
        <f>'Cum. payments'!B222</f>
        <v>185522.67648592568</v>
      </c>
      <c r="E103" s="45">
        <f>'Cum. payments'!C222</f>
        <v>192403.05917585574</v>
      </c>
      <c r="N103" s="48">
        <f>XL_Pure_Premium!$O103</f>
        <v>593416.79981198127</v>
      </c>
      <c r="S103">
        <f t="shared" si="96"/>
        <v>2024</v>
      </c>
      <c r="T103" s="45">
        <f t="shared" si="119"/>
        <v>0</v>
      </c>
      <c r="U103" s="45">
        <f t="shared" si="120"/>
        <v>0</v>
      </c>
      <c r="AD103" s="45">
        <f t="shared" si="97"/>
        <v>0</v>
      </c>
      <c r="AK103">
        <f t="shared" si="98"/>
        <v>2024</v>
      </c>
      <c r="AL103" s="45">
        <f t="shared" si="117"/>
        <v>0</v>
      </c>
      <c r="AM103" s="45">
        <f t="shared" si="118"/>
        <v>0</v>
      </c>
      <c r="AV103" s="45">
        <f t="shared" si="99"/>
        <v>0</v>
      </c>
    </row>
    <row r="104" spans="3:48" x14ac:dyDescent="0.3">
      <c r="C104">
        <f>Incurred_loss!R102</f>
        <v>2024</v>
      </c>
      <c r="D104" s="45">
        <f>'Cum. payments'!B223</f>
        <v>336364.4109699229</v>
      </c>
      <c r="E104" s="45">
        <f>'Cum. payments'!C223</f>
        <v>376079.84331991163</v>
      </c>
      <c r="N104" s="48">
        <f>XL_Pure_Premium!$O104</f>
        <v>4163412.8844264555</v>
      </c>
      <c r="S104">
        <f t="shared" si="96"/>
        <v>2024</v>
      </c>
      <c r="T104" s="45">
        <f t="shared" si="119"/>
        <v>0</v>
      </c>
      <c r="U104" s="45">
        <f t="shared" si="120"/>
        <v>0</v>
      </c>
      <c r="AD104" s="45">
        <f t="shared" si="97"/>
        <v>163412.88442645548</v>
      </c>
      <c r="AK104">
        <f t="shared" si="98"/>
        <v>2024</v>
      </c>
      <c r="AL104" s="45">
        <f t="shared" si="117"/>
        <v>0</v>
      </c>
      <c r="AM104" s="45">
        <f t="shared" si="118"/>
        <v>0</v>
      </c>
      <c r="AV104" s="45">
        <f t="shared" si="99"/>
        <v>0</v>
      </c>
    </row>
    <row r="105" spans="3:48" x14ac:dyDescent="0.3">
      <c r="C105">
        <f>Incurred_loss!R103</f>
        <v>2024</v>
      </c>
      <c r="D105" s="45">
        <f>'Cum. payments'!B224</f>
        <v>129366.18864663012</v>
      </c>
      <c r="E105" s="45">
        <f>'Cum. payments'!C224</f>
        <v>302575.52031883225</v>
      </c>
      <c r="N105" s="48">
        <f>XL_Pure_Premium!$O105</f>
        <v>2126933.093728716</v>
      </c>
      <c r="S105">
        <f t="shared" si="96"/>
        <v>2024</v>
      </c>
      <c r="T105" s="45">
        <f t="shared" si="119"/>
        <v>0</v>
      </c>
      <c r="U105" s="45">
        <f t="shared" si="120"/>
        <v>0</v>
      </c>
      <c r="AD105" s="45">
        <f t="shared" si="97"/>
        <v>0</v>
      </c>
      <c r="AK105">
        <f t="shared" si="98"/>
        <v>2024</v>
      </c>
      <c r="AL105" s="45">
        <f t="shared" si="117"/>
        <v>0</v>
      </c>
      <c r="AM105" s="45">
        <f t="shared" si="118"/>
        <v>0</v>
      </c>
      <c r="AV105" s="45">
        <f t="shared" si="99"/>
        <v>0</v>
      </c>
    </row>
    <row r="106" spans="3:48" x14ac:dyDescent="0.3">
      <c r="C106">
        <f>Incurred_loss!R104</f>
        <v>2024</v>
      </c>
      <c r="D106" s="45">
        <f>'Cum. payments'!B225</f>
        <v>641012.02623756626</v>
      </c>
      <c r="E106" s="45">
        <f>'Cum. payments'!C225</f>
        <v>2436948.5165220378</v>
      </c>
      <c r="N106" s="48">
        <f>XL_Pure_Premium!$O106</f>
        <v>3539864.6837483025</v>
      </c>
      <c r="S106">
        <f t="shared" si="96"/>
        <v>2024</v>
      </c>
      <c r="T106" s="45">
        <f t="shared" si="119"/>
        <v>0</v>
      </c>
      <c r="U106" s="45">
        <f t="shared" si="120"/>
        <v>0</v>
      </c>
      <c r="AD106" s="45">
        <f t="shared" si="97"/>
        <v>0</v>
      </c>
      <c r="AK106">
        <f t="shared" si="98"/>
        <v>2024</v>
      </c>
      <c r="AL106" s="45">
        <f t="shared" si="117"/>
        <v>0</v>
      </c>
      <c r="AM106" s="45">
        <f t="shared" si="118"/>
        <v>0</v>
      </c>
      <c r="AV106" s="45">
        <f t="shared" si="99"/>
        <v>0</v>
      </c>
    </row>
    <row r="107" spans="3:48" x14ac:dyDescent="0.3">
      <c r="C107">
        <f>Incurred_loss!R105</f>
        <v>2024</v>
      </c>
      <c r="D107" s="45">
        <f>'Cum. payments'!B226</f>
        <v>293496.87916357047</v>
      </c>
      <c r="E107" s="45">
        <f>'Cum. payments'!C226</f>
        <v>3423454.7998800799</v>
      </c>
      <c r="N107" s="48">
        <f>XL_Pure_Premium!$O107</f>
        <v>6991001.2653545635</v>
      </c>
      <c r="S107">
        <f t="shared" si="96"/>
        <v>2024</v>
      </c>
      <c r="T107" s="45">
        <f t="shared" si="119"/>
        <v>0</v>
      </c>
      <c r="U107" s="45">
        <f t="shared" si="120"/>
        <v>0</v>
      </c>
      <c r="AD107" s="45">
        <f t="shared" si="97"/>
        <v>2991001.2653545635</v>
      </c>
      <c r="AK107">
        <f t="shared" si="98"/>
        <v>2024</v>
      </c>
      <c r="AL107" s="45">
        <f t="shared" si="117"/>
        <v>0</v>
      </c>
      <c r="AM107" s="45">
        <f t="shared" si="118"/>
        <v>0</v>
      </c>
      <c r="AV107" s="45">
        <f t="shared" si="99"/>
        <v>0</v>
      </c>
    </row>
    <row r="108" spans="3:48" x14ac:dyDescent="0.3">
      <c r="C108">
        <f>Incurred_loss!R106</f>
        <v>2024</v>
      </c>
      <c r="D108" s="45">
        <f>'Cum. payments'!B227</f>
        <v>96348.613528562477</v>
      </c>
      <c r="E108" s="45">
        <f>'Cum. payments'!C227</f>
        <v>142677.11708140399</v>
      </c>
      <c r="N108" s="48">
        <f>XL_Pure_Premium!$O108</f>
        <v>1052091.5623918436</v>
      </c>
      <c r="S108">
        <f t="shared" si="96"/>
        <v>2024</v>
      </c>
      <c r="T108" s="45">
        <f t="shared" si="119"/>
        <v>0</v>
      </c>
      <c r="U108" s="45">
        <f t="shared" si="120"/>
        <v>0</v>
      </c>
      <c r="AD108" s="45">
        <f t="shared" si="97"/>
        <v>0</v>
      </c>
      <c r="AK108">
        <f t="shared" si="98"/>
        <v>2024</v>
      </c>
      <c r="AL108" s="45">
        <f t="shared" si="117"/>
        <v>0</v>
      </c>
      <c r="AM108" s="45">
        <f t="shared" si="118"/>
        <v>0</v>
      </c>
      <c r="AV108" s="45">
        <f t="shared" si="99"/>
        <v>0</v>
      </c>
    </row>
    <row r="109" spans="3:48" x14ac:dyDescent="0.3">
      <c r="C109">
        <f>Incurred_loss!R107</f>
        <v>2024</v>
      </c>
      <c r="D109" s="45">
        <f>'Cum. payments'!B228</f>
        <v>608373.58606845688</v>
      </c>
      <c r="N109" s="48">
        <f>XL_Pure_Premium!$O109</f>
        <v>2335428.352251031</v>
      </c>
      <c r="S109">
        <f t="shared" si="96"/>
        <v>2024</v>
      </c>
      <c r="T109" s="45">
        <f t="shared" si="119"/>
        <v>0</v>
      </c>
      <c r="U109" s="45">
        <f t="shared" si="120"/>
        <v>0</v>
      </c>
      <c r="AD109" s="45">
        <f t="shared" si="97"/>
        <v>0</v>
      </c>
      <c r="AK109">
        <f t="shared" si="98"/>
        <v>2024</v>
      </c>
      <c r="AL109" s="45">
        <f t="shared" si="117"/>
        <v>0</v>
      </c>
      <c r="AM109" s="45">
        <f t="shared" si="118"/>
        <v>0</v>
      </c>
      <c r="AV109" s="45">
        <f t="shared" si="99"/>
        <v>0</v>
      </c>
    </row>
    <row r="110" spans="3:48" x14ac:dyDescent="0.3">
      <c r="C110">
        <f>Incurred_loss!R108</f>
        <v>2025</v>
      </c>
      <c r="D110" s="45">
        <f>'Cum. payments'!B229</f>
        <v>92589.499632134815</v>
      </c>
      <c r="N110" s="48">
        <f>XL_Pure_Premium!$O110</f>
        <v>505036.64225127961</v>
      </c>
      <c r="S110">
        <f t="shared" si="96"/>
        <v>2025</v>
      </c>
      <c r="T110" s="45">
        <f t="shared" si="119"/>
        <v>0</v>
      </c>
      <c r="AD110" s="45">
        <f t="shared" si="97"/>
        <v>0</v>
      </c>
      <c r="AK110">
        <f t="shared" si="98"/>
        <v>2025</v>
      </c>
      <c r="AL110" s="45">
        <f t="shared" si="117"/>
        <v>0</v>
      </c>
      <c r="AV110" s="45">
        <f t="shared" si="99"/>
        <v>0</v>
      </c>
    </row>
    <row r="111" spans="3:48" x14ac:dyDescent="0.3">
      <c r="C111">
        <f>Incurred_loss!R109</f>
        <v>2025</v>
      </c>
      <c r="D111" s="45">
        <f>'Cum. payments'!B230</f>
        <v>204702.69908588903</v>
      </c>
      <c r="N111" s="48">
        <f>XL_Pure_Premium!$O111</f>
        <v>2790825.8404577342</v>
      </c>
      <c r="S111">
        <f t="shared" si="96"/>
        <v>2025</v>
      </c>
      <c r="T111" s="45">
        <f t="shared" si="119"/>
        <v>0</v>
      </c>
      <c r="AD111" s="45">
        <f t="shared" si="97"/>
        <v>0</v>
      </c>
      <c r="AK111">
        <f t="shared" si="98"/>
        <v>2025</v>
      </c>
      <c r="AL111" s="45">
        <f t="shared" si="117"/>
        <v>0</v>
      </c>
      <c r="AV111" s="45">
        <f t="shared" si="99"/>
        <v>0</v>
      </c>
    </row>
    <row r="112" spans="3:48" x14ac:dyDescent="0.3">
      <c r="C112">
        <f>Incurred_loss!R110</f>
        <v>2025</v>
      </c>
      <c r="D112" s="45">
        <f>'Cum. payments'!B231</f>
        <v>3389703.4179577851</v>
      </c>
      <c r="N112" s="48">
        <f>XL_Pure_Premium!$O112</f>
        <v>24771748.780811306</v>
      </c>
      <c r="S112">
        <f t="shared" si="96"/>
        <v>2025</v>
      </c>
      <c r="T112" s="45">
        <f t="shared" si="119"/>
        <v>0</v>
      </c>
      <c r="AD112" s="45">
        <f t="shared" si="97"/>
        <v>6000000</v>
      </c>
      <c r="AK112">
        <f t="shared" si="98"/>
        <v>2025</v>
      </c>
      <c r="AL112" s="45">
        <f t="shared" si="117"/>
        <v>0</v>
      </c>
      <c r="AV112" s="45">
        <f t="shared" si="99"/>
        <v>14771748.780811306</v>
      </c>
    </row>
    <row r="113" spans="3:48" x14ac:dyDescent="0.3">
      <c r="C113">
        <f>Incurred_loss!R111</f>
        <v>2025</v>
      </c>
      <c r="D113" s="45">
        <f>'Cum. payments'!B232</f>
        <v>1606.0785424564217</v>
      </c>
      <c r="N113" s="48">
        <f>XL_Pure_Premium!$O113</f>
        <v>590592.81208014663</v>
      </c>
      <c r="S113">
        <f t="shared" si="96"/>
        <v>2025</v>
      </c>
      <c r="T113" s="45">
        <f t="shared" si="119"/>
        <v>0</v>
      </c>
      <c r="AD113" s="45">
        <f t="shared" si="97"/>
        <v>0</v>
      </c>
      <c r="AK113">
        <f t="shared" si="98"/>
        <v>2025</v>
      </c>
      <c r="AL113" s="45">
        <f t="shared" si="117"/>
        <v>0</v>
      </c>
      <c r="AV113" s="45">
        <f t="shared" si="99"/>
        <v>0</v>
      </c>
    </row>
    <row r="114" spans="3:48" x14ac:dyDescent="0.3">
      <c r="C114">
        <f>Incurred_loss!R112</f>
        <v>2025</v>
      </c>
      <c r="D114" s="45">
        <f>'Cum. payments'!B233</f>
        <v>61805.713657554588</v>
      </c>
      <c r="N114" s="48">
        <f>XL_Pure_Premium!$O114</f>
        <v>1506681.6209365493</v>
      </c>
      <c r="S114">
        <f t="shared" si="96"/>
        <v>2025</v>
      </c>
      <c r="T114" s="45">
        <f t="shared" si="119"/>
        <v>0</v>
      </c>
      <c r="AD114" s="45">
        <f t="shared" si="97"/>
        <v>0</v>
      </c>
      <c r="AK114">
        <f t="shared" si="98"/>
        <v>2025</v>
      </c>
      <c r="AL114" s="45">
        <f t="shared" si="117"/>
        <v>0</v>
      </c>
      <c r="AV114" s="45">
        <f t="shared" si="99"/>
        <v>0</v>
      </c>
    </row>
    <row r="115" spans="3:48" x14ac:dyDescent="0.3">
      <c r="C115">
        <f>Incurred_loss!R113</f>
        <v>2025</v>
      </c>
      <c r="D115" s="45">
        <f>'Cum. payments'!B234</f>
        <v>226165.58796871945</v>
      </c>
      <c r="N115" s="48">
        <f>XL_Pure_Premium!$O115</f>
        <v>1532247.3816478937</v>
      </c>
      <c r="S115">
        <f t="shared" si="96"/>
        <v>2025</v>
      </c>
      <c r="T115" s="45">
        <f t="shared" si="119"/>
        <v>0</v>
      </c>
      <c r="AD115" s="45">
        <f t="shared" si="97"/>
        <v>0</v>
      </c>
      <c r="AK115">
        <f t="shared" si="98"/>
        <v>2025</v>
      </c>
      <c r="AL115" s="45">
        <f t="shared" si="117"/>
        <v>0</v>
      </c>
      <c r="AV115" s="45">
        <f t="shared" si="99"/>
        <v>0</v>
      </c>
    </row>
    <row r="116" spans="3:48" x14ac:dyDescent="0.3">
      <c r="C116">
        <f>Incurred_loss!R114</f>
        <v>2025</v>
      </c>
      <c r="D116" s="45">
        <f>'Cum. payments'!B235</f>
        <v>4993.7004294975559</v>
      </c>
      <c r="N116" s="48">
        <f>XL_Pure_Premium!$O116</f>
        <v>625275.99184051633</v>
      </c>
      <c r="S116">
        <f t="shared" si="96"/>
        <v>2025</v>
      </c>
      <c r="T116" s="45">
        <f t="shared" si="119"/>
        <v>0</v>
      </c>
      <c r="AD116" s="45">
        <f t="shared" si="97"/>
        <v>0</v>
      </c>
      <c r="AK116">
        <f t="shared" si="98"/>
        <v>2025</v>
      </c>
      <c r="AL116" s="45">
        <f t="shared" si="117"/>
        <v>0</v>
      </c>
      <c r="AV116" s="45">
        <f t="shared" si="99"/>
        <v>0</v>
      </c>
    </row>
    <row r="117" spans="3:48" x14ac:dyDescent="0.3">
      <c r="C117">
        <f>Incurred_loss!R115</f>
        <v>2025</v>
      </c>
      <c r="D117" s="45">
        <f>'Cum. payments'!B236</f>
        <v>556176.84140392975</v>
      </c>
      <c r="N117" s="48">
        <f>XL_Pure_Premium!$O117</f>
        <v>5075415.1769709894</v>
      </c>
      <c r="S117">
        <f t="shared" si="96"/>
        <v>2025</v>
      </c>
      <c r="T117" s="45">
        <f t="shared" si="119"/>
        <v>0</v>
      </c>
      <c r="AD117" s="45">
        <f t="shared" si="97"/>
        <v>1075415.1769709894</v>
      </c>
      <c r="AK117">
        <f t="shared" si="98"/>
        <v>2025</v>
      </c>
      <c r="AL117" s="45">
        <f t="shared" si="117"/>
        <v>0</v>
      </c>
      <c r="AV117" s="45">
        <f t="shared" si="99"/>
        <v>0</v>
      </c>
    </row>
    <row r="118" spans="3:48" ht="15" thickBot="1" x14ac:dyDescent="0.35">
      <c r="C118">
        <f>Incurred_loss!R116</f>
        <v>2025</v>
      </c>
      <c r="D118" s="45">
        <f>'Cum. payments'!B237</f>
        <v>72410.265177491296</v>
      </c>
      <c r="N118" s="48">
        <f>XL_Pure_Premium!$O118</f>
        <v>626584.1147125205</v>
      </c>
      <c r="S118">
        <f t="shared" si="96"/>
        <v>2025</v>
      </c>
      <c r="T118" s="45">
        <f t="shared" si="119"/>
        <v>0</v>
      </c>
      <c r="AD118" s="45">
        <f t="shared" si="97"/>
        <v>0</v>
      </c>
      <c r="AK118">
        <f t="shared" si="98"/>
        <v>2025</v>
      </c>
      <c r="AL118" s="45">
        <f t="shared" si="117"/>
        <v>0</v>
      </c>
      <c r="AV118" s="45">
        <f t="shared" si="99"/>
        <v>0</v>
      </c>
    </row>
    <row r="119" spans="3:48" ht="15" thickBot="1" x14ac:dyDescent="0.35">
      <c r="S119" s="70" t="s">
        <v>78</v>
      </c>
      <c r="T119" s="71">
        <f>SUM(T4:T118)/SUM($AD$5:$AD$118)</f>
        <v>3.2318363921359233E-8</v>
      </c>
      <c r="U119" s="71">
        <f>SUM(U4:U109)/SUM($AD$5:$AD$109)</f>
        <v>0.23127490258185623</v>
      </c>
      <c r="V119" s="71">
        <f>SUM(V4:V96)/SUM($AD$5:$AD$96)</f>
        <v>0.33967433712818901</v>
      </c>
      <c r="W119" s="71">
        <f>SUM(W4:W80)/SUM($AD$1:$AD$80)</f>
        <v>0.64857378956375411</v>
      </c>
      <c r="X119" s="71">
        <f>SUM(X4:X74)/SUM($AD$1:$AD$74)</f>
        <v>0.75813043260649182</v>
      </c>
      <c r="Y119" s="71">
        <f>SUM(Y4:Y64)/SUM($AD$1:$AD$64)</f>
        <v>0.88534199923796508</v>
      </c>
      <c r="Z119" s="71">
        <f>SUM(Z4:Z58)/SUM($AD$1:$AD$58)</f>
        <v>0.96338228356862121</v>
      </c>
      <c r="AA119" s="71">
        <f>SUM(AA4:AA43)/SUM($AD$1:$AD$43)</f>
        <v>0.97574197374820926</v>
      </c>
      <c r="AB119" s="71">
        <f>SUM(AB4:AB32)/SUM($AD$1:$AD$32)</f>
        <v>0.99170609676814636</v>
      </c>
      <c r="AC119" s="71">
        <f>1</f>
        <v>1</v>
      </c>
      <c r="AK119" s="70" t="s">
        <v>78</v>
      </c>
      <c r="AL119" s="71">
        <f>SUM(AL4:AL118)/SUM($AV$5:$AV$118)</f>
        <v>4.3503396149360506E-8</v>
      </c>
      <c r="AM119" s="71">
        <f>SUM(AM4:AM109)/SUM($AV$5:$AV$109)</f>
        <v>2.4345820681307501E-7</v>
      </c>
      <c r="AN119" s="71">
        <f>SUM(AN4:AN96)/SUM($AV$5:$AV$96)</f>
        <v>3.6518731021961255E-7</v>
      </c>
      <c r="AO119" s="71">
        <f>SUM(AO4:AO80)/SUM($AV$1:$AV$80)</f>
        <v>0.47760927070869674</v>
      </c>
      <c r="AP119" s="71">
        <f>SUM(AP4:AP74)/SUM($AV$1:$AV$74)</f>
        <v>0.36512623457353638</v>
      </c>
      <c r="AQ119" s="71">
        <f>SUM(AQ4:AQ64)/SUM($AV$1:$AV$64)</f>
        <v>0.62584409639745786</v>
      </c>
      <c r="AR119" s="71">
        <f>SUM(AR4:AR58)/SUM($AV$1:$AV$58)</f>
        <v>0.98492592505903365</v>
      </c>
      <c r="AS119" s="71">
        <f>SUM(AS4:AS43)/SUM($AV$1:$AV$43)</f>
        <v>0.99214695141746723</v>
      </c>
      <c r="AT119" s="71">
        <f>SUM(AT4:AT32)/SUM($AV$1:$AV$32)</f>
        <v>0.99684236802897219</v>
      </c>
      <c r="AU119" s="71">
        <f>1</f>
        <v>1</v>
      </c>
    </row>
    <row r="120" spans="3:48" ht="15" thickBot="1" x14ac:dyDescent="0.35">
      <c r="C120" s="70" t="s">
        <v>78</v>
      </c>
      <c r="D120" s="71">
        <f>SUM(D5:D118)/SUM($N$5:$N$118)</f>
        <v>0.11321876233321143</v>
      </c>
      <c r="E120" s="71">
        <f>SUM(E1:E108)/SUM($N$1:$N$108)</f>
        <v>0.30857317696355913</v>
      </c>
      <c r="F120" s="71">
        <f>SUM(F1:F96)/SUM($N$5:$N$96)</f>
        <v>0.49119212126461215</v>
      </c>
      <c r="G120" s="71">
        <f>SUM(G1:G80)/SUM($N$5:$N$80)</f>
        <v>0.71949609411361592</v>
      </c>
      <c r="H120" s="71">
        <f>SUM(H1:H74)/SUM($N$5:$N$74)</f>
        <v>0.87885079270519828</v>
      </c>
      <c r="I120" s="71">
        <f>SUM(I1:I64)/SUM($N$5:$N$64)</f>
        <v>0.93611039905731697</v>
      </c>
      <c r="J120" s="71">
        <f>SUM(J1:J58)/SUM($N$5:$N$58)</f>
        <v>0.96601903569931513</v>
      </c>
      <c r="K120" s="71">
        <f>SUM(K1:K43)/SUM($N$5:$N$43)</f>
        <v>0.97468130274148179</v>
      </c>
      <c r="L120" s="71">
        <f>SUM(L1:L32)/SUM($N$5:$N$32)</f>
        <v>0.98956400446194881</v>
      </c>
      <c r="M120" s="72">
        <f>SUM(M1:M19)/SUM($N$5:$N$19)</f>
        <v>0.99557142309901581</v>
      </c>
    </row>
    <row r="121" spans="3:48" ht="15" thickBot="1" x14ac:dyDescent="0.35">
      <c r="S121" s="95" t="s">
        <v>83</v>
      </c>
      <c r="T121" s="96"/>
      <c r="U121" s="96"/>
      <c r="V121" s="96"/>
      <c r="AK121" s="95" t="s">
        <v>87</v>
      </c>
      <c r="AL121" s="96"/>
      <c r="AM121" s="96"/>
      <c r="AN121" s="96"/>
    </row>
    <row r="122" spans="3:48" x14ac:dyDescent="0.3">
      <c r="S122" t="s">
        <v>34</v>
      </c>
      <c r="T122" s="45">
        <f>6000000</f>
        <v>6000000</v>
      </c>
      <c r="U122" t="s">
        <v>82</v>
      </c>
      <c r="V122" s="45">
        <v>4000000</v>
      </c>
      <c r="AK122" t="s">
        <v>87</v>
      </c>
      <c r="AL122" s="45">
        <f>20000000</f>
        <v>20000000</v>
      </c>
      <c r="AM122" t="s">
        <v>82</v>
      </c>
      <c r="AN122" s="45">
        <v>10000000</v>
      </c>
    </row>
    <row r="123" spans="3:48" x14ac:dyDescent="0.3">
      <c r="S123" t="s">
        <v>84</v>
      </c>
      <c r="T123" s="45">
        <f>BC_with_index!Q132</f>
        <v>3449632.5590946199</v>
      </c>
      <c r="AK123" t="s">
        <v>84</v>
      </c>
      <c r="AL123" s="45">
        <f>BC_with_index!R122</f>
        <v>2562707.5195927783</v>
      </c>
    </row>
    <row r="124" spans="3:48" x14ac:dyDescent="0.3">
      <c r="S124" t="s">
        <v>85</v>
      </c>
      <c r="T124" s="45">
        <f>T$119*$T$123</f>
        <v>0.11148648043978969</v>
      </c>
      <c r="U124" s="45">
        <f t="shared" ref="U124:AB124" si="121">U$119*$T$123</f>
        <v>797813.43404780759</v>
      </c>
      <c r="V124" s="45">
        <f t="shared" si="121"/>
        <v>1171751.6528462833</v>
      </c>
      <c r="W124" s="45">
        <f t="shared" si="121"/>
        <v>2237341.2614545086</v>
      </c>
      <c r="X124" s="45">
        <f t="shared" si="121"/>
        <v>2615271.4243598436</v>
      </c>
      <c r="Y124" s="45">
        <f t="shared" si="121"/>
        <v>3054104.5865052086</v>
      </c>
      <c r="Z124" s="45">
        <f t="shared" si="121"/>
        <v>3323314.8922532415</v>
      </c>
      <c r="AA124" s="45">
        <f t="shared" si="121"/>
        <v>3365951.2819170705</v>
      </c>
      <c r="AB124" s="45">
        <f t="shared" si="121"/>
        <v>3421021.6404640377</v>
      </c>
      <c r="AC124" s="45">
        <f>AC$119*$T$123</f>
        <v>3449632.5590946199</v>
      </c>
      <c r="AK124" t="s">
        <v>85</v>
      </c>
      <c r="AL124" s="45">
        <f>AL$119*$AL$123</f>
        <v>0.11148648043978969</v>
      </c>
      <c r="AM124" s="45">
        <f t="shared" ref="AM124:AU124" si="122">AM$119*$AL$123</f>
        <v>0.62391217730644111</v>
      </c>
      <c r="AN124" s="45">
        <f t="shared" si="122"/>
        <v>0.93586826595966177</v>
      </c>
      <c r="AO124" s="45">
        <f t="shared" si="122"/>
        <v>1223972.8694724001</v>
      </c>
      <c r="AP124" s="45">
        <f t="shared" si="122"/>
        <v>935711.74694219837</v>
      </c>
      <c r="AQ124" s="45">
        <f t="shared" si="122"/>
        <v>1603855.3719305128</v>
      </c>
      <c r="AR124" s="45">
        <f t="shared" si="122"/>
        <v>2524077.0743906586</v>
      </c>
      <c r="AS124" s="45">
        <f t="shared" si="122"/>
        <v>2542582.4529385939</v>
      </c>
      <c r="AT124" s="45">
        <f t="shared" si="122"/>
        <v>2554615.4323965185</v>
      </c>
      <c r="AU124" s="45">
        <f t="shared" si="122"/>
        <v>2562707.5195927783</v>
      </c>
    </row>
    <row r="125" spans="3:48" x14ac:dyDescent="0.3">
      <c r="S125" t="s">
        <v>86</v>
      </c>
      <c r="T125" s="45">
        <f>$T$123-T$124</f>
        <v>3449632.4476081394</v>
      </c>
      <c r="U125" s="45">
        <f t="shared" ref="U125:AC125" si="123">$T$123-U$124</f>
        <v>2651819.1250468125</v>
      </c>
      <c r="V125" s="45">
        <f t="shared" si="123"/>
        <v>2277880.9062483367</v>
      </c>
      <c r="W125" s="45">
        <f t="shared" si="123"/>
        <v>1212291.2976401113</v>
      </c>
      <c r="X125" s="45">
        <f t="shared" si="123"/>
        <v>834361.13473477634</v>
      </c>
      <c r="Y125" s="45">
        <f t="shared" si="123"/>
        <v>395527.97258941131</v>
      </c>
      <c r="Z125" s="45">
        <f t="shared" si="123"/>
        <v>126317.66684137844</v>
      </c>
      <c r="AA125" s="45">
        <f t="shared" si="123"/>
        <v>83681.277177549433</v>
      </c>
      <c r="AB125" s="45">
        <f t="shared" si="123"/>
        <v>28610.91863058228</v>
      </c>
      <c r="AC125" s="45">
        <f t="shared" si="123"/>
        <v>0</v>
      </c>
      <c r="AK125" t="s">
        <v>86</v>
      </c>
      <c r="AL125" s="45">
        <f>$AL$123-AL$124</f>
        <v>2562707.4081062977</v>
      </c>
      <c r="AM125" s="45">
        <f t="shared" ref="AM125:AU125" si="124">$AL$123-AM$124</f>
        <v>2562706.8956806008</v>
      </c>
      <c r="AN125" s="45">
        <f t="shared" si="124"/>
        <v>2562706.5837245123</v>
      </c>
      <c r="AO125" s="45">
        <f t="shared" si="124"/>
        <v>1338734.6501203782</v>
      </c>
      <c r="AP125" s="45">
        <f t="shared" si="124"/>
        <v>1626995.7726505799</v>
      </c>
      <c r="AQ125" s="45">
        <f t="shared" si="124"/>
        <v>958852.14766226546</v>
      </c>
      <c r="AR125" s="45">
        <f t="shared" si="124"/>
        <v>38630.445202119648</v>
      </c>
      <c r="AS125" s="45">
        <f t="shared" si="124"/>
        <v>20125.066654184368</v>
      </c>
      <c r="AT125" s="45">
        <f t="shared" si="124"/>
        <v>8092.0871962597594</v>
      </c>
      <c r="AU125" s="45">
        <f t="shared" si="124"/>
        <v>0</v>
      </c>
    </row>
    <row r="128" spans="3:48" x14ac:dyDescent="0.3">
      <c r="S128" t="s">
        <v>112</v>
      </c>
      <c r="T128">
        <f>T$4*T$125/SUM($T$125:$AC$125)</f>
        <v>0.31189820643667365</v>
      </c>
      <c r="U128">
        <f t="shared" ref="U128:AC128" si="125">U$4*U$125/SUM($T$125:$AC$125)</f>
        <v>0.47952797375271217</v>
      </c>
      <c r="V128">
        <f t="shared" si="125"/>
        <v>0.61786318970980392</v>
      </c>
      <c r="W128">
        <f t="shared" si="125"/>
        <v>0.4384368330891697</v>
      </c>
      <c r="X128">
        <f t="shared" si="125"/>
        <v>0.37719343349852158</v>
      </c>
      <c r="Y128">
        <f t="shared" si="125"/>
        <v>0.21456975568230413</v>
      </c>
      <c r="Z128">
        <f t="shared" si="125"/>
        <v>7.9947003135032724E-2</v>
      </c>
      <c r="AA128">
        <f t="shared" si="125"/>
        <v>6.0528280993193288E-2</v>
      </c>
      <c r="AB128">
        <f t="shared" si="125"/>
        <v>2.3281682633796121E-2</v>
      </c>
      <c r="AC128">
        <f t="shared" si="125"/>
        <v>0</v>
      </c>
      <c r="AK128" t="s">
        <v>112</v>
      </c>
      <c r="AL128">
        <f>AL$4*AL$125/SUM($AL$125:$AU$125)</f>
        <v>0.21941831459103767</v>
      </c>
      <c r="AM128">
        <f t="shared" ref="AM128:AU128" si="126">AM$4*AM$125/SUM($AL$125:$AU$125)</f>
        <v>0.4388365414345764</v>
      </c>
      <c r="AN128">
        <f t="shared" si="126"/>
        <v>0.65825473202307705</v>
      </c>
      <c r="AO128">
        <f t="shared" si="126"/>
        <v>0.45848839346212528</v>
      </c>
      <c r="AP128">
        <f t="shared" si="126"/>
        <v>0.69651468824045659</v>
      </c>
      <c r="AQ128">
        <f t="shared" si="126"/>
        <v>0.49257996800544085</v>
      </c>
      <c r="AR128">
        <f t="shared" si="126"/>
        <v>2.3152697830181881E-2</v>
      </c>
      <c r="AS128">
        <f t="shared" si="126"/>
        <v>1.3784822074733754E-2</v>
      </c>
      <c r="AT128">
        <f t="shared" si="126"/>
        <v>6.2355808379044022E-3</v>
      </c>
      <c r="AU128">
        <f t="shared" si="126"/>
        <v>0</v>
      </c>
    </row>
    <row r="130" spans="19:38" x14ac:dyDescent="0.3">
      <c r="S130" t="s">
        <v>113</v>
      </c>
      <c r="T130">
        <f>SUM(T128:AC128)</f>
        <v>2.6032463589312074</v>
      </c>
      <c r="AK130" t="s">
        <v>113</v>
      </c>
      <c r="AL130">
        <f>SUM(AL128:AU128)</f>
        <v>3.0072657384995334</v>
      </c>
    </row>
  </sheetData>
  <mergeCells count="5">
    <mergeCell ref="A3:B3"/>
    <mergeCell ref="Q3:R3"/>
    <mergeCell ref="AI3:AJ3"/>
    <mergeCell ref="S121:V121"/>
    <mergeCell ref="AK121:AN12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D329E-8DCC-462D-9301-15ABE7C5F171}">
  <dimension ref="A1:R126"/>
  <sheetViews>
    <sheetView topLeftCell="D1" workbookViewId="0">
      <selection activeCell="K123" sqref="K123"/>
    </sheetView>
  </sheetViews>
  <sheetFormatPr baseColWidth="10" defaultRowHeight="14.4" x14ac:dyDescent="0.3"/>
  <cols>
    <col min="1" max="1" width="12.5546875" bestFit="1" customWidth="1"/>
    <col min="3" max="3" width="12.88671875" bestFit="1" customWidth="1"/>
    <col min="11" max="11" width="12.21875" bestFit="1" customWidth="1"/>
  </cols>
  <sheetData>
    <row r="1" spans="1:15" x14ac:dyDescent="0.3">
      <c r="A1" s="34" t="s">
        <v>122</v>
      </c>
    </row>
    <row r="2" spans="1:15" ht="15" thickBot="1" x14ac:dyDescent="0.35">
      <c r="A2" s="88" t="s">
        <v>115</v>
      </c>
      <c r="B2" s="89"/>
      <c r="C2" s="89"/>
      <c r="D2" s="89"/>
      <c r="E2" s="89"/>
    </row>
    <row r="3" spans="1:15" ht="15" thickBot="1" x14ac:dyDescent="0.35">
      <c r="A3" s="37" t="s">
        <v>9</v>
      </c>
      <c r="B3" s="37" t="s">
        <v>11</v>
      </c>
      <c r="C3" s="37" t="s">
        <v>116</v>
      </c>
      <c r="D3" s="37" t="s">
        <v>117</v>
      </c>
      <c r="E3" s="37" t="s">
        <v>118</v>
      </c>
      <c r="F3" s="37" t="s">
        <v>119</v>
      </c>
      <c r="G3" s="37" t="s">
        <v>120</v>
      </c>
      <c r="I3" s="33" t="s">
        <v>0</v>
      </c>
      <c r="J3" s="37" t="s">
        <v>77</v>
      </c>
      <c r="K3" s="46" t="s">
        <v>1</v>
      </c>
      <c r="L3" s="46" t="s">
        <v>34</v>
      </c>
      <c r="M3" s="46" t="s">
        <v>35</v>
      </c>
      <c r="N3" s="46" t="s">
        <v>39</v>
      </c>
      <c r="O3" s="46" t="s">
        <v>41</v>
      </c>
    </row>
    <row r="4" spans="1:15" x14ac:dyDescent="0.3">
      <c r="A4" s="39">
        <v>2016</v>
      </c>
      <c r="B4" s="24">
        <f>Exposure!$E33</f>
        <v>1.9736100512709343E-2</v>
      </c>
      <c r="C4">
        <f>Exposure!$C33</f>
        <v>100</v>
      </c>
      <c r="D4" s="45">
        <v>4000000</v>
      </c>
      <c r="E4" s="45">
        <v>6000000</v>
      </c>
      <c r="F4" s="45">
        <v>10000000</v>
      </c>
      <c r="G4" s="45">
        <v>20000000</v>
      </c>
      <c r="I4">
        <f>BC_with_index!$D5</f>
        <v>2016</v>
      </c>
      <c r="J4" s="45">
        <f>BC_with_index!$O5</f>
        <v>740866.17861120636</v>
      </c>
      <c r="K4" s="45">
        <f>BC_with_index!$P5</f>
        <v>191650682.59332794</v>
      </c>
      <c r="L4" s="45">
        <f>MIN($E$24,MAX(0,$J4-$D$24))</f>
        <v>0</v>
      </c>
      <c r="M4" s="45">
        <f>MIN($G$24,MAX(0,$J4-$F$24))</f>
        <v>0</v>
      </c>
      <c r="N4" s="1">
        <f>IF(ISNUMBER($K4),SUMIF($I$4:$I$117,$I4,$L$4:$L$117)/$K4,"-")</f>
        <v>3.3352689344929777E-2</v>
      </c>
      <c r="O4" s="1">
        <f>IF(ISNUMBER($K4),SUMIF($I$4:$I$117,$I4,$M$4:$M$117)/$K4,"-")</f>
        <v>0</v>
      </c>
    </row>
    <row r="5" spans="1:15" x14ac:dyDescent="0.3">
      <c r="A5" s="39">
        <v>2017</v>
      </c>
      <c r="B5" s="24">
        <f>Exposure!$E34</f>
        <v>2.1278590286511277E-2</v>
      </c>
      <c r="C5" s="30">
        <f>$C4*(1+$B5)</f>
        <v>102.12785902865113</v>
      </c>
      <c r="D5" s="45">
        <f>D$4*($C5/$C$4)</f>
        <v>4085114.3611460454</v>
      </c>
      <c r="E5" s="45">
        <f>E$4*($C5/$C$4)</f>
        <v>6127671.5417190678</v>
      </c>
      <c r="F5" s="45">
        <f>F$4*($C5/$C$4)</f>
        <v>10212785.902865114</v>
      </c>
      <c r="G5" s="45">
        <f>G$4*($C5/$C$4)</f>
        <v>20425571.805730227</v>
      </c>
      <c r="I5">
        <f>BC_with_index!$D6</f>
        <v>2016</v>
      </c>
      <c r="J5" s="45">
        <f>BC_with_index!$O6</f>
        <v>1716662.6172493265</v>
      </c>
      <c r="K5" s="45" t="str">
        <f>BC_with_index!$P6</f>
        <v>-</v>
      </c>
      <c r="L5" s="45">
        <f t="shared" ref="L5:L68" si="0">MIN($E$24,MAX(0,$J5-$D$24))</f>
        <v>0</v>
      </c>
      <c r="M5" s="45">
        <f t="shared" ref="M5:M68" si="1">MIN($G$24,MAX(0,$J5-$F$24))</f>
        <v>0</v>
      </c>
      <c r="N5" s="1" t="str">
        <f t="shared" ref="N5:N68" si="2">IF(ISNUMBER($K5),SUMIF($I$4:$I$117,$I5,$L$4:$L$117)/$K5,"-")</f>
        <v>-</v>
      </c>
      <c r="O5" s="1" t="str">
        <f t="shared" ref="O5:O68" si="3">IF(ISNUMBER($K5),SUMIF($I$4:$I$117,$I5,$M$4:$M$117)/$K5,"-")</f>
        <v>-</v>
      </c>
    </row>
    <row r="6" spans="1:15" x14ac:dyDescent="0.3">
      <c r="A6" s="39">
        <v>2018</v>
      </c>
      <c r="B6" s="24">
        <f>Exposure!$E35</f>
        <v>2.0520277005213156E-2</v>
      </c>
      <c r="C6" s="30">
        <f t="shared" ref="C6:C24" si="4">$C5*(1+$B6)</f>
        <v>104.2235509858684</v>
      </c>
      <c r="D6" s="45">
        <f t="shared" ref="D6:G24" si="5">D$4*($C6/$C$4)</f>
        <v>4168942.0394347357</v>
      </c>
      <c r="E6" s="45">
        <f t="shared" si="5"/>
        <v>6253413.059152104</v>
      </c>
      <c r="F6" s="45">
        <f t="shared" si="5"/>
        <v>10422355.098586839</v>
      </c>
      <c r="G6" s="45">
        <f t="shared" si="5"/>
        <v>20844710.197173677</v>
      </c>
      <c r="I6">
        <f>BC_with_index!$D7</f>
        <v>2016</v>
      </c>
      <c r="J6" s="45">
        <f>BC_with_index!$O7</f>
        <v>919761.49629254802</v>
      </c>
      <c r="K6" s="45" t="str">
        <f>BC_with_index!$P7</f>
        <v>-</v>
      </c>
      <c r="L6" s="45">
        <f t="shared" si="0"/>
        <v>0</v>
      </c>
      <c r="M6" s="45">
        <f t="shared" si="1"/>
        <v>0</v>
      </c>
      <c r="N6" s="1" t="str">
        <f t="shared" si="2"/>
        <v>-</v>
      </c>
      <c r="O6" s="1" t="str">
        <f t="shared" si="3"/>
        <v>-</v>
      </c>
    </row>
    <row r="7" spans="1:15" x14ac:dyDescent="0.3">
      <c r="A7" s="39">
        <v>2019</v>
      </c>
      <c r="B7" s="24">
        <f>Exposure!$E36</f>
        <v>1.4414896776815586E-2</v>
      </c>
      <c r="C7" s="30">
        <f t="shared" si="4"/>
        <v>105.72592271504287</v>
      </c>
      <c r="D7" s="45">
        <f t="shared" si="5"/>
        <v>4229036.9086017143</v>
      </c>
      <c r="E7" s="45">
        <f t="shared" si="5"/>
        <v>6343555.3629025714</v>
      </c>
      <c r="F7" s="45">
        <f t="shared" si="5"/>
        <v>10572592.271504287</v>
      </c>
      <c r="G7" s="45">
        <f t="shared" si="5"/>
        <v>21145184.543008573</v>
      </c>
      <c r="I7">
        <f>BC_with_index!$D8</f>
        <v>2016</v>
      </c>
      <c r="J7" s="45">
        <f>BC_with_index!$O8</f>
        <v>4256661.0384554788</v>
      </c>
      <c r="K7" s="45" t="str">
        <f>BC_with_index!$P8</f>
        <v>-</v>
      </c>
      <c r="L7" s="45">
        <f t="shared" si="0"/>
        <v>0</v>
      </c>
      <c r="M7" s="45">
        <f t="shared" si="1"/>
        <v>0</v>
      </c>
      <c r="N7" s="1" t="str">
        <f t="shared" si="2"/>
        <v>-</v>
      </c>
      <c r="O7" s="1" t="str">
        <f t="shared" si="3"/>
        <v>-</v>
      </c>
    </row>
    <row r="8" spans="1:15" x14ac:dyDescent="0.3">
      <c r="A8" s="39">
        <v>2020</v>
      </c>
      <c r="B8" s="24">
        <f>Exposure!$E37</f>
        <v>7.413566943172749E-3</v>
      </c>
      <c r="C8" s="30">
        <f t="shared" si="4"/>
        <v>106.50972892071955</v>
      </c>
      <c r="D8" s="45">
        <f t="shared" si="5"/>
        <v>4260389.1568287816</v>
      </c>
      <c r="E8" s="45">
        <f t="shared" si="5"/>
        <v>6390583.7352431733</v>
      </c>
      <c r="F8" s="45">
        <f t="shared" si="5"/>
        <v>10650972.892071955</v>
      </c>
      <c r="G8" s="45">
        <f t="shared" si="5"/>
        <v>21301945.78414391</v>
      </c>
      <c r="I8">
        <f>BC_with_index!$D9</f>
        <v>2016</v>
      </c>
      <c r="J8" s="45">
        <f>BC_with_index!$O9</f>
        <v>1526276.5542783281</v>
      </c>
      <c r="K8" s="45" t="str">
        <f>BC_with_index!$P9</f>
        <v>-</v>
      </c>
      <c r="L8" s="45">
        <f t="shared" si="0"/>
        <v>0</v>
      </c>
      <c r="M8" s="45">
        <f t="shared" si="1"/>
        <v>0</v>
      </c>
      <c r="N8" s="1" t="str">
        <f t="shared" si="2"/>
        <v>-</v>
      </c>
      <c r="O8" s="1" t="str">
        <f t="shared" si="3"/>
        <v>-</v>
      </c>
    </row>
    <row r="9" spans="1:15" x14ac:dyDescent="0.3">
      <c r="A9" s="39">
        <f>2021</f>
        <v>2021</v>
      </c>
      <c r="B9" s="24">
        <f>Exposure!$E38</f>
        <v>2.4408451016707952E-2</v>
      </c>
      <c r="C9" s="30">
        <f t="shared" si="4"/>
        <v>109.10946642188378</v>
      </c>
      <c r="D9" s="45">
        <f t="shared" si="5"/>
        <v>4364378.6568753505</v>
      </c>
      <c r="E9" s="45">
        <f t="shared" si="5"/>
        <v>6546567.9853130262</v>
      </c>
      <c r="F9" s="45">
        <f t="shared" si="5"/>
        <v>10910946.642188378</v>
      </c>
      <c r="G9" s="45">
        <f t="shared" si="5"/>
        <v>21821893.284376755</v>
      </c>
      <c r="I9">
        <f>BC_with_index!$D10</f>
        <v>2016</v>
      </c>
      <c r="J9" s="45">
        <f>BC_with_index!$O10</f>
        <v>3031531.6497195135</v>
      </c>
      <c r="K9" s="45" t="str">
        <f>BC_with_index!$P10</f>
        <v>-</v>
      </c>
      <c r="L9" s="45">
        <f t="shared" si="0"/>
        <v>0</v>
      </c>
      <c r="M9" s="45">
        <f t="shared" si="1"/>
        <v>0</v>
      </c>
      <c r="N9" s="1" t="str">
        <f t="shared" si="2"/>
        <v>-</v>
      </c>
      <c r="O9" s="1" t="str">
        <f t="shared" si="3"/>
        <v>-</v>
      </c>
    </row>
    <row r="10" spans="1:15" x14ac:dyDescent="0.3">
      <c r="A10" s="39">
        <f>A9+1</f>
        <v>2022</v>
      </c>
      <c r="B10" s="24">
        <f>Exposure!$E39</f>
        <v>9.5793270255581778E-2</v>
      </c>
      <c r="C10" s="30">
        <f t="shared" si="4"/>
        <v>119.5614190262776</v>
      </c>
      <c r="D10" s="45">
        <f t="shared" si="5"/>
        <v>4782456.7610511044</v>
      </c>
      <c r="E10" s="45">
        <f t="shared" si="5"/>
        <v>7173685.1415766571</v>
      </c>
      <c r="F10" s="45">
        <f t="shared" si="5"/>
        <v>11956141.902627762</v>
      </c>
      <c r="G10" s="45">
        <f t="shared" si="5"/>
        <v>23912283.805255525</v>
      </c>
      <c r="I10">
        <f>BC_with_index!$D11</f>
        <v>2016</v>
      </c>
      <c r="J10" s="45">
        <f>BC_with_index!$O11</f>
        <v>12824080.030413605</v>
      </c>
      <c r="K10" s="45" t="str">
        <f>BC_with_index!$P11</f>
        <v>-</v>
      </c>
      <c r="L10" s="45">
        <f t="shared" si="0"/>
        <v>6392065.6792790079</v>
      </c>
      <c r="M10" s="45">
        <f t="shared" si="1"/>
        <v>0</v>
      </c>
      <c r="N10" s="1" t="str">
        <f t="shared" si="2"/>
        <v>-</v>
      </c>
      <c r="O10" s="1" t="str">
        <f t="shared" si="3"/>
        <v>-</v>
      </c>
    </row>
    <row r="11" spans="1:15" x14ac:dyDescent="0.3">
      <c r="A11" s="39">
        <f t="shared" ref="A11:A20" si="6">A10+1</f>
        <v>2023</v>
      </c>
      <c r="B11" s="24">
        <f>Exposure!$E40</f>
        <v>4.1141821574910344E-2</v>
      </c>
      <c r="C11" s="30">
        <f t="shared" si="4"/>
        <v>124.48039359509981</v>
      </c>
      <c r="D11" s="45">
        <f t="shared" si="5"/>
        <v>4979215.7438039929</v>
      </c>
      <c r="E11" s="45">
        <f t="shared" si="5"/>
        <v>7468823.6157059893</v>
      </c>
      <c r="F11" s="45">
        <f t="shared" si="5"/>
        <v>12448039.359509982</v>
      </c>
      <c r="G11" s="45">
        <f t="shared" si="5"/>
        <v>24896078.719019964</v>
      </c>
      <c r="I11">
        <f>BC_with_index!$D12</f>
        <v>2016</v>
      </c>
      <c r="J11" s="45">
        <f>BC_with_index!$O12</f>
        <v>1278829.8095996727</v>
      </c>
      <c r="K11" s="45" t="str">
        <f>BC_with_index!$P12</f>
        <v>-</v>
      </c>
      <c r="L11" s="45">
        <f t="shared" si="0"/>
        <v>0</v>
      </c>
      <c r="M11" s="45">
        <f t="shared" si="1"/>
        <v>0</v>
      </c>
      <c r="N11" s="1" t="str">
        <f t="shared" si="2"/>
        <v>-</v>
      </c>
      <c r="O11" s="1" t="str">
        <f t="shared" si="3"/>
        <v>-</v>
      </c>
    </row>
    <row r="12" spans="1:15" x14ac:dyDescent="0.3">
      <c r="A12" s="39">
        <f t="shared" si="6"/>
        <v>2024</v>
      </c>
      <c r="B12" s="24">
        <f>Exposure!$E41</f>
        <v>3.1441216539802773E-2</v>
      </c>
      <c r="C12" s="30">
        <f t="shared" si="4"/>
        <v>128.39420860508324</v>
      </c>
      <c r="D12" s="45">
        <f t="shared" si="5"/>
        <v>5135768.3442033296</v>
      </c>
      <c r="E12" s="45">
        <f t="shared" si="5"/>
        <v>7703652.516304994</v>
      </c>
      <c r="F12" s="45">
        <f t="shared" si="5"/>
        <v>12839420.860508325</v>
      </c>
      <c r="G12" s="45">
        <f t="shared" si="5"/>
        <v>25678841.721016649</v>
      </c>
      <c r="I12">
        <f>BC_with_index!$D13</f>
        <v>2016</v>
      </c>
      <c r="J12" s="45">
        <f>BC_with_index!$O13</f>
        <v>966548.49518426345</v>
      </c>
      <c r="K12" s="45" t="str">
        <f>BC_with_index!$P13</f>
        <v>-</v>
      </c>
      <c r="L12" s="45">
        <f t="shared" si="0"/>
        <v>0</v>
      </c>
      <c r="M12" s="45">
        <f t="shared" si="1"/>
        <v>0</v>
      </c>
      <c r="N12" s="1" t="str">
        <f t="shared" si="2"/>
        <v>-</v>
      </c>
      <c r="O12" s="1" t="str">
        <f t="shared" si="3"/>
        <v>-</v>
      </c>
    </row>
    <row r="13" spans="1:15" x14ac:dyDescent="0.3">
      <c r="A13" s="39">
        <f t="shared" si="6"/>
        <v>2025</v>
      </c>
      <c r="B13" s="24">
        <f>Exposure!$E42</f>
        <v>2.470935549343764E-2</v>
      </c>
      <c r="C13" s="30">
        <f t="shared" si="4"/>
        <v>131.56674674880483</v>
      </c>
      <c r="D13" s="45">
        <f t="shared" si="5"/>
        <v>5262669.8699521935</v>
      </c>
      <c r="E13" s="45">
        <f t="shared" si="5"/>
        <v>7894004.8049282907</v>
      </c>
      <c r="F13" s="45">
        <f t="shared" si="5"/>
        <v>13156674.674880484</v>
      </c>
      <c r="G13" s="45">
        <f t="shared" si="5"/>
        <v>26313349.349760968</v>
      </c>
      <c r="I13">
        <f>BC_with_index!$D14</f>
        <v>2016</v>
      </c>
      <c r="J13" s="45">
        <f>BC_with_index!$O14</f>
        <v>3692910.5232293434</v>
      </c>
      <c r="K13" s="45" t="str">
        <f>BC_with_index!$P14</f>
        <v>-</v>
      </c>
      <c r="L13" s="45">
        <f t="shared" si="0"/>
        <v>0</v>
      </c>
      <c r="M13" s="45">
        <f t="shared" si="1"/>
        <v>0</v>
      </c>
      <c r="N13" s="1" t="str">
        <f t="shared" si="2"/>
        <v>-</v>
      </c>
      <c r="O13" s="1" t="str">
        <f t="shared" si="3"/>
        <v>-</v>
      </c>
    </row>
    <row r="14" spans="1:15" x14ac:dyDescent="0.3">
      <c r="A14" s="39">
        <f t="shared" si="6"/>
        <v>2026</v>
      </c>
      <c r="B14" s="24">
        <f>Exposure!$E43</f>
        <v>2.0494582741792701E-2</v>
      </c>
      <c r="C14" s="30">
        <f t="shared" si="4"/>
        <v>134.26315232611668</v>
      </c>
      <c r="D14" s="45">
        <f t="shared" si="5"/>
        <v>5370526.0930446666</v>
      </c>
      <c r="E14" s="45">
        <f t="shared" si="5"/>
        <v>8055789.1395670008</v>
      </c>
      <c r="F14" s="45">
        <f t="shared" si="5"/>
        <v>13426315.232611667</v>
      </c>
      <c r="G14" s="45">
        <f t="shared" si="5"/>
        <v>26852630.465223335</v>
      </c>
      <c r="I14">
        <f>BC_with_index!$D15</f>
        <v>2016</v>
      </c>
      <c r="J14" s="45">
        <f>BC_with_index!$O15</f>
        <v>3457634.50361215</v>
      </c>
      <c r="K14" s="45" t="str">
        <f>BC_with_index!$P15</f>
        <v>-</v>
      </c>
      <c r="L14" s="45">
        <f t="shared" si="0"/>
        <v>0</v>
      </c>
      <c r="M14" s="45">
        <f t="shared" si="1"/>
        <v>0</v>
      </c>
      <c r="N14" s="1" t="str">
        <f t="shared" si="2"/>
        <v>-</v>
      </c>
      <c r="O14" s="1" t="str">
        <f t="shared" si="3"/>
        <v>-</v>
      </c>
    </row>
    <row r="15" spans="1:15" x14ac:dyDescent="0.3">
      <c r="A15" s="39">
        <f t="shared" si="6"/>
        <v>2027</v>
      </c>
      <c r="B15" s="24">
        <f>Exposure!$E44</f>
        <v>0.02</v>
      </c>
      <c r="C15" s="30">
        <f t="shared" si="4"/>
        <v>136.948415372639</v>
      </c>
      <c r="D15" s="45">
        <f t="shared" si="5"/>
        <v>5477936.6149055604</v>
      </c>
      <c r="E15" s="45">
        <f t="shared" si="5"/>
        <v>8216904.9223583397</v>
      </c>
      <c r="F15" s="45">
        <f t="shared" si="5"/>
        <v>13694841.5372639</v>
      </c>
      <c r="G15" s="45">
        <f t="shared" si="5"/>
        <v>27389683.0745278</v>
      </c>
      <c r="I15">
        <f>BC_with_index!$D16</f>
        <v>2016</v>
      </c>
      <c r="J15" s="45">
        <f>BC_with_index!$O16</f>
        <v>1887040.6005906588</v>
      </c>
      <c r="K15" s="45" t="str">
        <f>BC_with_index!$P16</f>
        <v>-</v>
      </c>
      <c r="L15" s="45">
        <f t="shared" si="0"/>
        <v>0</v>
      </c>
      <c r="M15" s="45">
        <f t="shared" si="1"/>
        <v>0</v>
      </c>
      <c r="N15" s="1" t="str">
        <f t="shared" si="2"/>
        <v>-</v>
      </c>
      <c r="O15" s="1" t="str">
        <f t="shared" si="3"/>
        <v>-</v>
      </c>
    </row>
    <row r="16" spans="1:15" x14ac:dyDescent="0.3">
      <c r="A16" s="39">
        <f t="shared" si="6"/>
        <v>2028</v>
      </c>
      <c r="B16" s="24">
        <f>Exposure!$E45</f>
        <v>1.7999999999999999E-2</v>
      </c>
      <c r="C16" s="30">
        <f t="shared" si="4"/>
        <v>139.4134868493465</v>
      </c>
      <c r="D16" s="45">
        <f t="shared" si="5"/>
        <v>5576539.47397386</v>
      </c>
      <c r="E16" s="45">
        <f t="shared" si="5"/>
        <v>8364809.2109607896</v>
      </c>
      <c r="F16" s="45">
        <f t="shared" si="5"/>
        <v>13941348.68493465</v>
      </c>
      <c r="G16" s="45">
        <f t="shared" si="5"/>
        <v>27882697.369869299</v>
      </c>
      <c r="I16">
        <f>BC_with_index!$D17</f>
        <v>2016</v>
      </c>
      <c r="J16" s="45">
        <f>BC_with_index!$O17</f>
        <v>1328197.2139352183</v>
      </c>
      <c r="K16" s="45" t="str">
        <f>BC_with_index!$P17</f>
        <v>-</v>
      </c>
      <c r="L16" s="45">
        <f t="shared" si="0"/>
        <v>0</v>
      </c>
      <c r="M16" s="45">
        <f t="shared" si="1"/>
        <v>0</v>
      </c>
      <c r="N16" s="1" t="str">
        <f t="shared" si="2"/>
        <v>-</v>
      </c>
      <c r="O16" s="1" t="str">
        <f t="shared" si="3"/>
        <v>-</v>
      </c>
    </row>
    <row r="17" spans="1:15" x14ac:dyDescent="0.3">
      <c r="A17" s="39">
        <f t="shared" si="6"/>
        <v>2029</v>
      </c>
      <c r="B17" s="24">
        <f>Exposure!$E46</f>
        <v>1.7999999999999999E-2</v>
      </c>
      <c r="C17" s="30">
        <f t="shared" si="4"/>
        <v>141.92292961263473</v>
      </c>
      <c r="D17" s="45">
        <f t="shared" si="5"/>
        <v>5676917.1845053891</v>
      </c>
      <c r="E17" s="45">
        <f t="shared" si="5"/>
        <v>8515375.7767580841</v>
      </c>
      <c r="F17" s="45">
        <f t="shared" si="5"/>
        <v>14192292.961263472</v>
      </c>
      <c r="G17" s="45">
        <f t="shared" si="5"/>
        <v>28384585.922526944</v>
      </c>
      <c r="I17">
        <f>BC_with_index!$D18</f>
        <v>2016</v>
      </c>
      <c r="J17" s="45">
        <f>BC_with_index!$O18</f>
        <v>3778771.7111949939</v>
      </c>
      <c r="K17" s="45" t="str">
        <f>BC_with_index!$P18</f>
        <v>-</v>
      </c>
      <c r="L17" s="45">
        <f t="shared" si="0"/>
        <v>0</v>
      </c>
      <c r="M17" s="45">
        <f t="shared" si="1"/>
        <v>0</v>
      </c>
      <c r="N17" s="1" t="str">
        <f t="shared" si="2"/>
        <v>-</v>
      </c>
      <c r="O17" s="1" t="str">
        <f t="shared" si="3"/>
        <v>-</v>
      </c>
    </row>
    <row r="18" spans="1:15" x14ac:dyDescent="0.3">
      <c r="A18" s="39">
        <f t="shared" si="6"/>
        <v>2030</v>
      </c>
      <c r="B18" s="24">
        <f>Exposure!$E47</f>
        <v>1.7999999999999999E-2</v>
      </c>
      <c r="C18" s="30">
        <f t="shared" si="4"/>
        <v>144.47754234566216</v>
      </c>
      <c r="D18" s="45">
        <f t="shared" si="5"/>
        <v>5779101.6938264864</v>
      </c>
      <c r="E18" s="45">
        <f t="shared" si="5"/>
        <v>8668652.54073973</v>
      </c>
      <c r="F18" s="45">
        <f t="shared" si="5"/>
        <v>14447754.234566217</v>
      </c>
      <c r="G18" s="45">
        <f t="shared" si="5"/>
        <v>28895508.469132435</v>
      </c>
      <c r="I18">
        <f>BC_with_index!$D19</f>
        <v>2016</v>
      </c>
      <c r="J18" s="45">
        <f>BC_with_index!$O19</f>
        <v>3807225.1692698291</v>
      </c>
      <c r="K18" s="45" t="str">
        <f>BC_with_index!$P19</f>
        <v>-</v>
      </c>
      <c r="L18" s="45">
        <f t="shared" si="0"/>
        <v>0</v>
      </c>
      <c r="M18" s="45">
        <f t="shared" si="1"/>
        <v>0</v>
      </c>
      <c r="N18" s="1" t="str">
        <f t="shared" si="2"/>
        <v>-</v>
      </c>
      <c r="O18" s="1" t="str">
        <f t="shared" si="3"/>
        <v>-</v>
      </c>
    </row>
    <row r="19" spans="1:15" x14ac:dyDescent="0.3">
      <c r="A19" s="39">
        <f t="shared" si="6"/>
        <v>2031</v>
      </c>
      <c r="B19" s="24">
        <f>Exposure!$E48</f>
        <v>1.7999999999999999E-2</v>
      </c>
      <c r="C19" s="30">
        <f t="shared" si="4"/>
        <v>147.07813810788409</v>
      </c>
      <c r="D19" s="45">
        <f t="shared" si="5"/>
        <v>5883125.5243153637</v>
      </c>
      <c r="E19" s="45">
        <f t="shared" si="5"/>
        <v>8824688.2864730451</v>
      </c>
      <c r="F19" s="45">
        <f t="shared" si="5"/>
        <v>14707813.810788408</v>
      </c>
      <c r="G19" s="45">
        <f t="shared" si="5"/>
        <v>29415627.621576816</v>
      </c>
      <c r="I19">
        <f>BC_with_index!$D20</f>
        <v>2017</v>
      </c>
      <c r="J19" s="45">
        <f>BC_with_index!$O20</f>
        <v>4554760.2497885451</v>
      </c>
      <c r="K19" s="45">
        <f>BC_with_index!$P20</f>
        <v>192212712.58345041</v>
      </c>
      <c r="L19" s="45">
        <f t="shared" si="0"/>
        <v>0</v>
      </c>
      <c r="M19" s="45">
        <f t="shared" si="1"/>
        <v>0</v>
      </c>
      <c r="N19" s="1">
        <f t="shared" si="2"/>
        <v>0</v>
      </c>
      <c r="O19" s="1">
        <f t="shared" si="3"/>
        <v>0</v>
      </c>
    </row>
    <row r="20" spans="1:15" x14ac:dyDescent="0.3">
      <c r="A20" s="39">
        <f t="shared" si="6"/>
        <v>2032</v>
      </c>
      <c r="B20" s="24">
        <f>Exposure!$E49</f>
        <v>1.7999999999999999E-2</v>
      </c>
      <c r="C20" s="30">
        <f t="shared" si="4"/>
        <v>149.72554459382602</v>
      </c>
      <c r="D20" s="45">
        <f t="shared" si="5"/>
        <v>5989021.7837530402</v>
      </c>
      <c r="E20" s="45">
        <f t="shared" si="5"/>
        <v>8983532.6756295599</v>
      </c>
      <c r="F20" s="45">
        <f t="shared" si="5"/>
        <v>14972554.459382601</v>
      </c>
      <c r="G20" s="45">
        <f t="shared" si="5"/>
        <v>29945108.918765202</v>
      </c>
      <c r="I20">
        <f>BC_with_index!$D21</f>
        <v>2017</v>
      </c>
      <c r="J20" s="45">
        <f>BC_with_index!$O21</f>
        <v>2118591.0909190089</v>
      </c>
      <c r="K20" s="45" t="str">
        <f>BC_with_index!$P21</f>
        <v>-</v>
      </c>
      <c r="L20" s="45">
        <f t="shared" si="0"/>
        <v>0</v>
      </c>
      <c r="M20" s="45">
        <f t="shared" si="1"/>
        <v>0</v>
      </c>
      <c r="N20" s="1" t="str">
        <f t="shared" si="2"/>
        <v>-</v>
      </c>
      <c r="O20" s="1" t="str">
        <f t="shared" si="3"/>
        <v>-</v>
      </c>
    </row>
    <row r="21" spans="1:15" x14ac:dyDescent="0.3">
      <c r="A21" s="39">
        <v>2033</v>
      </c>
      <c r="B21" s="24">
        <f>Exposure!$E50</f>
        <v>1.7999999999999999E-2</v>
      </c>
      <c r="C21" s="30">
        <f t="shared" si="4"/>
        <v>152.42060439651488</v>
      </c>
      <c r="D21" s="45">
        <f t="shared" si="5"/>
        <v>6096824.175860595</v>
      </c>
      <c r="E21" s="45">
        <f t="shared" si="5"/>
        <v>9145236.2637908924</v>
      </c>
      <c r="F21" s="45">
        <f t="shared" si="5"/>
        <v>15242060.439651487</v>
      </c>
      <c r="G21" s="45">
        <f t="shared" si="5"/>
        <v>30484120.879302975</v>
      </c>
      <c r="I21">
        <f>BC_with_index!$D22</f>
        <v>2017</v>
      </c>
      <c r="J21" s="45">
        <f>BC_with_index!$O22</f>
        <v>3147983.3311646944</v>
      </c>
      <c r="K21" s="45" t="str">
        <f>BC_with_index!$P22</f>
        <v>-</v>
      </c>
      <c r="L21" s="45">
        <f t="shared" si="0"/>
        <v>0</v>
      </c>
      <c r="M21" s="45">
        <f t="shared" si="1"/>
        <v>0</v>
      </c>
      <c r="N21" s="1" t="str">
        <f t="shared" si="2"/>
        <v>-</v>
      </c>
      <c r="O21" s="1" t="str">
        <f t="shared" si="3"/>
        <v>-</v>
      </c>
    </row>
    <row r="22" spans="1:15" x14ac:dyDescent="0.3">
      <c r="A22" s="39">
        <v>2034</v>
      </c>
      <c r="B22" s="24">
        <f>Exposure!$E51</f>
        <v>1.7999999999999999E-2</v>
      </c>
      <c r="C22" s="30">
        <f t="shared" si="4"/>
        <v>155.16417527565216</v>
      </c>
      <c r="D22" s="45">
        <f t="shared" si="5"/>
        <v>6206567.0110260863</v>
      </c>
      <c r="E22" s="45">
        <f t="shared" si="5"/>
        <v>9309850.5165391304</v>
      </c>
      <c r="F22" s="45">
        <f t="shared" si="5"/>
        <v>15516417.527565217</v>
      </c>
      <c r="G22" s="45">
        <f t="shared" si="5"/>
        <v>31032835.055130433</v>
      </c>
      <c r="I22">
        <f>BC_with_index!$D23</f>
        <v>2017</v>
      </c>
      <c r="J22" s="45">
        <f>BC_with_index!$O23</f>
        <v>1960747.0783730501</v>
      </c>
      <c r="K22" s="45" t="str">
        <f>BC_with_index!$P23</f>
        <v>-</v>
      </c>
      <c r="L22" s="45">
        <f t="shared" si="0"/>
        <v>0</v>
      </c>
      <c r="M22" s="45">
        <f t="shared" si="1"/>
        <v>0</v>
      </c>
      <c r="N22" s="1" t="str">
        <f t="shared" si="2"/>
        <v>-</v>
      </c>
      <c r="O22" s="1" t="str">
        <f t="shared" si="3"/>
        <v>-</v>
      </c>
    </row>
    <row r="23" spans="1:15" x14ac:dyDescent="0.3">
      <c r="A23" s="39">
        <v>2035</v>
      </c>
      <c r="B23" s="24">
        <f>Exposure!$E52</f>
        <v>1.7999999999999999E-2</v>
      </c>
      <c r="C23" s="30">
        <f t="shared" si="4"/>
        <v>157.95713043061389</v>
      </c>
      <c r="D23" s="45">
        <f t="shared" si="5"/>
        <v>6318285.2172245551</v>
      </c>
      <c r="E23" s="45">
        <f t="shared" si="5"/>
        <v>9477427.8258368336</v>
      </c>
      <c r="F23" s="45">
        <f t="shared" si="5"/>
        <v>15795713.043061389</v>
      </c>
      <c r="G23" s="45">
        <f t="shared" si="5"/>
        <v>31591426.086122777</v>
      </c>
      <c r="I23">
        <f>BC_with_index!$D24</f>
        <v>2017</v>
      </c>
      <c r="J23" s="45">
        <f>BC_with_index!$O24</f>
        <v>4100753.9297875995</v>
      </c>
      <c r="K23" s="45" t="str">
        <f>BC_with_index!$P24</f>
        <v>-</v>
      </c>
      <c r="L23" s="45">
        <f t="shared" si="0"/>
        <v>0</v>
      </c>
      <c r="M23" s="45">
        <f t="shared" si="1"/>
        <v>0</v>
      </c>
      <c r="N23" s="1" t="str">
        <f t="shared" si="2"/>
        <v>-</v>
      </c>
      <c r="O23" s="1" t="str">
        <f t="shared" si="3"/>
        <v>-</v>
      </c>
    </row>
    <row r="24" spans="1:15" x14ac:dyDescent="0.3">
      <c r="A24" s="39">
        <v>2036</v>
      </c>
      <c r="B24" s="24">
        <f>Exposure!$E53</f>
        <v>1.7999999999999999E-2</v>
      </c>
      <c r="C24" s="30">
        <f t="shared" si="4"/>
        <v>160.80035877836494</v>
      </c>
      <c r="D24" s="45">
        <f t="shared" si="5"/>
        <v>6432014.3511345973</v>
      </c>
      <c r="E24" s="45">
        <f t="shared" si="5"/>
        <v>9648021.5267018955</v>
      </c>
      <c r="F24" s="45">
        <f t="shared" si="5"/>
        <v>16080035.877836494</v>
      </c>
      <c r="G24" s="45">
        <f t="shared" si="5"/>
        <v>32160071.755672988</v>
      </c>
      <c r="I24">
        <f>BC_with_index!$D25</f>
        <v>2017</v>
      </c>
      <c r="J24" s="45">
        <f>BC_with_index!$O25</f>
        <v>1659147.7848088506</v>
      </c>
      <c r="K24" s="45" t="str">
        <f>BC_with_index!$P25</f>
        <v>-</v>
      </c>
      <c r="L24" s="45">
        <f t="shared" si="0"/>
        <v>0</v>
      </c>
      <c r="M24" s="45">
        <f t="shared" si="1"/>
        <v>0</v>
      </c>
      <c r="N24" s="1" t="str">
        <f t="shared" si="2"/>
        <v>-</v>
      </c>
      <c r="O24" s="1" t="str">
        <f t="shared" si="3"/>
        <v>-</v>
      </c>
    </row>
    <row r="25" spans="1:15" x14ac:dyDescent="0.3">
      <c r="I25">
        <f>BC_with_index!$D26</f>
        <v>2017</v>
      </c>
      <c r="J25" s="45">
        <f>BC_with_index!$O26</f>
        <v>6026242.8946571602</v>
      </c>
      <c r="K25" s="45" t="str">
        <f>BC_with_index!$P26</f>
        <v>-</v>
      </c>
      <c r="L25" s="45">
        <f t="shared" si="0"/>
        <v>0</v>
      </c>
      <c r="M25" s="45">
        <f t="shared" si="1"/>
        <v>0</v>
      </c>
      <c r="N25" s="1" t="str">
        <f t="shared" si="2"/>
        <v>-</v>
      </c>
      <c r="O25" s="1" t="str">
        <f t="shared" si="3"/>
        <v>-</v>
      </c>
    </row>
    <row r="26" spans="1:15" x14ac:dyDescent="0.3">
      <c r="I26">
        <f>BC_with_index!$D27</f>
        <v>2017</v>
      </c>
      <c r="J26" s="45">
        <f>BC_with_index!$O27</f>
        <v>2345303.9227981973</v>
      </c>
      <c r="K26" s="45" t="str">
        <f>BC_with_index!$P27</f>
        <v>-</v>
      </c>
      <c r="L26" s="45">
        <f t="shared" si="0"/>
        <v>0</v>
      </c>
      <c r="M26" s="45">
        <f t="shared" si="1"/>
        <v>0</v>
      </c>
      <c r="N26" s="1" t="str">
        <f t="shared" si="2"/>
        <v>-</v>
      </c>
      <c r="O26" s="1" t="str">
        <f t="shared" si="3"/>
        <v>-</v>
      </c>
    </row>
    <row r="27" spans="1:15" x14ac:dyDescent="0.3">
      <c r="I27">
        <f>BC_with_index!$D28</f>
        <v>2017</v>
      </c>
      <c r="J27" s="45">
        <f>BC_with_index!$O28</f>
        <v>1674741.1043204458</v>
      </c>
      <c r="K27" s="45" t="str">
        <f>BC_with_index!$P28</f>
        <v>-</v>
      </c>
      <c r="L27" s="45">
        <f t="shared" si="0"/>
        <v>0</v>
      </c>
      <c r="M27" s="45">
        <f t="shared" si="1"/>
        <v>0</v>
      </c>
      <c r="N27" s="1" t="str">
        <f t="shared" si="2"/>
        <v>-</v>
      </c>
      <c r="O27" s="1" t="str">
        <f t="shared" si="3"/>
        <v>-</v>
      </c>
    </row>
    <row r="28" spans="1:15" x14ac:dyDescent="0.3">
      <c r="I28">
        <f>BC_with_index!$D29</f>
        <v>2017</v>
      </c>
      <c r="J28" s="45">
        <f>BC_with_index!$O29</f>
        <v>1116918.3795102111</v>
      </c>
      <c r="K28" s="45" t="str">
        <f>BC_with_index!$P29</f>
        <v>-</v>
      </c>
      <c r="L28" s="45">
        <f t="shared" si="0"/>
        <v>0</v>
      </c>
      <c r="M28" s="45">
        <f t="shared" si="1"/>
        <v>0</v>
      </c>
      <c r="N28" s="1" t="str">
        <f t="shared" si="2"/>
        <v>-</v>
      </c>
      <c r="O28" s="1" t="str">
        <f t="shared" si="3"/>
        <v>-</v>
      </c>
    </row>
    <row r="29" spans="1:15" x14ac:dyDescent="0.3">
      <c r="I29">
        <f>BC_with_index!$D30</f>
        <v>2017</v>
      </c>
      <c r="J29" s="45">
        <f>BC_with_index!$O30</f>
        <v>3569618.0568383485</v>
      </c>
      <c r="K29" s="45" t="str">
        <f>BC_with_index!$P30</f>
        <v>-</v>
      </c>
      <c r="L29" s="45">
        <f t="shared" si="0"/>
        <v>0</v>
      </c>
      <c r="M29" s="45">
        <f t="shared" si="1"/>
        <v>0</v>
      </c>
      <c r="N29" s="1" t="str">
        <f t="shared" si="2"/>
        <v>-</v>
      </c>
      <c r="O29" s="1" t="str">
        <f t="shared" si="3"/>
        <v>-</v>
      </c>
    </row>
    <row r="30" spans="1:15" x14ac:dyDescent="0.3">
      <c r="I30">
        <f>BC_with_index!$D31</f>
        <v>2017</v>
      </c>
      <c r="J30" s="45">
        <f>BC_with_index!$O31</f>
        <v>5224144.5975205507</v>
      </c>
      <c r="K30" s="45" t="str">
        <f>BC_with_index!$P31</f>
        <v>-</v>
      </c>
      <c r="L30" s="45">
        <f t="shared" si="0"/>
        <v>0</v>
      </c>
      <c r="M30" s="45">
        <f t="shared" si="1"/>
        <v>0</v>
      </c>
      <c r="N30" s="1" t="str">
        <f t="shared" si="2"/>
        <v>-</v>
      </c>
      <c r="O30" s="1" t="str">
        <f t="shared" si="3"/>
        <v>-</v>
      </c>
    </row>
    <row r="31" spans="1:15" x14ac:dyDescent="0.3">
      <c r="I31">
        <f>BC_with_index!$D32</f>
        <v>2017</v>
      </c>
      <c r="J31" s="45">
        <f>BC_with_index!$O32</f>
        <v>4880599.1453672675</v>
      </c>
      <c r="K31" s="45" t="str">
        <f>BC_with_index!$P32</f>
        <v>-</v>
      </c>
      <c r="L31" s="45">
        <f t="shared" si="0"/>
        <v>0</v>
      </c>
      <c r="M31" s="45">
        <f t="shared" si="1"/>
        <v>0</v>
      </c>
      <c r="N31" s="1" t="str">
        <f t="shared" si="2"/>
        <v>-</v>
      </c>
      <c r="O31" s="1" t="str">
        <f t="shared" si="3"/>
        <v>-</v>
      </c>
    </row>
    <row r="32" spans="1:15" x14ac:dyDescent="0.3">
      <c r="I32">
        <f>BC_with_index!$D33</f>
        <v>2018</v>
      </c>
      <c r="J32" s="45">
        <f>BC_with_index!$O33</f>
        <v>2363518.3529029759</v>
      </c>
      <c r="K32" s="45">
        <f>BC_with_index!$P33</f>
        <v>194134839.70928493</v>
      </c>
      <c r="L32" s="45">
        <f t="shared" si="0"/>
        <v>0</v>
      </c>
      <c r="M32" s="45">
        <f t="shared" si="1"/>
        <v>0</v>
      </c>
      <c r="N32" s="1">
        <f t="shared" si="2"/>
        <v>0</v>
      </c>
      <c r="O32" s="1">
        <f t="shared" si="3"/>
        <v>0</v>
      </c>
    </row>
    <row r="33" spans="9:15" x14ac:dyDescent="0.3">
      <c r="I33">
        <f>BC_with_index!$D34</f>
        <v>2018</v>
      </c>
      <c r="J33" s="45">
        <f>BC_with_index!$O34</f>
        <v>2754121.0479721539</v>
      </c>
      <c r="K33" s="45" t="str">
        <f>BC_with_index!$P34</f>
        <v>-</v>
      </c>
      <c r="L33" s="45">
        <f t="shared" si="0"/>
        <v>0</v>
      </c>
      <c r="M33" s="45">
        <f t="shared" si="1"/>
        <v>0</v>
      </c>
      <c r="N33" s="1" t="str">
        <f t="shared" si="2"/>
        <v>-</v>
      </c>
      <c r="O33" s="1" t="str">
        <f t="shared" si="3"/>
        <v>-</v>
      </c>
    </row>
    <row r="34" spans="9:15" x14ac:dyDescent="0.3">
      <c r="I34">
        <f>BC_with_index!$D35</f>
        <v>2018</v>
      </c>
      <c r="J34" s="45">
        <f>BC_with_index!$O35</f>
        <v>2439587.7905819472</v>
      </c>
      <c r="K34" s="45" t="str">
        <f>BC_with_index!$P35</f>
        <v>-</v>
      </c>
      <c r="L34" s="45">
        <f t="shared" si="0"/>
        <v>0</v>
      </c>
      <c r="M34" s="45">
        <f t="shared" si="1"/>
        <v>0</v>
      </c>
      <c r="N34" s="1" t="str">
        <f t="shared" si="2"/>
        <v>-</v>
      </c>
      <c r="O34" s="1" t="str">
        <f t="shared" si="3"/>
        <v>-</v>
      </c>
    </row>
    <row r="35" spans="9:15" x14ac:dyDescent="0.3">
      <c r="I35">
        <f>BC_with_index!$D36</f>
        <v>2018</v>
      </c>
      <c r="J35" s="45">
        <f>BC_with_index!$O36</f>
        <v>2141271.9199280455</v>
      </c>
      <c r="K35" s="45" t="str">
        <f>BC_with_index!$P36</f>
        <v>-</v>
      </c>
      <c r="L35" s="45">
        <f t="shared" si="0"/>
        <v>0</v>
      </c>
      <c r="M35" s="45">
        <f t="shared" si="1"/>
        <v>0</v>
      </c>
      <c r="N35" s="1" t="str">
        <f t="shared" si="2"/>
        <v>-</v>
      </c>
      <c r="O35" s="1" t="str">
        <f t="shared" si="3"/>
        <v>-</v>
      </c>
    </row>
    <row r="36" spans="9:15" x14ac:dyDescent="0.3">
      <c r="I36">
        <f>BC_with_index!$D37</f>
        <v>2018</v>
      </c>
      <c r="J36" s="45">
        <f>BC_with_index!$O37</f>
        <v>2037045.1428113591</v>
      </c>
      <c r="K36" s="45" t="str">
        <f>BC_with_index!$P37</f>
        <v>-</v>
      </c>
      <c r="L36" s="45">
        <f t="shared" si="0"/>
        <v>0</v>
      </c>
      <c r="M36" s="45">
        <f t="shared" si="1"/>
        <v>0</v>
      </c>
      <c r="N36" s="1" t="str">
        <f t="shared" si="2"/>
        <v>-</v>
      </c>
      <c r="O36" s="1" t="str">
        <f t="shared" si="3"/>
        <v>-</v>
      </c>
    </row>
    <row r="37" spans="9:15" x14ac:dyDescent="0.3">
      <c r="I37">
        <f>BC_with_index!$D38</f>
        <v>2018</v>
      </c>
      <c r="J37" s="45">
        <f>BC_with_index!$O38</f>
        <v>1481985.3352608166</v>
      </c>
      <c r="K37" s="45" t="str">
        <f>BC_with_index!$P38</f>
        <v>-</v>
      </c>
      <c r="L37" s="45">
        <f t="shared" si="0"/>
        <v>0</v>
      </c>
      <c r="M37" s="45">
        <f t="shared" si="1"/>
        <v>0</v>
      </c>
      <c r="N37" s="1" t="str">
        <f t="shared" si="2"/>
        <v>-</v>
      </c>
      <c r="O37" s="1" t="str">
        <f t="shared" si="3"/>
        <v>-</v>
      </c>
    </row>
    <row r="38" spans="9:15" x14ac:dyDescent="0.3">
      <c r="I38">
        <f>BC_with_index!$D39</f>
        <v>2018</v>
      </c>
      <c r="J38" s="45">
        <f>BC_with_index!$O39</f>
        <v>2019693.7573536674</v>
      </c>
      <c r="K38" s="45" t="str">
        <f>BC_with_index!$P39</f>
        <v>-</v>
      </c>
      <c r="L38" s="45">
        <f t="shared" si="0"/>
        <v>0</v>
      </c>
      <c r="M38" s="45">
        <f t="shared" si="1"/>
        <v>0</v>
      </c>
      <c r="N38" s="1" t="str">
        <f t="shared" si="2"/>
        <v>-</v>
      </c>
      <c r="O38" s="1" t="str">
        <f t="shared" si="3"/>
        <v>-</v>
      </c>
    </row>
    <row r="39" spans="9:15" x14ac:dyDescent="0.3">
      <c r="I39">
        <f>BC_with_index!$D40</f>
        <v>2018</v>
      </c>
      <c r="J39" s="45">
        <f>BC_with_index!$O40</f>
        <v>3125600.6472560912</v>
      </c>
      <c r="K39" s="45" t="str">
        <f>BC_with_index!$P40</f>
        <v>-</v>
      </c>
      <c r="L39" s="45">
        <f t="shared" si="0"/>
        <v>0</v>
      </c>
      <c r="M39" s="45">
        <f t="shared" si="1"/>
        <v>0</v>
      </c>
      <c r="N39" s="1" t="str">
        <f t="shared" si="2"/>
        <v>-</v>
      </c>
      <c r="O39" s="1" t="str">
        <f t="shared" si="3"/>
        <v>-</v>
      </c>
    </row>
    <row r="40" spans="9:15" x14ac:dyDescent="0.3">
      <c r="I40">
        <f>BC_with_index!$D41</f>
        <v>2018</v>
      </c>
      <c r="J40" s="45">
        <f>BC_with_index!$O41</f>
        <v>3372534.9303796305</v>
      </c>
      <c r="K40" s="45" t="str">
        <f>BC_with_index!$P41</f>
        <v>-</v>
      </c>
      <c r="L40" s="45">
        <f t="shared" si="0"/>
        <v>0</v>
      </c>
      <c r="M40" s="45">
        <f t="shared" si="1"/>
        <v>0</v>
      </c>
      <c r="N40" s="1" t="str">
        <f t="shared" si="2"/>
        <v>-</v>
      </c>
      <c r="O40" s="1" t="str">
        <f t="shared" si="3"/>
        <v>-</v>
      </c>
    </row>
    <row r="41" spans="9:15" x14ac:dyDescent="0.3">
      <c r="I41">
        <f>BC_with_index!$D42</f>
        <v>2018</v>
      </c>
      <c r="J41" s="45">
        <f>BC_with_index!$O42</f>
        <v>1715132.832221397</v>
      </c>
      <c r="K41" s="45" t="str">
        <f>BC_with_index!$P42</f>
        <v>-</v>
      </c>
      <c r="L41" s="45">
        <f t="shared" si="0"/>
        <v>0</v>
      </c>
      <c r="M41" s="45">
        <f t="shared" si="1"/>
        <v>0</v>
      </c>
      <c r="N41" s="1" t="str">
        <f t="shared" si="2"/>
        <v>-</v>
      </c>
      <c r="O41" s="1" t="str">
        <f t="shared" si="3"/>
        <v>-</v>
      </c>
    </row>
    <row r="42" spans="9:15" x14ac:dyDescent="0.3">
      <c r="I42">
        <f>BC_with_index!$D43</f>
        <v>2018</v>
      </c>
      <c r="J42" s="45">
        <f>BC_with_index!$O43</f>
        <v>3815615.2480200119</v>
      </c>
      <c r="K42" s="45" t="str">
        <f>BC_with_index!$P43</f>
        <v>-</v>
      </c>
      <c r="L42" s="45">
        <f t="shared" si="0"/>
        <v>0</v>
      </c>
      <c r="M42" s="45">
        <f t="shared" si="1"/>
        <v>0</v>
      </c>
      <c r="N42" s="1" t="str">
        <f t="shared" si="2"/>
        <v>-</v>
      </c>
      <c r="O42" s="1" t="str">
        <f t="shared" si="3"/>
        <v>-</v>
      </c>
    </row>
    <row r="43" spans="9:15" x14ac:dyDescent="0.3">
      <c r="I43">
        <f>BC_with_index!$D44</f>
        <v>2019</v>
      </c>
      <c r="J43" s="45">
        <f>BC_with_index!$O44</f>
        <v>2177208.8676567837</v>
      </c>
      <c r="K43" s="45">
        <f>BC_with_index!$P44</f>
        <v>198017536.50347066</v>
      </c>
      <c r="L43" s="45">
        <f t="shared" si="0"/>
        <v>0</v>
      </c>
      <c r="M43" s="45">
        <f t="shared" si="1"/>
        <v>0</v>
      </c>
      <c r="N43" s="1">
        <f t="shared" si="2"/>
        <v>0</v>
      </c>
      <c r="O43" s="1">
        <f t="shared" si="3"/>
        <v>0</v>
      </c>
    </row>
    <row r="44" spans="9:15" x14ac:dyDescent="0.3">
      <c r="I44">
        <f>BC_with_index!$D45</f>
        <v>2019</v>
      </c>
      <c r="J44" s="45">
        <f>BC_with_index!$O45</f>
        <v>1610218.2260685933</v>
      </c>
      <c r="K44" s="45" t="str">
        <f>BC_with_index!$P45</f>
        <v>-</v>
      </c>
      <c r="L44" s="45">
        <f t="shared" si="0"/>
        <v>0</v>
      </c>
      <c r="M44" s="45">
        <f t="shared" si="1"/>
        <v>0</v>
      </c>
      <c r="N44" s="1" t="str">
        <f t="shared" si="2"/>
        <v>-</v>
      </c>
      <c r="O44" s="1" t="str">
        <f t="shared" si="3"/>
        <v>-</v>
      </c>
    </row>
    <row r="45" spans="9:15" x14ac:dyDescent="0.3">
      <c r="I45">
        <f>BC_with_index!$D46</f>
        <v>2019</v>
      </c>
      <c r="J45" s="45">
        <f>BC_with_index!$O46</f>
        <v>1996897.3728073603</v>
      </c>
      <c r="K45" s="45" t="str">
        <f>BC_with_index!$P46</f>
        <v>-</v>
      </c>
      <c r="L45" s="45">
        <f t="shared" si="0"/>
        <v>0</v>
      </c>
      <c r="M45" s="45">
        <f t="shared" si="1"/>
        <v>0</v>
      </c>
      <c r="N45" s="1" t="str">
        <f t="shared" si="2"/>
        <v>-</v>
      </c>
      <c r="O45" s="1" t="str">
        <f t="shared" si="3"/>
        <v>-</v>
      </c>
    </row>
    <row r="46" spans="9:15" x14ac:dyDescent="0.3">
      <c r="I46">
        <f>BC_with_index!$D47</f>
        <v>2019</v>
      </c>
      <c r="J46" s="45">
        <f>BC_with_index!$O47</f>
        <v>1161840.6785902136</v>
      </c>
      <c r="K46" s="45" t="str">
        <f>BC_with_index!$P47</f>
        <v>-</v>
      </c>
      <c r="L46" s="45">
        <f t="shared" si="0"/>
        <v>0</v>
      </c>
      <c r="M46" s="45">
        <f t="shared" si="1"/>
        <v>0</v>
      </c>
      <c r="N46" s="1" t="str">
        <f t="shared" si="2"/>
        <v>-</v>
      </c>
      <c r="O46" s="1" t="str">
        <f t="shared" si="3"/>
        <v>-</v>
      </c>
    </row>
    <row r="47" spans="9:15" x14ac:dyDescent="0.3">
      <c r="I47">
        <f>BC_with_index!$D48</f>
        <v>2019</v>
      </c>
      <c r="J47" s="45">
        <f>BC_with_index!$O48</f>
        <v>2118991.5501196464</v>
      </c>
      <c r="K47" s="45" t="str">
        <f>BC_with_index!$P48</f>
        <v>-</v>
      </c>
      <c r="L47" s="45">
        <f t="shared" si="0"/>
        <v>0</v>
      </c>
      <c r="M47" s="45">
        <f t="shared" si="1"/>
        <v>0</v>
      </c>
      <c r="N47" s="1" t="str">
        <f t="shared" si="2"/>
        <v>-</v>
      </c>
      <c r="O47" s="1" t="str">
        <f t="shared" si="3"/>
        <v>-</v>
      </c>
    </row>
    <row r="48" spans="9:15" x14ac:dyDescent="0.3">
      <c r="I48">
        <f>BC_with_index!$D49</f>
        <v>2019</v>
      </c>
      <c r="J48" s="45">
        <f>BC_with_index!$O49</f>
        <v>1321665.370585145</v>
      </c>
      <c r="K48" s="45" t="str">
        <f>BC_with_index!$P49</f>
        <v>-</v>
      </c>
      <c r="L48" s="45">
        <f t="shared" si="0"/>
        <v>0</v>
      </c>
      <c r="M48" s="45">
        <f t="shared" si="1"/>
        <v>0</v>
      </c>
      <c r="N48" s="1" t="str">
        <f t="shared" si="2"/>
        <v>-</v>
      </c>
      <c r="O48" s="1" t="str">
        <f t="shared" si="3"/>
        <v>-</v>
      </c>
    </row>
    <row r="49" spans="9:15" x14ac:dyDescent="0.3">
      <c r="I49">
        <f>BC_with_index!$D50</f>
        <v>2019</v>
      </c>
      <c r="J49" s="45">
        <f>BC_with_index!$O50</f>
        <v>4039462.1044144831</v>
      </c>
      <c r="K49" s="45" t="str">
        <f>BC_with_index!$P50</f>
        <v>-</v>
      </c>
      <c r="L49" s="45">
        <f t="shared" si="0"/>
        <v>0</v>
      </c>
      <c r="M49" s="45">
        <f t="shared" si="1"/>
        <v>0</v>
      </c>
      <c r="N49" s="1" t="str">
        <f t="shared" si="2"/>
        <v>-</v>
      </c>
      <c r="O49" s="1" t="str">
        <f t="shared" si="3"/>
        <v>-</v>
      </c>
    </row>
    <row r="50" spans="9:15" x14ac:dyDescent="0.3">
      <c r="I50">
        <f>BC_with_index!$D51</f>
        <v>2019</v>
      </c>
      <c r="J50" s="45">
        <f>BC_with_index!$O51</f>
        <v>1081986.7947487913</v>
      </c>
      <c r="K50" s="45" t="str">
        <f>BC_with_index!$P51</f>
        <v>-</v>
      </c>
      <c r="L50" s="45">
        <f t="shared" si="0"/>
        <v>0</v>
      </c>
      <c r="M50" s="45">
        <f t="shared" si="1"/>
        <v>0</v>
      </c>
      <c r="N50" s="1" t="str">
        <f t="shared" si="2"/>
        <v>-</v>
      </c>
      <c r="O50" s="1" t="str">
        <f t="shared" si="3"/>
        <v>-</v>
      </c>
    </row>
    <row r="51" spans="9:15" x14ac:dyDescent="0.3">
      <c r="I51">
        <f>BC_with_index!$D52</f>
        <v>2019</v>
      </c>
      <c r="J51" s="45">
        <f>BC_with_index!$O52</f>
        <v>2564043.2208684739</v>
      </c>
      <c r="K51" s="45" t="str">
        <f>BC_with_index!$P52</f>
        <v>-</v>
      </c>
      <c r="L51" s="45">
        <f t="shared" si="0"/>
        <v>0</v>
      </c>
      <c r="M51" s="45">
        <f t="shared" si="1"/>
        <v>0</v>
      </c>
      <c r="N51" s="1" t="str">
        <f t="shared" si="2"/>
        <v>-</v>
      </c>
      <c r="O51" s="1" t="str">
        <f t="shared" si="3"/>
        <v>-</v>
      </c>
    </row>
    <row r="52" spans="9:15" x14ac:dyDescent="0.3">
      <c r="I52">
        <f>BC_with_index!$D53</f>
        <v>2019</v>
      </c>
      <c r="J52" s="45">
        <f>BC_with_index!$O53</f>
        <v>3868344.5182273458</v>
      </c>
      <c r="K52" s="45" t="str">
        <f>BC_with_index!$P53</f>
        <v>-</v>
      </c>
      <c r="L52" s="45">
        <f t="shared" si="0"/>
        <v>0</v>
      </c>
      <c r="M52" s="45">
        <f t="shared" si="1"/>
        <v>0</v>
      </c>
      <c r="N52" s="1" t="str">
        <f t="shared" si="2"/>
        <v>-</v>
      </c>
      <c r="O52" s="1" t="str">
        <f t="shared" si="3"/>
        <v>-</v>
      </c>
    </row>
    <row r="53" spans="9:15" x14ac:dyDescent="0.3">
      <c r="I53">
        <f>BC_with_index!$D54</f>
        <v>2019</v>
      </c>
      <c r="J53" s="45">
        <f>BC_with_index!$O54</f>
        <v>2045657.7314050756</v>
      </c>
      <c r="K53" s="45" t="str">
        <f>BC_with_index!$P54</f>
        <v>-</v>
      </c>
      <c r="L53" s="45">
        <f t="shared" si="0"/>
        <v>0</v>
      </c>
      <c r="M53" s="45">
        <f t="shared" si="1"/>
        <v>0</v>
      </c>
      <c r="N53" s="1" t="str">
        <f t="shared" si="2"/>
        <v>-</v>
      </c>
      <c r="O53" s="1" t="str">
        <f t="shared" si="3"/>
        <v>-</v>
      </c>
    </row>
    <row r="54" spans="9:15" x14ac:dyDescent="0.3">
      <c r="I54">
        <f>BC_with_index!$D55</f>
        <v>2019</v>
      </c>
      <c r="J54" s="45">
        <f>BC_with_index!$O55</f>
        <v>1015611.3849297244</v>
      </c>
      <c r="K54" s="45" t="str">
        <f>BC_with_index!$P55</f>
        <v>-</v>
      </c>
      <c r="L54" s="45">
        <f t="shared" si="0"/>
        <v>0</v>
      </c>
      <c r="M54" s="45">
        <f t="shared" si="1"/>
        <v>0</v>
      </c>
      <c r="N54" s="1" t="str">
        <f t="shared" si="2"/>
        <v>-</v>
      </c>
      <c r="O54" s="1" t="str">
        <f t="shared" si="3"/>
        <v>-</v>
      </c>
    </row>
    <row r="55" spans="9:15" x14ac:dyDescent="0.3">
      <c r="I55">
        <f>BC_with_index!$D56</f>
        <v>2019</v>
      </c>
      <c r="J55" s="45">
        <f>BC_with_index!$O56</f>
        <v>5153981.9384249207</v>
      </c>
      <c r="K55" s="45" t="str">
        <f>BC_with_index!$P56</f>
        <v>-</v>
      </c>
      <c r="L55" s="45">
        <f t="shared" si="0"/>
        <v>0</v>
      </c>
      <c r="M55" s="45">
        <f t="shared" si="1"/>
        <v>0</v>
      </c>
      <c r="N55" s="1" t="str">
        <f t="shared" si="2"/>
        <v>-</v>
      </c>
      <c r="O55" s="1" t="str">
        <f t="shared" si="3"/>
        <v>-</v>
      </c>
    </row>
    <row r="56" spans="9:15" x14ac:dyDescent="0.3">
      <c r="I56">
        <f>BC_with_index!$D57</f>
        <v>2019</v>
      </c>
      <c r="J56" s="45">
        <f>BC_with_index!$O57</f>
        <v>4153992.5363801271</v>
      </c>
      <c r="K56" s="45" t="str">
        <f>BC_with_index!$P57</f>
        <v>-</v>
      </c>
      <c r="L56" s="45">
        <f t="shared" si="0"/>
        <v>0</v>
      </c>
      <c r="M56" s="45">
        <f t="shared" si="1"/>
        <v>0</v>
      </c>
      <c r="N56" s="1" t="str">
        <f t="shared" si="2"/>
        <v>-</v>
      </c>
      <c r="O56" s="1" t="str">
        <f t="shared" si="3"/>
        <v>-</v>
      </c>
    </row>
    <row r="57" spans="9:15" x14ac:dyDescent="0.3">
      <c r="I57">
        <f>BC_with_index!$D58</f>
        <v>2019</v>
      </c>
      <c r="J57" s="45">
        <f>BC_with_index!$O58</f>
        <v>932020.61643560021</v>
      </c>
      <c r="K57" s="45" t="str">
        <f>BC_with_index!$P58</f>
        <v>-</v>
      </c>
      <c r="L57" s="45">
        <f t="shared" si="0"/>
        <v>0</v>
      </c>
      <c r="M57" s="45">
        <f t="shared" si="1"/>
        <v>0</v>
      </c>
      <c r="N57" s="1" t="str">
        <f t="shared" si="2"/>
        <v>-</v>
      </c>
      <c r="O57" s="1" t="str">
        <f t="shared" si="3"/>
        <v>-</v>
      </c>
    </row>
    <row r="58" spans="9:15" x14ac:dyDescent="0.3">
      <c r="I58">
        <f>BC_with_index!$D59</f>
        <v>2020</v>
      </c>
      <c r="J58" s="45">
        <f>BC_with_index!$O59</f>
        <v>1409460.6528003095</v>
      </c>
      <c r="K58" s="45">
        <f>BC_with_index!$P59</f>
        <v>203958062.5985747</v>
      </c>
      <c r="L58" s="45">
        <f t="shared" si="0"/>
        <v>0</v>
      </c>
      <c r="M58" s="45">
        <f t="shared" si="1"/>
        <v>0</v>
      </c>
      <c r="N58" s="1">
        <f t="shared" si="2"/>
        <v>0</v>
      </c>
      <c r="O58" s="1">
        <f t="shared" si="3"/>
        <v>0</v>
      </c>
    </row>
    <row r="59" spans="9:15" x14ac:dyDescent="0.3">
      <c r="I59">
        <f>BC_with_index!$D60</f>
        <v>2020</v>
      </c>
      <c r="J59" s="45">
        <f>BC_with_index!$O60</f>
        <v>3548480.7005490209</v>
      </c>
      <c r="K59" s="45" t="str">
        <f>BC_with_index!$P60</f>
        <v>-</v>
      </c>
      <c r="L59" s="45">
        <f t="shared" si="0"/>
        <v>0</v>
      </c>
      <c r="M59" s="45">
        <f t="shared" si="1"/>
        <v>0</v>
      </c>
      <c r="N59" s="1" t="str">
        <f t="shared" si="2"/>
        <v>-</v>
      </c>
      <c r="O59" s="1" t="str">
        <f t="shared" si="3"/>
        <v>-</v>
      </c>
    </row>
    <row r="60" spans="9:15" x14ac:dyDescent="0.3">
      <c r="I60">
        <f>BC_with_index!$D61</f>
        <v>2020</v>
      </c>
      <c r="J60" s="45">
        <f>BC_with_index!$O61</f>
        <v>3241633.388728804</v>
      </c>
      <c r="K60" s="45" t="str">
        <f>BC_with_index!$P61</f>
        <v>-</v>
      </c>
      <c r="L60" s="45">
        <f t="shared" si="0"/>
        <v>0</v>
      </c>
      <c r="M60" s="45">
        <f t="shared" si="1"/>
        <v>0</v>
      </c>
      <c r="N60" s="1" t="str">
        <f t="shared" si="2"/>
        <v>-</v>
      </c>
      <c r="O60" s="1" t="str">
        <f t="shared" si="3"/>
        <v>-</v>
      </c>
    </row>
    <row r="61" spans="9:15" x14ac:dyDescent="0.3">
      <c r="I61">
        <f>BC_with_index!$D62</f>
        <v>2020</v>
      </c>
      <c r="J61" s="45">
        <f>BC_with_index!$O62</f>
        <v>1382332.1567942847</v>
      </c>
      <c r="K61" s="45" t="str">
        <f>BC_with_index!$P62</f>
        <v>-</v>
      </c>
      <c r="L61" s="45">
        <f t="shared" si="0"/>
        <v>0</v>
      </c>
      <c r="M61" s="45">
        <f t="shared" si="1"/>
        <v>0</v>
      </c>
      <c r="N61" s="1" t="str">
        <f t="shared" si="2"/>
        <v>-</v>
      </c>
      <c r="O61" s="1" t="str">
        <f t="shared" si="3"/>
        <v>-</v>
      </c>
    </row>
    <row r="62" spans="9:15" x14ac:dyDescent="0.3">
      <c r="I62">
        <f>BC_with_index!$D63</f>
        <v>2020</v>
      </c>
      <c r="J62" s="45">
        <f>BC_with_index!$O63</f>
        <v>1348037.4526273848</v>
      </c>
      <c r="K62" s="45" t="str">
        <f>BC_with_index!$P63</f>
        <v>-</v>
      </c>
      <c r="L62" s="45">
        <f t="shared" si="0"/>
        <v>0</v>
      </c>
      <c r="M62" s="45">
        <f t="shared" si="1"/>
        <v>0</v>
      </c>
      <c r="N62" s="1" t="str">
        <f t="shared" si="2"/>
        <v>-</v>
      </c>
      <c r="O62" s="1" t="str">
        <f t="shared" si="3"/>
        <v>-</v>
      </c>
    </row>
    <row r="63" spans="9:15" x14ac:dyDescent="0.3">
      <c r="I63">
        <f>BC_with_index!$D64</f>
        <v>2020</v>
      </c>
      <c r="J63" s="45">
        <f>BC_with_index!$O64</f>
        <v>684494.24554316094</v>
      </c>
      <c r="K63" s="45" t="str">
        <f>BC_with_index!$P64</f>
        <v>-</v>
      </c>
      <c r="L63" s="45">
        <f t="shared" si="0"/>
        <v>0</v>
      </c>
      <c r="M63" s="45">
        <f t="shared" si="1"/>
        <v>0</v>
      </c>
      <c r="N63" s="1" t="str">
        <f t="shared" si="2"/>
        <v>-</v>
      </c>
      <c r="O63" s="1" t="str">
        <f t="shared" si="3"/>
        <v>-</v>
      </c>
    </row>
    <row r="64" spans="9:15" x14ac:dyDescent="0.3">
      <c r="I64">
        <f>BC_with_index!$D65</f>
        <v>2021</v>
      </c>
      <c r="J64" s="45">
        <f>BC_with_index!$O65</f>
        <v>2905598.7837307253</v>
      </c>
      <c r="K64" s="45">
        <f>BC_with_index!$P65</f>
        <v>208037223.85054621</v>
      </c>
      <c r="L64" s="45">
        <f t="shared" si="0"/>
        <v>0</v>
      </c>
      <c r="M64" s="45">
        <f t="shared" si="1"/>
        <v>0</v>
      </c>
      <c r="N64" s="1">
        <f t="shared" si="2"/>
        <v>0</v>
      </c>
      <c r="O64" s="1">
        <f t="shared" si="3"/>
        <v>0</v>
      </c>
    </row>
    <row r="65" spans="9:15" x14ac:dyDescent="0.3">
      <c r="I65">
        <f>BC_with_index!$D66</f>
        <v>2021</v>
      </c>
      <c r="J65" s="45">
        <f>BC_with_index!$O66</f>
        <v>2520950.8599165552</v>
      </c>
      <c r="K65" s="45" t="str">
        <f>BC_with_index!$P66</f>
        <v>-</v>
      </c>
      <c r="L65" s="45">
        <f t="shared" si="0"/>
        <v>0</v>
      </c>
      <c r="M65" s="45">
        <f t="shared" si="1"/>
        <v>0</v>
      </c>
      <c r="N65" s="1" t="str">
        <f t="shared" si="2"/>
        <v>-</v>
      </c>
      <c r="O65" s="1" t="str">
        <f t="shared" si="3"/>
        <v>-</v>
      </c>
    </row>
    <row r="66" spans="9:15" x14ac:dyDescent="0.3">
      <c r="I66">
        <f>BC_with_index!$D67</f>
        <v>2021</v>
      </c>
      <c r="J66" s="45">
        <f>BC_with_index!$O67</f>
        <v>1727859.7901482249</v>
      </c>
      <c r="K66" s="45" t="str">
        <f>BC_with_index!$P67</f>
        <v>-</v>
      </c>
      <c r="L66" s="45">
        <f t="shared" si="0"/>
        <v>0</v>
      </c>
      <c r="M66" s="45">
        <f t="shared" si="1"/>
        <v>0</v>
      </c>
      <c r="N66" s="1" t="str">
        <f t="shared" si="2"/>
        <v>-</v>
      </c>
      <c r="O66" s="1" t="str">
        <f t="shared" si="3"/>
        <v>-</v>
      </c>
    </row>
    <row r="67" spans="9:15" x14ac:dyDescent="0.3">
      <c r="I67">
        <f>BC_with_index!$D68</f>
        <v>2021</v>
      </c>
      <c r="J67" s="45">
        <f>BC_with_index!$O68</f>
        <v>709153.27033755579</v>
      </c>
      <c r="K67" s="45" t="str">
        <f>BC_with_index!$P68</f>
        <v>-</v>
      </c>
      <c r="L67" s="45">
        <f t="shared" si="0"/>
        <v>0</v>
      </c>
      <c r="M67" s="45">
        <f t="shared" si="1"/>
        <v>0</v>
      </c>
      <c r="N67" s="1" t="str">
        <f t="shared" si="2"/>
        <v>-</v>
      </c>
      <c r="O67" s="1" t="str">
        <f t="shared" si="3"/>
        <v>-</v>
      </c>
    </row>
    <row r="68" spans="9:15" x14ac:dyDescent="0.3">
      <c r="I68">
        <f>BC_with_index!$D69</f>
        <v>2021</v>
      </c>
      <c r="J68" s="45">
        <f>BC_with_index!$O69</f>
        <v>3638151.9376036455</v>
      </c>
      <c r="K68" s="45" t="str">
        <f>BC_with_index!$P69</f>
        <v>-</v>
      </c>
      <c r="L68" s="45">
        <f t="shared" si="0"/>
        <v>0</v>
      </c>
      <c r="M68" s="45">
        <f t="shared" si="1"/>
        <v>0</v>
      </c>
      <c r="N68" s="1" t="str">
        <f t="shared" si="2"/>
        <v>-</v>
      </c>
      <c r="O68" s="1" t="str">
        <f t="shared" si="3"/>
        <v>-</v>
      </c>
    </row>
    <row r="69" spans="9:15" x14ac:dyDescent="0.3">
      <c r="I69">
        <f>BC_with_index!$D70</f>
        <v>2021</v>
      </c>
      <c r="J69" s="45">
        <f>BC_with_index!$O70</f>
        <v>1188312.7720641103</v>
      </c>
      <c r="K69" s="45" t="str">
        <f>BC_with_index!$P70</f>
        <v>-</v>
      </c>
      <c r="L69" s="45">
        <f t="shared" ref="L69:L117" si="7">MIN($E$24,MAX(0,$J69-$D$24))</f>
        <v>0</v>
      </c>
      <c r="M69" s="45">
        <f t="shared" ref="M69:M117" si="8">MIN($G$24,MAX(0,$J69-$F$24))</f>
        <v>0</v>
      </c>
      <c r="N69" s="1" t="str">
        <f t="shared" ref="N69:N117" si="9">IF(ISNUMBER($K69),SUMIF($I$4:$I$117,$I69,$L$4:$L$117)/$K69,"-")</f>
        <v>-</v>
      </c>
      <c r="O69" s="1" t="str">
        <f t="shared" ref="O69:O117" si="10">IF(ISNUMBER($K69),SUMIF($I$4:$I$117,$I69,$M$4:$M$117)/$K69,"-")</f>
        <v>-</v>
      </c>
    </row>
    <row r="70" spans="9:15" x14ac:dyDescent="0.3">
      <c r="I70">
        <f>BC_with_index!$D71</f>
        <v>2021</v>
      </c>
      <c r="J70" s="45">
        <f>BC_with_index!$O71</f>
        <v>1927439.7807495475</v>
      </c>
      <c r="K70" s="45" t="str">
        <f>BC_with_index!$P71</f>
        <v>-</v>
      </c>
      <c r="L70" s="45">
        <f t="shared" si="7"/>
        <v>0</v>
      </c>
      <c r="M70" s="45">
        <f t="shared" si="8"/>
        <v>0</v>
      </c>
      <c r="N70" s="1" t="str">
        <f t="shared" si="9"/>
        <v>-</v>
      </c>
      <c r="O70" s="1" t="str">
        <f t="shared" si="10"/>
        <v>-</v>
      </c>
    </row>
    <row r="71" spans="9:15" x14ac:dyDescent="0.3">
      <c r="I71">
        <f>BC_with_index!$D72</f>
        <v>2021</v>
      </c>
      <c r="J71" s="45">
        <f>BC_with_index!$O72</f>
        <v>2903022.3477030317</v>
      </c>
      <c r="K71" s="45" t="str">
        <f>BC_with_index!$P72</f>
        <v>-</v>
      </c>
      <c r="L71" s="45">
        <f t="shared" si="7"/>
        <v>0</v>
      </c>
      <c r="M71" s="45">
        <f t="shared" si="8"/>
        <v>0</v>
      </c>
      <c r="N71" s="1" t="str">
        <f t="shared" si="9"/>
        <v>-</v>
      </c>
      <c r="O71" s="1" t="str">
        <f t="shared" si="10"/>
        <v>-</v>
      </c>
    </row>
    <row r="72" spans="9:15" x14ac:dyDescent="0.3">
      <c r="I72">
        <f>BC_with_index!$D73</f>
        <v>2021</v>
      </c>
      <c r="J72" s="45">
        <f>BC_with_index!$O73</f>
        <v>1392710.3441999981</v>
      </c>
      <c r="K72" s="45" t="str">
        <f>BC_with_index!$P73</f>
        <v>-</v>
      </c>
      <c r="L72" s="45">
        <f t="shared" si="7"/>
        <v>0</v>
      </c>
      <c r="M72" s="45">
        <f t="shared" si="8"/>
        <v>0</v>
      </c>
      <c r="N72" s="1" t="str">
        <f t="shared" si="9"/>
        <v>-</v>
      </c>
      <c r="O72" s="1" t="str">
        <f t="shared" si="10"/>
        <v>-</v>
      </c>
    </row>
    <row r="73" spans="9:15" x14ac:dyDescent="0.3">
      <c r="I73">
        <f>BC_with_index!$D74</f>
        <v>2021</v>
      </c>
      <c r="J73" s="45">
        <f>BC_with_index!$O74</f>
        <v>2599313.7117135553</v>
      </c>
      <c r="K73" s="45" t="str">
        <f>BC_with_index!$P74</f>
        <v>-</v>
      </c>
      <c r="L73" s="45">
        <f t="shared" si="7"/>
        <v>0</v>
      </c>
      <c r="M73" s="45">
        <f t="shared" si="8"/>
        <v>0</v>
      </c>
      <c r="N73" s="1" t="str">
        <f t="shared" si="9"/>
        <v>-</v>
      </c>
      <c r="O73" s="1" t="str">
        <f t="shared" si="10"/>
        <v>-</v>
      </c>
    </row>
    <row r="74" spans="9:15" x14ac:dyDescent="0.3">
      <c r="I74">
        <f>BC_with_index!$D75</f>
        <v>2022</v>
      </c>
      <c r="J74" s="45">
        <f>BC_with_index!$O75</f>
        <v>15390882.308217196</v>
      </c>
      <c r="K74" s="45">
        <f>BC_with_index!$P75</f>
        <v>214278340.56606266</v>
      </c>
      <c r="L74" s="45">
        <f t="shared" si="7"/>
        <v>8958867.9570825994</v>
      </c>
      <c r="M74" s="45">
        <f t="shared" si="8"/>
        <v>0</v>
      </c>
      <c r="N74" s="1">
        <f t="shared" si="9"/>
        <v>4.1809489159827393E-2</v>
      </c>
      <c r="O74" s="1">
        <f t="shared" si="10"/>
        <v>0</v>
      </c>
    </row>
    <row r="75" spans="9:15" x14ac:dyDescent="0.3">
      <c r="I75">
        <f>BC_with_index!$D76</f>
        <v>2022</v>
      </c>
      <c r="J75" s="45">
        <f>BC_with_index!$O76</f>
        <v>2627679.8993134401</v>
      </c>
      <c r="K75" s="45" t="str">
        <f>BC_with_index!$P76</f>
        <v>-</v>
      </c>
      <c r="L75" s="45">
        <f t="shared" si="7"/>
        <v>0</v>
      </c>
      <c r="M75" s="45">
        <f t="shared" si="8"/>
        <v>0</v>
      </c>
      <c r="N75" s="1" t="str">
        <f t="shared" si="9"/>
        <v>-</v>
      </c>
      <c r="O75" s="1" t="str">
        <f t="shared" si="10"/>
        <v>-</v>
      </c>
    </row>
    <row r="76" spans="9:15" x14ac:dyDescent="0.3">
      <c r="I76">
        <f>BC_with_index!$D77</f>
        <v>2022</v>
      </c>
      <c r="J76" s="45">
        <f>BC_with_index!$O77</f>
        <v>2712235.7353014043</v>
      </c>
      <c r="K76" s="45" t="str">
        <f>BC_with_index!$P77</f>
        <v>-</v>
      </c>
      <c r="L76" s="45">
        <f t="shared" si="7"/>
        <v>0</v>
      </c>
      <c r="M76" s="45">
        <f t="shared" si="8"/>
        <v>0</v>
      </c>
      <c r="N76" s="1" t="str">
        <f t="shared" si="9"/>
        <v>-</v>
      </c>
      <c r="O76" s="1" t="str">
        <f t="shared" si="10"/>
        <v>-</v>
      </c>
    </row>
    <row r="77" spans="9:15" x14ac:dyDescent="0.3">
      <c r="I77">
        <f>BC_with_index!$D78</f>
        <v>2022</v>
      </c>
      <c r="J77" s="45">
        <f>BC_with_index!$O78</f>
        <v>5133123.0193943316</v>
      </c>
      <c r="K77" s="45" t="str">
        <f>BC_with_index!$P78</f>
        <v>-</v>
      </c>
      <c r="L77" s="45">
        <f t="shared" si="7"/>
        <v>0</v>
      </c>
      <c r="M77" s="45">
        <f t="shared" si="8"/>
        <v>0</v>
      </c>
      <c r="N77" s="1" t="str">
        <f t="shared" si="9"/>
        <v>-</v>
      </c>
      <c r="O77" s="1" t="str">
        <f t="shared" si="10"/>
        <v>-</v>
      </c>
    </row>
    <row r="78" spans="9:15" x14ac:dyDescent="0.3">
      <c r="I78">
        <f>BC_with_index!$D79</f>
        <v>2022</v>
      </c>
      <c r="J78" s="45">
        <f>BC_with_index!$O79</f>
        <v>1820215.3097308725</v>
      </c>
      <c r="K78" s="45" t="str">
        <f>BC_with_index!$P79</f>
        <v>-</v>
      </c>
      <c r="L78" s="45">
        <f t="shared" si="7"/>
        <v>0</v>
      </c>
      <c r="M78" s="45">
        <f t="shared" si="8"/>
        <v>0</v>
      </c>
      <c r="N78" s="1" t="str">
        <f t="shared" si="9"/>
        <v>-</v>
      </c>
      <c r="O78" s="1" t="str">
        <f t="shared" si="10"/>
        <v>-</v>
      </c>
    </row>
    <row r="79" spans="9:15" x14ac:dyDescent="0.3">
      <c r="I79">
        <f>BC_with_index!$D80</f>
        <v>2022</v>
      </c>
      <c r="J79" s="45">
        <f>BC_with_index!$O80</f>
        <v>5188609.6091476763</v>
      </c>
      <c r="K79" s="45" t="str">
        <f>BC_with_index!$P80</f>
        <v>-</v>
      </c>
      <c r="L79" s="45">
        <f t="shared" si="7"/>
        <v>0</v>
      </c>
      <c r="M79" s="45">
        <f t="shared" si="8"/>
        <v>0</v>
      </c>
      <c r="N79" s="1" t="str">
        <f t="shared" si="9"/>
        <v>-</v>
      </c>
      <c r="O79" s="1" t="str">
        <f t="shared" si="10"/>
        <v>-</v>
      </c>
    </row>
    <row r="80" spans="9:15" x14ac:dyDescent="0.3">
      <c r="I80">
        <f>BC_with_index!$D81</f>
        <v>2023</v>
      </c>
      <c r="J80" s="45">
        <f>BC_with_index!$O81</f>
        <v>1792519.4317653873</v>
      </c>
      <c r="K80" s="45">
        <f>BC_with_index!$P81</f>
        <v>216421123.97172332</v>
      </c>
      <c r="L80" s="45">
        <f t="shared" si="7"/>
        <v>0</v>
      </c>
      <c r="M80" s="45">
        <f t="shared" si="8"/>
        <v>0</v>
      </c>
      <c r="N80" s="1">
        <f t="shared" si="9"/>
        <v>0</v>
      </c>
      <c r="O80" s="1">
        <f t="shared" si="10"/>
        <v>0</v>
      </c>
    </row>
    <row r="81" spans="9:15" x14ac:dyDescent="0.3">
      <c r="I81">
        <f>BC_with_index!$D82</f>
        <v>2023</v>
      </c>
      <c r="J81" s="45">
        <f>BC_with_index!$O82</f>
        <v>1399741.5210301287</v>
      </c>
      <c r="K81" s="45" t="str">
        <f>BC_with_index!$P82</f>
        <v>-</v>
      </c>
      <c r="L81" s="45">
        <f t="shared" si="7"/>
        <v>0</v>
      </c>
      <c r="M81" s="45">
        <f t="shared" si="8"/>
        <v>0</v>
      </c>
      <c r="N81" s="1" t="str">
        <f t="shared" si="9"/>
        <v>-</v>
      </c>
      <c r="O81" s="1" t="str">
        <f t="shared" si="10"/>
        <v>-</v>
      </c>
    </row>
    <row r="82" spans="9:15" x14ac:dyDescent="0.3">
      <c r="I82">
        <f>BC_with_index!$D83</f>
        <v>2023</v>
      </c>
      <c r="J82" s="45">
        <f>BC_with_index!$O83</f>
        <v>2812902.1249035718</v>
      </c>
      <c r="K82" s="45" t="str">
        <f>BC_with_index!$P83</f>
        <v>-</v>
      </c>
      <c r="L82" s="45">
        <f t="shared" si="7"/>
        <v>0</v>
      </c>
      <c r="M82" s="45">
        <f t="shared" si="8"/>
        <v>0</v>
      </c>
      <c r="N82" s="1" t="str">
        <f t="shared" si="9"/>
        <v>-</v>
      </c>
      <c r="O82" s="1" t="str">
        <f t="shared" si="10"/>
        <v>-</v>
      </c>
    </row>
    <row r="83" spans="9:15" x14ac:dyDescent="0.3">
      <c r="I83">
        <f>BC_with_index!$D84</f>
        <v>2023</v>
      </c>
      <c r="J83" s="45">
        <f>BC_with_index!$O84</f>
        <v>2728015.6289870036</v>
      </c>
      <c r="K83" s="45" t="str">
        <f>BC_with_index!$P84</f>
        <v>-</v>
      </c>
      <c r="L83" s="45">
        <f t="shared" si="7"/>
        <v>0</v>
      </c>
      <c r="M83" s="45">
        <f t="shared" si="8"/>
        <v>0</v>
      </c>
      <c r="N83" s="1" t="str">
        <f t="shared" si="9"/>
        <v>-</v>
      </c>
      <c r="O83" s="1" t="str">
        <f t="shared" si="10"/>
        <v>-</v>
      </c>
    </row>
    <row r="84" spans="9:15" x14ac:dyDescent="0.3">
      <c r="I84">
        <f>BC_with_index!$D85</f>
        <v>2023</v>
      </c>
      <c r="J84" s="45">
        <f>BC_with_index!$O85</f>
        <v>1275389.0075718274</v>
      </c>
      <c r="K84" s="45" t="str">
        <f>BC_with_index!$P85</f>
        <v>-</v>
      </c>
      <c r="L84" s="45">
        <f t="shared" si="7"/>
        <v>0</v>
      </c>
      <c r="M84" s="45">
        <f t="shared" si="8"/>
        <v>0</v>
      </c>
      <c r="N84" s="1" t="str">
        <f t="shared" si="9"/>
        <v>-</v>
      </c>
      <c r="O84" s="1" t="str">
        <f t="shared" si="10"/>
        <v>-</v>
      </c>
    </row>
    <row r="85" spans="9:15" x14ac:dyDescent="0.3">
      <c r="I85">
        <f>BC_with_index!$D86</f>
        <v>2023</v>
      </c>
      <c r="J85" s="45">
        <f>BC_with_index!$O86</f>
        <v>2186355.9224315109</v>
      </c>
      <c r="K85" s="45" t="str">
        <f>BC_with_index!$P86</f>
        <v>-</v>
      </c>
      <c r="L85" s="45">
        <f t="shared" si="7"/>
        <v>0</v>
      </c>
      <c r="M85" s="45">
        <f t="shared" si="8"/>
        <v>0</v>
      </c>
      <c r="N85" s="1" t="str">
        <f t="shared" si="9"/>
        <v>-</v>
      </c>
      <c r="O85" s="1" t="str">
        <f t="shared" si="10"/>
        <v>-</v>
      </c>
    </row>
    <row r="86" spans="9:15" x14ac:dyDescent="0.3">
      <c r="I86">
        <f>BC_with_index!$D87</f>
        <v>2023</v>
      </c>
      <c r="J86" s="45">
        <f>BC_with_index!$O87</f>
        <v>425254.4074181827</v>
      </c>
      <c r="K86" s="45" t="str">
        <f>BC_with_index!$P87</f>
        <v>-</v>
      </c>
      <c r="L86" s="45">
        <f t="shared" si="7"/>
        <v>0</v>
      </c>
      <c r="M86" s="45">
        <f t="shared" si="8"/>
        <v>0</v>
      </c>
      <c r="N86" s="1" t="str">
        <f t="shared" si="9"/>
        <v>-</v>
      </c>
      <c r="O86" s="1" t="str">
        <f t="shared" si="10"/>
        <v>-</v>
      </c>
    </row>
    <row r="87" spans="9:15" x14ac:dyDescent="0.3">
      <c r="I87">
        <f>BC_with_index!$D88</f>
        <v>2023</v>
      </c>
      <c r="J87" s="45">
        <f>BC_with_index!$O88</f>
        <v>1311292.6590184646</v>
      </c>
      <c r="K87" s="45" t="str">
        <f>BC_with_index!$P88</f>
        <v>-</v>
      </c>
      <c r="L87" s="45">
        <f t="shared" si="7"/>
        <v>0</v>
      </c>
      <c r="M87" s="45">
        <f t="shared" si="8"/>
        <v>0</v>
      </c>
      <c r="N87" s="1" t="str">
        <f t="shared" si="9"/>
        <v>-</v>
      </c>
      <c r="O87" s="1" t="str">
        <f t="shared" si="10"/>
        <v>-</v>
      </c>
    </row>
    <row r="88" spans="9:15" x14ac:dyDescent="0.3">
      <c r="I88">
        <f>BC_with_index!$D89</f>
        <v>2023</v>
      </c>
      <c r="J88" s="45">
        <f>BC_with_index!$O89</f>
        <v>585241.86139381432</v>
      </c>
      <c r="K88" s="45" t="str">
        <f>BC_with_index!$P89</f>
        <v>-</v>
      </c>
      <c r="L88" s="45">
        <f t="shared" si="7"/>
        <v>0</v>
      </c>
      <c r="M88" s="45">
        <f t="shared" si="8"/>
        <v>0</v>
      </c>
      <c r="N88" s="1" t="str">
        <f t="shared" si="9"/>
        <v>-</v>
      </c>
      <c r="O88" s="1" t="str">
        <f t="shared" si="10"/>
        <v>-</v>
      </c>
    </row>
    <row r="89" spans="9:15" x14ac:dyDescent="0.3">
      <c r="I89">
        <f>BC_with_index!$D90</f>
        <v>2023</v>
      </c>
      <c r="J89" s="45">
        <f>BC_with_index!$O90</f>
        <v>1655120.9286008691</v>
      </c>
      <c r="K89" s="45" t="str">
        <f>BC_with_index!$P90</f>
        <v>-</v>
      </c>
      <c r="L89" s="45">
        <f t="shared" si="7"/>
        <v>0</v>
      </c>
      <c r="M89" s="45">
        <f t="shared" si="8"/>
        <v>0</v>
      </c>
      <c r="N89" s="1" t="str">
        <f t="shared" si="9"/>
        <v>-</v>
      </c>
      <c r="O89" s="1" t="str">
        <f t="shared" si="10"/>
        <v>-</v>
      </c>
    </row>
    <row r="90" spans="9:15" x14ac:dyDescent="0.3">
      <c r="I90">
        <f>BC_with_index!$D91</f>
        <v>2023</v>
      </c>
      <c r="J90" s="45">
        <f>BC_with_index!$O91</f>
        <v>2647557.0184580483</v>
      </c>
      <c r="K90" s="45" t="str">
        <f>BC_with_index!$P91</f>
        <v>-</v>
      </c>
      <c r="L90" s="45">
        <f t="shared" si="7"/>
        <v>0</v>
      </c>
      <c r="M90" s="45">
        <f t="shared" si="8"/>
        <v>0</v>
      </c>
      <c r="N90" s="1" t="str">
        <f t="shared" si="9"/>
        <v>-</v>
      </c>
      <c r="O90" s="1" t="str">
        <f t="shared" si="10"/>
        <v>-</v>
      </c>
    </row>
    <row r="91" spans="9:15" x14ac:dyDescent="0.3">
      <c r="I91">
        <f>BC_with_index!$D92</f>
        <v>2023</v>
      </c>
      <c r="J91" s="45">
        <f>BC_with_index!$O92</f>
        <v>1994730.4494185757</v>
      </c>
      <c r="K91" s="45" t="str">
        <f>BC_with_index!$P92</f>
        <v>-</v>
      </c>
      <c r="L91" s="45">
        <f t="shared" si="7"/>
        <v>0</v>
      </c>
      <c r="M91" s="45">
        <f t="shared" si="8"/>
        <v>0</v>
      </c>
      <c r="N91" s="1" t="str">
        <f t="shared" si="9"/>
        <v>-</v>
      </c>
      <c r="O91" s="1" t="str">
        <f t="shared" si="10"/>
        <v>-</v>
      </c>
    </row>
    <row r="92" spans="9:15" x14ac:dyDescent="0.3">
      <c r="I92">
        <f>BC_with_index!$D93</f>
        <v>2023</v>
      </c>
      <c r="J92" s="45">
        <f>BC_with_index!$O93</f>
        <v>2196856.9469851675</v>
      </c>
      <c r="K92" s="45" t="str">
        <f>BC_with_index!$P93</f>
        <v>-</v>
      </c>
      <c r="L92" s="45">
        <f t="shared" si="7"/>
        <v>0</v>
      </c>
      <c r="M92" s="45">
        <f t="shared" si="8"/>
        <v>0</v>
      </c>
      <c r="N92" s="1" t="str">
        <f t="shared" si="9"/>
        <v>-</v>
      </c>
      <c r="O92" s="1" t="str">
        <f t="shared" si="10"/>
        <v>-</v>
      </c>
    </row>
    <row r="93" spans="9:15" x14ac:dyDescent="0.3">
      <c r="I93">
        <f>BC_with_index!$D94</f>
        <v>2023</v>
      </c>
      <c r="J93" s="45">
        <f>BC_with_index!$O94</f>
        <v>1737889.9639640886</v>
      </c>
      <c r="K93" s="45" t="str">
        <f>BC_with_index!$P94</f>
        <v>-</v>
      </c>
      <c r="L93" s="45">
        <f t="shared" si="7"/>
        <v>0</v>
      </c>
      <c r="M93" s="45">
        <f t="shared" si="8"/>
        <v>0</v>
      </c>
      <c r="N93" s="1" t="str">
        <f t="shared" si="9"/>
        <v>-</v>
      </c>
      <c r="O93" s="1" t="str">
        <f t="shared" si="10"/>
        <v>-</v>
      </c>
    </row>
    <row r="94" spans="9:15" x14ac:dyDescent="0.3">
      <c r="I94">
        <f>BC_with_index!$D95</f>
        <v>2023</v>
      </c>
      <c r="J94" s="45">
        <f>BC_with_index!$O95</f>
        <v>814404.35112043761</v>
      </c>
      <c r="K94" s="45" t="str">
        <f>BC_with_index!$P95</f>
        <v>-</v>
      </c>
      <c r="L94" s="45">
        <f t="shared" si="7"/>
        <v>0</v>
      </c>
      <c r="M94" s="45">
        <f t="shared" si="8"/>
        <v>0</v>
      </c>
      <c r="N94" s="1" t="str">
        <f t="shared" si="9"/>
        <v>-</v>
      </c>
      <c r="O94" s="1" t="str">
        <f t="shared" si="10"/>
        <v>-</v>
      </c>
    </row>
    <row r="95" spans="9:15" x14ac:dyDescent="0.3">
      <c r="I95">
        <f>BC_with_index!$D96</f>
        <v>2023</v>
      </c>
      <c r="J95" s="45">
        <f>BC_with_index!$O96</f>
        <v>2176336.6650663656</v>
      </c>
      <c r="K95" s="45" t="str">
        <f>BC_with_index!$P96</f>
        <v>-</v>
      </c>
      <c r="L95" s="45">
        <f t="shared" si="7"/>
        <v>0</v>
      </c>
      <c r="M95" s="45">
        <f t="shared" si="8"/>
        <v>0</v>
      </c>
      <c r="N95" s="1" t="str">
        <f t="shared" si="9"/>
        <v>-</v>
      </c>
      <c r="O95" s="1" t="str">
        <f t="shared" si="10"/>
        <v>-</v>
      </c>
    </row>
    <row r="96" spans="9:15" x14ac:dyDescent="0.3">
      <c r="I96">
        <f>BC_with_index!$D97</f>
        <v>2024</v>
      </c>
      <c r="J96" s="45">
        <f>BC_with_index!$O97</f>
        <v>744423.1183558217</v>
      </c>
      <c r="K96" s="45">
        <f>BC_with_index!$P97</f>
        <v>218585335.2114405</v>
      </c>
      <c r="L96" s="45">
        <f t="shared" si="7"/>
        <v>0</v>
      </c>
      <c r="M96" s="45">
        <f t="shared" si="8"/>
        <v>0</v>
      </c>
      <c r="N96" s="1">
        <f t="shared" si="9"/>
        <v>2.5572937620872449E-3</v>
      </c>
      <c r="O96" s="1">
        <f t="shared" si="10"/>
        <v>0</v>
      </c>
    </row>
    <row r="97" spans="9:15" x14ac:dyDescent="0.3">
      <c r="I97">
        <f>BC_with_index!$D98</f>
        <v>2024</v>
      </c>
      <c r="J97" s="45">
        <f>BC_with_index!$O98</f>
        <v>1636501.8384279287</v>
      </c>
      <c r="K97" s="45" t="str">
        <f>BC_with_index!$P98</f>
        <v>-</v>
      </c>
      <c r="L97" s="45">
        <f t="shared" si="7"/>
        <v>0</v>
      </c>
      <c r="M97" s="45">
        <f t="shared" si="8"/>
        <v>0</v>
      </c>
      <c r="N97" s="1" t="str">
        <f t="shared" si="9"/>
        <v>-</v>
      </c>
      <c r="O97" s="1" t="str">
        <f t="shared" si="10"/>
        <v>-</v>
      </c>
    </row>
    <row r="98" spans="9:15" x14ac:dyDescent="0.3">
      <c r="I98">
        <f>BC_with_index!$D99</f>
        <v>2024</v>
      </c>
      <c r="J98" s="45">
        <f>BC_with_index!$O99</f>
        <v>535177.12749712903</v>
      </c>
      <c r="K98" s="45" t="str">
        <f>BC_with_index!$P99</f>
        <v>-</v>
      </c>
      <c r="L98" s="45">
        <f t="shared" si="7"/>
        <v>0</v>
      </c>
      <c r="M98" s="45">
        <f t="shared" si="8"/>
        <v>0</v>
      </c>
      <c r="N98" s="1" t="str">
        <f t="shared" si="9"/>
        <v>-</v>
      </c>
      <c r="O98" s="1" t="str">
        <f t="shared" si="10"/>
        <v>-</v>
      </c>
    </row>
    <row r="99" spans="9:15" x14ac:dyDescent="0.3">
      <c r="I99">
        <f>BC_with_index!$D100</f>
        <v>2024</v>
      </c>
      <c r="J99" s="45">
        <f>BC_with_index!$O100</f>
        <v>448469.03314578411</v>
      </c>
      <c r="K99" s="45" t="str">
        <f>BC_with_index!$P100</f>
        <v>-</v>
      </c>
      <c r="L99" s="45">
        <f t="shared" si="7"/>
        <v>0</v>
      </c>
      <c r="M99" s="45">
        <f t="shared" si="8"/>
        <v>0</v>
      </c>
      <c r="N99" s="1" t="str">
        <f t="shared" si="9"/>
        <v>-</v>
      </c>
      <c r="O99" s="1" t="str">
        <f t="shared" si="10"/>
        <v>-</v>
      </c>
    </row>
    <row r="100" spans="9:15" x14ac:dyDescent="0.3">
      <c r="I100">
        <f>BC_with_index!$D101</f>
        <v>2024</v>
      </c>
      <c r="J100" s="45">
        <f>BC_with_index!$O101</f>
        <v>3874527.9259714782</v>
      </c>
      <c r="K100" s="45" t="str">
        <f>BC_with_index!$P101</f>
        <v>-</v>
      </c>
      <c r="L100" s="45">
        <f t="shared" si="7"/>
        <v>0</v>
      </c>
      <c r="M100" s="45">
        <f t="shared" si="8"/>
        <v>0</v>
      </c>
      <c r="N100" s="1" t="str">
        <f t="shared" si="9"/>
        <v>-</v>
      </c>
      <c r="O100" s="1" t="str">
        <f t="shared" si="10"/>
        <v>-</v>
      </c>
    </row>
    <row r="101" spans="9:15" x14ac:dyDescent="0.3">
      <c r="I101">
        <f>BC_with_index!$D102</f>
        <v>2024</v>
      </c>
      <c r="J101" s="45">
        <f>BC_with_index!$O102</f>
        <v>2319074.6827521971</v>
      </c>
      <c r="K101" s="45" t="str">
        <f>BC_with_index!$P102</f>
        <v>-</v>
      </c>
      <c r="L101" s="45">
        <f t="shared" si="7"/>
        <v>0</v>
      </c>
      <c r="M101" s="45">
        <f t="shared" si="8"/>
        <v>0</v>
      </c>
      <c r="N101" s="1" t="str">
        <f t="shared" si="9"/>
        <v>-</v>
      </c>
      <c r="O101" s="1" t="str">
        <f t="shared" si="10"/>
        <v>-</v>
      </c>
    </row>
    <row r="102" spans="9:15" x14ac:dyDescent="0.3">
      <c r="I102">
        <f>BC_with_index!$D103</f>
        <v>2024</v>
      </c>
      <c r="J102" s="45">
        <f>BC_with_index!$O103</f>
        <v>593416.79981198127</v>
      </c>
      <c r="K102" s="45" t="str">
        <f>BC_with_index!$P103</f>
        <v>-</v>
      </c>
      <c r="L102" s="45">
        <f t="shared" si="7"/>
        <v>0</v>
      </c>
      <c r="M102" s="45">
        <f t="shared" si="8"/>
        <v>0</v>
      </c>
      <c r="N102" s="1" t="str">
        <f t="shared" si="9"/>
        <v>-</v>
      </c>
      <c r="O102" s="1" t="str">
        <f t="shared" si="10"/>
        <v>-</v>
      </c>
    </row>
    <row r="103" spans="9:15" x14ac:dyDescent="0.3">
      <c r="I103">
        <f>BC_with_index!$D104</f>
        <v>2024</v>
      </c>
      <c r="J103" s="45">
        <f>BC_with_index!$O104</f>
        <v>4163412.8844264555</v>
      </c>
      <c r="K103" s="45" t="str">
        <f>BC_with_index!$P104</f>
        <v>-</v>
      </c>
      <c r="L103" s="45">
        <f t="shared" si="7"/>
        <v>0</v>
      </c>
      <c r="M103" s="45">
        <f t="shared" si="8"/>
        <v>0</v>
      </c>
      <c r="N103" s="1" t="str">
        <f t="shared" si="9"/>
        <v>-</v>
      </c>
      <c r="O103" s="1" t="str">
        <f t="shared" si="10"/>
        <v>-</v>
      </c>
    </row>
    <row r="104" spans="9:15" x14ac:dyDescent="0.3">
      <c r="I104">
        <f>BC_with_index!$D105</f>
        <v>2024</v>
      </c>
      <c r="J104" s="45">
        <f>BC_with_index!$O105</f>
        <v>2126933.093728716</v>
      </c>
      <c r="K104" s="45" t="str">
        <f>BC_with_index!$P105</f>
        <v>-</v>
      </c>
      <c r="L104" s="45">
        <f t="shared" si="7"/>
        <v>0</v>
      </c>
      <c r="M104" s="45">
        <f t="shared" si="8"/>
        <v>0</v>
      </c>
      <c r="N104" s="1" t="str">
        <f t="shared" si="9"/>
        <v>-</v>
      </c>
      <c r="O104" s="1" t="str">
        <f t="shared" si="10"/>
        <v>-</v>
      </c>
    </row>
    <row r="105" spans="9:15" x14ac:dyDescent="0.3">
      <c r="I105">
        <f>BC_with_index!$D106</f>
        <v>2024</v>
      </c>
      <c r="J105" s="45">
        <f>BC_with_index!$O106</f>
        <v>3539864.6837483025</v>
      </c>
      <c r="K105" s="45" t="str">
        <f>BC_with_index!$P106</f>
        <v>-</v>
      </c>
      <c r="L105" s="45">
        <f t="shared" si="7"/>
        <v>0</v>
      </c>
      <c r="M105" s="45">
        <f t="shared" si="8"/>
        <v>0</v>
      </c>
      <c r="N105" s="1" t="str">
        <f t="shared" si="9"/>
        <v>-</v>
      </c>
      <c r="O105" s="1" t="str">
        <f t="shared" si="10"/>
        <v>-</v>
      </c>
    </row>
    <row r="106" spans="9:15" x14ac:dyDescent="0.3">
      <c r="I106">
        <f>BC_with_index!$D107</f>
        <v>2024</v>
      </c>
      <c r="J106" s="45">
        <f>BC_with_index!$O107</f>
        <v>6991001.2653545635</v>
      </c>
      <c r="K106" s="45" t="str">
        <f>BC_with_index!$P107</f>
        <v>-</v>
      </c>
      <c r="L106" s="45">
        <f t="shared" si="7"/>
        <v>558986.91421996616</v>
      </c>
      <c r="M106" s="45">
        <f t="shared" si="8"/>
        <v>0</v>
      </c>
      <c r="N106" s="1" t="str">
        <f t="shared" si="9"/>
        <v>-</v>
      </c>
      <c r="O106" s="1" t="str">
        <f t="shared" si="10"/>
        <v>-</v>
      </c>
    </row>
    <row r="107" spans="9:15" x14ac:dyDescent="0.3">
      <c r="I107">
        <f>BC_with_index!$D108</f>
        <v>2024</v>
      </c>
      <c r="J107" s="45">
        <f>BC_with_index!$O108</f>
        <v>1052091.5623918436</v>
      </c>
      <c r="K107" s="45" t="str">
        <f>BC_with_index!$P108</f>
        <v>-</v>
      </c>
      <c r="L107" s="45">
        <f t="shared" si="7"/>
        <v>0</v>
      </c>
      <c r="M107" s="45">
        <f t="shared" si="8"/>
        <v>0</v>
      </c>
      <c r="N107" s="1" t="str">
        <f t="shared" si="9"/>
        <v>-</v>
      </c>
      <c r="O107" s="1" t="str">
        <f t="shared" si="10"/>
        <v>-</v>
      </c>
    </row>
    <row r="108" spans="9:15" x14ac:dyDescent="0.3">
      <c r="I108">
        <f>BC_with_index!$D109</f>
        <v>2024</v>
      </c>
      <c r="J108" s="45">
        <f>BC_with_index!$O109</f>
        <v>2335428.352251031</v>
      </c>
      <c r="K108" s="45" t="str">
        <f>BC_with_index!$P109</f>
        <v>-</v>
      </c>
      <c r="L108" s="45">
        <f t="shared" si="7"/>
        <v>0</v>
      </c>
      <c r="M108" s="45">
        <f t="shared" si="8"/>
        <v>0</v>
      </c>
      <c r="N108" s="1" t="str">
        <f t="shared" si="9"/>
        <v>-</v>
      </c>
      <c r="O108" s="1" t="str">
        <f t="shared" si="10"/>
        <v>-</v>
      </c>
    </row>
    <row r="109" spans="9:15" x14ac:dyDescent="0.3">
      <c r="I109">
        <f>BC_with_index!$D110</f>
        <v>2025</v>
      </c>
      <c r="J109" s="45">
        <f>BC_with_index!$O110</f>
        <v>505036.64225127961</v>
      </c>
      <c r="K109" s="45">
        <f>BC_with_index!$P110</f>
        <v>222957041.91566929</v>
      </c>
      <c r="L109" s="45">
        <f t="shared" si="7"/>
        <v>0</v>
      </c>
      <c r="M109" s="45">
        <f t="shared" si="8"/>
        <v>0</v>
      </c>
      <c r="N109" s="1">
        <f t="shared" si="9"/>
        <v>4.3273006511950131E-2</v>
      </c>
      <c r="O109" s="1">
        <f t="shared" si="10"/>
        <v>3.898380077298632E-2</v>
      </c>
    </row>
    <row r="110" spans="9:15" x14ac:dyDescent="0.3">
      <c r="I110">
        <f>BC_with_index!$D111</f>
        <v>2025</v>
      </c>
      <c r="J110" s="45">
        <f>BC_with_index!$O111</f>
        <v>2790825.8404577342</v>
      </c>
      <c r="K110" s="45" t="str">
        <f>BC_with_index!$P111</f>
        <v>-</v>
      </c>
      <c r="L110" s="45">
        <f t="shared" si="7"/>
        <v>0</v>
      </c>
      <c r="M110" s="45">
        <f t="shared" si="8"/>
        <v>0</v>
      </c>
      <c r="N110" s="1" t="str">
        <f t="shared" si="9"/>
        <v>-</v>
      </c>
      <c r="O110" s="1" t="str">
        <f t="shared" si="10"/>
        <v>-</v>
      </c>
    </row>
    <row r="111" spans="9:15" x14ac:dyDescent="0.3">
      <c r="I111">
        <f>BC_with_index!$D112</f>
        <v>2025</v>
      </c>
      <c r="J111" s="45">
        <f>BC_with_index!$O112</f>
        <v>24771748.780811306</v>
      </c>
      <c r="K111" s="45" t="str">
        <f>BC_with_index!$P112</f>
        <v>-</v>
      </c>
      <c r="L111" s="45">
        <f t="shared" si="7"/>
        <v>9648021.5267018955</v>
      </c>
      <c r="M111" s="45">
        <f t="shared" si="8"/>
        <v>8691712.9029748123</v>
      </c>
      <c r="N111" s="1" t="str">
        <f t="shared" si="9"/>
        <v>-</v>
      </c>
      <c r="O111" s="1" t="str">
        <f t="shared" si="10"/>
        <v>-</v>
      </c>
    </row>
    <row r="112" spans="9:15" x14ac:dyDescent="0.3">
      <c r="I112">
        <f>BC_with_index!$D113</f>
        <v>2025</v>
      </c>
      <c r="J112" s="45">
        <f>BC_with_index!$O113</f>
        <v>590592.81208014663</v>
      </c>
      <c r="K112" s="45" t="str">
        <f>BC_with_index!$P113</f>
        <v>-</v>
      </c>
      <c r="L112" s="45">
        <f t="shared" si="7"/>
        <v>0</v>
      </c>
      <c r="M112" s="45">
        <f t="shared" si="8"/>
        <v>0</v>
      </c>
      <c r="N112" s="1" t="str">
        <f t="shared" si="9"/>
        <v>-</v>
      </c>
      <c r="O112" s="1" t="str">
        <f t="shared" si="10"/>
        <v>-</v>
      </c>
    </row>
    <row r="113" spans="9:18" x14ac:dyDescent="0.3">
      <c r="I113">
        <f>BC_with_index!$D114</f>
        <v>2025</v>
      </c>
      <c r="J113" s="45">
        <f>BC_with_index!$O114</f>
        <v>1506681.6209365493</v>
      </c>
      <c r="K113" s="45" t="str">
        <f>BC_with_index!$P114</f>
        <v>-</v>
      </c>
      <c r="L113" s="45">
        <f t="shared" si="7"/>
        <v>0</v>
      </c>
      <c r="M113" s="45">
        <f t="shared" si="8"/>
        <v>0</v>
      </c>
      <c r="N113" s="1" t="str">
        <f t="shared" si="9"/>
        <v>-</v>
      </c>
      <c r="O113" s="1" t="str">
        <f t="shared" si="10"/>
        <v>-</v>
      </c>
    </row>
    <row r="114" spans="9:18" x14ac:dyDescent="0.3">
      <c r="I114">
        <f>BC_with_index!$D115</f>
        <v>2025</v>
      </c>
      <c r="J114" s="45">
        <f>BC_with_index!$O115</f>
        <v>1532247.3816478937</v>
      </c>
      <c r="K114" s="45" t="str">
        <f>BC_with_index!$P115</f>
        <v>-</v>
      </c>
      <c r="L114" s="45">
        <f t="shared" si="7"/>
        <v>0</v>
      </c>
      <c r="M114" s="45">
        <f t="shared" si="8"/>
        <v>0</v>
      </c>
      <c r="N114" s="1" t="str">
        <f t="shared" si="9"/>
        <v>-</v>
      </c>
      <c r="O114" s="1" t="str">
        <f t="shared" si="10"/>
        <v>-</v>
      </c>
    </row>
    <row r="115" spans="9:18" x14ac:dyDescent="0.3">
      <c r="I115">
        <f>BC_with_index!$D116</f>
        <v>2025</v>
      </c>
      <c r="J115" s="45">
        <f>BC_with_index!$O116</f>
        <v>625275.99184051633</v>
      </c>
      <c r="K115" s="45" t="str">
        <f>BC_with_index!$P116</f>
        <v>-</v>
      </c>
      <c r="L115" s="45">
        <f t="shared" si="7"/>
        <v>0</v>
      </c>
      <c r="M115" s="45">
        <f t="shared" si="8"/>
        <v>0</v>
      </c>
      <c r="N115" s="1" t="str">
        <f t="shared" si="9"/>
        <v>-</v>
      </c>
      <c r="O115" s="1" t="str">
        <f t="shared" si="10"/>
        <v>-</v>
      </c>
    </row>
    <row r="116" spans="9:18" x14ac:dyDescent="0.3">
      <c r="I116">
        <f>BC_with_index!$D117</f>
        <v>2025</v>
      </c>
      <c r="J116" s="45">
        <f>BC_with_index!$O117</f>
        <v>5075415.1769709894</v>
      </c>
      <c r="K116" s="45" t="str">
        <f>BC_with_index!$P117</f>
        <v>-</v>
      </c>
      <c r="L116" s="45">
        <f t="shared" si="7"/>
        <v>0</v>
      </c>
      <c r="M116" s="45">
        <f t="shared" si="8"/>
        <v>0</v>
      </c>
      <c r="N116" s="1" t="str">
        <f t="shared" si="9"/>
        <v>-</v>
      </c>
      <c r="O116" s="1" t="str">
        <f t="shared" si="10"/>
        <v>-</v>
      </c>
    </row>
    <row r="117" spans="9:18" x14ac:dyDescent="0.3">
      <c r="I117">
        <f>BC_with_index!$D118</f>
        <v>2025</v>
      </c>
      <c r="J117" s="45">
        <f>BC_with_index!$O118</f>
        <v>626584.1147125205</v>
      </c>
      <c r="K117" s="45" t="str">
        <f>BC_with_index!$P118</f>
        <v>-</v>
      </c>
      <c r="L117" s="45">
        <f t="shared" si="7"/>
        <v>0</v>
      </c>
      <c r="M117" s="45">
        <f t="shared" si="8"/>
        <v>0</v>
      </c>
      <c r="N117" s="1" t="str">
        <f t="shared" si="9"/>
        <v>-</v>
      </c>
      <c r="O117" s="1" t="str">
        <f t="shared" si="10"/>
        <v>-</v>
      </c>
    </row>
    <row r="118" spans="9:18" ht="15" thickBot="1" x14ac:dyDescent="0.35">
      <c r="J118" s="45" t="str">
        <f>BC_with_index!$O119</f>
        <v>Total=</v>
      </c>
      <c r="K118" s="45">
        <f>BC_with_index!$P119</f>
        <v>2060252899.5035505</v>
      </c>
      <c r="L118" s="45">
        <f>SUMIF(L4:L117,"&gt;0")</f>
        <v>25557942.077283468</v>
      </c>
      <c r="M118" s="45">
        <f>SUMIF(M4:M117,"&gt;0")</f>
        <v>8691712.9029748123</v>
      </c>
    </row>
    <row r="119" spans="9:18" ht="15" thickBot="1" x14ac:dyDescent="0.35">
      <c r="K119" s="51" t="s">
        <v>43</v>
      </c>
      <c r="L119" s="1">
        <f>L118/$K$118</f>
        <v>1.2405245047072641E-2</v>
      </c>
      <c r="M119" s="1">
        <f>M118/$K$118</f>
        <v>4.2187601847662555E-3</v>
      </c>
    </row>
    <row r="120" spans="9:18" ht="15" thickBot="1" x14ac:dyDescent="0.35">
      <c r="L120" s="51" t="s">
        <v>36</v>
      </c>
      <c r="M120" s="51" t="s">
        <v>38</v>
      </c>
    </row>
    <row r="121" spans="9:18" ht="15" thickBot="1" x14ac:dyDescent="0.35">
      <c r="K121" s="51" t="s">
        <v>44</v>
      </c>
      <c r="L121" s="45">
        <f>Exposure!$C$18*L119/(1-Exposure!$C$18*L119/E15)</f>
        <v>4361953.8470168421</v>
      </c>
      <c r="M121" s="45">
        <f>Exposure!$C$18*M119*(1+2)</f>
        <v>2907025.4416373069</v>
      </c>
    </row>
    <row r="123" spans="9:18" x14ac:dyDescent="0.3">
      <c r="K123" t="s">
        <v>145</v>
      </c>
      <c r="L123" s="84">
        <f>Exposure!$C$18*Stability_Clause!L119</f>
        <v>2849365.0094803409</v>
      </c>
      <c r="M123" s="84">
        <f>Exposure!$C$18*Stability_Clause!M119</f>
        <v>969008.48054576898</v>
      </c>
    </row>
    <row r="124" spans="9:18" ht="15" thickBot="1" x14ac:dyDescent="0.35"/>
    <row r="125" spans="9:18" ht="15" thickBot="1" x14ac:dyDescent="0.35">
      <c r="K125" t="s">
        <v>79</v>
      </c>
      <c r="L125" s="34" t="s">
        <v>136</v>
      </c>
      <c r="O125" s="73" t="s">
        <v>79</v>
      </c>
      <c r="P125" s="74">
        <v>6000000</v>
      </c>
      <c r="Q125" s="74" t="s">
        <v>80</v>
      </c>
      <c r="R125" s="75">
        <v>4000000</v>
      </c>
    </row>
    <row r="126" spans="9:18" ht="15" thickBot="1" x14ac:dyDescent="0.35">
      <c r="K126" t="s">
        <v>137</v>
      </c>
      <c r="L126" s="34" t="s">
        <v>138</v>
      </c>
      <c r="O126" s="73" t="s">
        <v>137</v>
      </c>
      <c r="P126" s="74">
        <v>20000000</v>
      </c>
      <c r="Q126" s="74" t="s">
        <v>80</v>
      </c>
      <c r="R126" s="75">
        <v>10000000</v>
      </c>
    </row>
  </sheetData>
  <mergeCells count="1">
    <mergeCell ref="A2:E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BF964-98B8-4882-AE7B-DB37DF01385B}">
  <dimension ref="A1:AG37"/>
  <sheetViews>
    <sheetView zoomScale="70" workbookViewId="0">
      <selection activeCell="D38" sqref="D38"/>
    </sheetView>
  </sheetViews>
  <sheetFormatPr baseColWidth="10" defaultRowHeight="14.4" x14ac:dyDescent="0.3"/>
  <cols>
    <col min="1" max="1" width="24.21875" bestFit="1" customWidth="1"/>
    <col min="3" max="3" width="21.6640625" bestFit="1" customWidth="1"/>
    <col min="4" max="4" width="17.21875" bestFit="1" customWidth="1"/>
    <col min="5" max="7" width="13.5546875" bestFit="1" customWidth="1"/>
    <col min="8" max="10" width="12" bestFit="1" customWidth="1"/>
    <col min="11" max="13" width="10.88671875" bestFit="1" customWidth="1"/>
    <col min="14" max="14" width="14" bestFit="1" customWidth="1"/>
    <col min="21" max="21" width="23.5546875" bestFit="1" customWidth="1"/>
    <col min="22" max="22" width="17.21875" bestFit="1" customWidth="1"/>
    <col min="23" max="26" width="13.5546875" bestFit="1" customWidth="1"/>
    <col min="27" max="28" width="12" bestFit="1" customWidth="1"/>
    <col min="29" max="30" width="10.88671875" bestFit="1" customWidth="1"/>
    <col min="31" max="31" width="9.77734375" bestFit="1" customWidth="1"/>
    <col min="32" max="32" width="13.5546875" bestFit="1" customWidth="1"/>
  </cols>
  <sheetData>
    <row r="1" spans="1:33" x14ac:dyDescent="0.3">
      <c r="A1" s="34" t="s">
        <v>89</v>
      </c>
    </row>
    <row r="3" spans="1:33" x14ac:dyDescent="0.3">
      <c r="A3" s="87" t="s">
        <v>90</v>
      </c>
      <c r="B3" s="87"/>
      <c r="C3" s="87"/>
      <c r="D3" s="87"/>
      <c r="E3" s="87"/>
      <c r="S3" s="87" t="s">
        <v>147</v>
      </c>
      <c r="T3" s="87"/>
      <c r="U3" s="87"/>
      <c r="V3" s="87"/>
      <c r="W3" s="87"/>
    </row>
    <row r="5" spans="1:33" x14ac:dyDescent="0.3">
      <c r="A5" t="s">
        <v>148</v>
      </c>
      <c r="B5" s="76">
        <v>0.12</v>
      </c>
    </row>
    <row r="6" spans="1:33" x14ac:dyDescent="0.3">
      <c r="A6" s="26" t="s">
        <v>91</v>
      </c>
      <c r="B6" s="76">
        <v>0.1</v>
      </c>
      <c r="S6" s="26" t="s">
        <v>91</v>
      </c>
      <c r="T6" s="76">
        <v>0.1</v>
      </c>
    </row>
    <row r="7" spans="1:33" x14ac:dyDescent="0.3">
      <c r="A7" s="26" t="s">
        <v>92</v>
      </c>
      <c r="B7" s="76">
        <v>0.05</v>
      </c>
      <c r="N7" s="33" t="s">
        <v>98</v>
      </c>
      <c r="S7" s="26" t="s">
        <v>92</v>
      </c>
      <c r="T7" s="76">
        <v>0.05</v>
      </c>
      <c r="AF7" s="33" t="s">
        <v>98</v>
      </c>
    </row>
    <row r="8" spans="1:33" x14ac:dyDescent="0.3">
      <c r="A8" s="26" t="s">
        <v>93</v>
      </c>
      <c r="B8" s="76">
        <v>0.6</v>
      </c>
      <c r="C8" s="26" t="s">
        <v>94</v>
      </c>
      <c r="D8" s="45">
        <f>$B$8*Patterns!$T$123</f>
        <v>2069779.535456772</v>
      </c>
      <c r="E8" s="45">
        <f>0</f>
        <v>0</v>
      </c>
      <c r="F8" s="45">
        <f>0</f>
        <v>0</v>
      </c>
      <c r="G8" s="45">
        <f>0</f>
        <v>0</v>
      </c>
      <c r="H8" s="45">
        <f>0</f>
        <v>0</v>
      </c>
      <c r="I8" s="45">
        <f>0</f>
        <v>0</v>
      </c>
      <c r="J8" s="45">
        <f>0</f>
        <v>0</v>
      </c>
      <c r="K8" s="45">
        <f>0</f>
        <v>0</v>
      </c>
      <c r="L8" s="45">
        <f>0</f>
        <v>0</v>
      </c>
      <c r="M8" s="45">
        <f>0</f>
        <v>0</v>
      </c>
      <c r="N8" s="45">
        <f>SUM(D8:M8)</f>
        <v>2069779.535456772</v>
      </c>
      <c r="O8" s="33" t="s">
        <v>111</v>
      </c>
      <c r="S8" s="26" t="s">
        <v>93</v>
      </c>
      <c r="T8" s="76">
        <v>0.6</v>
      </c>
      <c r="U8" s="26" t="s">
        <v>94</v>
      </c>
      <c r="V8" s="45">
        <f>$B$8*Patterns!AL123</f>
        <v>1537624.5117556669</v>
      </c>
      <c r="W8" s="45">
        <f>0</f>
        <v>0</v>
      </c>
      <c r="X8" s="45">
        <f>0</f>
        <v>0</v>
      </c>
      <c r="Y8" s="45">
        <f>0</f>
        <v>0</v>
      </c>
      <c r="Z8" s="45">
        <f>0</f>
        <v>0</v>
      </c>
      <c r="AA8" s="45">
        <f>0</f>
        <v>0</v>
      </c>
      <c r="AB8" s="45">
        <f>0</f>
        <v>0</v>
      </c>
      <c r="AC8" s="45">
        <f>0</f>
        <v>0</v>
      </c>
      <c r="AD8" s="45">
        <f>0</f>
        <v>0</v>
      </c>
      <c r="AE8" s="45">
        <f>0</f>
        <v>0</v>
      </c>
      <c r="AF8" s="45">
        <f>SUM(V8:AE8)</f>
        <v>1537624.5117556669</v>
      </c>
      <c r="AG8" s="33" t="s">
        <v>111</v>
      </c>
    </row>
    <row r="9" spans="1:33" x14ac:dyDescent="0.3">
      <c r="B9" s="76">
        <v>0.2</v>
      </c>
      <c r="C9" s="26" t="s">
        <v>95</v>
      </c>
      <c r="D9" s="45">
        <f>$B$9*Patterns!T$125</f>
        <v>689926.4895216279</v>
      </c>
      <c r="E9" s="45">
        <f>$B$9*Patterns!U$125</f>
        <v>530363.82500936254</v>
      </c>
      <c r="F9" s="45">
        <f>$B$9*Patterns!V$125</f>
        <v>455576.18124966737</v>
      </c>
      <c r="G9" s="45">
        <f>$B$9*Patterns!W$125</f>
        <v>242458.25952802226</v>
      </c>
      <c r="H9" s="45">
        <f>$B$9*Patterns!X$125</f>
        <v>166872.22694695528</v>
      </c>
      <c r="I9" s="45">
        <f>$B$9*Patterns!Y$125</f>
        <v>79105.594517882273</v>
      </c>
      <c r="J9" s="45">
        <f>$B$9*Patterns!Z$125</f>
        <v>25263.53336827569</v>
      </c>
      <c r="K9" s="45">
        <f>$B$9*Patterns!AA$125</f>
        <v>16736.255435509887</v>
      </c>
      <c r="L9" s="45">
        <f>$B$9*Patterns!AB$125</f>
        <v>5722.1837261164565</v>
      </c>
      <c r="M9" s="45">
        <f>$B$9*Patterns!AC$125</f>
        <v>0</v>
      </c>
      <c r="N9" s="45">
        <f>SUM(D9:M9)</f>
        <v>2212024.5493034199</v>
      </c>
      <c r="O9" s="45">
        <f>B6*(N8+N9)</f>
        <v>428180.40847601922</v>
      </c>
      <c r="T9" s="76">
        <v>0.2</v>
      </c>
      <c r="U9" s="26" t="s">
        <v>95</v>
      </c>
      <c r="V9" s="45">
        <f>$B$9*Patterns!AL$125</f>
        <v>512541.48162125959</v>
      </c>
      <c r="W9" s="45">
        <f>$B$9*Patterns!AM$125</f>
        <v>512541.3791361202</v>
      </c>
      <c r="X9" s="45">
        <f>$B$9*Patterns!AN$125</f>
        <v>512541.31674490246</v>
      </c>
      <c r="Y9" s="45">
        <f>$B$9*Patterns!AO$125</f>
        <v>267746.93002407567</v>
      </c>
      <c r="Z9" s="45">
        <f>$B$9*Patterns!AP$125</f>
        <v>325399.15453011601</v>
      </c>
      <c r="AA9" s="45">
        <f>$B$9*Patterns!AQ$125</f>
        <v>191770.4295324531</v>
      </c>
      <c r="AB9" s="45">
        <f>$B$9*Patterns!AR$125</f>
        <v>7726.0890404239299</v>
      </c>
      <c r="AC9" s="45">
        <f>$B$9*Patterns!AS$125</f>
        <v>4025.0133308368736</v>
      </c>
      <c r="AD9" s="45">
        <f>$B$9*Patterns!AT$125</f>
        <v>1618.4174392519519</v>
      </c>
      <c r="AE9" s="45">
        <f>$B$9*Patterns!AU$125</f>
        <v>0</v>
      </c>
      <c r="AF9" s="45">
        <f>SUM(V9:AE9)</f>
        <v>2335910.2113994393</v>
      </c>
      <c r="AG9" s="45">
        <f>T6*(AF8+AF9)</f>
        <v>387353.47231551068</v>
      </c>
    </row>
    <row r="10" spans="1:33" x14ac:dyDescent="0.3">
      <c r="A10" s="26" t="s">
        <v>96</v>
      </c>
      <c r="B10" s="76">
        <v>0.03</v>
      </c>
      <c r="S10" s="26" t="s">
        <v>96</v>
      </c>
      <c r="T10" s="76">
        <v>0.03</v>
      </c>
    </row>
    <row r="11" spans="1:33" x14ac:dyDescent="0.3">
      <c r="A11" s="26" t="s">
        <v>110</v>
      </c>
      <c r="B11" s="76">
        <v>0.06</v>
      </c>
      <c r="C11" t="s">
        <v>94</v>
      </c>
      <c r="D11" s="47"/>
      <c r="S11" s="26" t="s">
        <v>110</v>
      </c>
      <c r="T11" s="76">
        <v>0.06</v>
      </c>
      <c r="U11" t="s">
        <v>94</v>
      </c>
      <c r="V11" s="47"/>
    </row>
    <row r="13" spans="1:33" x14ac:dyDescent="0.3">
      <c r="A13" s="26"/>
      <c r="B13" s="76"/>
      <c r="D13" s="39" t="s">
        <v>97</v>
      </c>
      <c r="S13" s="26"/>
      <c r="T13" s="76"/>
      <c r="V13" s="39" t="s">
        <v>97</v>
      </c>
    </row>
    <row r="14" spans="1:33" ht="15" thickBot="1" x14ac:dyDescent="0.35">
      <c r="D14" s="39">
        <v>0.5</v>
      </c>
      <c r="E14" s="77">
        <f>D14+1</f>
        <v>1.5</v>
      </c>
      <c r="F14" s="77">
        <f>E14+1</f>
        <v>2.5</v>
      </c>
      <c r="G14" s="77">
        <f>F14+1</f>
        <v>3.5</v>
      </c>
      <c r="H14" s="77">
        <f>G14+1</f>
        <v>4.5</v>
      </c>
      <c r="I14" s="78">
        <f>H14+1</f>
        <v>5.5</v>
      </c>
      <c r="J14" s="78">
        <v>6.5</v>
      </c>
      <c r="K14" s="78">
        <f t="shared" ref="K14:M14" si="0">J14+1</f>
        <v>7.5</v>
      </c>
      <c r="L14" s="78">
        <f>K14+1</f>
        <v>8.5</v>
      </c>
      <c r="M14" s="78">
        <f t="shared" si="0"/>
        <v>9.5</v>
      </c>
      <c r="N14" s="33" t="s">
        <v>98</v>
      </c>
      <c r="V14" s="39">
        <v>0.5</v>
      </c>
      <c r="W14" s="77">
        <f>V14+1</f>
        <v>1.5</v>
      </c>
      <c r="X14" s="77">
        <f>W14+1</f>
        <v>2.5</v>
      </c>
      <c r="Y14" s="77">
        <f>X14+1</f>
        <v>3.5</v>
      </c>
      <c r="Z14" s="77">
        <f>Y14+1</f>
        <v>4.5</v>
      </c>
      <c r="AA14" s="78">
        <f>Z14+1</f>
        <v>5.5</v>
      </c>
      <c r="AB14" s="78">
        <v>6.5</v>
      </c>
      <c r="AC14" s="78">
        <f t="shared" ref="AC14" si="1">AB14+1</f>
        <v>7.5</v>
      </c>
      <c r="AD14" s="78">
        <f>AC14+1</f>
        <v>8.5</v>
      </c>
      <c r="AE14" s="78">
        <f t="shared" ref="AE14" si="2">AD14+1</f>
        <v>9.5</v>
      </c>
      <c r="AF14" t="s">
        <v>98</v>
      </c>
    </row>
    <row r="15" spans="1:33" ht="15" thickBot="1" x14ac:dyDescent="0.35">
      <c r="A15" s="26" t="s">
        <v>99</v>
      </c>
      <c r="C15" s="26" t="s">
        <v>100</v>
      </c>
      <c r="D15" s="79">
        <v>4450156.0084129591</v>
      </c>
      <c r="E15" s="64"/>
      <c r="F15" s="64"/>
      <c r="G15" s="64"/>
      <c r="H15" s="64"/>
      <c r="I15" s="64"/>
      <c r="S15" s="26" t="s">
        <v>99</v>
      </c>
      <c r="U15" s="26" t="s">
        <v>100</v>
      </c>
      <c r="V15" s="79">
        <v>3272082.0253243102</v>
      </c>
      <c r="W15" s="64"/>
      <c r="X15" s="64"/>
      <c r="Y15" s="64"/>
      <c r="Z15" s="64"/>
      <c r="AA15" s="64"/>
    </row>
    <row r="16" spans="1:33" x14ac:dyDescent="0.3">
      <c r="C16" s="26" t="s">
        <v>101</v>
      </c>
      <c r="D16" s="64">
        <f>-Patterns!T124</f>
        <v>-0.11148648043978969</v>
      </c>
      <c r="E16" s="64">
        <f>-(Patterns!U$124-Patterns!T$124)</f>
        <v>-797813.32256132714</v>
      </c>
      <c r="F16" s="64">
        <f>-(Patterns!V$124-Patterns!U$124)</f>
        <v>-373938.21879847569</v>
      </c>
      <c r="G16" s="64">
        <f>-(Patterns!W$124-Patterns!V$124)</f>
        <v>-1065589.6086082254</v>
      </c>
      <c r="H16" s="64">
        <f>-(Patterns!X$124-Patterns!W$124)</f>
        <v>-377930.16290533496</v>
      </c>
      <c r="I16" s="64">
        <f>-(Patterns!Y$124-Patterns!X$124)</f>
        <v>-438833.16214536503</v>
      </c>
      <c r="J16" s="64">
        <f>-(Patterns!Z$124-Patterns!Y$124)</f>
        <v>-269210.30574803287</v>
      </c>
      <c r="K16" s="64">
        <f>-(Patterns!AA$124-Patterns!Z$124)</f>
        <v>-42636.389663829003</v>
      </c>
      <c r="L16" s="64">
        <f>-(Patterns!AB$124-Patterns!AA$124)</f>
        <v>-55070.358546967153</v>
      </c>
      <c r="M16" s="64">
        <f>-(Patterns!AC$124-Patterns!AB$124)</f>
        <v>-28610.91863058228</v>
      </c>
      <c r="N16" s="82">
        <f>SUM(D16:M16)</f>
        <v>-3449632.5590946199</v>
      </c>
      <c r="U16" s="26" t="s">
        <v>101</v>
      </c>
      <c r="V16" s="64">
        <f>-Patterns!AL124</f>
        <v>-0.11148648043978969</v>
      </c>
      <c r="W16" s="64">
        <f>-(Patterns!AM$124-Patterns!AL$124)</f>
        <v>-0.5124256968666514</v>
      </c>
      <c r="X16" s="64">
        <f>-(Patterns!AN$124-Patterns!AM$124)</f>
        <v>-0.31195608865322066</v>
      </c>
      <c r="Y16" s="64">
        <f>-(Patterns!AO$124-Patterns!AN$124)</f>
        <v>-1223971.933604134</v>
      </c>
      <c r="Z16" s="64">
        <f>-(Patterns!AP$124-Patterns!AO$124)</f>
        <v>288261.12253020168</v>
      </c>
      <c r="AA16" s="64">
        <f>-(Patterns!AQ$124-Patterns!AP$124)</f>
        <v>-668143.62498831446</v>
      </c>
      <c r="AB16" s="64">
        <f>-(Patterns!AR$124-Patterns!AQ$124)</f>
        <v>-920221.70246014581</v>
      </c>
      <c r="AC16" s="64">
        <f>-(Patterns!AS$124-Patterns!AR$124)</f>
        <v>-18505.378547935281</v>
      </c>
      <c r="AD16" s="64">
        <f>-(Patterns!AT$124-Patterns!AS$124)</f>
        <v>-12032.979457924608</v>
      </c>
      <c r="AE16" s="64">
        <f>-(Patterns!AU$124-Patterns!AT$124)</f>
        <v>-8092.0871962597594</v>
      </c>
      <c r="AF16" s="82">
        <f>SUM(V16:AE16)</f>
        <v>-2562707.5195927783</v>
      </c>
    </row>
    <row r="17" spans="1:33" x14ac:dyDescent="0.3">
      <c r="C17" s="26" t="s">
        <v>91</v>
      </c>
      <c r="D17" s="64">
        <f>-B6*D15</f>
        <v>-445015.60084129591</v>
      </c>
      <c r="E17" s="64"/>
      <c r="F17" s="64"/>
      <c r="G17" s="64"/>
      <c r="H17" s="64"/>
      <c r="I17" s="64"/>
      <c r="N17" s="82"/>
      <c r="U17" s="26" t="s">
        <v>91</v>
      </c>
      <c r="V17" s="64">
        <f>-T6*V15</f>
        <v>-327208.20253243105</v>
      </c>
      <c r="W17" s="64"/>
      <c r="X17" s="64"/>
      <c r="Y17" s="64"/>
      <c r="Z17" s="64"/>
      <c r="AA17" s="64"/>
    </row>
    <row r="18" spans="1:33" x14ac:dyDescent="0.3">
      <c r="C18" s="26" t="s">
        <v>114</v>
      </c>
      <c r="D18" s="64">
        <f>-(B7+B11)*D15</f>
        <v>-489517.16092542547</v>
      </c>
      <c r="E18" s="64"/>
      <c r="F18" s="64"/>
      <c r="G18" s="64"/>
      <c r="H18" s="64"/>
      <c r="I18" s="64"/>
      <c r="N18" s="82"/>
      <c r="U18" s="26" t="s">
        <v>114</v>
      </c>
      <c r="V18" s="64">
        <f>-(T7+T11)*V15</f>
        <v>-359929.02278567414</v>
      </c>
      <c r="W18" s="64"/>
      <c r="X18" s="64"/>
      <c r="Y18" s="64"/>
      <c r="Z18" s="64"/>
      <c r="AA18" s="64"/>
    </row>
    <row r="19" spans="1:33" x14ac:dyDescent="0.3">
      <c r="C19" s="26" t="s">
        <v>102</v>
      </c>
      <c r="D19" s="64">
        <f>-D30</f>
        <v>-3449632.4476081394</v>
      </c>
      <c r="E19" s="64">
        <f>-(E30-D30)</f>
        <v>797813.3225613269</v>
      </c>
      <c r="F19" s="64">
        <f>-(F30-E30)</f>
        <v>373938.21879847581</v>
      </c>
      <c r="G19" s="64">
        <f>-(G30-F30)</f>
        <v>1065589.6086082254</v>
      </c>
      <c r="H19" s="64">
        <f>-(H30-G30)</f>
        <v>377930.16290533496</v>
      </c>
      <c r="I19" s="64">
        <f>-(I30-H30)</f>
        <v>438833.16214536503</v>
      </c>
      <c r="J19" s="64">
        <f t="shared" ref="J19:M19" si="3">-(J30-I30)</f>
        <v>269210.30574803287</v>
      </c>
      <c r="K19" s="64">
        <f t="shared" si="3"/>
        <v>42636.389663829003</v>
      </c>
      <c r="L19" s="64">
        <f t="shared" si="3"/>
        <v>55070.358546967153</v>
      </c>
      <c r="M19" s="64">
        <f t="shared" si="3"/>
        <v>28610.91863058228</v>
      </c>
      <c r="N19" s="82">
        <f t="shared" ref="N19" si="4">SUM(D19:M19)</f>
        <v>0</v>
      </c>
      <c r="U19" s="26" t="s">
        <v>102</v>
      </c>
      <c r="V19" s="64">
        <f>-V30</f>
        <v>-2562707.4081062977</v>
      </c>
      <c r="W19" s="64">
        <f>-(W30-V30)</f>
        <v>0.51242569694295526</v>
      </c>
      <c r="X19" s="64">
        <f>-(X30-W30)</f>
        <v>0.31195608852431178</v>
      </c>
      <c r="Y19" s="64">
        <f>-(Y30-X30)</f>
        <v>1223971.933604134</v>
      </c>
      <c r="Z19" s="64">
        <f>-(Z30-Y30)</f>
        <v>-288261.12253020168</v>
      </c>
      <c r="AA19" s="64">
        <f>-(AA30-Z30)</f>
        <v>668143.62498831446</v>
      </c>
      <c r="AB19" s="64">
        <f t="shared" ref="AB19:AE19" si="5">-(AB30-AA30)</f>
        <v>920221.70246014581</v>
      </c>
      <c r="AC19" s="64">
        <f t="shared" si="5"/>
        <v>18505.378547935281</v>
      </c>
      <c r="AD19" s="64">
        <f t="shared" si="5"/>
        <v>12032.979457924608</v>
      </c>
      <c r="AE19" s="64">
        <f t="shared" si="5"/>
        <v>8092.0871962597594</v>
      </c>
    </row>
    <row r="20" spans="1:33" x14ac:dyDescent="0.3">
      <c r="C20" t="s">
        <v>103</v>
      </c>
      <c r="D20" s="64">
        <f>-D31</f>
        <v>-2069779.535456772</v>
      </c>
      <c r="E20" s="64">
        <f>D31</f>
        <v>2069779.535456772</v>
      </c>
      <c r="F20" s="64">
        <f t="shared" ref="F20:M20" si="6">E31</f>
        <v>0</v>
      </c>
      <c r="G20" s="64">
        <f t="shared" si="6"/>
        <v>0</v>
      </c>
      <c r="H20" s="64">
        <f t="shared" si="6"/>
        <v>0</v>
      </c>
      <c r="I20" s="64">
        <f t="shared" si="6"/>
        <v>0</v>
      </c>
      <c r="J20" s="64">
        <f t="shared" si="6"/>
        <v>0</v>
      </c>
      <c r="K20" s="64">
        <f t="shared" si="6"/>
        <v>0</v>
      </c>
      <c r="L20" s="64">
        <f t="shared" si="6"/>
        <v>0</v>
      </c>
      <c r="M20" s="64">
        <f t="shared" si="6"/>
        <v>0</v>
      </c>
      <c r="N20" s="82"/>
      <c r="U20" t="s">
        <v>103</v>
      </c>
      <c r="V20" s="64">
        <f>-V31</f>
        <v>-1537624.5117556669</v>
      </c>
      <c r="W20" s="64">
        <f>V31</f>
        <v>1537624.5117556669</v>
      </c>
      <c r="X20" s="64">
        <f t="shared" ref="X20:AE20" si="7">W31</f>
        <v>0</v>
      </c>
      <c r="Y20" s="64">
        <f t="shared" si="7"/>
        <v>0</v>
      </c>
      <c r="Z20" s="64">
        <f t="shared" si="7"/>
        <v>0</v>
      </c>
      <c r="AA20" s="64">
        <f t="shared" si="7"/>
        <v>0</v>
      </c>
      <c r="AB20" s="64">
        <f t="shared" si="7"/>
        <v>0</v>
      </c>
      <c r="AC20" s="64">
        <f t="shared" si="7"/>
        <v>0</v>
      </c>
      <c r="AD20" s="64">
        <f t="shared" si="7"/>
        <v>0</v>
      </c>
      <c r="AE20" s="64">
        <f t="shared" si="7"/>
        <v>0</v>
      </c>
    </row>
    <row r="21" spans="1:33" x14ac:dyDescent="0.3">
      <c r="D21" s="64">
        <f>-D32</f>
        <v>-689926.4895216279</v>
      </c>
      <c r="E21" s="64">
        <f>-(E32-D32)</f>
        <v>159562.66451226536</v>
      </c>
      <c r="F21" s="64">
        <f>-(F32-E32)</f>
        <v>74787.643759695173</v>
      </c>
      <c r="G21" s="64">
        <f>-(G32-F32)</f>
        <v>213117.92172164511</v>
      </c>
      <c r="H21" s="64">
        <f>-(H32-G32)</f>
        <v>75586.032581066975</v>
      </c>
      <c r="I21" s="64">
        <f>-(I32-H32)</f>
        <v>87766.632429073012</v>
      </c>
      <c r="J21" s="64">
        <f t="shared" ref="J21:M21" si="8">-(J32-I32)</f>
        <v>53842.061149606583</v>
      </c>
      <c r="K21" s="64">
        <f t="shared" si="8"/>
        <v>8527.2779327658027</v>
      </c>
      <c r="L21" s="64">
        <f t="shared" si="8"/>
        <v>11014.071709393431</v>
      </c>
      <c r="M21" s="64">
        <f t="shared" si="8"/>
        <v>5722.1837261164565</v>
      </c>
      <c r="N21" s="82"/>
      <c r="V21" s="64">
        <f>-V32</f>
        <v>-512541.48162125959</v>
      </c>
      <c r="W21" s="64">
        <f>-(W32-V32)</f>
        <v>0.10248513938859105</v>
      </c>
      <c r="X21" s="64">
        <f>-(X32-W32)</f>
        <v>6.2391217739786953E-2</v>
      </c>
      <c r="Y21" s="64">
        <f>-(Y32-X32)</f>
        <v>244794.38672082679</v>
      </c>
      <c r="Z21" s="64">
        <f>-(Z32-Y32)</f>
        <v>-57652.224506040337</v>
      </c>
      <c r="AA21" s="64">
        <f>-(AA32-Z32)</f>
        <v>133628.72499766291</v>
      </c>
      <c r="AB21" s="64">
        <f t="shared" ref="AB21:AE21" si="9">-(AB32-AA32)</f>
        <v>184044.34049202918</v>
      </c>
      <c r="AC21" s="64">
        <f t="shared" si="9"/>
        <v>3701.0757095870563</v>
      </c>
      <c r="AD21" s="64">
        <f t="shared" si="9"/>
        <v>2406.5958915849214</v>
      </c>
      <c r="AE21" s="64">
        <f t="shared" si="9"/>
        <v>1618.4174392519519</v>
      </c>
    </row>
    <row r="22" spans="1:33" x14ac:dyDescent="0.3">
      <c r="C22" s="26" t="s">
        <v>104</v>
      </c>
      <c r="D22" s="64">
        <f>0</f>
        <v>0</v>
      </c>
      <c r="E22" s="64">
        <f>$B10*D30</f>
        <v>103488.97342824418</v>
      </c>
      <c r="F22" s="64">
        <f t="shared" ref="F22:M22" si="10">$B10*E30</f>
        <v>79554.573751404372</v>
      </c>
      <c r="G22" s="64">
        <f t="shared" si="10"/>
        <v>68336.427187450099</v>
      </c>
      <c r="H22" s="64">
        <f t="shared" si="10"/>
        <v>36368.73892920334</v>
      </c>
      <c r="I22" s="64">
        <f t="shared" si="10"/>
        <v>25030.834042043291</v>
      </c>
      <c r="J22" s="64">
        <f t="shared" si="10"/>
        <v>11865.839177682339</v>
      </c>
      <c r="K22" s="64">
        <f t="shared" si="10"/>
        <v>3789.5300052413531</v>
      </c>
      <c r="L22" s="64">
        <f t="shared" si="10"/>
        <v>2510.438315326483</v>
      </c>
      <c r="M22" s="64">
        <f t="shared" si="10"/>
        <v>858.32755891746842</v>
      </c>
      <c r="N22" s="82"/>
      <c r="U22" s="26" t="s">
        <v>104</v>
      </c>
      <c r="V22" s="64">
        <f>0</f>
        <v>0</v>
      </c>
      <c r="W22" s="64">
        <f>$B10*V30</f>
        <v>76881.222243188924</v>
      </c>
      <c r="X22" s="64">
        <f t="shared" ref="X22:AE22" si="11">$B10*W30</f>
        <v>76881.206870418027</v>
      </c>
      <c r="Y22" s="64">
        <f t="shared" si="11"/>
        <v>76881.197511735358</v>
      </c>
      <c r="Z22" s="64">
        <f t="shared" si="11"/>
        <v>40162.039503611348</v>
      </c>
      <c r="AA22" s="64">
        <f t="shared" si="11"/>
        <v>48809.873179517395</v>
      </c>
      <c r="AB22" s="64">
        <f t="shared" si="11"/>
        <v>28765.564429867962</v>
      </c>
      <c r="AC22" s="64">
        <f t="shared" si="11"/>
        <v>1158.9133560635894</v>
      </c>
      <c r="AD22" s="64">
        <f t="shared" si="11"/>
        <v>603.75199962553097</v>
      </c>
      <c r="AE22" s="64">
        <f t="shared" si="11"/>
        <v>242.76261588779278</v>
      </c>
    </row>
    <row r="23" spans="1:33" x14ac:dyDescent="0.3">
      <c r="C23" s="26" t="s">
        <v>105</v>
      </c>
      <c r="D23" s="64">
        <v>0</v>
      </c>
      <c r="E23" s="64">
        <f>$B10*(D31+D32)</f>
        <v>82791.180749351988</v>
      </c>
      <c r="F23" s="64">
        <f t="shared" ref="F23:M23" si="12">$B10*(E31+E32)</f>
        <v>15910.914750280876</v>
      </c>
      <c r="G23" s="64">
        <f t="shared" si="12"/>
        <v>13667.28543749002</v>
      </c>
      <c r="H23" s="64">
        <f t="shared" si="12"/>
        <v>7273.7477858406673</v>
      </c>
      <c r="I23" s="64">
        <f t="shared" si="12"/>
        <v>5006.1668084086587</v>
      </c>
      <c r="J23" s="64">
        <f t="shared" si="12"/>
        <v>2373.1678355364679</v>
      </c>
      <c r="K23" s="64">
        <f t="shared" si="12"/>
        <v>757.9060010482707</v>
      </c>
      <c r="L23" s="64">
        <f t="shared" si="12"/>
        <v>502.08766306529662</v>
      </c>
      <c r="M23" s="64">
        <f t="shared" si="12"/>
        <v>171.66551178349368</v>
      </c>
      <c r="N23" s="82"/>
      <c r="U23" s="26" t="s">
        <v>105</v>
      </c>
      <c r="V23" s="64">
        <v>0</v>
      </c>
      <c r="W23" s="64">
        <f>$B10*(V31+V32)</f>
        <v>61504.979801307796</v>
      </c>
      <c r="X23" s="64">
        <f>$B10*(W31+W32)</f>
        <v>15376.241374083605</v>
      </c>
      <c r="Y23" s="64">
        <f t="shared" ref="Y23:AE23" si="13">$B10*(X31+X32)</f>
        <v>15376.239502347073</v>
      </c>
      <c r="Z23" s="64">
        <f t="shared" si="13"/>
        <v>8032.4079007222699</v>
      </c>
      <c r="AA23" s="64">
        <f t="shared" si="13"/>
        <v>9761.9746359034798</v>
      </c>
      <c r="AB23" s="64">
        <f t="shared" si="13"/>
        <v>5753.1128859735927</v>
      </c>
      <c r="AC23" s="64">
        <f t="shared" si="13"/>
        <v>231.7826712127179</v>
      </c>
      <c r="AD23" s="64">
        <f t="shared" si="13"/>
        <v>120.75039992510621</v>
      </c>
      <c r="AE23" s="64">
        <f t="shared" si="13"/>
        <v>48.552523177558555</v>
      </c>
    </row>
    <row r="24" spans="1:33" x14ac:dyDescent="0.3">
      <c r="D24" s="64"/>
      <c r="E24" s="64"/>
      <c r="F24" s="64"/>
      <c r="G24" s="64"/>
      <c r="H24" s="64"/>
      <c r="I24" s="64"/>
      <c r="N24" s="82"/>
      <c r="V24" s="64"/>
      <c r="W24" s="64"/>
      <c r="X24" s="64"/>
      <c r="Y24" s="64"/>
      <c r="Z24" s="64"/>
      <c r="AA24" s="64"/>
    </row>
    <row r="25" spans="1:33" x14ac:dyDescent="0.3">
      <c r="C25" t="s">
        <v>98</v>
      </c>
      <c r="D25" s="64">
        <f>SUM(D15:D23)</f>
        <v>-2693715.3374267821</v>
      </c>
      <c r="E25" s="64">
        <f>SUM(E15:E23)</f>
        <v>2415622.3541466333</v>
      </c>
      <c r="F25" s="64">
        <f>SUM(F15:F23)</f>
        <v>170253.13226138052</v>
      </c>
      <c r="G25" s="64">
        <f t="shared" ref="G25:M25" si="14">SUM(G15:G23)</f>
        <v>295121.63434658526</v>
      </c>
      <c r="H25" s="64">
        <f t="shared" si="14"/>
        <v>119228.51929611097</v>
      </c>
      <c r="I25" s="64">
        <f t="shared" si="14"/>
        <v>117803.63327952496</v>
      </c>
      <c r="J25" s="64">
        <f t="shared" si="14"/>
        <v>68081.068162825395</v>
      </c>
      <c r="K25" s="64">
        <f t="shared" si="14"/>
        <v>13074.713939055426</v>
      </c>
      <c r="L25" s="64">
        <f t="shared" si="14"/>
        <v>14026.59768778521</v>
      </c>
      <c r="M25" s="64">
        <f t="shared" si="14"/>
        <v>6752.1767968174181</v>
      </c>
      <c r="N25" s="82">
        <f>SUM(D25:M25)</f>
        <v>526248.49248993641</v>
      </c>
      <c r="U25" t="s">
        <v>98</v>
      </c>
      <c r="V25" s="64">
        <f>SUM(V15:V23)</f>
        <v>-2027928.7129635001</v>
      </c>
      <c r="W25" s="64">
        <f>SUM(W15:W23)</f>
        <v>1676010.8162853031</v>
      </c>
      <c r="X25" s="64">
        <f>SUM(X15:X23)</f>
        <v>92257.510635719242</v>
      </c>
      <c r="Y25" s="64">
        <f t="shared" ref="Y25:AE25" si="15">SUM(Y15:Y23)</f>
        <v>337051.82373490924</v>
      </c>
      <c r="Z25" s="64">
        <f t="shared" si="15"/>
        <v>-9457.7771017067189</v>
      </c>
      <c r="AA25" s="64">
        <f t="shared" si="15"/>
        <v>192200.5728130838</v>
      </c>
      <c r="AB25" s="64">
        <f t="shared" si="15"/>
        <v>218563.01780787072</v>
      </c>
      <c r="AC25" s="64">
        <f t="shared" si="15"/>
        <v>5091.7717368633639</v>
      </c>
      <c r="AD25" s="64">
        <f t="shared" si="15"/>
        <v>3131.0982911355586</v>
      </c>
      <c r="AE25" s="64">
        <f t="shared" si="15"/>
        <v>1909.7325783173033</v>
      </c>
    </row>
    <row r="26" spans="1:33" x14ac:dyDescent="0.3">
      <c r="C26" s="26" t="s">
        <v>106</v>
      </c>
      <c r="D26" s="64">
        <f>D25/(1+$B5)^D14</f>
        <v>-2545321.7448684657</v>
      </c>
      <c r="E26" s="64">
        <f t="shared" ref="E26:M26" si="16">E25/(1+$B5)^E14</f>
        <v>2037989.7992730825</v>
      </c>
      <c r="F26" s="64">
        <f t="shared" si="16"/>
        <v>128247.83843539329</v>
      </c>
      <c r="G26" s="64">
        <f t="shared" si="16"/>
        <v>198489.69662400655</v>
      </c>
      <c r="H26" s="64">
        <f t="shared" si="16"/>
        <v>71597.69623588401</v>
      </c>
      <c r="I26" s="64">
        <f t="shared" si="16"/>
        <v>63162.536237325796</v>
      </c>
      <c r="J26" s="64">
        <f t="shared" si="16"/>
        <v>32591.865068757175</v>
      </c>
      <c r="K26" s="64">
        <f t="shared" si="16"/>
        <v>5588.5227821225835</v>
      </c>
      <c r="L26" s="64">
        <f t="shared" si="16"/>
        <v>5353.0234758072675</v>
      </c>
      <c r="M26" s="64">
        <f t="shared" si="16"/>
        <v>2300.7667360850901</v>
      </c>
      <c r="U26" s="26" t="s">
        <v>106</v>
      </c>
      <c r="V26" s="64">
        <f>V25/(1+$B5)^V14</f>
        <v>-1916212.5182388241</v>
      </c>
      <c r="W26" s="64">
        <f t="shared" ref="W26:AE26" si="17">W25/(1+$B5)^W14</f>
        <v>1414001.2163728555</v>
      </c>
      <c r="X26" s="64">
        <f t="shared" si="17"/>
        <v>69495.498621996157</v>
      </c>
      <c r="Y26" s="64">
        <f t="shared" si="17"/>
        <v>226690.64702028123</v>
      </c>
      <c r="Z26" s="64">
        <f t="shared" si="17"/>
        <v>-5679.4721262363673</v>
      </c>
      <c r="AA26" s="64">
        <f t="shared" si="17"/>
        <v>103051.79311690354</v>
      </c>
      <c r="AB26" s="64">
        <f t="shared" si="17"/>
        <v>104630.7964554543</v>
      </c>
      <c r="AC26" s="64">
        <f t="shared" si="17"/>
        <v>2176.3751379546079</v>
      </c>
      <c r="AD26" s="64">
        <f t="shared" si="17"/>
        <v>1194.9328718613294</v>
      </c>
      <c r="AE26" s="64">
        <f t="shared" si="17"/>
        <v>650.73076775499567</v>
      </c>
    </row>
    <row r="27" spans="1:33" x14ac:dyDescent="0.3">
      <c r="C27" s="26" t="s">
        <v>107</v>
      </c>
      <c r="D27" s="80">
        <f>SUM(D26:M26)</f>
        <v>-1.4115357771515846E-9</v>
      </c>
      <c r="E27" s="64"/>
      <c r="F27" s="64"/>
      <c r="G27" s="64"/>
      <c r="H27" s="64"/>
      <c r="I27" s="64"/>
      <c r="U27" s="26" t="s">
        <v>107</v>
      </c>
      <c r="V27" s="80">
        <f>SUM(V26:AE26)</f>
        <v>1.1730207916116342E-9</v>
      </c>
      <c r="W27" s="64"/>
      <c r="X27" s="64"/>
      <c r="Y27" s="64"/>
      <c r="Z27" s="64"/>
      <c r="AA27" s="64"/>
    </row>
    <row r="28" spans="1:33" x14ac:dyDescent="0.3">
      <c r="D28" s="64"/>
      <c r="E28" s="64"/>
      <c r="F28" s="64"/>
      <c r="G28" s="64"/>
      <c r="H28" s="64"/>
      <c r="I28" s="64"/>
      <c r="V28" s="64"/>
      <c r="W28" s="64"/>
      <c r="X28" s="64"/>
      <c r="Y28" s="64"/>
      <c r="Z28" s="64"/>
      <c r="AA28" s="64"/>
    </row>
    <row r="29" spans="1:33" x14ac:dyDescent="0.3">
      <c r="D29" s="64"/>
      <c r="E29" s="64"/>
      <c r="F29" s="64"/>
      <c r="G29" s="64"/>
      <c r="H29" s="64"/>
      <c r="I29" s="64"/>
      <c r="V29" s="64"/>
      <c r="W29" s="64"/>
      <c r="X29" s="64"/>
      <c r="Y29" s="64"/>
      <c r="Z29" s="64"/>
      <c r="AA29" s="64"/>
    </row>
    <row r="30" spans="1:33" ht="27" x14ac:dyDescent="0.3">
      <c r="A30" s="81" t="s">
        <v>108</v>
      </c>
      <c r="C30" s="26" t="s">
        <v>109</v>
      </c>
      <c r="D30" s="64">
        <f>Patterns!T125</f>
        <v>3449632.4476081394</v>
      </c>
      <c r="E30" s="64">
        <f>Patterns!U125</f>
        <v>2651819.1250468125</v>
      </c>
      <c r="F30" s="64">
        <f>Patterns!V125</f>
        <v>2277880.9062483367</v>
      </c>
      <c r="G30" s="64">
        <f>Patterns!W125</f>
        <v>1212291.2976401113</v>
      </c>
      <c r="H30" s="64">
        <f>Patterns!X125</f>
        <v>834361.13473477634</v>
      </c>
      <c r="I30" s="64">
        <f>Patterns!Y125</f>
        <v>395527.97258941131</v>
      </c>
      <c r="J30" s="64">
        <f>Patterns!Z125</f>
        <v>126317.66684137844</v>
      </c>
      <c r="K30" s="64">
        <f>Patterns!AA125</f>
        <v>83681.277177549433</v>
      </c>
      <c r="L30" s="64">
        <f>Patterns!AB125</f>
        <v>28610.91863058228</v>
      </c>
      <c r="M30" s="64">
        <f>Patterns!AC125</f>
        <v>0</v>
      </c>
      <c r="N30" s="64"/>
      <c r="O30" s="64"/>
      <c r="S30" s="81" t="s">
        <v>108</v>
      </c>
      <c r="U30" s="26" t="s">
        <v>109</v>
      </c>
      <c r="V30" s="64">
        <f>Patterns!AL125</f>
        <v>2562707.4081062977</v>
      </c>
      <c r="W30" s="64">
        <f>Patterns!AM125</f>
        <v>2562706.8956806008</v>
      </c>
      <c r="X30" s="64">
        <f>Patterns!AN125</f>
        <v>2562706.5837245123</v>
      </c>
      <c r="Y30" s="64">
        <f>Patterns!AO125</f>
        <v>1338734.6501203782</v>
      </c>
      <c r="Z30" s="64">
        <f>Patterns!AP125</f>
        <v>1626995.7726505799</v>
      </c>
      <c r="AA30" s="64">
        <f>Patterns!AQ125</f>
        <v>958852.14766226546</v>
      </c>
      <c r="AB30" s="64">
        <f>Patterns!AR125</f>
        <v>38630.445202119648</v>
      </c>
      <c r="AC30" s="64">
        <f>Patterns!AS125</f>
        <v>20125.066654184368</v>
      </c>
      <c r="AD30" s="64">
        <f>Patterns!AT125</f>
        <v>8092.0871962597594</v>
      </c>
      <c r="AE30" s="64">
        <f>Patterns!AU125</f>
        <v>0</v>
      </c>
      <c r="AF30" s="64"/>
      <c r="AG30" s="64"/>
    </row>
    <row r="31" spans="1:33" x14ac:dyDescent="0.3">
      <c r="C31" t="s">
        <v>93</v>
      </c>
      <c r="D31" s="64">
        <f>D8</f>
        <v>2069779.535456772</v>
      </c>
      <c r="E31" s="64">
        <f>0</f>
        <v>0</v>
      </c>
      <c r="F31" s="64">
        <f>0</f>
        <v>0</v>
      </c>
      <c r="G31" s="64">
        <f>0</f>
        <v>0</v>
      </c>
      <c r="H31" s="64">
        <f>0</f>
        <v>0</v>
      </c>
      <c r="I31" s="64">
        <f>0</f>
        <v>0</v>
      </c>
      <c r="J31" s="64">
        <f>0</f>
        <v>0</v>
      </c>
      <c r="K31" s="64">
        <f>0</f>
        <v>0</v>
      </c>
      <c r="L31" s="64">
        <f>0</f>
        <v>0</v>
      </c>
      <c r="M31" s="64">
        <f>0</f>
        <v>0</v>
      </c>
      <c r="U31" t="s">
        <v>93</v>
      </c>
      <c r="V31" s="64">
        <f>V8</f>
        <v>1537624.5117556669</v>
      </c>
      <c r="W31" s="64">
        <f>0</f>
        <v>0</v>
      </c>
      <c r="X31" s="64">
        <f>0</f>
        <v>0</v>
      </c>
      <c r="Y31" s="64">
        <f>0</f>
        <v>0</v>
      </c>
      <c r="Z31" s="64">
        <f>0</f>
        <v>0</v>
      </c>
      <c r="AA31" s="64">
        <f>0</f>
        <v>0</v>
      </c>
      <c r="AB31" s="64">
        <f>0</f>
        <v>0</v>
      </c>
      <c r="AC31" s="64">
        <f>0</f>
        <v>0</v>
      </c>
      <c r="AD31" s="64">
        <f>0</f>
        <v>0</v>
      </c>
      <c r="AE31" s="64">
        <f>0</f>
        <v>0</v>
      </c>
    </row>
    <row r="32" spans="1:33" x14ac:dyDescent="0.3">
      <c r="D32" s="64">
        <f>$B9*D30</f>
        <v>689926.4895216279</v>
      </c>
      <c r="E32" s="64">
        <f t="shared" ref="E32:M32" si="18">$B9*E30</f>
        <v>530363.82500936254</v>
      </c>
      <c r="F32" s="64">
        <f t="shared" si="18"/>
        <v>455576.18124966737</v>
      </c>
      <c r="G32" s="64">
        <f t="shared" si="18"/>
        <v>242458.25952802226</v>
      </c>
      <c r="H32" s="64">
        <f t="shared" si="18"/>
        <v>166872.22694695528</v>
      </c>
      <c r="I32" s="64">
        <f t="shared" si="18"/>
        <v>79105.594517882273</v>
      </c>
      <c r="J32" s="64">
        <f t="shared" si="18"/>
        <v>25263.53336827569</v>
      </c>
      <c r="K32" s="64">
        <f t="shared" si="18"/>
        <v>16736.255435509887</v>
      </c>
      <c r="L32" s="64">
        <f t="shared" si="18"/>
        <v>5722.1837261164565</v>
      </c>
      <c r="M32" s="64">
        <f t="shared" si="18"/>
        <v>0</v>
      </c>
      <c r="V32" s="64">
        <f>$B9*V30</f>
        <v>512541.48162125959</v>
      </c>
      <c r="W32" s="64">
        <f t="shared" ref="W32:AE32" si="19">$B9*W30</f>
        <v>512541.3791361202</v>
      </c>
      <c r="X32" s="64">
        <f t="shared" si="19"/>
        <v>512541.31674490246</v>
      </c>
      <c r="Y32" s="64">
        <f t="shared" si="19"/>
        <v>267746.93002407567</v>
      </c>
      <c r="Z32" s="64">
        <f t="shared" si="19"/>
        <v>325399.15453011601</v>
      </c>
      <c r="AA32" s="64">
        <f t="shared" si="19"/>
        <v>191770.4295324531</v>
      </c>
      <c r="AB32" s="64">
        <f t="shared" si="19"/>
        <v>7726.0890404239299</v>
      </c>
      <c r="AC32" s="64">
        <f t="shared" si="19"/>
        <v>4025.0133308368736</v>
      </c>
      <c r="AD32" s="64">
        <f t="shared" si="19"/>
        <v>1618.4174392519519</v>
      </c>
      <c r="AE32" s="64">
        <f t="shared" si="19"/>
        <v>0</v>
      </c>
    </row>
    <row r="37" spans="4:4" x14ac:dyDescent="0.3">
      <c r="D37" s="82">
        <f>D15/Exposure!E18</f>
        <v>29.915109965092945</v>
      </c>
    </row>
  </sheetData>
  <mergeCells count="2">
    <mergeCell ref="A3:E3"/>
    <mergeCell ref="S3:W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1326A-68ED-4476-B8B1-C01AD06B04BF}">
  <dimension ref="A1:AV132"/>
  <sheetViews>
    <sheetView topLeftCell="N1" workbookViewId="0">
      <selection activeCell="T15" sqref="T15"/>
    </sheetView>
  </sheetViews>
  <sheetFormatPr baseColWidth="10" defaultRowHeight="14.4" x14ac:dyDescent="0.3"/>
  <cols>
    <col min="3" max="3" width="16.77734375" bestFit="1" customWidth="1"/>
    <col min="19" max="19" width="17.77734375" bestFit="1" customWidth="1"/>
    <col min="20" max="20" width="11.77734375" bestFit="1" customWidth="1"/>
  </cols>
  <sheetData>
    <row r="1" spans="1:48" ht="15" thickBot="1" x14ac:dyDescent="0.35">
      <c r="A1" s="34" t="s">
        <v>121</v>
      </c>
    </row>
    <row r="2" spans="1:48" ht="15" thickBot="1" x14ac:dyDescent="0.35">
      <c r="P2" s="73" t="s">
        <v>79</v>
      </c>
      <c r="Q2" s="74">
        <v>6000000</v>
      </c>
      <c r="R2" s="74" t="s">
        <v>80</v>
      </c>
      <c r="S2" s="75">
        <v>4000000</v>
      </c>
      <c r="AH2" s="73" t="s">
        <v>79</v>
      </c>
      <c r="AI2" s="74">
        <v>20000000</v>
      </c>
      <c r="AJ2" s="74" t="s">
        <v>80</v>
      </c>
      <c r="AK2" s="75">
        <v>10000000</v>
      </c>
    </row>
    <row r="3" spans="1:48" x14ac:dyDescent="0.3">
      <c r="A3" s="87" t="s">
        <v>88</v>
      </c>
      <c r="B3" s="87"/>
      <c r="Q3" s="87" t="s">
        <v>81</v>
      </c>
      <c r="R3" s="87"/>
      <c r="AI3" s="87" t="s">
        <v>81</v>
      </c>
      <c r="AJ3" s="87"/>
    </row>
    <row r="4" spans="1:48" x14ac:dyDescent="0.3">
      <c r="C4" s="33" t="s">
        <v>0</v>
      </c>
      <c r="D4" s="33">
        <v>1</v>
      </c>
      <c r="E4" s="33">
        <v>2</v>
      </c>
      <c r="F4" s="33">
        <v>3</v>
      </c>
      <c r="G4" s="33">
        <v>4</v>
      </c>
      <c r="H4" s="33">
        <v>5</v>
      </c>
      <c r="I4" s="33">
        <v>6</v>
      </c>
      <c r="J4" s="33">
        <v>7</v>
      </c>
      <c r="K4" s="33">
        <v>8</v>
      </c>
      <c r="L4" s="33">
        <v>9</v>
      </c>
      <c r="M4" s="33">
        <v>10</v>
      </c>
      <c r="N4" s="33" t="s">
        <v>77</v>
      </c>
      <c r="P4" t="s">
        <v>123</v>
      </c>
      <c r="Q4" t="s">
        <v>117</v>
      </c>
      <c r="R4" t="s">
        <v>118</v>
      </c>
      <c r="S4" s="33" t="s">
        <v>0</v>
      </c>
      <c r="T4" s="33">
        <v>1</v>
      </c>
      <c r="U4" s="33">
        <v>2</v>
      </c>
      <c r="V4" s="33">
        <v>3</v>
      </c>
      <c r="W4" s="33">
        <v>4</v>
      </c>
      <c r="X4" s="33">
        <v>5</v>
      </c>
      <c r="Y4" s="33">
        <v>6</v>
      </c>
      <c r="Z4" s="33">
        <v>7</v>
      </c>
      <c r="AA4" s="33">
        <v>8</v>
      </c>
      <c r="AB4" s="33">
        <v>9</v>
      </c>
      <c r="AC4" s="33">
        <v>10</v>
      </c>
      <c r="AD4" s="33" t="s">
        <v>77</v>
      </c>
      <c r="AH4" t="s">
        <v>123</v>
      </c>
      <c r="AI4" t="s">
        <v>119</v>
      </c>
      <c r="AJ4" t="s">
        <v>120</v>
      </c>
      <c r="AK4" s="33" t="s">
        <v>0</v>
      </c>
      <c r="AL4" s="33">
        <v>1</v>
      </c>
      <c r="AM4" s="33">
        <v>2</v>
      </c>
      <c r="AN4" s="33">
        <v>3</v>
      </c>
      <c r="AO4" s="33">
        <v>4</v>
      </c>
      <c r="AP4" s="33">
        <v>5</v>
      </c>
      <c r="AQ4" s="33">
        <v>6</v>
      </c>
      <c r="AR4" s="33">
        <v>7</v>
      </c>
      <c r="AS4" s="33">
        <v>8</v>
      </c>
      <c r="AT4" s="33">
        <v>9</v>
      </c>
      <c r="AU4" s="33">
        <v>10</v>
      </c>
      <c r="AV4" s="33" t="s">
        <v>77</v>
      </c>
    </row>
    <row r="5" spans="1:48" x14ac:dyDescent="0.3">
      <c r="C5">
        <f>Incurred_loss!R3</f>
        <v>2016</v>
      </c>
      <c r="D5" s="45">
        <f>Incurred_loss!S3</f>
        <v>575612.45245820121</v>
      </c>
      <c r="E5" s="45">
        <f>Incurred_loss!T3</f>
        <v>909527.19792625098</v>
      </c>
      <c r="F5" s="45">
        <f>Incurred_loss!U3</f>
        <v>792049.35859412956</v>
      </c>
      <c r="G5" s="45">
        <f>Incurred_loss!V3</f>
        <v>680114.93916138797</v>
      </c>
      <c r="H5" s="45">
        <f>Incurred_loss!W3</f>
        <v>744670.99476873328</v>
      </c>
      <c r="I5" s="45">
        <f>Incurred_loss!X3</f>
        <v>738023.9278007308</v>
      </c>
      <c r="J5" s="45">
        <f>Incurred_loss!Y3</f>
        <v>740557.79685499531</v>
      </c>
      <c r="K5" s="45">
        <f>Incurred_loss!Z3</f>
        <v>739811.65350409481</v>
      </c>
      <c r="L5" s="45">
        <f>Incurred_loss!AA3</f>
        <v>740883.45601281826</v>
      </c>
      <c r="M5" s="45">
        <f>Incurred_loss!AB3</f>
        <v>740866.17861120636</v>
      </c>
      <c r="N5" s="48">
        <f>XL_Pure_Premium!$O5</f>
        <v>740866.17861120636</v>
      </c>
      <c r="P5">
        <f>Stability_Clause!A4</f>
        <v>2016</v>
      </c>
      <c r="Q5" s="45">
        <f>Stability_Clause!D4</f>
        <v>4000000</v>
      </c>
      <c r="R5" s="45">
        <f>Stability_Clause!E4</f>
        <v>6000000</v>
      </c>
      <c r="S5">
        <f>$C5</f>
        <v>2016</v>
      </c>
      <c r="T5" s="45">
        <f>MIN(MAX(D5-VLOOKUP($S5+T$4-1,$P$5:$R$25,2,FALSE),0),VLOOKUP($S5+T$4-1,$P$5:$R$25,3,FALSE))</f>
        <v>0</v>
      </c>
      <c r="U5" s="45">
        <f t="shared" ref="U5:AC5" si="0">MIN(MAX(E5-VLOOKUP($S5+U$4-1,$P$5:$R$25,2,FALSE),0),VLOOKUP($S5+U$4-1,$P$5:$R$25,3,FALSE))</f>
        <v>0</v>
      </c>
      <c r="V5" s="45">
        <f t="shared" si="0"/>
        <v>0</v>
      </c>
      <c r="W5" s="45">
        <f t="shared" si="0"/>
        <v>0</v>
      </c>
      <c r="X5" s="45">
        <f t="shared" si="0"/>
        <v>0</v>
      </c>
      <c r="Y5" s="45">
        <f t="shared" si="0"/>
        <v>0</v>
      </c>
      <c r="Z5" s="45">
        <f t="shared" si="0"/>
        <v>0</v>
      </c>
      <c r="AA5" s="45">
        <f t="shared" si="0"/>
        <v>0</v>
      </c>
      <c r="AB5" s="45">
        <f t="shared" si="0"/>
        <v>0</v>
      </c>
      <c r="AC5" s="45">
        <f t="shared" si="0"/>
        <v>0</v>
      </c>
      <c r="AD5" s="45">
        <f>MIN(MAX(N5-$Q$16,0),$R$16)</f>
        <v>0</v>
      </c>
      <c r="AH5">
        <f>Stability_Clause!$A4</f>
        <v>2016</v>
      </c>
      <c r="AI5" s="45">
        <f>Stability_Clause!F4</f>
        <v>10000000</v>
      </c>
      <c r="AJ5" s="45">
        <f>Stability_Clause!G4</f>
        <v>20000000</v>
      </c>
      <c r="AK5">
        <f>$C5</f>
        <v>2016</v>
      </c>
      <c r="AL5" s="45">
        <f>MIN(MAX(D5-VLOOKUP($AK5+AL$4-1,$AH$5:$AJ$25,2,FALSE),0),VLOOKUP($AK5+AL$4-1,$AH$5:$AJ$25,3,FALSE))</f>
        <v>0</v>
      </c>
      <c r="AM5" s="45">
        <f t="shared" ref="AM5:AU5" si="1">MIN(MAX(E5-VLOOKUP($AK5+AM$4-1,$AH$5:$AJ$25,2,FALSE),0),VLOOKUP($AK5+AM$4-1,$AH$5:$AJ$25,3,FALSE))</f>
        <v>0</v>
      </c>
      <c r="AN5" s="45">
        <f t="shared" si="1"/>
        <v>0</v>
      </c>
      <c r="AO5" s="45">
        <f t="shared" si="1"/>
        <v>0</v>
      </c>
      <c r="AP5" s="45">
        <f t="shared" si="1"/>
        <v>0</v>
      </c>
      <c r="AQ5" s="45">
        <f t="shared" si="1"/>
        <v>0</v>
      </c>
      <c r="AR5" s="45">
        <f t="shared" si="1"/>
        <v>0</v>
      </c>
      <c r="AS5" s="45">
        <f t="shared" si="1"/>
        <v>0</v>
      </c>
      <c r="AT5" s="45">
        <f t="shared" si="1"/>
        <v>0</v>
      </c>
      <c r="AU5" s="45">
        <f t="shared" si="1"/>
        <v>0</v>
      </c>
      <c r="AV5" s="45">
        <f>MIN(MAX($N5-$AI$16,0),$AJ$16)</f>
        <v>0</v>
      </c>
    </row>
    <row r="6" spans="1:48" x14ac:dyDescent="0.3">
      <c r="C6">
        <f>Incurred_loss!R4</f>
        <v>2016</v>
      </c>
      <c r="D6" s="45">
        <f>Incurred_loss!S4</f>
        <v>2732564.0716827968</v>
      </c>
      <c r="E6" s="45">
        <f>Incurred_loss!T4</f>
        <v>1755857.9553949754</v>
      </c>
      <c r="F6" s="45">
        <f>Incurred_loss!U4</f>
        <v>1933134.6540046399</v>
      </c>
      <c r="G6" s="45">
        <f>Incurred_loss!V4</f>
        <v>1781947.9339920229</v>
      </c>
      <c r="H6" s="45">
        <f>Incurred_loss!W4</f>
        <v>1726123.2594930788</v>
      </c>
      <c r="I6" s="45">
        <f>Incurred_loss!X4</f>
        <v>1726127.7132014607</v>
      </c>
      <c r="J6" s="45">
        <f>Incurred_loss!Y4</f>
        <v>1715957.2839587843</v>
      </c>
      <c r="K6" s="45">
        <f>Incurred_loss!Z4</f>
        <v>1716642.9282936915</v>
      </c>
      <c r="L6" s="45">
        <f>Incurred_loss!AA4</f>
        <v>1716659.9852237371</v>
      </c>
      <c r="M6" s="45">
        <f>Incurred_loss!AB4</f>
        <v>1716662.6172493265</v>
      </c>
      <c r="N6" s="48">
        <f>XL_Pure_Premium!$O6</f>
        <v>1716662.6172493265</v>
      </c>
      <c r="P6">
        <f>Stability_Clause!A5</f>
        <v>2017</v>
      </c>
      <c r="Q6" s="45">
        <f>Stability_Clause!D5</f>
        <v>4085114.3611460454</v>
      </c>
      <c r="R6" s="45">
        <f>Stability_Clause!E5</f>
        <v>6127671.5417190678</v>
      </c>
      <c r="S6">
        <f t="shared" ref="S6:S69" si="2">$C6</f>
        <v>2016</v>
      </c>
      <c r="T6" s="45">
        <f t="shared" ref="T6:T19" si="3">MIN(MAX(D6-VLOOKUP($S6+T$4-1,$P$5:$R$25,2,FALSE),0),VLOOKUP($S6+T$4-1,$P$5:$R$25,3,FALSE))</f>
        <v>0</v>
      </c>
      <c r="U6" s="45">
        <f t="shared" ref="U6:U19" si="4">MIN(MAX(E6-VLOOKUP($S6+U$4-1,$P$5:$R$25,2,FALSE),0),VLOOKUP($S6+U$4-1,$P$5:$R$25,3,FALSE))</f>
        <v>0</v>
      </c>
      <c r="V6" s="45">
        <f t="shared" ref="V6:V19" si="5">MIN(MAX(F6-VLOOKUP($S6+V$4-1,$P$5:$R$25,2,FALSE),0),VLOOKUP($S6+V$4-1,$P$5:$R$25,3,FALSE))</f>
        <v>0</v>
      </c>
      <c r="W6" s="45">
        <f t="shared" ref="W6:W19" si="6">MIN(MAX(G6-VLOOKUP($S6+W$4-1,$P$5:$R$25,2,FALSE),0),VLOOKUP($S6+W$4-1,$P$5:$R$25,3,FALSE))</f>
        <v>0</v>
      </c>
      <c r="X6" s="45">
        <f t="shared" ref="X6:X19" si="7">MIN(MAX(H6-VLOOKUP($S6+X$4-1,$P$5:$R$25,2,FALSE),0),VLOOKUP($S6+X$4-1,$P$5:$R$25,3,FALSE))</f>
        <v>0</v>
      </c>
      <c r="Y6" s="45">
        <f t="shared" ref="Y6:Y19" si="8">MIN(MAX(I6-VLOOKUP($S6+Y$4-1,$P$5:$R$25,2,FALSE),0),VLOOKUP($S6+Y$4-1,$P$5:$R$25,3,FALSE))</f>
        <v>0</v>
      </c>
      <c r="Z6" s="45">
        <f t="shared" ref="Z6:Z19" si="9">MIN(MAX(J6-VLOOKUP($S6+Z$4-1,$P$5:$R$25,2,FALSE),0),VLOOKUP($S6+Z$4-1,$P$5:$R$25,3,FALSE))</f>
        <v>0</v>
      </c>
      <c r="AA6" s="45">
        <f t="shared" ref="AA6:AA19" si="10">MIN(MAX(K6-VLOOKUP($S6+AA$4-1,$P$5:$R$25,2,FALSE),0),VLOOKUP($S6+AA$4-1,$P$5:$R$25,3,FALSE))</f>
        <v>0</v>
      </c>
      <c r="AB6" s="45">
        <f t="shared" ref="AB6:AB19" si="11">MIN(MAX(L6-VLOOKUP($S6+AB$4-1,$P$5:$R$25,2,FALSE),0),VLOOKUP($S6+AB$4-1,$P$5:$R$25,3,FALSE))</f>
        <v>0</v>
      </c>
      <c r="AC6" s="45">
        <f t="shared" ref="AC6:AC19" si="12">MIN(MAX(M6-VLOOKUP($S6+AC$4-1,$P$5:$R$25,2,FALSE),0),VLOOKUP($S6+AC$4-1,$P$5:$R$25,3,FALSE))</f>
        <v>0</v>
      </c>
      <c r="AD6" s="45">
        <f t="shared" ref="AD6:AD69" si="13">MIN(MAX(N6-$Q$16,0),$R$16)</f>
        <v>0</v>
      </c>
      <c r="AH6">
        <f>Stability_Clause!$A5</f>
        <v>2017</v>
      </c>
      <c r="AI6" s="45">
        <f>Stability_Clause!F5</f>
        <v>10212785.902865114</v>
      </c>
      <c r="AJ6" s="45">
        <f>Stability_Clause!G5</f>
        <v>20425571.805730227</v>
      </c>
      <c r="AK6">
        <f t="shared" ref="AK6:AK69" si="14">$C6</f>
        <v>2016</v>
      </c>
      <c r="AL6" s="45">
        <f t="shared" ref="AL6:AL18" si="15">MIN(MAX(D6-VLOOKUP($AK6+AL$4-1,$AH$5:$AJ$25,2,FALSE),0),VLOOKUP($AK6+AL$4-1,$AH$5:$AJ$25,3,FALSE))</f>
        <v>0</v>
      </c>
      <c r="AM6" s="45">
        <f t="shared" ref="AM6:AM19" si="16">MIN(MAX(E6-VLOOKUP($AK6+AM$4-1,$AH$5:$AJ$25,2,FALSE),0),VLOOKUP($AK6+AM$4-1,$AH$5:$AJ$25,3,FALSE))</f>
        <v>0</v>
      </c>
      <c r="AN6" s="45">
        <f t="shared" ref="AN6:AN19" si="17">MIN(MAX(F6-VLOOKUP($AK6+AN$4-1,$AH$5:$AJ$25,2,FALSE),0),VLOOKUP($AK6+AN$4-1,$AH$5:$AJ$25,3,FALSE))</f>
        <v>0</v>
      </c>
      <c r="AO6" s="45">
        <f t="shared" ref="AO6:AO19" si="18">MIN(MAX(G6-VLOOKUP($AK6+AO$4-1,$AH$5:$AJ$25,2,FALSE),0),VLOOKUP($AK6+AO$4-1,$AH$5:$AJ$25,3,FALSE))</f>
        <v>0</v>
      </c>
      <c r="AP6" s="45">
        <f t="shared" ref="AP6:AP19" si="19">MIN(MAX(H6-VLOOKUP($AK6+AP$4-1,$AH$5:$AJ$25,2,FALSE),0),VLOOKUP($AK6+AP$4-1,$AH$5:$AJ$25,3,FALSE))</f>
        <v>0</v>
      </c>
      <c r="AQ6" s="45">
        <f t="shared" ref="AQ6:AQ19" si="20">MIN(MAX(I6-VLOOKUP($AK6+AQ$4-1,$AH$5:$AJ$25,2,FALSE),0),VLOOKUP($AK6+AQ$4-1,$AH$5:$AJ$25,3,FALSE))</f>
        <v>0</v>
      </c>
      <c r="AR6" s="45">
        <f t="shared" ref="AR6:AR19" si="21">MIN(MAX(J6-VLOOKUP($AK6+AR$4-1,$AH$5:$AJ$25,2,FALSE),0),VLOOKUP($AK6+AR$4-1,$AH$5:$AJ$25,3,FALSE))</f>
        <v>0</v>
      </c>
      <c r="AS6" s="45">
        <f t="shared" ref="AS6:AS19" si="22">MIN(MAX(K6-VLOOKUP($AK6+AS$4-1,$AH$5:$AJ$25,2,FALSE),0),VLOOKUP($AK6+AS$4-1,$AH$5:$AJ$25,3,FALSE))</f>
        <v>0</v>
      </c>
      <c r="AT6" s="45">
        <f t="shared" ref="AT6:AT19" si="23">MIN(MAX(L6-VLOOKUP($AK6+AT$4-1,$AH$5:$AJ$25,2,FALSE),0),VLOOKUP($AK6+AT$4-1,$AH$5:$AJ$25,3,FALSE))</f>
        <v>0</v>
      </c>
      <c r="AU6" s="45">
        <f t="shared" ref="AU6:AU19" si="24">MIN(MAX(M6-VLOOKUP($AK6+AU$4-1,$AH$5:$AJ$25,2,FALSE),0),VLOOKUP($AK6+AU$4-1,$AH$5:$AJ$25,3,FALSE))</f>
        <v>0</v>
      </c>
      <c r="AV6" s="45">
        <f t="shared" ref="AV6:AV69" si="25">MIN(MAX($N6-$AI$16,0),$AJ$16)</f>
        <v>0</v>
      </c>
    </row>
    <row r="7" spans="1:48" x14ac:dyDescent="0.3">
      <c r="C7">
        <f>Incurred_loss!R5</f>
        <v>2016</v>
      </c>
      <c r="D7" s="45">
        <f>Incurred_loss!S5</f>
        <v>1001687.7316956777</v>
      </c>
      <c r="E7" s="45">
        <f>Incurred_loss!T5</f>
        <v>1002392.9460373395</v>
      </c>
      <c r="F7" s="45">
        <f>Incurred_loss!U5</f>
        <v>1197725.5357108151</v>
      </c>
      <c r="G7" s="45">
        <f>Incurred_loss!V5</f>
        <v>920481.50168592343</v>
      </c>
      <c r="H7" s="45">
        <f>Incurred_loss!W5</f>
        <v>930458.39518995013</v>
      </c>
      <c r="I7" s="45">
        <f>Incurred_loss!X5</f>
        <v>925397.10859290662</v>
      </c>
      <c r="J7" s="45">
        <f>Incurred_loss!Y5</f>
        <v>921436.31766134594</v>
      </c>
      <c r="K7" s="45">
        <f>Incurred_loss!Z5</f>
        <v>920711.48728036415</v>
      </c>
      <c r="L7" s="45">
        <f>Incurred_loss!AA5</f>
        <v>920180.29073840147</v>
      </c>
      <c r="M7" s="45">
        <f>Incurred_loss!AB5</f>
        <v>919761.49629254802</v>
      </c>
      <c r="N7" s="48">
        <f>XL_Pure_Premium!$O7</f>
        <v>919761.49629254802</v>
      </c>
      <c r="P7">
        <f>Stability_Clause!A6</f>
        <v>2018</v>
      </c>
      <c r="Q7" s="45">
        <f>Stability_Clause!D6</f>
        <v>4168942.0394347357</v>
      </c>
      <c r="R7" s="45">
        <f>Stability_Clause!E6</f>
        <v>6253413.059152104</v>
      </c>
      <c r="S7">
        <f t="shared" si="2"/>
        <v>2016</v>
      </c>
      <c r="T7" s="45">
        <f t="shared" si="3"/>
        <v>0</v>
      </c>
      <c r="U7" s="45">
        <f t="shared" si="4"/>
        <v>0</v>
      </c>
      <c r="V7" s="45">
        <f t="shared" si="5"/>
        <v>0</v>
      </c>
      <c r="W7" s="45">
        <f t="shared" si="6"/>
        <v>0</v>
      </c>
      <c r="X7" s="45">
        <f t="shared" si="7"/>
        <v>0</v>
      </c>
      <c r="Y7" s="45">
        <f t="shared" si="8"/>
        <v>0</v>
      </c>
      <c r="Z7" s="45">
        <f t="shared" si="9"/>
        <v>0</v>
      </c>
      <c r="AA7" s="45">
        <f t="shared" si="10"/>
        <v>0</v>
      </c>
      <c r="AB7" s="45">
        <f t="shared" si="11"/>
        <v>0</v>
      </c>
      <c r="AC7" s="45">
        <f t="shared" si="12"/>
        <v>0</v>
      </c>
      <c r="AD7" s="45">
        <f t="shared" si="13"/>
        <v>0</v>
      </c>
      <c r="AH7">
        <f>Stability_Clause!$A6</f>
        <v>2018</v>
      </c>
      <c r="AI7" s="45">
        <f>Stability_Clause!F6</f>
        <v>10422355.098586839</v>
      </c>
      <c r="AJ7" s="45">
        <f>Stability_Clause!G6</f>
        <v>20844710.197173677</v>
      </c>
      <c r="AK7">
        <f t="shared" si="14"/>
        <v>2016</v>
      </c>
      <c r="AL7" s="45">
        <f t="shared" si="15"/>
        <v>0</v>
      </c>
      <c r="AM7" s="45">
        <f t="shared" si="16"/>
        <v>0</v>
      </c>
      <c r="AN7" s="45">
        <f t="shared" si="17"/>
        <v>0</v>
      </c>
      <c r="AO7" s="45">
        <f t="shared" si="18"/>
        <v>0</v>
      </c>
      <c r="AP7" s="45">
        <f t="shared" si="19"/>
        <v>0</v>
      </c>
      <c r="AQ7" s="45">
        <f t="shared" si="20"/>
        <v>0</v>
      </c>
      <c r="AR7" s="45">
        <f t="shared" si="21"/>
        <v>0</v>
      </c>
      <c r="AS7" s="45">
        <f t="shared" si="22"/>
        <v>0</v>
      </c>
      <c r="AT7" s="45">
        <f t="shared" si="23"/>
        <v>0</v>
      </c>
      <c r="AU7" s="45">
        <f t="shared" si="24"/>
        <v>0</v>
      </c>
      <c r="AV7" s="45">
        <f t="shared" si="25"/>
        <v>0</v>
      </c>
    </row>
    <row r="8" spans="1:48" x14ac:dyDescent="0.3">
      <c r="C8">
        <f>Incurred_loss!R6</f>
        <v>2016</v>
      </c>
      <c r="D8" s="45">
        <f>Incurred_loss!S6</f>
        <v>7133780.3936626986</v>
      </c>
      <c r="E8" s="45">
        <f>Incurred_loss!T6</f>
        <v>3914790.1380545581</v>
      </c>
      <c r="F8" s="45">
        <f>Incurred_loss!U6</f>
        <v>4478903.7726103561</v>
      </c>
      <c r="G8" s="45">
        <f>Incurred_loss!V6</f>
        <v>4115186.3248875588</v>
      </c>
      <c r="H8" s="45">
        <f>Incurred_loss!W6</f>
        <v>4295282.1989243627</v>
      </c>
      <c r="I8" s="45">
        <f>Incurred_loss!X6</f>
        <v>4288048.5627826527</v>
      </c>
      <c r="J8" s="45">
        <f>Incurred_loss!Y6</f>
        <v>4278261.5407704022</v>
      </c>
      <c r="K8" s="45">
        <f>Incurred_loss!Z6</f>
        <v>4280181.7792258859</v>
      </c>
      <c r="L8" s="45">
        <f>Incurred_loss!AA6</f>
        <v>4259218.486492401</v>
      </c>
      <c r="M8" s="45">
        <f>Incurred_loss!AB6</f>
        <v>4256661.0384554788</v>
      </c>
      <c r="N8" s="48">
        <f>XL_Pure_Premium!$O8</f>
        <v>4256661.0384554788</v>
      </c>
      <c r="P8">
        <f>Stability_Clause!A7</f>
        <v>2019</v>
      </c>
      <c r="Q8" s="45">
        <f>Stability_Clause!D7</f>
        <v>4229036.9086017143</v>
      </c>
      <c r="R8" s="45">
        <f>Stability_Clause!E7</f>
        <v>6343555.3629025714</v>
      </c>
      <c r="S8">
        <f t="shared" si="2"/>
        <v>2016</v>
      </c>
      <c r="T8" s="45">
        <f t="shared" si="3"/>
        <v>3133780.3936626986</v>
      </c>
      <c r="U8" s="45">
        <f t="shared" si="4"/>
        <v>0</v>
      </c>
      <c r="V8" s="45">
        <f t="shared" si="5"/>
        <v>309961.73317562044</v>
      </c>
      <c r="W8" s="45">
        <f t="shared" si="6"/>
        <v>0</v>
      </c>
      <c r="X8" s="45">
        <f t="shared" si="7"/>
        <v>34893.04209558107</v>
      </c>
      <c r="Y8" s="45">
        <f t="shared" si="8"/>
        <v>0</v>
      </c>
      <c r="Z8" s="45">
        <f t="shared" si="9"/>
        <v>0</v>
      </c>
      <c r="AA8" s="45">
        <f t="shared" si="10"/>
        <v>0</v>
      </c>
      <c r="AB8" s="45">
        <f t="shared" si="11"/>
        <v>0</v>
      </c>
      <c r="AC8" s="45">
        <f t="shared" si="12"/>
        <v>0</v>
      </c>
      <c r="AD8" s="45">
        <f t="shared" si="13"/>
        <v>0</v>
      </c>
      <c r="AH8">
        <f>Stability_Clause!$A7</f>
        <v>2019</v>
      </c>
      <c r="AI8" s="45">
        <f>Stability_Clause!F7</f>
        <v>10572592.271504287</v>
      </c>
      <c r="AJ8" s="45">
        <f>Stability_Clause!G7</f>
        <v>21145184.543008573</v>
      </c>
      <c r="AK8">
        <f t="shared" si="14"/>
        <v>2016</v>
      </c>
      <c r="AL8" s="45">
        <f t="shared" si="15"/>
        <v>0</v>
      </c>
      <c r="AM8" s="45">
        <f t="shared" si="16"/>
        <v>0</v>
      </c>
      <c r="AN8" s="45">
        <f t="shared" si="17"/>
        <v>0</v>
      </c>
      <c r="AO8" s="45">
        <f t="shared" si="18"/>
        <v>0</v>
      </c>
      <c r="AP8" s="45">
        <f t="shared" si="19"/>
        <v>0</v>
      </c>
      <c r="AQ8" s="45">
        <f t="shared" si="20"/>
        <v>0</v>
      </c>
      <c r="AR8" s="45">
        <f t="shared" si="21"/>
        <v>0</v>
      </c>
      <c r="AS8" s="45">
        <f t="shared" si="22"/>
        <v>0</v>
      </c>
      <c r="AT8" s="45">
        <f t="shared" si="23"/>
        <v>0</v>
      </c>
      <c r="AU8" s="45">
        <f t="shared" si="24"/>
        <v>0</v>
      </c>
      <c r="AV8" s="45">
        <f t="shared" si="25"/>
        <v>0</v>
      </c>
    </row>
    <row r="9" spans="1:48" x14ac:dyDescent="0.3">
      <c r="C9">
        <f>Incurred_loss!R7</f>
        <v>2016</v>
      </c>
      <c r="D9" s="45">
        <f>Incurred_loss!S7</f>
        <v>1265794.7939551733</v>
      </c>
      <c r="E9" s="45">
        <f>Incurred_loss!T7</f>
        <v>1661056.3325684522</v>
      </c>
      <c r="F9" s="45">
        <f>Incurred_loss!U7</f>
        <v>1587254.1412826141</v>
      </c>
      <c r="G9" s="45">
        <f>Incurred_loss!V7</f>
        <v>1546704.5869110278</v>
      </c>
      <c r="H9" s="45">
        <f>Incurred_loss!W7</f>
        <v>1667887.6426642849</v>
      </c>
      <c r="I9" s="45">
        <f>Incurred_loss!X7</f>
        <v>1527445.427156352</v>
      </c>
      <c r="J9" s="45">
        <f>Incurred_loss!Y7</f>
        <v>1526120.8967519759</v>
      </c>
      <c r="K9" s="45">
        <f>Incurred_loss!Z7</f>
        <v>1526713.1253017168</v>
      </c>
      <c r="L9" s="45">
        <f>Incurred_loss!AA7</f>
        <v>1526343.0177105069</v>
      </c>
      <c r="M9" s="45">
        <f>Incurred_loss!AB7</f>
        <v>1526276.5542783281</v>
      </c>
      <c r="N9" s="48">
        <f>XL_Pure_Premium!$O9</f>
        <v>1526276.5542783281</v>
      </c>
      <c r="P9">
        <f>Stability_Clause!A8</f>
        <v>2020</v>
      </c>
      <c r="Q9" s="45">
        <f>Stability_Clause!D8</f>
        <v>4260389.1568287816</v>
      </c>
      <c r="R9" s="45">
        <f>Stability_Clause!E8</f>
        <v>6390583.7352431733</v>
      </c>
      <c r="S9">
        <f t="shared" si="2"/>
        <v>2016</v>
      </c>
      <c r="T9" s="45">
        <f t="shared" si="3"/>
        <v>0</v>
      </c>
      <c r="U9" s="45">
        <f t="shared" si="4"/>
        <v>0</v>
      </c>
      <c r="V9" s="45">
        <f t="shared" si="5"/>
        <v>0</v>
      </c>
      <c r="W9" s="45">
        <f t="shared" si="6"/>
        <v>0</v>
      </c>
      <c r="X9" s="45">
        <f t="shared" si="7"/>
        <v>0</v>
      </c>
      <c r="Y9" s="45">
        <f t="shared" si="8"/>
        <v>0</v>
      </c>
      <c r="Z9" s="45">
        <f t="shared" si="9"/>
        <v>0</v>
      </c>
      <c r="AA9" s="45">
        <f t="shared" si="10"/>
        <v>0</v>
      </c>
      <c r="AB9" s="45">
        <f t="shared" si="11"/>
        <v>0</v>
      </c>
      <c r="AC9" s="45">
        <f t="shared" si="12"/>
        <v>0</v>
      </c>
      <c r="AD9" s="45">
        <f t="shared" si="13"/>
        <v>0</v>
      </c>
      <c r="AH9">
        <f>Stability_Clause!$A8</f>
        <v>2020</v>
      </c>
      <c r="AI9" s="45">
        <f>Stability_Clause!F8</f>
        <v>10650972.892071955</v>
      </c>
      <c r="AJ9" s="45">
        <f>Stability_Clause!G8</f>
        <v>21301945.78414391</v>
      </c>
      <c r="AK9">
        <f t="shared" si="14"/>
        <v>2016</v>
      </c>
      <c r="AL9" s="45">
        <f t="shared" si="15"/>
        <v>0</v>
      </c>
      <c r="AM9" s="45">
        <f t="shared" si="16"/>
        <v>0</v>
      </c>
      <c r="AN9" s="45">
        <f t="shared" si="17"/>
        <v>0</v>
      </c>
      <c r="AO9" s="45">
        <f t="shared" si="18"/>
        <v>0</v>
      </c>
      <c r="AP9" s="45">
        <f t="shared" si="19"/>
        <v>0</v>
      </c>
      <c r="AQ9" s="45">
        <f t="shared" si="20"/>
        <v>0</v>
      </c>
      <c r="AR9" s="45">
        <f t="shared" si="21"/>
        <v>0</v>
      </c>
      <c r="AS9" s="45">
        <f t="shared" si="22"/>
        <v>0</v>
      </c>
      <c r="AT9" s="45">
        <f t="shared" si="23"/>
        <v>0</v>
      </c>
      <c r="AU9" s="45">
        <f t="shared" si="24"/>
        <v>0</v>
      </c>
      <c r="AV9" s="45">
        <f t="shared" si="25"/>
        <v>0</v>
      </c>
    </row>
    <row r="10" spans="1:48" x14ac:dyDescent="0.3">
      <c r="C10">
        <f>Incurred_loss!R8</f>
        <v>2016</v>
      </c>
      <c r="D10" s="45">
        <f>Incurred_loss!S8</f>
        <v>3648623.4149383972</v>
      </c>
      <c r="E10" s="45">
        <f>Incurred_loss!T8</f>
        <v>2423182.3207844812</v>
      </c>
      <c r="F10" s="45">
        <f>Incurred_loss!U8</f>
        <v>2742465.2076609693</v>
      </c>
      <c r="G10" s="45">
        <f>Incurred_loss!V8</f>
        <v>3159232.0998887233</v>
      </c>
      <c r="H10" s="45">
        <f>Incurred_loss!W8</f>
        <v>3024290.8488662844</v>
      </c>
      <c r="I10" s="45">
        <f>Incurred_loss!X8</f>
        <v>3031606.2664243048</v>
      </c>
      <c r="J10" s="45">
        <f>Incurred_loss!Y8</f>
        <v>3031533.4665075741</v>
      </c>
      <c r="K10" s="45">
        <f>Incurred_loss!Z8</f>
        <v>3031532.9207578916</v>
      </c>
      <c r="L10" s="45">
        <f>Incurred_loss!AA8</f>
        <v>3031531.8341132631</v>
      </c>
      <c r="M10" s="45">
        <f>Incurred_loss!AB8</f>
        <v>3031531.6497195135</v>
      </c>
      <c r="N10" s="48">
        <f>XL_Pure_Premium!$O10</f>
        <v>3031531.6497195135</v>
      </c>
      <c r="P10">
        <f>Stability_Clause!A9</f>
        <v>2021</v>
      </c>
      <c r="Q10" s="45">
        <f>Stability_Clause!D9</f>
        <v>4364378.6568753505</v>
      </c>
      <c r="R10" s="45">
        <f>Stability_Clause!E9</f>
        <v>6546567.9853130262</v>
      </c>
      <c r="S10">
        <f t="shared" si="2"/>
        <v>2016</v>
      </c>
      <c r="T10" s="45">
        <f t="shared" si="3"/>
        <v>0</v>
      </c>
      <c r="U10" s="45">
        <f t="shared" si="4"/>
        <v>0</v>
      </c>
      <c r="V10" s="45">
        <f t="shared" si="5"/>
        <v>0</v>
      </c>
      <c r="W10" s="45">
        <f t="shared" si="6"/>
        <v>0</v>
      </c>
      <c r="X10" s="45">
        <f t="shared" si="7"/>
        <v>0</v>
      </c>
      <c r="Y10" s="45">
        <f t="shared" si="8"/>
        <v>0</v>
      </c>
      <c r="Z10" s="45">
        <f t="shared" si="9"/>
        <v>0</v>
      </c>
      <c r="AA10" s="45">
        <f t="shared" si="10"/>
        <v>0</v>
      </c>
      <c r="AB10" s="45">
        <f t="shared" si="11"/>
        <v>0</v>
      </c>
      <c r="AC10" s="45">
        <f t="shared" si="12"/>
        <v>0</v>
      </c>
      <c r="AD10" s="45">
        <f t="shared" si="13"/>
        <v>0</v>
      </c>
      <c r="AH10">
        <f>Stability_Clause!$A9</f>
        <v>2021</v>
      </c>
      <c r="AI10" s="45">
        <f>Stability_Clause!F9</f>
        <v>10910946.642188378</v>
      </c>
      <c r="AJ10" s="45">
        <f>Stability_Clause!G9</f>
        <v>21821893.284376755</v>
      </c>
      <c r="AK10">
        <f t="shared" si="14"/>
        <v>2016</v>
      </c>
      <c r="AL10" s="45">
        <f t="shared" si="15"/>
        <v>0</v>
      </c>
      <c r="AM10" s="45">
        <f t="shared" si="16"/>
        <v>0</v>
      </c>
      <c r="AN10" s="45">
        <f t="shared" si="17"/>
        <v>0</v>
      </c>
      <c r="AO10" s="45">
        <f t="shared" si="18"/>
        <v>0</v>
      </c>
      <c r="AP10" s="45">
        <f t="shared" si="19"/>
        <v>0</v>
      </c>
      <c r="AQ10" s="45">
        <f t="shared" si="20"/>
        <v>0</v>
      </c>
      <c r="AR10" s="45">
        <f t="shared" si="21"/>
        <v>0</v>
      </c>
      <c r="AS10" s="45">
        <f t="shared" si="22"/>
        <v>0</v>
      </c>
      <c r="AT10" s="45">
        <f t="shared" si="23"/>
        <v>0</v>
      </c>
      <c r="AU10" s="45">
        <f t="shared" si="24"/>
        <v>0</v>
      </c>
      <c r="AV10" s="45">
        <f t="shared" si="25"/>
        <v>0</v>
      </c>
    </row>
    <row r="11" spans="1:48" x14ac:dyDescent="0.3">
      <c r="C11">
        <f>Incurred_loss!R9</f>
        <v>2016</v>
      </c>
      <c r="D11" s="45">
        <f>Incurred_loss!S9</f>
        <v>7349426.9924144438</v>
      </c>
      <c r="E11" s="45">
        <f>Incurred_loss!T9</f>
        <v>10434721.683723982</v>
      </c>
      <c r="F11" s="45">
        <f>Incurred_loss!U9</f>
        <v>13170992.556038627</v>
      </c>
      <c r="G11" s="45">
        <f>Incurred_loss!V9</f>
        <v>12914896.017598297</v>
      </c>
      <c r="H11" s="45">
        <f>Incurred_loss!W9</f>
        <v>12825240.178344384</v>
      </c>
      <c r="I11" s="45">
        <f>Incurred_loss!X9</f>
        <v>12831778.003345875</v>
      </c>
      <c r="J11" s="45">
        <f>Incurred_loss!Y9</f>
        <v>12825995.266781807</v>
      </c>
      <c r="K11" s="45">
        <f>Incurred_loss!Z9</f>
        <v>12826344.732164912</v>
      </c>
      <c r="L11" s="45">
        <f>Incurred_loss!AA9</f>
        <v>12824277.657967661</v>
      </c>
      <c r="M11" s="45">
        <f>Incurred_loss!AB9</f>
        <v>12824080.030413605</v>
      </c>
      <c r="N11" s="48">
        <f>XL_Pure_Premium!$O11</f>
        <v>12824080.030413605</v>
      </c>
      <c r="P11">
        <f>Stability_Clause!A10</f>
        <v>2022</v>
      </c>
      <c r="Q11" s="45">
        <f>Stability_Clause!D10</f>
        <v>4782456.7610511044</v>
      </c>
      <c r="R11" s="45">
        <f>Stability_Clause!E10</f>
        <v>7173685.1415766571</v>
      </c>
      <c r="S11">
        <f t="shared" si="2"/>
        <v>2016</v>
      </c>
      <c r="T11" s="45">
        <f t="shared" si="3"/>
        <v>3349426.9924144438</v>
      </c>
      <c r="U11" s="45">
        <f t="shared" si="4"/>
        <v>6127671.5417190678</v>
      </c>
      <c r="V11" s="45">
        <f t="shared" si="5"/>
        <v>6253413.059152104</v>
      </c>
      <c r="W11" s="45">
        <f t="shared" si="6"/>
        <v>6343555.3629025714</v>
      </c>
      <c r="X11" s="45">
        <f t="shared" si="7"/>
        <v>6390583.7352431733</v>
      </c>
      <c r="Y11" s="45">
        <f t="shared" si="8"/>
        <v>6546567.9853130262</v>
      </c>
      <c r="Z11" s="45">
        <f t="shared" si="9"/>
        <v>7173685.1415766571</v>
      </c>
      <c r="AA11" s="45">
        <f t="shared" si="10"/>
        <v>7468823.6157059893</v>
      </c>
      <c r="AB11" s="45">
        <f t="shared" si="11"/>
        <v>7688509.3137643309</v>
      </c>
      <c r="AC11" s="45">
        <f t="shared" si="12"/>
        <v>7561410.1604614118</v>
      </c>
      <c r="AD11" s="45">
        <f t="shared" si="13"/>
        <v>7346143.4155080449</v>
      </c>
      <c r="AH11">
        <f>Stability_Clause!$A10</f>
        <v>2022</v>
      </c>
      <c r="AI11" s="45">
        <f>Stability_Clause!F10</f>
        <v>11956141.902627762</v>
      </c>
      <c r="AJ11" s="45">
        <f>Stability_Clause!G10</f>
        <v>23912283.805255525</v>
      </c>
      <c r="AK11">
        <f t="shared" si="14"/>
        <v>2016</v>
      </c>
      <c r="AL11" s="45">
        <f t="shared" si="15"/>
        <v>0</v>
      </c>
      <c r="AM11" s="45">
        <f t="shared" si="16"/>
        <v>221935.78085886873</v>
      </c>
      <c r="AN11" s="45">
        <f t="shared" si="17"/>
        <v>2748637.4574517887</v>
      </c>
      <c r="AO11" s="45">
        <f>MIN(MAX(G11-VLOOKUP($AK11+AO$4-1,$AH$5:$AJ$25,2,FALSE),0),VLOOKUP($AK11+AO$4-1,$AH$5:$AJ$25,3,FALSE))</f>
        <v>2342303.7460940108</v>
      </c>
      <c r="AP11" s="45">
        <f t="shared" si="19"/>
        <v>2174267.2862724289</v>
      </c>
      <c r="AQ11" s="45">
        <f t="shared" si="20"/>
        <v>1920831.3611574974</v>
      </c>
      <c r="AR11" s="45">
        <f t="shared" si="21"/>
        <v>869853.36415404454</v>
      </c>
      <c r="AS11" s="45">
        <f t="shared" si="22"/>
        <v>378305.37265492976</v>
      </c>
      <c r="AT11" s="45">
        <f>MIN(MAX(L11-VLOOKUP($AK11+AT$4-1,$AH$5:$AJ$25,2,FALSE),0),VLOOKUP($AK11+AT$4-1,$AH$5:$AJ$25,3,FALSE))</f>
        <v>0</v>
      </c>
      <c r="AU11" s="45">
        <f t="shared" si="24"/>
        <v>0</v>
      </c>
      <c r="AV11" s="45">
        <f t="shared" si="25"/>
        <v>0</v>
      </c>
    </row>
    <row r="12" spans="1:48" x14ac:dyDescent="0.3">
      <c r="C12">
        <f>Incurred_loss!R10</f>
        <v>2016</v>
      </c>
      <c r="D12" s="45">
        <f>Incurred_loss!S10</f>
        <v>1348780.3109249419</v>
      </c>
      <c r="E12" s="45">
        <f>Incurred_loss!T10</f>
        <v>1194290.9875584426</v>
      </c>
      <c r="F12" s="45">
        <f>Incurred_loss!U10</f>
        <v>1280370.0881005484</v>
      </c>
      <c r="G12" s="45">
        <f>Incurred_loss!V10</f>
        <v>1281447.2739135083</v>
      </c>
      <c r="H12" s="45">
        <f>Incurred_loss!W10</f>
        <v>1282910.6496942323</v>
      </c>
      <c r="I12" s="45">
        <f>Incurred_loss!X10</f>
        <v>1276706.6955209756</v>
      </c>
      <c r="J12" s="45">
        <f>Incurred_loss!Y10</f>
        <v>1279978.6690509191</v>
      </c>
      <c r="K12" s="45">
        <f>Incurred_loss!Z10</f>
        <v>1284319.4771797801</v>
      </c>
      <c r="L12" s="45">
        <f>Incurred_loss!AA10</f>
        <v>1290564.9487016452</v>
      </c>
      <c r="M12" s="45">
        <f>Incurred_loss!AB10</f>
        <v>1278829.8095996727</v>
      </c>
      <c r="N12" s="48">
        <f>XL_Pure_Premium!$O12</f>
        <v>1278829.8095996727</v>
      </c>
      <c r="P12">
        <f>Stability_Clause!A11</f>
        <v>2023</v>
      </c>
      <c r="Q12" s="45">
        <f>Stability_Clause!D11</f>
        <v>4979215.7438039929</v>
      </c>
      <c r="R12" s="45">
        <f>Stability_Clause!E11</f>
        <v>7468823.6157059893</v>
      </c>
      <c r="S12">
        <f t="shared" si="2"/>
        <v>2016</v>
      </c>
      <c r="T12" s="45">
        <f t="shared" si="3"/>
        <v>0</v>
      </c>
      <c r="U12" s="45">
        <f t="shared" si="4"/>
        <v>0</v>
      </c>
      <c r="V12" s="45">
        <f t="shared" si="5"/>
        <v>0</v>
      </c>
      <c r="W12" s="45">
        <f t="shared" si="6"/>
        <v>0</v>
      </c>
      <c r="X12" s="45">
        <f t="shared" si="7"/>
        <v>0</v>
      </c>
      <c r="Y12" s="45">
        <f t="shared" si="8"/>
        <v>0</v>
      </c>
      <c r="Z12" s="45">
        <f t="shared" si="9"/>
        <v>0</v>
      </c>
      <c r="AA12" s="45">
        <f t="shared" si="10"/>
        <v>0</v>
      </c>
      <c r="AB12" s="45">
        <f t="shared" si="11"/>
        <v>0</v>
      </c>
      <c r="AC12" s="45">
        <f t="shared" si="12"/>
        <v>0</v>
      </c>
      <c r="AD12" s="45">
        <f t="shared" si="13"/>
        <v>0</v>
      </c>
      <c r="AH12">
        <f>Stability_Clause!$A11</f>
        <v>2023</v>
      </c>
      <c r="AI12" s="45">
        <f>Stability_Clause!F11</f>
        <v>12448039.359509982</v>
      </c>
      <c r="AJ12" s="45">
        <f>Stability_Clause!G11</f>
        <v>24896078.719019964</v>
      </c>
      <c r="AK12">
        <f t="shared" si="14"/>
        <v>2016</v>
      </c>
      <c r="AL12" s="45">
        <f t="shared" si="15"/>
        <v>0</v>
      </c>
      <c r="AM12" s="45">
        <f t="shared" si="16"/>
        <v>0</v>
      </c>
      <c r="AN12" s="45">
        <f t="shared" si="17"/>
        <v>0</v>
      </c>
      <c r="AO12" s="45">
        <f t="shared" si="18"/>
        <v>0</v>
      </c>
      <c r="AP12" s="45">
        <f t="shared" si="19"/>
        <v>0</v>
      </c>
      <c r="AQ12" s="45">
        <f t="shared" si="20"/>
        <v>0</v>
      </c>
      <c r="AR12" s="45">
        <f t="shared" si="21"/>
        <v>0</v>
      </c>
      <c r="AS12" s="45">
        <f t="shared" si="22"/>
        <v>0</v>
      </c>
      <c r="AT12" s="45">
        <f t="shared" si="23"/>
        <v>0</v>
      </c>
      <c r="AU12" s="45">
        <f t="shared" si="24"/>
        <v>0</v>
      </c>
      <c r="AV12" s="45">
        <f t="shared" si="25"/>
        <v>0</v>
      </c>
    </row>
    <row r="13" spans="1:48" x14ac:dyDescent="0.3">
      <c r="C13">
        <f>Incurred_loss!R11</f>
        <v>2016</v>
      </c>
      <c r="D13" s="45">
        <f>Incurred_loss!S11</f>
        <v>966066.33544167702</v>
      </c>
      <c r="E13" s="45">
        <f>Incurred_loss!T11</f>
        <v>833384.40705598588</v>
      </c>
      <c r="F13" s="45">
        <f>Incurred_loss!U11</f>
        <v>935386.06652910542</v>
      </c>
      <c r="G13" s="45">
        <f>Incurred_loss!V11</f>
        <v>972923.52538301493</v>
      </c>
      <c r="H13" s="45">
        <f>Incurred_loss!W11</f>
        <v>966886.4256390949</v>
      </c>
      <c r="I13" s="45">
        <f>Incurred_loss!X11</f>
        <v>967116.50784173748</v>
      </c>
      <c r="J13" s="45">
        <f>Incurred_loss!Y11</f>
        <v>966651.37853641191</v>
      </c>
      <c r="K13" s="45">
        <f>Incurred_loss!Z11</f>
        <v>966548.79835354304</v>
      </c>
      <c r="L13" s="45">
        <f>Incurred_loss!AA11</f>
        <v>966548.52503835922</v>
      </c>
      <c r="M13" s="45">
        <f>Incurred_loss!AB11</f>
        <v>966548.49518426345</v>
      </c>
      <c r="N13" s="48">
        <f>XL_Pure_Premium!$O13</f>
        <v>966548.49518426345</v>
      </c>
      <c r="P13">
        <f>Stability_Clause!A12</f>
        <v>2024</v>
      </c>
      <c r="Q13" s="45">
        <f>Stability_Clause!D12</f>
        <v>5135768.3442033296</v>
      </c>
      <c r="R13" s="45">
        <f>Stability_Clause!E12</f>
        <v>7703652.516304994</v>
      </c>
      <c r="S13">
        <f t="shared" si="2"/>
        <v>2016</v>
      </c>
      <c r="T13" s="45">
        <f t="shared" si="3"/>
        <v>0</v>
      </c>
      <c r="U13" s="45">
        <f t="shared" si="4"/>
        <v>0</v>
      </c>
      <c r="V13" s="45">
        <f t="shared" si="5"/>
        <v>0</v>
      </c>
      <c r="W13" s="45">
        <f t="shared" si="6"/>
        <v>0</v>
      </c>
      <c r="X13" s="45">
        <f t="shared" si="7"/>
        <v>0</v>
      </c>
      <c r="Y13" s="45">
        <f t="shared" si="8"/>
        <v>0</v>
      </c>
      <c r="Z13" s="45">
        <f t="shared" si="9"/>
        <v>0</v>
      </c>
      <c r="AA13" s="45">
        <f t="shared" si="10"/>
        <v>0</v>
      </c>
      <c r="AB13" s="45">
        <f t="shared" si="11"/>
        <v>0</v>
      </c>
      <c r="AC13" s="45">
        <f t="shared" si="12"/>
        <v>0</v>
      </c>
      <c r="AD13" s="45">
        <f t="shared" si="13"/>
        <v>0</v>
      </c>
      <c r="AH13">
        <f>Stability_Clause!$A12</f>
        <v>2024</v>
      </c>
      <c r="AI13" s="45">
        <f>Stability_Clause!F12</f>
        <v>12839420.860508325</v>
      </c>
      <c r="AJ13" s="45">
        <f>Stability_Clause!G12</f>
        <v>25678841.721016649</v>
      </c>
      <c r="AK13">
        <f t="shared" si="14"/>
        <v>2016</v>
      </c>
      <c r="AL13" s="45">
        <f t="shared" si="15"/>
        <v>0</v>
      </c>
      <c r="AM13" s="45">
        <f t="shared" si="16"/>
        <v>0</v>
      </c>
      <c r="AN13" s="45">
        <f t="shared" si="17"/>
        <v>0</v>
      </c>
      <c r="AO13" s="45">
        <f t="shared" si="18"/>
        <v>0</v>
      </c>
      <c r="AP13" s="45">
        <f t="shared" si="19"/>
        <v>0</v>
      </c>
      <c r="AQ13" s="45">
        <f t="shared" si="20"/>
        <v>0</v>
      </c>
      <c r="AR13" s="45">
        <f t="shared" si="21"/>
        <v>0</v>
      </c>
      <c r="AS13" s="45">
        <f t="shared" si="22"/>
        <v>0</v>
      </c>
      <c r="AT13" s="45">
        <f t="shared" si="23"/>
        <v>0</v>
      </c>
      <c r="AU13" s="45">
        <f t="shared" si="24"/>
        <v>0</v>
      </c>
      <c r="AV13" s="45">
        <f t="shared" si="25"/>
        <v>0</v>
      </c>
    </row>
    <row r="14" spans="1:48" x14ac:dyDescent="0.3">
      <c r="C14">
        <f>Incurred_loss!R12</f>
        <v>2016</v>
      </c>
      <c r="D14" s="45">
        <f>Incurred_loss!S12</f>
        <v>2560693.5972375032</v>
      </c>
      <c r="E14" s="45">
        <f>Incurred_loss!T12</f>
        <v>3066994.3026761916</v>
      </c>
      <c r="F14" s="45">
        <f>Incurred_loss!U12</f>
        <v>3774885.8325633416</v>
      </c>
      <c r="G14" s="45">
        <f>Incurred_loss!V12</f>
        <v>3575063.3191076382</v>
      </c>
      <c r="H14" s="45">
        <f>Incurred_loss!W12</f>
        <v>3682110.5577404136</v>
      </c>
      <c r="I14" s="45">
        <f>Incurred_loss!X12</f>
        <v>3704368.8647292601</v>
      </c>
      <c r="J14" s="45">
        <f>Incurred_loss!Y12</f>
        <v>3691619.3916970599</v>
      </c>
      <c r="K14" s="45">
        <f>Incurred_loss!Z12</f>
        <v>3692787.4586796379</v>
      </c>
      <c r="L14" s="45">
        <f>Incurred_loss!AA12</f>
        <v>3692895.9941157862</v>
      </c>
      <c r="M14" s="45">
        <f>Incurred_loss!AB12</f>
        <v>3692910.5232293434</v>
      </c>
      <c r="N14" s="48">
        <f>XL_Pure_Premium!$O14</f>
        <v>3692910.5232293434</v>
      </c>
      <c r="P14">
        <f>Stability_Clause!A13</f>
        <v>2025</v>
      </c>
      <c r="Q14" s="45">
        <f>Stability_Clause!D13</f>
        <v>5262669.8699521935</v>
      </c>
      <c r="R14" s="45">
        <f>Stability_Clause!E13</f>
        <v>7894004.8049282907</v>
      </c>
      <c r="S14">
        <f t="shared" si="2"/>
        <v>2016</v>
      </c>
      <c r="T14" s="45">
        <f t="shared" si="3"/>
        <v>0</v>
      </c>
      <c r="U14" s="45">
        <f t="shared" si="4"/>
        <v>0</v>
      </c>
      <c r="V14" s="45">
        <f t="shared" si="5"/>
        <v>0</v>
      </c>
      <c r="W14" s="45">
        <f t="shared" si="6"/>
        <v>0</v>
      </c>
      <c r="X14" s="45">
        <f t="shared" si="7"/>
        <v>0</v>
      </c>
      <c r="Y14" s="45">
        <f t="shared" si="8"/>
        <v>0</v>
      </c>
      <c r="Z14" s="45">
        <f t="shared" si="9"/>
        <v>0</v>
      </c>
      <c r="AA14" s="45">
        <f t="shared" si="10"/>
        <v>0</v>
      </c>
      <c r="AB14" s="45">
        <f t="shared" si="11"/>
        <v>0</v>
      </c>
      <c r="AC14" s="45">
        <f t="shared" si="12"/>
        <v>0</v>
      </c>
      <c r="AD14" s="45">
        <f t="shared" si="13"/>
        <v>0</v>
      </c>
      <c r="AH14">
        <f>Stability_Clause!$A13</f>
        <v>2025</v>
      </c>
      <c r="AI14" s="45">
        <f>Stability_Clause!F13</f>
        <v>13156674.674880484</v>
      </c>
      <c r="AJ14" s="45">
        <f>Stability_Clause!G13</f>
        <v>26313349.349760968</v>
      </c>
      <c r="AK14">
        <f t="shared" si="14"/>
        <v>2016</v>
      </c>
      <c r="AL14" s="45">
        <f t="shared" si="15"/>
        <v>0</v>
      </c>
      <c r="AM14" s="45">
        <f t="shared" si="16"/>
        <v>0</v>
      </c>
      <c r="AN14" s="45">
        <f t="shared" si="17"/>
        <v>0</v>
      </c>
      <c r="AO14" s="45">
        <f t="shared" si="18"/>
        <v>0</v>
      </c>
      <c r="AP14" s="45">
        <f t="shared" si="19"/>
        <v>0</v>
      </c>
      <c r="AQ14" s="45">
        <f t="shared" si="20"/>
        <v>0</v>
      </c>
      <c r="AR14" s="45">
        <f t="shared" si="21"/>
        <v>0</v>
      </c>
      <c r="AS14" s="45">
        <f t="shared" si="22"/>
        <v>0</v>
      </c>
      <c r="AT14" s="45">
        <f t="shared" si="23"/>
        <v>0</v>
      </c>
      <c r="AU14" s="45">
        <f t="shared" si="24"/>
        <v>0</v>
      </c>
      <c r="AV14" s="45">
        <f t="shared" si="25"/>
        <v>0</v>
      </c>
    </row>
    <row r="15" spans="1:48" x14ac:dyDescent="0.3">
      <c r="C15">
        <f>Incurred_loss!R13</f>
        <v>2016</v>
      </c>
      <c r="D15" s="45">
        <f>Incurred_loss!S13</f>
        <v>4233842.9548907317</v>
      </c>
      <c r="E15" s="45">
        <f>Incurred_loss!T13</f>
        <v>3534103.1644189213</v>
      </c>
      <c r="F15" s="45">
        <f>Incurred_loss!U13</f>
        <v>3518188.4562699981</v>
      </c>
      <c r="G15" s="45">
        <f>Incurred_loss!V13</f>
        <v>3435215.2253873092</v>
      </c>
      <c r="H15" s="45">
        <f>Incurred_loss!W13</f>
        <v>3460420.0024426631</v>
      </c>
      <c r="I15" s="45">
        <f>Incurred_loss!X13</f>
        <v>3459975.0841018916</v>
      </c>
      <c r="J15" s="45">
        <f>Incurred_loss!Y13</f>
        <v>3457625.1770334928</v>
      </c>
      <c r="K15" s="45">
        <f>Incurred_loss!Z13</f>
        <v>3457616.1732568098</v>
      </c>
      <c r="L15" s="45">
        <f>Incurred_loss!AA13</f>
        <v>3457634.3567201467</v>
      </c>
      <c r="M15" s="45">
        <f>Incurred_loss!AB13</f>
        <v>3457634.50361215</v>
      </c>
      <c r="N15" s="48">
        <f>XL_Pure_Premium!$O15</f>
        <v>3457634.50361215</v>
      </c>
      <c r="P15">
        <f>Stability_Clause!A14</f>
        <v>2026</v>
      </c>
      <c r="Q15" s="45">
        <f>Stability_Clause!D14</f>
        <v>5370526.0930446666</v>
      </c>
      <c r="R15" s="45">
        <f>Stability_Clause!E14</f>
        <v>8055789.1395670008</v>
      </c>
      <c r="S15">
        <f t="shared" si="2"/>
        <v>2016</v>
      </c>
      <c r="T15" s="45">
        <f t="shared" si="3"/>
        <v>233842.95489073172</v>
      </c>
      <c r="U15" s="45">
        <f t="shared" si="4"/>
        <v>0</v>
      </c>
      <c r="V15" s="45">
        <f t="shared" si="5"/>
        <v>0</v>
      </c>
      <c r="W15" s="45">
        <f t="shared" si="6"/>
        <v>0</v>
      </c>
      <c r="X15" s="45">
        <f t="shared" si="7"/>
        <v>0</v>
      </c>
      <c r="Y15" s="45">
        <f t="shared" si="8"/>
        <v>0</v>
      </c>
      <c r="Z15" s="45">
        <f t="shared" si="9"/>
        <v>0</v>
      </c>
      <c r="AA15" s="45">
        <f t="shared" si="10"/>
        <v>0</v>
      </c>
      <c r="AB15" s="45">
        <f t="shared" si="11"/>
        <v>0</v>
      </c>
      <c r="AC15" s="45">
        <f t="shared" si="12"/>
        <v>0</v>
      </c>
      <c r="AD15" s="45">
        <f t="shared" si="13"/>
        <v>0</v>
      </c>
      <c r="AH15">
        <f>Stability_Clause!$A14</f>
        <v>2026</v>
      </c>
      <c r="AI15" s="45">
        <f>Stability_Clause!F14</f>
        <v>13426315.232611667</v>
      </c>
      <c r="AJ15" s="45">
        <f>Stability_Clause!G14</f>
        <v>26852630.465223335</v>
      </c>
      <c r="AK15">
        <f t="shared" si="14"/>
        <v>2016</v>
      </c>
      <c r="AL15" s="45">
        <f t="shared" si="15"/>
        <v>0</v>
      </c>
      <c r="AM15" s="45">
        <f t="shared" si="16"/>
        <v>0</v>
      </c>
      <c r="AN15" s="45">
        <f t="shared" si="17"/>
        <v>0</v>
      </c>
      <c r="AO15" s="45">
        <f t="shared" si="18"/>
        <v>0</v>
      </c>
      <c r="AP15" s="45">
        <f t="shared" si="19"/>
        <v>0</v>
      </c>
      <c r="AQ15" s="45">
        <f t="shared" si="20"/>
        <v>0</v>
      </c>
      <c r="AR15" s="45">
        <f t="shared" si="21"/>
        <v>0</v>
      </c>
      <c r="AS15" s="45">
        <f t="shared" si="22"/>
        <v>0</v>
      </c>
      <c r="AT15" s="45">
        <f t="shared" si="23"/>
        <v>0</v>
      </c>
      <c r="AU15" s="45">
        <f t="shared" si="24"/>
        <v>0</v>
      </c>
      <c r="AV15" s="45">
        <f t="shared" si="25"/>
        <v>0</v>
      </c>
    </row>
    <row r="16" spans="1:48" x14ac:dyDescent="0.3">
      <c r="C16">
        <f>Incurred_loss!R14</f>
        <v>2016</v>
      </c>
      <c r="D16" s="45">
        <f>Incurred_loss!S14</f>
        <v>1717804.2048577496</v>
      </c>
      <c r="E16" s="45">
        <f>Incurred_loss!T14</f>
        <v>1956757.3444826244</v>
      </c>
      <c r="F16" s="45">
        <f>Incurred_loss!U14</f>
        <v>2375949.7627192512</v>
      </c>
      <c r="G16" s="45">
        <f>Incurred_loss!V14</f>
        <v>1896167.7283753504</v>
      </c>
      <c r="H16" s="45">
        <f>Incurred_loss!W14</f>
        <v>1887881.7529901399</v>
      </c>
      <c r="I16" s="45">
        <f>Incurred_loss!X14</f>
        <v>1887040.4204959059</v>
      </c>
      <c r="J16" s="45">
        <f>Incurred_loss!Y14</f>
        <v>1887040.5098147853</v>
      </c>
      <c r="K16" s="45">
        <f>Incurred_loss!Z14</f>
        <v>1887040.7012606582</v>
      </c>
      <c r="L16" s="45">
        <f>Incurred_loss!AA14</f>
        <v>1887040.5729467857</v>
      </c>
      <c r="M16" s="45">
        <f>Incurred_loss!AB14</f>
        <v>1887040.6005906588</v>
      </c>
      <c r="N16" s="48">
        <f>XL_Pure_Premium!$O16</f>
        <v>1887040.6005906588</v>
      </c>
      <c r="P16">
        <f>Stability_Clause!A15</f>
        <v>2027</v>
      </c>
      <c r="Q16" s="45">
        <f>Stability_Clause!D15</f>
        <v>5477936.6149055604</v>
      </c>
      <c r="R16" s="45">
        <f>Stability_Clause!E15</f>
        <v>8216904.9223583397</v>
      </c>
      <c r="S16">
        <f t="shared" si="2"/>
        <v>2016</v>
      </c>
      <c r="T16" s="45">
        <f t="shared" si="3"/>
        <v>0</v>
      </c>
      <c r="U16" s="45">
        <f t="shared" si="4"/>
        <v>0</v>
      </c>
      <c r="V16" s="45">
        <f t="shared" si="5"/>
        <v>0</v>
      </c>
      <c r="W16" s="45">
        <f t="shared" si="6"/>
        <v>0</v>
      </c>
      <c r="X16" s="45">
        <f t="shared" si="7"/>
        <v>0</v>
      </c>
      <c r="Y16" s="45">
        <f t="shared" si="8"/>
        <v>0</v>
      </c>
      <c r="Z16" s="45">
        <f t="shared" si="9"/>
        <v>0</v>
      </c>
      <c r="AA16" s="45">
        <f t="shared" si="10"/>
        <v>0</v>
      </c>
      <c r="AB16" s="45">
        <f t="shared" si="11"/>
        <v>0</v>
      </c>
      <c r="AC16" s="45">
        <f t="shared" si="12"/>
        <v>0</v>
      </c>
      <c r="AD16" s="45">
        <f t="shared" si="13"/>
        <v>0</v>
      </c>
      <c r="AH16">
        <f>Stability_Clause!$A15</f>
        <v>2027</v>
      </c>
      <c r="AI16" s="45">
        <f>Stability_Clause!F15</f>
        <v>13694841.5372639</v>
      </c>
      <c r="AJ16" s="45">
        <f>Stability_Clause!G15</f>
        <v>27389683.0745278</v>
      </c>
      <c r="AK16">
        <f t="shared" si="14"/>
        <v>2016</v>
      </c>
      <c r="AL16" s="45">
        <f t="shared" si="15"/>
        <v>0</v>
      </c>
      <c r="AM16" s="45">
        <f t="shared" si="16"/>
        <v>0</v>
      </c>
      <c r="AN16" s="45">
        <f t="shared" si="17"/>
        <v>0</v>
      </c>
      <c r="AO16" s="45">
        <f t="shared" si="18"/>
        <v>0</v>
      </c>
      <c r="AP16" s="45">
        <f t="shared" si="19"/>
        <v>0</v>
      </c>
      <c r="AQ16" s="45">
        <f t="shared" si="20"/>
        <v>0</v>
      </c>
      <c r="AR16" s="45">
        <f t="shared" si="21"/>
        <v>0</v>
      </c>
      <c r="AS16" s="45">
        <f t="shared" si="22"/>
        <v>0</v>
      </c>
      <c r="AT16" s="45">
        <f t="shared" si="23"/>
        <v>0</v>
      </c>
      <c r="AU16" s="45">
        <f t="shared" si="24"/>
        <v>0</v>
      </c>
      <c r="AV16" s="45">
        <f t="shared" si="25"/>
        <v>0</v>
      </c>
    </row>
    <row r="17" spans="3:48" x14ac:dyDescent="0.3">
      <c r="C17">
        <f>Incurred_loss!R15</f>
        <v>2016</v>
      </c>
      <c r="D17" s="45">
        <f>Incurred_loss!S15</f>
        <v>769074.19058257155</v>
      </c>
      <c r="E17" s="45">
        <f>Incurred_loss!T15</f>
        <v>1142629.3061754468</v>
      </c>
      <c r="F17" s="45">
        <f>Incurred_loss!U15</f>
        <v>1318570.0828424043</v>
      </c>
      <c r="G17" s="45">
        <f>Incurred_loss!V15</f>
        <v>1327957.5153958066</v>
      </c>
      <c r="H17" s="45">
        <f>Incurred_loss!W15</f>
        <v>1328261.8277088553</v>
      </c>
      <c r="I17" s="45">
        <f>Incurred_loss!X15</f>
        <v>1328289.5219954068</v>
      </c>
      <c r="J17" s="45">
        <f>Incurred_loss!Y15</f>
        <v>1328191.9953660895</v>
      </c>
      <c r="K17" s="45">
        <f>Incurred_loss!Z15</f>
        <v>1328196.972105996</v>
      </c>
      <c r="L17" s="45">
        <f>Incurred_loss!AA15</f>
        <v>1328196.9797135105</v>
      </c>
      <c r="M17" s="45">
        <f>Incurred_loss!AB15</f>
        <v>1328197.2139352183</v>
      </c>
      <c r="N17" s="48">
        <f>XL_Pure_Premium!$O17</f>
        <v>1328197.2139352183</v>
      </c>
      <c r="P17">
        <f>Stability_Clause!A16</f>
        <v>2028</v>
      </c>
      <c r="Q17" s="45">
        <f>Stability_Clause!D16</f>
        <v>5576539.47397386</v>
      </c>
      <c r="R17" s="45">
        <f>Stability_Clause!E16</f>
        <v>8364809.2109607896</v>
      </c>
      <c r="S17">
        <f t="shared" si="2"/>
        <v>2016</v>
      </c>
      <c r="T17" s="45">
        <f t="shared" si="3"/>
        <v>0</v>
      </c>
      <c r="U17" s="45">
        <f t="shared" si="4"/>
        <v>0</v>
      </c>
      <c r="V17" s="45">
        <f t="shared" si="5"/>
        <v>0</v>
      </c>
      <c r="W17" s="45">
        <f t="shared" si="6"/>
        <v>0</v>
      </c>
      <c r="X17" s="45">
        <f t="shared" si="7"/>
        <v>0</v>
      </c>
      <c r="Y17" s="45">
        <f t="shared" si="8"/>
        <v>0</v>
      </c>
      <c r="Z17" s="45">
        <f t="shared" si="9"/>
        <v>0</v>
      </c>
      <c r="AA17" s="45">
        <f t="shared" si="10"/>
        <v>0</v>
      </c>
      <c r="AB17" s="45">
        <f t="shared" si="11"/>
        <v>0</v>
      </c>
      <c r="AC17" s="45">
        <f t="shared" si="12"/>
        <v>0</v>
      </c>
      <c r="AD17" s="45">
        <f t="shared" si="13"/>
        <v>0</v>
      </c>
      <c r="AH17">
        <f>Stability_Clause!$A16</f>
        <v>2028</v>
      </c>
      <c r="AI17" s="45">
        <f>Stability_Clause!F16</f>
        <v>13941348.68493465</v>
      </c>
      <c r="AJ17" s="45">
        <f>Stability_Clause!G16</f>
        <v>27882697.369869299</v>
      </c>
      <c r="AK17">
        <f t="shared" si="14"/>
        <v>2016</v>
      </c>
      <c r="AL17" s="45">
        <f t="shared" si="15"/>
        <v>0</v>
      </c>
      <c r="AM17" s="45">
        <f t="shared" si="16"/>
        <v>0</v>
      </c>
      <c r="AN17" s="45">
        <f t="shared" si="17"/>
        <v>0</v>
      </c>
      <c r="AO17" s="45">
        <f t="shared" si="18"/>
        <v>0</v>
      </c>
      <c r="AP17" s="45">
        <f t="shared" si="19"/>
        <v>0</v>
      </c>
      <c r="AQ17" s="45">
        <f t="shared" si="20"/>
        <v>0</v>
      </c>
      <c r="AR17" s="45">
        <f t="shared" si="21"/>
        <v>0</v>
      </c>
      <c r="AS17" s="45">
        <f t="shared" si="22"/>
        <v>0</v>
      </c>
      <c r="AT17" s="45">
        <f t="shared" si="23"/>
        <v>0</v>
      </c>
      <c r="AU17" s="45">
        <f t="shared" si="24"/>
        <v>0</v>
      </c>
      <c r="AV17" s="45">
        <f t="shared" si="25"/>
        <v>0</v>
      </c>
    </row>
    <row r="18" spans="3:48" x14ac:dyDescent="0.3">
      <c r="C18">
        <f>Incurred_loss!R16</f>
        <v>2016</v>
      </c>
      <c r="D18" s="45">
        <f>Incurred_loss!S16</f>
        <v>2960488.7474891474</v>
      </c>
      <c r="E18" s="45">
        <f>Incurred_loss!T16</f>
        <v>3672385.7433307674</v>
      </c>
      <c r="F18" s="45">
        <f>Incurred_loss!U16</f>
        <v>4301339.1346536428</v>
      </c>
      <c r="G18" s="45">
        <f>Incurred_loss!V16</f>
        <v>4562395.4204125982</v>
      </c>
      <c r="H18" s="45">
        <f>Incurred_loss!W16</f>
        <v>3745165.1895353282</v>
      </c>
      <c r="I18" s="45">
        <f>Incurred_loss!X16</f>
        <v>3798903.9668683372</v>
      </c>
      <c r="J18" s="45">
        <f>Incurred_loss!Y16</f>
        <v>3782170.6687195711</v>
      </c>
      <c r="K18" s="45">
        <f>Incurred_loss!Z16</f>
        <v>3779015.0076078409</v>
      </c>
      <c r="L18" s="45">
        <f>Incurred_loss!AA16</f>
        <v>3776333.9428157625</v>
      </c>
      <c r="M18" s="45">
        <f>Incurred_loss!AB16</f>
        <v>3778771.7111949939</v>
      </c>
      <c r="N18" s="48">
        <f>XL_Pure_Premium!$O18</f>
        <v>3778771.7111949939</v>
      </c>
      <c r="P18">
        <f>Stability_Clause!A17</f>
        <v>2029</v>
      </c>
      <c r="Q18" s="45">
        <f>Stability_Clause!D17</f>
        <v>5676917.1845053891</v>
      </c>
      <c r="R18" s="45">
        <f>Stability_Clause!E17</f>
        <v>8515375.7767580841</v>
      </c>
      <c r="S18">
        <f t="shared" si="2"/>
        <v>2016</v>
      </c>
      <c r="T18" s="45">
        <f t="shared" si="3"/>
        <v>0</v>
      </c>
      <c r="U18" s="45">
        <f t="shared" si="4"/>
        <v>0</v>
      </c>
      <c r="V18" s="45">
        <f t="shared" si="5"/>
        <v>132397.09521890711</v>
      </c>
      <c r="W18" s="45">
        <f t="shared" si="6"/>
        <v>333358.51181088388</v>
      </c>
      <c r="X18" s="45">
        <f t="shared" si="7"/>
        <v>0</v>
      </c>
      <c r="Y18" s="45">
        <f t="shared" si="8"/>
        <v>0</v>
      </c>
      <c r="Z18" s="45">
        <f t="shared" si="9"/>
        <v>0</v>
      </c>
      <c r="AA18" s="45">
        <f t="shared" si="10"/>
        <v>0</v>
      </c>
      <c r="AB18" s="45">
        <f t="shared" si="11"/>
        <v>0</v>
      </c>
      <c r="AC18" s="45">
        <f t="shared" si="12"/>
        <v>0</v>
      </c>
      <c r="AD18" s="45">
        <f t="shared" si="13"/>
        <v>0</v>
      </c>
      <c r="AH18">
        <f>Stability_Clause!$A17</f>
        <v>2029</v>
      </c>
      <c r="AI18" s="45">
        <f>Stability_Clause!F17</f>
        <v>14192292.961263472</v>
      </c>
      <c r="AJ18" s="45">
        <f>Stability_Clause!G17</f>
        <v>28384585.922526944</v>
      </c>
      <c r="AK18">
        <f t="shared" si="14"/>
        <v>2016</v>
      </c>
      <c r="AL18" s="45">
        <f t="shared" si="15"/>
        <v>0</v>
      </c>
      <c r="AM18" s="45">
        <f t="shared" si="16"/>
        <v>0</v>
      </c>
      <c r="AN18" s="45">
        <f t="shared" si="17"/>
        <v>0</v>
      </c>
      <c r="AO18" s="45">
        <f t="shared" si="18"/>
        <v>0</v>
      </c>
      <c r="AP18" s="45">
        <f t="shared" si="19"/>
        <v>0</v>
      </c>
      <c r="AQ18" s="45">
        <f t="shared" si="20"/>
        <v>0</v>
      </c>
      <c r="AR18" s="45">
        <f t="shared" si="21"/>
        <v>0</v>
      </c>
      <c r="AS18" s="45">
        <f t="shared" si="22"/>
        <v>0</v>
      </c>
      <c r="AT18" s="45">
        <f t="shared" si="23"/>
        <v>0</v>
      </c>
      <c r="AU18" s="45">
        <f t="shared" si="24"/>
        <v>0</v>
      </c>
      <c r="AV18" s="45">
        <f t="shared" si="25"/>
        <v>0</v>
      </c>
    </row>
    <row r="19" spans="3:48" x14ac:dyDescent="0.3">
      <c r="C19">
        <f>Incurred_loss!R17</f>
        <v>2016</v>
      </c>
      <c r="D19" s="45">
        <f>Incurred_loss!S17</f>
        <v>3619793.2702687052</v>
      </c>
      <c r="E19" s="45">
        <f>Incurred_loss!T17</f>
        <v>3059917.8840752998</v>
      </c>
      <c r="F19" s="45">
        <f>Incurred_loss!U17</f>
        <v>3468493.2372203339</v>
      </c>
      <c r="G19" s="45">
        <f>Incurred_loss!V17</f>
        <v>3409370.6416846784</v>
      </c>
      <c r="H19" s="45">
        <f>Incurred_loss!W17</f>
        <v>4395391.4615959115</v>
      </c>
      <c r="I19" s="45">
        <f>Incurred_loss!X17</f>
        <v>4000176.1406406509</v>
      </c>
      <c r="J19" s="45">
        <f>Incurred_loss!Y17</f>
        <v>3704185.3495464353</v>
      </c>
      <c r="K19" s="45">
        <f>Incurred_loss!Z17</f>
        <v>3642551.405535724</v>
      </c>
      <c r="L19" s="45">
        <f>Incurred_loss!AA17</f>
        <v>3822225.1781560075</v>
      </c>
      <c r="M19" s="45">
        <f>Incurred_loss!AB17</f>
        <v>3807225.1692698291</v>
      </c>
      <c r="N19" s="48">
        <f>XL_Pure_Premium!$O19</f>
        <v>3807225.1692698291</v>
      </c>
      <c r="P19">
        <f>Stability_Clause!A18</f>
        <v>2030</v>
      </c>
      <c r="Q19" s="45">
        <f>Stability_Clause!D18</f>
        <v>5779101.6938264864</v>
      </c>
      <c r="R19" s="45">
        <f>Stability_Clause!E18</f>
        <v>8668652.54073973</v>
      </c>
      <c r="S19">
        <f t="shared" si="2"/>
        <v>2016</v>
      </c>
      <c r="T19" s="45">
        <f t="shared" si="3"/>
        <v>0</v>
      </c>
      <c r="U19" s="45">
        <f t="shared" si="4"/>
        <v>0</v>
      </c>
      <c r="V19" s="45">
        <f t="shared" si="5"/>
        <v>0</v>
      </c>
      <c r="W19" s="45">
        <f t="shared" si="6"/>
        <v>0</v>
      </c>
      <c r="X19" s="45">
        <f t="shared" si="7"/>
        <v>135002.30476712994</v>
      </c>
      <c r="Y19" s="45">
        <f t="shared" si="8"/>
        <v>0</v>
      </c>
      <c r="Z19" s="45">
        <f t="shared" si="9"/>
        <v>0</v>
      </c>
      <c r="AA19" s="45">
        <f t="shared" si="10"/>
        <v>0</v>
      </c>
      <c r="AB19" s="45">
        <f t="shared" si="11"/>
        <v>0</v>
      </c>
      <c r="AC19" s="45">
        <f t="shared" si="12"/>
        <v>0</v>
      </c>
      <c r="AD19" s="45">
        <f t="shared" si="13"/>
        <v>0</v>
      </c>
      <c r="AH19">
        <f>Stability_Clause!$A18</f>
        <v>2030</v>
      </c>
      <c r="AI19" s="45">
        <f>Stability_Clause!F18</f>
        <v>14447754.234566217</v>
      </c>
      <c r="AJ19" s="45">
        <f>Stability_Clause!G18</f>
        <v>28895508.469132435</v>
      </c>
      <c r="AK19">
        <f t="shared" si="14"/>
        <v>2016</v>
      </c>
      <c r="AL19" s="45">
        <f>MIN(MAX(D19-VLOOKUP($AK19+AL$4-1,$AH$5:$AJ$25,2,FALSE),0),VLOOKUP($AK19+AL$4-1,$AH$5:$AJ$25,3,FALSE))</f>
        <v>0</v>
      </c>
      <c r="AM19" s="45">
        <f t="shared" si="16"/>
        <v>0</v>
      </c>
      <c r="AN19" s="45">
        <f t="shared" si="17"/>
        <v>0</v>
      </c>
      <c r="AO19" s="45">
        <f t="shared" si="18"/>
        <v>0</v>
      </c>
      <c r="AP19" s="45">
        <f t="shared" si="19"/>
        <v>0</v>
      </c>
      <c r="AQ19" s="45">
        <f t="shared" si="20"/>
        <v>0</v>
      </c>
      <c r="AR19" s="45">
        <f t="shared" si="21"/>
        <v>0</v>
      </c>
      <c r="AS19" s="45">
        <f t="shared" si="22"/>
        <v>0</v>
      </c>
      <c r="AT19" s="45">
        <f t="shared" si="23"/>
        <v>0</v>
      </c>
      <c r="AU19" s="45">
        <f t="shared" si="24"/>
        <v>0</v>
      </c>
      <c r="AV19" s="45">
        <f t="shared" si="25"/>
        <v>0</v>
      </c>
    </row>
    <row r="20" spans="3:48" x14ac:dyDescent="0.3">
      <c r="C20">
        <f>Incurred_loss!R18</f>
        <v>2017</v>
      </c>
      <c r="D20" s="45">
        <f>Incurred_loss!S18</f>
        <v>5203392.148422976</v>
      </c>
      <c r="E20" s="45">
        <f>Incurred_loss!T18</f>
        <v>4447840.7296354836</v>
      </c>
      <c r="F20" s="45">
        <f>Incurred_loss!U18</f>
        <v>4699246.5035641734</v>
      </c>
      <c r="G20" s="45">
        <f>Incurred_loss!V18</f>
        <v>4562017.0046321144</v>
      </c>
      <c r="H20" s="45">
        <f>Incurred_loss!W18</f>
        <v>4491570.2701692423</v>
      </c>
      <c r="I20" s="45">
        <f>Incurred_loss!X18</f>
        <v>4554489.6701463349</v>
      </c>
      <c r="J20" s="45">
        <f>Incurred_loss!Y18</f>
        <v>4555388.9595937487</v>
      </c>
      <c r="K20" s="45">
        <f>Incurred_loss!Z18</f>
        <v>4554901.2310518101</v>
      </c>
      <c r="L20" s="45">
        <f>Incurred_loss!AA18</f>
        <v>4554760.2497885451</v>
      </c>
      <c r="N20" s="48">
        <f>XL_Pure_Premium!$O20</f>
        <v>4554760.2497885451</v>
      </c>
      <c r="P20">
        <f>Stability_Clause!A19</f>
        <v>2031</v>
      </c>
      <c r="Q20" s="45">
        <f>Stability_Clause!D19</f>
        <v>5883125.5243153637</v>
      </c>
      <c r="R20" s="45">
        <f>Stability_Clause!E19</f>
        <v>8824688.2864730451</v>
      </c>
      <c r="S20">
        <f t="shared" si="2"/>
        <v>2017</v>
      </c>
      <c r="T20" s="45">
        <f t="shared" ref="T20:T32" si="26">MIN(MAX(D20-VLOOKUP($S20+T$4-1,$P$5:$R$25,2,FALSE),0),VLOOKUP($S20+T$4-1,$P$5:$R$25,3,FALSE))</f>
        <v>1118277.7872769306</v>
      </c>
      <c r="U20" s="45">
        <f t="shared" ref="U20:U32" si="27">MIN(MAX(E20-VLOOKUP($S20+U$4-1,$P$5:$R$25,2,FALSE),0),VLOOKUP($S20+U$4-1,$P$5:$R$25,3,FALSE))</f>
        <v>278898.69020074792</v>
      </c>
      <c r="V20" s="45">
        <f t="shared" ref="V20:V32" si="28">MIN(MAX(F20-VLOOKUP($S20+V$4-1,$P$5:$R$25,2,FALSE),0),VLOOKUP($S20+V$4-1,$P$5:$R$25,3,FALSE))</f>
        <v>470209.59496245906</v>
      </c>
      <c r="W20" s="45">
        <f t="shared" ref="W20:W32" si="29">MIN(MAX(G20-VLOOKUP($S20+W$4-1,$P$5:$R$25,2,FALSE),0),VLOOKUP($S20+W$4-1,$P$5:$R$25,3,FALSE))</f>
        <v>301627.84780333284</v>
      </c>
      <c r="X20" s="45">
        <f t="shared" ref="X20:X32" si="30">MIN(MAX(H20-VLOOKUP($S20+X$4-1,$P$5:$R$25,2,FALSE),0),VLOOKUP($S20+X$4-1,$P$5:$R$25,3,FALSE))</f>
        <v>127191.61329389177</v>
      </c>
      <c r="Y20" s="45">
        <f t="shared" ref="Y20:Y32" si="31">MIN(MAX(I20-VLOOKUP($S20+Y$4-1,$P$5:$R$25,2,FALSE),0),VLOOKUP($S20+Y$4-1,$P$5:$R$25,3,FALSE))</f>
        <v>0</v>
      </c>
      <c r="Z20" s="45">
        <f t="shared" ref="Z20:Z32" si="32">MIN(MAX(J20-VLOOKUP($S20+Z$4-1,$P$5:$R$25,2,FALSE),0),VLOOKUP($S20+Z$4-1,$P$5:$R$25,3,FALSE))</f>
        <v>0</v>
      </c>
      <c r="AA20" s="45">
        <f t="shared" ref="AA20:AA32" si="33">MIN(MAX(K20-VLOOKUP($S20+AA$4-1,$P$5:$R$25,2,FALSE),0),VLOOKUP($S20+AA$4-1,$P$5:$R$25,3,FALSE))</f>
        <v>0</v>
      </c>
      <c r="AB20" s="45">
        <f t="shared" ref="AB20:AB32" si="34">MIN(MAX(L20-VLOOKUP($S20+AB$4-1,$P$5:$R$25,2,FALSE),0),VLOOKUP($S20+AB$4-1,$P$5:$R$25,3,FALSE))</f>
        <v>0</v>
      </c>
      <c r="AD20" s="45">
        <f t="shared" si="13"/>
        <v>0</v>
      </c>
      <c r="AH20">
        <f>Stability_Clause!$A19</f>
        <v>2031</v>
      </c>
      <c r="AI20" s="45">
        <f>Stability_Clause!F19</f>
        <v>14707813.810788408</v>
      </c>
      <c r="AJ20" s="45">
        <f>Stability_Clause!G19</f>
        <v>29415627.621576816</v>
      </c>
      <c r="AK20">
        <f t="shared" si="14"/>
        <v>2017</v>
      </c>
      <c r="AL20" s="45">
        <f t="shared" ref="AL20:AL32" si="35">MIN(MAX(D20-VLOOKUP($AK20+AL$4-1,$AH$5:$AJ$25,2,FALSE),0),VLOOKUP($AK20+AL$4-1,$AH$5:$AJ$25,3,FALSE))</f>
        <v>0</v>
      </c>
      <c r="AM20" s="45">
        <f t="shared" ref="AM20:AM32" si="36">MIN(MAX(E20-VLOOKUP($AK20+AM$4-1,$AH$5:$AJ$25,2,FALSE),0),VLOOKUP($AK20+AM$4-1,$AH$5:$AJ$25,3,FALSE))</f>
        <v>0</v>
      </c>
      <c r="AN20" s="45">
        <f t="shared" ref="AN20:AN32" si="37">MIN(MAX(F20-VLOOKUP($AK20+AN$4-1,$AH$5:$AJ$25,2,FALSE),0),VLOOKUP($AK20+AN$4-1,$AH$5:$AJ$25,3,FALSE))</f>
        <v>0</v>
      </c>
      <c r="AO20" s="45">
        <f t="shared" ref="AO20:AO32" si="38">MIN(MAX(G20-VLOOKUP($AK20+AO$4-1,$AH$5:$AJ$25,2,FALSE),0),VLOOKUP($AK20+AO$4-1,$AH$5:$AJ$25,3,FALSE))</f>
        <v>0</v>
      </c>
      <c r="AP20" s="45">
        <f t="shared" ref="AP20:AP32" si="39">MIN(MAX(H20-VLOOKUP($AK20+AP$4-1,$AH$5:$AJ$25,2,FALSE),0),VLOOKUP($AK20+AP$4-1,$AH$5:$AJ$25,3,FALSE))</f>
        <v>0</v>
      </c>
      <c r="AQ20" s="45">
        <f t="shared" ref="AQ20:AQ32" si="40">MIN(MAX(I20-VLOOKUP($AK20+AQ$4-1,$AH$5:$AJ$25,2,FALSE),0),VLOOKUP($AK20+AQ$4-1,$AH$5:$AJ$25,3,FALSE))</f>
        <v>0</v>
      </c>
      <c r="AR20" s="45">
        <f t="shared" ref="AR20:AR32" si="41">MIN(MAX(J20-VLOOKUP($AK20+AR$4-1,$AH$5:$AJ$25,2,FALSE),0),VLOOKUP($AK20+AR$4-1,$AH$5:$AJ$25,3,FALSE))</f>
        <v>0</v>
      </c>
      <c r="AS20" s="45">
        <f t="shared" ref="AS20:AS32" si="42">MIN(MAX(K20-VLOOKUP($AK20+AS$4-1,$AH$5:$AJ$25,2,FALSE),0),VLOOKUP($AK20+AS$4-1,$AH$5:$AJ$25,3,FALSE))</f>
        <v>0</v>
      </c>
      <c r="AT20" s="45">
        <f t="shared" ref="AT20:AT32" si="43">MIN(MAX(L20-VLOOKUP($AK20+AT$4-1,$AH$5:$AJ$25,2,FALSE),0),VLOOKUP($AK20+AT$4-1,$AH$5:$AJ$25,3,FALSE))</f>
        <v>0</v>
      </c>
      <c r="AV20" s="45">
        <f t="shared" si="25"/>
        <v>0</v>
      </c>
    </row>
    <row r="21" spans="3:48" x14ac:dyDescent="0.3">
      <c r="C21">
        <f>Incurred_loss!R19</f>
        <v>2017</v>
      </c>
      <c r="D21" s="45">
        <f>Incurred_loss!S19</f>
        <v>3472143.2404432977</v>
      </c>
      <c r="E21" s="45">
        <f>Incurred_loss!T19</f>
        <v>1949690.9370552276</v>
      </c>
      <c r="F21" s="45">
        <f>Incurred_loss!U19</f>
        <v>2424250.6844135746</v>
      </c>
      <c r="G21" s="45">
        <f>Incurred_loss!V19</f>
        <v>2156709.6996040354</v>
      </c>
      <c r="H21" s="45">
        <f>Incurred_loss!W19</f>
        <v>2159021.2505650679</v>
      </c>
      <c r="I21" s="45">
        <f>Incurred_loss!X19</f>
        <v>2119925.2035879735</v>
      </c>
      <c r="J21" s="45">
        <f>Incurred_loss!Y19</f>
        <v>2133255.8133411473</v>
      </c>
      <c r="K21" s="45">
        <f>Incurred_loss!Z19</f>
        <v>2108064.4512475119</v>
      </c>
      <c r="L21" s="45">
        <f>Incurred_loss!AA19</f>
        <v>2118591.0909190089</v>
      </c>
      <c r="N21" s="48">
        <f>XL_Pure_Premium!$O21</f>
        <v>2118591.0909190089</v>
      </c>
      <c r="P21">
        <f>Stability_Clause!A20</f>
        <v>2032</v>
      </c>
      <c r="Q21" s="45">
        <f>Stability_Clause!D20</f>
        <v>5989021.7837530402</v>
      </c>
      <c r="R21" s="45">
        <f>Stability_Clause!E20</f>
        <v>8983532.6756295599</v>
      </c>
      <c r="S21">
        <f t="shared" si="2"/>
        <v>2017</v>
      </c>
      <c r="T21" s="45">
        <f t="shared" si="26"/>
        <v>0</v>
      </c>
      <c r="U21" s="45">
        <f t="shared" si="27"/>
        <v>0</v>
      </c>
      <c r="V21" s="45">
        <f t="shared" si="28"/>
        <v>0</v>
      </c>
      <c r="W21" s="45">
        <f t="shared" si="29"/>
        <v>0</v>
      </c>
      <c r="X21" s="45">
        <f t="shared" si="30"/>
        <v>0</v>
      </c>
      <c r="Y21" s="45">
        <f t="shared" si="31"/>
        <v>0</v>
      </c>
      <c r="Z21" s="45">
        <f t="shared" si="32"/>
        <v>0</v>
      </c>
      <c r="AA21" s="45">
        <f t="shared" si="33"/>
        <v>0</v>
      </c>
      <c r="AB21" s="45">
        <f t="shared" si="34"/>
        <v>0</v>
      </c>
      <c r="AD21" s="45">
        <f t="shared" si="13"/>
        <v>0</v>
      </c>
      <c r="AH21">
        <f>Stability_Clause!$A20</f>
        <v>2032</v>
      </c>
      <c r="AI21" s="45">
        <f>Stability_Clause!F20</f>
        <v>14972554.459382601</v>
      </c>
      <c r="AJ21" s="45">
        <f>Stability_Clause!G20</f>
        <v>29945108.918765202</v>
      </c>
      <c r="AK21">
        <f t="shared" si="14"/>
        <v>2017</v>
      </c>
      <c r="AL21" s="45">
        <f t="shared" si="35"/>
        <v>0</v>
      </c>
      <c r="AM21" s="45">
        <f t="shared" si="36"/>
        <v>0</v>
      </c>
      <c r="AN21" s="45">
        <f t="shared" si="37"/>
        <v>0</v>
      </c>
      <c r="AO21" s="45">
        <f t="shared" si="38"/>
        <v>0</v>
      </c>
      <c r="AP21" s="45">
        <f t="shared" si="39"/>
        <v>0</v>
      </c>
      <c r="AQ21" s="45">
        <f t="shared" si="40"/>
        <v>0</v>
      </c>
      <c r="AR21" s="45">
        <f t="shared" si="41"/>
        <v>0</v>
      </c>
      <c r="AS21" s="45">
        <f t="shared" si="42"/>
        <v>0</v>
      </c>
      <c r="AT21" s="45">
        <f t="shared" si="43"/>
        <v>0</v>
      </c>
      <c r="AV21" s="45">
        <f t="shared" si="25"/>
        <v>0</v>
      </c>
    </row>
    <row r="22" spans="3:48" x14ac:dyDescent="0.3">
      <c r="C22">
        <f>Incurred_loss!R20</f>
        <v>2017</v>
      </c>
      <c r="D22" s="45">
        <f>Incurred_loss!S20</f>
        <v>2954121.0922918534</v>
      </c>
      <c r="E22" s="45">
        <f>Incurred_loss!T20</f>
        <v>3280641.6895101597</v>
      </c>
      <c r="F22" s="45">
        <f>Incurred_loss!U20</f>
        <v>3305010.5059686364</v>
      </c>
      <c r="G22" s="45">
        <f>Incurred_loss!V20</f>
        <v>3114595.6261554048</v>
      </c>
      <c r="H22" s="45">
        <f>Incurred_loss!W20</f>
        <v>3389154.6476252633</v>
      </c>
      <c r="I22" s="45">
        <f>Incurred_loss!X20</f>
        <v>3157887.5143518136</v>
      </c>
      <c r="J22" s="45">
        <f>Incurred_loss!Y20</f>
        <v>3189960.9233727013</v>
      </c>
      <c r="K22" s="45">
        <f>Incurred_loss!Z20</f>
        <v>3140606.9210096924</v>
      </c>
      <c r="L22" s="45">
        <f>Incurred_loss!AA20</f>
        <v>3147983.3311646944</v>
      </c>
      <c r="N22" s="48">
        <f>XL_Pure_Premium!$O22</f>
        <v>3147983.3311646944</v>
      </c>
      <c r="P22">
        <f>Stability_Clause!A21</f>
        <v>2033</v>
      </c>
      <c r="Q22" s="45">
        <f>Stability_Clause!D21</f>
        <v>6096824.175860595</v>
      </c>
      <c r="R22" s="45">
        <f>Stability_Clause!E21</f>
        <v>9145236.2637908924</v>
      </c>
      <c r="S22">
        <f t="shared" si="2"/>
        <v>2017</v>
      </c>
      <c r="T22" s="45">
        <f t="shared" si="26"/>
        <v>0</v>
      </c>
      <c r="U22" s="45">
        <f t="shared" si="27"/>
        <v>0</v>
      </c>
      <c r="V22" s="45">
        <f t="shared" si="28"/>
        <v>0</v>
      </c>
      <c r="W22" s="45">
        <f t="shared" si="29"/>
        <v>0</v>
      </c>
      <c r="X22" s="45">
        <f t="shared" si="30"/>
        <v>0</v>
      </c>
      <c r="Y22" s="45">
        <f t="shared" si="31"/>
        <v>0</v>
      </c>
      <c r="Z22" s="45">
        <f t="shared" si="32"/>
        <v>0</v>
      </c>
      <c r="AA22" s="45">
        <f t="shared" si="33"/>
        <v>0</v>
      </c>
      <c r="AB22" s="45">
        <f t="shared" si="34"/>
        <v>0</v>
      </c>
      <c r="AD22" s="45">
        <f t="shared" si="13"/>
        <v>0</v>
      </c>
      <c r="AH22">
        <f>Stability_Clause!$A21</f>
        <v>2033</v>
      </c>
      <c r="AI22" s="45">
        <f>Stability_Clause!F21</f>
        <v>15242060.439651487</v>
      </c>
      <c r="AJ22" s="45">
        <f>Stability_Clause!G21</f>
        <v>30484120.879302975</v>
      </c>
      <c r="AK22">
        <f t="shared" si="14"/>
        <v>2017</v>
      </c>
      <c r="AL22" s="45">
        <f t="shared" si="35"/>
        <v>0</v>
      </c>
      <c r="AM22" s="45">
        <f t="shared" si="36"/>
        <v>0</v>
      </c>
      <c r="AN22" s="45">
        <f t="shared" si="37"/>
        <v>0</v>
      </c>
      <c r="AO22" s="45">
        <f t="shared" si="38"/>
        <v>0</v>
      </c>
      <c r="AP22" s="45">
        <f t="shared" si="39"/>
        <v>0</v>
      </c>
      <c r="AQ22" s="45">
        <f t="shared" si="40"/>
        <v>0</v>
      </c>
      <c r="AR22" s="45">
        <f t="shared" si="41"/>
        <v>0</v>
      </c>
      <c r="AS22" s="45">
        <f t="shared" si="42"/>
        <v>0</v>
      </c>
      <c r="AT22" s="45">
        <f t="shared" si="43"/>
        <v>0</v>
      </c>
      <c r="AV22" s="45">
        <f t="shared" si="25"/>
        <v>0</v>
      </c>
    </row>
    <row r="23" spans="3:48" x14ac:dyDescent="0.3">
      <c r="C23">
        <f>Incurred_loss!R21</f>
        <v>2017</v>
      </c>
      <c r="D23" s="45">
        <f>Incurred_loss!S21</f>
        <v>3110941.0010807123</v>
      </c>
      <c r="E23" s="45">
        <f>Incurred_loss!T21</f>
        <v>2220941.5548027237</v>
      </c>
      <c r="F23" s="45">
        <f>Incurred_loss!U21</f>
        <v>1383479.7310885845</v>
      </c>
      <c r="G23" s="45">
        <f>Incurred_loss!V21</f>
        <v>1911896.1208925638</v>
      </c>
      <c r="H23" s="45">
        <f>Incurred_loss!W21</f>
        <v>1960747.1198002892</v>
      </c>
      <c r="I23" s="45">
        <f>Incurred_loss!X21</f>
        <v>1960747.0870069421</v>
      </c>
      <c r="J23" s="45">
        <f>Incurred_loss!Y21</f>
        <v>1960747.078357711</v>
      </c>
      <c r="K23" s="45">
        <f>Incurred_loss!Z21</f>
        <v>1960747.0783812099</v>
      </c>
      <c r="L23" s="45">
        <f>Incurred_loss!AA21</f>
        <v>1960747.0783730501</v>
      </c>
      <c r="N23" s="48">
        <f>XL_Pure_Premium!$O23</f>
        <v>1960747.0783730501</v>
      </c>
      <c r="P23">
        <f>Stability_Clause!A22</f>
        <v>2034</v>
      </c>
      <c r="Q23" s="45">
        <f>Stability_Clause!D22</f>
        <v>6206567.0110260863</v>
      </c>
      <c r="R23" s="45">
        <f>Stability_Clause!E22</f>
        <v>9309850.5165391304</v>
      </c>
      <c r="S23">
        <f t="shared" si="2"/>
        <v>2017</v>
      </c>
      <c r="T23" s="45">
        <f t="shared" si="26"/>
        <v>0</v>
      </c>
      <c r="U23" s="45">
        <f t="shared" si="27"/>
        <v>0</v>
      </c>
      <c r="V23" s="45">
        <f t="shared" si="28"/>
        <v>0</v>
      </c>
      <c r="W23" s="45">
        <f t="shared" si="29"/>
        <v>0</v>
      </c>
      <c r="X23" s="45">
        <f t="shared" si="30"/>
        <v>0</v>
      </c>
      <c r="Y23" s="45">
        <f t="shared" si="31"/>
        <v>0</v>
      </c>
      <c r="Z23" s="45">
        <f t="shared" si="32"/>
        <v>0</v>
      </c>
      <c r="AA23" s="45">
        <f t="shared" si="33"/>
        <v>0</v>
      </c>
      <c r="AB23" s="45">
        <f t="shared" si="34"/>
        <v>0</v>
      </c>
      <c r="AD23" s="45">
        <f t="shared" si="13"/>
        <v>0</v>
      </c>
      <c r="AH23">
        <f>Stability_Clause!$A22</f>
        <v>2034</v>
      </c>
      <c r="AI23" s="45">
        <f>Stability_Clause!F22</f>
        <v>15516417.527565217</v>
      </c>
      <c r="AJ23" s="45">
        <f>Stability_Clause!G22</f>
        <v>31032835.055130433</v>
      </c>
      <c r="AK23">
        <f t="shared" si="14"/>
        <v>2017</v>
      </c>
      <c r="AL23" s="45">
        <f t="shared" si="35"/>
        <v>0</v>
      </c>
      <c r="AM23" s="45">
        <f t="shared" si="36"/>
        <v>0</v>
      </c>
      <c r="AN23" s="45">
        <f t="shared" si="37"/>
        <v>0</v>
      </c>
      <c r="AO23" s="45">
        <f t="shared" si="38"/>
        <v>0</v>
      </c>
      <c r="AP23" s="45">
        <f t="shared" si="39"/>
        <v>0</v>
      </c>
      <c r="AQ23" s="45">
        <f t="shared" si="40"/>
        <v>0</v>
      </c>
      <c r="AR23" s="45">
        <f t="shared" si="41"/>
        <v>0</v>
      </c>
      <c r="AS23" s="45">
        <f t="shared" si="42"/>
        <v>0</v>
      </c>
      <c r="AT23" s="45">
        <f t="shared" si="43"/>
        <v>0</v>
      </c>
      <c r="AV23" s="45">
        <f t="shared" si="25"/>
        <v>0</v>
      </c>
    </row>
    <row r="24" spans="3:48" x14ac:dyDescent="0.3">
      <c r="C24">
        <f>Incurred_loss!R22</f>
        <v>2017</v>
      </c>
      <c r="D24" s="45">
        <f>Incurred_loss!S22</f>
        <v>2543585.7694570827</v>
      </c>
      <c r="E24" s="45">
        <f>Incurred_loss!T22</f>
        <v>3569624.0675953315</v>
      </c>
      <c r="F24" s="45">
        <f>Incurred_loss!U22</f>
        <v>3925297.1807503095</v>
      </c>
      <c r="G24" s="45">
        <f>Incurred_loss!V22</f>
        <v>4084692.1976764998</v>
      </c>
      <c r="H24" s="45">
        <f>Incurred_loss!W22</f>
        <v>4111325.6791235469</v>
      </c>
      <c r="I24" s="45">
        <f>Incurred_loss!X22</f>
        <v>4102037.7711516437</v>
      </c>
      <c r="J24" s="45">
        <f>Incurred_loss!Y22</f>
        <v>4101583.5006314749</v>
      </c>
      <c r="K24" s="45">
        <f>Incurred_loss!Z22</f>
        <v>4099353.1421023337</v>
      </c>
      <c r="L24" s="45">
        <f>Incurred_loss!AA22</f>
        <v>4100753.9297875995</v>
      </c>
      <c r="N24" s="48">
        <f>XL_Pure_Premium!$O24</f>
        <v>4100753.9297875995</v>
      </c>
      <c r="P24">
        <f>Stability_Clause!A23</f>
        <v>2035</v>
      </c>
      <c r="Q24" s="45">
        <f>Stability_Clause!D23</f>
        <v>6318285.2172245551</v>
      </c>
      <c r="R24" s="45">
        <f>Stability_Clause!E23</f>
        <v>9477427.8258368336</v>
      </c>
      <c r="S24">
        <f t="shared" si="2"/>
        <v>2017</v>
      </c>
      <c r="T24" s="45">
        <f t="shared" si="26"/>
        <v>0</v>
      </c>
      <c r="U24" s="45">
        <f t="shared" si="27"/>
        <v>0</v>
      </c>
      <c r="V24" s="45">
        <f t="shared" si="28"/>
        <v>0</v>
      </c>
      <c r="W24" s="45">
        <f t="shared" si="29"/>
        <v>0</v>
      </c>
      <c r="X24" s="45">
        <f t="shared" si="30"/>
        <v>0</v>
      </c>
      <c r="Y24" s="45">
        <f t="shared" si="31"/>
        <v>0</v>
      </c>
      <c r="Z24" s="45">
        <f t="shared" si="32"/>
        <v>0</v>
      </c>
      <c r="AA24" s="45">
        <f t="shared" si="33"/>
        <v>0</v>
      </c>
      <c r="AB24" s="45">
        <f t="shared" si="34"/>
        <v>0</v>
      </c>
      <c r="AD24" s="45">
        <f t="shared" si="13"/>
        <v>0</v>
      </c>
      <c r="AH24">
        <f>Stability_Clause!$A23</f>
        <v>2035</v>
      </c>
      <c r="AI24" s="45">
        <f>Stability_Clause!F23</f>
        <v>15795713.043061389</v>
      </c>
      <c r="AJ24" s="45">
        <f>Stability_Clause!G23</f>
        <v>31591426.086122777</v>
      </c>
      <c r="AK24">
        <f t="shared" si="14"/>
        <v>2017</v>
      </c>
      <c r="AL24" s="45">
        <f t="shared" si="35"/>
        <v>0</v>
      </c>
      <c r="AM24" s="45">
        <f t="shared" si="36"/>
        <v>0</v>
      </c>
      <c r="AN24" s="45">
        <f t="shared" si="37"/>
        <v>0</v>
      </c>
      <c r="AO24" s="45">
        <f t="shared" si="38"/>
        <v>0</v>
      </c>
      <c r="AP24" s="45">
        <f t="shared" si="39"/>
        <v>0</v>
      </c>
      <c r="AQ24" s="45">
        <f t="shared" si="40"/>
        <v>0</v>
      </c>
      <c r="AR24" s="45">
        <f t="shared" si="41"/>
        <v>0</v>
      </c>
      <c r="AS24" s="45">
        <f t="shared" si="42"/>
        <v>0</v>
      </c>
      <c r="AT24" s="45">
        <f t="shared" si="43"/>
        <v>0</v>
      </c>
      <c r="AV24" s="45">
        <f t="shared" si="25"/>
        <v>0</v>
      </c>
    </row>
    <row r="25" spans="3:48" x14ac:dyDescent="0.3">
      <c r="C25">
        <f>Incurred_loss!R23</f>
        <v>2017</v>
      </c>
      <c r="D25" s="45">
        <f>Incurred_loss!S23</f>
        <v>1527914.4039625286</v>
      </c>
      <c r="E25" s="45">
        <f>Incurred_loss!T23</f>
        <v>1495286.886468648</v>
      </c>
      <c r="F25" s="45">
        <f>Incurred_loss!U23</f>
        <v>1484519.4019812248</v>
      </c>
      <c r="G25" s="45">
        <f>Incurred_loss!V23</f>
        <v>1669537.0033176767</v>
      </c>
      <c r="H25" s="45">
        <f>Incurred_loss!W23</f>
        <v>1660390.5280471023</v>
      </c>
      <c r="I25" s="45">
        <f>Incurred_loss!X23</f>
        <v>1659005.2846404545</v>
      </c>
      <c r="J25" s="45">
        <f>Incurred_loss!Y23</f>
        <v>1659678.2315805538</v>
      </c>
      <c r="K25" s="45">
        <f>Incurred_loss!Z23</f>
        <v>1659350.9232021885</v>
      </c>
      <c r="L25" s="45">
        <f>Incurred_loss!AA23</f>
        <v>1659147.7848088506</v>
      </c>
      <c r="N25" s="48">
        <f>XL_Pure_Premium!$O25</f>
        <v>1659147.7848088506</v>
      </c>
      <c r="P25">
        <f>Stability_Clause!A24</f>
        <v>2036</v>
      </c>
      <c r="Q25" s="45">
        <f>Stability_Clause!D24</f>
        <v>6432014.3511345973</v>
      </c>
      <c r="R25" s="45">
        <f>Stability_Clause!E24</f>
        <v>9648021.5267018955</v>
      </c>
      <c r="S25">
        <f t="shared" si="2"/>
        <v>2017</v>
      </c>
      <c r="T25" s="45">
        <f t="shared" si="26"/>
        <v>0</v>
      </c>
      <c r="U25" s="45">
        <f t="shared" si="27"/>
        <v>0</v>
      </c>
      <c r="V25" s="45">
        <f t="shared" si="28"/>
        <v>0</v>
      </c>
      <c r="W25" s="45">
        <f t="shared" si="29"/>
        <v>0</v>
      </c>
      <c r="X25" s="45">
        <f t="shared" si="30"/>
        <v>0</v>
      </c>
      <c r="Y25" s="45">
        <f t="shared" si="31"/>
        <v>0</v>
      </c>
      <c r="Z25" s="45">
        <f t="shared" si="32"/>
        <v>0</v>
      </c>
      <c r="AA25" s="45">
        <f t="shared" si="33"/>
        <v>0</v>
      </c>
      <c r="AB25" s="45">
        <f t="shared" si="34"/>
        <v>0</v>
      </c>
      <c r="AD25" s="45">
        <f t="shared" si="13"/>
        <v>0</v>
      </c>
      <c r="AH25">
        <f>Stability_Clause!$A24</f>
        <v>2036</v>
      </c>
      <c r="AI25" s="45">
        <f>Stability_Clause!F24</f>
        <v>16080035.877836494</v>
      </c>
      <c r="AJ25" s="45">
        <f>Stability_Clause!G24</f>
        <v>32160071.755672988</v>
      </c>
      <c r="AK25">
        <f t="shared" si="14"/>
        <v>2017</v>
      </c>
      <c r="AL25" s="45">
        <f t="shared" si="35"/>
        <v>0</v>
      </c>
      <c r="AM25" s="45">
        <f t="shared" si="36"/>
        <v>0</v>
      </c>
      <c r="AN25" s="45">
        <f t="shared" si="37"/>
        <v>0</v>
      </c>
      <c r="AO25" s="45">
        <f t="shared" si="38"/>
        <v>0</v>
      </c>
      <c r="AP25" s="45">
        <f t="shared" si="39"/>
        <v>0</v>
      </c>
      <c r="AQ25" s="45">
        <f t="shared" si="40"/>
        <v>0</v>
      </c>
      <c r="AR25" s="45">
        <f t="shared" si="41"/>
        <v>0</v>
      </c>
      <c r="AS25" s="45">
        <f t="shared" si="42"/>
        <v>0</v>
      </c>
      <c r="AT25" s="45">
        <f t="shared" si="43"/>
        <v>0</v>
      </c>
      <c r="AV25" s="45">
        <f t="shared" si="25"/>
        <v>0</v>
      </c>
    </row>
    <row r="26" spans="3:48" x14ac:dyDescent="0.3">
      <c r="C26">
        <f>Incurred_loss!R24</f>
        <v>2017</v>
      </c>
      <c r="D26" s="45">
        <f>Incurred_loss!S24</f>
        <v>8209874.1330190338</v>
      </c>
      <c r="E26" s="45">
        <f>Incurred_loss!T24</f>
        <v>5466829.6932244627</v>
      </c>
      <c r="F26" s="45">
        <f>Incurred_loss!U24</f>
        <v>5805640.6493491549</v>
      </c>
      <c r="G26" s="45">
        <f>Incurred_loss!V24</f>
        <v>6307365.2347372463</v>
      </c>
      <c r="H26" s="45">
        <f>Incurred_loss!W24</f>
        <v>6051517.0829876773</v>
      </c>
      <c r="I26" s="45">
        <f>Incurred_loss!X24</f>
        <v>6026292.4886613004</v>
      </c>
      <c r="J26" s="45">
        <f>Incurred_loss!Y24</f>
        <v>6026256.0153700635</v>
      </c>
      <c r="K26" s="45">
        <f>Incurred_loss!Z24</f>
        <v>6026251.7508366769</v>
      </c>
      <c r="L26" s="45">
        <f>Incurred_loss!AA24</f>
        <v>6026242.8946571602</v>
      </c>
      <c r="N26" s="48">
        <f>XL_Pure_Premium!$O26</f>
        <v>6026242.8946571602</v>
      </c>
      <c r="S26">
        <f t="shared" si="2"/>
        <v>2017</v>
      </c>
      <c r="T26" s="45">
        <f t="shared" si="26"/>
        <v>4124759.7718729884</v>
      </c>
      <c r="U26" s="45">
        <f t="shared" si="27"/>
        <v>1297887.653789727</v>
      </c>
      <c r="V26" s="45">
        <f t="shared" si="28"/>
        <v>1576603.7407474406</v>
      </c>
      <c r="W26" s="45">
        <f t="shared" si="29"/>
        <v>2046976.0779084647</v>
      </c>
      <c r="X26" s="45">
        <f t="shared" si="30"/>
        <v>1687138.4261123268</v>
      </c>
      <c r="Y26" s="45">
        <f t="shared" si="31"/>
        <v>1243835.727610196</v>
      </c>
      <c r="Z26" s="45">
        <f t="shared" si="32"/>
        <v>1047040.2715660706</v>
      </c>
      <c r="AA26" s="45">
        <f t="shared" si="33"/>
        <v>890483.40663334727</v>
      </c>
      <c r="AB26" s="45">
        <f t="shared" si="34"/>
        <v>763573.02470496669</v>
      </c>
      <c r="AD26" s="45">
        <f t="shared" si="13"/>
        <v>548306.27975159977</v>
      </c>
      <c r="AK26">
        <f t="shared" si="14"/>
        <v>2017</v>
      </c>
      <c r="AL26" s="45">
        <f t="shared" si="35"/>
        <v>0</v>
      </c>
      <c r="AM26" s="45">
        <f t="shared" si="36"/>
        <v>0</v>
      </c>
      <c r="AN26" s="45">
        <f t="shared" si="37"/>
        <v>0</v>
      </c>
      <c r="AO26" s="45">
        <f t="shared" si="38"/>
        <v>0</v>
      </c>
      <c r="AP26" s="45">
        <f t="shared" si="39"/>
        <v>0</v>
      </c>
      <c r="AQ26" s="45">
        <f t="shared" si="40"/>
        <v>0</v>
      </c>
      <c r="AR26" s="45">
        <f t="shared" si="41"/>
        <v>0</v>
      </c>
      <c r="AS26" s="45">
        <f t="shared" si="42"/>
        <v>0</v>
      </c>
      <c r="AT26" s="45">
        <f t="shared" si="43"/>
        <v>0</v>
      </c>
      <c r="AV26" s="45">
        <f t="shared" si="25"/>
        <v>0</v>
      </c>
    </row>
    <row r="27" spans="3:48" x14ac:dyDescent="0.3">
      <c r="C27">
        <f>Incurred_loss!R25</f>
        <v>2017</v>
      </c>
      <c r="D27" s="45">
        <f>Incurred_loss!S25</f>
        <v>2565913.1861936403</v>
      </c>
      <c r="E27" s="45">
        <f>Incurred_loss!T25</f>
        <v>4057496.6511498117</v>
      </c>
      <c r="F27" s="45">
        <f>Incurred_loss!U25</f>
        <v>2129306.4964282732</v>
      </c>
      <c r="G27" s="45">
        <f>Incurred_loss!V25</f>
        <v>2182322.7114651278</v>
      </c>
      <c r="H27" s="45">
        <f>Incurred_loss!W25</f>
        <v>2335214.5489606978</v>
      </c>
      <c r="I27" s="45">
        <f>Incurred_loss!X25</f>
        <v>2363665.5245466307</v>
      </c>
      <c r="J27" s="45">
        <f>Incurred_loss!Y25</f>
        <v>2343612.5904779388</v>
      </c>
      <c r="K27" s="45">
        <f>Incurred_loss!Z25</f>
        <v>2344063.7657622667</v>
      </c>
      <c r="L27" s="45">
        <f>Incurred_loss!AA25</f>
        <v>2345303.9227981973</v>
      </c>
      <c r="N27" s="48">
        <f>XL_Pure_Premium!$O27</f>
        <v>2345303.9227981973</v>
      </c>
      <c r="S27">
        <f t="shared" si="2"/>
        <v>2017</v>
      </c>
      <c r="T27" s="45">
        <f t="shared" si="26"/>
        <v>0</v>
      </c>
      <c r="U27" s="45">
        <f t="shared" si="27"/>
        <v>0</v>
      </c>
      <c r="V27" s="45">
        <f t="shared" si="28"/>
        <v>0</v>
      </c>
      <c r="W27" s="45">
        <f t="shared" si="29"/>
        <v>0</v>
      </c>
      <c r="X27" s="45">
        <f t="shared" si="30"/>
        <v>0</v>
      </c>
      <c r="Y27" s="45">
        <f t="shared" si="31"/>
        <v>0</v>
      </c>
      <c r="Z27" s="45">
        <f t="shared" si="32"/>
        <v>0</v>
      </c>
      <c r="AA27" s="45">
        <f t="shared" si="33"/>
        <v>0</v>
      </c>
      <c r="AB27" s="45">
        <f t="shared" si="34"/>
        <v>0</v>
      </c>
      <c r="AD27" s="45">
        <f t="shared" si="13"/>
        <v>0</v>
      </c>
      <c r="AK27">
        <f t="shared" si="14"/>
        <v>2017</v>
      </c>
      <c r="AL27" s="45">
        <f t="shared" si="35"/>
        <v>0</v>
      </c>
      <c r="AM27" s="45">
        <f t="shared" si="36"/>
        <v>0</v>
      </c>
      <c r="AN27" s="45">
        <f t="shared" si="37"/>
        <v>0</v>
      </c>
      <c r="AO27" s="45">
        <f t="shared" si="38"/>
        <v>0</v>
      </c>
      <c r="AP27" s="45">
        <f t="shared" si="39"/>
        <v>0</v>
      </c>
      <c r="AQ27" s="45">
        <f t="shared" si="40"/>
        <v>0</v>
      </c>
      <c r="AR27" s="45">
        <f t="shared" si="41"/>
        <v>0</v>
      </c>
      <c r="AS27" s="45">
        <f t="shared" si="42"/>
        <v>0</v>
      </c>
      <c r="AT27" s="45">
        <f t="shared" si="43"/>
        <v>0</v>
      </c>
      <c r="AV27" s="45">
        <f t="shared" si="25"/>
        <v>0</v>
      </c>
    </row>
    <row r="28" spans="3:48" x14ac:dyDescent="0.3">
      <c r="C28">
        <f>Incurred_loss!R26</f>
        <v>2017</v>
      </c>
      <c r="D28" s="45">
        <f>Incurred_loss!S26</f>
        <v>1657511.0016514342</v>
      </c>
      <c r="E28" s="45">
        <f>Incurred_loss!T26</f>
        <v>1978766.9443399711</v>
      </c>
      <c r="F28" s="45">
        <f>Incurred_loss!U26</f>
        <v>1680079.8555134607</v>
      </c>
      <c r="G28" s="45">
        <f>Incurred_loss!V26</f>
        <v>1759297.199428797</v>
      </c>
      <c r="H28" s="45">
        <f>Incurred_loss!W26</f>
        <v>1633029.1160748368</v>
      </c>
      <c r="I28" s="45">
        <f>Incurred_loss!X26</f>
        <v>1709947.1303271821</v>
      </c>
      <c r="J28" s="45">
        <f>Incurred_loss!Y26</f>
        <v>1680131.9297368489</v>
      </c>
      <c r="K28" s="45">
        <f>Incurred_loss!Z26</f>
        <v>1677253.1475088238</v>
      </c>
      <c r="L28" s="45">
        <f>Incurred_loss!AA26</f>
        <v>1674741.1043204458</v>
      </c>
      <c r="N28" s="48">
        <f>XL_Pure_Premium!$O28</f>
        <v>1674741.1043204458</v>
      </c>
      <c r="S28">
        <f t="shared" si="2"/>
        <v>2017</v>
      </c>
      <c r="T28" s="45">
        <f t="shared" si="26"/>
        <v>0</v>
      </c>
      <c r="U28" s="45">
        <f t="shared" si="27"/>
        <v>0</v>
      </c>
      <c r="V28" s="45">
        <f t="shared" si="28"/>
        <v>0</v>
      </c>
      <c r="W28" s="45">
        <f t="shared" si="29"/>
        <v>0</v>
      </c>
      <c r="X28" s="45">
        <f t="shared" si="30"/>
        <v>0</v>
      </c>
      <c r="Y28" s="45">
        <f t="shared" si="31"/>
        <v>0</v>
      </c>
      <c r="Z28" s="45">
        <f t="shared" si="32"/>
        <v>0</v>
      </c>
      <c r="AA28" s="45">
        <f t="shared" si="33"/>
        <v>0</v>
      </c>
      <c r="AB28" s="45">
        <f t="shared" si="34"/>
        <v>0</v>
      </c>
      <c r="AD28" s="45">
        <f t="shared" si="13"/>
        <v>0</v>
      </c>
      <c r="AK28">
        <f t="shared" si="14"/>
        <v>2017</v>
      </c>
      <c r="AL28" s="45">
        <f t="shared" si="35"/>
        <v>0</v>
      </c>
      <c r="AM28" s="45">
        <f t="shared" si="36"/>
        <v>0</v>
      </c>
      <c r="AN28" s="45">
        <f t="shared" si="37"/>
        <v>0</v>
      </c>
      <c r="AO28" s="45">
        <f t="shared" si="38"/>
        <v>0</v>
      </c>
      <c r="AP28" s="45">
        <f t="shared" si="39"/>
        <v>0</v>
      </c>
      <c r="AQ28" s="45">
        <f t="shared" si="40"/>
        <v>0</v>
      </c>
      <c r="AR28" s="45">
        <f t="shared" si="41"/>
        <v>0</v>
      </c>
      <c r="AS28" s="45">
        <f t="shared" si="42"/>
        <v>0</v>
      </c>
      <c r="AT28" s="45">
        <f t="shared" si="43"/>
        <v>0</v>
      </c>
      <c r="AV28" s="45">
        <f t="shared" si="25"/>
        <v>0</v>
      </c>
    </row>
    <row r="29" spans="3:48" x14ac:dyDescent="0.3">
      <c r="C29">
        <f>Incurred_loss!R27</f>
        <v>2017</v>
      </c>
      <c r="D29" s="45">
        <f>Incurred_loss!S27</f>
        <v>1057605.7704876333</v>
      </c>
      <c r="E29" s="45">
        <f>Incurred_loss!T27</f>
        <v>1659589.5877203234</v>
      </c>
      <c r="F29" s="45">
        <f>Incurred_loss!U27</f>
        <v>1122267.7646879354</v>
      </c>
      <c r="G29" s="45">
        <f>Incurred_loss!V27</f>
        <v>1177611.8500038339</v>
      </c>
      <c r="H29" s="45">
        <f>Incurred_loss!W27</f>
        <v>1188135.662533704</v>
      </c>
      <c r="I29" s="45">
        <f>Incurred_loss!X27</f>
        <v>1123871.6942783205</v>
      </c>
      <c r="J29" s="45">
        <f>Incurred_loss!Y27</f>
        <v>1117009.8392926487</v>
      </c>
      <c r="K29" s="45">
        <f>Incurred_loss!Z27</f>
        <v>1117087.605850765</v>
      </c>
      <c r="L29" s="45">
        <f>Incurred_loss!AA27</f>
        <v>1116918.3795102111</v>
      </c>
      <c r="N29" s="48">
        <f>XL_Pure_Premium!$O29</f>
        <v>1116918.3795102111</v>
      </c>
      <c r="S29">
        <f t="shared" si="2"/>
        <v>2017</v>
      </c>
      <c r="T29" s="45">
        <f t="shared" si="26"/>
        <v>0</v>
      </c>
      <c r="U29" s="45">
        <f t="shared" si="27"/>
        <v>0</v>
      </c>
      <c r="V29" s="45">
        <f t="shared" si="28"/>
        <v>0</v>
      </c>
      <c r="W29" s="45">
        <f t="shared" si="29"/>
        <v>0</v>
      </c>
      <c r="X29" s="45">
        <f t="shared" si="30"/>
        <v>0</v>
      </c>
      <c r="Y29" s="45">
        <f t="shared" si="31"/>
        <v>0</v>
      </c>
      <c r="Z29" s="45">
        <f t="shared" si="32"/>
        <v>0</v>
      </c>
      <c r="AA29" s="45">
        <f t="shared" si="33"/>
        <v>0</v>
      </c>
      <c r="AB29" s="45">
        <f t="shared" si="34"/>
        <v>0</v>
      </c>
      <c r="AD29" s="45">
        <f t="shared" si="13"/>
        <v>0</v>
      </c>
      <c r="AK29">
        <f t="shared" si="14"/>
        <v>2017</v>
      </c>
      <c r="AL29" s="45">
        <f t="shared" si="35"/>
        <v>0</v>
      </c>
      <c r="AM29" s="45">
        <f t="shared" si="36"/>
        <v>0</v>
      </c>
      <c r="AN29" s="45">
        <f t="shared" si="37"/>
        <v>0</v>
      </c>
      <c r="AO29" s="45">
        <f t="shared" si="38"/>
        <v>0</v>
      </c>
      <c r="AP29" s="45">
        <f t="shared" si="39"/>
        <v>0</v>
      </c>
      <c r="AQ29" s="45">
        <f t="shared" si="40"/>
        <v>0</v>
      </c>
      <c r="AR29" s="45">
        <f t="shared" si="41"/>
        <v>0</v>
      </c>
      <c r="AS29" s="45">
        <f t="shared" si="42"/>
        <v>0</v>
      </c>
      <c r="AT29" s="45">
        <f t="shared" si="43"/>
        <v>0</v>
      </c>
      <c r="AV29" s="45">
        <f t="shared" si="25"/>
        <v>0</v>
      </c>
    </row>
    <row r="30" spans="3:48" x14ac:dyDescent="0.3">
      <c r="C30">
        <f>Incurred_loss!R28</f>
        <v>2017</v>
      </c>
      <c r="D30" s="45">
        <f>Incurred_loss!S28</f>
        <v>1639376.6754386465</v>
      </c>
      <c r="E30" s="45">
        <f>Incurred_loss!T28</f>
        <v>4339034.6381610818</v>
      </c>
      <c r="F30" s="45">
        <f>Incurred_loss!U28</f>
        <v>3743044.0632876349</v>
      </c>
      <c r="G30" s="45">
        <f>Incurred_loss!V28</f>
        <v>3597192.4409892196</v>
      </c>
      <c r="H30" s="45">
        <f>Incurred_loss!W28</f>
        <v>3546566.5711646262</v>
      </c>
      <c r="I30" s="45">
        <f>Incurred_loss!X28</f>
        <v>3570103.0943055125</v>
      </c>
      <c r="J30" s="45">
        <f>Incurred_loss!Y28</f>
        <v>3570134.4415562204</v>
      </c>
      <c r="K30" s="45">
        <f>Incurred_loss!Z28</f>
        <v>3569619.1574875941</v>
      </c>
      <c r="L30" s="45">
        <f>Incurred_loss!AA28</f>
        <v>3569618.0568383485</v>
      </c>
      <c r="N30" s="48">
        <f>XL_Pure_Premium!$O30</f>
        <v>3569618.0568383485</v>
      </c>
      <c r="S30">
        <f t="shared" si="2"/>
        <v>2017</v>
      </c>
      <c r="T30" s="45">
        <f t="shared" si="26"/>
        <v>0</v>
      </c>
      <c r="U30" s="45">
        <f t="shared" si="27"/>
        <v>170092.59872634616</v>
      </c>
      <c r="V30" s="45">
        <f t="shared" si="28"/>
        <v>0</v>
      </c>
      <c r="W30" s="45">
        <f t="shared" si="29"/>
        <v>0</v>
      </c>
      <c r="X30" s="45">
        <f t="shared" si="30"/>
        <v>0</v>
      </c>
      <c r="Y30" s="45">
        <f t="shared" si="31"/>
        <v>0</v>
      </c>
      <c r="Z30" s="45">
        <f t="shared" si="32"/>
        <v>0</v>
      </c>
      <c r="AA30" s="45">
        <f t="shared" si="33"/>
        <v>0</v>
      </c>
      <c r="AB30" s="45">
        <f t="shared" si="34"/>
        <v>0</v>
      </c>
      <c r="AD30" s="45">
        <f t="shared" si="13"/>
        <v>0</v>
      </c>
      <c r="AK30">
        <f t="shared" si="14"/>
        <v>2017</v>
      </c>
      <c r="AL30" s="45">
        <f t="shared" si="35"/>
        <v>0</v>
      </c>
      <c r="AM30" s="45">
        <f t="shared" si="36"/>
        <v>0</v>
      </c>
      <c r="AN30" s="45">
        <f t="shared" si="37"/>
        <v>0</v>
      </c>
      <c r="AO30" s="45">
        <f t="shared" si="38"/>
        <v>0</v>
      </c>
      <c r="AP30" s="45">
        <f t="shared" si="39"/>
        <v>0</v>
      </c>
      <c r="AQ30" s="45">
        <f t="shared" si="40"/>
        <v>0</v>
      </c>
      <c r="AR30" s="45">
        <f t="shared" si="41"/>
        <v>0</v>
      </c>
      <c r="AS30" s="45">
        <f t="shared" si="42"/>
        <v>0</v>
      </c>
      <c r="AT30" s="45">
        <f t="shared" si="43"/>
        <v>0</v>
      </c>
      <c r="AV30" s="45">
        <f t="shared" si="25"/>
        <v>0</v>
      </c>
    </row>
    <row r="31" spans="3:48" x14ac:dyDescent="0.3">
      <c r="C31">
        <f>Incurred_loss!R29</f>
        <v>2017</v>
      </c>
      <c r="D31" s="45">
        <f>Incurred_loss!S29</f>
        <v>9795765.9902207945</v>
      </c>
      <c r="E31" s="45">
        <f>Incurred_loss!T29</f>
        <v>5591858.8903607754</v>
      </c>
      <c r="F31" s="45">
        <f>Incurred_loss!U29</f>
        <v>4498436.2221482676</v>
      </c>
      <c r="G31" s="45">
        <f>Incurred_loss!V29</f>
        <v>5772221.2181333108</v>
      </c>
      <c r="H31" s="45">
        <f>Incurred_loss!W29</f>
        <v>5018951.3139301362</v>
      </c>
      <c r="I31" s="45">
        <f>Incurred_loss!X29</f>
        <v>5309892.2330461536</v>
      </c>
      <c r="J31" s="45">
        <f>Incurred_loss!Y29</f>
        <v>5224011.139830566</v>
      </c>
      <c r="K31" s="45">
        <f>Incurred_loss!Z29</f>
        <v>5224226.959261138</v>
      </c>
      <c r="L31" s="45">
        <f>Incurred_loss!AA29</f>
        <v>5224144.5975205507</v>
      </c>
      <c r="N31" s="48">
        <f>XL_Pure_Premium!$O31</f>
        <v>5224144.5975205507</v>
      </c>
      <c r="S31">
        <f t="shared" si="2"/>
        <v>2017</v>
      </c>
      <c r="T31" s="45">
        <f t="shared" si="26"/>
        <v>5710651.6290747486</v>
      </c>
      <c r="U31" s="45">
        <f t="shared" si="27"/>
        <v>1422916.8509260397</v>
      </c>
      <c r="V31" s="45">
        <f t="shared" si="28"/>
        <v>269399.31354655325</v>
      </c>
      <c r="W31" s="45">
        <f t="shared" si="29"/>
        <v>1511832.0613045292</v>
      </c>
      <c r="X31" s="45">
        <f t="shared" si="30"/>
        <v>654572.65705478564</v>
      </c>
      <c r="Y31" s="45">
        <f t="shared" si="31"/>
        <v>527435.47199504916</v>
      </c>
      <c r="Z31" s="45">
        <f t="shared" si="32"/>
        <v>244795.39602657314</v>
      </c>
      <c r="AA31" s="45">
        <f t="shared" si="33"/>
        <v>88458.615057808347</v>
      </c>
      <c r="AB31" s="45">
        <f t="shared" si="34"/>
        <v>0</v>
      </c>
      <c r="AD31" s="45">
        <f t="shared" si="13"/>
        <v>0</v>
      </c>
      <c r="AK31">
        <f t="shared" si="14"/>
        <v>2017</v>
      </c>
      <c r="AL31" s="45">
        <f t="shared" si="35"/>
        <v>0</v>
      </c>
      <c r="AM31" s="45">
        <f t="shared" si="36"/>
        <v>0</v>
      </c>
      <c r="AN31" s="45">
        <f t="shared" si="37"/>
        <v>0</v>
      </c>
      <c r="AO31" s="45">
        <f t="shared" si="38"/>
        <v>0</v>
      </c>
      <c r="AP31" s="45">
        <f t="shared" si="39"/>
        <v>0</v>
      </c>
      <c r="AQ31" s="45">
        <f t="shared" si="40"/>
        <v>0</v>
      </c>
      <c r="AR31" s="45">
        <f t="shared" si="41"/>
        <v>0</v>
      </c>
      <c r="AS31" s="45">
        <f t="shared" si="42"/>
        <v>0</v>
      </c>
      <c r="AT31" s="45">
        <f t="shared" si="43"/>
        <v>0</v>
      </c>
      <c r="AV31" s="45">
        <f t="shared" si="25"/>
        <v>0</v>
      </c>
    </row>
    <row r="32" spans="3:48" x14ac:dyDescent="0.3">
      <c r="C32">
        <f>Incurred_loss!R30</f>
        <v>2017</v>
      </c>
      <c r="D32" s="45">
        <f>Incurred_loss!S30</f>
        <v>3887680.4476395324</v>
      </c>
      <c r="E32" s="45">
        <f>Incurred_loss!T30</f>
        <v>4929002.7549480796</v>
      </c>
      <c r="F32" s="45">
        <f>Incurred_loss!U30</f>
        <v>4442680.577734815</v>
      </c>
      <c r="G32" s="45">
        <f>Incurred_loss!V30</f>
        <v>4724169.0232365038</v>
      </c>
      <c r="H32" s="45">
        <f>Incurred_loss!W30</f>
        <v>4884898.733753155</v>
      </c>
      <c r="I32" s="45">
        <f>Incurred_loss!X30</f>
        <v>4882664.2898878558</v>
      </c>
      <c r="J32" s="45">
        <f>Incurred_loss!Y30</f>
        <v>4886108.4090180565</v>
      </c>
      <c r="K32" s="45">
        <f>Incurred_loss!Z30</f>
        <v>4885125.3992040623</v>
      </c>
      <c r="L32" s="45">
        <f>Incurred_loss!AA30</f>
        <v>4880599.1453672675</v>
      </c>
      <c r="N32" s="48">
        <f>XL_Pure_Premium!$O32</f>
        <v>4880599.1453672675</v>
      </c>
      <c r="S32">
        <f t="shared" si="2"/>
        <v>2017</v>
      </c>
      <c r="T32" s="45">
        <f t="shared" si="26"/>
        <v>0</v>
      </c>
      <c r="U32" s="45">
        <f t="shared" si="27"/>
        <v>760060.71551334392</v>
      </c>
      <c r="V32" s="45">
        <f t="shared" si="28"/>
        <v>213643.66913310066</v>
      </c>
      <c r="W32" s="45">
        <f t="shared" si="29"/>
        <v>463779.86640772223</v>
      </c>
      <c r="X32" s="45">
        <f t="shared" si="30"/>
        <v>520520.07687780447</v>
      </c>
      <c r="Y32" s="45">
        <f t="shared" si="31"/>
        <v>100207.52883675136</v>
      </c>
      <c r="Z32" s="45">
        <f t="shared" si="32"/>
        <v>0</v>
      </c>
      <c r="AA32" s="45">
        <f t="shared" si="33"/>
        <v>0</v>
      </c>
      <c r="AB32" s="45">
        <f t="shared" si="34"/>
        <v>0</v>
      </c>
      <c r="AD32" s="45">
        <f t="shared" si="13"/>
        <v>0</v>
      </c>
      <c r="AK32">
        <f t="shared" si="14"/>
        <v>2017</v>
      </c>
      <c r="AL32" s="45">
        <f t="shared" si="35"/>
        <v>0</v>
      </c>
      <c r="AM32" s="45">
        <f t="shared" si="36"/>
        <v>0</v>
      </c>
      <c r="AN32" s="45">
        <f t="shared" si="37"/>
        <v>0</v>
      </c>
      <c r="AO32" s="45">
        <f t="shared" si="38"/>
        <v>0</v>
      </c>
      <c r="AP32" s="45">
        <f t="shared" si="39"/>
        <v>0</v>
      </c>
      <c r="AQ32" s="45">
        <f t="shared" si="40"/>
        <v>0</v>
      </c>
      <c r="AR32" s="45">
        <f t="shared" si="41"/>
        <v>0</v>
      </c>
      <c r="AS32" s="45">
        <f t="shared" si="42"/>
        <v>0</v>
      </c>
      <c r="AT32" s="45">
        <f t="shared" si="43"/>
        <v>0</v>
      </c>
      <c r="AV32" s="45">
        <f t="shared" si="25"/>
        <v>0</v>
      </c>
    </row>
    <row r="33" spans="3:48" x14ac:dyDescent="0.3">
      <c r="C33">
        <f>Incurred_loss!R31</f>
        <v>2018</v>
      </c>
      <c r="D33" s="45">
        <f>Incurred_loss!S31</f>
        <v>3647983.8712935718</v>
      </c>
      <c r="E33" s="45">
        <f>Incurred_loss!T31</f>
        <v>2663655.6392339137</v>
      </c>
      <c r="F33" s="45">
        <f>Incurred_loss!U31</f>
        <v>2934523.0198280723</v>
      </c>
      <c r="G33" s="45">
        <f>Incurred_loss!V31</f>
        <v>2502334.9605533774</v>
      </c>
      <c r="H33" s="45">
        <f>Incurred_loss!W31</f>
        <v>2371345.1801916901</v>
      </c>
      <c r="I33" s="45">
        <f>Incurred_loss!X31</f>
        <v>2380526.0290939696</v>
      </c>
      <c r="J33" s="45">
        <f>Incurred_loss!Y31</f>
        <v>2365535.8644786663</v>
      </c>
      <c r="K33" s="45">
        <f>Incurred_loss!Z31</f>
        <v>2364556.2219643043</v>
      </c>
      <c r="N33" s="48">
        <f>XL_Pure_Premium!$O33</f>
        <v>2363518.3529029759</v>
      </c>
      <c r="S33">
        <f t="shared" si="2"/>
        <v>2018</v>
      </c>
      <c r="T33" s="45">
        <f t="shared" ref="T33:T43" si="44">MIN(MAX(D33-VLOOKUP($S33+T$4-1,$P$5:$R$25,2,FALSE),0),VLOOKUP($S33+T$4-1,$P$5:$R$25,3,FALSE))</f>
        <v>0</v>
      </c>
      <c r="U33" s="45">
        <f t="shared" ref="U33:U43" si="45">MIN(MAX(E33-VLOOKUP($S33+U$4-1,$P$5:$R$25,2,FALSE),0),VLOOKUP($S33+U$4-1,$P$5:$R$25,3,FALSE))</f>
        <v>0</v>
      </c>
      <c r="V33" s="45">
        <f t="shared" ref="V33:V43" si="46">MIN(MAX(F33-VLOOKUP($S33+V$4-1,$P$5:$R$25,2,FALSE),0),VLOOKUP($S33+V$4-1,$P$5:$R$25,3,FALSE))</f>
        <v>0</v>
      </c>
      <c r="W33" s="45">
        <f t="shared" ref="W33:W43" si="47">MIN(MAX(G33-VLOOKUP($S33+W$4-1,$P$5:$R$25,2,FALSE),0),VLOOKUP($S33+W$4-1,$P$5:$R$25,3,FALSE))</f>
        <v>0</v>
      </c>
      <c r="X33" s="45">
        <f t="shared" ref="X33:X43" si="48">MIN(MAX(H33-VLOOKUP($S33+X$4-1,$P$5:$R$25,2,FALSE),0),VLOOKUP($S33+X$4-1,$P$5:$R$25,3,FALSE))</f>
        <v>0</v>
      </c>
      <c r="Y33" s="45">
        <f t="shared" ref="Y33:Y43" si="49">MIN(MAX(I33-VLOOKUP($S33+Y$4-1,$P$5:$R$25,2,FALSE),0),VLOOKUP($S33+Y$4-1,$P$5:$R$25,3,FALSE))</f>
        <v>0</v>
      </c>
      <c r="Z33" s="45">
        <f t="shared" ref="Z33:Z43" si="50">MIN(MAX(J33-VLOOKUP($S33+Z$4-1,$P$5:$R$25,2,FALSE),0),VLOOKUP($S33+Z$4-1,$P$5:$R$25,3,FALSE))</f>
        <v>0</v>
      </c>
      <c r="AA33" s="45">
        <f t="shared" ref="AA33:AA43" si="51">MIN(MAX(K33-VLOOKUP($S33+AA$4-1,$P$5:$R$25,2,FALSE),0),VLOOKUP($S33+AA$4-1,$P$5:$R$25,3,FALSE))</f>
        <v>0</v>
      </c>
      <c r="AD33" s="45">
        <f t="shared" si="13"/>
        <v>0</v>
      </c>
      <c r="AK33">
        <f t="shared" si="14"/>
        <v>2018</v>
      </c>
      <c r="AL33" s="45">
        <f t="shared" ref="AL33:AL43" si="52">MIN(MAX(D33-VLOOKUP($AK33+AL$4-1,$AH$5:$AJ$25,2,FALSE),0),VLOOKUP($AK33+AL$4-1,$AH$5:$AJ$25,3,FALSE))</f>
        <v>0</v>
      </c>
      <c r="AM33" s="45">
        <f t="shared" ref="AM33:AM43" si="53">MIN(MAX(E33-VLOOKUP($AK33+AM$4-1,$AH$5:$AJ$25,2,FALSE),0),VLOOKUP($AK33+AM$4-1,$AH$5:$AJ$25,3,FALSE))</f>
        <v>0</v>
      </c>
      <c r="AN33" s="45">
        <f t="shared" ref="AN33:AN43" si="54">MIN(MAX(F33-VLOOKUP($AK33+AN$4-1,$AH$5:$AJ$25,2,FALSE),0),VLOOKUP($AK33+AN$4-1,$AH$5:$AJ$25,3,FALSE))</f>
        <v>0</v>
      </c>
      <c r="AO33" s="45">
        <f t="shared" ref="AO33:AO43" si="55">MIN(MAX(G33-VLOOKUP($AK33+AO$4-1,$AH$5:$AJ$25,2,FALSE),0),VLOOKUP($AK33+AO$4-1,$AH$5:$AJ$25,3,FALSE))</f>
        <v>0</v>
      </c>
      <c r="AP33" s="45">
        <f t="shared" ref="AP33:AP43" si="56">MIN(MAX(H33-VLOOKUP($AK33+AP$4-1,$AH$5:$AJ$25,2,FALSE),0),VLOOKUP($AK33+AP$4-1,$AH$5:$AJ$25,3,FALSE))</f>
        <v>0</v>
      </c>
      <c r="AQ33" s="45">
        <f t="shared" ref="AQ33:AQ43" si="57">MIN(MAX(I33-VLOOKUP($AK33+AQ$4-1,$AH$5:$AJ$25,2,FALSE),0),VLOOKUP($AK33+AQ$4-1,$AH$5:$AJ$25,3,FALSE))</f>
        <v>0</v>
      </c>
      <c r="AR33" s="45">
        <f t="shared" ref="AR33:AR43" si="58">MIN(MAX(J33-VLOOKUP($AK33+AR$4-1,$AH$5:$AJ$25,2,FALSE),0),VLOOKUP($AK33+AR$4-1,$AH$5:$AJ$25,3,FALSE))</f>
        <v>0</v>
      </c>
      <c r="AS33" s="45">
        <f t="shared" ref="AS33:AS43" si="59">MIN(MAX(K33-VLOOKUP($AK33+AS$4-1,$AH$5:$AJ$25,2,FALSE),0),VLOOKUP($AK33+AS$4-1,$AH$5:$AJ$25,3,FALSE))</f>
        <v>0</v>
      </c>
      <c r="AV33" s="45">
        <f t="shared" si="25"/>
        <v>0</v>
      </c>
    </row>
    <row r="34" spans="3:48" x14ac:dyDescent="0.3">
      <c r="C34">
        <f>Incurred_loss!R32</f>
        <v>2018</v>
      </c>
      <c r="D34" s="45">
        <f>Incurred_loss!S32</f>
        <v>1755041.7030136934</v>
      </c>
      <c r="E34" s="45">
        <f>Incurred_loss!T32</f>
        <v>3203242.6508661276</v>
      </c>
      <c r="F34" s="45">
        <f>Incurred_loss!U32</f>
        <v>2588832.161020068</v>
      </c>
      <c r="G34" s="45">
        <f>Incurred_loss!V32</f>
        <v>2778620.5841088132</v>
      </c>
      <c r="H34" s="45">
        <f>Incurred_loss!W32</f>
        <v>2767714.4343934194</v>
      </c>
      <c r="I34" s="45">
        <f>Incurred_loss!X32</f>
        <v>2755050.0164855602</v>
      </c>
      <c r="J34" s="45">
        <f>Incurred_loss!Y32</f>
        <v>2755329.5888398387</v>
      </c>
      <c r="K34" s="45">
        <f>Incurred_loss!Z32</f>
        <v>2755330.4386347365</v>
      </c>
      <c r="N34" s="48">
        <f>XL_Pure_Premium!$O34</f>
        <v>2754121.0479721539</v>
      </c>
      <c r="S34">
        <f t="shared" si="2"/>
        <v>2018</v>
      </c>
      <c r="T34" s="45">
        <f t="shared" si="44"/>
        <v>0</v>
      </c>
      <c r="U34" s="45">
        <f t="shared" si="45"/>
        <v>0</v>
      </c>
      <c r="V34" s="45">
        <f t="shared" si="46"/>
        <v>0</v>
      </c>
      <c r="W34" s="45">
        <f t="shared" si="47"/>
        <v>0</v>
      </c>
      <c r="X34" s="45">
        <f t="shared" si="48"/>
        <v>0</v>
      </c>
      <c r="Y34" s="45">
        <f t="shared" si="49"/>
        <v>0</v>
      </c>
      <c r="Z34" s="45">
        <f t="shared" si="50"/>
        <v>0</v>
      </c>
      <c r="AA34" s="45">
        <f t="shared" si="51"/>
        <v>0</v>
      </c>
      <c r="AD34" s="45">
        <f t="shared" si="13"/>
        <v>0</v>
      </c>
      <c r="AK34">
        <f t="shared" si="14"/>
        <v>2018</v>
      </c>
      <c r="AL34" s="45">
        <f t="shared" si="52"/>
        <v>0</v>
      </c>
      <c r="AM34" s="45">
        <f t="shared" si="53"/>
        <v>0</v>
      </c>
      <c r="AN34" s="45">
        <f t="shared" si="54"/>
        <v>0</v>
      </c>
      <c r="AO34" s="45">
        <f t="shared" si="55"/>
        <v>0</v>
      </c>
      <c r="AP34" s="45">
        <f t="shared" si="56"/>
        <v>0</v>
      </c>
      <c r="AQ34" s="45">
        <f t="shared" si="57"/>
        <v>0</v>
      </c>
      <c r="AR34" s="45">
        <f t="shared" si="58"/>
        <v>0</v>
      </c>
      <c r="AS34" s="45">
        <f t="shared" si="59"/>
        <v>0</v>
      </c>
      <c r="AV34" s="45">
        <f t="shared" si="25"/>
        <v>0</v>
      </c>
    </row>
    <row r="35" spans="3:48" x14ac:dyDescent="0.3">
      <c r="C35">
        <f>Incurred_loss!R33</f>
        <v>2018</v>
      </c>
      <c r="D35" s="45">
        <f>Incurred_loss!S33</f>
        <v>1782056.4983226999</v>
      </c>
      <c r="E35" s="45">
        <f>Incurred_loss!T33</f>
        <v>2682915.8042027866</v>
      </c>
      <c r="F35" s="45">
        <f>Incurred_loss!U33</f>
        <v>2446048.2842919463</v>
      </c>
      <c r="G35" s="45">
        <f>Incurred_loss!V33</f>
        <v>2463277.9318342018</v>
      </c>
      <c r="H35" s="45">
        <f>Incurred_loss!W33</f>
        <v>2444627.3272653497</v>
      </c>
      <c r="I35" s="45">
        <f>Incurred_loss!X33</f>
        <v>2439210.3652469805</v>
      </c>
      <c r="J35" s="45">
        <f>Incurred_loss!Y33</f>
        <v>2443660.786923049</v>
      </c>
      <c r="K35" s="45">
        <f>Incurred_loss!Z33</f>
        <v>2440659.0632831426</v>
      </c>
      <c r="N35" s="48">
        <f>XL_Pure_Premium!$O35</f>
        <v>2439587.7905819472</v>
      </c>
      <c r="S35">
        <f t="shared" si="2"/>
        <v>2018</v>
      </c>
      <c r="T35" s="45">
        <f t="shared" si="44"/>
        <v>0</v>
      </c>
      <c r="U35" s="45">
        <f t="shared" si="45"/>
        <v>0</v>
      </c>
      <c r="V35" s="45">
        <f t="shared" si="46"/>
        <v>0</v>
      </c>
      <c r="W35" s="45">
        <f t="shared" si="47"/>
        <v>0</v>
      </c>
      <c r="X35" s="45">
        <f t="shared" si="48"/>
        <v>0</v>
      </c>
      <c r="Y35" s="45">
        <f t="shared" si="49"/>
        <v>0</v>
      </c>
      <c r="Z35" s="45">
        <f t="shared" si="50"/>
        <v>0</v>
      </c>
      <c r="AA35" s="45">
        <f t="shared" si="51"/>
        <v>0</v>
      </c>
      <c r="AD35" s="45">
        <f t="shared" si="13"/>
        <v>0</v>
      </c>
      <c r="AK35">
        <f t="shared" si="14"/>
        <v>2018</v>
      </c>
      <c r="AL35" s="45">
        <f t="shared" si="52"/>
        <v>0</v>
      </c>
      <c r="AM35" s="45">
        <f t="shared" si="53"/>
        <v>0</v>
      </c>
      <c r="AN35" s="45">
        <f t="shared" si="54"/>
        <v>0</v>
      </c>
      <c r="AO35" s="45">
        <f t="shared" si="55"/>
        <v>0</v>
      </c>
      <c r="AP35" s="45">
        <f t="shared" si="56"/>
        <v>0</v>
      </c>
      <c r="AQ35" s="45">
        <f t="shared" si="57"/>
        <v>0</v>
      </c>
      <c r="AR35" s="45">
        <f t="shared" si="58"/>
        <v>0</v>
      </c>
      <c r="AS35" s="45">
        <f t="shared" si="59"/>
        <v>0</v>
      </c>
      <c r="AV35" s="45">
        <f t="shared" si="25"/>
        <v>0</v>
      </c>
    </row>
    <row r="36" spans="3:48" x14ac:dyDescent="0.3">
      <c r="C36">
        <f>Incurred_loss!R34</f>
        <v>2018</v>
      </c>
      <c r="D36" s="45">
        <f>Incurred_loss!S34</f>
        <v>1871237.0370504619</v>
      </c>
      <c r="E36" s="45">
        <f>Incurred_loss!T34</f>
        <v>2515108.9648864372</v>
      </c>
      <c r="F36" s="45">
        <f>Incurred_loss!U34</f>
        <v>2059418.8341624597</v>
      </c>
      <c r="G36" s="45">
        <f>Incurred_loss!V34</f>
        <v>2145436.9884395758</v>
      </c>
      <c r="H36" s="45">
        <f>Incurred_loss!W34</f>
        <v>2136835.1215215488</v>
      </c>
      <c r="I36" s="45">
        <f>Incurred_loss!X34</f>
        <v>2147771.9140172675</v>
      </c>
      <c r="J36" s="45">
        <f>Incurred_loss!Y34</f>
        <v>2141879.8178751217</v>
      </c>
      <c r="K36" s="45">
        <f>Incurred_loss!Z34</f>
        <v>2142212.1960527706</v>
      </c>
      <c r="N36" s="48">
        <f>XL_Pure_Premium!$O36</f>
        <v>2141271.9199280455</v>
      </c>
      <c r="S36">
        <f t="shared" si="2"/>
        <v>2018</v>
      </c>
      <c r="T36" s="45">
        <f t="shared" si="44"/>
        <v>0</v>
      </c>
      <c r="U36" s="45">
        <f t="shared" si="45"/>
        <v>0</v>
      </c>
      <c r="V36" s="45">
        <f t="shared" si="46"/>
        <v>0</v>
      </c>
      <c r="W36" s="45">
        <f t="shared" si="47"/>
        <v>0</v>
      </c>
      <c r="X36" s="45">
        <f t="shared" si="48"/>
        <v>0</v>
      </c>
      <c r="Y36" s="45">
        <f t="shared" si="49"/>
        <v>0</v>
      </c>
      <c r="Z36" s="45">
        <f t="shared" si="50"/>
        <v>0</v>
      </c>
      <c r="AA36" s="45">
        <f t="shared" si="51"/>
        <v>0</v>
      </c>
      <c r="AD36" s="45">
        <f t="shared" si="13"/>
        <v>0</v>
      </c>
      <c r="AK36">
        <f t="shared" si="14"/>
        <v>2018</v>
      </c>
      <c r="AL36" s="45">
        <f t="shared" si="52"/>
        <v>0</v>
      </c>
      <c r="AM36" s="45">
        <f t="shared" si="53"/>
        <v>0</v>
      </c>
      <c r="AN36" s="45">
        <f t="shared" si="54"/>
        <v>0</v>
      </c>
      <c r="AO36" s="45">
        <f t="shared" si="55"/>
        <v>0</v>
      </c>
      <c r="AP36" s="45">
        <f t="shared" si="56"/>
        <v>0</v>
      </c>
      <c r="AQ36" s="45">
        <f t="shared" si="57"/>
        <v>0</v>
      </c>
      <c r="AR36" s="45">
        <f t="shared" si="58"/>
        <v>0</v>
      </c>
      <c r="AS36" s="45">
        <f t="shared" si="59"/>
        <v>0</v>
      </c>
      <c r="AV36" s="45">
        <f t="shared" si="25"/>
        <v>0</v>
      </c>
    </row>
    <row r="37" spans="3:48" x14ac:dyDescent="0.3">
      <c r="C37">
        <f>Incurred_loss!R35</f>
        <v>2018</v>
      </c>
      <c r="D37" s="45">
        <f>Incurred_loss!S35</f>
        <v>1363941.5766761536</v>
      </c>
      <c r="E37" s="45">
        <f>Incurred_loss!T35</f>
        <v>1915008.1061064014</v>
      </c>
      <c r="F37" s="45">
        <f>Incurred_loss!U35</f>
        <v>2034796.8185545793</v>
      </c>
      <c r="G37" s="45">
        <f>Incurred_loss!V35</f>
        <v>2042221.728241608</v>
      </c>
      <c r="H37" s="45">
        <f>Incurred_loss!W35</f>
        <v>2034680.4602501264</v>
      </c>
      <c r="I37" s="45">
        <f>Incurred_loss!X35</f>
        <v>2038679.4791370616</v>
      </c>
      <c r="J37" s="45">
        <f>Incurred_loss!Y35</f>
        <v>2038971.2971769231</v>
      </c>
      <c r="K37" s="45">
        <f>Incurred_loss!Z35</f>
        <v>2037939.6508348135</v>
      </c>
      <c r="N37" s="48">
        <f>XL_Pure_Premium!$O37</f>
        <v>2037045.1428113591</v>
      </c>
      <c r="S37">
        <f t="shared" si="2"/>
        <v>2018</v>
      </c>
      <c r="T37" s="45">
        <f t="shared" si="44"/>
        <v>0</v>
      </c>
      <c r="U37" s="45">
        <f t="shared" si="45"/>
        <v>0</v>
      </c>
      <c r="V37" s="45">
        <f t="shared" si="46"/>
        <v>0</v>
      </c>
      <c r="W37" s="45">
        <f t="shared" si="47"/>
        <v>0</v>
      </c>
      <c r="X37" s="45">
        <f t="shared" si="48"/>
        <v>0</v>
      </c>
      <c r="Y37" s="45">
        <f t="shared" si="49"/>
        <v>0</v>
      </c>
      <c r="Z37" s="45">
        <f t="shared" si="50"/>
        <v>0</v>
      </c>
      <c r="AA37" s="45">
        <f t="shared" si="51"/>
        <v>0</v>
      </c>
      <c r="AD37" s="45">
        <f t="shared" si="13"/>
        <v>0</v>
      </c>
      <c r="AK37">
        <f t="shared" si="14"/>
        <v>2018</v>
      </c>
      <c r="AL37" s="45">
        <f t="shared" si="52"/>
        <v>0</v>
      </c>
      <c r="AM37" s="45">
        <f t="shared" si="53"/>
        <v>0</v>
      </c>
      <c r="AN37" s="45">
        <f t="shared" si="54"/>
        <v>0</v>
      </c>
      <c r="AO37" s="45">
        <f t="shared" si="55"/>
        <v>0</v>
      </c>
      <c r="AP37" s="45">
        <f t="shared" si="56"/>
        <v>0</v>
      </c>
      <c r="AQ37" s="45">
        <f t="shared" si="57"/>
        <v>0</v>
      </c>
      <c r="AR37" s="45">
        <f t="shared" si="58"/>
        <v>0</v>
      </c>
      <c r="AS37" s="45">
        <f t="shared" si="59"/>
        <v>0</v>
      </c>
      <c r="AV37" s="45">
        <f t="shared" si="25"/>
        <v>0</v>
      </c>
    </row>
    <row r="38" spans="3:48" x14ac:dyDescent="0.3">
      <c r="C38">
        <f>Incurred_loss!R36</f>
        <v>2018</v>
      </c>
      <c r="D38" s="45">
        <f>Incurred_loss!S36</f>
        <v>1514847.2251422561</v>
      </c>
      <c r="E38" s="45">
        <f>Incurred_loss!T36</f>
        <v>1216234.002636296</v>
      </c>
      <c r="F38" s="45">
        <f>Incurred_loss!U36</f>
        <v>1494730.6008669646</v>
      </c>
      <c r="G38" s="45">
        <f>Incurred_loss!V36</f>
        <v>1575868.3197030653</v>
      </c>
      <c r="H38" s="45">
        <f>Incurred_loss!W36</f>
        <v>1493642.8406907017</v>
      </c>
      <c r="I38" s="45">
        <f>Incurred_loss!X36</f>
        <v>1490805.0278439922</v>
      </c>
      <c r="J38" s="45">
        <f>Incurred_loss!Y36</f>
        <v>1510544.2070825405</v>
      </c>
      <c r="K38" s="45">
        <f>Incurred_loss!Z36</f>
        <v>1482636.1052143991</v>
      </c>
      <c r="N38" s="48">
        <f>XL_Pure_Premium!$O38</f>
        <v>1481985.3352608166</v>
      </c>
      <c r="S38">
        <f t="shared" si="2"/>
        <v>2018</v>
      </c>
      <c r="T38" s="45">
        <f t="shared" si="44"/>
        <v>0</v>
      </c>
      <c r="U38" s="45">
        <f t="shared" si="45"/>
        <v>0</v>
      </c>
      <c r="V38" s="45">
        <f t="shared" si="46"/>
        <v>0</v>
      </c>
      <c r="W38" s="45">
        <f t="shared" si="47"/>
        <v>0</v>
      </c>
      <c r="X38" s="45">
        <f t="shared" si="48"/>
        <v>0</v>
      </c>
      <c r="Y38" s="45">
        <f t="shared" si="49"/>
        <v>0</v>
      </c>
      <c r="Z38" s="45">
        <f t="shared" si="50"/>
        <v>0</v>
      </c>
      <c r="AA38" s="45">
        <f t="shared" si="51"/>
        <v>0</v>
      </c>
      <c r="AD38" s="45">
        <f t="shared" si="13"/>
        <v>0</v>
      </c>
      <c r="AK38">
        <f t="shared" si="14"/>
        <v>2018</v>
      </c>
      <c r="AL38" s="45">
        <f t="shared" si="52"/>
        <v>0</v>
      </c>
      <c r="AM38" s="45">
        <f t="shared" si="53"/>
        <v>0</v>
      </c>
      <c r="AN38" s="45">
        <f t="shared" si="54"/>
        <v>0</v>
      </c>
      <c r="AO38" s="45">
        <f t="shared" si="55"/>
        <v>0</v>
      </c>
      <c r="AP38" s="45">
        <f t="shared" si="56"/>
        <v>0</v>
      </c>
      <c r="AQ38" s="45">
        <f t="shared" si="57"/>
        <v>0</v>
      </c>
      <c r="AR38" s="45">
        <f t="shared" si="58"/>
        <v>0</v>
      </c>
      <c r="AS38" s="45">
        <f t="shared" si="59"/>
        <v>0</v>
      </c>
      <c r="AV38" s="45">
        <f t="shared" si="25"/>
        <v>0</v>
      </c>
    </row>
    <row r="39" spans="3:48" x14ac:dyDescent="0.3">
      <c r="C39">
        <f>Incurred_loss!R37</f>
        <v>2018</v>
      </c>
      <c r="D39" s="45">
        <f>Incurred_loss!S37</f>
        <v>3307875.5172522701</v>
      </c>
      <c r="E39" s="45">
        <f>Incurred_loss!T37</f>
        <v>2467557.4165175389</v>
      </c>
      <c r="F39" s="45">
        <f>Incurred_loss!U37</f>
        <v>2136557.2127756858</v>
      </c>
      <c r="G39" s="45">
        <f>Incurred_loss!V37</f>
        <v>2045239.2512578957</v>
      </c>
      <c r="H39" s="45">
        <f>Incurred_loss!W37</f>
        <v>2020365.0985146023</v>
      </c>
      <c r="I39" s="45">
        <f>Incurred_loss!X37</f>
        <v>2021136.399667098</v>
      </c>
      <c r="J39" s="45">
        <f>Incurred_loss!Y37</f>
        <v>2020112.0642710493</v>
      </c>
      <c r="K39" s="45">
        <f>Incurred_loss!Z37</f>
        <v>2020580.646030263</v>
      </c>
      <c r="N39" s="48">
        <f>XL_Pure_Premium!$O39</f>
        <v>2019693.7573536674</v>
      </c>
      <c r="S39">
        <f t="shared" si="2"/>
        <v>2018</v>
      </c>
      <c r="T39" s="45">
        <f t="shared" si="44"/>
        <v>0</v>
      </c>
      <c r="U39" s="45">
        <f t="shared" si="45"/>
        <v>0</v>
      </c>
      <c r="V39" s="45">
        <f t="shared" si="46"/>
        <v>0</v>
      </c>
      <c r="W39" s="45">
        <f t="shared" si="47"/>
        <v>0</v>
      </c>
      <c r="X39" s="45">
        <f t="shared" si="48"/>
        <v>0</v>
      </c>
      <c r="Y39" s="45">
        <f t="shared" si="49"/>
        <v>0</v>
      </c>
      <c r="Z39" s="45">
        <f t="shared" si="50"/>
        <v>0</v>
      </c>
      <c r="AA39" s="45">
        <f t="shared" si="51"/>
        <v>0</v>
      </c>
      <c r="AD39" s="45">
        <f t="shared" si="13"/>
        <v>0</v>
      </c>
      <c r="AK39">
        <f t="shared" si="14"/>
        <v>2018</v>
      </c>
      <c r="AL39" s="45">
        <f t="shared" si="52"/>
        <v>0</v>
      </c>
      <c r="AM39" s="45">
        <f t="shared" si="53"/>
        <v>0</v>
      </c>
      <c r="AN39" s="45">
        <f t="shared" si="54"/>
        <v>0</v>
      </c>
      <c r="AO39" s="45">
        <f t="shared" si="55"/>
        <v>0</v>
      </c>
      <c r="AP39" s="45">
        <f t="shared" si="56"/>
        <v>0</v>
      </c>
      <c r="AQ39" s="45">
        <f t="shared" si="57"/>
        <v>0</v>
      </c>
      <c r="AR39" s="45">
        <f t="shared" si="58"/>
        <v>0</v>
      </c>
      <c r="AS39" s="45">
        <f t="shared" si="59"/>
        <v>0</v>
      </c>
      <c r="AV39" s="45">
        <f t="shared" si="25"/>
        <v>0</v>
      </c>
    </row>
    <row r="40" spans="3:48" x14ac:dyDescent="0.3">
      <c r="C40">
        <f>Incurred_loss!R38</f>
        <v>2018</v>
      </c>
      <c r="D40" s="45">
        <f>Incurred_loss!S38</f>
        <v>2007653.8734549335</v>
      </c>
      <c r="E40" s="45">
        <f>Incurred_loss!T38</f>
        <v>4037284.8797259182</v>
      </c>
      <c r="F40" s="45">
        <f>Incurred_loss!U38</f>
        <v>3055852.214044699</v>
      </c>
      <c r="G40" s="45">
        <f>Incurred_loss!V38</f>
        <v>3098751.0512599479</v>
      </c>
      <c r="H40" s="45">
        <f>Incurred_loss!W38</f>
        <v>3133922.3155527078</v>
      </c>
      <c r="I40" s="45">
        <f>Incurred_loss!X38</f>
        <v>3119860.7856605817</v>
      </c>
      <c r="J40" s="45">
        <f>Incurred_loss!Y38</f>
        <v>3128387.7087453506</v>
      </c>
      <c r="K40" s="45">
        <f>Incurred_loss!Z38</f>
        <v>3126973.162178969</v>
      </c>
      <c r="N40" s="48">
        <f>XL_Pure_Premium!$O40</f>
        <v>3125600.6472560912</v>
      </c>
      <c r="S40">
        <f t="shared" si="2"/>
        <v>2018</v>
      </c>
      <c r="T40" s="45">
        <f t="shared" si="44"/>
        <v>0</v>
      </c>
      <c r="U40" s="45">
        <f t="shared" si="45"/>
        <v>0</v>
      </c>
      <c r="V40" s="45">
        <f t="shared" si="46"/>
        <v>0</v>
      </c>
      <c r="W40" s="45">
        <f t="shared" si="47"/>
        <v>0</v>
      </c>
      <c r="X40" s="45">
        <f t="shared" si="48"/>
        <v>0</v>
      </c>
      <c r="Y40" s="45">
        <f t="shared" si="49"/>
        <v>0</v>
      </c>
      <c r="Z40" s="45">
        <f t="shared" si="50"/>
        <v>0</v>
      </c>
      <c r="AA40" s="45">
        <f t="shared" si="51"/>
        <v>0</v>
      </c>
      <c r="AD40" s="45">
        <f t="shared" si="13"/>
        <v>0</v>
      </c>
      <c r="AK40">
        <f t="shared" si="14"/>
        <v>2018</v>
      </c>
      <c r="AL40" s="45">
        <f t="shared" si="52"/>
        <v>0</v>
      </c>
      <c r="AM40" s="45">
        <f t="shared" si="53"/>
        <v>0</v>
      </c>
      <c r="AN40" s="45">
        <f t="shared" si="54"/>
        <v>0</v>
      </c>
      <c r="AO40" s="45">
        <f t="shared" si="55"/>
        <v>0</v>
      </c>
      <c r="AP40" s="45">
        <f t="shared" si="56"/>
        <v>0</v>
      </c>
      <c r="AQ40" s="45">
        <f t="shared" si="57"/>
        <v>0</v>
      </c>
      <c r="AR40" s="45">
        <f t="shared" si="58"/>
        <v>0</v>
      </c>
      <c r="AS40" s="45">
        <f t="shared" si="59"/>
        <v>0</v>
      </c>
      <c r="AV40" s="45">
        <f t="shared" si="25"/>
        <v>0</v>
      </c>
    </row>
    <row r="41" spans="3:48" x14ac:dyDescent="0.3">
      <c r="C41">
        <f>Incurred_loss!R39</f>
        <v>2018</v>
      </c>
      <c r="D41" s="45">
        <f>Incurred_loss!S39</f>
        <v>4474228.4450837681</v>
      </c>
      <c r="E41" s="45">
        <f>Incurred_loss!T39</f>
        <v>3737787.3599729929</v>
      </c>
      <c r="F41" s="45">
        <f>Incurred_loss!U39</f>
        <v>3480647.2654992738</v>
      </c>
      <c r="G41" s="45">
        <f>Incurred_loss!V39</f>
        <v>3494555.4823131179</v>
      </c>
      <c r="H41" s="45">
        <f>Incurred_loss!W39</f>
        <v>3378973.946781069</v>
      </c>
      <c r="I41" s="45">
        <f>Incurred_loss!X39</f>
        <v>3375980.2350064246</v>
      </c>
      <c r="J41" s="45">
        <f>Incurred_loss!Y39</f>
        <v>3374067.0177069176</v>
      </c>
      <c r="K41" s="45">
        <f>Incurred_loss!Z39</f>
        <v>3374015.8791770837</v>
      </c>
      <c r="N41" s="48">
        <f>XL_Pure_Premium!$O41</f>
        <v>3372534.9303796305</v>
      </c>
      <c r="S41">
        <f t="shared" si="2"/>
        <v>2018</v>
      </c>
      <c r="T41" s="45">
        <f t="shared" si="44"/>
        <v>305286.40564903244</v>
      </c>
      <c r="U41" s="45">
        <f t="shared" si="45"/>
        <v>0</v>
      </c>
      <c r="V41" s="45">
        <f t="shared" si="46"/>
        <v>0</v>
      </c>
      <c r="W41" s="45">
        <f t="shared" si="47"/>
        <v>0</v>
      </c>
      <c r="X41" s="45">
        <f t="shared" si="48"/>
        <v>0</v>
      </c>
      <c r="Y41" s="45">
        <f t="shared" si="49"/>
        <v>0</v>
      </c>
      <c r="Z41" s="45">
        <f t="shared" si="50"/>
        <v>0</v>
      </c>
      <c r="AA41" s="45">
        <f t="shared" si="51"/>
        <v>0</v>
      </c>
      <c r="AD41" s="45">
        <f t="shared" si="13"/>
        <v>0</v>
      </c>
      <c r="AK41">
        <f t="shared" si="14"/>
        <v>2018</v>
      </c>
      <c r="AL41" s="45">
        <f t="shared" si="52"/>
        <v>0</v>
      </c>
      <c r="AM41" s="45">
        <f t="shared" si="53"/>
        <v>0</v>
      </c>
      <c r="AN41" s="45">
        <f t="shared" si="54"/>
        <v>0</v>
      </c>
      <c r="AO41" s="45">
        <f t="shared" si="55"/>
        <v>0</v>
      </c>
      <c r="AP41" s="45">
        <f t="shared" si="56"/>
        <v>0</v>
      </c>
      <c r="AQ41" s="45">
        <f t="shared" si="57"/>
        <v>0</v>
      </c>
      <c r="AR41" s="45">
        <f t="shared" si="58"/>
        <v>0</v>
      </c>
      <c r="AS41" s="45">
        <f t="shared" si="59"/>
        <v>0</v>
      </c>
      <c r="AV41" s="45">
        <f t="shared" si="25"/>
        <v>0</v>
      </c>
    </row>
    <row r="42" spans="3:48" x14ac:dyDescent="0.3">
      <c r="C42">
        <f>Incurred_loss!R40</f>
        <v>2018</v>
      </c>
      <c r="D42" s="45">
        <f>Incurred_loss!S40</f>
        <v>2467215.5068138903</v>
      </c>
      <c r="E42" s="45">
        <f>Incurred_loss!T40</f>
        <v>2478483.7213986437</v>
      </c>
      <c r="F42" s="45">
        <f>Incurred_loss!U40</f>
        <v>2184297.7499013008</v>
      </c>
      <c r="G42" s="45">
        <f>Incurred_loss!V40</f>
        <v>1796379.8272579338</v>
      </c>
      <c r="H42" s="45">
        <f>Incurred_loss!W40</f>
        <v>1703207.0268370255</v>
      </c>
      <c r="I42" s="45">
        <f>Incurred_loss!X40</f>
        <v>1717186.71982375</v>
      </c>
      <c r="J42" s="45">
        <f>Incurred_loss!Y40</f>
        <v>1716707.0231212878</v>
      </c>
      <c r="K42" s="45">
        <f>Incurred_loss!Z40</f>
        <v>1715885.9819908687</v>
      </c>
      <c r="N42" s="48">
        <f>XL_Pure_Premium!$O42</f>
        <v>1715132.832221397</v>
      </c>
      <c r="S42">
        <f t="shared" si="2"/>
        <v>2018</v>
      </c>
      <c r="T42" s="45">
        <f t="shared" si="44"/>
        <v>0</v>
      </c>
      <c r="U42" s="45">
        <f t="shared" si="45"/>
        <v>0</v>
      </c>
      <c r="V42" s="45">
        <f t="shared" si="46"/>
        <v>0</v>
      </c>
      <c r="W42" s="45">
        <f t="shared" si="47"/>
        <v>0</v>
      </c>
      <c r="X42" s="45">
        <f t="shared" si="48"/>
        <v>0</v>
      </c>
      <c r="Y42" s="45">
        <f t="shared" si="49"/>
        <v>0</v>
      </c>
      <c r="Z42" s="45">
        <f t="shared" si="50"/>
        <v>0</v>
      </c>
      <c r="AA42" s="45">
        <f t="shared" si="51"/>
        <v>0</v>
      </c>
      <c r="AD42" s="45">
        <f t="shared" si="13"/>
        <v>0</v>
      </c>
      <c r="AK42">
        <f t="shared" si="14"/>
        <v>2018</v>
      </c>
      <c r="AL42" s="45">
        <f t="shared" si="52"/>
        <v>0</v>
      </c>
      <c r="AM42" s="45">
        <f t="shared" si="53"/>
        <v>0</v>
      </c>
      <c r="AN42" s="45">
        <f t="shared" si="54"/>
        <v>0</v>
      </c>
      <c r="AO42" s="45">
        <f t="shared" si="55"/>
        <v>0</v>
      </c>
      <c r="AP42" s="45">
        <f t="shared" si="56"/>
        <v>0</v>
      </c>
      <c r="AQ42" s="45">
        <f t="shared" si="57"/>
        <v>0</v>
      </c>
      <c r="AR42" s="45">
        <f t="shared" si="58"/>
        <v>0</v>
      </c>
      <c r="AS42" s="45">
        <f t="shared" si="59"/>
        <v>0</v>
      </c>
      <c r="AV42" s="45">
        <f t="shared" si="25"/>
        <v>0</v>
      </c>
    </row>
    <row r="43" spans="3:48" x14ac:dyDescent="0.3">
      <c r="C43">
        <f>Incurred_loss!R41</f>
        <v>2018</v>
      </c>
      <c r="D43" s="45">
        <f>Incurred_loss!S41</f>
        <v>2551081.9588020137</v>
      </c>
      <c r="E43" s="45">
        <f>Incurred_loss!T41</f>
        <v>4519661.5622429047</v>
      </c>
      <c r="F43" s="45">
        <f>Incurred_loss!U41</f>
        <v>4109274.6875709845</v>
      </c>
      <c r="G43" s="45">
        <f>Incurred_loss!V41</f>
        <v>3887733.3498716992</v>
      </c>
      <c r="H43" s="45">
        <f>Incurred_loss!W41</f>
        <v>3822983.2802819763</v>
      </c>
      <c r="I43" s="45">
        <f>Incurred_loss!X41</f>
        <v>3818266.5407869988</v>
      </c>
      <c r="J43" s="45">
        <f>Incurred_loss!Y41</f>
        <v>3817708.3683462502</v>
      </c>
      <c r="K43" s="45">
        <f>Incurred_loss!Z41</f>
        <v>3817290.7624119306</v>
      </c>
      <c r="N43" s="48">
        <f>XL_Pure_Premium!$O43</f>
        <v>3815615.2480200119</v>
      </c>
      <c r="S43">
        <f t="shared" si="2"/>
        <v>2018</v>
      </c>
      <c r="T43" s="45">
        <f t="shared" si="44"/>
        <v>0</v>
      </c>
      <c r="U43" s="45">
        <f t="shared" si="45"/>
        <v>290624.65364119038</v>
      </c>
      <c r="V43" s="45">
        <f t="shared" si="46"/>
        <v>0</v>
      </c>
      <c r="W43" s="45">
        <f t="shared" si="47"/>
        <v>0</v>
      </c>
      <c r="X43" s="45">
        <f t="shared" si="48"/>
        <v>0</v>
      </c>
      <c r="Y43" s="45">
        <f t="shared" si="49"/>
        <v>0</v>
      </c>
      <c r="Z43" s="45">
        <f t="shared" si="50"/>
        <v>0</v>
      </c>
      <c r="AA43" s="45">
        <f t="shared" si="51"/>
        <v>0</v>
      </c>
      <c r="AD43" s="45">
        <f t="shared" si="13"/>
        <v>0</v>
      </c>
      <c r="AK43">
        <f t="shared" si="14"/>
        <v>2018</v>
      </c>
      <c r="AL43" s="45">
        <f t="shared" si="52"/>
        <v>0</v>
      </c>
      <c r="AM43" s="45">
        <f t="shared" si="53"/>
        <v>0</v>
      </c>
      <c r="AN43" s="45">
        <f t="shared" si="54"/>
        <v>0</v>
      </c>
      <c r="AO43" s="45">
        <f t="shared" si="55"/>
        <v>0</v>
      </c>
      <c r="AP43" s="45">
        <f t="shared" si="56"/>
        <v>0</v>
      </c>
      <c r="AQ43" s="45">
        <f t="shared" si="57"/>
        <v>0</v>
      </c>
      <c r="AR43" s="45">
        <f t="shared" si="58"/>
        <v>0</v>
      </c>
      <c r="AS43" s="45">
        <f t="shared" si="59"/>
        <v>0</v>
      </c>
      <c r="AV43" s="45">
        <f t="shared" si="25"/>
        <v>0</v>
      </c>
    </row>
    <row r="44" spans="3:48" x14ac:dyDescent="0.3">
      <c r="C44">
        <f>Incurred_loss!R42</f>
        <v>2019</v>
      </c>
      <c r="D44" s="45">
        <f>Incurred_loss!S42</f>
        <v>593182.26466504624</v>
      </c>
      <c r="E44" s="45">
        <f>Incurred_loss!T42</f>
        <v>2330948.1668094443</v>
      </c>
      <c r="F44" s="45">
        <f>Incurred_loss!U42</f>
        <v>2130471.6446035658</v>
      </c>
      <c r="G44" s="45">
        <f>Incurred_loss!V42</f>
        <v>2091336.1729067932</v>
      </c>
      <c r="H44" s="45">
        <f>Incurred_loss!W42</f>
        <v>2166678.0839611273</v>
      </c>
      <c r="I44" s="45">
        <f>Incurred_loss!X42</f>
        <v>2172350.6277143289</v>
      </c>
      <c r="J44" s="45">
        <f>Incurred_loss!Y42</f>
        <v>2172941.1620761482</v>
      </c>
      <c r="N44" s="48">
        <f>XL_Pure_Premium!$O44</f>
        <v>2177208.8676567837</v>
      </c>
      <c r="S44">
        <f t="shared" si="2"/>
        <v>2019</v>
      </c>
      <c r="T44" s="45">
        <f t="shared" ref="T44:T58" si="60">MIN(MAX(D44-VLOOKUP($S44+T$4-1,$P$5:$R$25,2,FALSE),0),VLOOKUP($S44+T$4-1,$P$5:$R$25,3,FALSE))</f>
        <v>0</v>
      </c>
      <c r="U44" s="45">
        <f t="shared" ref="U44:U58" si="61">MIN(MAX(E44-VLOOKUP($S44+U$4-1,$P$5:$R$25,2,FALSE),0),VLOOKUP($S44+U$4-1,$P$5:$R$25,3,FALSE))</f>
        <v>0</v>
      </c>
      <c r="V44" s="45">
        <f t="shared" ref="V44:V58" si="62">MIN(MAX(F44-VLOOKUP($S44+V$4-1,$P$5:$R$25,2,FALSE),0),VLOOKUP($S44+V$4-1,$P$5:$R$25,3,FALSE))</f>
        <v>0</v>
      </c>
      <c r="W44" s="45">
        <f t="shared" ref="W44:W58" si="63">MIN(MAX(G44-VLOOKUP($S44+W$4-1,$P$5:$R$25,2,FALSE),0),VLOOKUP($S44+W$4-1,$P$5:$R$25,3,FALSE))</f>
        <v>0</v>
      </c>
      <c r="X44" s="45">
        <f t="shared" ref="X44:X58" si="64">MIN(MAX(H44-VLOOKUP($S44+X$4-1,$P$5:$R$25,2,FALSE),0),VLOOKUP($S44+X$4-1,$P$5:$R$25,3,FALSE))</f>
        <v>0</v>
      </c>
      <c r="Y44" s="45">
        <f t="shared" ref="Y44:Y58" si="65">MIN(MAX(I44-VLOOKUP($S44+Y$4-1,$P$5:$R$25,2,FALSE),0),VLOOKUP($S44+Y$4-1,$P$5:$R$25,3,FALSE))</f>
        <v>0</v>
      </c>
      <c r="Z44" s="45">
        <f t="shared" ref="Z44:Z58" si="66">MIN(MAX(J44-VLOOKUP($S44+Z$4-1,$P$5:$R$25,2,FALSE),0),VLOOKUP($S44+Z$4-1,$P$5:$R$25,3,FALSE))</f>
        <v>0</v>
      </c>
      <c r="AD44" s="45">
        <f t="shared" si="13"/>
        <v>0</v>
      </c>
      <c r="AK44">
        <f t="shared" si="14"/>
        <v>2019</v>
      </c>
      <c r="AL44" s="45">
        <f t="shared" ref="AL44:AL58" si="67">MIN(MAX(D44-VLOOKUP($AK44+AL$4-1,$AH$5:$AJ$25,2,FALSE),0),VLOOKUP($AK44+AL$4-1,$AH$5:$AJ$25,3,FALSE))</f>
        <v>0</v>
      </c>
      <c r="AM44" s="45">
        <f t="shared" ref="AM44:AM58" si="68">MIN(MAX(E44-VLOOKUP($AK44+AM$4-1,$AH$5:$AJ$25,2,FALSE),0),VLOOKUP($AK44+AM$4-1,$AH$5:$AJ$25,3,FALSE))</f>
        <v>0</v>
      </c>
      <c r="AN44" s="45">
        <f t="shared" ref="AN44:AN58" si="69">MIN(MAX(F44-VLOOKUP($AK44+AN$4-1,$AH$5:$AJ$25,2,FALSE),0),VLOOKUP($AK44+AN$4-1,$AH$5:$AJ$25,3,FALSE))</f>
        <v>0</v>
      </c>
      <c r="AO44" s="45">
        <f t="shared" ref="AO44:AO58" si="70">MIN(MAX(G44-VLOOKUP($AK44+AO$4-1,$AH$5:$AJ$25,2,FALSE),0),VLOOKUP($AK44+AO$4-1,$AH$5:$AJ$25,3,FALSE))</f>
        <v>0</v>
      </c>
      <c r="AP44" s="45">
        <f t="shared" ref="AP44:AP58" si="71">MIN(MAX(H44-VLOOKUP($AK44+AP$4-1,$AH$5:$AJ$25,2,FALSE),0),VLOOKUP($AK44+AP$4-1,$AH$5:$AJ$25,3,FALSE))</f>
        <v>0</v>
      </c>
      <c r="AQ44" s="45">
        <f t="shared" ref="AQ44:AQ58" si="72">MIN(MAX(I44-VLOOKUP($AK44+AQ$4-1,$AH$5:$AJ$25,2,FALSE),0),VLOOKUP($AK44+AQ$4-1,$AH$5:$AJ$25,3,FALSE))</f>
        <v>0</v>
      </c>
      <c r="AR44" s="45">
        <f t="shared" ref="AR44:AR58" si="73">MIN(MAX(J44-VLOOKUP($AK44+AR$4-1,$AH$5:$AJ$25,2,FALSE),0),VLOOKUP($AK44+AR$4-1,$AH$5:$AJ$25,3,FALSE))</f>
        <v>0</v>
      </c>
      <c r="AV44" s="45">
        <f t="shared" si="25"/>
        <v>0</v>
      </c>
    </row>
    <row r="45" spans="3:48" x14ac:dyDescent="0.3">
      <c r="C45">
        <f>Incurred_loss!R43</f>
        <v>2019</v>
      </c>
      <c r="D45" s="45">
        <f>Incurred_loss!S43</f>
        <v>2402285.0504073952</v>
      </c>
      <c r="E45" s="45">
        <f>Incurred_loss!T43</f>
        <v>1815869.713310075</v>
      </c>
      <c r="F45" s="45">
        <f>Incurred_loss!U43</f>
        <v>1667762.7630250594</v>
      </c>
      <c r="G45" s="45">
        <f>Incurred_loss!V43</f>
        <v>1725946.738513157</v>
      </c>
      <c r="H45" s="45">
        <f>Incurred_loss!W43</f>
        <v>1599358.8418830335</v>
      </c>
      <c r="I45" s="45">
        <f>Incurred_loss!X43</f>
        <v>1611705.6365758923</v>
      </c>
      <c r="J45" s="45">
        <f>Incurred_loss!Y43</f>
        <v>1607061.920115812</v>
      </c>
      <c r="N45" s="48">
        <f>XL_Pure_Premium!$O45</f>
        <v>1610218.2260685933</v>
      </c>
      <c r="S45">
        <f t="shared" si="2"/>
        <v>2019</v>
      </c>
      <c r="T45" s="45">
        <f t="shared" si="60"/>
        <v>0</v>
      </c>
      <c r="U45" s="45">
        <f t="shared" si="61"/>
        <v>0</v>
      </c>
      <c r="V45" s="45">
        <f t="shared" si="62"/>
        <v>0</v>
      </c>
      <c r="W45" s="45">
        <f t="shared" si="63"/>
        <v>0</v>
      </c>
      <c r="X45" s="45">
        <f t="shared" si="64"/>
        <v>0</v>
      </c>
      <c r="Y45" s="45">
        <f t="shared" si="65"/>
        <v>0</v>
      </c>
      <c r="Z45" s="45">
        <f t="shared" si="66"/>
        <v>0</v>
      </c>
      <c r="AD45" s="45">
        <f t="shared" si="13"/>
        <v>0</v>
      </c>
      <c r="AK45">
        <f t="shared" si="14"/>
        <v>2019</v>
      </c>
      <c r="AL45" s="45">
        <f t="shared" si="67"/>
        <v>0</v>
      </c>
      <c r="AM45" s="45">
        <f t="shared" si="68"/>
        <v>0</v>
      </c>
      <c r="AN45" s="45">
        <f t="shared" si="69"/>
        <v>0</v>
      </c>
      <c r="AO45" s="45">
        <f t="shared" si="70"/>
        <v>0</v>
      </c>
      <c r="AP45" s="45">
        <f t="shared" si="71"/>
        <v>0</v>
      </c>
      <c r="AQ45" s="45">
        <f t="shared" si="72"/>
        <v>0</v>
      </c>
      <c r="AR45" s="45">
        <f t="shared" si="73"/>
        <v>0</v>
      </c>
      <c r="AV45" s="45">
        <f t="shared" si="25"/>
        <v>0</v>
      </c>
    </row>
    <row r="46" spans="3:48" x14ac:dyDescent="0.3">
      <c r="C46">
        <f>Incurred_loss!R44</f>
        <v>2019</v>
      </c>
      <c r="D46" s="45">
        <f>Incurred_loss!S44</f>
        <v>1868101.259240815</v>
      </c>
      <c r="E46" s="45">
        <f>Incurred_loss!T44</f>
        <v>1943992.4433028302</v>
      </c>
      <c r="F46" s="45">
        <f>Incurred_loss!U44</f>
        <v>2389353.958275117</v>
      </c>
      <c r="G46" s="45">
        <f>Incurred_loss!V44</f>
        <v>2104098.7393390206</v>
      </c>
      <c r="H46" s="45">
        <f>Incurred_loss!W44</f>
        <v>1927906.4241548281</v>
      </c>
      <c r="I46" s="45">
        <f>Incurred_loss!X44</f>
        <v>2016225.4299567989</v>
      </c>
      <c r="J46" s="45">
        <f>Incurred_loss!Y44</f>
        <v>1992983.1089126619</v>
      </c>
      <c r="N46" s="48">
        <f>XL_Pure_Premium!$O46</f>
        <v>1996897.3728073603</v>
      </c>
      <c r="S46">
        <f t="shared" si="2"/>
        <v>2019</v>
      </c>
      <c r="T46" s="45">
        <f t="shared" si="60"/>
        <v>0</v>
      </c>
      <c r="U46" s="45">
        <f t="shared" si="61"/>
        <v>0</v>
      </c>
      <c r="V46" s="45">
        <f t="shared" si="62"/>
        <v>0</v>
      </c>
      <c r="W46" s="45">
        <f t="shared" si="63"/>
        <v>0</v>
      </c>
      <c r="X46" s="45">
        <f t="shared" si="64"/>
        <v>0</v>
      </c>
      <c r="Y46" s="45">
        <f t="shared" si="65"/>
        <v>0</v>
      </c>
      <c r="Z46" s="45">
        <f t="shared" si="66"/>
        <v>0</v>
      </c>
      <c r="AD46" s="45">
        <f t="shared" si="13"/>
        <v>0</v>
      </c>
      <c r="AK46">
        <f t="shared" si="14"/>
        <v>2019</v>
      </c>
      <c r="AL46" s="45">
        <f t="shared" si="67"/>
        <v>0</v>
      </c>
      <c r="AM46" s="45">
        <f t="shared" si="68"/>
        <v>0</v>
      </c>
      <c r="AN46" s="45">
        <f t="shared" si="69"/>
        <v>0</v>
      </c>
      <c r="AO46" s="45">
        <f t="shared" si="70"/>
        <v>0</v>
      </c>
      <c r="AP46" s="45">
        <f t="shared" si="71"/>
        <v>0</v>
      </c>
      <c r="AQ46" s="45">
        <f t="shared" si="72"/>
        <v>0</v>
      </c>
      <c r="AR46" s="45">
        <f t="shared" si="73"/>
        <v>0</v>
      </c>
      <c r="AV46" s="45">
        <f t="shared" si="25"/>
        <v>0</v>
      </c>
    </row>
    <row r="47" spans="3:48" x14ac:dyDescent="0.3">
      <c r="C47">
        <f>Incurred_loss!R45</f>
        <v>2019</v>
      </c>
      <c r="D47" s="45">
        <f>Incurred_loss!S45</f>
        <v>1445597.6301373926</v>
      </c>
      <c r="E47" s="45">
        <f>Incurred_loss!T45</f>
        <v>1208171.0908449583</v>
      </c>
      <c r="F47" s="45">
        <f>Incurred_loss!U45</f>
        <v>1210644.0860982654</v>
      </c>
      <c r="G47" s="45">
        <f>Incurred_loss!V45</f>
        <v>1177228.1857186912</v>
      </c>
      <c r="H47" s="45">
        <f>Incurred_loss!W45</f>
        <v>1160596.6407242857</v>
      </c>
      <c r="I47" s="45">
        <f>Incurred_loss!X45</f>
        <v>1159668.4360673362</v>
      </c>
      <c r="J47" s="45">
        <f>Incurred_loss!Y45</f>
        <v>1159563.2701056683</v>
      </c>
      <c r="N47" s="48">
        <f>XL_Pure_Premium!$O47</f>
        <v>1161840.6785902136</v>
      </c>
      <c r="S47">
        <f t="shared" si="2"/>
        <v>2019</v>
      </c>
      <c r="T47" s="45">
        <f t="shared" si="60"/>
        <v>0</v>
      </c>
      <c r="U47" s="45">
        <f t="shared" si="61"/>
        <v>0</v>
      </c>
      <c r="V47" s="45">
        <f t="shared" si="62"/>
        <v>0</v>
      </c>
      <c r="W47" s="45">
        <f t="shared" si="63"/>
        <v>0</v>
      </c>
      <c r="X47" s="45">
        <f t="shared" si="64"/>
        <v>0</v>
      </c>
      <c r="Y47" s="45">
        <f t="shared" si="65"/>
        <v>0</v>
      </c>
      <c r="Z47" s="45">
        <f t="shared" si="66"/>
        <v>0</v>
      </c>
      <c r="AD47" s="45">
        <f t="shared" si="13"/>
        <v>0</v>
      </c>
      <c r="AK47">
        <f t="shared" si="14"/>
        <v>2019</v>
      </c>
      <c r="AL47" s="45">
        <f t="shared" si="67"/>
        <v>0</v>
      </c>
      <c r="AM47" s="45">
        <f t="shared" si="68"/>
        <v>0</v>
      </c>
      <c r="AN47" s="45">
        <f t="shared" si="69"/>
        <v>0</v>
      </c>
      <c r="AO47" s="45">
        <f t="shared" si="70"/>
        <v>0</v>
      </c>
      <c r="AP47" s="45">
        <f t="shared" si="71"/>
        <v>0</v>
      </c>
      <c r="AQ47" s="45">
        <f t="shared" si="72"/>
        <v>0</v>
      </c>
      <c r="AR47" s="45">
        <f t="shared" si="73"/>
        <v>0</v>
      </c>
      <c r="AV47" s="45">
        <f t="shared" si="25"/>
        <v>0</v>
      </c>
    </row>
    <row r="48" spans="3:48" x14ac:dyDescent="0.3">
      <c r="C48">
        <f>Incurred_loss!R46</f>
        <v>2019</v>
      </c>
      <c r="D48" s="45">
        <f>Incurred_loss!S46</f>
        <v>1374668.1121374066</v>
      </c>
      <c r="E48" s="45">
        <f>Incurred_loss!T46</f>
        <v>2172333.9957298394</v>
      </c>
      <c r="F48" s="45">
        <f>Incurred_loss!U46</f>
        <v>2674238.4903363124</v>
      </c>
      <c r="G48" s="45">
        <f>Incurred_loss!V46</f>
        <v>2680041.9647310148</v>
      </c>
      <c r="H48" s="45">
        <f>Incurred_loss!W46</f>
        <v>2250438.340300289</v>
      </c>
      <c r="I48" s="45">
        <f>Incurred_loss!X46</f>
        <v>2107578.076367869</v>
      </c>
      <c r="J48" s="45">
        <f>Incurred_loss!Y46</f>
        <v>2114837.960540757</v>
      </c>
      <c r="N48" s="48">
        <f>XL_Pure_Premium!$O48</f>
        <v>2118991.5501196464</v>
      </c>
      <c r="S48">
        <f t="shared" si="2"/>
        <v>2019</v>
      </c>
      <c r="T48" s="45">
        <f t="shared" si="60"/>
        <v>0</v>
      </c>
      <c r="U48" s="45">
        <f t="shared" si="61"/>
        <v>0</v>
      </c>
      <c r="V48" s="45">
        <f t="shared" si="62"/>
        <v>0</v>
      </c>
      <c r="W48" s="45">
        <f t="shared" si="63"/>
        <v>0</v>
      </c>
      <c r="X48" s="45">
        <f t="shared" si="64"/>
        <v>0</v>
      </c>
      <c r="Y48" s="45">
        <f t="shared" si="65"/>
        <v>0</v>
      </c>
      <c r="Z48" s="45">
        <f t="shared" si="66"/>
        <v>0</v>
      </c>
      <c r="AD48" s="45">
        <f t="shared" si="13"/>
        <v>0</v>
      </c>
      <c r="AK48">
        <f t="shared" si="14"/>
        <v>2019</v>
      </c>
      <c r="AL48" s="45">
        <f t="shared" si="67"/>
        <v>0</v>
      </c>
      <c r="AM48" s="45">
        <f t="shared" si="68"/>
        <v>0</v>
      </c>
      <c r="AN48" s="45">
        <f t="shared" si="69"/>
        <v>0</v>
      </c>
      <c r="AO48" s="45">
        <f t="shared" si="70"/>
        <v>0</v>
      </c>
      <c r="AP48" s="45">
        <f t="shared" si="71"/>
        <v>0</v>
      </c>
      <c r="AQ48" s="45">
        <f t="shared" si="72"/>
        <v>0</v>
      </c>
      <c r="AR48" s="45">
        <f t="shared" si="73"/>
        <v>0</v>
      </c>
      <c r="AV48" s="45">
        <f t="shared" si="25"/>
        <v>0</v>
      </c>
    </row>
    <row r="49" spans="3:48" x14ac:dyDescent="0.3">
      <c r="C49">
        <f>Incurred_loss!R47</f>
        <v>2019</v>
      </c>
      <c r="D49" s="45">
        <f>Incurred_loss!S47</f>
        <v>1616517.8699383487</v>
      </c>
      <c r="E49" s="45">
        <f>Incurred_loss!T47</f>
        <v>1205652.5438956828</v>
      </c>
      <c r="F49" s="45">
        <f>Incurred_loss!U47</f>
        <v>1418435.8870417839</v>
      </c>
      <c r="G49" s="45">
        <f>Incurred_loss!V47</f>
        <v>1435983.3887731037</v>
      </c>
      <c r="H49" s="45">
        <f>Incurred_loss!W47</f>
        <v>1401781.9357512072</v>
      </c>
      <c r="I49" s="45">
        <f>Incurred_loss!X47</f>
        <v>1314728.7143181656</v>
      </c>
      <c r="J49" s="45">
        <f>Incurred_loss!Y47</f>
        <v>1319074.6780881733</v>
      </c>
      <c r="N49" s="48">
        <f>XL_Pure_Premium!$O49</f>
        <v>1321665.370585145</v>
      </c>
      <c r="S49">
        <f t="shared" si="2"/>
        <v>2019</v>
      </c>
      <c r="T49" s="45">
        <f t="shared" si="60"/>
        <v>0</v>
      </c>
      <c r="U49" s="45">
        <f t="shared" si="61"/>
        <v>0</v>
      </c>
      <c r="V49" s="45">
        <f t="shared" si="62"/>
        <v>0</v>
      </c>
      <c r="W49" s="45">
        <f t="shared" si="63"/>
        <v>0</v>
      </c>
      <c r="X49" s="45">
        <f t="shared" si="64"/>
        <v>0</v>
      </c>
      <c r="Y49" s="45">
        <f t="shared" si="65"/>
        <v>0</v>
      </c>
      <c r="Z49" s="45">
        <f t="shared" si="66"/>
        <v>0</v>
      </c>
      <c r="AD49" s="45">
        <f t="shared" si="13"/>
        <v>0</v>
      </c>
      <c r="AK49">
        <f t="shared" si="14"/>
        <v>2019</v>
      </c>
      <c r="AL49" s="45">
        <f t="shared" si="67"/>
        <v>0</v>
      </c>
      <c r="AM49" s="45">
        <f t="shared" si="68"/>
        <v>0</v>
      </c>
      <c r="AN49" s="45">
        <f t="shared" si="69"/>
        <v>0</v>
      </c>
      <c r="AO49" s="45">
        <f t="shared" si="70"/>
        <v>0</v>
      </c>
      <c r="AP49" s="45">
        <f t="shared" si="71"/>
        <v>0</v>
      </c>
      <c r="AQ49" s="45">
        <f t="shared" si="72"/>
        <v>0</v>
      </c>
      <c r="AR49" s="45">
        <f t="shared" si="73"/>
        <v>0</v>
      </c>
      <c r="AV49" s="45">
        <f t="shared" si="25"/>
        <v>0</v>
      </c>
    </row>
    <row r="50" spans="3:48" x14ac:dyDescent="0.3">
      <c r="C50">
        <f>Incurred_loss!R48</f>
        <v>2019</v>
      </c>
      <c r="D50" s="45">
        <f>Incurred_loss!S48</f>
        <v>5230384.8079372607</v>
      </c>
      <c r="E50" s="45">
        <f>Incurred_loss!T48</f>
        <v>4547674.6532643847</v>
      </c>
      <c r="F50" s="45">
        <f>Incurred_loss!U48</f>
        <v>4091246.5877943202</v>
      </c>
      <c r="G50" s="45">
        <f>Incurred_loss!V48</f>
        <v>4048356.227679831</v>
      </c>
      <c r="H50" s="45">
        <f>Incurred_loss!W48</f>
        <v>4034841.2658916181</v>
      </c>
      <c r="I50" s="45">
        <f>Incurred_loss!X48</f>
        <v>4029981.2761463542</v>
      </c>
      <c r="J50" s="45">
        <f>Incurred_loss!Y48</f>
        <v>4031544.0607109736</v>
      </c>
      <c r="N50" s="48">
        <f>XL_Pure_Premium!$O50</f>
        <v>4039462.1044144831</v>
      </c>
      <c r="S50">
        <f t="shared" si="2"/>
        <v>2019</v>
      </c>
      <c r="T50" s="45">
        <f t="shared" si="60"/>
        <v>1001347.8993355464</v>
      </c>
      <c r="U50" s="45">
        <f t="shared" si="61"/>
        <v>287285.49643560313</v>
      </c>
      <c r="V50" s="45">
        <f t="shared" si="62"/>
        <v>0</v>
      </c>
      <c r="W50" s="45">
        <f t="shared" si="63"/>
        <v>0</v>
      </c>
      <c r="X50" s="45">
        <f t="shared" si="64"/>
        <v>0</v>
      </c>
      <c r="Y50" s="45">
        <f t="shared" si="65"/>
        <v>0</v>
      </c>
      <c r="Z50" s="45">
        <f t="shared" si="66"/>
        <v>0</v>
      </c>
      <c r="AD50" s="45">
        <f t="shared" si="13"/>
        <v>0</v>
      </c>
      <c r="AK50">
        <f t="shared" si="14"/>
        <v>2019</v>
      </c>
      <c r="AL50" s="45">
        <f t="shared" si="67"/>
        <v>0</v>
      </c>
      <c r="AM50" s="45">
        <f t="shared" si="68"/>
        <v>0</v>
      </c>
      <c r="AN50" s="45">
        <f t="shared" si="69"/>
        <v>0</v>
      </c>
      <c r="AO50" s="45">
        <f t="shared" si="70"/>
        <v>0</v>
      </c>
      <c r="AP50" s="45">
        <f t="shared" si="71"/>
        <v>0</v>
      </c>
      <c r="AQ50" s="45">
        <f t="shared" si="72"/>
        <v>0</v>
      </c>
      <c r="AR50" s="45">
        <f t="shared" si="73"/>
        <v>0</v>
      </c>
      <c r="AV50" s="45">
        <f t="shared" si="25"/>
        <v>0</v>
      </c>
    </row>
    <row r="51" spans="3:48" x14ac:dyDescent="0.3">
      <c r="C51">
        <f>Incurred_loss!R49</f>
        <v>2019</v>
      </c>
      <c r="D51" s="45">
        <f>Incurred_loss!S49</f>
        <v>1828427.1492417241</v>
      </c>
      <c r="E51" s="45">
        <f>Incurred_loss!T49</f>
        <v>1180425.6469071496</v>
      </c>
      <c r="F51" s="45">
        <f>Incurred_loss!U49</f>
        <v>1150152.6862277391</v>
      </c>
      <c r="G51" s="45">
        <f>Incurred_loss!V49</f>
        <v>990537.15411048685</v>
      </c>
      <c r="H51" s="45">
        <f>Incurred_loss!W49</f>
        <v>1077518.5338661333</v>
      </c>
      <c r="I51" s="45">
        <f>Incurred_loss!X49</f>
        <v>1077138.549936912</v>
      </c>
      <c r="J51" s="45">
        <f>Incurred_loss!Y49</f>
        <v>1079865.9136745317</v>
      </c>
      <c r="N51" s="48">
        <f>XL_Pure_Premium!$O51</f>
        <v>1081986.7947487913</v>
      </c>
      <c r="S51">
        <f t="shared" si="2"/>
        <v>2019</v>
      </c>
      <c r="T51" s="45">
        <f t="shared" si="60"/>
        <v>0</v>
      </c>
      <c r="U51" s="45">
        <f t="shared" si="61"/>
        <v>0</v>
      </c>
      <c r="V51" s="45">
        <f t="shared" si="62"/>
        <v>0</v>
      </c>
      <c r="W51" s="45">
        <f t="shared" si="63"/>
        <v>0</v>
      </c>
      <c r="X51" s="45">
        <f t="shared" si="64"/>
        <v>0</v>
      </c>
      <c r="Y51" s="45">
        <f t="shared" si="65"/>
        <v>0</v>
      </c>
      <c r="Z51" s="45">
        <f t="shared" si="66"/>
        <v>0</v>
      </c>
      <c r="AD51" s="45">
        <f t="shared" si="13"/>
        <v>0</v>
      </c>
      <c r="AK51">
        <f t="shared" si="14"/>
        <v>2019</v>
      </c>
      <c r="AL51" s="45">
        <f t="shared" si="67"/>
        <v>0</v>
      </c>
      <c r="AM51" s="45">
        <f t="shared" si="68"/>
        <v>0</v>
      </c>
      <c r="AN51" s="45">
        <f t="shared" si="69"/>
        <v>0</v>
      </c>
      <c r="AO51" s="45">
        <f t="shared" si="70"/>
        <v>0</v>
      </c>
      <c r="AP51" s="45">
        <f t="shared" si="71"/>
        <v>0</v>
      </c>
      <c r="AQ51" s="45">
        <f t="shared" si="72"/>
        <v>0</v>
      </c>
      <c r="AR51" s="45">
        <f t="shared" si="73"/>
        <v>0</v>
      </c>
      <c r="AV51" s="45">
        <f t="shared" si="25"/>
        <v>0</v>
      </c>
    </row>
    <row r="52" spans="3:48" x14ac:dyDescent="0.3">
      <c r="C52">
        <f>Incurred_loss!R50</f>
        <v>2019</v>
      </c>
      <c r="D52" s="45">
        <f>Incurred_loss!S50</f>
        <v>2228272.2645746935</v>
      </c>
      <c r="E52" s="45">
        <f>Incurred_loss!T50</f>
        <v>2556399.7385552535</v>
      </c>
      <c r="F52" s="45">
        <f>Incurred_loss!U50</f>
        <v>2351438.1413896387</v>
      </c>
      <c r="G52" s="45">
        <f>Incurred_loss!V50</f>
        <v>2596260.6731982958</v>
      </c>
      <c r="H52" s="45">
        <f>Incurred_loss!W50</f>
        <v>2738270.1506180703</v>
      </c>
      <c r="I52" s="45">
        <f>Incurred_loss!X50</f>
        <v>2595382.0306275771</v>
      </c>
      <c r="J52" s="45">
        <f>Incurred_loss!Y50</f>
        <v>2559017.2531144167</v>
      </c>
      <c r="N52" s="48">
        <f>XL_Pure_Premium!$O52</f>
        <v>2564043.2208684739</v>
      </c>
      <c r="S52">
        <f t="shared" si="2"/>
        <v>2019</v>
      </c>
      <c r="T52" s="45">
        <f t="shared" si="60"/>
        <v>0</v>
      </c>
      <c r="U52" s="45">
        <f t="shared" si="61"/>
        <v>0</v>
      </c>
      <c r="V52" s="45">
        <f t="shared" si="62"/>
        <v>0</v>
      </c>
      <c r="W52" s="45">
        <f t="shared" si="63"/>
        <v>0</v>
      </c>
      <c r="X52" s="45">
        <f t="shared" si="64"/>
        <v>0</v>
      </c>
      <c r="Y52" s="45">
        <f t="shared" si="65"/>
        <v>0</v>
      </c>
      <c r="Z52" s="45">
        <f t="shared" si="66"/>
        <v>0</v>
      </c>
      <c r="AD52" s="45">
        <f t="shared" si="13"/>
        <v>0</v>
      </c>
      <c r="AK52">
        <f t="shared" si="14"/>
        <v>2019</v>
      </c>
      <c r="AL52" s="45">
        <f t="shared" si="67"/>
        <v>0</v>
      </c>
      <c r="AM52" s="45">
        <f t="shared" si="68"/>
        <v>0</v>
      </c>
      <c r="AN52" s="45">
        <f t="shared" si="69"/>
        <v>0</v>
      </c>
      <c r="AO52" s="45">
        <f t="shared" si="70"/>
        <v>0</v>
      </c>
      <c r="AP52" s="45">
        <f t="shared" si="71"/>
        <v>0</v>
      </c>
      <c r="AQ52" s="45">
        <f t="shared" si="72"/>
        <v>0</v>
      </c>
      <c r="AR52" s="45">
        <f t="shared" si="73"/>
        <v>0</v>
      </c>
      <c r="AV52" s="45">
        <f t="shared" si="25"/>
        <v>0</v>
      </c>
    </row>
    <row r="53" spans="3:48" x14ac:dyDescent="0.3">
      <c r="C53">
        <f>Incurred_loss!R51</f>
        <v>2019</v>
      </c>
      <c r="D53" s="45">
        <f>Incurred_loss!S51</f>
        <v>4979023.7390434397</v>
      </c>
      <c r="E53" s="45">
        <f>Incurred_loss!T51</f>
        <v>3712299.9773049708</v>
      </c>
      <c r="F53" s="45">
        <f>Incurred_loss!U51</f>
        <v>3886214.9043652033</v>
      </c>
      <c r="G53" s="45">
        <f>Incurred_loss!V51</f>
        <v>3877030.4587814002</v>
      </c>
      <c r="H53" s="45">
        <f>Incurred_loss!W51</f>
        <v>3854113.8377061323</v>
      </c>
      <c r="I53" s="45">
        <f>Incurred_loss!X51</f>
        <v>3857638.3657974158</v>
      </c>
      <c r="J53" s="45">
        <f>Incurred_loss!Y51</f>
        <v>3860761.8945601792</v>
      </c>
      <c r="N53" s="48">
        <f>XL_Pure_Premium!$O53</f>
        <v>3868344.5182273458</v>
      </c>
      <c r="S53">
        <f t="shared" si="2"/>
        <v>2019</v>
      </c>
      <c r="T53" s="45">
        <f t="shared" si="60"/>
        <v>749986.83044172544</v>
      </c>
      <c r="U53" s="45">
        <f t="shared" si="61"/>
        <v>0</v>
      </c>
      <c r="V53" s="45">
        <f t="shared" si="62"/>
        <v>0</v>
      </c>
      <c r="W53" s="45">
        <f t="shared" si="63"/>
        <v>0</v>
      </c>
      <c r="X53" s="45">
        <f t="shared" si="64"/>
        <v>0</v>
      </c>
      <c r="Y53" s="45">
        <f t="shared" si="65"/>
        <v>0</v>
      </c>
      <c r="Z53" s="45">
        <f t="shared" si="66"/>
        <v>0</v>
      </c>
      <c r="AD53" s="45">
        <f t="shared" si="13"/>
        <v>0</v>
      </c>
      <c r="AK53">
        <f t="shared" si="14"/>
        <v>2019</v>
      </c>
      <c r="AL53" s="45">
        <f t="shared" si="67"/>
        <v>0</v>
      </c>
      <c r="AM53" s="45">
        <f t="shared" si="68"/>
        <v>0</v>
      </c>
      <c r="AN53" s="45">
        <f t="shared" si="69"/>
        <v>0</v>
      </c>
      <c r="AO53" s="45">
        <f t="shared" si="70"/>
        <v>0</v>
      </c>
      <c r="AP53" s="45">
        <f t="shared" si="71"/>
        <v>0</v>
      </c>
      <c r="AQ53" s="45">
        <f t="shared" si="72"/>
        <v>0</v>
      </c>
      <c r="AR53" s="45">
        <f t="shared" si="73"/>
        <v>0</v>
      </c>
      <c r="AV53" s="45">
        <f t="shared" si="25"/>
        <v>0</v>
      </c>
    </row>
    <row r="54" spans="3:48" x14ac:dyDescent="0.3">
      <c r="C54">
        <f>Incurred_loss!R52</f>
        <v>2019</v>
      </c>
      <c r="D54" s="45">
        <f>Incurred_loss!S52</f>
        <v>1679831.3727933078</v>
      </c>
      <c r="E54" s="45">
        <f>Incurred_loss!T52</f>
        <v>2352299.8209672626</v>
      </c>
      <c r="F54" s="45">
        <f>Incurred_loss!U52</f>
        <v>2201688.9991665934</v>
      </c>
      <c r="G54" s="45">
        <f>Incurred_loss!V52</f>
        <v>2119127.9317575172</v>
      </c>
      <c r="H54" s="45">
        <f>Incurred_loss!W52</f>
        <v>2044842.494061131</v>
      </c>
      <c r="I54" s="45">
        <f>Incurred_loss!X52</f>
        <v>2041247.2496199033</v>
      </c>
      <c r="J54" s="45">
        <f>Incurred_loss!Y52</f>
        <v>2041647.8887822209</v>
      </c>
      <c r="N54" s="48">
        <f>XL_Pure_Premium!$O54</f>
        <v>2045657.7314050756</v>
      </c>
      <c r="S54">
        <f t="shared" si="2"/>
        <v>2019</v>
      </c>
      <c r="T54" s="45">
        <f t="shared" si="60"/>
        <v>0</v>
      </c>
      <c r="U54" s="45">
        <f t="shared" si="61"/>
        <v>0</v>
      </c>
      <c r="V54" s="45">
        <f t="shared" si="62"/>
        <v>0</v>
      </c>
      <c r="W54" s="45">
        <f t="shared" si="63"/>
        <v>0</v>
      </c>
      <c r="X54" s="45">
        <f t="shared" si="64"/>
        <v>0</v>
      </c>
      <c r="Y54" s="45">
        <f t="shared" si="65"/>
        <v>0</v>
      </c>
      <c r="Z54" s="45">
        <f t="shared" si="66"/>
        <v>0</v>
      </c>
      <c r="AD54" s="45">
        <f t="shared" si="13"/>
        <v>0</v>
      </c>
      <c r="AK54">
        <f t="shared" si="14"/>
        <v>2019</v>
      </c>
      <c r="AL54" s="45">
        <f t="shared" si="67"/>
        <v>0</v>
      </c>
      <c r="AM54" s="45">
        <f t="shared" si="68"/>
        <v>0</v>
      </c>
      <c r="AN54" s="45">
        <f t="shared" si="69"/>
        <v>0</v>
      </c>
      <c r="AO54" s="45">
        <f t="shared" si="70"/>
        <v>0</v>
      </c>
      <c r="AP54" s="45">
        <f t="shared" si="71"/>
        <v>0</v>
      </c>
      <c r="AQ54" s="45">
        <f t="shared" si="72"/>
        <v>0</v>
      </c>
      <c r="AR54" s="45">
        <f t="shared" si="73"/>
        <v>0</v>
      </c>
      <c r="AV54" s="45">
        <f t="shared" si="25"/>
        <v>0</v>
      </c>
    </row>
    <row r="55" spans="3:48" x14ac:dyDescent="0.3">
      <c r="C55">
        <f>Incurred_loss!R53</f>
        <v>2019</v>
      </c>
      <c r="D55" s="45">
        <f>Incurred_loss!S53</f>
        <v>1004416.3587820012</v>
      </c>
      <c r="E55" s="45">
        <f>Incurred_loss!T53</f>
        <v>1260208.3631840479</v>
      </c>
      <c r="F55" s="45">
        <f>Incurred_loss!U53</f>
        <v>1135177.7671411112</v>
      </c>
      <c r="G55" s="45">
        <f>Incurred_loss!V53</f>
        <v>1029470.9910313629</v>
      </c>
      <c r="H55" s="45">
        <f>Incurred_loss!W53</f>
        <v>1022392.3237764891</v>
      </c>
      <c r="I55" s="45">
        <f>Incurred_loss!X53</f>
        <v>1013511.2216955415</v>
      </c>
      <c r="J55" s="45">
        <f>Incurred_loss!Y53</f>
        <v>1013620.6111277206</v>
      </c>
      <c r="N55" s="48">
        <f>XL_Pure_Premium!$O55</f>
        <v>1015611.3849297244</v>
      </c>
      <c r="S55">
        <f t="shared" si="2"/>
        <v>2019</v>
      </c>
      <c r="T55" s="45">
        <f t="shared" si="60"/>
        <v>0</v>
      </c>
      <c r="U55" s="45">
        <f t="shared" si="61"/>
        <v>0</v>
      </c>
      <c r="V55" s="45">
        <f t="shared" si="62"/>
        <v>0</v>
      </c>
      <c r="W55" s="45">
        <f t="shared" si="63"/>
        <v>0</v>
      </c>
      <c r="X55" s="45">
        <f t="shared" si="64"/>
        <v>0</v>
      </c>
      <c r="Y55" s="45">
        <f t="shared" si="65"/>
        <v>0</v>
      </c>
      <c r="Z55" s="45">
        <f t="shared" si="66"/>
        <v>0</v>
      </c>
      <c r="AD55" s="45">
        <f t="shared" si="13"/>
        <v>0</v>
      </c>
      <c r="AK55">
        <f t="shared" si="14"/>
        <v>2019</v>
      </c>
      <c r="AL55" s="45">
        <f t="shared" si="67"/>
        <v>0</v>
      </c>
      <c r="AM55" s="45">
        <f t="shared" si="68"/>
        <v>0</v>
      </c>
      <c r="AN55" s="45">
        <f t="shared" si="69"/>
        <v>0</v>
      </c>
      <c r="AO55" s="45">
        <f t="shared" si="70"/>
        <v>0</v>
      </c>
      <c r="AP55" s="45">
        <f t="shared" si="71"/>
        <v>0</v>
      </c>
      <c r="AQ55" s="45">
        <f t="shared" si="72"/>
        <v>0</v>
      </c>
      <c r="AR55" s="45">
        <f t="shared" si="73"/>
        <v>0</v>
      </c>
      <c r="AV55" s="45">
        <f t="shared" si="25"/>
        <v>0</v>
      </c>
    </row>
    <row r="56" spans="3:48" x14ac:dyDescent="0.3">
      <c r="C56">
        <f>Incurred_loss!R54</f>
        <v>2019</v>
      </c>
      <c r="D56" s="45">
        <f>Incurred_loss!S54</f>
        <v>4136872.0051644635</v>
      </c>
      <c r="E56" s="45">
        <f>Incurred_loss!T54</f>
        <v>5319542.2784024272</v>
      </c>
      <c r="F56" s="45">
        <f>Incurred_loss!U54</f>
        <v>5530112.9695209414</v>
      </c>
      <c r="G56" s="45">
        <f>Incurred_loss!V54</f>
        <v>5080860.3939118031</v>
      </c>
      <c r="H56" s="45">
        <f>Incurred_loss!W54</f>
        <v>5063638.3991765827</v>
      </c>
      <c r="I56" s="45">
        <f>Incurred_loss!X54</f>
        <v>5145246.2222874174</v>
      </c>
      <c r="J56" s="45">
        <f>Incurred_loss!Y54</f>
        <v>5143879.2432688139</v>
      </c>
      <c r="N56" s="48">
        <f>XL_Pure_Premium!$O56</f>
        <v>5153981.9384249207</v>
      </c>
      <c r="S56">
        <f t="shared" si="2"/>
        <v>2019</v>
      </c>
      <c r="T56" s="45">
        <f t="shared" si="60"/>
        <v>0</v>
      </c>
      <c r="U56" s="45">
        <f t="shared" si="61"/>
        <v>1059153.1215736456</v>
      </c>
      <c r="V56" s="45">
        <f t="shared" si="62"/>
        <v>1165734.3126455909</v>
      </c>
      <c r="W56" s="45">
        <f t="shared" si="63"/>
        <v>298403.63286069874</v>
      </c>
      <c r="X56" s="45">
        <f t="shared" si="64"/>
        <v>84422.655372589827</v>
      </c>
      <c r="Y56" s="45">
        <f t="shared" si="65"/>
        <v>9477.8780840877444</v>
      </c>
      <c r="Z56" s="45">
        <f t="shared" si="66"/>
        <v>0</v>
      </c>
      <c r="AD56" s="45">
        <f t="shared" si="13"/>
        <v>0</v>
      </c>
      <c r="AK56">
        <f t="shared" si="14"/>
        <v>2019</v>
      </c>
      <c r="AL56" s="45">
        <f t="shared" si="67"/>
        <v>0</v>
      </c>
      <c r="AM56" s="45">
        <f t="shared" si="68"/>
        <v>0</v>
      </c>
      <c r="AN56" s="45">
        <f t="shared" si="69"/>
        <v>0</v>
      </c>
      <c r="AO56" s="45">
        <f t="shared" si="70"/>
        <v>0</v>
      </c>
      <c r="AP56" s="45">
        <f t="shared" si="71"/>
        <v>0</v>
      </c>
      <c r="AQ56" s="45">
        <f t="shared" si="72"/>
        <v>0</v>
      </c>
      <c r="AR56" s="45">
        <f t="shared" si="73"/>
        <v>0</v>
      </c>
      <c r="AV56" s="45">
        <f t="shared" si="25"/>
        <v>0</v>
      </c>
    </row>
    <row r="57" spans="3:48" x14ac:dyDescent="0.3">
      <c r="C57">
        <f>Incurred_loss!R55</f>
        <v>2019</v>
      </c>
      <c r="D57" s="45">
        <f>Incurred_loss!S55</f>
        <v>5361425.0466771973</v>
      </c>
      <c r="E57" s="45">
        <f>Incurred_loss!T55</f>
        <v>5195487.9340468151</v>
      </c>
      <c r="F57" s="45">
        <f>Incurred_loss!U55</f>
        <v>4168576.7405652027</v>
      </c>
      <c r="G57" s="45">
        <f>Incurred_loss!V55</f>
        <v>4170173.4284920553</v>
      </c>
      <c r="H57" s="45">
        <f>Incurred_loss!W55</f>
        <v>4237449.729740263</v>
      </c>
      <c r="I57" s="45">
        <f>Incurred_loss!X55</f>
        <v>4131933.5743124364</v>
      </c>
      <c r="J57" s="45">
        <f>Incurred_loss!Y55</f>
        <v>4145849.9932402461</v>
      </c>
      <c r="N57" s="48">
        <f>XL_Pure_Premium!$O57</f>
        <v>4153992.5363801271</v>
      </c>
      <c r="S57">
        <f t="shared" si="2"/>
        <v>2019</v>
      </c>
      <c r="T57" s="45">
        <f t="shared" si="60"/>
        <v>1132388.138075483</v>
      </c>
      <c r="U57" s="45">
        <f t="shared" si="61"/>
        <v>935098.77721803356</v>
      </c>
      <c r="V57" s="45">
        <f t="shared" si="62"/>
        <v>0</v>
      </c>
      <c r="W57" s="45">
        <f t="shared" si="63"/>
        <v>0</v>
      </c>
      <c r="X57" s="45">
        <f t="shared" si="64"/>
        <v>0</v>
      </c>
      <c r="Y57" s="45">
        <f t="shared" si="65"/>
        <v>0</v>
      </c>
      <c r="Z57" s="45">
        <f t="shared" si="66"/>
        <v>0</v>
      </c>
      <c r="AD57" s="45">
        <f t="shared" si="13"/>
        <v>0</v>
      </c>
      <c r="AK57">
        <f t="shared" si="14"/>
        <v>2019</v>
      </c>
      <c r="AL57" s="45">
        <f t="shared" si="67"/>
        <v>0</v>
      </c>
      <c r="AM57" s="45">
        <f t="shared" si="68"/>
        <v>0</v>
      </c>
      <c r="AN57" s="45">
        <f t="shared" si="69"/>
        <v>0</v>
      </c>
      <c r="AO57" s="45">
        <f t="shared" si="70"/>
        <v>0</v>
      </c>
      <c r="AP57" s="45">
        <f t="shared" si="71"/>
        <v>0</v>
      </c>
      <c r="AQ57" s="45">
        <f t="shared" si="72"/>
        <v>0</v>
      </c>
      <c r="AR57" s="45">
        <f t="shared" si="73"/>
        <v>0</v>
      </c>
      <c r="AV57" s="45">
        <f t="shared" si="25"/>
        <v>0</v>
      </c>
    </row>
    <row r="58" spans="3:48" x14ac:dyDescent="0.3">
      <c r="C58">
        <f>Incurred_loss!R56</f>
        <v>2019</v>
      </c>
      <c r="D58" s="45">
        <f>Incurred_loss!S56</f>
        <v>1197895.8574352977</v>
      </c>
      <c r="E58" s="45">
        <f>Incurred_loss!T56</f>
        <v>1022739.9862260383</v>
      </c>
      <c r="F58" s="45">
        <f>Incurred_loss!U56</f>
        <v>872098.49635224114</v>
      </c>
      <c r="G58" s="45">
        <f>Incurred_loss!V56</f>
        <v>965044.08597637375</v>
      </c>
      <c r="H58" s="45">
        <f>Incurred_loss!W56</f>
        <v>925104.33939514332</v>
      </c>
      <c r="I58" s="45">
        <f>Incurred_loss!X56</f>
        <v>888527.43384205364</v>
      </c>
      <c r="J58" s="45">
        <f>Incurred_loss!Y56</f>
        <v>930193.69498349796</v>
      </c>
      <c r="N58" s="48">
        <f>XL_Pure_Premium!$O58</f>
        <v>932020.61643560021</v>
      </c>
      <c r="S58">
        <f t="shared" si="2"/>
        <v>2019</v>
      </c>
      <c r="T58" s="45">
        <f t="shared" si="60"/>
        <v>0</v>
      </c>
      <c r="U58" s="45">
        <f t="shared" si="61"/>
        <v>0</v>
      </c>
      <c r="V58" s="45">
        <f t="shared" si="62"/>
        <v>0</v>
      </c>
      <c r="W58" s="45">
        <f t="shared" si="63"/>
        <v>0</v>
      </c>
      <c r="X58" s="45">
        <f t="shared" si="64"/>
        <v>0</v>
      </c>
      <c r="Y58" s="45">
        <f t="shared" si="65"/>
        <v>0</v>
      </c>
      <c r="Z58" s="45">
        <f t="shared" si="66"/>
        <v>0</v>
      </c>
      <c r="AD58" s="45">
        <f t="shared" si="13"/>
        <v>0</v>
      </c>
      <c r="AK58">
        <f t="shared" si="14"/>
        <v>2019</v>
      </c>
      <c r="AL58" s="45">
        <f t="shared" si="67"/>
        <v>0</v>
      </c>
      <c r="AM58" s="45">
        <f t="shared" si="68"/>
        <v>0</v>
      </c>
      <c r="AN58" s="45">
        <f t="shared" si="69"/>
        <v>0</v>
      </c>
      <c r="AO58" s="45">
        <f t="shared" si="70"/>
        <v>0</v>
      </c>
      <c r="AP58" s="45">
        <f t="shared" si="71"/>
        <v>0</v>
      </c>
      <c r="AQ58" s="45">
        <f t="shared" si="72"/>
        <v>0</v>
      </c>
      <c r="AR58" s="45">
        <f t="shared" si="73"/>
        <v>0</v>
      </c>
      <c r="AV58" s="45">
        <f t="shared" si="25"/>
        <v>0</v>
      </c>
    </row>
    <row r="59" spans="3:48" x14ac:dyDescent="0.3">
      <c r="C59">
        <f>Incurred_loss!R57</f>
        <v>2020</v>
      </c>
      <c r="D59" s="45">
        <f>Incurred_loss!S57</f>
        <v>783744.20035917487</v>
      </c>
      <c r="E59" s="45">
        <f>Incurred_loss!T57</f>
        <v>1272528.7374151601</v>
      </c>
      <c r="F59" s="45">
        <f>Incurred_loss!U57</f>
        <v>1517944.7163948291</v>
      </c>
      <c r="G59" s="45">
        <f>Incurred_loss!V57</f>
        <v>1407933.6565516251</v>
      </c>
      <c r="H59" s="45">
        <f>Incurred_loss!W57</f>
        <v>1410301.9655802906</v>
      </c>
      <c r="I59" s="45">
        <f>Incurred_loss!X57</f>
        <v>1408859.0218216726</v>
      </c>
      <c r="N59" s="48">
        <f>XL_Pure_Premium!$O59</f>
        <v>1409460.6528003095</v>
      </c>
      <c r="S59">
        <f t="shared" si="2"/>
        <v>2020</v>
      </c>
      <c r="T59" s="45">
        <f t="shared" ref="T59:T64" si="74">MIN(MAX(D59-VLOOKUP($S59+T$4-1,$P$5:$R$25,2,FALSE),0),VLOOKUP($S59+T$4-1,$P$5:$R$25,3,FALSE))</f>
        <v>0</v>
      </c>
      <c r="U59" s="45">
        <f t="shared" ref="U59:U64" si="75">MIN(MAX(E59-VLOOKUP($S59+U$4-1,$P$5:$R$25,2,FALSE),0),VLOOKUP($S59+U$4-1,$P$5:$R$25,3,FALSE))</f>
        <v>0</v>
      </c>
      <c r="V59" s="45">
        <f t="shared" ref="V59:V64" si="76">MIN(MAX(F59-VLOOKUP($S59+V$4-1,$P$5:$R$25,2,FALSE),0),VLOOKUP($S59+V$4-1,$P$5:$R$25,3,FALSE))</f>
        <v>0</v>
      </c>
      <c r="W59" s="45">
        <f t="shared" ref="W59:W64" si="77">MIN(MAX(G59-VLOOKUP($S59+W$4-1,$P$5:$R$25,2,FALSE),0),VLOOKUP($S59+W$4-1,$P$5:$R$25,3,FALSE))</f>
        <v>0</v>
      </c>
      <c r="X59" s="45">
        <f t="shared" ref="X59:X64" si="78">MIN(MAX(H59-VLOOKUP($S59+X$4-1,$P$5:$R$25,2,FALSE),0),VLOOKUP($S59+X$4-1,$P$5:$R$25,3,FALSE))</f>
        <v>0</v>
      </c>
      <c r="Y59" s="45">
        <f t="shared" ref="Y59:Y64" si="79">MIN(MAX(I59-VLOOKUP($S59+Y$4-1,$P$5:$R$25,2,FALSE),0),VLOOKUP($S59+Y$4-1,$P$5:$R$25,3,FALSE))</f>
        <v>0</v>
      </c>
      <c r="AD59" s="45">
        <f t="shared" si="13"/>
        <v>0</v>
      </c>
      <c r="AK59">
        <f t="shared" si="14"/>
        <v>2020</v>
      </c>
      <c r="AL59" s="45">
        <f t="shared" ref="AL59:AL64" si="80">MIN(MAX(D59-VLOOKUP($AK59+AL$4-1,$AH$5:$AJ$25,2,FALSE),0),VLOOKUP($AK59+AL$4-1,$AH$5:$AJ$25,3,FALSE))</f>
        <v>0</v>
      </c>
      <c r="AM59" s="45">
        <f t="shared" ref="AM59:AM64" si="81">MIN(MAX(E59-VLOOKUP($AK59+AM$4-1,$AH$5:$AJ$25,2,FALSE),0),VLOOKUP($AK59+AM$4-1,$AH$5:$AJ$25,3,FALSE))</f>
        <v>0</v>
      </c>
      <c r="AN59" s="45">
        <f t="shared" ref="AN59:AN64" si="82">MIN(MAX(F59-VLOOKUP($AK59+AN$4-1,$AH$5:$AJ$25,2,FALSE),0),VLOOKUP($AK59+AN$4-1,$AH$5:$AJ$25,3,FALSE))</f>
        <v>0</v>
      </c>
      <c r="AO59" s="45">
        <f t="shared" ref="AO59:AO64" si="83">MIN(MAX(G59-VLOOKUP($AK59+AO$4-1,$AH$5:$AJ$25,2,FALSE),0),VLOOKUP($AK59+AO$4-1,$AH$5:$AJ$25,3,FALSE))</f>
        <v>0</v>
      </c>
      <c r="AP59" s="45">
        <f t="shared" ref="AP59:AP64" si="84">MIN(MAX(H59-VLOOKUP($AK59+AP$4-1,$AH$5:$AJ$25,2,FALSE),0),VLOOKUP($AK59+AP$4-1,$AH$5:$AJ$25,3,FALSE))</f>
        <v>0</v>
      </c>
      <c r="AQ59" s="45">
        <f t="shared" ref="AQ59:AQ64" si="85">MIN(MAX(I59-VLOOKUP($AK59+AQ$4-1,$AH$5:$AJ$25,2,FALSE),0),VLOOKUP($AK59+AQ$4-1,$AH$5:$AJ$25,3,FALSE))</f>
        <v>0</v>
      </c>
      <c r="AV59" s="45">
        <f t="shared" si="25"/>
        <v>0</v>
      </c>
    </row>
    <row r="60" spans="3:48" x14ac:dyDescent="0.3">
      <c r="C60">
        <f>Incurred_loss!R58</f>
        <v>2020</v>
      </c>
      <c r="D60" s="45">
        <f>Incurred_loss!S58</f>
        <v>2789294.0703822547</v>
      </c>
      <c r="E60" s="45">
        <f>Incurred_loss!T58</f>
        <v>3695831.896591668</v>
      </c>
      <c r="F60" s="45">
        <f>Incurred_loss!U58</f>
        <v>3743679.5857865512</v>
      </c>
      <c r="G60" s="45">
        <f>Incurred_loss!V58</f>
        <v>3534675.1954131648</v>
      </c>
      <c r="H60" s="45">
        <f>Incurred_loss!W58</f>
        <v>3669833.3021374657</v>
      </c>
      <c r="I60" s="45">
        <f>Incurred_loss!X58</f>
        <v>3546966.0247669732</v>
      </c>
      <c r="N60" s="48">
        <f>XL_Pure_Premium!$O60</f>
        <v>3548480.7005490209</v>
      </c>
      <c r="S60">
        <f t="shared" si="2"/>
        <v>2020</v>
      </c>
      <c r="T60" s="45">
        <f t="shared" si="74"/>
        <v>0</v>
      </c>
      <c r="U60" s="45">
        <f t="shared" si="75"/>
        <v>0</v>
      </c>
      <c r="V60" s="45">
        <f t="shared" si="76"/>
        <v>0</v>
      </c>
      <c r="W60" s="45">
        <f t="shared" si="77"/>
        <v>0</v>
      </c>
      <c r="X60" s="45">
        <f t="shared" si="78"/>
        <v>0</v>
      </c>
      <c r="Y60" s="45">
        <f t="shared" si="79"/>
        <v>0</v>
      </c>
      <c r="AD60" s="45">
        <f t="shared" si="13"/>
        <v>0</v>
      </c>
      <c r="AK60">
        <f t="shared" si="14"/>
        <v>2020</v>
      </c>
      <c r="AL60" s="45">
        <f t="shared" si="80"/>
        <v>0</v>
      </c>
      <c r="AM60" s="45">
        <f t="shared" si="81"/>
        <v>0</v>
      </c>
      <c r="AN60" s="45">
        <f t="shared" si="82"/>
        <v>0</v>
      </c>
      <c r="AO60" s="45">
        <f t="shared" si="83"/>
        <v>0</v>
      </c>
      <c r="AP60" s="45">
        <f t="shared" si="84"/>
        <v>0</v>
      </c>
      <c r="AQ60" s="45">
        <f t="shared" si="85"/>
        <v>0</v>
      </c>
      <c r="AV60" s="45">
        <f t="shared" si="25"/>
        <v>0</v>
      </c>
    </row>
    <row r="61" spans="3:48" x14ac:dyDescent="0.3">
      <c r="C61">
        <f>Incurred_loss!R59</f>
        <v>2020</v>
      </c>
      <c r="D61" s="45">
        <f>Incurred_loss!S59</f>
        <v>4960075.0633017318</v>
      </c>
      <c r="E61" s="45">
        <f>Incurred_loss!T59</f>
        <v>3207519.9012005753</v>
      </c>
      <c r="F61" s="45">
        <f>Incurred_loss!U59</f>
        <v>3411737.1199889225</v>
      </c>
      <c r="G61" s="45">
        <f>Incurred_loss!V59</f>
        <v>3315066.3799544713</v>
      </c>
      <c r="H61" s="45">
        <f>Incurred_loss!W59</f>
        <v>3244052.4463624842</v>
      </c>
      <c r="I61" s="45">
        <f>Incurred_loss!X59</f>
        <v>3240249.6913093915</v>
      </c>
      <c r="N61" s="48">
        <f>XL_Pure_Premium!$O61</f>
        <v>3241633.388728804</v>
      </c>
      <c r="S61">
        <f t="shared" si="2"/>
        <v>2020</v>
      </c>
      <c r="T61" s="45">
        <f t="shared" si="74"/>
        <v>699685.90647295024</v>
      </c>
      <c r="U61" s="45">
        <f t="shared" si="75"/>
        <v>0</v>
      </c>
      <c r="V61" s="45">
        <f t="shared" si="76"/>
        <v>0</v>
      </c>
      <c r="W61" s="45">
        <f t="shared" si="77"/>
        <v>0</v>
      </c>
      <c r="X61" s="45">
        <f t="shared" si="78"/>
        <v>0</v>
      </c>
      <c r="Y61" s="45">
        <f t="shared" si="79"/>
        <v>0</v>
      </c>
      <c r="AD61" s="45">
        <f t="shared" si="13"/>
        <v>0</v>
      </c>
      <c r="AK61">
        <f t="shared" si="14"/>
        <v>2020</v>
      </c>
      <c r="AL61" s="45">
        <f t="shared" si="80"/>
        <v>0</v>
      </c>
      <c r="AM61" s="45">
        <f t="shared" si="81"/>
        <v>0</v>
      </c>
      <c r="AN61" s="45">
        <f t="shared" si="82"/>
        <v>0</v>
      </c>
      <c r="AO61" s="45">
        <f t="shared" si="83"/>
        <v>0</v>
      </c>
      <c r="AP61" s="45">
        <f t="shared" si="84"/>
        <v>0</v>
      </c>
      <c r="AQ61" s="45">
        <f t="shared" si="85"/>
        <v>0</v>
      </c>
      <c r="AV61" s="45">
        <f t="shared" si="25"/>
        <v>0</v>
      </c>
    </row>
    <row r="62" spans="3:48" x14ac:dyDescent="0.3">
      <c r="C62">
        <f>Incurred_loss!R60</f>
        <v>2020</v>
      </c>
      <c r="D62" s="45">
        <f>Incurred_loss!S60</f>
        <v>1061891.7213161585</v>
      </c>
      <c r="E62" s="45">
        <f>Incurred_loss!T60</f>
        <v>1609975.5258851789</v>
      </c>
      <c r="F62" s="45">
        <f>Incurred_loss!U60</f>
        <v>1364278.9224984369</v>
      </c>
      <c r="G62" s="45">
        <f>Incurred_loss!V60</f>
        <v>1366036.5356325579</v>
      </c>
      <c r="H62" s="45">
        <f>Incurred_loss!W60</f>
        <v>1383013.7944809101</v>
      </c>
      <c r="I62" s="45">
        <f>Incurred_loss!X60</f>
        <v>1381742.1056661163</v>
      </c>
      <c r="N62" s="48">
        <f>XL_Pure_Premium!$O62</f>
        <v>1382332.1567942847</v>
      </c>
      <c r="S62">
        <f t="shared" si="2"/>
        <v>2020</v>
      </c>
      <c r="T62" s="45">
        <f t="shared" si="74"/>
        <v>0</v>
      </c>
      <c r="U62" s="45">
        <f t="shared" si="75"/>
        <v>0</v>
      </c>
      <c r="V62" s="45">
        <f t="shared" si="76"/>
        <v>0</v>
      </c>
      <c r="W62" s="45">
        <f t="shared" si="77"/>
        <v>0</v>
      </c>
      <c r="X62" s="45">
        <f t="shared" si="78"/>
        <v>0</v>
      </c>
      <c r="Y62" s="45">
        <f t="shared" si="79"/>
        <v>0</v>
      </c>
      <c r="AD62" s="45">
        <f t="shared" si="13"/>
        <v>0</v>
      </c>
      <c r="AK62">
        <f t="shared" si="14"/>
        <v>2020</v>
      </c>
      <c r="AL62" s="45">
        <f t="shared" si="80"/>
        <v>0</v>
      </c>
      <c r="AM62" s="45">
        <f t="shared" si="81"/>
        <v>0</v>
      </c>
      <c r="AN62" s="45">
        <f t="shared" si="82"/>
        <v>0</v>
      </c>
      <c r="AO62" s="45">
        <f t="shared" si="83"/>
        <v>0</v>
      </c>
      <c r="AP62" s="45">
        <f t="shared" si="84"/>
        <v>0</v>
      </c>
      <c r="AQ62" s="45">
        <f t="shared" si="85"/>
        <v>0</v>
      </c>
      <c r="AV62" s="45">
        <f t="shared" si="25"/>
        <v>0</v>
      </c>
    </row>
    <row r="63" spans="3:48" x14ac:dyDescent="0.3">
      <c r="C63">
        <f>Incurred_loss!R61</f>
        <v>2020</v>
      </c>
      <c r="D63" s="45">
        <f>Incurred_loss!S61</f>
        <v>1566671.0038850585</v>
      </c>
      <c r="E63" s="45">
        <f>Incurred_loss!T61</f>
        <v>1820418.2301203038</v>
      </c>
      <c r="F63" s="45">
        <f>Incurred_loss!U61</f>
        <v>1275251.4357094793</v>
      </c>
      <c r="G63" s="45">
        <f>Incurred_loss!V61</f>
        <v>1331189.0050581265</v>
      </c>
      <c r="H63" s="45">
        <f>Incurred_loss!W61</f>
        <v>1342888.9439691154</v>
      </c>
      <c r="I63" s="45">
        <f>Incurred_loss!X61</f>
        <v>1347462.0402593615</v>
      </c>
      <c r="N63" s="48">
        <f>XL_Pure_Premium!$O63</f>
        <v>1348037.4526273848</v>
      </c>
      <c r="S63">
        <f t="shared" si="2"/>
        <v>2020</v>
      </c>
      <c r="T63" s="45">
        <f t="shared" si="74"/>
        <v>0</v>
      </c>
      <c r="U63" s="45">
        <f t="shared" si="75"/>
        <v>0</v>
      </c>
      <c r="V63" s="45">
        <f t="shared" si="76"/>
        <v>0</v>
      </c>
      <c r="W63" s="45">
        <f t="shared" si="77"/>
        <v>0</v>
      </c>
      <c r="X63" s="45">
        <f t="shared" si="78"/>
        <v>0</v>
      </c>
      <c r="Y63" s="45">
        <f t="shared" si="79"/>
        <v>0</v>
      </c>
      <c r="AD63" s="45">
        <f t="shared" si="13"/>
        <v>0</v>
      </c>
      <c r="AK63">
        <f t="shared" si="14"/>
        <v>2020</v>
      </c>
      <c r="AL63" s="45">
        <f t="shared" si="80"/>
        <v>0</v>
      </c>
      <c r="AM63" s="45">
        <f t="shared" si="81"/>
        <v>0</v>
      </c>
      <c r="AN63" s="45">
        <f t="shared" si="82"/>
        <v>0</v>
      </c>
      <c r="AO63" s="45">
        <f t="shared" si="83"/>
        <v>0</v>
      </c>
      <c r="AP63" s="45">
        <f t="shared" si="84"/>
        <v>0</v>
      </c>
      <c r="AQ63" s="45">
        <f t="shared" si="85"/>
        <v>0</v>
      </c>
      <c r="AV63" s="45">
        <f t="shared" si="25"/>
        <v>0</v>
      </c>
    </row>
    <row r="64" spans="3:48" x14ac:dyDescent="0.3">
      <c r="C64">
        <f>Incurred_loss!R62</f>
        <v>2020</v>
      </c>
      <c r="D64" s="45">
        <f>Incurred_loss!S62</f>
        <v>191816.27003049961</v>
      </c>
      <c r="E64" s="45">
        <f>Incurred_loss!T62</f>
        <v>544634.12802422221</v>
      </c>
      <c r="F64" s="45">
        <f>Incurred_loss!U62</f>
        <v>660920.12348059472</v>
      </c>
      <c r="G64" s="45">
        <f>Incurred_loss!V62</f>
        <v>714358.19155906886</v>
      </c>
      <c r="H64" s="45">
        <f>Incurred_loss!W62</f>
        <v>667242.07717736682</v>
      </c>
      <c r="I64" s="45">
        <f>Incurred_loss!X62</f>
        <v>684202.0678637065</v>
      </c>
      <c r="N64" s="48">
        <f>XL_Pure_Premium!$O64</f>
        <v>684494.24554316094</v>
      </c>
      <c r="S64">
        <f t="shared" si="2"/>
        <v>2020</v>
      </c>
      <c r="T64" s="45">
        <f t="shared" si="74"/>
        <v>0</v>
      </c>
      <c r="U64" s="45">
        <f t="shared" si="75"/>
        <v>0</v>
      </c>
      <c r="V64" s="45">
        <f t="shared" si="76"/>
        <v>0</v>
      </c>
      <c r="W64" s="45">
        <f t="shared" si="77"/>
        <v>0</v>
      </c>
      <c r="X64" s="45">
        <f t="shared" si="78"/>
        <v>0</v>
      </c>
      <c r="Y64" s="45">
        <f t="shared" si="79"/>
        <v>0</v>
      </c>
      <c r="AD64" s="45">
        <f t="shared" si="13"/>
        <v>0</v>
      </c>
      <c r="AK64">
        <f t="shared" si="14"/>
        <v>2020</v>
      </c>
      <c r="AL64" s="45">
        <f t="shared" si="80"/>
        <v>0</v>
      </c>
      <c r="AM64" s="45">
        <f t="shared" si="81"/>
        <v>0</v>
      </c>
      <c r="AN64" s="45">
        <f t="shared" si="82"/>
        <v>0</v>
      </c>
      <c r="AO64" s="45">
        <f t="shared" si="83"/>
        <v>0</v>
      </c>
      <c r="AP64" s="45">
        <f t="shared" si="84"/>
        <v>0</v>
      </c>
      <c r="AQ64" s="45">
        <f t="shared" si="85"/>
        <v>0</v>
      </c>
      <c r="AV64" s="45">
        <f t="shared" si="25"/>
        <v>0</v>
      </c>
    </row>
    <row r="65" spans="3:48" x14ac:dyDescent="0.3">
      <c r="C65">
        <f>Incurred_loss!R63</f>
        <v>2021</v>
      </c>
      <c r="D65" s="45">
        <f>Incurred_loss!S63</f>
        <v>5539421.4591329247</v>
      </c>
      <c r="E65" s="45">
        <f>Incurred_loss!T63</f>
        <v>2968920.7283569272</v>
      </c>
      <c r="F65" s="45">
        <f>Incurred_loss!U63</f>
        <v>3389595.0063632331</v>
      </c>
      <c r="G65" s="45">
        <f>Incurred_loss!V63</f>
        <v>2976942.9994495213</v>
      </c>
      <c r="H65" s="45">
        <f>Incurred_loss!W63</f>
        <v>2962899.2192980764</v>
      </c>
      <c r="N65" s="48">
        <f>XL_Pure_Premium!$O65</f>
        <v>2905598.7837307253</v>
      </c>
      <c r="S65">
        <f t="shared" si="2"/>
        <v>2021</v>
      </c>
      <c r="T65" s="45">
        <f t="shared" ref="T65:T74" si="86">MIN(MAX(D65-VLOOKUP($S65+T$4-1,$P$5:$R$25,2,FALSE),0),VLOOKUP($S65+T$4-1,$P$5:$R$25,3,FALSE))</f>
        <v>1175042.8022575742</v>
      </c>
      <c r="U65" s="45">
        <f t="shared" ref="U65:U74" si="87">MIN(MAX(E65-VLOOKUP($S65+U$4-1,$P$5:$R$25,2,FALSE),0),VLOOKUP($S65+U$4-1,$P$5:$R$25,3,FALSE))</f>
        <v>0</v>
      </c>
      <c r="V65" s="45">
        <f t="shared" ref="V65:V74" si="88">MIN(MAX(F65-VLOOKUP($S65+V$4-1,$P$5:$R$25,2,FALSE),0),VLOOKUP($S65+V$4-1,$P$5:$R$25,3,FALSE))</f>
        <v>0</v>
      </c>
      <c r="W65" s="45">
        <f t="shared" ref="W65:W74" si="89">MIN(MAX(G65-VLOOKUP($S65+W$4-1,$P$5:$R$25,2,FALSE),0),VLOOKUP($S65+W$4-1,$P$5:$R$25,3,FALSE))</f>
        <v>0</v>
      </c>
      <c r="X65" s="45">
        <f t="shared" ref="X65:X74" si="90">MIN(MAX(H65-VLOOKUP($S65+X$4-1,$P$5:$R$25,2,FALSE),0),VLOOKUP($S65+X$4-1,$P$5:$R$25,3,FALSE))</f>
        <v>0</v>
      </c>
      <c r="AD65" s="45">
        <f t="shared" si="13"/>
        <v>0</v>
      </c>
      <c r="AK65">
        <f t="shared" si="14"/>
        <v>2021</v>
      </c>
      <c r="AL65" s="45">
        <f t="shared" ref="AL65:AL73" si="91">MIN(MAX(D65-VLOOKUP($AK65+AL$4-1,$AH$5:$AJ$25,2,FALSE),0),VLOOKUP($AK65+AL$4-1,$AH$5:$AJ$25,3,FALSE))</f>
        <v>0</v>
      </c>
      <c r="AM65" s="45">
        <f t="shared" ref="AM65:AM74" si="92">MIN(MAX(E65-VLOOKUP($AK65+AM$4-1,$AH$5:$AJ$25,2,FALSE),0),VLOOKUP($AK65+AM$4-1,$AH$5:$AJ$25,3,FALSE))</f>
        <v>0</v>
      </c>
      <c r="AN65" s="45">
        <f t="shared" ref="AN65:AN74" si="93">MIN(MAX(F65-VLOOKUP($AK65+AN$4-1,$AH$5:$AJ$25,2,FALSE),0),VLOOKUP($AK65+AN$4-1,$AH$5:$AJ$25,3,FALSE))</f>
        <v>0</v>
      </c>
      <c r="AO65" s="45">
        <f t="shared" ref="AO65:AO74" si="94">MIN(MAX(G65-VLOOKUP($AK65+AO$4-1,$AH$5:$AJ$25,2,FALSE),0),VLOOKUP($AK65+AO$4-1,$AH$5:$AJ$25,3,FALSE))</f>
        <v>0</v>
      </c>
      <c r="AP65" s="45">
        <f t="shared" ref="AP65:AP74" si="95">MIN(MAX(H65-VLOOKUP($AK65+AP$4-1,$AH$5:$AJ$25,2,FALSE),0),VLOOKUP($AK65+AP$4-1,$AH$5:$AJ$25,3,FALSE))</f>
        <v>0</v>
      </c>
      <c r="AV65" s="45">
        <f t="shared" si="25"/>
        <v>0</v>
      </c>
    </row>
    <row r="66" spans="3:48" x14ac:dyDescent="0.3">
      <c r="C66">
        <f>Incurred_loss!R64</f>
        <v>2021</v>
      </c>
      <c r="D66" s="45">
        <f>Incurred_loss!S64</f>
        <v>2842913.1022807388</v>
      </c>
      <c r="E66" s="45">
        <f>Incurred_loss!T64</f>
        <v>1967267.0145343486</v>
      </c>
      <c r="F66" s="45">
        <f>Incurred_loss!U64</f>
        <v>2675686.4139390546</v>
      </c>
      <c r="G66" s="45">
        <f>Incurred_loss!V64</f>
        <v>2562229.7697310154</v>
      </c>
      <c r="H66" s="45">
        <f>Incurred_loss!W64</f>
        <v>2570665.7700156141</v>
      </c>
      <c r="N66" s="48">
        <f>XL_Pure_Premium!$O66</f>
        <v>2520950.8599165552</v>
      </c>
      <c r="S66">
        <f t="shared" si="2"/>
        <v>2021</v>
      </c>
      <c r="T66" s="45">
        <f t="shared" si="86"/>
        <v>0</v>
      </c>
      <c r="U66" s="45">
        <f t="shared" si="87"/>
        <v>0</v>
      </c>
      <c r="V66" s="45">
        <f t="shared" si="88"/>
        <v>0</v>
      </c>
      <c r="W66" s="45">
        <f t="shared" si="89"/>
        <v>0</v>
      </c>
      <c r="X66" s="45">
        <f t="shared" si="90"/>
        <v>0</v>
      </c>
      <c r="AD66" s="45">
        <f t="shared" si="13"/>
        <v>0</v>
      </c>
      <c r="AK66">
        <f t="shared" si="14"/>
        <v>2021</v>
      </c>
      <c r="AL66" s="45">
        <f t="shared" si="91"/>
        <v>0</v>
      </c>
      <c r="AM66" s="45">
        <f t="shared" si="92"/>
        <v>0</v>
      </c>
      <c r="AN66" s="45">
        <f t="shared" si="93"/>
        <v>0</v>
      </c>
      <c r="AO66" s="45">
        <f t="shared" si="94"/>
        <v>0</v>
      </c>
      <c r="AP66" s="45">
        <f t="shared" si="95"/>
        <v>0</v>
      </c>
      <c r="AV66" s="45">
        <f t="shared" si="25"/>
        <v>0</v>
      </c>
    </row>
    <row r="67" spans="3:48" x14ac:dyDescent="0.3">
      <c r="C67">
        <f>Incurred_loss!R65</f>
        <v>2021</v>
      </c>
      <c r="D67" s="45">
        <f>Incurred_loss!S65</f>
        <v>2383197.807556848</v>
      </c>
      <c r="E67" s="45">
        <f>Incurred_loss!T65</f>
        <v>2143495.9867592826</v>
      </c>
      <c r="F67" s="45">
        <f>Incurred_loss!U65</f>
        <v>1726406.3088455084</v>
      </c>
      <c r="G67" s="45">
        <f>Incurred_loss!V65</f>
        <v>1722323.069812113</v>
      </c>
      <c r="H67" s="45">
        <f>Incurred_loss!W65</f>
        <v>1761934.3909255844</v>
      </c>
      <c r="N67" s="48">
        <f>XL_Pure_Premium!$O67</f>
        <v>1727859.7901482249</v>
      </c>
      <c r="S67">
        <f t="shared" si="2"/>
        <v>2021</v>
      </c>
      <c r="T67" s="45">
        <f t="shared" si="86"/>
        <v>0</v>
      </c>
      <c r="U67" s="45">
        <f t="shared" si="87"/>
        <v>0</v>
      </c>
      <c r="V67" s="45">
        <f t="shared" si="88"/>
        <v>0</v>
      </c>
      <c r="W67" s="45">
        <f t="shared" si="89"/>
        <v>0</v>
      </c>
      <c r="X67" s="45">
        <f t="shared" si="90"/>
        <v>0</v>
      </c>
      <c r="AD67" s="45">
        <f t="shared" si="13"/>
        <v>0</v>
      </c>
      <c r="AK67">
        <f t="shared" si="14"/>
        <v>2021</v>
      </c>
      <c r="AL67" s="45">
        <f t="shared" si="91"/>
        <v>0</v>
      </c>
      <c r="AM67" s="45">
        <f t="shared" si="92"/>
        <v>0</v>
      </c>
      <c r="AN67" s="45">
        <f t="shared" si="93"/>
        <v>0</v>
      </c>
      <c r="AO67" s="45">
        <f t="shared" si="94"/>
        <v>0</v>
      </c>
      <c r="AP67" s="45">
        <f t="shared" si="95"/>
        <v>0</v>
      </c>
      <c r="AV67" s="45">
        <f t="shared" si="25"/>
        <v>0</v>
      </c>
    </row>
    <row r="68" spans="3:48" x14ac:dyDescent="0.3">
      <c r="C68">
        <f>Incurred_loss!R66</f>
        <v>2021</v>
      </c>
      <c r="D68" s="45">
        <f>Incurred_loss!S66</f>
        <v>636114.94864632748</v>
      </c>
      <c r="E68" s="45">
        <f>Incurred_loss!T66</f>
        <v>686578.64428441203</v>
      </c>
      <c r="F68" s="45">
        <f>Incurred_loss!U66</f>
        <v>815484.98932277365</v>
      </c>
      <c r="G68" s="45">
        <f>Incurred_loss!V66</f>
        <v>721063.10987182125</v>
      </c>
      <c r="H68" s="45">
        <f>Incurred_loss!W66</f>
        <v>723138.2676819514</v>
      </c>
      <c r="N68" s="48">
        <f>XL_Pure_Premium!$O68</f>
        <v>709153.27033755579</v>
      </c>
      <c r="S68">
        <f t="shared" si="2"/>
        <v>2021</v>
      </c>
      <c r="T68" s="45">
        <f t="shared" si="86"/>
        <v>0</v>
      </c>
      <c r="U68" s="45">
        <f t="shared" si="87"/>
        <v>0</v>
      </c>
      <c r="V68" s="45">
        <f t="shared" si="88"/>
        <v>0</v>
      </c>
      <c r="W68" s="45">
        <f t="shared" si="89"/>
        <v>0</v>
      </c>
      <c r="X68" s="45">
        <f t="shared" si="90"/>
        <v>0</v>
      </c>
      <c r="AD68" s="45">
        <f t="shared" si="13"/>
        <v>0</v>
      </c>
      <c r="AK68">
        <f t="shared" si="14"/>
        <v>2021</v>
      </c>
      <c r="AL68" s="45">
        <f t="shared" si="91"/>
        <v>0</v>
      </c>
      <c r="AM68" s="45">
        <f t="shared" si="92"/>
        <v>0</v>
      </c>
      <c r="AN68" s="45">
        <f t="shared" si="93"/>
        <v>0</v>
      </c>
      <c r="AO68" s="45">
        <f t="shared" si="94"/>
        <v>0</v>
      </c>
      <c r="AP68" s="45">
        <f t="shared" si="95"/>
        <v>0</v>
      </c>
      <c r="AV68" s="45">
        <f t="shared" si="25"/>
        <v>0</v>
      </c>
    </row>
    <row r="69" spans="3:48" x14ac:dyDescent="0.3">
      <c r="C69">
        <f>Incurred_loss!R67</f>
        <v>2021</v>
      </c>
      <c r="D69" s="45">
        <f>Incurred_loss!S67</f>
        <v>2321719.8136208672</v>
      </c>
      <c r="E69" s="45">
        <f>Incurred_loss!T67</f>
        <v>3174062.1127268663</v>
      </c>
      <c r="F69" s="45">
        <f>Incurred_loss!U67</f>
        <v>3785211.9537011343</v>
      </c>
      <c r="G69" s="45">
        <f>Incurred_loss!V67</f>
        <v>3649835.8933156971</v>
      </c>
      <c r="H69" s="45">
        <f>Incurred_loss!W67</f>
        <v>3709898.8325473531</v>
      </c>
      <c r="N69" s="48">
        <f>XL_Pure_Premium!$O69</f>
        <v>3638151.9376036455</v>
      </c>
      <c r="S69">
        <f t="shared" si="2"/>
        <v>2021</v>
      </c>
      <c r="T69" s="45">
        <f t="shared" si="86"/>
        <v>0</v>
      </c>
      <c r="U69" s="45">
        <f t="shared" si="87"/>
        <v>0</v>
      </c>
      <c r="V69" s="45">
        <f t="shared" si="88"/>
        <v>0</v>
      </c>
      <c r="W69" s="45">
        <f t="shared" si="89"/>
        <v>0</v>
      </c>
      <c r="X69" s="45">
        <f t="shared" si="90"/>
        <v>0</v>
      </c>
      <c r="AD69" s="45">
        <f t="shared" si="13"/>
        <v>0</v>
      </c>
      <c r="AK69">
        <f t="shared" si="14"/>
        <v>2021</v>
      </c>
      <c r="AL69" s="45">
        <f t="shared" si="91"/>
        <v>0</v>
      </c>
      <c r="AM69" s="45">
        <f t="shared" si="92"/>
        <v>0</v>
      </c>
      <c r="AN69" s="45">
        <f t="shared" si="93"/>
        <v>0</v>
      </c>
      <c r="AO69" s="45">
        <f t="shared" si="94"/>
        <v>0</v>
      </c>
      <c r="AP69" s="45">
        <f t="shared" si="95"/>
        <v>0</v>
      </c>
      <c r="AV69" s="45">
        <f t="shared" si="25"/>
        <v>0</v>
      </c>
    </row>
    <row r="70" spans="3:48" x14ac:dyDescent="0.3">
      <c r="C70">
        <f>Incurred_loss!R68</f>
        <v>2021</v>
      </c>
      <c r="D70" s="45">
        <f>Incurred_loss!S68</f>
        <v>958930.34296360216</v>
      </c>
      <c r="E70" s="45">
        <f>Incurred_loss!T68</f>
        <v>1207978.331886994</v>
      </c>
      <c r="F70" s="45">
        <f>Incurred_loss!U68</f>
        <v>1196351.165258558</v>
      </c>
      <c r="G70" s="45">
        <f>Incurred_loss!V68</f>
        <v>1211621.8086728372</v>
      </c>
      <c r="H70" s="45">
        <f>Incurred_loss!W68</f>
        <v>1211747.1291442343</v>
      </c>
      <c r="N70" s="48">
        <f>XL_Pure_Premium!$O70</f>
        <v>1188312.7720641103</v>
      </c>
      <c r="S70">
        <f t="shared" ref="S70:S118" si="96">$C70</f>
        <v>2021</v>
      </c>
      <c r="T70" s="45">
        <f t="shared" si="86"/>
        <v>0</v>
      </c>
      <c r="U70" s="45">
        <f t="shared" si="87"/>
        <v>0</v>
      </c>
      <c r="V70" s="45">
        <f t="shared" si="88"/>
        <v>0</v>
      </c>
      <c r="W70" s="45">
        <f t="shared" si="89"/>
        <v>0</v>
      </c>
      <c r="X70" s="45">
        <f t="shared" si="90"/>
        <v>0</v>
      </c>
      <c r="AD70" s="45">
        <f t="shared" ref="AD70:AD118" si="97">MIN(MAX(N70-$Q$16,0),$R$16)</f>
        <v>0</v>
      </c>
      <c r="AK70">
        <f t="shared" ref="AK70:AK118" si="98">$C70</f>
        <v>2021</v>
      </c>
      <c r="AL70" s="45">
        <f t="shared" si="91"/>
        <v>0</v>
      </c>
      <c r="AM70" s="45">
        <f t="shared" si="92"/>
        <v>0</v>
      </c>
      <c r="AN70" s="45">
        <f t="shared" si="93"/>
        <v>0</v>
      </c>
      <c r="AO70" s="45">
        <f t="shared" si="94"/>
        <v>0</v>
      </c>
      <c r="AP70" s="45">
        <f t="shared" si="95"/>
        <v>0</v>
      </c>
      <c r="AV70" s="45">
        <f t="shared" ref="AV70:AV118" si="99">MIN(MAX($N70-$AI$16,0),$AJ$16)</f>
        <v>0</v>
      </c>
    </row>
    <row r="71" spans="3:48" x14ac:dyDescent="0.3">
      <c r="C71">
        <f>Incurred_loss!R69</f>
        <v>2021</v>
      </c>
      <c r="D71" s="45">
        <f>Incurred_loss!S69</f>
        <v>1857191.394728119</v>
      </c>
      <c r="E71" s="45">
        <f>Incurred_loss!T69</f>
        <v>1792698.6417972094</v>
      </c>
      <c r="F71" s="45">
        <f>Incurred_loss!U69</f>
        <v>1846370.2176765162</v>
      </c>
      <c r="G71" s="45">
        <f>Incurred_loss!V69</f>
        <v>1935805.0936476425</v>
      </c>
      <c r="H71" s="45">
        <f>Incurred_loss!W69</f>
        <v>1965450.2382102236</v>
      </c>
      <c r="N71" s="48">
        <f>XL_Pure_Premium!$O71</f>
        <v>1927439.7807495475</v>
      </c>
      <c r="S71">
        <f t="shared" si="96"/>
        <v>2021</v>
      </c>
      <c r="T71" s="45">
        <f t="shared" si="86"/>
        <v>0</v>
      </c>
      <c r="U71" s="45">
        <f t="shared" si="87"/>
        <v>0</v>
      </c>
      <c r="V71" s="45">
        <f t="shared" si="88"/>
        <v>0</v>
      </c>
      <c r="W71" s="45">
        <f t="shared" si="89"/>
        <v>0</v>
      </c>
      <c r="X71" s="45">
        <f t="shared" si="90"/>
        <v>0</v>
      </c>
      <c r="AD71" s="45">
        <f t="shared" si="97"/>
        <v>0</v>
      </c>
      <c r="AK71">
        <f t="shared" si="98"/>
        <v>2021</v>
      </c>
      <c r="AL71" s="45">
        <f t="shared" si="91"/>
        <v>0</v>
      </c>
      <c r="AM71" s="45">
        <f t="shared" si="92"/>
        <v>0</v>
      </c>
      <c r="AN71" s="45">
        <f t="shared" si="93"/>
        <v>0</v>
      </c>
      <c r="AO71" s="45">
        <f t="shared" si="94"/>
        <v>0</v>
      </c>
      <c r="AP71" s="45">
        <f t="shared" si="95"/>
        <v>0</v>
      </c>
      <c r="AV71" s="45">
        <f t="shared" si="99"/>
        <v>0</v>
      </c>
    </row>
    <row r="72" spans="3:48" x14ac:dyDescent="0.3">
      <c r="C72">
        <f>Incurred_loss!R70</f>
        <v>2021</v>
      </c>
      <c r="D72" s="45">
        <f>Incurred_loss!S70</f>
        <v>4364500.7544557769</v>
      </c>
      <c r="E72" s="45">
        <f>Incurred_loss!T70</f>
        <v>3296881.804325426</v>
      </c>
      <c r="F72" s="45">
        <f>Incurred_loss!U70</f>
        <v>3196688.6026358614</v>
      </c>
      <c r="G72" s="45">
        <f>Incurred_loss!V70</f>
        <v>2952284.1125188395</v>
      </c>
      <c r="H72" s="45">
        <f>Incurred_loss!W70</f>
        <v>2960271.9741540574</v>
      </c>
      <c r="N72" s="48">
        <f>XL_Pure_Premium!$O72</f>
        <v>2903022.3477030317</v>
      </c>
      <c r="S72">
        <f t="shared" si="96"/>
        <v>2021</v>
      </c>
      <c r="T72" s="45">
        <f t="shared" si="86"/>
        <v>122.09758042637259</v>
      </c>
      <c r="U72" s="45">
        <f t="shared" si="87"/>
        <v>0</v>
      </c>
      <c r="V72" s="45">
        <f t="shared" si="88"/>
        <v>0</v>
      </c>
      <c r="W72" s="45">
        <f t="shared" si="89"/>
        <v>0</v>
      </c>
      <c r="X72" s="45">
        <f t="shared" si="90"/>
        <v>0</v>
      </c>
      <c r="AD72" s="45">
        <f t="shared" si="97"/>
        <v>0</v>
      </c>
      <c r="AK72">
        <f t="shared" si="98"/>
        <v>2021</v>
      </c>
      <c r="AL72" s="45">
        <f t="shared" si="91"/>
        <v>0</v>
      </c>
      <c r="AM72" s="45">
        <f t="shared" si="92"/>
        <v>0</v>
      </c>
      <c r="AN72" s="45">
        <f t="shared" si="93"/>
        <v>0</v>
      </c>
      <c r="AO72" s="45">
        <f t="shared" si="94"/>
        <v>0</v>
      </c>
      <c r="AP72" s="45">
        <f t="shared" si="95"/>
        <v>0</v>
      </c>
      <c r="AV72" s="45">
        <f t="shared" si="99"/>
        <v>0</v>
      </c>
    </row>
    <row r="73" spans="3:48" x14ac:dyDescent="0.3">
      <c r="C73">
        <f>Incurred_loss!R71</f>
        <v>2021</v>
      </c>
      <c r="D73" s="45">
        <f>Incurred_loss!S71</f>
        <v>510926.75267731445</v>
      </c>
      <c r="E73" s="45">
        <f>Incurred_loss!T71</f>
        <v>1859499.3302153437</v>
      </c>
      <c r="F73" s="45">
        <f>Incurred_loss!U71</f>
        <v>1458332.7248766313</v>
      </c>
      <c r="G73" s="45">
        <f>Incurred_loss!V71</f>
        <v>1418031.9348397262</v>
      </c>
      <c r="H73" s="45">
        <f>Incurred_loss!W71</f>
        <v>1420175.5640330508</v>
      </c>
      <c r="N73" s="48">
        <f>XL_Pure_Premium!$O73</f>
        <v>1392710.3441999981</v>
      </c>
      <c r="S73">
        <f t="shared" si="96"/>
        <v>2021</v>
      </c>
      <c r="T73" s="45">
        <f t="shared" si="86"/>
        <v>0</v>
      </c>
      <c r="U73" s="45">
        <f t="shared" si="87"/>
        <v>0</v>
      </c>
      <c r="V73" s="45">
        <f t="shared" si="88"/>
        <v>0</v>
      </c>
      <c r="W73" s="45">
        <f t="shared" si="89"/>
        <v>0</v>
      </c>
      <c r="X73" s="45">
        <f t="shared" si="90"/>
        <v>0</v>
      </c>
      <c r="AD73" s="45">
        <f t="shared" si="97"/>
        <v>0</v>
      </c>
      <c r="AK73">
        <f t="shared" si="98"/>
        <v>2021</v>
      </c>
      <c r="AL73" s="45">
        <f t="shared" si="91"/>
        <v>0</v>
      </c>
      <c r="AM73" s="45">
        <f t="shared" si="92"/>
        <v>0</v>
      </c>
      <c r="AN73" s="45">
        <f t="shared" si="93"/>
        <v>0</v>
      </c>
      <c r="AO73" s="45">
        <f t="shared" si="94"/>
        <v>0</v>
      </c>
      <c r="AP73" s="45">
        <f t="shared" si="95"/>
        <v>0</v>
      </c>
      <c r="AV73" s="45">
        <f t="shared" si="99"/>
        <v>0</v>
      </c>
    </row>
    <row r="74" spans="3:48" x14ac:dyDescent="0.3">
      <c r="C74">
        <f>Incurred_loss!R72</f>
        <v>2021</v>
      </c>
      <c r="D74" s="45">
        <f>Incurred_loss!S72</f>
        <v>2273427.0492488379</v>
      </c>
      <c r="E74" s="45">
        <f>Incurred_loss!T72</f>
        <v>3132472.372239809</v>
      </c>
      <c r="F74" s="45">
        <f>Incurred_loss!U72</f>
        <v>2175732.9142110692</v>
      </c>
      <c r="G74" s="45">
        <f>Incurred_loss!V72</f>
        <v>2668403.0408692867</v>
      </c>
      <c r="H74" s="45">
        <f>Incurred_loss!W72</f>
        <v>2650573.9919323325</v>
      </c>
      <c r="N74" s="48">
        <f>XL_Pure_Premium!$O74</f>
        <v>2599313.7117135553</v>
      </c>
      <c r="S74">
        <f t="shared" si="96"/>
        <v>2021</v>
      </c>
      <c r="T74" s="45">
        <f t="shared" si="86"/>
        <v>0</v>
      </c>
      <c r="U74" s="45">
        <f t="shared" si="87"/>
        <v>0</v>
      </c>
      <c r="V74" s="45">
        <f t="shared" si="88"/>
        <v>0</v>
      </c>
      <c r="W74" s="45">
        <f t="shared" si="89"/>
        <v>0</v>
      </c>
      <c r="X74" s="45">
        <f t="shared" si="90"/>
        <v>0</v>
      </c>
      <c r="AD74" s="45">
        <f t="shared" si="97"/>
        <v>0</v>
      </c>
      <c r="AK74">
        <f t="shared" si="98"/>
        <v>2021</v>
      </c>
      <c r="AL74" s="45">
        <f>MIN(MAX(D74-VLOOKUP($AK74+AL$4-1,$AH$5:$AJ$25,2,FALSE),0),VLOOKUP($AK74+AL$4-1,$AH$5:$AJ$25,3,FALSE))</f>
        <v>0</v>
      </c>
      <c r="AM74" s="45">
        <f t="shared" si="92"/>
        <v>0</v>
      </c>
      <c r="AN74" s="45">
        <f t="shared" si="93"/>
        <v>0</v>
      </c>
      <c r="AO74" s="45">
        <f t="shared" si="94"/>
        <v>0</v>
      </c>
      <c r="AP74" s="45">
        <f t="shared" si="95"/>
        <v>0</v>
      </c>
      <c r="AV74" s="45">
        <f t="shared" si="99"/>
        <v>0</v>
      </c>
    </row>
    <row r="75" spans="3:48" x14ac:dyDescent="0.3">
      <c r="C75">
        <f>Incurred_loss!R73</f>
        <v>2022</v>
      </c>
      <c r="D75" s="45">
        <f>Incurred_loss!S73</f>
        <v>11216580.968702884</v>
      </c>
      <c r="E75" s="45">
        <f>Incurred_loss!T73</f>
        <v>13252202.197487431</v>
      </c>
      <c r="F75" s="45">
        <f>Incurred_loss!U73</f>
        <v>15121633.476089437</v>
      </c>
      <c r="G75" s="45">
        <f>Incurred_loss!V73</f>
        <v>15531485.075728094</v>
      </c>
      <c r="N75" s="48">
        <f>XL_Pure_Premium!$O75</f>
        <v>15390882.308217196</v>
      </c>
      <c r="S75">
        <f t="shared" si="96"/>
        <v>2022</v>
      </c>
      <c r="T75" s="45">
        <f t="shared" ref="T75:T80" si="100">MIN(MAX(D75-VLOOKUP($S75+T$4-1,$P$5:$R$25,2,FALSE),0),VLOOKUP($S75+T$4-1,$P$5:$R$25,3,FALSE))</f>
        <v>6434124.20765178</v>
      </c>
      <c r="U75" s="45">
        <f t="shared" ref="U75:U80" si="101">MIN(MAX(E75-VLOOKUP($S75+U$4-1,$P$5:$R$25,2,FALSE),0),VLOOKUP($S75+U$4-1,$P$5:$R$25,3,FALSE))</f>
        <v>7468823.6157059893</v>
      </c>
      <c r="V75" s="45">
        <f t="shared" ref="V75:V80" si="102">MIN(MAX(F75-VLOOKUP($S75+V$4-1,$P$5:$R$25,2,FALSE),0),VLOOKUP($S75+V$4-1,$P$5:$R$25,3,FALSE))</f>
        <v>7703652.516304994</v>
      </c>
      <c r="W75" s="45">
        <f t="shared" ref="W75:W80" si="103">MIN(MAX(G75-VLOOKUP($S75+W$4-1,$P$5:$R$25,2,FALSE),0),VLOOKUP($S75+W$4-1,$P$5:$R$25,3,FALSE))</f>
        <v>7894004.8049282907</v>
      </c>
      <c r="AD75" s="45">
        <f t="shared" si="97"/>
        <v>8216904.9223583397</v>
      </c>
      <c r="AK75">
        <f t="shared" si="98"/>
        <v>2022</v>
      </c>
      <c r="AL75" s="45">
        <f t="shared" ref="AL75:AL80" si="104">MIN(MAX(D75-VLOOKUP($AK75+AL$4-1,$AH$5:$AJ$25,2,FALSE),0),VLOOKUP($AK75+AL$4-1,$AH$5:$AJ$25,3,FALSE))</f>
        <v>0</v>
      </c>
      <c r="AM75" s="45">
        <f t="shared" ref="AM75:AM80" si="105">MIN(MAX(E75-VLOOKUP($AK75+AM$4-1,$AH$5:$AJ$25,2,FALSE),0),VLOOKUP($AK75+AM$4-1,$AH$5:$AJ$25,3,FALSE))</f>
        <v>804162.83797744848</v>
      </c>
      <c r="AN75" s="45">
        <f t="shared" ref="AN75:AN80" si="106">MIN(MAX(F75-VLOOKUP($AK75+AN$4-1,$AH$5:$AJ$25,2,FALSE),0),VLOOKUP($AK75+AN$4-1,$AH$5:$AJ$25,3,FALSE))</f>
        <v>2282212.615581112</v>
      </c>
      <c r="AO75" s="45">
        <f t="shared" ref="AO75:AO80" si="107">MIN(MAX(G75-VLOOKUP($AK75+AO$4-1,$AH$5:$AJ$25,2,FALSE),0),VLOOKUP($AK75+AO$4-1,$AH$5:$AJ$25,3,FALSE))</f>
        <v>2374810.4008476101</v>
      </c>
      <c r="AV75" s="45">
        <f t="shared" si="99"/>
        <v>1696040.7709532958</v>
      </c>
    </row>
    <row r="76" spans="3:48" x14ac:dyDescent="0.3">
      <c r="C76">
        <f>Incurred_loss!R74</f>
        <v>2022</v>
      </c>
      <c r="D76" s="45">
        <f>Incurred_loss!S74</f>
        <v>346034.83505300479</v>
      </c>
      <c r="E76" s="45">
        <f>Incurred_loss!T74</f>
        <v>2561852.8692494612</v>
      </c>
      <c r="F76" s="45">
        <f>Incurred_loss!U74</f>
        <v>2527110.8393870746</v>
      </c>
      <c r="G76" s="45">
        <f>Incurred_loss!V74</f>
        <v>2651684.9601395484</v>
      </c>
      <c r="N76" s="48">
        <f>XL_Pure_Premium!$O76</f>
        <v>2627679.8993134401</v>
      </c>
      <c r="S76">
        <f t="shared" si="96"/>
        <v>2022</v>
      </c>
      <c r="T76" s="45">
        <f t="shared" si="100"/>
        <v>0</v>
      </c>
      <c r="U76" s="45">
        <f t="shared" si="101"/>
        <v>0</v>
      </c>
      <c r="V76" s="45">
        <f t="shared" si="102"/>
        <v>0</v>
      </c>
      <c r="W76" s="45">
        <f t="shared" si="103"/>
        <v>0</v>
      </c>
      <c r="AD76" s="45">
        <f t="shared" si="97"/>
        <v>0</v>
      </c>
      <c r="AK76">
        <f t="shared" si="98"/>
        <v>2022</v>
      </c>
      <c r="AL76" s="45">
        <f t="shared" si="104"/>
        <v>0</v>
      </c>
      <c r="AM76" s="45">
        <f t="shared" si="105"/>
        <v>0</v>
      </c>
      <c r="AN76" s="45">
        <f t="shared" si="106"/>
        <v>0</v>
      </c>
      <c r="AO76" s="45">
        <f t="shared" si="107"/>
        <v>0</v>
      </c>
      <c r="AV76" s="45">
        <f t="shared" si="99"/>
        <v>0</v>
      </c>
    </row>
    <row r="77" spans="3:48" x14ac:dyDescent="0.3">
      <c r="C77">
        <f>Incurred_loss!R75</f>
        <v>2022</v>
      </c>
      <c r="D77" s="45">
        <f>Incurred_loss!S75</f>
        <v>3243557.414927809</v>
      </c>
      <c r="E77" s="45">
        <f>Incurred_loss!T75</f>
        <v>2994794.7157918098</v>
      </c>
      <c r="F77" s="45">
        <f>Incurred_loss!U75</f>
        <v>2681181.1543011237</v>
      </c>
      <c r="G77" s="45">
        <f>Incurred_loss!V75</f>
        <v>2737013.2524630898</v>
      </c>
      <c r="N77" s="48">
        <f>XL_Pure_Premium!$O77</f>
        <v>2712235.7353014043</v>
      </c>
      <c r="S77">
        <f t="shared" si="96"/>
        <v>2022</v>
      </c>
      <c r="T77" s="45">
        <f t="shared" si="100"/>
        <v>0</v>
      </c>
      <c r="U77" s="45">
        <f t="shared" si="101"/>
        <v>0</v>
      </c>
      <c r="V77" s="45">
        <f t="shared" si="102"/>
        <v>0</v>
      </c>
      <c r="W77" s="45">
        <f t="shared" si="103"/>
        <v>0</v>
      </c>
      <c r="AD77" s="45">
        <f t="shared" si="97"/>
        <v>0</v>
      </c>
      <c r="AK77">
        <f t="shared" si="98"/>
        <v>2022</v>
      </c>
      <c r="AL77" s="45">
        <f t="shared" si="104"/>
        <v>0</v>
      </c>
      <c r="AM77" s="45">
        <f t="shared" si="105"/>
        <v>0</v>
      </c>
      <c r="AN77" s="45">
        <f t="shared" si="106"/>
        <v>0</v>
      </c>
      <c r="AO77" s="45">
        <f t="shared" si="107"/>
        <v>0</v>
      </c>
      <c r="AV77" s="45">
        <f t="shared" si="99"/>
        <v>0</v>
      </c>
    </row>
    <row r="78" spans="3:48" x14ac:dyDescent="0.3">
      <c r="C78">
        <f>Incurred_loss!R76</f>
        <v>2022</v>
      </c>
      <c r="D78" s="45">
        <f>Incurred_loss!S76</f>
        <v>4261708.0093028005</v>
      </c>
      <c r="E78" s="45">
        <f>Incurred_loss!T76</f>
        <v>5397607.9137654044</v>
      </c>
      <c r="F78" s="45">
        <f>Incurred_loss!U76</f>
        <v>5813567.9024209995</v>
      </c>
      <c r="G78" s="45">
        <f>Incurred_loss!V76</f>
        <v>5180016.4520155024</v>
      </c>
      <c r="N78" s="48">
        <f>XL_Pure_Premium!$O78</f>
        <v>5133123.0193943316</v>
      </c>
      <c r="S78">
        <f t="shared" si="96"/>
        <v>2022</v>
      </c>
      <c r="T78" s="45">
        <f t="shared" si="100"/>
        <v>0</v>
      </c>
      <c r="U78" s="45">
        <f t="shared" si="101"/>
        <v>418392.16996141151</v>
      </c>
      <c r="V78" s="45">
        <f t="shared" si="102"/>
        <v>677799.55821766984</v>
      </c>
      <c r="W78" s="45">
        <f t="shared" si="103"/>
        <v>0</v>
      </c>
      <c r="AD78" s="45">
        <f t="shared" si="97"/>
        <v>0</v>
      </c>
      <c r="AK78">
        <f t="shared" si="98"/>
        <v>2022</v>
      </c>
      <c r="AL78" s="45">
        <f t="shared" si="104"/>
        <v>0</v>
      </c>
      <c r="AM78" s="45">
        <f t="shared" si="105"/>
        <v>0</v>
      </c>
      <c r="AN78" s="45">
        <f t="shared" si="106"/>
        <v>0</v>
      </c>
      <c r="AO78" s="45">
        <f t="shared" si="107"/>
        <v>0</v>
      </c>
      <c r="AV78" s="45">
        <f t="shared" si="99"/>
        <v>0</v>
      </c>
    </row>
    <row r="79" spans="3:48" x14ac:dyDescent="0.3">
      <c r="C79">
        <f>Incurred_loss!R77</f>
        <v>2022</v>
      </c>
      <c r="D79" s="45">
        <f>Incurred_loss!S77</f>
        <v>2442101.1315905354</v>
      </c>
      <c r="E79" s="45">
        <f>Incurred_loss!T77</f>
        <v>1574719.6941648913</v>
      </c>
      <c r="F79" s="45">
        <f>Incurred_loss!U77</f>
        <v>1930295.2460463487</v>
      </c>
      <c r="G79" s="45">
        <f>Incurred_loss!V77</f>
        <v>1836843.8112611084</v>
      </c>
      <c r="N79" s="48">
        <f>XL_Pure_Premium!$O79</f>
        <v>1820215.3097308725</v>
      </c>
      <c r="S79">
        <f t="shared" si="96"/>
        <v>2022</v>
      </c>
      <c r="T79" s="45">
        <f t="shared" si="100"/>
        <v>0</v>
      </c>
      <c r="U79" s="45">
        <f t="shared" si="101"/>
        <v>0</v>
      </c>
      <c r="V79" s="45">
        <f t="shared" si="102"/>
        <v>0</v>
      </c>
      <c r="W79" s="45">
        <f t="shared" si="103"/>
        <v>0</v>
      </c>
      <c r="AD79" s="45">
        <f t="shared" si="97"/>
        <v>0</v>
      </c>
      <c r="AK79">
        <f t="shared" si="98"/>
        <v>2022</v>
      </c>
      <c r="AL79" s="45">
        <f t="shared" si="104"/>
        <v>0</v>
      </c>
      <c r="AM79" s="45">
        <f t="shared" si="105"/>
        <v>0</v>
      </c>
      <c r="AN79" s="45">
        <f t="shared" si="106"/>
        <v>0</v>
      </c>
      <c r="AO79" s="45">
        <f t="shared" si="107"/>
        <v>0</v>
      </c>
      <c r="AV79" s="45">
        <f t="shared" si="99"/>
        <v>0</v>
      </c>
    </row>
    <row r="80" spans="3:48" x14ac:dyDescent="0.3">
      <c r="C80">
        <f>Incurred_loss!R78</f>
        <v>2022</v>
      </c>
      <c r="D80" s="45">
        <f>Incurred_loss!S78</f>
        <v>5277237.8169055646</v>
      </c>
      <c r="E80" s="45">
        <f>Incurred_loss!T78</f>
        <v>3787666.193444578</v>
      </c>
      <c r="F80" s="45">
        <f>Incurred_loss!U78</f>
        <v>5689045.1309019793</v>
      </c>
      <c r="G80" s="45">
        <f>Incurred_loss!V78</f>
        <v>5236009.93721011</v>
      </c>
      <c r="N80" s="48">
        <f>XL_Pure_Premium!$O80</f>
        <v>5188609.6091476763</v>
      </c>
      <c r="S80">
        <f t="shared" si="96"/>
        <v>2022</v>
      </c>
      <c r="T80" s="45">
        <f t="shared" si="100"/>
        <v>494781.05585446022</v>
      </c>
      <c r="U80" s="45">
        <f t="shared" si="101"/>
        <v>0</v>
      </c>
      <c r="V80" s="45">
        <f t="shared" si="102"/>
        <v>553276.78669864964</v>
      </c>
      <c r="W80" s="45">
        <f t="shared" si="103"/>
        <v>0</v>
      </c>
      <c r="AD80" s="45">
        <f t="shared" si="97"/>
        <v>0</v>
      </c>
      <c r="AK80">
        <f t="shared" si="98"/>
        <v>2022</v>
      </c>
      <c r="AL80" s="45">
        <f t="shared" si="104"/>
        <v>0</v>
      </c>
      <c r="AM80" s="45">
        <f t="shared" si="105"/>
        <v>0</v>
      </c>
      <c r="AN80" s="45">
        <f t="shared" si="106"/>
        <v>0</v>
      </c>
      <c r="AO80" s="45">
        <f t="shared" si="107"/>
        <v>0</v>
      </c>
      <c r="AV80" s="45">
        <f t="shared" si="99"/>
        <v>0</v>
      </c>
    </row>
    <row r="81" spans="3:48" x14ac:dyDescent="0.3">
      <c r="C81">
        <f>Incurred_loss!R79</f>
        <v>2023</v>
      </c>
      <c r="D81" s="45">
        <f>Incurred_loss!S79</f>
        <v>1546728.9623535692</v>
      </c>
      <c r="E81" s="45">
        <f>Incurred_loss!T79</f>
        <v>974233.54453295597</v>
      </c>
      <c r="F81" s="45">
        <f>Incurred_loss!U79</f>
        <v>1845495.6214065398</v>
      </c>
      <c r="N81" s="48">
        <f>XL_Pure_Premium!$O81</f>
        <v>1792519.4317653873</v>
      </c>
      <c r="S81">
        <f t="shared" si="96"/>
        <v>2023</v>
      </c>
      <c r="T81" s="45">
        <f t="shared" ref="T81:T96" si="108">MIN(MAX(D81-VLOOKUP($S81+T$4-1,$P$5:$R$25,2,FALSE),0),VLOOKUP($S81+T$4-1,$P$5:$R$25,3,FALSE))</f>
        <v>0</v>
      </c>
      <c r="U81" s="45">
        <f t="shared" ref="U81:U96" si="109">MIN(MAX(E81-VLOOKUP($S81+U$4-1,$P$5:$R$25,2,FALSE),0),VLOOKUP($S81+U$4-1,$P$5:$R$25,3,FALSE))</f>
        <v>0</v>
      </c>
      <c r="V81" s="45">
        <f t="shared" ref="V81:V96" si="110">MIN(MAX(F81-VLOOKUP($S81+V$4-1,$P$5:$R$25,2,FALSE),0),VLOOKUP($S81+V$4-1,$P$5:$R$25,3,FALSE))</f>
        <v>0</v>
      </c>
      <c r="AD81" s="45">
        <f t="shared" si="97"/>
        <v>0</v>
      </c>
      <c r="AK81">
        <f t="shared" si="98"/>
        <v>2023</v>
      </c>
      <c r="AL81" s="45">
        <f t="shared" ref="AL81:AL96" si="111">MIN(MAX(D81-VLOOKUP($AK81+AL$4-1,$AH$5:$AJ$25,2,FALSE),0),VLOOKUP($AK81+AL$4-1,$AH$5:$AJ$25,3,FALSE))</f>
        <v>0</v>
      </c>
      <c r="AM81" s="45">
        <f t="shared" ref="AM81:AM96" si="112">MIN(MAX(E81-VLOOKUP($AK81+AM$4-1,$AH$5:$AJ$25,2,FALSE),0),VLOOKUP($AK81+AM$4-1,$AH$5:$AJ$25,3,FALSE))</f>
        <v>0</v>
      </c>
      <c r="AN81" s="45">
        <f t="shared" ref="AN81:AN96" si="113">MIN(MAX(F81-VLOOKUP($AK81+AN$4-1,$AH$5:$AJ$25,2,FALSE),0),VLOOKUP($AK81+AN$4-1,$AH$5:$AJ$25,3,FALSE))</f>
        <v>0</v>
      </c>
      <c r="AV81" s="45">
        <f t="shared" si="99"/>
        <v>0</v>
      </c>
    </row>
    <row r="82" spans="3:48" x14ac:dyDescent="0.3">
      <c r="C82">
        <f>Incurred_loss!R80</f>
        <v>2023</v>
      </c>
      <c r="D82" s="45">
        <f>Incurred_loss!S80</f>
        <v>2300643.2098404872</v>
      </c>
      <c r="E82" s="45">
        <f>Incurred_loss!T80</f>
        <v>1333325.5800767462</v>
      </c>
      <c r="F82" s="45">
        <f>Incurred_loss!U80</f>
        <v>1441109.5368812357</v>
      </c>
      <c r="N82" s="48">
        <f>XL_Pure_Premium!$O82</f>
        <v>1399741.5210301287</v>
      </c>
      <c r="S82">
        <f t="shared" si="96"/>
        <v>2023</v>
      </c>
      <c r="T82" s="45">
        <f t="shared" si="108"/>
        <v>0</v>
      </c>
      <c r="U82" s="45">
        <f t="shared" si="109"/>
        <v>0</v>
      </c>
      <c r="V82" s="45">
        <f t="shared" si="110"/>
        <v>0</v>
      </c>
      <c r="AD82" s="45">
        <f t="shared" si="97"/>
        <v>0</v>
      </c>
      <c r="AK82">
        <f t="shared" si="98"/>
        <v>2023</v>
      </c>
      <c r="AL82" s="45">
        <f t="shared" si="111"/>
        <v>0</v>
      </c>
      <c r="AM82" s="45">
        <f t="shared" si="112"/>
        <v>0</v>
      </c>
      <c r="AN82" s="45">
        <f t="shared" si="113"/>
        <v>0</v>
      </c>
      <c r="AV82" s="45">
        <f t="shared" si="99"/>
        <v>0</v>
      </c>
    </row>
    <row r="83" spans="3:48" x14ac:dyDescent="0.3">
      <c r="C83">
        <f>Incurred_loss!R81</f>
        <v>2023</v>
      </c>
      <c r="D83" s="45">
        <f>Incurred_loss!S81</f>
        <v>861811.7784387304</v>
      </c>
      <c r="E83" s="45">
        <f>Incurred_loss!T81</f>
        <v>2462351.3384632682</v>
      </c>
      <c r="F83" s="45">
        <f>Incurred_loss!U81</f>
        <v>2896034.744706824</v>
      </c>
      <c r="N83" s="48">
        <f>XL_Pure_Premium!$O83</f>
        <v>2812902.1249035718</v>
      </c>
      <c r="S83">
        <f t="shared" si="96"/>
        <v>2023</v>
      </c>
      <c r="T83" s="45">
        <f t="shared" si="108"/>
        <v>0</v>
      </c>
      <c r="U83" s="45">
        <f t="shared" si="109"/>
        <v>0</v>
      </c>
      <c r="V83" s="45">
        <f t="shared" si="110"/>
        <v>0</v>
      </c>
      <c r="AD83" s="45">
        <f t="shared" si="97"/>
        <v>0</v>
      </c>
      <c r="AK83">
        <f t="shared" si="98"/>
        <v>2023</v>
      </c>
      <c r="AL83" s="45">
        <f t="shared" si="111"/>
        <v>0</v>
      </c>
      <c r="AM83" s="45">
        <f t="shared" si="112"/>
        <v>0</v>
      </c>
      <c r="AN83" s="45">
        <f t="shared" si="113"/>
        <v>0</v>
      </c>
      <c r="AV83" s="45">
        <f t="shared" si="99"/>
        <v>0</v>
      </c>
    </row>
    <row r="84" spans="3:48" x14ac:dyDescent="0.3">
      <c r="C84">
        <f>Incurred_loss!R82</f>
        <v>2023</v>
      </c>
      <c r="D84" s="45">
        <f>Incurred_loss!S82</f>
        <v>2682014.9161015218</v>
      </c>
      <c r="E84" s="45">
        <f>Incurred_loss!T82</f>
        <v>2330559.1568999584</v>
      </c>
      <c r="F84" s="45">
        <f>Incurred_loss!U82</f>
        <v>2808639.5099582197</v>
      </c>
      <c r="N84" s="48">
        <f>XL_Pure_Premium!$O84</f>
        <v>2728015.6289870036</v>
      </c>
      <c r="S84">
        <f t="shared" si="96"/>
        <v>2023</v>
      </c>
      <c r="T84" s="45">
        <f t="shared" si="108"/>
        <v>0</v>
      </c>
      <c r="U84" s="45">
        <f t="shared" si="109"/>
        <v>0</v>
      </c>
      <c r="V84" s="45">
        <f t="shared" si="110"/>
        <v>0</v>
      </c>
      <c r="AD84" s="45">
        <f t="shared" si="97"/>
        <v>0</v>
      </c>
      <c r="AK84">
        <f t="shared" si="98"/>
        <v>2023</v>
      </c>
      <c r="AL84" s="45">
        <f t="shared" si="111"/>
        <v>0</v>
      </c>
      <c r="AM84" s="45">
        <f t="shared" si="112"/>
        <v>0</v>
      </c>
      <c r="AN84" s="45">
        <f t="shared" si="113"/>
        <v>0</v>
      </c>
      <c r="AV84" s="45">
        <f t="shared" si="99"/>
        <v>0</v>
      </c>
    </row>
    <row r="85" spans="3:48" x14ac:dyDescent="0.3">
      <c r="C85">
        <f>Incurred_loss!R83</f>
        <v>2023</v>
      </c>
      <c r="D85" s="45">
        <f>Incurred_loss!S83</f>
        <v>1151429.7724527135</v>
      </c>
      <c r="E85" s="45">
        <f>Incurred_loss!T83</f>
        <v>1231891.06250057</v>
      </c>
      <c r="F85" s="45">
        <f>Incurred_loss!U83</f>
        <v>1313081.9043594645</v>
      </c>
      <c r="N85" s="48">
        <f>XL_Pure_Premium!$O85</f>
        <v>1275389.0075718274</v>
      </c>
      <c r="S85">
        <f t="shared" si="96"/>
        <v>2023</v>
      </c>
      <c r="T85" s="45">
        <f t="shared" si="108"/>
        <v>0</v>
      </c>
      <c r="U85" s="45">
        <f t="shared" si="109"/>
        <v>0</v>
      </c>
      <c r="V85" s="45">
        <f t="shared" si="110"/>
        <v>0</v>
      </c>
      <c r="AD85" s="45">
        <f t="shared" si="97"/>
        <v>0</v>
      </c>
      <c r="AK85">
        <f t="shared" si="98"/>
        <v>2023</v>
      </c>
      <c r="AL85" s="45">
        <f t="shared" si="111"/>
        <v>0</v>
      </c>
      <c r="AM85" s="45">
        <f t="shared" si="112"/>
        <v>0</v>
      </c>
      <c r="AN85" s="45">
        <f t="shared" si="113"/>
        <v>0</v>
      </c>
      <c r="AV85" s="45">
        <f t="shared" si="99"/>
        <v>0</v>
      </c>
    </row>
    <row r="86" spans="3:48" x14ac:dyDescent="0.3">
      <c r="C86">
        <f>Incurred_loss!R84</f>
        <v>2023</v>
      </c>
      <c r="D86" s="45">
        <f>Incurred_loss!S84</f>
        <v>1530304.7524452892</v>
      </c>
      <c r="E86" s="45">
        <f>Incurred_loss!T84</f>
        <v>2611227.0682993969</v>
      </c>
      <c r="F86" s="45">
        <f>Incurred_loss!U84</f>
        <v>2250971.5711755343</v>
      </c>
      <c r="N86" s="48">
        <f>XL_Pure_Premium!$O86</f>
        <v>2186355.9224315109</v>
      </c>
      <c r="S86">
        <f t="shared" si="96"/>
        <v>2023</v>
      </c>
      <c r="T86" s="45">
        <f t="shared" si="108"/>
        <v>0</v>
      </c>
      <c r="U86" s="45">
        <f t="shared" si="109"/>
        <v>0</v>
      </c>
      <c r="V86" s="45">
        <f t="shared" si="110"/>
        <v>0</v>
      </c>
      <c r="AD86" s="45">
        <f t="shared" si="97"/>
        <v>0</v>
      </c>
      <c r="AK86">
        <f t="shared" si="98"/>
        <v>2023</v>
      </c>
      <c r="AL86" s="45">
        <f t="shared" si="111"/>
        <v>0</v>
      </c>
      <c r="AM86" s="45">
        <f t="shared" si="112"/>
        <v>0</v>
      </c>
      <c r="AN86" s="45">
        <f t="shared" si="113"/>
        <v>0</v>
      </c>
      <c r="AV86" s="45">
        <f t="shared" si="99"/>
        <v>0</v>
      </c>
    </row>
    <row r="87" spans="3:48" x14ac:dyDescent="0.3">
      <c r="C87">
        <f>Incurred_loss!R85</f>
        <v>2023</v>
      </c>
      <c r="D87" s="45">
        <f>Incurred_loss!S85</f>
        <v>563763.63863343443</v>
      </c>
      <c r="E87" s="45">
        <f>Incurred_loss!T85</f>
        <v>464668.49105248949</v>
      </c>
      <c r="F87" s="45">
        <f>Incurred_loss!U85</f>
        <v>437822.39286586863</v>
      </c>
      <c r="N87" s="48">
        <f>XL_Pure_Premium!$O87</f>
        <v>425254.4074181827</v>
      </c>
      <c r="S87">
        <f t="shared" si="96"/>
        <v>2023</v>
      </c>
      <c r="T87" s="45">
        <f t="shared" si="108"/>
        <v>0</v>
      </c>
      <c r="U87" s="45">
        <f t="shared" si="109"/>
        <v>0</v>
      </c>
      <c r="V87" s="45">
        <f t="shared" si="110"/>
        <v>0</v>
      </c>
      <c r="AD87" s="45">
        <f t="shared" si="97"/>
        <v>0</v>
      </c>
      <c r="AK87">
        <f t="shared" si="98"/>
        <v>2023</v>
      </c>
      <c r="AL87" s="45">
        <f t="shared" si="111"/>
        <v>0</v>
      </c>
      <c r="AM87" s="45">
        <f t="shared" si="112"/>
        <v>0</v>
      </c>
      <c r="AN87" s="45">
        <f t="shared" si="113"/>
        <v>0</v>
      </c>
      <c r="AV87" s="45">
        <f t="shared" si="99"/>
        <v>0</v>
      </c>
    </row>
    <row r="88" spans="3:48" x14ac:dyDescent="0.3">
      <c r="C88">
        <f>Incurred_loss!R86</f>
        <v>2023</v>
      </c>
      <c r="D88" s="45">
        <f>Incurred_loss!S86</f>
        <v>1175731.4673647764</v>
      </c>
      <c r="E88" s="45">
        <f>Incurred_loss!T86</f>
        <v>1368840.1149297031</v>
      </c>
      <c r="F88" s="45">
        <f>Incurred_loss!U86</f>
        <v>1350046.6537301417</v>
      </c>
      <c r="N88" s="48">
        <f>XL_Pure_Premium!$O88</f>
        <v>1311292.6590184646</v>
      </c>
      <c r="S88">
        <f t="shared" si="96"/>
        <v>2023</v>
      </c>
      <c r="T88" s="45">
        <f t="shared" si="108"/>
        <v>0</v>
      </c>
      <c r="U88" s="45">
        <f t="shared" si="109"/>
        <v>0</v>
      </c>
      <c r="V88" s="45">
        <f t="shared" si="110"/>
        <v>0</v>
      </c>
      <c r="AD88" s="45">
        <f t="shared" si="97"/>
        <v>0</v>
      </c>
      <c r="AK88">
        <f t="shared" si="98"/>
        <v>2023</v>
      </c>
      <c r="AL88" s="45">
        <f t="shared" si="111"/>
        <v>0</v>
      </c>
      <c r="AM88" s="45">
        <f t="shared" si="112"/>
        <v>0</v>
      </c>
      <c r="AN88" s="45">
        <f t="shared" si="113"/>
        <v>0</v>
      </c>
      <c r="AV88" s="45">
        <f t="shared" si="99"/>
        <v>0</v>
      </c>
    </row>
    <row r="89" spans="3:48" x14ac:dyDescent="0.3">
      <c r="C89">
        <f>Incurred_loss!R87</f>
        <v>2023</v>
      </c>
      <c r="D89" s="45">
        <f>Incurred_loss!S87</f>
        <v>858374.17311558221</v>
      </c>
      <c r="E89" s="45">
        <f>Incurred_loss!T87</f>
        <v>679957.31970278698</v>
      </c>
      <c r="F89" s="45">
        <f>Incurred_loss!U87</f>
        <v>602538.12233565829</v>
      </c>
      <c r="N89" s="48">
        <f>XL_Pure_Premium!$O89</f>
        <v>585241.86139381432</v>
      </c>
      <c r="S89">
        <f t="shared" si="96"/>
        <v>2023</v>
      </c>
      <c r="T89" s="45">
        <f t="shared" si="108"/>
        <v>0</v>
      </c>
      <c r="U89" s="45">
        <f t="shared" si="109"/>
        <v>0</v>
      </c>
      <c r="V89" s="45">
        <f t="shared" si="110"/>
        <v>0</v>
      </c>
      <c r="AD89" s="45">
        <f t="shared" si="97"/>
        <v>0</v>
      </c>
      <c r="AK89">
        <f t="shared" si="98"/>
        <v>2023</v>
      </c>
      <c r="AL89" s="45">
        <f t="shared" si="111"/>
        <v>0</v>
      </c>
      <c r="AM89" s="45">
        <f t="shared" si="112"/>
        <v>0</v>
      </c>
      <c r="AN89" s="45">
        <f t="shared" si="113"/>
        <v>0</v>
      </c>
      <c r="AV89" s="45">
        <f t="shared" si="99"/>
        <v>0</v>
      </c>
    </row>
    <row r="90" spans="3:48" x14ac:dyDescent="0.3">
      <c r="C90">
        <f>Incurred_loss!R88</f>
        <v>2023</v>
      </c>
      <c r="D90" s="45">
        <f>Incurred_loss!S88</f>
        <v>291915.4662375279</v>
      </c>
      <c r="E90" s="45">
        <f>Incurred_loss!T88</f>
        <v>1511723.194744458</v>
      </c>
      <c r="F90" s="45">
        <f>Incurred_loss!U88</f>
        <v>1704036.4374867312</v>
      </c>
      <c r="N90" s="48">
        <f>XL_Pure_Premium!$O90</f>
        <v>1655120.9286008691</v>
      </c>
      <c r="S90">
        <f t="shared" si="96"/>
        <v>2023</v>
      </c>
      <c r="T90" s="45">
        <f t="shared" si="108"/>
        <v>0</v>
      </c>
      <c r="U90" s="45">
        <f t="shared" si="109"/>
        <v>0</v>
      </c>
      <c r="V90" s="45">
        <f t="shared" si="110"/>
        <v>0</v>
      </c>
      <c r="AD90" s="45">
        <f t="shared" si="97"/>
        <v>0</v>
      </c>
      <c r="AK90">
        <f t="shared" si="98"/>
        <v>2023</v>
      </c>
      <c r="AL90" s="45">
        <f t="shared" si="111"/>
        <v>0</v>
      </c>
      <c r="AM90" s="45">
        <f t="shared" si="112"/>
        <v>0</v>
      </c>
      <c r="AN90" s="45">
        <f t="shared" si="113"/>
        <v>0</v>
      </c>
      <c r="AV90" s="45">
        <f t="shared" si="99"/>
        <v>0</v>
      </c>
    </row>
    <row r="91" spans="3:48" x14ac:dyDescent="0.3">
      <c r="C91">
        <f>Incurred_loss!R89</f>
        <v>2023</v>
      </c>
      <c r="D91" s="45">
        <f>Incurred_loss!S89</f>
        <v>2772288.0973276137</v>
      </c>
      <c r="E91" s="45">
        <f>Incurred_loss!T89</f>
        <v>2844658.8174337666</v>
      </c>
      <c r="F91" s="45">
        <f>Incurred_loss!U89</f>
        <v>2725803.0224957634</v>
      </c>
      <c r="N91" s="48">
        <f>XL_Pure_Premium!$O91</f>
        <v>2647557.0184580483</v>
      </c>
      <c r="S91">
        <f t="shared" si="96"/>
        <v>2023</v>
      </c>
      <c r="T91" s="45">
        <f t="shared" si="108"/>
        <v>0</v>
      </c>
      <c r="U91" s="45">
        <f t="shared" si="109"/>
        <v>0</v>
      </c>
      <c r="V91" s="45">
        <f t="shared" si="110"/>
        <v>0</v>
      </c>
      <c r="AD91" s="45">
        <f t="shared" si="97"/>
        <v>0</v>
      </c>
      <c r="AK91">
        <f t="shared" si="98"/>
        <v>2023</v>
      </c>
      <c r="AL91" s="45">
        <f t="shared" si="111"/>
        <v>0</v>
      </c>
      <c r="AM91" s="45">
        <f t="shared" si="112"/>
        <v>0</v>
      </c>
      <c r="AN91" s="45">
        <f t="shared" si="113"/>
        <v>0</v>
      </c>
      <c r="AV91" s="45">
        <f t="shared" si="99"/>
        <v>0</v>
      </c>
    </row>
    <row r="92" spans="3:48" x14ac:dyDescent="0.3">
      <c r="C92">
        <f>Incurred_loss!R90</f>
        <v>2023</v>
      </c>
      <c r="D92" s="45">
        <f>Incurred_loss!S90</f>
        <v>1498325.9044737378</v>
      </c>
      <c r="E92" s="45">
        <f>Incurred_loss!T90</f>
        <v>2302958.102101651</v>
      </c>
      <c r="F92" s="45">
        <f>Incurred_loss!U90</f>
        <v>2053682.7914120494</v>
      </c>
      <c r="N92" s="48">
        <f>XL_Pure_Premium!$O92</f>
        <v>1994730.4494185757</v>
      </c>
      <c r="S92">
        <f t="shared" si="96"/>
        <v>2023</v>
      </c>
      <c r="T92" s="45">
        <f t="shared" si="108"/>
        <v>0</v>
      </c>
      <c r="U92" s="45">
        <f t="shared" si="109"/>
        <v>0</v>
      </c>
      <c r="V92" s="45">
        <f t="shared" si="110"/>
        <v>0</v>
      </c>
      <c r="AD92" s="45">
        <f t="shared" si="97"/>
        <v>0</v>
      </c>
      <c r="AK92">
        <f t="shared" si="98"/>
        <v>2023</v>
      </c>
      <c r="AL92" s="45">
        <f t="shared" si="111"/>
        <v>0</v>
      </c>
      <c r="AM92" s="45">
        <f t="shared" si="112"/>
        <v>0</v>
      </c>
      <c r="AN92" s="45">
        <f t="shared" si="113"/>
        <v>0</v>
      </c>
      <c r="AV92" s="45">
        <f t="shared" si="99"/>
        <v>0</v>
      </c>
    </row>
    <row r="93" spans="3:48" x14ac:dyDescent="0.3">
      <c r="C93">
        <f>Incurred_loss!R91</f>
        <v>2023</v>
      </c>
      <c r="D93" s="45">
        <f>Incurred_loss!S91</f>
        <v>3979663.4037784352</v>
      </c>
      <c r="E93" s="45">
        <f>Incurred_loss!T91</f>
        <v>1912748.1591374362</v>
      </c>
      <c r="F93" s="45">
        <f>Incurred_loss!U91</f>
        <v>2261782.9434210062</v>
      </c>
      <c r="N93" s="48">
        <f>XL_Pure_Premium!$O93</f>
        <v>2196856.9469851675</v>
      </c>
      <c r="S93">
        <f t="shared" si="96"/>
        <v>2023</v>
      </c>
      <c r="T93" s="45">
        <f t="shared" si="108"/>
        <v>0</v>
      </c>
      <c r="U93" s="45">
        <f t="shared" si="109"/>
        <v>0</v>
      </c>
      <c r="V93" s="45">
        <f t="shared" si="110"/>
        <v>0</v>
      </c>
      <c r="AD93" s="45">
        <f t="shared" si="97"/>
        <v>0</v>
      </c>
      <c r="AK93">
        <f t="shared" si="98"/>
        <v>2023</v>
      </c>
      <c r="AL93" s="45">
        <f t="shared" si="111"/>
        <v>0</v>
      </c>
      <c r="AM93" s="45">
        <f t="shared" si="112"/>
        <v>0</v>
      </c>
      <c r="AN93" s="45">
        <f t="shared" si="113"/>
        <v>0</v>
      </c>
      <c r="AV93" s="45">
        <f t="shared" si="99"/>
        <v>0</v>
      </c>
    </row>
    <row r="94" spans="3:48" x14ac:dyDescent="0.3">
      <c r="C94">
        <f>Incurred_loss!R92</f>
        <v>2023</v>
      </c>
      <c r="D94" s="45">
        <f>Incurred_loss!S92</f>
        <v>1155597.676137333</v>
      </c>
      <c r="E94" s="45">
        <f>Incurred_loss!T92</f>
        <v>2058354.6525850983</v>
      </c>
      <c r="F94" s="45">
        <f>Incurred_loss!U92</f>
        <v>1789251.6321696846</v>
      </c>
      <c r="N94" s="48">
        <f>XL_Pure_Premium!$O94</f>
        <v>1737889.9639640886</v>
      </c>
      <c r="S94">
        <f t="shared" si="96"/>
        <v>2023</v>
      </c>
      <c r="T94" s="45">
        <f t="shared" si="108"/>
        <v>0</v>
      </c>
      <c r="U94" s="45">
        <f t="shared" si="109"/>
        <v>0</v>
      </c>
      <c r="V94" s="45">
        <f t="shared" si="110"/>
        <v>0</v>
      </c>
      <c r="AD94" s="45">
        <f t="shared" si="97"/>
        <v>0</v>
      </c>
      <c r="AK94">
        <f t="shared" si="98"/>
        <v>2023</v>
      </c>
      <c r="AL94" s="45">
        <f t="shared" si="111"/>
        <v>0</v>
      </c>
      <c r="AM94" s="45">
        <f t="shared" si="112"/>
        <v>0</v>
      </c>
      <c r="AN94" s="45">
        <f t="shared" si="113"/>
        <v>0</v>
      </c>
      <c r="AV94" s="45">
        <f t="shared" si="99"/>
        <v>0</v>
      </c>
    </row>
    <row r="95" spans="3:48" x14ac:dyDescent="0.3">
      <c r="C95">
        <f>Incurred_loss!R93</f>
        <v>2023</v>
      </c>
      <c r="D95" s="45">
        <f>Incurred_loss!S93</f>
        <v>803004.40877098544</v>
      </c>
      <c r="E95" s="45">
        <f>Incurred_loss!T93</f>
        <v>868441.96739201085</v>
      </c>
      <c r="F95" s="45">
        <f>Incurred_loss!U93</f>
        <v>838473.28927808162</v>
      </c>
      <c r="N95" s="48">
        <f>XL_Pure_Premium!$O95</f>
        <v>814404.35112043761</v>
      </c>
      <c r="S95">
        <f t="shared" si="96"/>
        <v>2023</v>
      </c>
      <c r="T95" s="45">
        <f t="shared" si="108"/>
        <v>0</v>
      </c>
      <c r="U95" s="45">
        <f t="shared" si="109"/>
        <v>0</v>
      </c>
      <c r="V95" s="45">
        <f t="shared" si="110"/>
        <v>0</v>
      </c>
      <c r="AD95" s="45">
        <f t="shared" si="97"/>
        <v>0</v>
      </c>
      <c r="AK95">
        <f t="shared" si="98"/>
        <v>2023</v>
      </c>
      <c r="AL95" s="45">
        <f t="shared" si="111"/>
        <v>0</v>
      </c>
      <c r="AM95" s="45">
        <f t="shared" si="112"/>
        <v>0</v>
      </c>
      <c r="AN95" s="45">
        <f t="shared" si="113"/>
        <v>0</v>
      </c>
      <c r="AV95" s="45">
        <f t="shared" si="99"/>
        <v>0</v>
      </c>
    </row>
    <row r="96" spans="3:48" x14ac:dyDescent="0.3">
      <c r="C96">
        <f>Incurred_loss!R94</f>
        <v>2023</v>
      </c>
      <c r="D96" s="45">
        <f>Incurred_loss!S94</f>
        <v>345121.51717417809</v>
      </c>
      <c r="E96" s="45">
        <f>Incurred_loss!T94</f>
        <v>1540316.7897257309</v>
      </c>
      <c r="F96" s="45">
        <f>Incurred_loss!U94</f>
        <v>2240656.204284973</v>
      </c>
      <c r="N96" s="48">
        <f>XL_Pure_Premium!$O96</f>
        <v>2176336.6650663656</v>
      </c>
      <c r="S96">
        <f t="shared" si="96"/>
        <v>2023</v>
      </c>
      <c r="T96" s="45">
        <f t="shared" si="108"/>
        <v>0</v>
      </c>
      <c r="U96" s="45">
        <f t="shared" si="109"/>
        <v>0</v>
      </c>
      <c r="V96" s="45">
        <f t="shared" si="110"/>
        <v>0</v>
      </c>
      <c r="AD96" s="45">
        <f t="shared" si="97"/>
        <v>0</v>
      </c>
      <c r="AK96">
        <f t="shared" si="98"/>
        <v>2023</v>
      </c>
      <c r="AL96" s="45">
        <f t="shared" si="111"/>
        <v>0</v>
      </c>
      <c r="AM96" s="45">
        <f t="shared" si="112"/>
        <v>0</v>
      </c>
      <c r="AN96" s="45">
        <f t="shared" si="113"/>
        <v>0</v>
      </c>
      <c r="AV96" s="45">
        <f t="shared" si="99"/>
        <v>0</v>
      </c>
    </row>
    <row r="97" spans="3:48" x14ac:dyDescent="0.3">
      <c r="C97">
        <f>Incurred_loss!R95</f>
        <v>2024</v>
      </c>
      <c r="D97" s="45">
        <f>Incurred_loss!S95</f>
        <v>723301.81294165773</v>
      </c>
      <c r="E97" s="45">
        <f>Incurred_loss!T95</f>
        <v>720673.91550150001</v>
      </c>
      <c r="N97" s="48">
        <f>XL_Pure_Premium!$O97</f>
        <v>744423.1183558217</v>
      </c>
      <c r="S97">
        <f t="shared" si="96"/>
        <v>2024</v>
      </c>
      <c r="T97" s="45">
        <f t="shared" ref="T97:T118" si="114">MIN(MAX(D97-VLOOKUP($S97+T$4-1,$P$5:$R$25,2,FALSE),0),VLOOKUP($S97+T$4-1,$P$5:$R$25,3,FALSE))</f>
        <v>0</v>
      </c>
      <c r="U97" s="45">
        <f t="shared" ref="U97:U109" si="115">MIN(MAX(E97-VLOOKUP($S97+U$4-1,$P$5:$R$25,2,FALSE),0),VLOOKUP($S97+U$4-1,$P$5:$R$25,3,FALSE))</f>
        <v>0</v>
      </c>
      <c r="AD97" s="45">
        <f t="shared" si="97"/>
        <v>0</v>
      </c>
      <c r="AK97">
        <f t="shared" si="98"/>
        <v>2024</v>
      </c>
      <c r="AL97" s="45">
        <f t="shared" ref="AL97:AL117" si="116">MIN(MAX(D97-VLOOKUP($AK97+AL$4-1,$AH$5:$AJ$25,2,FALSE),0),VLOOKUP($AK97+AL$4-1,$AH$5:$AJ$25,3,FALSE))</f>
        <v>0</v>
      </c>
      <c r="AM97" s="45">
        <f t="shared" ref="AM97:AM108" si="117">MIN(MAX(E97-VLOOKUP($AK97+AM$4-1,$AH$5:$AJ$25,2,FALSE),0),VLOOKUP($AK97+AM$4-1,$AH$5:$AJ$25,3,FALSE))</f>
        <v>0</v>
      </c>
      <c r="AV97" s="45">
        <f t="shared" si="99"/>
        <v>0</v>
      </c>
    </row>
    <row r="98" spans="3:48" x14ac:dyDescent="0.3">
      <c r="C98">
        <f>Incurred_loss!R96</f>
        <v>2024</v>
      </c>
      <c r="D98" s="45">
        <f>Incurred_loss!S96</f>
        <v>1261295.7305952788</v>
      </c>
      <c r="E98" s="45">
        <f>Incurred_loss!T96</f>
        <v>1584292.8014247038</v>
      </c>
      <c r="N98" s="48">
        <f>XL_Pure_Premium!$O98</f>
        <v>1636501.8384279287</v>
      </c>
      <c r="S98">
        <f t="shared" si="96"/>
        <v>2024</v>
      </c>
      <c r="T98" s="45">
        <f t="shared" si="114"/>
        <v>0</v>
      </c>
      <c r="U98" s="45">
        <f t="shared" si="115"/>
        <v>0</v>
      </c>
      <c r="AD98" s="45">
        <f t="shared" si="97"/>
        <v>0</v>
      </c>
      <c r="AK98">
        <f t="shared" si="98"/>
        <v>2024</v>
      </c>
      <c r="AL98" s="45">
        <f t="shared" si="116"/>
        <v>0</v>
      </c>
      <c r="AM98" s="45">
        <f t="shared" si="117"/>
        <v>0</v>
      </c>
      <c r="AV98" s="45">
        <f t="shared" si="99"/>
        <v>0</v>
      </c>
    </row>
    <row r="99" spans="3:48" x14ac:dyDescent="0.3">
      <c r="C99">
        <f>Incurred_loss!R97</f>
        <v>2024</v>
      </c>
      <c r="D99" s="45">
        <f>Incurred_loss!S97</f>
        <v>828028.99482907006</v>
      </c>
      <c r="E99" s="45">
        <f>Incurred_loss!T97</f>
        <v>518103.46354107873</v>
      </c>
      <c r="N99" s="48">
        <f>XL_Pure_Premium!$O99</f>
        <v>535177.12749712903</v>
      </c>
      <c r="S99">
        <f t="shared" si="96"/>
        <v>2024</v>
      </c>
      <c r="T99" s="45">
        <f t="shared" si="114"/>
        <v>0</v>
      </c>
      <c r="U99" s="45">
        <f t="shared" si="115"/>
        <v>0</v>
      </c>
      <c r="AD99" s="45">
        <f t="shared" si="97"/>
        <v>0</v>
      </c>
      <c r="AK99">
        <f t="shared" si="98"/>
        <v>2024</v>
      </c>
      <c r="AL99" s="45">
        <f t="shared" si="116"/>
        <v>0</v>
      </c>
      <c r="AM99" s="45">
        <f t="shared" si="117"/>
        <v>0</v>
      </c>
      <c r="AV99" s="45">
        <f t="shared" si="99"/>
        <v>0</v>
      </c>
    </row>
    <row r="100" spans="3:48" x14ac:dyDescent="0.3">
      <c r="C100">
        <f>Incurred_loss!R98</f>
        <v>2024</v>
      </c>
      <c r="D100" s="45">
        <f>Incurred_loss!S98</f>
        <v>289889.03875492443</v>
      </c>
      <c r="E100" s="45">
        <f>Incurred_loss!T98</f>
        <v>434161.60262752639</v>
      </c>
      <c r="N100" s="48">
        <f>XL_Pure_Premium!$O100</f>
        <v>448469.03314578411</v>
      </c>
      <c r="S100">
        <f t="shared" si="96"/>
        <v>2024</v>
      </c>
      <c r="T100" s="45">
        <f t="shared" si="114"/>
        <v>0</v>
      </c>
      <c r="U100" s="45">
        <f t="shared" si="115"/>
        <v>0</v>
      </c>
      <c r="AD100" s="45">
        <f t="shared" si="97"/>
        <v>0</v>
      </c>
      <c r="AK100">
        <f t="shared" si="98"/>
        <v>2024</v>
      </c>
      <c r="AL100" s="45">
        <f t="shared" si="116"/>
        <v>0</v>
      </c>
      <c r="AM100" s="45">
        <f t="shared" si="117"/>
        <v>0</v>
      </c>
      <c r="AV100" s="45">
        <f t="shared" si="99"/>
        <v>0</v>
      </c>
    </row>
    <row r="101" spans="3:48" x14ac:dyDescent="0.3">
      <c r="C101">
        <f>Incurred_loss!R99</f>
        <v>2024</v>
      </c>
      <c r="D101" s="45">
        <f>Incurred_loss!S99</f>
        <v>3302938.7030147668</v>
      </c>
      <c r="E101" s="45">
        <f>Incurred_loss!T99</f>
        <v>3750919.5271863015</v>
      </c>
      <c r="N101" s="48">
        <f>XL_Pure_Premium!$O101</f>
        <v>3874527.9259714782</v>
      </c>
      <c r="S101">
        <f t="shared" si="96"/>
        <v>2024</v>
      </c>
      <c r="T101" s="45">
        <f t="shared" si="114"/>
        <v>0</v>
      </c>
      <c r="U101" s="45">
        <f t="shared" si="115"/>
        <v>0</v>
      </c>
      <c r="AD101" s="45">
        <f t="shared" si="97"/>
        <v>0</v>
      </c>
      <c r="AK101">
        <f t="shared" si="98"/>
        <v>2024</v>
      </c>
      <c r="AL101" s="45">
        <f t="shared" si="116"/>
        <v>0</v>
      </c>
      <c r="AM101" s="45">
        <f t="shared" si="117"/>
        <v>0</v>
      </c>
      <c r="AV101" s="45">
        <f t="shared" si="99"/>
        <v>0</v>
      </c>
    </row>
    <row r="102" spans="3:48" x14ac:dyDescent="0.3">
      <c r="C102">
        <f>Incurred_loss!R100</f>
        <v>2024</v>
      </c>
      <c r="D102" s="45">
        <f>Incurred_loss!S100</f>
        <v>2326416.3294832455</v>
      </c>
      <c r="E102" s="45">
        <f>Incurred_loss!T100</f>
        <v>2245089.6415613107</v>
      </c>
      <c r="N102" s="48">
        <f>XL_Pure_Premium!$O102</f>
        <v>2319074.6827521971</v>
      </c>
      <c r="S102">
        <f t="shared" si="96"/>
        <v>2024</v>
      </c>
      <c r="T102" s="45">
        <f t="shared" si="114"/>
        <v>0</v>
      </c>
      <c r="U102" s="45">
        <f t="shared" si="115"/>
        <v>0</v>
      </c>
      <c r="AD102" s="45">
        <f t="shared" si="97"/>
        <v>0</v>
      </c>
      <c r="AK102">
        <f t="shared" si="98"/>
        <v>2024</v>
      </c>
      <c r="AL102" s="45">
        <f t="shared" si="116"/>
        <v>0</v>
      </c>
      <c r="AM102" s="45">
        <f t="shared" si="117"/>
        <v>0</v>
      </c>
      <c r="AV102" s="45">
        <f t="shared" si="99"/>
        <v>0</v>
      </c>
    </row>
    <row r="103" spans="3:48" x14ac:dyDescent="0.3">
      <c r="C103">
        <f>Incurred_loss!R101</f>
        <v>2024</v>
      </c>
      <c r="D103" s="45">
        <f>Incurred_loss!S101</f>
        <v>289860.26306145638</v>
      </c>
      <c r="E103" s="45">
        <f>Incurred_loss!T101</f>
        <v>574485.12559554342</v>
      </c>
      <c r="N103" s="48">
        <f>XL_Pure_Premium!$O103</f>
        <v>593416.79981198127</v>
      </c>
      <c r="S103">
        <f t="shared" si="96"/>
        <v>2024</v>
      </c>
      <c r="T103" s="45">
        <f t="shared" si="114"/>
        <v>0</v>
      </c>
      <c r="U103" s="45">
        <f t="shared" si="115"/>
        <v>0</v>
      </c>
      <c r="AD103" s="45">
        <f t="shared" si="97"/>
        <v>0</v>
      </c>
      <c r="AK103">
        <f t="shared" si="98"/>
        <v>2024</v>
      </c>
      <c r="AL103" s="45">
        <f t="shared" si="116"/>
        <v>0</v>
      </c>
      <c r="AM103" s="45">
        <f t="shared" si="117"/>
        <v>0</v>
      </c>
      <c r="AV103" s="45">
        <f t="shared" si="99"/>
        <v>0</v>
      </c>
    </row>
    <row r="104" spans="3:48" x14ac:dyDescent="0.3">
      <c r="C104">
        <f>Incurred_loss!R102</f>
        <v>2024</v>
      </c>
      <c r="D104" s="45">
        <f>Incurred_loss!S102</f>
        <v>1228089.1293082912</v>
      </c>
      <c r="E104" s="45">
        <f>Incurred_loss!T102</f>
        <v>4030588.2384416191</v>
      </c>
      <c r="N104" s="48">
        <f>XL_Pure_Premium!$O104</f>
        <v>4163412.8844264555</v>
      </c>
      <c r="S104">
        <f t="shared" si="96"/>
        <v>2024</v>
      </c>
      <c r="T104" s="45">
        <f t="shared" si="114"/>
        <v>0</v>
      </c>
      <c r="U104" s="45">
        <f t="shared" si="115"/>
        <v>0</v>
      </c>
      <c r="AD104" s="45">
        <f t="shared" si="97"/>
        <v>0</v>
      </c>
      <c r="AK104">
        <f t="shared" si="98"/>
        <v>2024</v>
      </c>
      <c r="AL104" s="45">
        <f t="shared" si="116"/>
        <v>0</v>
      </c>
      <c r="AM104" s="45">
        <f t="shared" si="117"/>
        <v>0</v>
      </c>
      <c r="AV104" s="45">
        <f t="shared" si="99"/>
        <v>0</v>
      </c>
    </row>
    <row r="105" spans="3:48" x14ac:dyDescent="0.3">
      <c r="C105">
        <f>Incurred_loss!R103</f>
        <v>2024</v>
      </c>
      <c r="D105" s="45">
        <f>Incurred_loss!S103</f>
        <v>3780031.9044130957</v>
      </c>
      <c r="E105" s="45">
        <f>Incurred_loss!T103</f>
        <v>2059077.9126428589</v>
      </c>
      <c r="N105" s="48">
        <f>XL_Pure_Premium!$O105</f>
        <v>2126933.093728716</v>
      </c>
      <c r="S105">
        <f t="shared" si="96"/>
        <v>2024</v>
      </c>
      <c r="T105" s="45">
        <f t="shared" si="114"/>
        <v>0</v>
      </c>
      <c r="U105" s="45">
        <f t="shared" si="115"/>
        <v>0</v>
      </c>
      <c r="AD105" s="45">
        <f t="shared" si="97"/>
        <v>0</v>
      </c>
      <c r="AK105">
        <f t="shared" si="98"/>
        <v>2024</v>
      </c>
      <c r="AL105" s="45">
        <f t="shared" si="116"/>
        <v>0</v>
      </c>
      <c r="AM105" s="45">
        <f t="shared" si="117"/>
        <v>0</v>
      </c>
      <c r="AV105" s="45">
        <f t="shared" si="99"/>
        <v>0</v>
      </c>
    </row>
    <row r="106" spans="3:48" x14ac:dyDescent="0.3">
      <c r="C106">
        <f>Incurred_loss!R104</f>
        <v>2024</v>
      </c>
      <c r="D106" s="45">
        <f>Incurred_loss!S104</f>
        <v>6600500.2819850361</v>
      </c>
      <c r="E106" s="45">
        <f>Incurred_loss!T104</f>
        <v>3426932.988885215</v>
      </c>
      <c r="N106" s="48">
        <f>XL_Pure_Premium!$O106</f>
        <v>3539864.6837483025</v>
      </c>
      <c r="S106">
        <f t="shared" si="96"/>
        <v>2024</v>
      </c>
      <c r="T106" s="45">
        <f t="shared" si="114"/>
        <v>1464731.9377817065</v>
      </c>
      <c r="U106" s="45">
        <f t="shared" si="115"/>
        <v>0</v>
      </c>
      <c r="AD106" s="45">
        <f t="shared" si="97"/>
        <v>0</v>
      </c>
      <c r="AK106">
        <f t="shared" si="98"/>
        <v>2024</v>
      </c>
      <c r="AL106" s="45">
        <f t="shared" si="116"/>
        <v>0</v>
      </c>
      <c r="AM106" s="45">
        <f t="shared" si="117"/>
        <v>0</v>
      </c>
      <c r="AV106" s="45">
        <f t="shared" si="99"/>
        <v>0</v>
      </c>
    </row>
    <row r="107" spans="3:48" x14ac:dyDescent="0.3">
      <c r="C107">
        <f>Incurred_loss!R105</f>
        <v>2024</v>
      </c>
      <c r="D107" s="45">
        <f>Incurred_loss!S105</f>
        <v>6534169.6707505593</v>
      </c>
      <c r="E107" s="45">
        <f>Incurred_loss!T105</f>
        <v>6767968.553027695</v>
      </c>
      <c r="N107" s="48">
        <f>XL_Pure_Premium!$O107</f>
        <v>6991001.2653545635</v>
      </c>
      <c r="S107">
        <f t="shared" si="96"/>
        <v>2024</v>
      </c>
      <c r="T107" s="45">
        <f t="shared" si="114"/>
        <v>1398401.3265472297</v>
      </c>
      <c r="U107" s="45">
        <f t="shared" si="115"/>
        <v>1505298.6830755016</v>
      </c>
      <c r="AD107" s="45">
        <f t="shared" si="97"/>
        <v>1513064.6504490031</v>
      </c>
      <c r="AK107">
        <f t="shared" si="98"/>
        <v>2024</v>
      </c>
      <c r="AL107" s="45">
        <f t="shared" si="116"/>
        <v>0</v>
      </c>
      <c r="AM107" s="45">
        <f t="shared" si="117"/>
        <v>0</v>
      </c>
      <c r="AV107" s="45">
        <f t="shared" si="99"/>
        <v>0</v>
      </c>
    </row>
    <row r="108" spans="3:48" x14ac:dyDescent="0.3">
      <c r="C108">
        <f>Incurred_loss!R106</f>
        <v>2024</v>
      </c>
      <c r="D108" s="45">
        <f>Incurred_loss!S106</f>
        <v>2021652.4908694332</v>
      </c>
      <c r="E108" s="45">
        <f>Incurred_loss!T106</f>
        <v>1018526.8660243391</v>
      </c>
      <c r="N108" s="48">
        <f>XL_Pure_Premium!$O108</f>
        <v>1052091.5623918436</v>
      </c>
      <c r="S108">
        <f t="shared" si="96"/>
        <v>2024</v>
      </c>
      <c r="T108" s="45">
        <f t="shared" si="114"/>
        <v>0</v>
      </c>
      <c r="U108" s="45">
        <f t="shared" si="115"/>
        <v>0</v>
      </c>
      <c r="AD108" s="45">
        <f t="shared" si="97"/>
        <v>0</v>
      </c>
      <c r="AK108">
        <f t="shared" si="98"/>
        <v>2024</v>
      </c>
      <c r="AL108" s="45">
        <f t="shared" si="116"/>
        <v>0</v>
      </c>
      <c r="AM108" s="45">
        <f t="shared" si="117"/>
        <v>0</v>
      </c>
      <c r="AV108" s="45">
        <f t="shared" si="99"/>
        <v>0</v>
      </c>
    </row>
    <row r="109" spans="3:48" x14ac:dyDescent="0.3">
      <c r="C109">
        <f>Incurred_loss!R107</f>
        <v>2024</v>
      </c>
      <c r="D109" s="45">
        <f>Incurred_loss!S107</f>
        <v>3688411.3220306612</v>
      </c>
      <c r="N109" s="48">
        <f>XL_Pure_Premium!$O109</f>
        <v>2335428.352251031</v>
      </c>
      <c r="S109">
        <f t="shared" si="96"/>
        <v>2024</v>
      </c>
      <c r="T109" s="45">
        <f t="shared" si="114"/>
        <v>0</v>
      </c>
      <c r="U109" s="45">
        <f t="shared" si="115"/>
        <v>0</v>
      </c>
      <c r="AD109" s="45">
        <f t="shared" si="97"/>
        <v>0</v>
      </c>
      <c r="AK109">
        <f t="shared" si="98"/>
        <v>2024</v>
      </c>
      <c r="AL109" s="45">
        <f t="shared" si="116"/>
        <v>0</v>
      </c>
      <c r="AM109" s="45">
        <f t="shared" ref="AM109" si="118">MIN(MAX(E109-$AK$2,0),$AI$2)</f>
        <v>0</v>
      </c>
      <c r="AV109" s="45">
        <f t="shared" si="99"/>
        <v>0</v>
      </c>
    </row>
    <row r="110" spans="3:48" x14ac:dyDescent="0.3">
      <c r="C110">
        <f>Incurred_loss!R108</f>
        <v>2025</v>
      </c>
      <c r="D110" s="45">
        <f>Incurred_loss!S108</f>
        <v>487582.09961415012</v>
      </c>
      <c r="N110" s="48">
        <f>XL_Pure_Premium!$O110</f>
        <v>505036.64225127961</v>
      </c>
      <c r="S110">
        <f t="shared" si="96"/>
        <v>2025</v>
      </c>
      <c r="T110" s="45">
        <f t="shared" si="114"/>
        <v>0</v>
      </c>
      <c r="AD110" s="45">
        <f t="shared" si="97"/>
        <v>0</v>
      </c>
      <c r="AK110">
        <f t="shared" si="98"/>
        <v>2025</v>
      </c>
      <c r="AL110" s="45">
        <f t="shared" si="116"/>
        <v>0</v>
      </c>
      <c r="AV110" s="45">
        <f t="shared" si="99"/>
        <v>0</v>
      </c>
    </row>
    <row r="111" spans="3:48" x14ac:dyDescent="0.3">
      <c r="C111">
        <f>Incurred_loss!R109</f>
        <v>2025</v>
      </c>
      <c r="D111" s="45">
        <f>Incurred_loss!S109</f>
        <v>2694372.2674893877</v>
      </c>
      <c r="N111" s="48">
        <f>XL_Pure_Premium!$O111</f>
        <v>2790825.8404577342</v>
      </c>
      <c r="S111">
        <f t="shared" si="96"/>
        <v>2025</v>
      </c>
      <c r="T111" s="45">
        <f t="shared" si="114"/>
        <v>0</v>
      </c>
      <c r="AD111" s="45">
        <f t="shared" si="97"/>
        <v>0</v>
      </c>
      <c r="AK111">
        <f t="shared" si="98"/>
        <v>2025</v>
      </c>
      <c r="AL111" s="45">
        <f t="shared" si="116"/>
        <v>0</v>
      </c>
      <c r="AV111" s="45">
        <f t="shared" si="99"/>
        <v>0</v>
      </c>
    </row>
    <row r="112" spans="3:48" x14ac:dyDescent="0.3">
      <c r="C112">
        <f>Incurred_loss!R110</f>
        <v>2025</v>
      </c>
      <c r="D112" s="45">
        <f>Incurred_loss!S110</f>
        <v>23915613.781648602</v>
      </c>
      <c r="N112" s="48">
        <f>XL_Pure_Premium!$O112</f>
        <v>24771748.780811306</v>
      </c>
      <c r="S112">
        <f t="shared" si="96"/>
        <v>2025</v>
      </c>
      <c r="T112" s="45">
        <f t="shared" si="114"/>
        <v>7894004.8049282907</v>
      </c>
      <c r="AD112" s="45">
        <f t="shared" si="97"/>
        <v>8216904.9223583397</v>
      </c>
      <c r="AK112">
        <f t="shared" si="98"/>
        <v>2025</v>
      </c>
      <c r="AL112" s="45">
        <f t="shared" si="116"/>
        <v>10758939.106768118</v>
      </c>
      <c r="AV112" s="45">
        <f t="shared" si="99"/>
        <v>11076907.243547406</v>
      </c>
    </row>
    <row r="113" spans="3:48" x14ac:dyDescent="0.3">
      <c r="C113">
        <f>Incurred_loss!R111</f>
        <v>2025</v>
      </c>
      <c r="D113" s="45">
        <f>Incurred_loss!S111</f>
        <v>570181.36752894882</v>
      </c>
      <c r="N113" s="48">
        <f>XL_Pure_Premium!$O113</f>
        <v>590592.81208014663</v>
      </c>
      <c r="S113">
        <f t="shared" si="96"/>
        <v>2025</v>
      </c>
      <c r="T113" s="45">
        <f t="shared" si="114"/>
        <v>0</v>
      </c>
      <c r="AD113" s="45">
        <f t="shared" si="97"/>
        <v>0</v>
      </c>
      <c r="AK113">
        <f t="shared" si="98"/>
        <v>2025</v>
      </c>
      <c r="AL113" s="45">
        <f t="shared" si="116"/>
        <v>0</v>
      </c>
      <c r="AV113" s="45">
        <f t="shared" si="99"/>
        <v>0</v>
      </c>
    </row>
    <row r="114" spans="3:48" x14ac:dyDescent="0.3">
      <c r="C114">
        <f>Incurred_loss!R112</f>
        <v>2025</v>
      </c>
      <c r="D114" s="45">
        <f>Incurred_loss!S112</f>
        <v>1454609.2832226222</v>
      </c>
      <c r="N114" s="48">
        <f>XL_Pure_Premium!$O114</f>
        <v>1506681.6209365493</v>
      </c>
      <c r="S114">
        <f t="shared" si="96"/>
        <v>2025</v>
      </c>
      <c r="T114" s="45">
        <f t="shared" si="114"/>
        <v>0</v>
      </c>
      <c r="AD114" s="45">
        <f t="shared" si="97"/>
        <v>0</v>
      </c>
      <c r="AK114">
        <f t="shared" si="98"/>
        <v>2025</v>
      </c>
      <c r="AL114" s="45">
        <f t="shared" si="116"/>
        <v>0</v>
      </c>
      <c r="AV114" s="45">
        <f t="shared" si="99"/>
        <v>0</v>
      </c>
    </row>
    <row r="115" spans="3:48" x14ac:dyDescent="0.3">
      <c r="C115">
        <f>Incurred_loss!R113</f>
        <v>2025</v>
      </c>
      <c r="D115" s="45">
        <f>Incurred_loss!S113</f>
        <v>1479291.4671336822</v>
      </c>
      <c r="N115" s="48">
        <f>XL_Pure_Premium!$O115</f>
        <v>1532247.3816478937</v>
      </c>
      <c r="S115">
        <f t="shared" si="96"/>
        <v>2025</v>
      </c>
      <c r="T115" s="45">
        <f t="shared" si="114"/>
        <v>0</v>
      </c>
      <c r="AD115" s="45">
        <f t="shared" si="97"/>
        <v>0</v>
      </c>
      <c r="AK115">
        <f t="shared" si="98"/>
        <v>2025</v>
      </c>
      <c r="AL115" s="45">
        <f t="shared" si="116"/>
        <v>0</v>
      </c>
      <c r="AV115" s="45">
        <f t="shared" si="99"/>
        <v>0</v>
      </c>
    </row>
    <row r="116" spans="3:48" x14ac:dyDescent="0.3">
      <c r="C116">
        <f>Incurred_loss!R114</f>
        <v>2025</v>
      </c>
      <c r="D116" s="45">
        <f>Incurred_loss!S114</f>
        <v>603665.86388840724</v>
      </c>
      <c r="N116" s="48">
        <f>XL_Pure_Premium!$O116</f>
        <v>625275.99184051633</v>
      </c>
      <c r="S116">
        <f t="shared" si="96"/>
        <v>2025</v>
      </c>
      <c r="T116" s="45">
        <f t="shared" si="114"/>
        <v>0</v>
      </c>
      <c r="AD116" s="45">
        <f t="shared" si="97"/>
        <v>0</v>
      </c>
      <c r="AK116">
        <f t="shared" si="98"/>
        <v>2025</v>
      </c>
      <c r="AL116" s="45">
        <f t="shared" si="116"/>
        <v>0</v>
      </c>
      <c r="AV116" s="45">
        <f t="shared" si="99"/>
        <v>0</v>
      </c>
    </row>
    <row r="117" spans="3:48" x14ac:dyDescent="0.3">
      <c r="C117">
        <f>Incurred_loss!R115</f>
        <v>2025</v>
      </c>
      <c r="D117" s="45">
        <f>Incurred_loss!S115</f>
        <v>4900004.0420230879</v>
      </c>
      <c r="N117" s="48">
        <f>XL_Pure_Premium!$O117</f>
        <v>5075415.1769709894</v>
      </c>
      <c r="S117">
        <f t="shared" si="96"/>
        <v>2025</v>
      </c>
      <c r="T117" s="45">
        <f t="shared" si="114"/>
        <v>0</v>
      </c>
      <c r="AD117" s="45">
        <f t="shared" si="97"/>
        <v>0</v>
      </c>
      <c r="AK117">
        <f t="shared" si="98"/>
        <v>2025</v>
      </c>
      <c r="AL117" s="45">
        <f t="shared" si="116"/>
        <v>0</v>
      </c>
      <c r="AV117" s="45">
        <f t="shared" si="99"/>
        <v>0</v>
      </c>
    </row>
    <row r="118" spans="3:48" ht="15" thickBot="1" x14ac:dyDescent="0.35">
      <c r="C118">
        <f>Incurred_loss!R116</f>
        <v>2025</v>
      </c>
      <c r="D118" s="45">
        <f>Incurred_loss!S116</f>
        <v>604928.77680031373</v>
      </c>
      <c r="N118" s="48">
        <f>XL_Pure_Premium!$O118</f>
        <v>626584.1147125205</v>
      </c>
      <c r="S118">
        <f t="shared" si="96"/>
        <v>2025</v>
      </c>
      <c r="T118" s="45">
        <f t="shared" si="114"/>
        <v>0</v>
      </c>
      <c r="AD118" s="45">
        <f t="shared" si="97"/>
        <v>0</v>
      </c>
      <c r="AK118">
        <f t="shared" si="98"/>
        <v>2025</v>
      </c>
      <c r="AL118" s="45">
        <f>MIN(MAX(D118-VLOOKUP($AK118+AL$4-1,$AH$5:$AJ$25,2,FALSE),0),VLOOKUP($AK118+AL$4-1,$AH$5:$AJ$25,3,FALSE))</f>
        <v>0</v>
      </c>
      <c r="AV118" s="45">
        <f t="shared" si="99"/>
        <v>0</v>
      </c>
    </row>
    <row r="119" spans="3:48" ht="15" thickBot="1" x14ac:dyDescent="0.35">
      <c r="D119" s="45"/>
      <c r="S119" s="70" t="s">
        <v>78</v>
      </c>
      <c r="T119" s="71">
        <f>SUM(T5:T118)/SUM($AD$5:$AD$118)</f>
        <v>1.5641862098051968</v>
      </c>
      <c r="U119" s="71">
        <f>SUM(U5:U109)/SUM($AD$5:$AD$109)</f>
        <v>1.2495279551359653</v>
      </c>
      <c r="V119" s="71">
        <f>SUM(V5:V96)/SUM($AD$5:$AD$96)</f>
        <v>1.1995323694675399</v>
      </c>
      <c r="W119" s="71">
        <f>SUM(W5:W80)/SUM($AD$5:$AD$80)</f>
        <v>1.1913050529555163</v>
      </c>
      <c r="X119" s="71">
        <f>SUM(X5:X74)/SUM($AD$5:$AD$74)</f>
        <v>1.2203921593929943</v>
      </c>
      <c r="Y119" s="71">
        <f>SUM(Y5:Y64)/SUM($AD$5:$AD$64)</f>
        <v>1.0675252762582754</v>
      </c>
      <c r="Z119" s="71">
        <f>SUM(Z5:Z58)/SUM($AD$5:$AD$58)</f>
        <v>1.0723383055126141</v>
      </c>
      <c r="AA119" s="71">
        <f>SUM(AA5:AA43)/SUM($AD$5:$AD$43)</f>
        <v>1.0700892352851077</v>
      </c>
      <c r="AB119" s="71">
        <f>SUM(AB4:AB32)/SUM($AD$1:$AD$32)</f>
        <v>1.0706371773506262</v>
      </c>
      <c r="AC119" s="71">
        <f>SUM(AC5:AC19)/SUM($AD$5:$AD$19)</f>
        <v>1.0293033681453767</v>
      </c>
      <c r="AK119" s="70" t="s">
        <v>78</v>
      </c>
      <c r="AL119" s="71">
        <f>SUM(AL5:AL118)/SUM($AV$5:$AV$118)</f>
        <v>0.84232231232397203</v>
      </c>
      <c r="AM119" s="71">
        <f>SUM(AM5:AM109)/SUM($AV$5:$AV$109)</f>
        <v>0.60499643428947569</v>
      </c>
      <c r="AN119" s="71">
        <f>SUM(AN5:AN96)/SUM($AV$5:$AV$96)</f>
        <v>2.9662318024378651</v>
      </c>
      <c r="AO119" s="71">
        <f>SUM(AO5:AO80)/SUM($AV$5:$AV$80)</f>
        <v>2.7812504438146655</v>
      </c>
      <c r="AP119" s="71" t="e">
        <f>SUM(AP5:AP74)/SUM($AV$5:$AV$74)</f>
        <v>#DIV/0!</v>
      </c>
      <c r="AQ119" s="71" t="e">
        <f>SUM(AQ4:AQ64)/SUM($AV$1:$AV$64)</f>
        <v>#DIV/0!</v>
      </c>
      <c r="AR119" s="71" t="e">
        <f>SUM(AR4:AR58)/SUM($AV$1:$AV$58)</f>
        <v>#DIV/0!</v>
      </c>
      <c r="AS119" s="71" t="e">
        <f>SUM(AS4:AS43)/SUM($AV$1:$AV$43)</f>
        <v>#DIV/0!</v>
      </c>
      <c r="AT119" s="71" t="e">
        <f>SUM(AT4:AT32)/SUM($AV$1:$AV$32)</f>
        <v>#DIV/0!</v>
      </c>
      <c r="AU119" s="71" t="e">
        <f>SUM(AU4:AU19)/SUM($AV$1:$AV$19)</f>
        <v>#DIV/0!</v>
      </c>
    </row>
    <row r="120" spans="3:48" ht="15" thickBot="1" x14ac:dyDescent="0.35">
      <c r="C120" s="70" t="s">
        <v>78</v>
      </c>
      <c r="D120" s="71">
        <f>SUM(D5:D118)/SUM($N$5:$N$118)</f>
        <v>0.98688737361822976</v>
      </c>
      <c r="E120" s="71">
        <f>SUM(E1:E108)/SUM($N$1:$N$108)</f>
        <v>1.0019181893001279</v>
      </c>
      <c r="F120" s="71">
        <f>SUM(F1:F96)/SUM($N$5:$N$96)</f>
        <v>1.0231447359795975</v>
      </c>
      <c r="G120" s="71">
        <f>SUM(G1:G80)/SUM($N$5:$N$80)</f>
        <v>1.0142583228953383</v>
      </c>
      <c r="H120" s="71">
        <f>SUM(H1:H74)/SUM($N$5:$N$74)</f>
        <v>1.0089140202397917</v>
      </c>
      <c r="I120" s="71">
        <f>SUM(I1:I64)/SUM($N$5:$N$64)</f>
        <v>1.0024322962823196</v>
      </c>
      <c r="J120" s="71">
        <f>SUM(J1:J58)/SUM($N$5:$N$58)</f>
        <v>0.99980265835786197</v>
      </c>
      <c r="K120" s="71">
        <f>SUM(K1:K43)/SUM($N$5:$N$43)</f>
        <v>0.99883420278919866</v>
      </c>
      <c r="L120" s="71">
        <f>SUM(L1:L32)/SUM($N$5:$N$32)</f>
        <v>1.0003144860504187</v>
      </c>
      <c r="M120" s="72">
        <f>SUM(M1:M19)/SUM($N$5:$N$19)</f>
        <v>1.0000002211753374</v>
      </c>
    </row>
    <row r="121" spans="3:48" ht="15" thickBot="1" x14ac:dyDescent="0.35">
      <c r="S121" s="95" t="s">
        <v>83</v>
      </c>
      <c r="T121" s="96"/>
      <c r="U121" s="96"/>
      <c r="V121" s="96"/>
      <c r="AK121" s="95" t="s">
        <v>87</v>
      </c>
      <c r="AL121" s="96"/>
      <c r="AM121" s="96"/>
      <c r="AN121" s="96"/>
    </row>
    <row r="122" spans="3:48" x14ac:dyDescent="0.3">
      <c r="S122" t="s">
        <v>34</v>
      </c>
      <c r="T122" s="45">
        <f>6000000</f>
        <v>6000000</v>
      </c>
      <c r="U122" t="s">
        <v>82</v>
      </c>
      <c r="V122" s="45">
        <v>4000000</v>
      </c>
      <c r="AK122" t="s">
        <v>87</v>
      </c>
      <c r="AL122" s="45">
        <f>20000000</f>
        <v>20000000</v>
      </c>
      <c r="AM122" t="s">
        <v>82</v>
      </c>
      <c r="AN122" s="45">
        <v>10000000</v>
      </c>
    </row>
    <row r="123" spans="3:48" x14ac:dyDescent="0.3">
      <c r="S123" t="s">
        <v>84</v>
      </c>
      <c r="T123" s="45">
        <f>Stability_Clause!L123</f>
        <v>2849365.0094803409</v>
      </c>
      <c r="AK123" t="s">
        <v>84</v>
      </c>
      <c r="AL123" s="45">
        <f>Stability_Clause!M123</f>
        <v>969008.48054576898</v>
      </c>
    </row>
    <row r="124" spans="3:48" x14ac:dyDescent="0.3">
      <c r="S124" t="s">
        <v>85</v>
      </c>
      <c r="T124" s="45">
        <f>T$119*$T$123</f>
        <v>4456937.4545306033</v>
      </c>
      <c r="U124" s="45">
        <f>U$119*$T$123</f>
        <v>3560361.2337319404</v>
      </c>
      <c r="V124" s="45">
        <f t="shared" ref="V124:AB124" si="119">V$119*$T$123</f>
        <v>3417905.5612998526</v>
      </c>
      <c r="W124" s="45">
        <f t="shared" si="119"/>
        <v>3394462.9335085726</v>
      </c>
      <c r="X124" s="45">
        <f t="shared" si="119"/>
        <v>3477342.7168185529</v>
      </c>
      <c r="Y124" s="45">
        <f t="shared" si="119"/>
        <v>3041769.1689061644</v>
      </c>
      <c r="Z124" s="45">
        <f t="shared" si="119"/>
        <v>3055483.2460530824</v>
      </c>
      <c r="AA124" s="45">
        <f t="shared" si="119"/>
        <v>3049074.8240429615</v>
      </c>
      <c r="AB124" s="45">
        <f t="shared" si="119"/>
        <v>3050636.1109916726</v>
      </c>
      <c r="AC124" s="45">
        <f>AC$119*$T$123</f>
        <v>2932861.0013336982</v>
      </c>
      <c r="AK124" t="s">
        <v>85</v>
      </c>
      <c r="AL124" s="45">
        <f>AL$119*$AL$123</f>
        <v>816217.46399485075</v>
      </c>
      <c r="AM124" s="45">
        <f t="shared" ref="AM124:AU124" si="120">AM$119*$AL$123</f>
        <v>586246.67552645307</v>
      </c>
      <c r="AN124" s="45">
        <f t="shared" si="120"/>
        <v>2874303.771826853</v>
      </c>
      <c r="AO124" s="45">
        <f t="shared" si="120"/>
        <v>2695055.2665780946</v>
      </c>
      <c r="AP124" s="45" t="e">
        <f t="shared" si="120"/>
        <v>#DIV/0!</v>
      </c>
      <c r="AQ124" s="45" t="e">
        <f t="shared" si="120"/>
        <v>#DIV/0!</v>
      </c>
      <c r="AR124" s="45" t="e">
        <f t="shared" si="120"/>
        <v>#DIV/0!</v>
      </c>
      <c r="AS124" s="45" t="e">
        <f t="shared" si="120"/>
        <v>#DIV/0!</v>
      </c>
      <c r="AT124" s="45" t="e">
        <f t="shared" si="120"/>
        <v>#DIV/0!</v>
      </c>
      <c r="AU124" s="45" t="e">
        <f t="shared" si="120"/>
        <v>#DIV/0!</v>
      </c>
    </row>
    <row r="125" spans="3:48" x14ac:dyDescent="0.3">
      <c r="S125" t="s">
        <v>86</v>
      </c>
      <c r="T125" s="45">
        <f>$T$123-T$124</f>
        <v>-1607572.4450502624</v>
      </c>
      <c r="U125" s="45">
        <f>$T$123-U$124</f>
        <v>-710996.22425159952</v>
      </c>
      <c r="V125" s="45">
        <f t="shared" ref="V125:AC125" si="121">$T$123-V$124</f>
        <v>-568540.55181951169</v>
      </c>
      <c r="W125" s="45">
        <f t="shared" si="121"/>
        <v>-545097.92402823176</v>
      </c>
      <c r="X125" s="45">
        <f t="shared" si="121"/>
        <v>-627977.70733821206</v>
      </c>
      <c r="Y125" s="45">
        <f t="shared" si="121"/>
        <v>-192404.15942582348</v>
      </c>
      <c r="Z125" s="45">
        <f t="shared" si="121"/>
        <v>-206118.23657274153</v>
      </c>
      <c r="AA125" s="45">
        <f t="shared" si="121"/>
        <v>-199709.8145626206</v>
      </c>
      <c r="AB125" s="45">
        <f t="shared" si="121"/>
        <v>-201271.10151133174</v>
      </c>
      <c r="AC125" s="45">
        <f t="shared" si="121"/>
        <v>-83495.991853357293</v>
      </c>
      <c r="AK125" t="s">
        <v>86</v>
      </c>
      <c r="AL125" s="45">
        <f>$AL$123-AL$124</f>
        <v>152791.01655091823</v>
      </c>
      <c r="AM125" s="45">
        <f t="shared" ref="AM125:AU125" si="122">$AL$123-AM$124</f>
        <v>382761.80501931591</v>
      </c>
      <c r="AN125" s="45">
        <f t="shared" si="122"/>
        <v>-1905295.2912810841</v>
      </c>
      <c r="AO125" s="45">
        <f t="shared" si="122"/>
        <v>-1726046.7860323256</v>
      </c>
      <c r="AP125" s="45" t="e">
        <f t="shared" si="122"/>
        <v>#DIV/0!</v>
      </c>
      <c r="AQ125" s="45" t="e">
        <f t="shared" si="122"/>
        <v>#DIV/0!</v>
      </c>
      <c r="AR125" s="45" t="e">
        <f t="shared" si="122"/>
        <v>#DIV/0!</v>
      </c>
      <c r="AS125" s="45" t="e">
        <f t="shared" si="122"/>
        <v>#DIV/0!</v>
      </c>
      <c r="AT125" s="45" t="e">
        <f t="shared" si="122"/>
        <v>#DIV/0!</v>
      </c>
      <c r="AU125" s="45" t="e">
        <f t="shared" si="122"/>
        <v>#DIV/0!</v>
      </c>
    </row>
    <row r="128" spans="3:48" x14ac:dyDescent="0.3">
      <c r="S128" t="s">
        <v>112</v>
      </c>
      <c r="T128">
        <f>T$4*T$125/SUM($T$125:$AC$125)</f>
        <v>0.3252099040179327</v>
      </c>
      <c r="U128">
        <f t="shared" ref="U128:AC128" si="123">U$4*U$125/SUM($T$125:$AC$125)</f>
        <v>0.28766730178526517</v>
      </c>
      <c r="V128">
        <f t="shared" si="123"/>
        <v>0.34504513720079028</v>
      </c>
      <c r="W128">
        <f t="shared" si="123"/>
        <v>0.44109052528093823</v>
      </c>
      <c r="X128">
        <f t="shared" si="123"/>
        <v>0.63519554144409363</v>
      </c>
      <c r="Y128">
        <f t="shared" si="123"/>
        <v>0.23353873131695799</v>
      </c>
      <c r="Z128">
        <f t="shared" si="123"/>
        <v>0.29188223832145682</v>
      </c>
      <c r="AA128">
        <f t="shared" si="123"/>
        <v>0.32320837459150814</v>
      </c>
      <c r="AB128">
        <f t="shared" si="123"/>
        <v>0.36645203906710117</v>
      </c>
      <c r="AC128">
        <f t="shared" si="123"/>
        <v>0.16891135189657613</v>
      </c>
      <c r="AK128" t="s">
        <v>112</v>
      </c>
      <c r="AL128" t="e">
        <f>AL$4*AL$125/SUM($AL$125:$AU$125)</f>
        <v>#DIV/0!</v>
      </c>
      <c r="AM128" t="e">
        <f t="shared" ref="AM128:AU128" si="124">AM$4*AM$125/SUM($AL$125:$AU$125)</f>
        <v>#DIV/0!</v>
      </c>
      <c r="AN128" t="e">
        <f t="shared" si="124"/>
        <v>#DIV/0!</v>
      </c>
      <c r="AO128" t="e">
        <f t="shared" si="124"/>
        <v>#DIV/0!</v>
      </c>
      <c r="AP128" t="e">
        <f t="shared" si="124"/>
        <v>#DIV/0!</v>
      </c>
      <c r="AQ128" t="e">
        <f t="shared" si="124"/>
        <v>#DIV/0!</v>
      </c>
      <c r="AR128" t="e">
        <f t="shared" si="124"/>
        <v>#DIV/0!</v>
      </c>
      <c r="AS128" t="e">
        <f t="shared" si="124"/>
        <v>#DIV/0!</v>
      </c>
      <c r="AT128" t="e">
        <f t="shared" si="124"/>
        <v>#DIV/0!</v>
      </c>
      <c r="AU128" t="e">
        <f t="shared" si="124"/>
        <v>#DIV/0!</v>
      </c>
    </row>
    <row r="130" spans="19:38" x14ac:dyDescent="0.3">
      <c r="S130" t="s">
        <v>113</v>
      </c>
      <c r="T130">
        <f>SUM(T128:AC128)</f>
        <v>3.4182011449226204</v>
      </c>
      <c r="AK130" t="s">
        <v>113</v>
      </c>
      <c r="AL130" t="e">
        <f>SUM(AL128:AU128)</f>
        <v>#DIV/0!</v>
      </c>
    </row>
    <row r="132" spans="19:38" x14ac:dyDescent="0.3">
      <c r="AK132" s="34" t="s">
        <v>139</v>
      </c>
    </row>
  </sheetData>
  <mergeCells count="5">
    <mergeCell ref="A3:B3"/>
    <mergeCell ref="Q3:R3"/>
    <mergeCell ref="AI3:AJ3"/>
    <mergeCell ref="S121:V121"/>
    <mergeCell ref="AK121:AN12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B598F-13DC-492C-B1B5-A801C5E10FEE}">
  <dimension ref="A1:AG42"/>
  <sheetViews>
    <sheetView topLeftCell="A7" zoomScale="71" workbookViewId="0">
      <selection activeCell="D37" sqref="D37"/>
    </sheetView>
  </sheetViews>
  <sheetFormatPr baseColWidth="10" defaultRowHeight="14.4" x14ac:dyDescent="0.3"/>
  <cols>
    <col min="1" max="1" width="24.21875" bestFit="1" customWidth="1"/>
    <col min="2" max="2" width="13.88671875" bestFit="1" customWidth="1"/>
    <col min="3" max="3" width="23.21875" bestFit="1" customWidth="1"/>
    <col min="4" max="4" width="16.44140625" bestFit="1" customWidth="1"/>
    <col min="5" max="5" width="13.88671875" bestFit="1" customWidth="1"/>
    <col min="6" max="8" width="13" bestFit="1" customWidth="1"/>
    <col min="9" max="9" width="12.88671875" bestFit="1" customWidth="1"/>
    <col min="10" max="11" width="11.88671875" bestFit="1" customWidth="1"/>
    <col min="21" max="21" width="21.77734375" bestFit="1" customWidth="1"/>
    <col min="22" max="22" width="17.21875" bestFit="1" customWidth="1"/>
    <col min="23" max="23" width="12.88671875" bestFit="1" customWidth="1"/>
    <col min="24" max="24" width="12.44140625" bestFit="1" customWidth="1"/>
    <col min="25" max="25" width="12.88671875" bestFit="1" customWidth="1"/>
    <col min="26" max="26" width="12.44140625" bestFit="1" customWidth="1"/>
    <col min="27" max="27" width="12.21875" customWidth="1"/>
    <col min="28" max="28" width="12.88671875" bestFit="1" customWidth="1"/>
    <col min="29" max="30" width="10.33203125" bestFit="1" customWidth="1"/>
    <col min="31" max="31" width="9" bestFit="1" customWidth="1"/>
  </cols>
  <sheetData>
    <row r="1" spans="1:33" x14ac:dyDescent="0.3">
      <c r="A1" s="34" t="s">
        <v>89</v>
      </c>
    </row>
    <row r="3" spans="1:33" x14ac:dyDescent="0.3">
      <c r="A3" s="87" t="s">
        <v>90</v>
      </c>
      <c r="B3" s="87"/>
      <c r="C3" s="87"/>
      <c r="D3" s="87"/>
      <c r="E3" s="87"/>
      <c r="S3" s="87" t="s">
        <v>90</v>
      </c>
      <c r="T3" s="87"/>
      <c r="U3" s="87"/>
      <c r="V3" s="87"/>
      <c r="W3" s="87"/>
    </row>
    <row r="5" spans="1:33" x14ac:dyDescent="0.3">
      <c r="A5" s="26" t="s">
        <v>91</v>
      </c>
      <c r="B5" s="76">
        <v>0.1</v>
      </c>
      <c r="S5" s="26" t="s">
        <v>91</v>
      </c>
      <c r="T5" s="76">
        <v>0.1</v>
      </c>
    </row>
    <row r="6" spans="1:33" x14ac:dyDescent="0.3">
      <c r="A6" s="26" t="s">
        <v>92</v>
      </c>
      <c r="B6" s="76">
        <v>0.05</v>
      </c>
      <c r="N6" s="33" t="s">
        <v>98</v>
      </c>
      <c r="S6" s="26" t="s">
        <v>92</v>
      </c>
      <c r="T6" s="76">
        <v>0.05</v>
      </c>
      <c r="AF6" s="33" t="s">
        <v>98</v>
      </c>
    </row>
    <row r="7" spans="1:33" x14ac:dyDescent="0.3">
      <c r="A7" s="26" t="s">
        <v>93</v>
      </c>
      <c r="B7" s="76">
        <v>0.6</v>
      </c>
      <c r="C7" s="26" t="s">
        <v>94</v>
      </c>
      <c r="D7" s="45">
        <f>$B$7*Stability_Patterns!$T$123</f>
        <v>1709619.0056882044</v>
      </c>
      <c r="E7" s="45">
        <f>0</f>
        <v>0</v>
      </c>
      <c r="F7" s="45">
        <f>0</f>
        <v>0</v>
      </c>
      <c r="G7" s="45">
        <f>0</f>
        <v>0</v>
      </c>
      <c r="H7" s="45">
        <f>0</f>
        <v>0</v>
      </c>
      <c r="I7" s="45">
        <f>0</f>
        <v>0</v>
      </c>
      <c r="J7" s="45">
        <f>0</f>
        <v>0</v>
      </c>
      <c r="K7" s="45">
        <f>0</f>
        <v>0</v>
      </c>
      <c r="L7" s="45">
        <f>0</f>
        <v>0</v>
      </c>
      <c r="M7" s="45">
        <f>0</f>
        <v>0</v>
      </c>
      <c r="N7" s="45">
        <f>SUM(D7:M7)</f>
        <v>1709619.0056882044</v>
      </c>
      <c r="O7" s="33" t="s">
        <v>111</v>
      </c>
      <c r="S7" s="26" t="s">
        <v>93</v>
      </c>
      <c r="T7" s="76">
        <v>0.6</v>
      </c>
      <c r="U7" s="26" t="s">
        <v>94</v>
      </c>
      <c r="V7" s="45">
        <f>$B$7*Stability_Patterns!AL123</f>
        <v>581405.08832746139</v>
      </c>
      <c r="W7" s="45">
        <f>0</f>
        <v>0</v>
      </c>
      <c r="X7" s="45">
        <f>0</f>
        <v>0</v>
      </c>
      <c r="Y7" s="45">
        <f>0</f>
        <v>0</v>
      </c>
      <c r="Z7" s="45">
        <f>0</f>
        <v>0</v>
      </c>
      <c r="AA7" s="45">
        <f>0</f>
        <v>0</v>
      </c>
      <c r="AB7" s="45">
        <f>0</f>
        <v>0</v>
      </c>
      <c r="AC7" s="45">
        <f>0</f>
        <v>0</v>
      </c>
      <c r="AD7" s="45">
        <f>0</f>
        <v>0</v>
      </c>
      <c r="AE7" s="45">
        <f>0</f>
        <v>0</v>
      </c>
      <c r="AF7" s="45">
        <f>SUM(V7:AE7)</f>
        <v>581405.08832746139</v>
      </c>
      <c r="AG7" s="33" t="s">
        <v>111</v>
      </c>
    </row>
    <row r="8" spans="1:33" x14ac:dyDescent="0.3">
      <c r="B8" s="76">
        <v>0.2</v>
      </c>
      <c r="C8" s="26" t="s">
        <v>95</v>
      </c>
      <c r="D8" s="45">
        <f>$B$8*Stability_Patterns!T$125</f>
        <v>-321514.48901005252</v>
      </c>
      <c r="E8" s="45">
        <f>$B$8*Stability_Patterns!U$125</f>
        <v>-142199.2448503199</v>
      </c>
      <c r="F8" s="45">
        <f>$B$8*Stability_Patterns!V$125</f>
        <v>-113708.11036390235</v>
      </c>
      <c r="G8" s="45">
        <f>$B$8*Stability_Patterns!W$125</f>
        <v>-109019.58480564636</v>
      </c>
      <c r="H8" s="45">
        <f>$B$8*Stability_Patterns!X$125</f>
        <v>-125595.54146764241</v>
      </c>
      <c r="I8" s="45">
        <f>$B$8*Stability_Patterns!Y$125</f>
        <v>-38480.831885164698</v>
      </c>
      <c r="J8" s="45">
        <f>$B$8*Stability_Patterns!Z$125</f>
        <v>-41223.647314548311</v>
      </c>
      <c r="K8" s="45">
        <f>$B$8*Stability_Patterns!AA$125</f>
        <v>-39941.962912524119</v>
      </c>
      <c r="L8" s="45">
        <f>$B$8*Stability_Patterns!AB$125</f>
        <v>-40254.220302266353</v>
      </c>
      <c r="M8" s="45">
        <f>$B$8*Stability_Patterns!AC$125</f>
        <v>-16699.19837067146</v>
      </c>
      <c r="N8" s="45">
        <f>SUM(D8:M8)</f>
        <v>-988636.83128273848</v>
      </c>
      <c r="O8" s="45">
        <f>B5*(N7+N8)</f>
        <v>72098.217440546592</v>
      </c>
      <c r="T8" s="76">
        <v>0.2</v>
      </c>
      <c r="U8" s="26" t="s">
        <v>95</v>
      </c>
      <c r="V8" s="45">
        <f>$B$8*Stability_Patterns!AL$125</f>
        <v>30558.203310183646</v>
      </c>
      <c r="W8" s="45">
        <f>$B$8*Stability_Patterns!AM$125</f>
        <v>76552.361003863189</v>
      </c>
      <c r="X8" s="45">
        <f>$B$8*Stability_Patterns!AN$125</f>
        <v>-381059.05825621681</v>
      </c>
      <c r="Y8" s="45">
        <f>$B$8*Stability_Patterns!AO$125</f>
        <v>-345209.35720646515</v>
      </c>
      <c r="Z8" s="45" t="e">
        <f>$B$8*Stability_Patterns!AP$125</f>
        <v>#DIV/0!</v>
      </c>
      <c r="AA8" s="45" t="e">
        <f>$B$8*Stability_Patterns!AQ$125</f>
        <v>#DIV/0!</v>
      </c>
      <c r="AB8" s="45" t="e">
        <f>$B$8*Stability_Patterns!AR$125</f>
        <v>#DIV/0!</v>
      </c>
      <c r="AC8" s="45" t="e">
        <f>$B$8*Stability_Patterns!AS$125</f>
        <v>#DIV/0!</v>
      </c>
      <c r="AD8" s="45" t="e">
        <f>$B$8*Stability_Patterns!AT$125</f>
        <v>#DIV/0!</v>
      </c>
      <c r="AE8" s="45" t="e">
        <f>$B$8*Stability_Patterns!AU$125</f>
        <v>#DIV/0!</v>
      </c>
      <c r="AF8" s="45" t="e">
        <f>SUM(V8:AE8)</f>
        <v>#DIV/0!</v>
      </c>
      <c r="AG8" s="45" t="e">
        <f>T5*(AF7+AF8)</f>
        <v>#DIV/0!</v>
      </c>
    </row>
    <row r="9" spans="1:33" x14ac:dyDescent="0.3">
      <c r="A9" s="26" t="s">
        <v>96</v>
      </c>
      <c r="B9" s="76">
        <v>0.03</v>
      </c>
      <c r="S9" s="26" t="s">
        <v>96</v>
      </c>
      <c r="T9" s="76">
        <v>0.03</v>
      </c>
    </row>
    <row r="10" spans="1:33" x14ac:dyDescent="0.3">
      <c r="A10" s="26" t="s">
        <v>110</v>
      </c>
      <c r="B10" s="76">
        <v>0.06</v>
      </c>
      <c r="C10" t="s">
        <v>94</v>
      </c>
      <c r="D10" s="47"/>
      <c r="S10" s="26" t="s">
        <v>110</v>
      </c>
      <c r="T10" s="76">
        <v>0.06</v>
      </c>
      <c r="U10" t="s">
        <v>94</v>
      </c>
      <c r="V10" s="47"/>
    </row>
    <row r="12" spans="1:33" x14ac:dyDescent="0.3">
      <c r="A12" s="26"/>
      <c r="B12" s="76"/>
      <c r="D12" s="39" t="s">
        <v>97</v>
      </c>
      <c r="S12" s="26"/>
      <c r="T12" s="76"/>
      <c r="V12" s="39" t="s">
        <v>97</v>
      </c>
    </row>
    <row r="13" spans="1:33" ht="15" thickBot="1" x14ac:dyDescent="0.35">
      <c r="D13" s="39">
        <v>0.5</v>
      </c>
      <c r="E13" s="77">
        <f>D13+1</f>
        <v>1.5</v>
      </c>
      <c r="F13" s="77">
        <f>E13+1</f>
        <v>2.5</v>
      </c>
      <c r="G13" s="77">
        <f>F13+1</f>
        <v>3.5</v>
      </c>
      <c r="H13" s="77">
        <f>G13+1</f>
        <v>4.5</v>
      </c>
      <c r="I13" s="78">
        <f>H13+1</f>
        <v>5.5</v>
      </c>
      <c r="J13" s="78">
        <v>6.5</v>
      </c>
      <c r="K13" s="78">
        <f t="shared" ref="K13:M13" si="0">J13+1</f>
        <v>7.5</v>
      </c>
      <c r="L13" s="78">
        <f>K13+1</f>
        <v>8.5</v>
      </c>
      <c r="M13" s="78">
        <f t="shared" si="0"/>
        <v>9.5</v>
      </c>
      <c r="V13" s="39">
        <v>0.5</v>
      </c>
      <c r="W13" s="77">
        <f>V13+1</f>
        <v>1.5</v>
      </c>
      <c r="X13" s="77">
        <f>W13+1</f>
        <v>2.5</v>
      </c>
      <c r="Y13" s="77">
        <f>X13+1</f>
        <v>3.5</v>
      </c>
      <c r="Z13" s="77">
        <f>Y13+1</f>
        <v>4.5</v>
      </c>
      <c r="AA13" s="78">
        <f>Z13+1</f>
        <v>5.5</v>
      </c>
      <c r="AB13" s="78">
        <v>6.5</v>
      </c>
      <c r="AC13" s="78">
        <f t="shared" ref="AC13" si="1">AB13+1</f>
        <v>7.5</v>
      </c>
      <c r="AD13" s="78">
        <f>AC13+1</f>
        <v>8.5</v>
      </c>
      <c r="AE13" s="78">
        <f t="shared" ref="AE13" si="2">AD13+1</f>
        <v>9.5</v>
      </c>
    </row>
    <row r="14" spans="1:33" ht="15" thickBot="1" x14ac:dyDescent="0.35">
      <c r="A14" s="26" t="s">
        <v>99</v>
      </c>
      <c r="C14" s="26" t="s">
        <v>100</v>
      </c>
      <c r="D14" s="79">
        <v>3758358.1718580094</v>
      </c>
      <c r="E14" s="64"/>
      <c r="F14" s="64"/>
      <c r="G14" s="64"/>
      <c r="H14" s="64"/>
      <c r="I14" s="64"/>
      <c r="S14" s="26" t="s">
        <v>99</v>
      </c>
      <c r="U14" s="26" t="s">
        <v>100</v>
      </c>
      <c r="V14" s="79" t="e">
        <f>(Stability_Patterns!AL123+Stability_Com_Premium!AG8)/(1-T6-T10+T9*Stability_Patterns!AL130)</f>
        <v>#DIV/0!</v>
      </c>
      <c r="W14" s="64"/>
      <c r="X14" s="64"/>
      <c r="Y14" s="64"/>
      <c r="Z14" s="64"/>
      <c r="AA14" s="64"/>
    </row>
    <row r="15" spans="1:33" x14ac:dyDescent="0.3">
      <c r="C15" s="26" t="s">
        <v>101</v>
      </c>
      <c r="D15" s="64">
        <f>-Stability_Patterns!T124</f>
        <v>-4456937.4545306033</v>
      </c>
      <c r="E15" s="64">
        <f>-(Stability_Patterns!U$124-Stability_Patterns!T$124)</f>
        <v>896576.22079866286</v>
      </c>
      <c r="F15" s="64">
        <f>-(Stability_Patterns!V$124-Stability_Patterns!U$124)</f>
        <v>142455.67243208783</v>
      </c>
      <c r="G15" s="64">
        <f>-(Stability_Patterns!W$124-Stability_Patterns!V$124)</f>
        <v>23442.627791279927</v>
      </c>
      <c r="H15" s="64">
        <f>-(Stability_Patterns!X$124-Stability_Patterns!W$124)</f>
        <v>-82879.783309980296</v>
      </c>
      <c r="I15" s="64">
        <f>-(Stability_Patterns!Y$124-Stability_Patterns!X$124)</f>
        <v>435573.54791238857</v>
      </c>
      <c r="J15" s="64">
        <f>-(Stability_Patterns!Z$124-Stability_Patterns!Y$124)</f>
        <v>-13714.077146918047</v>
      </c>
      <c r="K15" s="64">
        <f>-(Stability_Patterns!AA$124-Stability_Patterns!Z$124)</f>
        <v>6408.4220101209357</v>
      </c>
      <c r="L15" s="64">
        <f>-(Stability_Patterns!AB$124-Stability_Patterns!AA$124)</f>
        <v>-1561.2869487111457</v>
      </c>
      <c r="M15" s="64">
        <f>-(Stability_Patterns!AC$124-Stability_Patterns!AB$124)</f>
        <v>117775.10965797445</v>
      </c>
      <c r="U15" s="26" t="s">
        <v>101</v>
      </c>
      <c r="V15" s="64">
        <f>-Stability_Patterns!AL124</f>
        <v>-816217.46399485075</v>
      </c>
      <c r="W15" s="64">
        <f>-(Stability_Patterns!AM$124-Stability_Patterns!AL$124)</f>
        <v>229970.78846839769</v>
      </c>
      <c r="X15" s="64">
        <f>-(Stability_Patterns!AN$124-Stability_Patterns!AM$124)</f>
        <v>-2288057.0963003999</v>
      </c>
      <c r="Y15" s="64">
        <f>-(Stability_Patterns!AO$124-Stability_Patterns!AN$124)</f>
        <v>179248.50524875848</v>
      </c>
      <c r="Z15" s="64" t="e">
        <f>-(Stability_Patterns!AP$124-Stability_Patterns!AO$124)</f>
        <v>#DIV/0!</v>
      </c>
      <c r="AA15" s="64" t="e">
        <f>-(Stability_Patterns!AQ$124-Stability_Patterns!AP$124)</f>
        <v>#DIV/0!</v>
      </c>
      <c r="AB15" s="64" t="e">
        <f>-(Stability_Patterns!AR$124-Stability_Patterns!AQ$124)</f>
        <v>#DIV/0!</v>
      </c>
      <c r="AC15" s="64" t="e">
        <f>-(Stability_Patterns!AS$124-Stability_Patterns!AR$124)</f>
        <v>#DIV/0!</v>
      </c>
      <c r="AD15" s="64" t="e">
        <f>-(Stability_Patterns!AT$124-Stability_Patterns!AS$124)</f>
        <v>#DIV/0!</v>
      </c>
      <c r="AE15" s="64" t="e">
        <f>-(Stability_Patterns!AU$124-Stability_Patterns!AT$124)</f>
        <v>#DIV/0!</v>
      </c>
    </row>
    <row r="16" spans="1:33" x14ac:dyDescent="0.3">
      <c r="C16" s="26" t="s">
        <v>91</v>
      </c>
      <c r="D16" s="64">
        <f>-D14*B5</f>
        <v>-375835.81718580099</v>
      </c>
      <c r="E16" s="64"/>
      <c r="F16" s="64"/>
      <c r="G16" s="64"/>
      <c r="H16" s="64"/>
      <c r="I16" s="64"/>
      <c r="U16" s="26" t="s">
        <v>91</v>
      </c>
      <c r="V16" s="64" t="e">
        <f>-AG8</f>
        <v>#DIV/0!</v>
      </c>
      <c r="W16" s="64"/>
      <c r="X16" s="64"/>
      <c r="Y16" s="64"/>
      <c r="Z16" s="64"/>
      <c r="AA16" s="64"/>
    </row>
    <row r="17" spans="1:33" x14ac:dyDescent="0.3">
      <c r="C17" s="26" t="s">
        <v>114</v>
      </c>
      <c r="D17" s="64">
        <f>-(B6+B10)*D14</f>
        <v>-413419.39890438103</v>
      </c>
      <c r="E17" s="64"/>
      <c r="F17" s="64"/>
      <c r="G17" s="64"/>
      <c r="H17" s="64"/>
      <c r="I17" s="64"/>
      <c r="U17" s="26" t="s">
        <v>114</v>
      </c>
      <c r="V17" s="64" t="e">
        <f>-(T6+T10)*V14</f>
        <v>#DIV/0!</v>
      </c>
      <c r="W17" s="64"/>
      <c r="X17" s="64"/>
      <c r="Y17" s="64"/>
      <c r="Z17" s="64"/>
      <c r="AA17" s="64"/>
    </row>
    <row r="18" spans="1:33" x14ac:dyDescent="0.3">
      <c r="C18" s="26" t="s">
        <v>102</v>
      </c>
      <c r="D18" s="64">
        <f>-D29</f>
        <v>1607572.4450502624</v>
      </c>
      <c r="E18" s="64">
        <f>-(E29-D29)</f>
        <v>-896576.22079866286</v>
      </c>
      <c r="F18" s="64">
        <f>-(F29-E29)</f>
        <v>-142455.67243208783</v>
      </c>
      <c r="G18" s="64">
        <f>-(G29-F29)</f>
        <v>-23442.627791279927</v>
      </c>
      <c r="H18" s="64">
        <f>-(H29-G29)</f>
        <v>82879.783309980296</v>
      </c>
      <c r="I18" s="64">
        <f>-(I29-H29)</f>
        <v>-435573.54791238857</v>
      </c>
      <c r="J18" s="64">
        <f t="shared" ref="J18:M18" si="3">-(J29-I29)</f>
        <v>13714.077146918047</v>
      </c>
      <c r="K18" s="64">
        <f t="shared" si="3"/>
        <v>-6408.4220101209357</v>
      </c>
      <c r="L18" s="64">
        <f t="shared" si="3"/>
        <v>1561.2869487111457</v>
      </c>
      <c r="M18" s="64">
        <f t="shared" si="3"/>
        <v>-117775.10965797445</v>
      </c>
      <c r="U18" s="26" t="s">
        <v>102</v>
      </c>
      <c r="V18" s="64">
        <f>-V29</f>
        <v>-152791.01655091823</v>
      </c>
      <c r="W18" s="64">
        <f>-(W29-V29)</f>
        <v>-229970.78846839769</v>
      </c>
      <c r="X18" s="64">
        <f>-(X29-W29)</f>
        <v>2288057.0963003999</v>
      </c>
      <c r="Y18" s="64">
        <f>-(Y29-X29)</f>
        <v>-179248.50524875848</v>
      </c>
      <c r="Z18" s="64" t="e">
        <f>-(Z29-Y29)</f>
        <v>#DIV/0!</v>
      </c>
      <c r="AA18" s="64" t="e">
        <f>-(AA29-Z29)</f>
        <v>#DIV/0!</v>
      </c>
      <c r="AB18" s="64" t="e">
        <f t="shared" ref="AB18:AE18" si="4">-(AB29-AA29)</f>
        <v>#DIV/0!</v>
      </c>
      <c r="AC18" s="64" t="e">
        <f t="shared" si="4"/>
        <v>#DIV/0!</v>
      </c>
      <c r="AD18" s="64" t="e">
        <f t="shared" si="4"/>
        <v>#DIV/0!</v>
      </c>
      <c r="AE18" s="64" t="e">
        <f t="shared" si="4"/>
        <v>#DIV/0!</v>
      </c>
    </row>
    <row r="19" spans="1:33" x14ac:dyDescent="0.3">
      <c r="C19" t="s">
        <v>103</v>
      </c>
      <c r="D19" s="64">
        <f>-D30</f>
        <v>-1709619.0056882044</v>
      </c>
      <c r="E19" s="64">
        <f>D30</f>
        <v>1709619.0056882044</v>
      </c>
      <c r="F19" s="64">
        <f t="shared" ref="F19:M19" si="5">E30</f>
        <v>0</v>
      </c>
      <c r="G19" s="64">
        <f t="shared" si="5"/>
        <v>0</v>
      </c>
      <c r="H19" s="64">
        <f t="shared" si="5"/>
        <v>0</v>
      </c>
      <c r="I19" s="64">
        <f t="shared" si="5"/>
        <v>0</v>
      </c>
      <c r="J19" s="64">
        <f t="shared" si="5"/>
        <v>0</v>
      </c>
      <c r="K19" s="64">
        <f t="shared" si="5"/>
        <v>0</v>
      </c>
      <c r="L19" s="64">
        <f t="shared" si="5"/>
        <v>0</v>
      </c>
      <c r="M19" s="64">
        <f t="shared" si="5"/>
        <v>0</v>
      </c>
      <c r="U19" t="s">
        <v>103</v>
      </c>
      <c r="V19" s="64">
        <f>-V30</f>
        <v>-581405.08832746139</v>
      </c>
      <c r="W19" s="64">
        <f>V30</f>
        <v>581405.08832746139</v>
      </c>
      <c r="X19" s="64">
        <f t="shared" ref="X19:AE19" si="6">W30</f>
        <v>0</v>
      </c>
      <c r="Y19" s="64">
        <f t="shared" si="6"/>
        <v>0</v>
      </c>
      <c r="Z19" s="64">
        <f t="shared" si="6"/>
        <v>0</v>
      </c>
      <c r="AA19" s="64">
        <f t="shared" si="6"/>
        <v>0</v>
      </c>
      <c r="AB19" s="64">
        <f t="shared" si="6"/>
        <v>0</v>
      </c>
      <c r="AC19" s="64">
        <f t="shared" si="6"/>
        <v>0</v>
      </c>
      <c r="AD19" s="64">
        <f t="shared" si="6"/>
        <v>0</v>
      </c>
      <c r="AE19" s="64">
        <f t="shared" si="6"/>
        <v>0</v>
      </c>
    </row>
    <row r="20" spans="1:33" x14ac:dyDescent="0.3">
      <c r="D20" s="64">
        <f>-D31</f>
        <v>321514.48901005252</v>
      </c>
      <c r="E20" s="64">
        <f>-(E31-D31)</f>
        <v>-179315.24415973263</v>
      </c>
      <c r="F20" s="64">
        <f>-(F31-E31)</f>
        <v>-28491.134486417548</v>
      </c>
      <c r="G20" s="64">
        <f>-(G31-F31)</f>
        <v>-4688.5255582559912</v>
      </c>
      <c r="H20" s="64">
        <f>-(H31-G31)</f>
        <v>16575.956661996053</v>
      </c>
      <c r="I20" s="64">
        <f>-(I31-H31)</f>
        <v>-87114.709582477721</v>
      </c>
      <c r="J20" s="64">
        <f t="shared" ref="J20:M20" si="7">-(J31-I31)</f>
        <v>2742.8154293836124</v>
      </c>
      <c r="K20" s="64">
        <f t="shared" si="7"/>
        <v>-1281.6844020241915</v>
      </c>
      <c r="L20" s="64">
        <f t="shared" si="7"/>
        <v>312.2573897422335</v>
      </c>
      <c r="M20" s="64">
        <f t="shared" si="7"/>
        <v>-23555.021931594893</v>
      </c>
      <c r="V20" s="64">
        <f>-V31</f>
        <v>-30558.203310183646</v>
      </c>
      <c r="W20" s="64">
        <f>-(W31-V31)</f>
        <v>-45994.157693679546</v>
      </c>
      <c r="X20" s="64">
        <f>-(X31-W31)</f>
        <v>457611.41926007997</v>
      </c>
      <c r="Y20" s="64">
        <f>-(Y31-X31)</f>
        <v>-35849.70104975166</v>
      </c>
      <c r="Z20" s="64" t="e">
        <f>-(Z31-Y31)</f>
        <v>#DIV/0!</v>
      </c>
      <c r="AA20" s="64" t="e">
        <f>-(AA31-Z31)</f>
        <v>#DIV/0!</v>
      </c>
      <c r="AB20" s="64" t="e">
        <f t="shared" ref="AB20:AE20" si="8">-(AB31-AA31)</f>
        <v>#DIV/0!</v>
      </c>
      <c r="AC20" s="64" t="e">
        <f t="shared" si="8"/>
        <v>#DIV/0!</v>
      </c>
      <c r="AD20" s="64" t="e">
        <f t="shared" si="8"/>
        <v>#DIV/0!</v>
      </c>
      <c r="AE20" s="64" t="e">
        <f t="shared" si="8"/>
        <v>#DIV/0!</v>
      </c>
    </row>
    <row r="21" spans="1:33" x14ac:dyDescent="0.3">
      <c r="C21" s="26" t="s">
        <v>104</v>
      </c>
      <c r="D21" s="64">
        <f>0</f>
        <v>0</v>
      </c>
      <c r="E21" s="64">
        <f>$B9*D29</f>
        <v>-48227.173351507867</v>
      </c>
      <c r="F21" s="64">
        <f t="shared" ref="F21:M21" si="9">$B9*E29</f>
        <v>-21329.886727547986</v>
      </c>
      <c r="G21" s="64">
        <f t="shared" si="9"/>
        <v>-17056.21655458535</v>
      </c>
      <c r="H21" s="64">
        <f t="shared" si="9"/>
        <v>-16352.937720846952</v>
      </c>
      <c r="I21" s="64">
        <f t="shared" si="9"/>
        <v>-18839.33122014636</v>
      </c>
      <c r="J21" s="64">
        <f t="shared" si="9"/>
        <v>-5772.1247827747047</v>
      </c>
      <c r="K21" s="64">
        <f t="shared" si="9"/>
        <v>-6183.547097182246</v>
      </c>
      <c r="L21" s="64">
        <f t="shared" si="9"/>
        <v>-5991.2944368786175</v>
      </c>
      <c r="M21" s="64">
        <f t="shared" si="9"/>
        <v>-6038.1330453399523</v>
      </c>
      <c r="U21" s="26" t="s">
        <v>104</v>
      </c>
      <c r="V21" s="64">
        <f>0</f>
        <v>0</v>
      </c>
      <c r="W21" s="64">
        <f>$B9*V29</f>
        <v>4583.7304965275462</v>
      </c>
      <c r="X21" s="64">
        <f t="shared" ref="X21:AE21" si="10">$B9*W29</f>
        <v>11482.854150579476</v>
      </c>
      <c r="Y21" s="64">
        <f t="shared" si="10"/>
        <v>-57158.858738432522</v>
      </c>
      <c r="Z21" s="64">
        <f t="shared" si="10"/>
        <v>-51781.403580969767</v>
      </c>
      <c r="AA21" s="64" t="e">
        <f t="shared" si="10"/>
        <v>#DIV/0!</v>
      </c>
      <c r="AB21" s="64" t="e">
        <f t="shared" si="10"/>
        <v>#DIV/0!</v>
      </c>
      <c r="AC21" s="64" t="e">
        <f t="shared" si="10"/>
        <v>#DIV/0!</v>
      </c>
      <c r="AD21" s="64" t="e">
        <f t="shared" si="10"/>
        <v>#DIV/0!</v>
      </c>
      <c r="AE21" s="64" t="e">
        <f t="shared" si="10"/>
        <v>#DIV/0!</v>
      </c>
    </row>
    <row r="22" spans="1:33" x14ac:dyDescent="0.3">
      <c r="C22" s="26" t="s">
        <v>105</v>
      </c>
      <c r="D22" s="64">
        <v>0</v>
      </c>
      <c r="E22" s="64">
        <f>$B9*(D30+D31)</f>
        <v>41643.135500344557</v>
      </c>
      <c r="F22" s="64">
        <f t="shared" ref="F22:M22" si="11">$B9*(E30+E31)</f>
        <v>-4265.9773455095965</v>
      </c>
      <c r="G22" s="64">
        <f t="shared" si="11"/>
        <v>-3411.2433109170702</v>
      </c>
      <c r="H22" s="64">
        <f t="shared" si="11"/>
        <v>-3270.5875441693906</v>
      </c>
      <c r="I22" s="64">
        <f t="shared" si="11"/>
        <v>-3767.8662440292724</v>
      </c>
      <c r="J22" s="64">
        <f t="shared" si="11"/>
        <v>-1154.424956554941</v>
      </c>
      <c r="K22" s="64">
        <f t="shared" si="11"/>
        <v>-1236.7094194364493</v>
      </c>
      <c r="L22" s="64">
        <f t="shared" si="11"/>
        <v>-1198.2588873757236</v>
      </c>
      <c r="M22" s="64">
        <f t="shared" si="11"/>
        <v>-1207.6266090679906</v>
      </c>
      <c r="U22" s="26" t="s">
        <v>105</v>
      </c>
      <c r="V22" s="64">
        <v>0</v>
      </c>
      <c r="W22" s="64">
        <f>$B9*(V30+V31)</f>
        <v>18358.898749129348</v>
      </c>
      <c r="X22" s="64">
        <f t="shared" ref="X22:AE22" si="12">$B9*(W30+W31)</f>
        <v>2296.5708301158957</v>
      </c>
      <c r="Y22" s="64">
        <f t="shared" si="12"/>
        <v>-11431.771747686504</v>
      </c>
      <c r="Z22" s="64">
        <f t="shared" si="12"/>
        <v>-10356.280716193955</v>
      </c>
      <c r="AA22" s="64" t="e">
        <f t="shared" si="12"/>
        <v>#DIV/0!</v>
      </c>
      <c r="AB22" s="64" t="e">
        <f t="shared" si="12"/>
        <v>#DIV/0!</v>
      </c>
      <c r="AC22" s="64" t="e">
        <f t="shared" si="12"/>
        <v>#DIV/0!</v>
      </c>
      <c r="AD22" s="64" t="e">
        <f t="shared" si="12"/>
        <v>#DIV/0!</v>
      </c>
      <c r="AE22" s="64" t="e">
        <f t="shared" si="12"/>
        <v>#DIV/0!</v>
      </c>
    </row>
    <row r="23" spans="1:33" x14ac:dyDescent="0.3">
      <c r="D23" s="64"/>
      <c r="E23" s="64"/>
      <c r="F23" s="64"/>
      <c r="G23" s="64"/>
      <c r="H23" s="64"/>
      <c r="I23" s="64"/>
      <c r="V23" s="64"/>
      <c r="W23" s="64"/>
      <c r="X23" s="64"/>
      <c r="Y23" s="64"/>
      <c r="Z23" s="64"/>
      <c r="AA23" s="64"/>
    </row>
    <row r="24" spans="1:33" x14ac:dyDescent="0.3">
      <c r="C24" t="s">
        <v>98</v>
      </c>
      <c r="D24" s="64">
        <f>SUM(D14:D22)</f>
        <v>-1268366.5703906654</v>
      </c>
      <c r="E24" s="64">
        <f>SUM(E14:E22)</f>
        <v>1523719.7236773083</v>
      </c>
      <c r="F24" s="64">
        <f>SUM(F14:F22)</f>
        <v>-54086.998559475134</v>
      </c>
      <c r="G24" s="64">
        <f t="shared" ref="G24:M24" si="13">SUM(G14:G22)</f>
        <v>-25155.985423758411</v>
      </c>
      <c r="H24" s="64">
        <f t="shared" si="13"/>
        <v>-3047.5686030202896</v>
      </c>
      <c r="I24" s="64">
        <f t="shared" si="13"/>
        <v>-109721.90704665334</v>
      </c>
      <c r="J24" s="64">
        <f t="shared" si="13"/>
        <v>-4183.7343099460331</v>
      </c>
      <c r="K24" s="64">
        <f t="shared" si="13"/>
        <v>-8701.9409186428875</v>
      </c>
      <c r="L24" s="64">
        <f t="shared" si="13"/>
        <v>-6877.2959345121071</v>
      </c>
      <c r="M24" s="64">
        <f t="shared" si="13"/>
        <v>-30800.781586002835</v>
      </c>
      <c r="U24" t="s">
        <v>98</v>
      </c>
      <c r="V24" s="64" t="e">
        <f>SUM(V14:V22)</f>
        <v>#DIV/0!</v>
      </c>
      <c r="W24" s="64">
        <f>SUM(W14:W22)</f>
        <v>558353.55987943872</v>
      </c>
      <c r="X24" s="64">
        <f>SUM(X14:X22)</f>
        <v>471390.84424077533</v>
      </c>
      <c r="Y24" s="64">
        <f t="shared" ref="Y24:AE24" si="14">SUM(Y14:Y22)</f>
        <v>-104440.33153587069</v>
      </c>
      <c r="Z24" s="64" t="e">
        <f t="shared" si="14"/>
        <v>#DIV/0!</v>
      </c>
      <c r="AA24" s="64" t="e">
        <f t="shared" si="14"/>
        <v>#DIV/0!</v>
      </c>
      <c r="AB24" s="64" t="e">
        <f t="shared" si="14"/>
        <v>#DIV/0!</v>
      </c>
      <c r="AC24" s="64" t="e">
        <f t="shared" si="14"/>
        <v>#DIV/0!</v>
      </c>
      <c r="AD24" s="64" t="e">
        <f t="shared" si="14"/>
        <v>#DIV/0!</v>
      </c>
      <c r="AE24" s="64" t="e">
        <f t="shared" si="14"/>
        <v>#DIV/0!</v>
      </c>
    </row>
    <row r="25" spans="1:33" x14ac:dyDescent="0.3">
      <c r="C25" s="26" t="s">
        <v>106</v>
      </c>
      <c r="D25" s="64">
        <f>D24/(1+$B9)^D13</f>
        <v>-1249758.7172507546</v>
      </c>
      <c r="E25" s="64">
        <f>E24/(1+$B9)^E13</f>
        <v>1457636.5586948139</v>
      </c>
      <c r="F25" s="64">
        <f t="shared" ref="F25:M25" si="15">F24/(1+$B9)^F13</f>
        <v>-50234.238145612966</v>
      </c>
      <c r="G25" s="64">
        <f t="shared" si="15"/>
        <v>-22683.551297902726</v>
      </c>
      <c r="H25" s="64">
        <f t="shared" si="15"/>
        <v>-2668.0009477403778</v>
      </c>
      <c r="I25" s="64">
        <f t="shared" si="15"/>
        <v>-93258.539861999045</v>
      </c>
      <c r="J25" s="64">
        <f t="shared" si="15"/>
        <v>-3452.4081731039919</v>
      </c>
      <c r="K25" s="64">
        <f t="shared" si="15"/>
        <v>-6971.6719779492723</v>
      </c>
      <c r="L25" s="64">
        <f t="shared" si="15"/>
        <v>-5349.3535555025037</v>
      </c>
      <c r="M25" s="64">
        <f t="shared" si="15"/>
        <v>-23259.913878643885</v>
      </c>
      <c r="U25" s="26" t="s">
        <v>106</v>
      </c>
      <c r="V25" s="64" t="e">
        <f>V24/(1+$B9)^V13</f>
        <v>#DIV/0!</v>
      </c>
      <c r="W25" s="64">
        <f>W24/(1+$B9)^W13</f>
        <v>534137.97098686476</v>
      </c>
      <c r="X25" s="64">
        <f>X24/(1+$B9)^X13</f>
        <v>437812.42368651135</v>
      </c>
      <c r="Y25" s="64">
        <f t="shared" ref="Y25:AE25" si="16">Y24/(1+$B9)^Y13</f>
        <v>-94175.504479599142</v>
      </c>
      <c r="Z25" s="64" t="e">
        <f t="shared" si="16"/>
        <v>#DIV/0!</v>
      </c>
      <c r="AA25" s="64" t="e">
        <f t="shared" si="16"/>
        <v>#DIV/0!</v>
      </c>
      <c r="AB25" s="64" t="e">
        <f t="shared" si="16"/>
        <v>#DIV/0!</v>
      </c>
      <c r="AC25" s="64" t="e">
        <f t="shared" si="16"/>
        <v>#DIV/0!</v>
      </c>
      <c r="AD25" s="64" t="e">
        <f t="shared" si="16"/>
        <v>#DIV/0!</v>
      </c>
      <c r="AE25" s="64" t="e">
        <f t="shared" si="16"/>
        <v>#DIV/0!</v>
      </c>
    </row>
    <row r="26" spans="1:33" x14ac:dyDescent="0.3">
      <c r="C26" s="26" t="s">
        <v>107</v>
      </c>
      <c r="D26" s="80">
        <f>SUM(D25:M25)</f>
        <v>0.16360560450630146</v>
      </c>
      <c r="E26" s="64"/>
      <c r="F26" s="64"/>
      <c r="G26" s="64"/>
      <c r="H26" s="64"/>
      <c r="I26" s="64"/>
      <c r="U26" s="26" t="s">
        <v>107</v>
      </c>
      <c r="V26" s="80" t="e">
        <f>SUM(V25:AE25)</f>
        <v>#DIV/0!</v>
      </c>
      <c r="W26" s="64"/>
      <c r="X26" s="64"/>
      <c r="Y26" s="64"/>
      <c r="Z26" s="64"/>
      <c r="AA26" s="64"/>
    </row>
    <row r="27" spans="1:33" x14ac:dyDescent="0.3">
      <c r="D27" s="64"/>
      <c r="E27" s="64"/>
      <c r="F27" s="64"/>
      <c r="G27" s="64"/>
      <c r="H27" s="64"/>
      <c r="I27" s="64"/>
      <c r="V27" s="64"/>
      <c r="W27" s="64"/>
      <c r="X27" s="64"/>
      <c r="Y27" s="64"/>
      <c r="Z27" s="64"/>
      <c r="AA27" s="64"/>
    </row>
    <row r="28" spans="1:33" x14ac:dyDescent="0.3">
      <c r="D28" s="64"/>
      <c r="E28" s="64"/>
      <c r="F28" s="64"/>
      <c r="G28" s="64"/>
      <c r="H28" s="64"/>
      <c r="I28" s="64"/>
      <c r="V28" s="64"/>
      <c r="W28" s="64"/>
      <c r="X28" s="64"/>
      <c r="Y28" s="64"/>
      <c r="Z28" s="64"/>
      <c r="AA28" s="64"/>
    </row>
    <row r="29" spans="1:33" ht="27" x14ac:dyDescent="0.3">
      <c r="A29" s="81" t="s">
        <v>108</v>
      </c>
      <c r="C29" s="26" t="s">
        <v>109</v>
      </c>
      <c r="D29" s="64">
        <f>Stability_Patterns!T125</f>
        <v>-1607572.4450502624</v>
      </c>
      <c r="E29" s="64">
        <f>Stability_Patterns!U125</f>
        <v>-710996.22425159952</v>
      </c>
      <c r="F29" s="64">
        <f>Stability_Patterns!V125</f>
        <v>-568540.55181951169</v>
      </c>
      <c r="G29" s="64">
        <f>Stability_Patterns!W125</f>
        <v>-545097.92402823176</v>
      </c>
      <c r="H29" s="64">
        <f>Stability_Patterns!X125</f>
        <v>-627977.70733821206</v>
      </c>
      <c r="I29" s="64">
        <f>Stability_Patterns!Y125</f>
        <v>-192404.15942582348</v>
      </c>
      <c r="J29" s="64">
        <f>Stability_Patterns!Z125</f>
        <v>-206118.23657274153</v>
      </c>
      <c r="K29" s="64">
        <f>Stability_Patterns!AA125</f>
        <v>-199709.8145626206</v>
      </c>
      <c r="L29" s="64">
        <f>Stability_Patterns!AB125</f>
        <v>-201271.10151133174</v>
      </c>
      <c r="M29" s="64">
        <f>Stability_Patterns!AC125</f>
        <v>-83495.991853357293</v>
      </c>
      <c r="N29" s="64"/>
      <c r="O29" s="64"/>
      <c r="S29" s="81" t="s">
        <v>108</v>
      </c>
      <c r="U29" s="26" t="s">
        <v>109</v>
      </c>
      <c r="V29" s="64">
        <f>Stability_Patterns!AL125</f>
        <v>152791.01655091823</v>
      </c>
      <c r="W29" s="64">
        <f>Stability_Patterns!AM125</f>
        <v>382761.80501931591</v>
      </c>
      <c r="X29" s="64">
        <f>Stability_Patterns!AN125</f>
        <v>-1905295.2912810841</v>
      </c>
      <c r="Y29" s="64">
        <f>Stability_Patterns!AO125</f>
        <v>-1726046.7860323256</v>
      </c>
      <c r="Z29" s="64" t="e">
        <f>Stability_Patterns!AP125</f>
        <v>#DIV/0!</v>
      </c>
      <c r="AA29" s="64" t="e">
        <f>Stability_Patterns!AQ125</f>
        <v>#DIV/0!</v>
      </c>
      <c r="AB29" s="64" t="e">
        <f>Stability_Patterns!AR125</f>
        <v>#DIV/0!</v>
      </c>
      <c r="AC29" s="64" t="e">
        <f>Stability_Patterns!AS125</f>
        <v>#DIV/0!</v>
      </c>
      <c r="AD29" s="64" t="e">
        <f>Stability_Patterns!AT125</f>
        <v>#DIV/0!</v>
      </c>
      <c r="AE29" s="64" t="e">
        <f>Stability_Patterns!AU125</f>
        <v>#DIV/0!</v>
      </c>
      <c r="AF29" s="64"/>
      <c r="AG29" s="64"/>
    </row>
    <row r="30" spans="1:33" x14ac:dyDescent="0.3">
      <c r="C30" t="s">
        <v>93</v>
      </c>
      <c r="D30" s="64">
        <f>D7</f>
        <v>1709619.0056882044</v>
      </c>
      <c r="E30" s="64">
        <f>0</f>
        <v>0</v>
      </c>
      <c r="F30" s="64">
        <f>0</f>
        <v>0</v>
      </c>
      <c r="G30" s="64">
        <f>0</f>
        <v>0</v>
      </c>
      <c r="H30" s="64">
        <f>0</f>
        <v>0</v>
      </c>
      <c r="I30" s="64">
        <f>0</f>
        <v>0</v>
      </c>
      <c r="J30" s="64">
        <f>0</f>
        <v>0</v>
      </c>
      <c r="K30" s="64">
        <f>0</f>
        <v>0</v>
      </c>
      <c r="L30" s="64">
        <f>0</f>
        <v>0</v>
      </c>
      <c r="M30" s="64">
        <f>0</f>
        <v>0</v>
      </c>
      <c r="U30" t="s">
        <v>93</v>
      </c>
      <c r="V30" s="64">
        <f>V7</f>
        <v>581405.08832746139</v>
      </c>
      <c r="W30" s="64">
        <f>0</f>
        <v>0</v>
      </c>
      <c r="X30" s="64">
        <f>0</f>
        <v>0</v>
      </c>
      <c r="Y30" s="64">
        <f>0</f>
        <v>0</v>
      </c>
      <c r="Z30" s="64">
        <f>0</f>
        <v>0</v>
      </c>
      <c r="AA30" s="64">
        <f>0</f>
        <v>0</v>
      </c>
      <c r="AB30" s="64">
        <f>0</f>
        <v>0</v>
      </c>
      <c r="AC30" s="64">
        <f>0</f>
        <v>0</v>
      </c>
      <c r="AD30" s="64">
        <f>0</f>
        <v>0</v>
      </c>
      <c r="AE30" s="64">
        <f>0</f>
        <v>0</v>
      </c>
    </row>
    <row r="31" spans="1:33" x14ac:dyDescent="0.3">
      <c r="D31" s="64">
        <f>$B8*D29</f>
        <v>-321514.48901005252</v>
      </c>
      <c r="E31" s="64">
        <f t="shared" ref="E31:M31" si="17">$B8*E29</f>
        <v>-142199.2448503199</v>
      </c>
      <c r="F31" s="64">
        <f t="shared" si="17"/>
        <v>-113708.11036390235</v>
      </c>
      <c r="G31" s="64">
        <f t="shared" si="17"/>
        <v>-109019.58480564636</v>
      </c>
      <c r="H31" s="64">
        <f t="shared" si="17"/>
        <v>-125595.54146764241</v>
      </c>
      <c r="I31" s="64">
        <f t="shared" si="17"/>
        <v>-38480.831885164698</v>
      </c>
      <c r="J31" s="64">
        <f t="shared" si="17"/>
        <v>-41223.647314548311</v>
      </c>
      <c r="K31" s="64">
        <f t="shared" si="17"/>
        <v>-39941.962912524119</v>
      </c>
      <c r="L31" s="64">
        <f t="shared" si="17"/>
        <v>-40254.220302266353</v>
      </c>
      <c r="M31" s="64">
        <f t="shared" si="17"/>
        <v>-16699.19837067146</v>
      </c>
      <c r="V31" s="64">
        <f>$B8*V29</f>
        <v>30558.203310183646</v>
      </c>
      <c r="W31" s="64">
        <f t="shared" ref="W31:AE31" si="18">$B8*W29</f>
        <v>76552.361003863189</v>
      </c>
      <c r="X31" s="64">
        <f t="shared" si="18"/>
        <v>-381059.05825621681</v>
      </c>
      <c r="Y31" s="64">
        <f t="shared" si="18"/>
        <v>-345209.35720646515</v>
      </c>
      <c r="Z31" s="64" t="e">
        <f t="shared" si="18"/>
        <v>#DIV/0!</v>
      </c>
      <c r="AA31" s="64" t="e">
        <f t="shared" si="18"/>
        <v>#DIV/0!</v>
      </c>
      <c r="AB31" s="64" t="e">
        <f t="shared" si="18"/>
        <v>#DIV/0!</v>
      </c>
      <c r="AC31" s="64" t="e">
        <f t="shared" si="18"/>
        <v>#DIV/0!</v>
      </c>
      <c r="AD31" s="64" t="e">
        <f t="shared" si="18"/>
        <v>#DIV/0!</v>
      </c>
      <c r="AE31" s="64" t="e">
        <f t="shared" si="18"/>
        <v>#DIV/0!</v>
      </c>
    </row>
    <row r="37" spans="1:9" x14ac:dyDescent="0.3">
      <c r="B37" s="80" t="s">
        <v>125</v>
      </c>
      <c r="C37" s="80" t="s">
        <v>126</v>
      </c>
      <c r="D37" s="34" t="s">
        <v>128</v>
      </c>
      <c r="H37" s="80" t="s">
        <v>34</v>
      </c>
      <c r="I37" s="83">
        <f>($C38-$B38)/$C38</f>
        <v>0.15545473804673707</v>
      </c>
    </row>
    <row r="38" spans="1:9" x14ac:dyDescent="0.3">
      <c r="A38" s="80" t="s">
        <v>124</v>
      </c>
      <c r="B38" s="82">
        <f>$D$14</f>
        <v>3758358.1718580094</v>
      </c>
      <c r="C38" s="82">
        <f>Com_Premium!$D$15</f>
        <v>4450156.0084129591</v>
      </c>
      <c r="H38" s="80" t="s">
        <v>35</v>
      </c>
      <c r="I38" s="83" t="e">
        <f>($C39-$B39)/$C39</f>
        <v>#DIV/0!</v>
      </c>
    </row>
    <row r="39" spans="1:9" x14ac:dyDescent="0.3">
      <c r="A39" s="80" t="s">
        <v>127</v>
      </c>
      <c r="B39" s="82" t="e">
        <f>$V$14</f>
        <v>#DIV/0!</v>
      </c>
      <c r="C39" s="82">
        <f>Com_Premium!$V$15</f>
        <v>3272082.0253243102</v>
      </c>
    </row>
    <row r="41" spans="1:9" x14ac:dyDescent="0.3">
      <c r="A41" t="s">
        <v>94</v>
      </c>
      <c r="B41" s="45">
        <f>Stability_Clause!$L$121</f>
        <v>4361953.8470168421</v>
      </c>
      <c r="C41" s="45">
        <f>BC_with_index!Q122</f>
        <v>3449632.5590946199</v>
      </c>
      <c r="I41" s="1">
        <f>($C41-$B41)/$C41</f>
        <v>-0.26446912020150554</v>
      </c>
    </row>
    <row r="42" spans="1:9" x14ac:dyDescent="0.3">
      <c r="B42" s="45">
        <f>Stability_Clause!$M$121</f>
        <v>2907025.4416373069</v>
      </c>
      <c r="C42" s="45">
        <f>BC_with_index!R122</f>
        <v>2562707.5195927783</v>
      </c>
      <c r="I42" s="1">
        <f>($C42-$B42)/$C42</f>
        <v>-0.13435708890386436</v>
      </c>
    </row>
  </sheetData>
  <mergeCells count="2">
    <mergeCell ref="A3:E3"/>
    <mergeCell ref="S3:W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52FEC-5EB5-42A7-9647-6314B5CBD1B5}">
  <dimension ref="A1:AG42"/>
  <sheetViews>
    <sheetView zoomScale="94" workbookViewId="0">
      <selection activeCell="C45" sqref="C45"/>
    </sheetView>
  </sheetViews>
  <sheetFormatPr baseColWidth="10" defaultRowHeight="14.4" x14ac:dyDescent="0.3"/>
  <cols>
    <col min="1" max="1" width="24.21875" bestFit="1" customWidth="1"/>
    <col min="2" max="2" width="16.77734375" bestFit="1" customWidth="1"/>
    <col min="3" max="3" width="21.6640625" bestFit="1" customWidth="1"/>
    <col min="4" max="4" width="16.33203125" bestFit="1" customWidth="1"/>
    <col min="5" max="9" width="13.109375" bestFit="1" customWidth="1"/>
    <col min="10" max="10" width="11.5546875" bestFit="1" customWidth="1"/>
    <col min="11" max="11" width="12.44140625" bestFit="1" customWidth="1"/>
    <col min="21" max="21" width="21.6640625" bestFit="1" customWidth="1"/>
    <col min="22" max="22" width="17.21875" bestFit="1" customWidth="1"/>
    <col min="23" max="23" width="13.109375" bestFit="1" customWidth="1"/>
    <col min="24" max="24" width="12.44140625" bestFit="1" customWidth="1"/>
    <col min="25" max="26" width="13.109375" bestFit="1" customWidth="1"/>
    <col min="27" max="28" width="11.5546875" bestFit="1" customWidth="1"/>
    <col min="29" max="30" width="10.5546875" bestFit="1" customWidth="1"/>
    <col min="31" max="31" width="9.44140625" bestFit="1" customWidth="1"/>
  </cols>
  <sheetData>
    <row r="1" spans="1:33" x14ac:dyDescent="0.3">
      <c r="A1" s="34" t="s">
        <v>89</v>
      </c>
    </row>
    <row r="3" spans="1:33" x14ac:dyDescent="0.3">
      <c r="A3" s="87" t="s">
        <v>90</v>
      </c>
      <c r="B3" s="87"/>
      <c r="C3" s="87"/>
      <c r="D3" s="87"/>
      <c r="E3" s="87"/>
      <c r="S3" s="87" t="s">
        <v>147</v>
      </c>
      <c r="T3" s="87"/>
      <c r="U3" s="87"/>
      <c r="V3" s="87"/>
      <c r="W3" s="87"/>
    </row>
    <row r="5" spans="1:33" x14ac:dyDescent="0.3">
      <c r="A5" t="s">
        <v>148</v>
      </c>
      <c r="B5" s="76">
        <v>0.12</v>
      </c>
    </row>
    <row r="6" spans="1:33" x14ac:dyDescent="0.3">
      <c r="A6" s="26" t="s">
        <v>91</v>
      </c>
      <c r="B6" s="76">
        <v>0.12</v>
      </c>
      <c r="S6" s="26" t="s">
        <v>91</v>
      </c>
      <c r="T6" s="76">
        <v>0.12</v>
      </c>
    </row>
    <row r="7" spans="1:33" x14ac:dyDescent="0.3">
      <c r="A7" s="26" t="s">
        <v>92</v>
      </c>
      <c r="B7" s="76">
        <v>0.05</v>
      </c>
      <c r="N7" s="33" t="s">
        <v>98</v>
      </c>
      <c r="S7" s="26" t="s">
        <v>92</v>
      </c>
      <c r="T7" s="76">
        <v>0.05</v>
      </c>
      <c r="AF7" s="33" t="s">
        <v>98</v>
      </c>
    </row>
    <row r="8" spans="1:33" x14ac:dyDescent="0.3">
      <c r="A8" s="26" t="s">
        <v>93</v>
      </c>
      <c r="B8" s="76">
        <v>0.6</v>
      </c>
      <c r="C8" s="26" t="s">
        <v>94</v>
      </c>
      <c r="D8" s="45">
        <f>$B$8*Patterns!$T$123</f>
        <v>2069779.535456772</v>
      </c>
      <c r="E8" s="45">
        <f>0</f>
        <v>0</v>
      </c>
      <c r="F8" s="45">
        <f>0</f>
        <v>0</v>
      </c>
      <c r="G8" s="45">
        <f>0</f>
        <v>0</v>
      </c>
      <c r="H8" s="45">
        <f>0</f>
        <v>0</v>
      </c>
      <c r="I8" s="45">
        <f>0</f>
        <v>0</v>
      </c>
      <c r="J8" s="45">
        <f>0</f>
        <v>0</v>
      </c>
      <c r="K8" s="45">
        <f>0</f>
        <v>0</v>
      </c>
      <c r="L8" s="45">
        <f>0</f>
        <v>0</v>
      </c>
      <c r="M8" s="45">
        <f>0</f>
        <v>0</v>
      </c>
      <c r="N8" s="45">
        <f>SUM(D8:M8)</f>
        <v>2069779.535456772</v>
      </c>
      <c r="O8" s="33" t="s">
        <v>111</v>
      </c>
      <c r="S8" s="26" t="s">
        <v>93</v>
      </c>
      <c r="T8" s="76">
        <v>0.6</v>
      </c>
      <c r="U8" s="26" t="s">
        <v>94</v>
      </c>
      <c r="V8" s="45">
        <f>$B$8*Patterns!AL123</f>
        <v>1537624.5117556669</v>
      </c>
      <c r="W8" s="45">
        <f>0</f>
        <v>0</v>
      </c>
      <c r="X8" s="45">
        <f>0</f>
        <v>0</v>
      </c>
      <c r="Y8" s="45">
        <f>0</f>
        <v>0</v>
      </c>
      <c r="Z8" s="45">
        <f>0</f>
        <v>0</v>
      </c>
      <c r="AA8" s="45">
        <f>0</f>
        <v>0</v>
      </c>
      <c r="AB8" s="45">
        <f>0</f>
        <v>0</v>
      </c>
      <c r="AC8" s="45">
        <f>0</f>
        <v>0</v>
      </c>
      <c r="AD8" s="45">
        <f>0</f>
        <v>0</v>
      </c>
      <c r="AE8" s="45">
        <f>0</f>
        <v>0</v>
      </c>
      <c r="AF8" s="45">
        <f>SUM(V8:AE8)</f>
        <v>1537624.5117556669</v>
      </c>
      <c r="AG8" s="33" t="s">
        <v>111</v>
      </c>
    </row>
    <row r="9" spans="1:33" x14ac:dyDescent="0.3">
      <c r="B9" s="76">
        <v>0.2</v>
      </c>
      <c r="C9" s="26" t="s">
        <v>95</v>
      </c>
      <c r="D9" s="45">
        <f>$B$9*Patterns!T$125</f>
        <v>689926.4895216279</v>
      </c>
      <c r="E9" s="45">
        <f>$B$9*Patterns!U$125</f>
        <v>530363.82500936254</v>
      </c>
      <c r="F9" s="45">
        <f>$B$9*Patterns!V$125</f>
        <v>455576.18124966737</v>
      </c>
      <c r="G9" s="45">
        <f>$B$9*Patterns!W$125</f>
        <v>242458.25952802226</v>
      </c>
      <c r="H9" s="45">
        <f>$B$9*Patterns!X$125</f>
        <v>166872.22694695528</v>
      </c>
      <c r="I9" s="45">
        <f>$B$9*Patterns!Y$125</f>
        <v>79105.594517882273</v>
      </c>
      <c r="J9" s="45">
        <f>$B$9*Patterns!Z$125</f>
        <v>25263.53336827569</v>
      </c>
      <c r="K9" s="45">
        <f>$B$9*Patterns!AA$125</f>
        <v>16736.255435509887</v>
      </c>
      <c r="L9" s="45">
        <f>$B$9*Patterns!AB$125</f>
        <v>5722.1837261164565</v>
      </c>
      <c r="M9" s="45">
        <f>$B$9*Patterns!AC$125</f>
        <v>0</v>
      </c>
      <c r="N9" s="45">
        <f>SUM(D9:M9)</f>
        <v>2212024.5493034199</v>
      </c>
      <c r="O9" s="45">
        <f>B6*(N8+N9)</f>
        <v>513816.49017122301</v>
      </c>
      <c r="T9" s="76">
        <v>0.2</v>
      </c>
      <c r="U9" s="26" t="s">
        <v>95</v>
      </c>
      <c r="V9" s="45">
        <f>$B$9*Patterns!AL$125</f>
        <v>512541.48162125959</v>
      </c>
      <c r="W9" s="45">
        <f>$B$9*Patterns!AM$125</f>
        <v>512541.3791361202</v>
      </c>
      <c r="X9" s="45">
        <f>$B$9*Patterns!AN$125</f>
        <v>512541.31674490246</v>
      </c>
      <c r="Y9" s="45">
        <f>$B$9*Patterns!AO$125</f>
        <v>267746.93002407567</v>
      </c>
      <c r="Z9" s="45">
        <f>$B$9*Patterns!AP$125</f>
        <v>325399.15453011601</v>
      </c>
      <c r="AA9" s="45">
        <f>$B$9*Patterns!AQ$125</f>
        <v>191770.4295324531</v>
      </c>
      <c r="AB9" s="45">
        <f>$B$9*Patterns!AR$125</f>
        <v>7726.0890404239299</v>
      </c>
      <c r="AC9" s="45">
        <f>$B$9*Patterns!AS$125</f>
        <v>4025.0133308368736</v>
      </c>
      <c r="AD9" s="45">
        <f>$B$9*Patterns!AT$125</f>
        <v>1618.4174392519519</v>
      </c>
      <c r="AE9" s="45">
        <f>$B$9*Patterns!AU$125</f>
        <v>0</v>
      </c>
      <c r="AF9" s="45">
        <f>SUM(V9:AE9)</f>
        <v>2335910.2113994393</v>
      </c>
      <c r="AG9" s="45">
        <f>T6*(AF8+AF9)</f>
        <v>464824.16677861277</v>
      </c>
    </row>
    <row r="10" spans="1:33" x14ac:dyDescent="0.3">
      <c r="A10" s="26" t="s">
        <v>96</v>
      </c>
      <c r="B10" s="76">
        <v>0.03</v>
      </c>
      <c r="S10" s="26" t="s">
        <v>96</v>
      </c>
      <c r="T10" s="76">
        <v>0.03</v>
      </c>
    </row>
    <row r="11" spans="1:33" x14ac:dyDescent="0.3">
      <c r="A11" s="26" t="s">
        <v>110</v>
      </c>
      <c r="B11" s="76">
        <v>0.06</v>
      </c>
      <c r="C11" t="s">
        <v>94</v>
      </c>
      <c r="D11" s="47"/>
      <c r="S11" s="26" t="s">
        <v>110</v>
      </c>
      <c r="T11" s="76">
        <v>0.06</v>
      </c>
      <c r="U11" t="s">
        <v>94</v>
      </c>
      <c r="V11" s="47"/>
    </row>
    <row r="13" spans="1:33" x14ac:dyDescent="0.3">
      <c r="A13" s="26"/>
      <c r="B13" s="76"/>
      <c r="D13" s="39" t="s">
        <v>97</v>
      </c>
      <c r="S13" s="26"/>
      <c r="T13" s="76"/>
      <c r="V13" s="39" t="s">
        <v>97</v>
      </c>
    </row>
    <row r="14" spans="1:33" ht="15" thickBot="1" x14ac:dyDescent="0.35">
      <c r="D14" s="39">
        <v>0.5</v>
      </c>
      <c r="E14" s="77">
        <f>D14+1</f>
        <v>1.5</v>
      </c>
      <c r="F14" s="77">
        <f>E14+1</f>
        <v>2.5</v>
      </c>
      <c r="G14" s="77">
        <f>F14+1</f>
        <v>3.5</v>
      </c>
      <c r="H14" s="77">
        <f>G14+1</f>
        <v>4.5</v>
      </c>
      <c r="I14" s="78">
        <f>H14+1</f>
        <v>5.5</v>
      </c>
      <c r="J14" s="78">
        <v>6.5</v>
      </c>
      <c r="K14" s="78">
        <f t="shared" ref="K14:M14" si="0">J14+1</f>
        <v>7.5</v>
      </c>
      <c r="L14" s="78">
        <f>K14+1</f>
        <v>8.5</v>
      </c>
      <c r="M14" s="78">
        <f t="shared" si="0"/>
        <v>9.5</v>
      </c>
      <c r="V14" s="39">
        <v>0.5</v>
      </c>
      <c r="W14" s="77">
        <f>V14+1</f>
        <v>1.5</v>
      </c>
      <c r="X14" s="77">
        <f>W14+1</f>
        <v>2.5</v>
      </c>
      <c r="Y14" s="77">
        <f>X14+1</f>
        <v>3.5</v>
      </c>
      <c r="Z14" s="77">
        <f>Y14+1</f>
        <v>4.5</v>
      </c>
      <c r="AA14" s="78">
        <f>Z14+1</f>
        <v>5.5</v>
      </c>
      <c r="AB14" s="78">
        <v>6.5</v>
      </c>
      <c r="AC14" s="78">
        <f t="shared" ref="AC14" si="1">AB14+1</f>
        <v>7.5</v>
      </c>
      <c r="AD14" s="78">
        <f>AC14+1</f>
        <v>8.5</v>
      </c>
      <c r="AE14" s="78">
        <f t="shared" ref="AE14" si="2">AD14+1</f>
        <v>9.5</v>
      </c>
    </row>
    <row r="15" spans="1:33" ht="15" thickBot="1" x14ac:dyDescent="0.35">
      <c r="A15" s="26" t="s">
        <v>99</v>
      </c>
      <c r="C15" s="26" t="s">
        <v>100</v>
      </c>
      <c r="D15" s="79">
        <v>4565744.7016329197</v>
      </c>
      <c r="E15" s="64"/>
      <c r="F15" s="64"/>
      <c r="G15" s="64"/>
      <c r="H15" s="64"/>
      <c r="I15" s="64"/>
      <c r="S15" s="26" t="s">
        <v>99</v>
      </c>
      <c r="U15" s="26" t="s">
        <v>100</v>
      </c>
      <c r="V15" s="79">
        <v>3357071.3346205978</v>
      </c>
      <c r="W15" s="64"/>
      <c r="X15" s="64"/>
      <c r="Y15" s="64"/>
      <c r="Z15" s="64"/>
      <c r="AA15" s="64"/>
    </row>
    <row r="16" spans="1:33" x14ac:dyDescent="0.3">
      <c r="C16" s="26" t="s">
        <v>101</v>
      </c>
      <c r="D16" s="64">
        <f>-Patterns!T124</f>
        <v>-0.11148648043978969</v>
      </c>
      <c r="E16" s="64">
        <f>-(Patterns!U$124-Patterns!T$124)</f>
        <v>-797813.32256132714</v>
      </c>
      <c r="F16" s="64">
        <f>-(Patterns!V$124-Patterns!U$124)</f>
        <v>-373938.21879847569</v>
      </c>
      <c r="G16" s="64">
        <f>-(Patterns!W$124-Patterns!V$124)</f>
        <v>-1065589.6086082254</v>
      </c>
      <c r="H16" s="64">
        <f>-(Patterns!X$124-Patterns!W$124)</f>
        <v>-377930.16290533496</v>
      </c>
      <c r="I16" s="64">
        <f>-(Patterns!Y$124-Patterns!X$124)</f>
        <v>-438833.16214536503</v>
      </c>
      <c r="J16" s="64">
        <f>-(Patterns!Z$124-Patterns!Y$124)</f>
        <v>-269210.30574803287</v>
      </c>
      <c r="K16" s="64">
        <f>-(Patterns!AA$124-Patterns!Z$124)</f>
        <v>-42636.389663829003</v>
      </c>
      <c r="L16" s="64">
        <f>-(Patterns!AB$124-Patterns!AA$124)</f>
        <v>-55070.358546967153</v>
      </c>
      <c r="M16" s="64">
        <f>-(Patterns!AC$124-Patterns!AB$124)</f>
        <v>-28610.91863058228</v>
      </c>
      <c r="U16" s="26" t="s">
        <v>101</v>
      </c>
      <c r="V16" s="64">
        <f>-Patterns!AL124</f>
        <v>-0.11148648043978969</v>
      </c>
      <c r="W16" s="64">
        <f>-(Patterns!AM$124-Patterns!AL$124)</f>
        <v>-0.5124256968666514</v>
      </c>
      <c r="X16" s="64">
        <f>-(Patterns!AN$124-Patterns!AM$124)</f>
        <v>-0.31195608865322066</v>
      </c>
      <c r="Y16" s="64">
        <f>-(Patterns!AO$124-Patterns!AN$124)</f>
        <v>-1223971.933604134</v>
      </c>
      <c r="Z16" s="64">
        <f>-(Patterns!AP$124-Patterns!AO$124)</f>
        <v>288261.12253020168</v>
      </c>
      <c r="AA16" s="64">
        <f>-(Patterns!AQ$124-Patterns!AP$124)</f>
        <v>-668143.62498831446</v>
      </c>
      <c r="AB16" s="64">
        <f>-(Patterns!AR$124-Patterns!AQ$124)</f>
        <v>-920221.70246014581</v>
      </c>
      <c r="AC16" s="64">
        <f>-(Patterns!AS$124-Patterns!AR$124)</f>
        <v>-18505.378547935281</v>
      </c>
      <c r="AD16" s="64">
        <f>-(Patterns!AT$124-Patterns!AS$124)</f>
        <v>-12032.979457924608</v>
      </c>
      <c r="AE16" s="64">
        <f>-(Patterns!AU$124-Patterns!AT$124)</f>
        <v>-8092.0871962597594</v>
      </c>
    </row>
    <row r="17" spans="1:33" x14ac:dyDescent="0.3">
      <c r="C17" s="26" t="s">
        <v>91</v>
      </c>
      <c r="D17" s="64">
        <f>-D15*B6</f>
        <v>-547889.36419595033</v>
      </c>
      <c r="E17" s="64"/>
      <c r="F17" s="64"/>
      <c r="G17" s="64"/>
      <c r="H17" s="64"/>
      <c r="I17" s="64"/>
      <c r="U17" s="26" t="s">
        <v>91</v>
      </c>
      <c r="V17" s="64">
        <f>-V15*T6</f>
        <v>-402848.56015447172</v>
      </c>
      <c r="W17" s="64"/>
      <c r="X17" s="64"/>
      <c r="Y17" s="64"/>
      <c r="Z17" s="64"/>
      <c r="AA17" s="64"/>
    </row>
    <row r="18" spans="1:33" x14ac:dyDescent="0.3">
      <c r="C18" s="26" t="s">
        <v>114</v>
      </c>
      <c r="D18" s="64">
        <f>-(B7+B11)*D15</f>
        <v>-502231.91717962117</v>
      </c>
      <c r="E18" s="64"/>
      <c r="F18" s="64"/>
      <c r="G18" s="64"/>
      <c r="H18" s="64"/>
      <c r="I18" s="64"/>
      <c r="U18" s="26" t="s">
        <v>114</v>
      </c>
      <c r="V18" s="64">
        <f>-(T7+T11)*V15</f>
        <v>-369277.84680826578</v>
      </c>
      <c r="W18" s="64"/>
      <c r="X18" s="64"/>
      <c r="Y18" s="64"/>
      <c r="Z18" s="64"/>
      <c r="AA18" s="64"/>
    </row>
    <row r="19" spans="1:33" x14ac:dyDescent="0.3">
      <c r="C19" s="26" t="s">
        <v>102</v>
      </c>
      <c r="D19" s="64">
        <f>-D30</f>
        <v>-3449632.4476081394</v>
      </c>
      <c r="E19" s="64">
        <f>-(E30-D30)</f>
        <v>797813.3225613269</v>
      </c>
      <c r="F19" s="64">
        <f>-(F30-E30)</f>
        <v>373938.21879847581</v>
      </c>
      <c r="G19" s="64">
        <f>-(G30-F30)</f>
        <v>1065589.6086082254</v>
      </c>
      <c r="H19" s="64">
        <f>-(H30-G30)</f>
        <v>377930.16290533496</v>
      </c>
      <c r="I19" s="64">
        <f>-(I30-H30)</f>
        <v>438833.16214536503</v>
      </c>
      <c r="J19" s="64">
        <f t="shared" ref="J19:M19" si="3">-(J30-I30)</f>
        <v>269210.30574803287</v>
      </c>
      <c r="K19" s="64">
        <f t="shared" si="3"/>
        <v>42636.389663829003</v>
      </c>
      <c r="L19" s="64">
        <f t="shared" si="3"/>
        <v>55070.358546967153</v>
      </c>
      <c r="M19" s="64">
        <f t="shared" si="3"/>
        <v>28610.91863058228</v>
      </c>
      <c r="U19" s="26" t="s">
        <v>102</v>
      </c>
      <c r="V19" s="64">
        <f>-V30</f>
        <v>-2562707.4081062977</v>
      </c>
      <c r="W19" s="64">
        <f>-(W30-V30)</f>
        <v>0.51242569694295526</v>
      </c>
      <c r="X19" s="64">
        <f>-(X30-W30)</f>
        <v>0.31195608852431178</v>
      </c>
      <c r="Y19" s="64">
        <f>-(Y30-X30)</f>
        <v>1223971.933604134</v>
      </c>
      <c r="Z19" s="64">
        <f>-(Z30-Y30)</f>
        <v>-288261.12253020168</v>
      </c>
      <c r="AA19" s="64">
        <f>-(AA30-Z30)</f>
        <v>668143.62498831446</v>
      </c>
      <c r="AB19" s="64">
        <f t="shared" ref="AB19:AE19" si="4">-(AB30-AA30)</f>
        <v>920221.70246014581</v>
      </c>
      <c r="AC19" s="64">
        <f t="shared" si="4"/>
        <v>18505.378547935281</v>
      </c>
      <c r="AD19" s="64">
        <f t="shared" si="4"/>
        <v>12032.979457924608</v>
      </c>
      <c r="AE19" s="64">
        <f t="shared" si="4"/>
        <v>8092.0871962597594</v>
      </c>
    </row>
    <row r="20" spans="1:33" x14ac:dyDescent="0.3">
      <c r="C20" t="s">
        <v>103</v>
      </c>
      <c r="D20" s="64">
        <f>-D31</f>
        <v>-2069779.535456772</v>
      </c>
      <c r="E20" s="64">
        <f>D31</f>
        <v>2069779.535456772</v>
      </c>
      <c r="F20" s="64">
        <f t="shared" ref="F20:M20" si="5">E31</f>
        <v>0</v>
      </c>
      <c r="G20" s="64">
        <f t="shared" si="5"/>
        <v>0</v>
      </c>
      <c r="H20" s="64">
        <f t="shared" si="5"/>
        <v>0</v>
      </c>
      <c r="I20" s="64">
        <f t="shared" si="5"/>
        <v>0</v>
      </c>
      <c r="J20" s="64">
        <f t="shared" si="5"/>
        <v>0</v>
      </c>
      <c r="K20" s="64">
        <f t="shared" si="5"/>
        <v>0</v>
      </c>
      <c r="L20" s="64">
        <f t="shared" si="5"/>
        <v>0</v>
      </c>
      <c r="M20" s="64">
        <f t="shared" si="5"/>
        <v>0</v>
      </c>
      <c r="U20" t="s">
        <v>103</v>
      </c>
      <c r="V20" s="64">
        <f>-V31</f>
        <v>-1537624.5117556669</v>
      </c>
      <c r="W20" s="64">
        <f>V31</f>
        <v>1537624.5117556669</v>
      </c>
      <c r="X20" s="64">
        <f t="shared" ref="X20:AE20" si="6">W31</f>
        <v>0</v>
      </c>
      <c r="Y20" s="64">
        <f t="shared" si="6"/>
        <v>0</v>
      </c>
      <c r="Z20" s="64">
        <f t="shared" si="6"/>
        <v>0</v>
      </c>
      <c r="AA20" s="64">
        <f t="shared" si="6"/>
        <v>0</v>
      </c>
      <c r="AB20" s="64">
        <f t="shared" si="6"/>
        <v>0</v>
      </c>
      <c r="AC20" s="64">
        <f t="shared" si="6"/>
        <v>0</v>
      </c>
      <c r="AD20" s="64">
        <f t="shared" si="6"/>
        <v>0</v>
      </c>
      <c r="AE20" s="64">
        <f t="shared" si="6"/>
        <v>0</v>
      </c>
    </row>
    <row r="21" spans="1:33" x14ac:dyDescent="0.3">
      <c r="D21" s="64">
        <f>-D32</f>
        <v>-689926.4895216279</v>
      </c>
      <c r="E21" s="64">
        <f>-(E32-D32)</f>
        <v>159562.66451226536</v>
      </c>
      <c r="F21" s="64">
        <f>-(F32-E32)</f>
        <v>74787.643759695173</v>
      </c>
      <c r="G21" s="64">
        <f>-(G32-F32)</f>
        <v>213117.92172164511</v>
      </c>
      <c r="H21" s="64">
        <f>-(H32-G32)</f>
        <v>75586.032581066975</v>
      </c>
      <c r="I21" s="64">
        <f>-(I32-H32)</f>
        <v>87766.632429073012</v>
      </c>
      <c r="J21" s="64">
        <f t="shared" ref="J21:M21" si="7">-(J32-I32)</f>
        <v>53842.061149606583</v>
      </c>
      <c r="K21" s="64">
        <f t="shared" si="7"/>
        <v>8527.2779327658027</v>
      </c>
      <c r="L21" s="64">
        <f t="shared" si="7"/>
        <v>11014.071709393431</v>
      </c>
      <c r="M21" s="64">
        <f t="shared" si="7"/>
        <v>5722.1837261164565</v>
      </c>
      <c r="V21" s="64">
        <f>-V32</f>
        <v>-512541.48162125959</v>
      </c>
      <c r="W21" s="64">
        <f>-(W32-V32)</f>
        <v>0.10248513938859105</v>
      </c>
      <c r="X21" s="64">
        <f>-(X32-W32)</f>
        <v>6.2391217739786953E-2</v>
      </c>
      <c r="Y21" s="64">
        <f>-(Y32-X32)</f>
        <v>244794.38672082679</v>
      </c>
      <c r="Z21" s="64">
        <f>-(Z32-Y32)</f>
        <v>-57652.224506040337</v>
      </c>
      <c r="AA21" s="64">
        <f>-(AA32-Z32)</f>
        <v>133628.72499766291</v>
      </c>
      <c r="AB21" s="64">
        <f t="shared" ref="AB21:AE21" si="8">-(AB32-AA32)</f>
        <v>184044.34049202918</v>
      </c>
      <c r="AC21" s="64">
        <f t="shared" si="8"/>
        <v>3701.0757095870563</v>
      </c>
      <c r="AD21" s="64">
        <f t="shared" si="8"/>
        <v>2406.5958915849214</v>
      </c>
      <c r="AE21" s="64">
        <f t="shared" si="8"/>
        <v>1618.4174392519519</v>
      </c>
    </row>
    <row r="22" spans="1:33" x14ac:dyDescent="0.3">
      <c r="C22" s="26" t="s">
        <v>104</v>
      </c>
      <c r="D22" s="64">
        <f>0</f>
        <v>0</v>
      </c>
      <c r="E22" s="64">
        <f>$B10*D30</f>
        <v>103488.97342824418</v>
      </c>
      <c r="F22" s="64">
        <f t="shared" ref="F22:M22" si="9">$B10*E30</f>
        <v>79554.573751404372</v>
      </c>
      <c r="G22" s="64">
        <f t="shared" si="9"/>
        <v>68336.427187450099</v>
      </c>
      <c r="H22" s="64">
        <f t="shared" si="9"/>
        <v>36368.73892920334</v>
      </c>
      <c r="I22" s="64">
        <f t="shared" si="9"/>
        <v>25030.834042043291</v>
      </c>
      <c r="J22" s="64">
        <f t="shared" si="9"/>
        <v>11865.839177682339</v>
      </c>
      <c r="K22" s="64">
        <f t="shared" si="9"/>
        <v>3789.5300052413531</v>
      </c>
      <c r="L22" s="64">
        <f t="shared" si="9"/>
        <v>2510.438315326483</v>
      </c>
      <c r="M22" s="64">
        <f t="shared" si="9"/>
        <v>858.32755891746842</v>
      </c>
      <c r="U22" s="26" t="s">
        <v>104</v>
      </c>
      <c r="V22" s="64">
        <f>0</f>
        <v>0</v>
      </c>
      <c r="W22" s="64">
        <f>$B10*V30</f>
        <v>76881.222243188924</v>
      </c>
      <c r="X22" s="64">
        <f t="shared" ref="X22:AE22" si="10">$B10*W30</f>
        <v>76881.206870418027</v>
      </c>
      <c r="Y22" s="64">
        <f t="shared" si="10"/>
        <v>76881.197511735358</v>
      </c>
      <c r="Z22" s="64">
        <f t="shared" si="10"/>
        <v>40162.039503611348</v>
      </c>
      <c r="AA22" s="64">
        <f t="shared" si="10"/>
        <v>48809.873179517395</v>
      </c>
      <c r="AB22" s="64">
        <f t="shared" si="10"/>
        <v>28765.564429867962</v>
      </c>
      <c r="AC22" s="64">
        <f t="shared" si="10"/>
        <v>1158.9133560635894</v>
      </c>
      <c r="AD22" s="64">
        <f t="shared" si="10"/>
        <v>603.75199962553097</v>
      </c>
      <c r="AE22" s="64">
        <f t="shared" si="10"/>
        <v>242.76261588779278</v>
      </c>
    </row>
    <row r="23" spans="1:33" x14ac:dyDescent="0.3">
      <c r="C23" s="26" t="s">
        <v>105</v>
      </c>
      <c r="D23" s="64">
        <v>0</v>
      </c>
      <c r="E23" s="64">
        <f>$B10*(D31+D32)</f>
        <v>82791.180749351988</v>
      </c>
      <c r="F23" s="64">
        <f t="shared" ref="F23:M23" si="11">$B10*(E31+E32)</f>
        <v>15910.914750280876</v>
      </c>
      <c r="G23" s="64">
        <f t="shared" si="11"/>
        <v>13667.28543749002</v>
      </c>
      <c r="H23" s="64">
        <f t="shared" si="11"/>
        <v>7273.7477858406673</v>
      </c>
      <c r="I23" s="64">
        <f t="shared" si="11"/>
        <v>5006.1668084086587</v>
      </c>
      <c r="J23" s="64">
        <f t="shared" si="11"/>
        <v>2373.1678355364679</v>
      </c>
      <c r="K23" s="64">
        <f t="shared" si="11"/>
        <v>757.9060010482707</v>
      </c>
      <c r="L23" s="64">
        <f t="shared" si="11"/>
        <v>502.08766306529662</v>
      </c>
      <c r="M23" s="64">
        <f t="shared" si="11"/>
        <v>171.66551178349368</v>
      </c>
      <c r="U23" s="26" t="s">
        <v>105</v>
      </c>
      <c r="V23" s="64">
        <v>0</v>
      </c>
      <c r="W23" s="64">
        <f>$B10*(V31+V32)</f>
        <v>61504.979801307796</v>
      </c>
      <c r="X23" s="64">
        <f t="shared" ref="X23:AE23" si="12">$B10*(W31+W32)</f>
        <v>15376.241374083605</v>
      </c>
      <c r="Y23" s="64">
        <f t="shared" si="12"/>
        <v>15376.239502347073</v>
      </c>
      <c r="Z23" s="64">
        <f t="shared" si="12"/>
        <v>8032.4079007222699</v>
      </c>
      <c r="AA23" s="64">
        <f t="shared" si="12"/>
        <v>9761.9746359034798</v>
      </c>
      <c r="AB23" s="64">
        <f t="shared" si="12"/>
        <v>5753.1128859735927</v>
      </c>
      <c r="AC23" s="64">
        <f t="shared" si="12"/>
        <v>231.7826712127179</v>
      </c>
      <c r="AD23" s="64">
        <f t="shared" si="12"/>
        <v>120.75039992510621</v>
      </c>
      <c r="AE23" s="64">
        <f t="shared" si="12"/>
        <v>48.552523177558555</v>
      </c>
    </row>
    <row r="24" spans="1:33" x14ac:dyDescent="0.3">
      <c r="D24" s="64"/>
      <c r="E24" s="64"/>
      <c r="F24" s="64"/>
      <c r="G24" s="64"/>
      <c r="H24" s="64"/>
      <c r="I24" s="64"/>
      <c r="V24" s="64"/>
      <c r="W24" s="64"/>
      <c r="X24" s="64"/>
      <c r="Y24" s="64"/>
      <c r="Z24" s="64"/>
      <c r="AA24" s="64"/>
    </row>
    <row r="25" spans="1:33" x14ac:dyDescent="0.3">
      <c r="C25" t="s">
        <v>98</v>
      </c>
      <c r="D25" s="64">
        <f>SUM(D15:D23)</f>
        <v>-2693715.1638156716</v>
      </c>
      <c r="E25" s="64">
        <f>SUM(E15:E23)</f>
        <v>2415622.3541466333</v>
      </c>
      <c r="F25" s="64">
        <f>SUM(F15:F23)</f>
        <v>170253.13226138052</v>
      </c>
      <c r="G25" s="64">
        <f t="shared" ref="G25:M25" si="13">SUM(G15:G23)</f>
        <v>295121.63434658526</v>
      </c>
      <c r="H25" s="64">
        <f t="shared" si="13"/>
        <v>119228.51929611097</v>
      </c>
      <c r="I25" s="64">
        <f t="shared" si="13"/>
        <v>117803.63327952496</v>
      </c>
      <c r="J25" s="64">
        <f t="shared" si="13"/>
        <v>68081.068162825395</v>
      </c>
      <c r="K25" s="64">
        <f t="shared" si="13"/>
        <v>13074.713939055426</v>
      </c>
      <c r="L25" s="64">
        <f t="shared" si="13"/>
        <v>14026.59768778521</v>
      </c>
      <c r="M25" s="64">
        <f t="shared" si="13"/>
        <v>6752.1767968174181</v>
      </c>
      <c r="U25" t="s">
        <v>98</v>
      </c>
      <c r="V25" s="64">
        <f>SUM(V15:V23)</f>
        <v>-2027928.5853118445</v>
      </c>
      <c r="W25" s="64">
        <f>SUM(W15:W23)</f>
        <v>1676010.8162853031</v>
      </c>
      <c r="X25" s="64">
        <f>SUM(X15:X23)</f>
        <v>92257.510635719242</v>
      </c>
      <c r="Y25" s="64">
        <f t="shared" ref="Y25:AE25" si="14">SUM(Y15:Y23)</f>
        <v>337051.82373490924</v>
      </c>
      <c r="Z25" s="64">
        <f t="shared" si="14"/>
        <v>-9457.7771017067189</v>
      </c>
      <c r="AA25" s="64">
        <f t="shared" si="14"/>
        <v>192200.5728130838</v>
      </c>
      <c r="AB25" s="64">
        <f t="shared" si="14"/>
        <v>218563.01780787072</v>
      </c>
      <c r="AC25" s="64">
        <f t="shared" si="14"/>
        <v>5091.7717368633639</v>
      </c>
      <c r="AD25" s="64">
        <f t="shared" si="14"/>
        <v>3131.0982911355586</v>
      </c>
      <c r="AE25" s="64">
        <f t="shared" si="14"/>
        <v>1909.7325783173033</v>
      </c>
    </row>
    <row r="26" spans="1:33" x14ac:dyDescent="0.3">
      <c r="C26" s="26" t="s">
        <v>106</v>
      </c>
      <c r="D26" s="64">
        <f>D25/(1+$B5)^D14</f>
        <v>-2545321.5808213861</v>
      </c>
      <c r="E26" s="64">
        <f t="shared" ref="E26:M26" si="15">E25/(1+$B5)^E14</f>
        <v>2037989.7992730825</v>
      </c>
      <c r="F26" s="64">
        <f t="shared" si="15"/>
        <v>128247.83843539329</v>
      </c>
      <c r="G26" s="64">
        <f t="shared" si="15"/>
        <v>198489.69662400655</v>
      </c>
      <c r="H26" s="64">
        <f t="shared" si="15"/>
        <v>71597.69623588401</v>
      </c>
      <c r="I26" s="64">
        <f t="shared" si="15"/>
        <v>63162.536237325796</v>
      </c>
      <c r="J26" s="64">
        <f t="shared" si="15"/>
        <v>32591.865068757175</v>
      </c>
      <c r="K26" s="64">
        <f t="shared" si="15"/>
        <v>5588.5227821225835</v>
      </c>
      <c r="L26" s="64">
        <f t="shared" si="15"/>
        <v>5353.0234758072675</v>
      </c>
      <c r="M26" s="64">
        <f t="shared" si="15"/>
        <v>2300.7667360850901</v>
      </c>
      <c r="U26" s="26" t="s">
        <v>106</v>
      </c>
      <c r="V26" s="64">
        <f>V25/(1+$B5)^V14</f>
        <v>-1916212.3976193473</v>
      </c>
      <c r="W26" s="64">
        <f t="shared" ref="W26:AE26" si="16">W25/(1+$B5)^W14</f>
        <v>1414001.2163728555</v>
      </c>
      <c r="X26" s="64">
        <f t="shared" si="16"/>
        <v>69495.498621996157</v>
      </c>
      <c r="Y26" s="64">
        <f t="shared" si="16"/>
        <v>226690.64702028123</v>
      </c>
      <c r="Z26" s="64">
        <f t="shared" si="16"/>
        <v>-5679.4721262363673</v>
      </c>
      <c r="AA26" s="64">
        <f t="shared" si="16"/>
        <v>103051.79311690354</v>
      </c>
      <c r="AB26" s="64">
        <f t="shared" si="16"/>
        <v>104630.7964554543</v>
      </c>
      <c r="AC26" s="64">
        <f t="shared" si="16"/>
        <v>2176.3751379546079</v>
      </c>
      <c r="AD26" s="64">
        <f t="shared" si="16"/>
        <v>1194.9328718613294</v>
      </c>
      <c r="AE26" s="64">
        <f t="shared" si="16"/>
        <v>650.73076775499567</v>
      </c>
    </row>
    <row r="27" spans="1:33" x14ac:dyDescent="0.3">
      <c r="C27" s="26" t="s">
        <v>107</v>
      </c>
      <c r="D27" s="80">
        <f>SUM(D26:M26)</f>
        <v>0.16404707821493503</v>
      </c>
      <c r="E27" s="64"/>
      <c r="F27" s="64"/>
      <c r="G27" s="64"/>
      <c r="H27" s="64"/>
      <c r="I27" s="64"/>
      <c r="U27" s="26" t="s">
        <v>107</v>
      </c>
      <c r="V27" s="80">
        <f>SUM(V26:AE26)</f>
        <v>0.12061947794586558</v>
      </c>
      <c r="W27" s="64"/>
      <c r="X27" s="64"/>
      <c r="Y27" s="64"/>
      <c r="Z27" s="64"/>
      <c r="AA27" s="64"/>
    </row>
    <row r="28" spans="1:33" x14ac:dyDescent="0.3">
      <c r="D28" s="64"/>
      <c r="E28" s="64"/>
      <c r="F28" s="64"/>
      <c r="G28" s="64"/>
      <c r="H28" s="64"/>
      <c r="I28" s="64"/>
      <c r="V28" s="64"/>
      <c r="W28" s="64"/>
      <c r="X28" s="64"/>
      <c r="Y28" s="64"/>
      <c r="Z28" s="64"/>
      <c r="AA28" s="64"/>
    </row>
    <row r="29" spans="1:33" x14ac:dyDescent="0.3">
      <c r="D29" s="64"/>
      <c r="E29" s="64"/>
      <c r="F29" s="64"/>
      <c r="G29" s="64"/>
      <c r="H29" s="64"/>
      <c r="I29" s="64"/>
      <c r="V29" s="64"/>
      <c r="W29" s="64"/>
      <c r="X29" s="64"/>
      <c r="Y29" s="64"/>
      <c r="Z29" s="64"/>
      <c r="AA29" s="64"/>
    </row>
    <row r="30" spans="1:33" ht="27" x14ac:dyDescent="0.3">
      <c r="A30" s="81" t="s">
        <v>108</v>
      </c>
      <c r="C30" s="26" t="s">
        <v>109</v>
      </c>
      <c r="D30" s="64">
        <f>Patterns!T125</f>
        <v>3449632.4476081394</v>
      </c>
      <c r="E30" s="64">
        <f>Patterns!U125</f>
        <v>2651819.1250468125</v>
      </c>
      <c r="F30" s="64">
        <f>Patterns!V125</f>
        <v>2277880.9062483367</v>
      </c>
      <c r="G30" s="64">
        <f>Patterns!W125</f>
        <v>1212291.2976401113</v>
      </c>
      <c r="H30" s="64">
        <f>Patterns!X125</f>
        <v>834361.13473477634</v>
      </c>
      <c r="I30" s="64">
        <f>Patterns!Y125</f>
        <v>395527.97258941131</v>
      </c>
      <c r="J30" s="64">
        <f>Patterns!Z125</f>
        <v>126317.66684137844</v>
      </c>
      <c r="K30" s="64">
        <f>Patterns!AA125</f>
        <v>83681.277177549433</v>
      </c>
      <c r="L30" s="64">
        <f>Patterns!AB125</f>
        <v>28610.91863058228</v>
      </c>
      <c r="M30" s="64">
        <f>Patterns!AC125</f>
        <v>0</v>
      </c>
      <c r="N30" s="64"/>
      <c r="O30" s="64"/>
      <c r="S30" s="81" t="s">
        <v>108</v>
      </c>
      <c r="U30" s="26" t="s">
        <v>109</v>
      </c>
      <c r="V30" s="64">
        <f>Patterns!AL125</f>
        <v>2562707.4081062977</v>
      </c>
      <c r="W30" s="64">
        <f>Patterns!AM125</f>
        <v>2562706.8956806008</v>
      </c>
      <c r="X30" s="64">
        <f>Patterns!AN125</f>
        <v>2562706.5837245123</v>
      </c>
      <c r="Y30" s="64">
        <f>Patterns!AO125</f>
        <v>1338734.6501203782</v>
      </c>
      <c r="Z30" s="64">
        <f>Patterns!AP125</f>
        <v>1626995.7726505799</v>
      </c>
      <c r="AA30" s="64">
        <f>Patterns!AQ125</f>
        <v>958852.14766226546</v>
      </c>
      <c r="AB30" s="64">
        <f>Patterns!AR125</f>
        <v>38630.445202119648</v>
      </c>
      <c r="AC30" s="64">
        <f>Patterns!AS125</f>
        <v>20125.066654184368</v>
      </c>
      <c r="AD30" s="64">
        <f>Patterns!AT125</f>
        <v>8092.0871962597594</v>
      </c>
      <c r="AE30" s="64">
        <f>Patterns!AU125</f>
        <v>0</v>
      </c>
      <c r="AF30" s="64"/>
      <c r="AG30" s="64"/>
    </row>
    <row r="31" spans="1:33" x14ac:dyDescent="0.3">
      <c r="C31" t="s">
        <v>93</v>
      </c>
      <c r="D31" s="64">
        <f>D8</f>
        <v>2069779.535456772</v>
      </c>
      <c r="E31" s="64">
        <f>0</f>
        <v>0</v>
      </c>
      <c r="F31" s="64">
        <f>0</f>
        <v>0</v>
      </c>
      <c r="G31" s="64">
        <f>0</f>
        <v>0</v>
      </c>
      <c r="H31" s="64">
        <f>0</f>
        <v>0</v>
      </c>
      <c r="I31" s="64">
        <f>0</f>
        <v>0</v>
      </c>
      <c r="J31" s="64">
        <f>0</f>
        <v>0</v>
      </c>
      <c r="K31" s="64">
        <f>0</f>
        <v>0</v>
      </c>
      <c r="L31" s="64">
        <f>0</f>
        <v>0</v>
      </c>
      <c r="M31" s="64">
        <f>0</f>
        <v>0</v>
      </c>
      <c r="U31" t="s">
        <v>93</v>
      </c>
      <c r="V31" s="64">
        <f>V8</f>
        <v>1537624.5117556669</v>
      </c>
      <c r="W31" s="64">
        <f>0</f>
        <v>0</v>
      </c>
      <c r="X31" s="64">
        <f>0</f>
        <v>0</v>
      </c>
      <c r="Y31" s="64">
        <f>0</f>
        <v>0</v>
      </c>
      <c r="Z31" s="64">
        <f>0</f>
        <v>0</v>
      </c>
      <c r="AA31" s="64">
        <f>0</f>
        <v>0</v>
      </c>
      <c r="AB31" s="64">
        <f>0</f>
        <v>0</v>
      </c>
      <c r="AC31" s="64">
        <f>0</f>
        <v>0</v>
      </c>
      <c r="AD31" s="64">
        <f>0</f>
        <v>0</v>
      </c>
      <c r="AE31" s="64">
        <f>0</f>
        <v>0</v>
      </c>
    </row>
    <row r="32" spans="1:33" x14ac:dyDescent="0.3">
      <c r="D32" s="64">
        <f>$B9*D30</f>
        <v>689926.4895216279</v>
      </c>
      <c r="E32" s="64">
        <f t="shared" ref="E32:M32" si="17">$B9*E30</f>
        <v>530363.82500936254</v>
      </c>
      <c r="F32" s="64">
        <f t="shared" si="17"/>
        <v>455576.18124966737</v>
      </c>
      <c r="G32" s="64">
        <f t="shared" si="17"/>
        <v>242458.25952802226</v>
      </c>
      <c r="H32" s="64">
        <f t="shared" si="17"/>
        <v>166872.22694695528</v>
      </c>
      <c r="I32" s="64">
        <f t="shared" si="17"/>
        <v>79105.594517882273</v>
      </c>
      <c r="J32" s="64">
        <f t="shared" si="17"/>
        <v>25263.53336827569</v>
      </c>
      <c r="K32" s="64">
        <f t="shared" si="17"/>
        <v>16736.255435509887</v>
      </c>
      <c r="L32" s="64">
        <f t="shared" si="17"/>
        <v>5722.1837261164565</v>
      </c>
      <c r="M32" s="64">
        <f t="shared" si="17"/>
        <v>0</v>
      </c>
      <c r="V32" s="64">
        <f>$B9*V30</f>
        <v>512541.48162125959</v>
      </c>
      <c r="W32" s="64">
        <f t="shared" ref="W32:AE32" si="18">$B9*W30</f>
        <v>512541.3791361202</v>
      </c>
      <c r="X32" s="64">
        <f t="shared" si="18"/>
        <v>512541.31674490246</v>
      </c>
      <c r="Y32" s="64">
        <f t="shared" si="18"/>
        <v>267746.93002407567</v>
      </c>
      <c r="Z32" s="64">
        <f t="shared" si="18"/>
        <v>325399.15453011601</v>
      </c>
      <c r="AA32" s="64">
        <f t="shared" si="18"/>
        <v>191770.4295324531</v>
      </c>
      <c r="AB32" s="64">
        <f t="shared" si="18"/>
        <v>7726.0890404239299</v>
      </c>
      <c r="AC32" s="64">
        <f t="shared" si="18"/>
        <v>4025.0133308368736</v>
      </c>
      <c r="AD32" s="64">
        <f t="shared" si="18"/>
        <v>1618.4174392519519</v>
      </c>
      <c r="AE32" s="64">
        <f t="shared" si="18"/>
        <v>0</v>
      </c>
    </row>
    <row r="38" spans="1:4" x14ac:dyDescent="0.3">
      <c r="B38" s="80" t="s">
        <v>146</v>
      </c>
      <c r="C38" s="80" t="s">
        <v>129</v>
      </c>
      <c r="D38" s="80" t="s">
        <v>130</v>
      </c>
    </row>
    <row r="39" spans="1:4" x14ac:dyDescent="0.3">
      <c r="A39" s="80" t="s">
        <v>124</v>
      </c>
      <c r="B39" s="82">
        <v>4450156.0084129591</v>
      </c>
      <c r="C39" s="82">
        <v>4340275.5032631103</v>
      </c>
      <c r="D39" s="82">
        <v>4565744.7016329197</v>
      </c>
    </row>
    <row r="40" spans="1:4" x14ac:dyDescent="0.3">
      <c r="A40" s="80" t="s">
        <v>127</v>
      </c>
      <c r="B40" s="82">
        <v>3272082.0253243102</v>
      </c>
      <c r="C40" s="82">
        <v>3191289.79575872</v>
      </c>
      <c r="D40" s="82">
        <v>3357071.3346205978</v>
      </c>
    </row>
    <row r="42" spans="1:4" x14ac:dyDescent="0.3">
      <c r="A42" s="34" t="s">
        <v>131</v>
      </c>
    </row>
  </sheetData>
  <mergeCells count="2">
    <mergeCell ref="A3:E3"/>
    <mergeCell ref="S3:W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B24CB-36FF-4677-BA7D-E3654D033362}">
  <dimension ref="A1:AG43"/>
  <sheetViews>
    <sheetView topLeftCell="A20" zoomScale="94" workbookViewId="0">
      <selection activeCell="B41" sqref="B41"/>
    </sheetView>
  </sheetViews>
  <sheetFormatPr baseColWidth="10" defaultRowHeight="14.4" x14ac:dyDescent="0.3"/>
  <cols>
    <col min="1" max="1" width="24.21875" bestFit="1" customWidth="1"/>
    <col min="2" max="2" width="15.33203125" bestFit="1" customWidth="1"/>
    <col min="3" max="3" width="21.6640625" bestFit="1" customWidth="1"/>
    <col min="4" max="4" width="16.33203125" bestFit="1" customWidth="1"/>
    <col min="5" max="7" width="13.109375" bestFit="1" customWidth="1"/>
    <col min="8" max="10" width="11.5546875" bestFit="1" customWidth="1"/>
    <col min="11" max="11" width="12.44140625" bestFit="1" customWidth="1"/>
    <col min="21" max="21" width="21.6640625" bestFit="1" customWidth="1"/>
    <col min="22" max="22" width="17.21875" bestFit="1" customWidth="1"/>
    <col min="23" max="23" width="13.109375" bestFit="1" customWidth="1"/>
    <col min="24" max="24" width="12.44140625" bestFit="1" customWidth="1"/>
    <col min="25" max="26" width="13.109375" bestFit="1" customWidth="1"/>
    <col min="27" max="28" width="11.5546875" bestFit="1" customWidth="1"/>
    <col min="29" max="30" width="10.5546875" bestFit="1" customWidth="1"/>
    <col min="31" max="31" width="9.44140625" bestFit="1" customWidth="1"/>
  </cols>
  <sheetData>
    <row r="1" spans="1:33" x14ac:dyDescent="0.3">
      <c r="A1" s="34" t="s">
        <v>89</v>
      </c>
    </row>
    <row r="3" spans="1:33" x14ac:dyDescent="0.3">
      <c r="A3" s="87" t="s">
        <v>90</v>
      </c>
      <c r="B3" s="87"/>
      <c r="C3" s="87"/>
      <c r="D3" s="87"/>
      <c r="E3" s="87"/>
      <c r="S3" s="87" t="s">
        <v>147</v>
      </c>
      <c r="T3" s="87"/>
      <c r="U3" s="87"/>
      <c r="V3" s="87"/>
      <c r="W3" s="87"/>
    </row>
    <row r="5" spans="1:33" x14ac:dyDescent="0.3">
      <c r="A5" t="s">
        <v>149</v>
      </c>
      <c r="B5" s="76">
        <v>0.12</v>
      </c>
    </row>
    <row r="6" spans="1:33" x14ac:dyDescent="0.3">
      <c r="A6" s="26" t="s">
        <v>91</v>
      </c>
      <c r="B6" s="76">
        <v>0.1</v>
      </c>
      <c r="S6" s="26" t="s">
        <v>91</v>
      </c>
      <c r="T6" s="76">
        <v>0.1</v>
      </c>
    </row>
    <row r="7" spans="1:33" x14ac:dyDescent="0.3">
      <c r="A7" s="26" t="s">
        <v>92</v>
      </c>
      <c r="B7" s="76">
        <v>0.05</v>
      </c>
      <c r="N7" s="33" t="s">
        <v>98</v>
      </c>
      <c r="S7" s="26" t="s">
        <v>92</v>
      </c>
      <c r="T7" s="76">
        <v>0.05</v>
      </c>
      <c r="AF7" s="33" t="s">
        <v>98</v>
      </c>
    </row>
    <row r="8" spans="1:33" x14ac:dyDescent="0.3">
      <c r="A8" s="26" t="s">
        <v>93</v>
      </c>
      <c r="B8" s="76">
        <v>0.6</v>
      </c>
      <c r="C8" s="26" t="s">
        <v>94</v>
      </c>
      <c r="D8" s="45">
        <f>$B$8*Patterns!$T$123</f>
        <v>2069779.535456772</v>
      </c>
      <c r="E8" s="45">
        <f>0</f>
        <v>0</v>
      </c>
      <c r="F8" s="45">
        <f>0</f>
        <v>0</v>
      </c>
      <c r="G8" s="45">
        <f>0</f>
        <v>0</v>
      </c>
      <c r="H8" s="45">
        <f>0</f>
        <v>0</v>
      </c>
      <c r="I8" s="45">
        <f>0</f>
        <v>0</v>
      </c>
      <c r="J8" s="45">
        <f>0</f>
        <v>0</v>
      </c>
      <c r="K8" s="45">
        <f>0</f>
        <v>0</v>
      </c>
      <c r="L8" s="45">
        <f>0</f>
        <v>0</v>
      </c>
      <c r="M8" s="45">
        <f>0</f>
        <v>0</v>
      </c>
      <c r="N8" s="45">
        <f>SUM(D8:M8)</f>
        <v>2069779.535456772</v>
      </c>
      <c r="O8" s="33" t="s">
        <v>111</v>
      </c>
      <c r="S8" s="26" t="s">
        <v>93</v>
      </c>
      <c r="T8" s="76">
        <v>0.6</v>
      </c>
      <c r="U8" s="26" t="s">
        <v>94</v>
      </c>
      <c r="V8" s="45">
        <f>$B$8*Patterns!AL123</f>
        <v>1537624.5117556669</v>
      </c>
      <c r="W8" s="45">
        <f>0</f>
        <v>0</v>
      </c>
      <c r="X8" s="45">
        <f>0</f>
        <v>0</v>
      </c>
      <c r="Y8" s="45">
        <f>0</f>
        <v>0</v>
      </c>
      <c r="Z8" s="45">
        <f>0</f>
        <v>0</v>
      </c>
      <c r="AA8" s="45">
        <f>0</f>
        <v>0</v>
      </c>
      <c r="AB8" s="45">
        <f>0</f>
        <v>0</v>
      </c>
      <c r="AC8" s="45">
        <f>0</f>
        <v>0</v>
      </c>
      <c r="AD8" s="45">
        <f>0</f>
        <v>0</v>
      </c>
      <c r="AE8" s="45">
        <f>0</f>
        <v>0</v>
      </c>
      <c r="AF8" s="45">
        <f>SUM(V8:AE8)</f>
        <v>1537624.5117556669</v>
      </c>
      <c r="AG8" s="33" t="s">
        <v>111</v>
      </c>
    </row>
    <row r="9" spans="1:33" x14ac:dyDescent="0.3">
      <c r="B9" s="76">
        <v>0.2</v>
      </c>
      <c r="C9" s="26" t="s">
        <v>95</v>
      </c>
      <c r="D9" s="45">
        <f>$B$9*Patterns!T$125</f>
        <v>689926.4895216279</v>
      </c>
      <c r="E9" s="45">
        <f>$B$9*Patterns!U$125</f>
        <v>530363.82500936254</v>
      </c>
      <c r="F9" s="45">
        <f>$B$9*Patterns!V$125</f>
        <v>455576.18124966737</v>
      </c>
      <c r="G9" s="45">
        <f>$B$9*Patterns!W$125</f>
        <v>242458.25952802226</v>
      </c>
      <c r="H9" s="45">
        <f>$B$9*Patterns!X$125</f>
        <v>166872.22694695528</v>
      </c>
      <c r="I9" s="45">
        <f>$B$9*Patterns!Y$125</f>
        <v>79105.594517882273</v>
      </c>
      <c r="J9" s="45">
        <f>$B$9*Patterns!Z$125</f>
        <v>25263.53336827569</v>
      </c>
      <c r="K9" s="45">
        <f>$B$9*Patterns!AA$125</f>
        <v>16736.255435509887</v>
      </c>
      <c r="L9" s="45">
        <f>$B$9*Patterns!AB$125</f>
        <v>5722.1837261164565</v>
      </c>
      <c r="M9" s="45">
        <f>$B$9*Patterns!AC$125</f>
        <v>0</v>
      </c>
      <c r="N9" s="45">
        <f>SUM(D9:M9)</f>
        <v>2212024.5493034199</v>
      </c>
      <c r="O9" s="45">
        <f>B6*(N8+N9)</f>
        <v>428180.40847601922</v>
      </c>
      <c r="T9" s="76">
        <v>0.2</v>
      </c>
      <c r="U9" s="26" t="s">
        <v>95</v>
      </c>
      <c r="V9" s="45">
        <f>$B$9*Patterns!AL$125</f>
        <v>512541.48162125959</v>
      </c>
      <c r="W9" s="45">
        <f>$B$9*Patterns!AM$125</f>
        <v>512541.3791361202</v>
      </c>
      <c r="X9" s="45">
        <f>$B$9*Patterns!AN$125</f>
        <v>512541.31674490246</v>
      </c>
      <c r="Y9" s="45">
        <f>$B$9*Patterns!AO$125</f>
        <v>267746.93002407567</v>
      </c>
      <c r="Z9" s="45">
        <f>$B$9*Patterns!AP$125</f>
        <v>325399.15453011601</v>
      </c>
      <c r="AA9" s="45">
        <f>$B$9*Patterns!AQ$125</f>
        <v>191770.4295324531</v>
      </c>
      <c r="AB9" s="45">
        <f>$B$9*Patterns!AR$125</f>
        <v>7726.0890404239299</v>
      </c>
      <c r="AC9" s="45">
        <f>$B$9*Patterns!AS$125</f>
        <v>4025.0133308368736</v>
      </c>
      <c r="AD9" s="45">
        <f>$B$9*Patterns!AT$125</f>
        <v>1618.4174392519519</v>
      </c>
      <c r="AE9" s="45">
        <f>$B$9*Patterns!AU$125</f>
        <v>0</v>
      </c>
      <c r="AF9" s="45">
        <f>SUM(V9:AE9)</f>
        <v>2335910.2113994393</v>
      </c>
      <c r="AG9" s="45">
        <f>T6*(AF8+AF9)</f>
        <v>387353.47231551068</v>
      </c>
    </row>
    <row r="10" spans="1:33" x14ac:dyDescent="0.3">
      <c r="A10" s="26" t="s">
        <v>96</v>
      </c>
      <c r="B10" s="76">
        <v>0.03</v>
      </c>
      <c r="S10" s="26" t="s">
        <v>96</v>
      </c>
      <c r="T10" s="76">
        <v>0.03</v>
      </c>
    </row>
    <row r="11" spans="1:33" x14ac:dyDescent="0.3">
      <c r="A11" s="26" t="s">
        <v>110</v>
      </c>
      <c r="B11" s="76">
        <v>0.06</v>
      </c>
      <c r="C11" t="s">
        <v>94</v>
      </c>
      <c r="D11" s="47"/>
      <c r="S11" s="26" t="s">
        <v>110</v>
      </c>
      <c r="T11" s="76">
        <v>0.06</v>
      </c>
      <c r="U11" t="s">
        <v>94</v>
      </c>
      <c r="V11" s="47"/>
    </row>
    <row r="13" spans="1:33" x14ac:dyDescent="0.3">
      <c r="A13" s="26"/>
      <c r="B13" s="76"/>
      <c r="D13" s="39" t="s">
        <v>97</v>
      </c>
      <c r="S13" s="26"/>
      <c r="T13" s="76"/>
      <c r="V13" s="39" t="s">
        <v>97</v>
      </c>
    </row>
    <row r="14" spans="1:33" ht="15" thickBot="1" x14ac:dyDescent="0.35">
      <c r="D14" s="39">
        <v>0.5</v>
      </c>
      <c r="E14" s="77">
        <f>D14+1</f>
        <v>1.5</v>
      </c>
      <c r="F14" s="77">
        <f>E14+1</f>
        <v>2.5</v>
      </c>
      <c r="G14" s="77">
        <f>F14+1</f>
        <v>3.5</v>
      </c>
      <c r="H14" s="77">
        <f>G14+1</f>
        <v>4.5</v>
      </c>
      <c r="I14" s="78">
        <f>H14+1</f>
        <v>5.5</v>
      </c>
      <c r="J14" s="78">
        <v>6.5</v>
      </c>
      <c r="K14" s="78">
        <f t="shared" ref="K14:M14" si="0">J14+1</f>
        <v>7.5</v>
      </c>
      <c r="L14" s="78">
        <f>K14+1</f>
        <v>8.5</v>
      </c>
      <c r="M14" s="78">
        <f t="shared" si="0"/>
        <v>9.5</v>
      </c>
      <c r="V14" s="39">
        <v>0.5</v>
      </c>
      <c r="W14" s="77">
        <f>V14+1</f>
        <v>1.5</v>
      </c>
      <c r="X14" s="77">
        <f>W14+1</f>
        <v>2.5</v>
      </c>
      <c r="Y14" s="77">
        <f>X14+1</f>
        <v>3.5</v>
      </c>
      <c r="Z14" s="77">
        <f>Y14+1</f>
        <v>4.5</v>
      </c>
      <c r="AA14" s="78">
        <f>Z14+1</f>
        <v>5.5</v>
      </c>
      <c r="AB14" s="78">
        <v>6.5</v>
      </c>
      <c r="AC14" s="78">
        <f t="shared" ref="AC14" si="1">AB14+1</f>
        <v>7.5</v>
      </c>
      <c r="AD14" s="78">
        <f>AC14+1</f>
        <v>8.5</v>
      </c>
      <c r="AE14" s="78">
        <f t="shared" ref="AE14" si="2">AD14+1</f>
        <v>9.5</v>
      </c>
    </row>
    <row r="15" spans="1:33" ht="15" thickBot="1" x14ac:dyDescent="0.35">
      <c r="A15" s="26" t="s">
        <v>99</v>
      </c>
      <c r="C15" s="26" t="s">
        <v>100</v>
      </c>
      <c r="D15" s="79">
        <v>4450156.3713518959</v>
      </c>
      <c r="E15" s="64"/>
      <c r="F15" s="64"/>
      <c r="G15" s="64"/>
      <c r="H15" s="64"/>
      <c r="I15" s="64"/>
      <c r="S15" s="26" t="s">
        <v>99</v>
      </c>
      <c r="U15" s="26" t="s">
        <v>100</v>
      </c>
      <c r="V15" s="79">
        <v>3272082.2680391809</v>
      </c>
      <c r="W15" s="64"/>
      <c r="X15" s="64"/>
      <c r="Y15" s="64"/>
      <c r="Z15" s="64"/>
      <c r="AA15" s="64"/>
    </row>
    <row r="16" spans="1:33" x14ac:dyDescent="0.3">
      <c r="C16" s="26" t="s">
        <v>101</v>
      </c>
      <c r="D16" s="64">
        <f>-Patterns!T124</f>
        <v>-0.11148648043978969</v>
      </c>
      <c r="E16" s="64">
        <f>-(Patterns!U$124-Patterns!T$124)</f>
        <v>-797813.32256132714</v>
      </c>
      <c r="F16" s="64">
        <f>-(Patterns!V$124-Patterns!U$124)</f>
        <v>-373938.21879847569</v>
      </c>
      <c r="G16" s="64">
        <f>-(Patterns!W$124-Patterns!V$124)</f>
        <v>-1065589.6086082254</v>
      </c>
      <c r="H16" s="64">
        <f>-(Patterns!X$124-Patterns!W$124)</f>
        <v>-377930.16290533496</v>
      </c>
      <c r="I16" s="64">
        <f>-(Patterns!Y$124-Patterns!X$124)</f>
        <v>-438833.16214536503</v>
      </c>
      <c r="J16" s="64">
        <f>-(Patterns!Z$124-Patterns!Y$124)</f>
        <v>-269210.30574803287</v>
      </c>
      <c r="K16" s="64">
        <f>-(Patterns!AA$124-Patterns!Z$124)</f>
        <v>-42636.389663829003</v>
      </c>
      <c r="L16" s="64">
        <f>-(Patterns!AB$124-Patterns!AA$124)</f>
        <v>-55070.358546967153</v>
      </c>
      <c r="M16" s="64">
        <f>-(Patterns!AC$124-Patterns!AB$124)</f>
        <v>-28610.91863058228</v>
      </c>
      <c r="U16" s="26" t="s">
        <v>101</v>
      </c>
      <c r="V16" s="64">
        <f>-Patterns!AL124</f>
        <v>-0.11148648043978969</v>
      </c>
      <c r="W16" s="64">
        <f>-(Patterns!AM$124-Patterns!AL$124)</f>
        <v>-0.5124256968666514</v>
      </c>
      <c r="X16" s="64">
        <f>-(Patterns!AN$124-Patterns!AM$124)</f>
        <v>-0.31195608865322066</v>
      </c>
      <c r="Y16" s="64">
        <f>-(Patterns!AO$124-Patterns!AN$124)</f>
        <v>-1223971.933604134</v>
      </c>
      <c r="Z16" s="64">
        <f>-(Patterns!AP$124-Patterns!AO$124)</f>
        <v>288261.12253020168</v>
      </c>
      <c r="AA16" s="64">
        <f>-(Patterns!AQ$124-Patterns!AP$124)</f>
        <v>-668143.62498831446</v>
      </c>
      <c r="AB16" s="64">
        <f>-(Patterns!AR$124-Patterns!AQ$124)</f>
        <v>-920221.70246014581</v>
      </c>
      <c r="AC16" s="64">
        <f>-(Patterns!AS$124-Patterns!AR$124)</f>
        <v>-18505.378547935281</v>
      </c>
      <c r="AD16" s="64">
        <f>-(Patterns!AT$124-Patterns!AS$124)</f>
        <v>-12032.979457924608</v>
      </c>
      <c r="AE16" s="64">
        <f>-(Patterns!AU$124-Patterns!AT$124)</f>
        <v>-8092.0871962597594</v>
      </c>
    </row>
    <row r="17" spans="1:33" x14ac:dyDescent="0.3">
      <c r="C17" s="26" t="s">
        <v>91</v>
      </c>
      <c r="D17" s="64">
        <f>-D15*B6</f>
        <v>-445015.63713518961</v>
      </c>
      <c r="E17" s="64"/>
      <c r="F17" s="64"/>
      <c r="G17" s="64"/>
      <c r="H17" s="64"/>
      <c r="I17" s="64"/>
      <c r="U17" s="26" t="s">
        <v>91</v>
      </c>
      <c r="V17" s="64">
        <f>-V15*T6</f>
        <v>-327208.22680391814</v>
      </c>
      <c r="W17" s="64"/>
      <c r="X17" s="64"/>
      <c r="Y17" s="64"/>
      <c r="Z17" s="64"/>
      <c r="AA17" s="64"/>
    </row>
    <row r="18" spans="1:33" x14ac:dyDescent="0.3">
      <c r="C18" s="26" t="s">
        <v>114</v>
      </c>
      <c r="D18" s="64">
        <f>-(B7+B11)*D15</f>
        <v>-489517.20084870857</v>
      </c>
      <c r="E18" s="64"/>
      <c r="F18" s="64"/>
      <c r="G18" s="64"/>
      <c r="H18" s="64"/>
      <c r="I18" s="64"/>
      <c r="U18" s="26" t="s">
        <v>114</v>
      </c>
      <c r="V18" s="64">
        <f>-(T7+T11)*V15</f>
        <v>-359929.04948430991</v>
      </c>
      <c r="W18" s="64"/>
      <c r="X18" s="64"/>
      <c r="Y18" s="64"/>
      <c r="Z18" s="64"/>
      <c r="AA18" s="64"/>
    </row>
    <row r="19" spans="1:33" x14ac:dyDescent="0.3">
      <c r="C19" s="26" t="s">
        <v>102</v>
      </c>
      <c r="D19" s="64">
        <f>-D30</f>
        <v>-3449632.4476081394</v>
      </c>
      <c r="E19" s="64">
        <f>-(E30-D30)</f>
        <v>797813.3225613269</v>
      </c>
      <c r="F19" s="64">
        <f>-(F30-E30)</f>
        <v>373938.21879847581</v>
      </c>
      <c r="G19" s="64">
        <f>-(G30-F30)</f>
        <v>1065589.6086082254</v>
      </c>
      <c r="H19" s="64">
        <f>-(H30-G30)</f>
        <v>377930.16290533496</v>
      </c>
      <c r="I19" s="64">
        <f>-(I30-H30)</f>
        <v>438833.16214536503</v>
      </c>
      <c r="J19" s="64">
        <f t="shared" ref="J19:M19" si="3">-(J30-I30)</f>
        <v>269210.30574803287</v>
      </c>
      <c r="K19" s="64">
        <f t="shared" si="3"/>
        <v>42636.389663829003</v>
      </c>
      <c r="L19" s="64">
        <f t="shared" si="3"/>
        <v>55070.358546967153</v>
      </c>
      <c r="M19" s="64">
        <f t="shared" si="3"/>
        <v>28610.91863058228</v>
      </c>
      <c r="U19" s="26" t="s">
        <v>102</v>
      </c>
      <c r="V19" s="64">
        <f>-V30</f>
        <v>-2562707.4081062977</v>
      </c>
      <c r="W19" s="64">
        <f>-(W30-V30)</f>
        <v>0.51242569694295526</v>
      </c>
      <c r="X19" s="64">
        <f>-(X30-W30)</f>
        <v>0.31195608852431178</v>
      </c>
      <c r="Y19" s="64">
        <f>-(Y30-X30)</f>
        <v>1223971.933604134</v>
      </c>
      <c r="Z19" s="64">
        <f>-(Z30-Y30)</f>
        <v>-288261.12253020168</v>
      </c>
      <c r="AA19" s="64">
        <f>-(AA30-Z30)</f>
        <v>668143.62498831446</v>
      </c>
      <c r="AB19" s="64">
        <f t="shared" ref="AB19:AE19" si="4">-(AB30-AA30)</f>
        <v>920221.70246014581</v>
      </c>
      <c r="AC19" s="64">
        <f t="shared" si="4"/>
        <v>18505.378547935281</v>
      </c>
      <c r="AD19" s="64">
        <f t="shared" si="4"/>
        <v>12032.979457924608</v>
      </c>
      <c r="AE19" s="64">
        <f t="shared" si="4"/>
        <v>8092.0871962597594</v>
      </c>
    </row>
    <row r="20" spans="1:33" x14ac:dyDescent="0.3">
      <c r="C20" t="s">
        <v>103</v>
      </c>
      <c r="D20" s="64">
        <f>-D31</f>
        <v>-2069779.535456772</v>
      </c>
      <c r="E20" s="64">
        <f>D31</f>
        <v>2069779.535456772</v>
      </c>
      <c r="F20" s="64">
        <f t="shared" ref="F20:M20" si="5">E31</f>
        <v>0</v>
      </c>
      <c r="G20" s="64">
        <f t="shared" si="5"/>
        <v>0</v>
      </c>
      <c r="H20" s="64">
        <f t="shared" si="5"/>
        <v>0</v>
      </c>
      <c r="I20" s="64">
        <f t="shared" si="5"/>
        <v>0</v>
      </c>
      <c r="J20" s="64">
        <f t="shared" si="5"/>
        <v>0</v>
      </c>
      <c r="K20" s="64">
        <f t="shared" si="5"/>
        <v>0</v>
      </c>
      <c r="L20" s="64">
        <f t="shared" si="5"/>
        <v>0</v>
      </c>
      <c r="M20" s="64">
        <f t="shared" si="5"/>
        <v>0</v>
      </c>
      <c r="U20" t="s">
        <v>103</v>
      </c>
      <c r="V20" s="64">
        <f>-V31</f>
        <v>-1537624.5117556669</v>
      </c>
      <c r="W20" s="64">
        <f>V31</f>
        <v>1537624.5117556669</v>
      </c>
      <c r="X20" s="64">
        <f t="shared" ref="X20:AE20" si="6">W31</f>
        <v>0</v>
      </c>
      <c r="Y20" s="64">
        <f t="shared" si="6"/>
        <v>0</v>
      </c>
      <c r="Z20" s="64">
        <f t="shared" si="6"/>
        <v>0</v>
      </c>
      <c r="AA20" s="64">
        <f t="shared" si="6"/>
        <v>0</v>
      </c>
      <c r="AB20" s="64">
        <f t="shared" si="6"/>
        <v>0</v>
      </c>
      <c r="AC20" s="64">
        <f t="shared" si="6"/>
        <v>0</v>
      </c>
      <c r="AD20" s="64">
        <f t="shared" si="6"/>
        <v>0</v>
      </c>
      <c r="AE20" s="64">
        <f t="shared" si="6"/>
        <v>0</v>
      </c>
    </row>
    <row r="21" spans="1:33" x14ac:dyDescent="0.3">
      <c r="D21" s="64">
        <f>-D32</f>
        <v>-689926.4895216279</v>
      </c>
      <c r="E21" s="64">
        <f>-(E32-D32)</f>
        <v>159562.66451226536</v>
      </c>
      <c r="F21" s="64">
        <f>-(F32-E32)</f>
        <v>74787.643759695173</v>
      </c>
      <c r="G21" s="64">
        <f>-(G32-F32)</f>
        <v>213117.92172164511</v>
      </c>
      <c r="H21" s="64">
        <f>-(H32-G32)</f>
        <v>75586.032581066975</v>
      </c>
      <c r="I21" s="64">
        <f>-(I32-H32)</f>
        <v>87766.632429073012</v>
      </c>
      <c r="J21" s="64">
        <f t="shared" ref="J21:M21" si="7">-(J32-I32)</f>
        <v>53842.061149606583</v>
      </c>
      <c r="K21" s="64">
        <f t="shared" si="7"/>
        <v>8527.2779327658027</v>
      </c>
      <c r="L21" s="64">
        <f t="shared" si="7"/>
        <v>11014.071709393431</v>
      </c>
      <c r="M21" s="64">
        <f t="shared" si="7"/>
        <v>5722.1837261164565</v>
      </c>
      <c r="V21" s="64">
        <f>-V32</f>
        <v>-512541.48162125959</v>
      </c>
      <c r="W21" s="64">
        <f>-(W32-V32)</f>
        <v>0.10248513938859105</v>
      </c>
      <c r="X21" s="64">
        <f>-(X32-W32)</f>
        <v>6.2391217739786953E-2</v>
      </c>
      <c r="Y21" s="64">
        <f>-(Y32-X32)</f>
        <v>244794.38672082679</v>
      </c>
      <c r="Z21" s="64">
        <f>-(Z32-Y32)</f>
        <v>-57652.224506040337</v>
      </c>
      <c r="AA21" s="64">
        <f>-(AA32-Z32)</f>
        <v>133628.72499766291</v>
      </c>
      <c r="AB21" s="64">
        <f t="shared" ref="AB21:AE21" si="8">-(AB32-AA32)</f>
        <v>184044.34049202918</v>
      </c>
      <c r="AC21" s="64">
        <f t="shared" si="8"/>
        <v>3701.0757095870563</v>
      </c>
      <c r="AD21" s="64">
        <f t="shared" si="8"/>
        <v>2406.5958915849214</v>
      </c>
      <c r="AE21" s="64">
        <f t="shared" si="8"/>
        <v>1618.4174392519519</v>
      </c>
    </row>
    <row r="22" spans="1:33" x14ac:dyDescent="0.3">
      <c r="C22" s="26" t="s">
        <v>104</v>
      </c>
      <c r="D22" s="64">
        <f>0</f>
        <v>0</v>
      </c>
      <c r="E22" s="64">
        <f>$B10*D30</f>
        <v>103488.97342824418</v>
      </c>
      <c r="F22" s="64">
        <f t="shared" ref="F22:M22" si="9">$B10*E30</f>
        <v>79554.573751404372</v>
      </c>
      <c r="G22" s="64">
        <f t="shared" si="9"/>
        <v>68336.427187450099</v>
      </c>
      <c r="H22" s="64">
        <f t="shared" si="9"/>
        <v>36368.73892920334</v>
      </c>
      <c r="I22" s="64">
        <f t="shared" si="9"/>
        <v>25030.834042043291</v>
      </c>
      <c r="J22" s="64">
        <f t="shared" si="9"/>
        <v>11865.839177682339</v>
      </c>
      <c r="K22" s="64">
        <f t="shared" si="9"/>
        <v>3789.5300052413531</v>
      </c>
      <c r="L22" s="64">
        <f t="shared" si="9"/>
        <v>2510.438315326483</v>
      </c>
      <c r="M22" s="64">
        <f t="shared" si="9"/>
        <v>858.32755891746842</v>
      </c>
      <c r="U22" s="26" t="s">
        <v>104</v>
      </c>
      <c r="V22" s="64">
        <f>0</f>
        <v>0</v>
      </c>
      <c r="W22" s="64">
        <f>$B10*V30</f>
        <v>76881.222243188924</v>
      </c>
      <c r="X22" s="64">
        <f t="shared" ref="X22:AE22" si="10">$B10*W30</f>
        <v>76881.206870418027</v>
      </c>
      <c r="Y22" s="64">
        <f t="shared" si="10"/>
        <v>76881.197511735358</v>
      </c>
      <c r="Z22" s="64">
        <f t="shared" si="10"/>
        <v>40162.039503611348</v>
      </c>
      <c r="AA22" s="64">
        <f t="shared" si="10"/>
        <v>48809.873179517395</v>
      </c>
      <c r="AB22" s="64">
        <f t="shared" si="10"/>
        <v>28765.564429867962</v>
      </c>
      <c r="AC22" s="64">
        <f t="shared" si="10"/>
        <v>1158.9133560635894</v>
      </c>
      <c r="AD22" s="64">
        <f t="shared" si="10"/>
        <v>603.75199962553097</v>
      </c>
      <c r="AE22" s="64">
        <f t="shared" si="10"/>
        <v>242.76261588779278</v>
      </c>
    </row>
    <row r="23" spans="1:33" x14ac:dyDescent="0.3">
      <c r="C23" s="26" t="s">
        <v>105</v>
      </c>
      <c r="D23" s="64">
        <v>0</v>
      </c>
      <c r="E23" s="64">
        <f>$B10*(D31+D32)</f>
        <v>82791.180749351988</v>
      </c>
      <c r="F23" s="64">
        <f t="shared" ref="F23:M23" si="11">$B10*(E31+E32)</f>
        <v>15910.914750280876</v>
      </c>
      <c r="G23" s="64">
        <f t="shared" si="11"/>
        <v>13667.28543749002</v>
      </c>
      <c r="H23" s="64">
        <f t="shared" si="11"/>
        <v>7273.7477858406673</v>
      </c>
      <c r="I23" s="64">
        <f t="shared" si="11"/>
        <v>5006.1668084086587</v>
      </c>
      <c r="J23" s="64">
        <f t="shared" si="11"/>
        <v>2373.1678355364679</v>
      </c>
      <c r="K23" s="64">
        <f t="shared" si="11"/>
        <v>757.9060010482707</v>
      </c>
      <c r="L23" s="64">
        <f t="shared" si="11"/>
        <v>502.08766306529662</v>
      </c>
      <c r="M23" s="64">
        <f t="shared" si="11"/>
        <v>171.66551178349368</v>
      </c>
      <c r="U23" s="26" t="s">
        <v>105</v>
      </c>
      <c r="V23" s="64">
        <v>0</v>
      </c>
      <c r="W23" s="64">
        <f>$B10*(V31+V32)</f>
        <v>61504.979801307796</v>
      </c>
      <c r="X23" s="64">
        <f t="shared" ref="X23:AE23" si="12">$B10*(W31+W32)</f>
        <v>15376.241374083605</v>
      </c>
      <c r="Y23" s="64">
        <f t="shared" si="12"/>
        <v>15376.239502347073</v>
      </c>
      <c r="Z23" s="64">
        <f t="shared" si="12"/>
        <v>8032.4079007222699</v>
      </c>
      <c r="AA23" s="64">
        <f t="shared" si="12"/>
        <v>9761.9746359034798</v>
      </c>
      <c r="AB23" s="64">
        <f t="shared" si="12"/>
        <v>5753.1128859735927</v>
      </c>
      <c r="AC23" s="64">
        <f t="shared" si="12"/>
        <v>231.7826712127179</v>
      </c>
      <c r="AD23" s="64">
        <f t="shared" si="12"/>
        <v>120.75039992510621</v>
      </c>
      <c r="AE23" s="64">
        <f t="shared" si="12"/>
        <v>48.552523177558555</v>
      </c>
    </row>
    <row r="24" spans="1:33" x14ac:dyDescent="0.3">
      <c r="D24" s="64"/>
      <c r="E24" s="64"/>
      <c r="F24" s="64"/>
      <c r="G24" s="64"/>
      <c r="H24" s="64"/>
      <c r="I24" s="64"/>
      <c r="V24" s="64"/>
      <c r="W24" s="64"/>
      <c r="X24" s="64"/>
      <c r="Y24" s="64"/>
      <c r="Z24" s="64"/>
      <c r="AA24" s="64"/>
    </row>
    <row r="25" spans="1:33" x14ac:dyDescent="0.3">
      <c r="C25" t="s">
        <v>98</v>
      </c>
      <c r="D25" s="64">
        <f>SUM(D15:D23)</f>
        <v>-2693715.0507050217</v>
      </c>
      <c r="E25" s="64">
        <f>SUM(E15:E23)</f>
        <v>2415622.3541466333</v>
      </c>
      <c r="F25" s="64">
        <f>SUM(F15:F23)</f>
        <v>170253.13226138052</v>
      </c>
      <c r="G25" s="64">
        <f t="shared" ref="G25:M25" si="13">SUM(G15:G23)</f>
        <v>295121.63434658526</v>
      </c>
      <c r="H25" s="64">
        <f t="shared" si="13"/>
        <v>119228.51929611097</v>
      </c>
      <c r="I25" s="64">
        <f t="shared" si="13"/>
        <v>117803.63327952496</v>
      </c>
      <c r="J25" s="64">
        <f t="shared" si="13"/>
        <v>68081.068162825395</v>
      </c>
      <c r="K25" s="64">
        <f t="shared" si="13"/>
        <v>13074.713939055426</v>
      </c>
      <c r="L25" s="64">
        <f t="shared" si="13"/>
        <v>14026.59768778521</v>
      </c>
      <c r="M25" s="64">
        <f t="shared" si="13"/>
        <v>6752.1767968174181</v>
      </c>
      <c r="U25" t="s">
        <v>98</v>
      </c>
      <c r="V25" s="64">
        <f>SUM(V15:V23)</f>
        <v>-2027928.521218752</v>
      </c>
      <c r="W25" s="64">
        <f>SUM(W15:W23)</f>
        <v>1676010.8162853031</v>
      </c>
      <c r="X25" s="64">
        <f>SUM(X15:X23)</f>
        <v>92257.510635719242</v>
      </c>
      <c r="Y25" s="64">
        <f t="shared" ref="Y25:AE25" si="14">SUM(Y15:Y23)</f>
        <v>337051.82373490924</v>
      </c>
      <c r="Z25" s="64">
        <f t="shared" si="14"/>
        <v>-9457.7771017067189</v>
      </c>
      <c r="AA25" s="64">
        <f t="shared" si="14"/>
        <v>192200.5728130838</v>
      </c>
      <c r="AB25" s="64">
        <f t="shared" si="14"/>
        <v>218563.01780787072</v>
      </c>
      <c r="AC25" s="64">
        <f t="shared" si="14"/>
        <v>5091.7717368633639</v>
      </c>
      <c r="AD25" s="64">
        <f t="shared" si="14"/>
        <v>3131.0982911355586</v>
      </c>
      <c r="AE25" s="64">
        <f t="shared" si="14"/>
        <v>1909.7325783173033</v>
      </c>
    </row>
    <row r="26" spans="1:33" x14ac:dyDescent="0.3">
      <c r="C26" s="26" t="s">
        <v>106</v>
      </c>
      <c r="D26" s="64">
        <f>D25/(1+$B5)^D14</f>
        <v>-2545321.4739418682</v>
      </c>
      <c r="E26" s="64">
        <f t="shared" ref="E26:M26" si="15">E25/(1+$B5)^E14</f>
        <v>2037989.7992730825</v>
      </c>
      <c r="F26" s="64">
        <f t="shared" si="15"/>
        <v>128247.83843539329</v>
      </c>
      <c r="G26" s="64">
        <f t="shared" si="15"/>
        <v>198489.69662400655</v>
      </c>
      <c r="H26" s="64">
        <f t="shared" si="15"/>
        <v>71597.69623588401</v>
      </c>
      <c r="I26" s="64">
        <f t="shared" si="15"/>
        <v>63162.536237325796</v>
      </c>
      <c r="J26" s="64">
        <f t="shared" si="15"/>
        <v>32591.865068757175</v>
      </c>
      <c r="K26" s="64">
        <f t="shared" si="15"/>
        <v>5588.5227821225835</v>
      </c>
      <c r="L26" s="64">
        <f t="shared" si="15"/>
        <v>5353.0234758072675</v>
      </c>
      <c r="M26" s="64">
        <f t="shared" si="15"/>
        <v>2300.7667360850901</v>
      </c>
      <c r="U26" s="26" t="s">
        <v>106</v>
      </c>
      <c r="V26" s="64">
        <f>V25/(1+$B5)^V14</f>
        <v>-1916212.3370570675</v>
      </c>
      <c r="W26" s="64">
        <f>W25/(1+$B5)^W14</f>
        <v>1414001.2163728555</v>
      </c>
      <c r="X26" s="64">
        <f t="shared" ref="X26:AE26" si="16">X25/(1+$B5)^X14</f>
        <v>69495.498621996157</v>
      </c>
      <c r="Y26" s="64">
        <f t="shared" si="16"/>
        <v>226690.64702028123</v>
      </c>
      <c r="Z26" s="64">
        <f t="shared" si="16"/>
        <v>-5679.4721262363673</v>
      </c>
      <c r="AA26" s="64">
        <f t="shared" si="16"/>
        <v>103051.79311690354</v>
      </c>
      <c r="AB26" s="64">
        <f t="shared" si="16"/>
        <v>104630.7964554543</v>
      </c>
      <c r="AC26" s="64">
        <f t="shared" si="16"/>
        <v>2176.3751379546079</v>
      </c>
      <c r="AD26" s="64">
        <f t="shared" si="16"/>
        <v>1194.9328718613294</v>
      </c>
      <c r="AE26" s="64">
        <f t="shared" si="16"/>
        <v>650.73076775499567</v>
      </c>
    </row>
    <row r="27" spans="1:33" x14ac:dyDescent="0.3">
      <c r="C27" s="26" t="s">
        <v>107</v>
      </c>
      <c r="D27" s="80">
        <f>SUM(D26:M26)</f>
        <v>0.27092659611662384</v>
      </c>
      <c r="E27" s="64"/>
      <c r="F27" s="64"/>
      <c r="G27" s="64"/>
      <c r="H27" s="64"/>
      <c r="I27" s="64"/>
      <c r="U27" s="26" t="s">
        <v>107</v>
      </c>
      <c r="V27" s="80">
        <f>SUM(V26:AE26)</f>
        <v>0.18118175771974165</v>
      </c>
      <c r="W27" s="64"/>
      <c r="X27" s="64"/>
      <c r="Y27" s="64"/>
      <c r="Z27" s="64"/>
      <c r="AA27" s="64"/>
    </row>
    <row r="28" spans="1:33" x14ac:dyDescent="0.3">
      <c r="D28" s="64"/>
      <c r="E28" s="64"/>
      <c r="F28" s="64"/>
      <c r="G28" s="64"/>
      <c r="H28" s="64"/>
      <c r="I28" s="64"/>
      <c r="V28" s="64"/>
      <c r="W28" s="64"/>
      <c r="X28" s="64"/>
      <c r="Y28" s="64"/>
      <c r="Z28" s="64"/>
      <c r="AA28" s="64"/>
    </row>
    <row r="29" spans="1:33" x14ac:dyDescent="0.3">
      <c r="D29" s="64"/>
      <c r="E29" s="64"/>
      <c r="F29" s="64"/>
      <c r="G29" s="64"/>
      <c r="H29" s="64"/>
      <c r="I29" s="64"/>
      <c r="V29" s="64"/>
      <c r="W29" s="64"/>
      <c r="X29" s="64"/>
      <c r="Y29" s="64"/>
      <c r="Z29" s="64"/>
      <c r="AA29" s="64"/>
    </row>
    <row r="30" spans="1:33" ht="27" x14ac:dyDescent="0.3">
      <c r="A30" s="81" t="s">
        <v>108</v>
      </c>
      <c r="C30" s="26" t="s">
        <v>109</v>
      </c>
      <c r="D30" s="64">
        <f>Patterns!T125</f>
        <v>3449632.4476081394</v>
      </c>
      <c r="E30" s="64">
        <f>Patterns!U125</f>
        <v>2651819.1250468125</v>
      </c>
      <c r="F30" s="64">
        <f>Patterns!V125</f>
        <v>2277880.9062483367</v>
      </c>
      <c r="G30" s="64">
        <f>Patterns!W125</f>
        <v>1212291.2976401113</v>
      </c>
      <c r="H30" s="64">
        <f>Patterns!X125</f>
        <v>834361.13473477634</v>
      </c>
      <c r="I30" s="64">
        <f>Patterns!Y125</f>
        <v>395527.97258941131</v>
      </c>
      <c r="J30" s="64">
        <f>Patterns!Z125</f>
        <v>126317.66684137844</v>
      </c>
      <c r="K30" s="64">
        <f>Patterns!AA125</f>
        <v>83681.277177549433</v>
      </c>
      <c r="L30" s="64">
        <f>Patterns!AB125</f>
        <v>28610.91863058228</v>
      </c>
      <c r="M30" s="64">
        <f>Patterns!AC125</f>
        <v>0</v>
      </c>
      <c r="N30" s="64"/>
      <c r="O30" s="64"/>
      <c r="S30" s="81" t="s">
        <v>108</v>
      </c>
      <c r="U30" s="26" t="s">
        <v>109</v>
      </c>
      <c r="V30" s="64">
        <f>Patterns!AL125</f>
        <v>2562707.4081062977</v>
      </c>
      <c r="W30" s="64">
        <f>Patterns!AM125</f>
        <v>2562706.8956806008</v>
      </c>
      <c r="X30" s="64">
        <f>Patterns!AN125</f>
        <v>2562706.5837245123</v>
      </c>
      <c r="Y30" s="64">
        <f>Patterns!AO125</f>
        <v>1338734.6501203782</v>
      </c>
      <c r="Z30" s="64">
        <f>Patterns!AP125</f>
        <v>1626995.7726505799</v>
      </c>
      <c r="AA30" s="64">
        <f>Patterns!AQ125</f>
        <v>958852.14766226546</v>
      </c>
      <c r="AB30" s="64">
        <f>Patterns!AR125</f>
        <v>38630.445202119648</v>
      </c>
      <c r="AC30" s="64">
        <f>Patterns!AS125</f>
        <v>20125.066654184368</v>
      </c>
      <c r="AD30" s="64">
        <f>Patterns!AT125</f>
        <v>8092.0871962597594</v>
      </c>
      <c r="AE30" s="64">
        <f>Patterns!AU125</f>
        <v>0</v>
      </c>
      <c r="AF30" s="64"/>
      <c r="AG30" s="64"/>
    </row>
    <row r="31" spans="1:33" x14ac:dyDescent="0.3">
      <c r="C31" t="s">
        <v>93</v>
      </c>
      <c r="D31" s="64">
        <f>D8</f>
        <v>2069779.535456772</v>
      </c>
      <c r="E31" s="64">
        <f>0</f>
        <v>0</v>
      </c>
      <c r="F31" s="64">
        <f>0</f>
        <v>0</v>
      </c>
      <c r="G31" s="64">
        <f>0</f>
        <v>0</v>
      </c>
      <c r="H31" s="64">
        <f>0</f>
        <v>0</v>
      </c>
      <c r="I31" s="64">
        <f>0</f>
        <v>0</v>
      </c>
      <c r="J31" s="64">
        <f>0</f>
        <v>0</v>
      </c>
      <c r="K31" s="64">
        <f>0</f>
        <v>0</v>
      </c>
      <c r="L31" s="64">
        <f>0</f>
        <v>0</v>
      </c>
      <c r="M31" s="64">
        <f>0</f>
        <v>0</v>
      </c>
      <c r="U31" t="s">
        <v>93</v>
      </c>
      <c r="V31" s="64">
        <f>V8</f>
        <v>1537624.5117556669</v>
      </c>
      <c r="W31" s="64">
        <f>0</f>
        <v>0</v>
      </c>
      <c r="X31" s="64">
        <f>0</f>
        <v>0</v>
      </c>
      <c r="Y31" s="64">
        <f>0</f>
        <v>0</v>
      </c>
      <c r="Z31" s="64">
        <f>0</f>
        <v>0</v>
      </c>
      <c r="AA31" s="64">
        <f>0</f>
        <v>0</v>
      </c>
      <c r="AB31" s="64">
        <f>0</f>
        <v>0</v>
      </c>
      <c r="AC31" s="64">
        <f>0</f>
        <v>0</v>
      </c>
      <c r="AD31" s="64">
        <f>0</f>
        <v>0</v>
      </c>
      <c r="AE31" s="64">
        <f>0</f>
        <v>0</v>
      </c>
    </row>
    <row r="32" spans="1:33" x14ac:dyDescent="0.3">
      <c r="D32" s="64">
        <f>$B9*D30</f>
        <v>689926.4895216279</v>
      </c>
      <c r="E32" s="64">
        <f t="shared" ref="E32:M32" si="17">$B9*E30</f>
        <v>530363.82500936254</v>
      </c>
      <c r="F32" s="64">
        <f t="shared" si="17"/>
        <v>455576.18124966737</v>
      </c>
      <c r="G32" s="64">
        <f t="shared" si="17"/>
        <v>242458.25952802226</v>
      </c>
      <c r="H32" s="64">
        <f t="shared" si="17"/>
        <v>166872.22694695528</v>
      </c>
      <c r="I32" s="64">
        <f t="shared" si="17"/>
        <v>79105.594517882273</v>
      </c>
      <c r="J32" s="64">
        <f t="shared" si="17"/>
        <v>25263.53336827569</v>
      </c>
      <c r="K32" s="64">
        <f t="shared" si="17"/>
        <v>16736.255435509887</v>
      </c>
      <c r="L32" s="64">
        <f t="shared" si="17"/>
        <v>5722.1837261164565</v>
      </c>
      <c r="M32" s="64">
        <f t="shared" si="17"/>
        <v>0</v>
      </c>
      <c r="V32" s="64">
        <f>$B9*V30</f>
        <v>512541.48162125959</v>
      </c>
      <c r="W32" s="64">
        <f t="shared" ref="W32:AE32" si="18">$B9*W30</f>
        <v>512541.3791361202</v>
      </c>
      <c r="X32" s="64">
        <f t="shared" si="18"/>
        <v>512541.31674490246</v>
      </c>
      <c r="Y32" s="64">
        <f t="shared" si="18"/>
        <v>267746.93002407567</v>
      </c>
      <c r="Z32" s="64">
        <f t="shared" si="18"/>
        <v>325399.15453011601</v>
      </c>
      <c r="AA32" s="64">
        <f t="shared" si="18"/>
        <v>191770.4295324531</v>
      </c>
      <c r="AB32" s="64">
        <f t="shared" si="18"/>
        <v>7726.0890404239299</v>
      </c>
      <c r="AC32" s="64">
        <f t="shared" si="18"/>
        <v>4025.0133308368736</v>
      </c>
      <c r="AD32" s="64">
        <f t="shared" si="18"/>
        <v>1618.4174392519519</v>
      </c>
      <c r="AE32" s="64">
        <f t="shared" si="18"/>
        <v>0</v>
      </c>
    </row>
    <row r="39" spans="1:4" x14ac:dyDescent="0.3">
      <c r="B39" s="80" t="s">
        <v>132</v>
      </c>
      <c r="C39" s="80" t="s">
        <v>133</v>
      </c>
      <c r="D39" s="80" t="s">
        <v>134</v>
      </c>
    </row>
    <row r="40" spans="1:4" x14ac:dyDescent="0.3">
      <c r="A40" s="80" t="s">
        <v>124</v>
      </c>
      <c r="B40" s="82">
        <v>4450156.3713518959</v>
      </c>
      <c r="C40" s="82">
        <v>4087217.0728656054</v>
      </c>
      <c r="D40" s="82">
        <v>4807980.5894221403</v>
      </c>
    </row>
    <row r="41" spans="1:4" x14ac:dyDescent="0.3">
      <c r="A41" s="80" t="s">
        <v>127</v>
      </c>
      <c r="B41" s="82">
        <v>3272082.2680391809</v>
      </c>
      <c r="C41" s="82">
        <v>3029367.1528407442</v>
      </c>
      <c r="D41" s="82">
        <v>3585924.2865546802</v>
      </c>
    </row>
    <row r="43" spans="1:4" x14ac:dyDescent="0.3">
      <c r="A43" s="34" t="s">
        <v>135</v>
      </c>
    </row>
  </sheetData>
  <mergeCells count="2">
    <mergeCell ref="A3:E3"/>
    <mergeCell ref="S3:W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15</vt:i4>
      </vt:variant>
    </vt:vector>
  </HeadingPairs>
  <TitlesOfParts>
    <vt:vector size="15" baseType="lpstr">
      <vt:lpstr>Exposure</vt:lpstr>
      <vt:lpstr>Cum. payments</vt:lpstr>
      <vt:lpstr>Outstanding loss reserves</vt:lpstr>
      <vt:lpstr>Incurred_loss</vt:lpstr>
      <vt:lpstr>BC_without_index</vt:lpstr>
      <vt:lpstr>BC_with_index</vt:lpstr>
      <vt:lpstr>XL_Pure_Premium</vt:lpstr>
      <vt:lpstr>Comparaison_BC_Pareto</vt:lpstr>
      <vt:lpstr>Patterns</vt:lpstr>
      <vt:lpstr>Stability_Clause</vt:lpstr>
      <vt:lpstr>Com_Premium</vt:lpstr>
      <vt:lpstr>Stability_Patterns</vt:lpstr>
      <vt:lpstr>Stability_Com_Premium</vt:lpstr>
      <vt:lpstr>Sensitivity_to_CoC</vt:lpstr>
      <vt:lpstr>Sensitivity_To_SI_Inflation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Longueville Philippe</dc:creator>
  <cp:lastModifiedBy>Davy Kamga Bopda</cp:lastModifiedBy>
  <dcterms:created xsi:type="dcterms:W3CDTF">2021-03-23T19:34:46Z</dcterms:created>
  <dcterms:modified xsi:type="dcterms:W3CDTF">2026-06-11T10:44:49Z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de30484-7a78-4250-97b8-a1718403fcb0_Enabled">
    <vt:lpwstr>true</vt:lpwstr>
  </property>
  <property fmtid="{D5CDD505-2E9C-101B-9397-08002B2CF9AE}" pid="3" name="MSIP_Label_ede30484-7a78-4250-97b8-a1718403fcb0_SetDate">
    <vt:lpwstr>2021-03-23T19:35:18Z</vt:lpwstr>
  </property>
  <property fmtid="{D5CDD505-2E9C-101B-9397-08002B2CF9AE}" pid="4" name="MSIP_Label_ede30484-7a78-4250-97b8-a1718403fcb0_Method">
    <vt:lpwstr>Standard</vt:lpwstr>
  </property>
  <property fmtid="{D5CDD505-2E9C-101B-9397-08002B2CF9AE}" pid="5" name="MSIP_Label_ede30484-7a78-4250-97b8-a1718403fcb0_Name">
    <vt:lpwstr>Share with care (TLP-Amber)</vt:lpwstr>
  </property>
  <property fmtid="{D5CDD505-2E9C-101B-9397-08002B2CF9AE}" pid="6" name="MSIP_Label_ede30484-7a78-4250-97b8-a1718403fcb0_SiteId">
    <vt:lpwstr>a7ec1e0f-51f6-4919-b640-eba8413c83ae</vt:lpwstr>
  </property>
  <property fmtid="{D5CDD505-2E9C-101B-9397-08002B2CF9AE}" pid="7" name="MSIP_Label_ede30484-7a78-4250-97b8-a1718403fcb0_ActionId">
    <vt:lpwstr>71aa49c7-45f5-4fb8-a3f2-000082e79e7f</vt:lpwstr>
  </property>
  <property fmtid="{D5CDD505-2E9C-101B-9397-08002B2CF9AE}" pid="8" name="MSIP_Label_ede30484-7a78-4250-97b8-a1718403fcb0_ContentBits">
    <vt:lpwstr>0</vt:lpwstr>
  </property>
</Properties>
</file>