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GC\Desktop\Cours actuariat\M2\ALM\projet\"/>
    </mc:Choice>
  </mc:AlternateContent>
  <xr:revisionPtr revIDLastSave="0" documentId="8_{43A9EDAC-2223-48A3-9964-532C09066FE6}" xr6:coauthVersionLast="47" xr6:coauthVersionMax="47" xr10:uidLastSave="{00000000-0000-0000-0000-000000000000}"/>
  <bookViews>
    <workbookView xWindow="-108" yWindow="-108" windowWidth="23256" windowHeight="12576" firstSheet="5" activeTab="11" xr2:uid="{00000000-000D-0000-FFFF-FFFF00000000}"/>
  </bookViews>
  <sheets>
    <sheet name="Assets" sheetId="3" r:id="rId1"/>
    <sheet name="Insurance Portfolio" sheetId="2" r:id="rId2"/>
    <sheet name="Interest Rates" sheetId="1" r:id="rId3"/>
    <sheet name="Part1_Quest2_3_4" sheetId="4" r:id="rId4"/>
    <sheet name="Part1_Quest5" sheetId="7" r:id="rId5"/>
    <sheet name="Part1_Quest6_7" sheetId="9" r:id="rId6"/>
    <sheet name="Part1_Quest8" sheetId="10" r:id="rId7"/>
    <sheet name="Part1_Quest10" sheetId="13" r:id="rId8"/>
    <sheet name="Part1_Quest11" sheetId="12" r:id="rId9"/>
    <sheet name="Part1_Quest12" sheetId="14" r:id="rId10"/>
    <sheet name="Part1_Quest13" sheetId="15" r:id="rId11"/>
    <sheet name="Quest14" sheetId="17" r:id="rId12"/>
  </sheets>
  <definedNames>
    <definedName name="_xleta.SUM" hidden="1" xlm="1">#NAME?</definedName>
  </definedNames>
  <calcPr calcId="181029"/>
</workbook>
</file>

<file path=xl/calcChain.xml><?xml version="1.0" encoding="utf-8"?>
<calcChain xmlns="http://schemas.openxmlformats.org/spreadsheetml/2006/main">
  <c r="G15" i="14" l="1"/>
  <c r="B51" i="17"/>
  <c r="E62" i="17"/>
  <c r="D62" i="17"/>
  <c r="C62" i="17"/>
  <c r="B62" i="17"/>
  <c r="B44" i="17"/>
  <c r="B43" i="17"/>
  <c r="B42" i="17"/>
  <c r="F37" i="17"/>
  <c r="D35" i="17"/>
  <c r="D34" i="17"/>
  <c r="C35" i="17"/>
  <c r="C34" i="17"/>
  <c r="B35" i="17"/>
  <c r="B34" i="17"/>
  <c r="J25" i="17"/>
  <c r="G9" i="17"/>
  <c r="G10" i="17"/>
  <c r="G11" i="17"/>
  <c r="K11" i="17" s="1"/>
  <c r="G12" i="17"/>
  <c r="G13" i="17"/>
  <c r="K13" i="17" s="1"/>
  <c r="G14" i="17"/>
  <c r="J14" i="17" s="1"/>
  <c r="G15" i="17"/>
  <c r="J15" i="17" s="1"/>
  <c r="G16" i="17"/>
  <c r="J16" i="17" s="1"/>
  <c r="G17" i="17"/>
  <c r="G8" i="17"/>
  <c r="F35" i="10"/>
  <c r="K8" i="17"/>
  <c r="K17" i="17"/>
  <c r="L9" i="17"/>
  <c r="L10" i="17"/>
  <c r="L11" i="17"/>
  <c r="L12" i="17"/>
  <c r="L13" i="17"/>
  <c r="L14" i="17"/>
  <c r="L15" i="17"/>
  <c r="L16" i="17"/>
  <c r="L17" i="17"/>
  <c r="L8" i="17"/>
  <c r="K9" i="17"/>
  <c r="K10" i="17"/>
  <c r="K12" i="17"/>
  <c r="J9" i="17"/>
  <c r="J10" i="17"/>
  <c r="J12" i="17"/>
  <c r="J17" i="17"/>
  <c r="I8" i="17"/>
  <c r="I9" i="17"/>
  <c r="I10" i="17"/>
  <c r="I11" i="17"/>
  <c r="I12" i="17"/>
  <c r="I13" i="17"/>
  <c r="I14" i="17"/>
  <c r="I15" i="17"/>
  <c r="I16" i="17"/>
  <c r="I17" i="17"/>
  <c r="H9" i="17"/>
  <c r="H10" i="17"/>
  <c r="H11" i="17"/>
  <c r="H12" i="17"/>
  <c r="H13" i="17"/>
  <c r="H14" i="17"/>
  <c r="H15" i="17"/>
  <c r="H16" i="17"/>
  <c r="H17" i="17"/>
  <c r="H8" i="17"/>
  <c r="B55" i="10"/>
  <c r="B20" i="10"/>
  <c r="B38" i="10"/>
  <c r="B21" i="10"/>
  <c r="D7" i="15"/>
  <c r="D8" i="15"/>
  <c r="D9" i="15"/>
  <c r="D10" i="15"/>
  <c r="D11" i="15"/>
  <c r="D12" i="15" s="1"/>
  <c r="B17" i="15"/>
  <c r="B11" i="15"/>
  <c r="B10" i="15"/>
  <c r="B9" i="15"/>
  <c r="B8" i="15"/>
  <c r="B7" i="15"/>
  <c r="C11" i="15"/>
  <c r="C10" i="15"/>
  <c r="C9" i="15"/>
  <c r="C8" i="15"/>
  <c r="C7" i="15"/>
  <c r="H15" i="14"/>
  <c r="H14" i="14"/>
  <c r="C89" i="9"/>
  <c r="C15" i="14"/>
  <c r="D15" i="14"/>
  <c r="E15" i="14"/>
  <c r="F15" i="14"/>
  <c r="B15" i="14"/>
  <c r="B8" i="14" a="1"/>
  <c r="B8" i="14" s="1"/>
  <c r="L73" i="12"/>
  <c r="M73" i="12"/>
  <c r="N73" i="12"/>
  <c r="O73" i="12"/>
  <c r="P73" i="12"/>
  <c r="L74" i="12"/>
  <c r="M74" i="12"/>
  <c r="N74" i="12"/>
  <c r="O74" i="12"/>
  <c r="P74" i="12"/>
  <c r="L75" i="12"/>
  <c r="M75" i="12"/>
  <c r="N75" i="12"/>
  <c r="O75" i="12"/>
  <c r="P75" i="12"/>
  <c r="L76" i="12"/>
  <c r="M76" i="12"/>
  <c r="N76" i="12"/>
  <c r="O76" i="12"/>
  <c r="P76" i="12"/>
  <c r="L77" i="12"/>
  <c r="M77" i="12"/>
  <c r="N77" i="12"/>
  <c r="O77" i="12"/>
  <c r="P77" i="12"/>
  <c r="K77" i="12"/>
  <c r="K76" i="12"/>
  <c r="K75" i="12"/>
  <c r="K74" i="12"/>
  <c r="K73" i="12"/>
  <c r="E68" i="12"/>
  <c r="K68" i="12"/>
  <c r="L68" i="12"/>
  <c r="M68" i="12"/>
  <c r="N68" i="12"/>
  <c r="O68" i="12"/>
  <c r="D68" i="12"/>
  <c r="D67" i="12"/>
  <c r="D66" i="12"/>
  <c r="D65" i="12"/>
  <c r="D64" i="12"/>
  <c r="D63" i="12"/>
  <c r="D62" i="12"/>
  <c r="D61" i="12"/>
  <c r="L12" i="7"/>
  <c r="E65" i="12"/>
  <c r="L65" i="12" s="1"/>
  <c r="E64" i="12"/>
  <c r="M64" i="12" s="1"/>
  <c r="E63" i="12"/>
  <c r="L63" i="12" s="1"/>
  <c r="E62" i="12"/>
  <c r="K62" i="12" s="1"/>
  <c r="E61" i="12"/>
  <c r="L61" i="12" s="1"/>
  <c r="F61" i="12" a="1"/>
  <c r="F61" i="12" s="1"/>
  <c r="M62" i="12"/>
  <c r="N62" i="12"/>
  <c r="O62" i="12"/>
  <c r="K65" i="12"/>
  <c r="F66" i="12" a="1"/>
  <c r="F66" i="12" s="1"/>
  <c r="F65" i="12" a="1"/>
  <c r="F65" i="12" s="1"/>
  <c r="F64" i="12" a="1"/>
  <c r="F64" i="12" s="1"/>
  <c r="F63" i="12" a="1"/>
  <c r="F63" i="12" s="1"/>
  <c r="F62" i="12" a="1"/>
  <c r="F62" i="12" s="1"/>
  <c r="E66" i="12"/>
  <c r="N66" i="12" s="1"/>
  <c r="E67" i="12"/>
  <c r="L67" i="12" s="1"/>
  <c r="K56" i="12"/>
  <c r="P56" i="12"/>
  <c r="L56" i="12"/>
  <c r="M56" i="12"/>
  <c r="N56" i="12"/>
  <c r="O56" i="12"/>
  <c r="P53" i="12"/>
  <c r="P54" i="12"/>
  <c r="P55" i="12"/>
  <c r="M55" i="12"/>
  <c r="N55" i="12"/>
  <c r="O55" i="12"/>
  <c r="M54" i="12"/>
  <c r="N54" i="12"/>
  <c r="O54" i="12"/>
  <c r="M53" i="12"/>
  <c r="N53" i="12"/>
  <c r="O53" i="12"/>
  <c r="L55" i="12"/>
  <c r="L54" i="12"/>
  <c r="L53" i="12"/>
  <c r="K55" i="12"/>
  <c r="K54" i="12"/>
  <c r="K53" i="12"/>
  <c r="D48" i="12"/>
  <c r="E48" i="12"/>
  <c r="K48" i="12"/>
  <c r="L48" i="12"/>
  <c r="M48" i="12"/>
  <c r="N48" i="12"/>
  <c r="O48" i="12"/>
  <c r="P48" i="12"/>
  <c r="C48" i="12"/>
  <c r="P41" i="12"/>
  <c r="P42" i="12"/>
  <c r="P43" i="12"/>
  <c r="P44" i="12"/>
  <c r="P45" i="12"/>
  <c r="P46" i="12"/>
  <c r="P47" i="12"/>
  <c r="P40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K41" i="12"/>
  <c r="K42" i="12"/>
  <c r="K43" i="12"/>
  <c r="K44" i="12"/>
  <c r="K45" i="12"/>
  <c r="K46" i="12"/>
  <c r="K47" i="12"/>
  <c r="K40" i="12"/>
  <c r="F40" i="12" a="1"/>
  <c r="F40" i="12" s="1"/>
  <c r="E41" i="12"/>
  <c r="E42" i="12"/>
  <c r="E43" i="12"/>
  <c r="E44" i="12"/>
  <c r="E45" i="12"/>
  <c r="E46" i="12"/>
  <c r="E47" i="12"/>
  <c r="E40" i="12"/>
  <c r="D41" i="12"/>
  <c r="D42" i="12"/>
  <c r="D43" i="12"/>
  <c r="D44" i="12"/>
  <c r="D45" i="12"/>
  <c r="D46" i="12"/>
  <c r="D47" i="12"/>
  <c r="D40" i="12"/>
  <c r="C47" i="12"/>
  <c r="C46" i="12"/>
  <c r="C41" i="12"/>
  <c r="C42" i="12"/>
  <c r="C43" i="12"/>
  <c r="C44" i="12"/>
  <c r="C45" i="12"/>
  <c r="C40" i="12"/>
  <c r="K35" i="12"/>
  <c r="L35" i="12"/>
  <c r="M35" i="12"/>
  <c r="N35" i="12"/>
  <c r="O35" i="12"/>
  <c r="P35" i="12"/>
  <c r="D35" i="12"/>
  <c r="E35" i="12"/>
  <c r="C35" i="12"/>
  <c r="P31" i="12"/>
  <c r="P32" i="12"/>
  <c r="P33" i="12"/>
  <c r="P34" i="12"/>
  <c r="P30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K31" i="12"/>
  <c r="K32" i="12"/>
  <c r="K33" i="12"/>
  <c r="K34" i="12"/>
  <c r="K30" i="12"/>
  <c r="F30" i="12" a="1"/>
  <c r="F30" i="12" s="1"/>
  <c r="E31" i="12"/>
  <c r="E32" i="12"/>
  <c r="E33" i="12"/>
  <c r="E34" i="12"/>
  <c r="E30" i="12"/>
  <c r="D31" i="12"/>
  <c r="D32" i="12"/>
  <c r="D33" i="12"/>
  <c r="D34" i="12"/>
  <c r="D30" i="12"/>
  <c r="C34" i="12"/>
  <c r="C33" i="12"/>
  <c r="C31" i="12"/>
  <c r="C32" i="12"/>
  <c r="C30" i="12"/>
  <c r="M25" i="12"/>
  <c r="N25" i="12"/>
  <c r="O25" i="12"/>
  <c r="K25" i="12"/>
  <c r="L25" i="12"/>
  <c r="D25" i="12"/>
  <c r="E25" i="12"/>
  <c r="C25" i="12"/>
  <c r="P25" i="12"/>
  <c r="P23" i="12"/>
  <c r="P24" i="12"/>
  <c r="P22" i="12"/>
  <c r="L24" i="12"/>
  <c r="M24" i="12"/>
  <c r="N24" i="12"/>
  <c r="O24" i="12"/>
  <c r="L23" i="12"/>
  <c r="M23" i="12"/>
  <c r="N23" i="12"/>
  <c r="O23" i="12"/>
  <c r="O22" i="12"/>
  <c r="L22" i="12"/>
  <c r="M22" i="12"/>
  <c r="N22" i="12"/>
  <c r="K23" i="12"/>
  <c r="K24" i="12"/>
  <c r="K22" i="12"/>
  <c r="J15" i="12"/>
  <c r="F22" i="12" a="1"/>
  <c r="F22" i="12" s="1"/>
  <c r="E23" i="12"/>
  <c r="E24" i="12"/>
  <c r="E22" i="12"/>
  <c r="D23" i="12"/>
  <c r="D24" i="12"/>
  <c r="D22" i="12"/>
  <c r="G15" i="9"/>
  <c r="E15" i="9"/>
  <c r="G16" i="9"/>
  <c r="B16" i="9"/>
  <c r="B29" i="9"/>
  <c r="C24" i="12"/>
  <c r="C23" i="12"/>
  <c r="C22" i="12"/>
  <c r="P9" i="12"/>
  <c r="P10" i="12"/>
  <c r="P11" i="12"/>
  <c r="P12" i="12"/>
  <c r="P13" i="12"/>
  <c r="P14" i="12"/>
  <c r="P15" i="12"/>
  <c r="P16" i="12"/>
  <c r="P17" i="12"/>
  <c r="P18" i="12"/>
  <c r="P8" i="12"/>
  <c r="J14" i="12"/>
  <c r="J9" i="12"/>
  <c r="J10" i="12"/>
  <c r="J11" i="12"/>
  <c r="J12" i="12"/>
  <c r="J13" i="12"/>
  <c r="J16" i="12"/>
  <c r="J17" i="12"/>
  <c r="J18" i="12"/>
  <c r="J8" i="12"/>
  <c r="I18" i="12"/>
  <c r="I17" i="12"/>
  <c r="I9" i="12"/>
  <c r="I10" i="12"/>
  <c r="I11" i="12"/>
  <c r="I12" i="12"/>
  <c r="I13" i="12"/>
  <c r="I14" i="12"/>
  <c r="I15" i="12"/>
  <c r="I16" i="12"/>
  <c r="I8" i="12"/>
  <c r="H18" i="12"/>
  <c r="H17" i="12"/>
  <c r="H13" i="12"/>
  <c r="H14" i="12"/>
  <c r="H15" i="12"/>
  <c r="H16" i="12"/>
  <c r="H12" i="12"/>
  <c r="H11" i="12"/>
  <c r="H9" i="12"/>
  <c r="H10" i="12"/>
  <c r="H8" i="12"/>
  <c r="G13" i="12"/>
  <c r="G14" i="12"/>
  <c r="G15" i="12"/>
  <c r="G16" i="12"/>
  <c r="G12" i="12"/>
  <c r="G9" i="12"/>
  <c r="G10" i="12"/>
  <c r="G11" i="12"/>
  <c r="G8" i="12"/>
  <c r="F13" i="12"/>
  <c r="F14" i="12"/>
  <c r="F15" i="12"/>
  <c r="F16" i="12"/>
  <c r="F17" i="12"/>
  <c r="F18" i="12"/>
  <c r="F12" i="12"/>
  <c r="F8" i="12"/>
  <c r="F9" i="12"/>
  <c r="F10" i="12"/>
  <c r="F11" i="12"/>
  <c r="F33" i="13"/>
  <c r="F31" i="13"/>
  <c r="E33" i="13"/>
  <c r="E31" i="13"/>
  <c r="D33" i="13"/>
  <c r="D31" i="13"/>
  <c r="C33" i="13"/>
  <c r="C31" i="13"/>
  <c r="B33" i="13"/>
  <c r="B31" i="13"/>
  <c r="D15" i="13"/>
  <c r="C15" i="13"/>
  <c r="B15" i="13"/>
  <c r="B21" i="13"/>
  <c r="F9" i="13"/>
  <c r="E9" i="13"/>
  <c r="D9" i="13"/>
  <c r="C9" i="13"/>
  <c r="B9" i="13"/>
  <c r="B19" i="10"/>
  <c r="F15" i="9"/>
  <c r="I12" i="7"/>
  <c r="J12" i="7" s="1"/>
  <c r="L8" i="4"/>
  <c r="K7" i="4"/>
  <c r="G12" i="7"/>
  <c r="E13" i="7"/>
  <c r="D13" i="7"/>
  <c r="P7" i="4"/>
  <c r="B4" i="7"/>
  <c r="B148" i="10"/>
  <c r="K16" i="17" l="1"/>
  <c r="K15" i="17"/>
  <c r="K14" i="17"/>
  <c r="J13" i="17"/>
  <c r="J11" i="17"/>
  <c r="K19" i="17"/>
  <c r="J8" i="17"/>
  <c r="J18" i="17" s="1"/>
  <c r="L19" i="17" s="1"/>
  <c r="B16" i="15"/>
  <c r="B18" i="15" s="1"/>
  <c r="K66" i="12"/>
  <c r="M66" i="12"/>
  <c r="L66" i="12"/>
  <c r="O66" i="12"/>
  <c r="O65" i="12"/>
  <c r="N65" i="12"/>
  <c r="M65" i="12"/>
  <c r="P65" i="12" s="1"/>
  <c r="L64" i="12"/>
  <c r="O64" i="12"/>
  <c r="K64" i="12"/>
  <c r="N64" i="12"/>
  <c r="O63" i="12"/>
  <c r="L62" i="12"/>
  <c r="P62" i="12" s="1"/>
  <c r="K63" i="12"/>
  <c r="N63" i="12"/>
  <c r="M63" i="12"/>
  <c r="N67" i="12"/>
  <c r="O67" i="12"/>
  <c r="K67" i="12"/>
  <c r="M67" i="12"/>
  <c r="O61" i="12"/>
  <c r="N61" i="12"/>
  <c r="M61" i="12"/>
  <c r="K61" i="12"/>
  <c r="D154" i="10"/>
  <c r="B111" i="10"/>
  <c r="B110" i="10"/>
  <c r="B109" i="10"/>
  <c r="B108" i="10"/>
  <c r="B107" i="10"/>
  <c r="B106" i="10"/>
  <c r="B105" i="10"/>
  <c r="C94" i="10"/>
  <c r="C93" i="10"/>
  <c r="C92" i="10"/>
  <c r="C91" i="10"/>
  <c r="C90" i="10"/>
  <c r="C89" i="10"/>
  <c r="C88" i="10"/>
  <c r="C87" i="10"/>
  <c r="C80" i="10"/>
  <c r="C79" i="10"/>
  <c r="C78" i="10"/>
  <c r="C77" i="10"/>
  <c r="C76" i="10"/>
  <c r="C69" i="10"/>
  <c r="C68" i="10"/>
  <c r="C67" i="10"/>
  <c r="B7" i="10"/>
  <c r="B6" i="10"/>
  <c r="B5" i="10"/>
  <c r="B4" i="10"/>
  <c r="I26" i="9"/>
  <c r="C49" i="9"/>
  <c r="I43" i="9"/>
  <c r="G43" i="9"/>
  <c r="C48" i="9" s="1"/>
  <c r="E43" i="9"/>
  <c r="C43" i="9"/>
  <c r="G26" i="9"/>
  <c r="C33" i="9" s="1"/>
  <c r="E26" i="9"/>
  <c r="C26" i="9"/>
  <c r="I12" i="9"/>
  <c r="G12" i="9"/>
  <c r="C15" i="9" s="1"/>
  <c r="E12" i="9"/>
  <c r="C12" i="9"/>
  <c r="B7" i="9"/>
  <c r="B6" i="9"/>
  <c r="B5" i="9"/>
  <c r="B76" i="10" s="1"/>
  <c r="D76" i="10" s="1"/>
  <c r="B4" i="9"/>
  <c r="L7" i="4"/>
  <c r="E12" i="7"/>
  <c r="F18" i="7"/>
  <c r="E18" i="7"/>
  <c r="D18" i="7"/>
  <c r="C18" i="7"/>
  <c r="B18" i="7"/>
  <c r="F17" i="7"/>
  <c r="E17" i="7"/>
  <c r="D17" i="7"/>
  <c r="C17" i="7"/>
  <c r="B17" i="7"/>
  <c r="F16" i="7"/>
  <c r="E16" i="7"/>
  <c r="D16" i="7"/>
  <c r="C16" i="7"/>
  <c r="B16" i="7"/>
  <c r="F15" i="7"/>
  <c r="E15" i="7"/>
  <c r="D15" i="7"/>
  <c r="C15" i="7"/>
  <c r="B15" i="7"/>
  <c r="F14" i="7"/>
  <c r="E14" i="7"/>
  <c r="D14" i="7"/>
  <c r="C14" i="7"/>
  <c r="B14" i="7"/>
  <c r="F13" i="7"/>
  <c r="C13" i="7"/>
  <c r="B13" i="7"/>
  <c r="F12" i="7"/>
  <c r="D12" i="7"/>
  <c r="C12" i="7"/>
  <c r="B12" i="7"/>
  <c r="E6" i="7"/>
  <c r="E5" i="7"/>
  <c r="E4" i="7"/>
  <c r="B7" i="7"/>
  <c r="B6" i="7"/>
  <c r="B5" i="7"/>
  <c r="I23" i="1"/>
  <c r="I5" i="1"/>
  <c r="I10" i="1"/>
  <c r="T33" i="4"/>
  <c r="Q33" i="4"/>
  <c r="R33" i="4" s="1"/>
  <c r="S33" i="4" s="1"/>
  <c r="U33" i="4" s="1"/>
  <c r="T32" i="4"/>
  <c r="Q32" i="4"/>
  <c r="R32" i="4" s="1"/>
  <c r="S32" i="4" s="1"/>
  <c r="T31" i="4"/>
  <c r="Q31" i="4"/>
  <c r="R31" i="4" s="1"/>
  <c r="S31" i="4" s="1"/>
  <c r="T30" i="4"/>
  <c r="U30" i="4" s="1"/>
  <c r="R30" i="4"/>
  <c r="S30" i="4" s="1"/>
  <c r="Q30" i="4"/>
  <c r="M30" i="4"/>
  <c r="N30" i="4" s="1"/>
  <c r="J30" i="4"/>
  <c r="K30" i="4" s="1"/>
  <c r="L30" i="4" s="1"/>
  <c r="T29" i="4"/>
  <c r="Q29" i="4"/>
  <c r="R29" i="4" s="1"/>
  <c r="S29" i="4" s="1"/>
  <c r="M29" i="4"/>
  <c r="J29" i="4"/>
  <c r="K29" i="4" s="1"/>
  <c r="L29" i="4" s="1"/>
  <c r="T28" i="4"/>
  <c r="Q28" i="4"/>
  <c r="R28" i="4" s="1"/>
  <c r="S28" i="4" s="1"/>
  <c r="M28" i="4"/>
  <c r="N28" i="4" s="1"/>
  <c r="J28" i="4"/>
  <c r="K28" i="4" s="1"/>
  <c r="L28" i="4" s="1"/>
  <c r="F28" i="4"/>
  <c r="C28" i="4"/>
  <c r="D28" i="4" s="1"/>
  <c r="E28" i="4" s="1"/>
  <c r="T27" i="4"/>
  <c r="Q27" i="4"/>
  <c r="R27" i="4" s="1"/>
  <c r="S27" i="4" s="1"/>
  <c r="M27" i="4"/>
  <c r="J27" i="4"/>
  <c r="K27" i="4" s="1"/>
  <c r="L27" i="4" s="1"/>
  <c r="F27" i="4"/>
  <c r="C27" i="4"/>
  <c r="D27" i="4" s="1"/>
  <c r="E27" i="4" s="1"/>
  <c r="G27" i="4" s="1"/>
  <c r="T26" i="4"/>
  <c r="R26" i="4"/>
  <c r="S26" i="4" s="1"/>
  <c r="U26" i="4" s="1"/>
  <c r="Q26" i="4"/>
  <c r="M26" i="4"/>
  <c r="K26" i="4"/>
  <c r="L26" i="4" s="1"/>
  <c r="N26" i="4" s="1"/>
  <c r="J26" i="4"/>
  <c r="F26" i="4"/>
  <c r="G26" i="4" s="1"/>
  <c r="D26" i="4"/>
  <c r="E26" i="4" s="1"/>
  <c r="C26" i="4"/>
  <c r="M13" i="4"/>
  <c r="L13" i="4"/>
  <c r="K13" i="4"/>
  <c r="N13" i="4" s="1"/>
  <c r="H13" i="4"/>
  <c r="G18" i="7" s="1"/>
  <c r="M12" i="4"/>
  <c r="L12" i="4"/>
  <c r="K12" i="4"/>
  <c r="N12" i="4" s="1"/>
  <c r="H12" i="4"/>
  <c r="G17" i="7" s="1"/>
  <c r="M11" i="4"/>
  <c r="L11" i="4"/>
  <c r="K11" i="4"/>
  <c r="N11" i="4" s="1"/>
  <c r="H11" i="4"/>
  <c r="G16" i="7" s="1"/>
  <c r="M10" i="4"/>
  <c r="L10" i="4"/>
  <c r="K10" i="4"/>
  <c r="N10" i="4" s="1"/>
  <c r="H10" i="4"/>
  <c r="G15" i="7" s="1"/>
  <c r="M9" i="4"/>
  <c r="L9" i="4"/>
  <c r="N9" i="4" s="1"/>
  <c r="K9" i="4"/>
  <c r="H9" i="4"/>
  <c r="G14" i="7" s="1"/>
  <c r="M8" i="4"/>
  <c r="N8" i="4"/>
  <c r="K8" i="4"/>
  <c r="H8" i="4"/>
  <c r="G13" i="7" s="1"/>
  <c r="M7" i="4"/>
  <c r="H7" i="4"/>
  <c r="I22" i="1"/>
  <c r="I21" i="1"/>
  <c r="I20" i="1"/>
  <c r="I19" i="1"/>
  <c r="I18" i="1"/>
  <c r="I17" i="1"/>
  <c r="I16" i="1"/>
  <c r="F16" i="1"/>
  <c r="F17" i="1" s="1"/>
  <c r="J4" i="1" s="1"/>
  <c r="I15" i="1"/>
  <c r="F15" i="1"/>
  <c r="I14" i="1"/>
  <c r="F14" i="1"/>
  <c r="I13" i="1"/>
  <c r="I12" i="1"/>
  <c r="I11" i="1"/>
  <c r="I9" i="1"/>
  <c r="I8" i="1"/>
  <c r="I7" i="1"/>
  <c r="I6" i="1"/>
  <c r="C33" i="3"/>
  <c r="P66" i="12" l="1"/>
  <c r="P64" i="12"/>
  <c r="P63" i="12"/>
  <c r="P67" i="12"/>
  <c r="P61" i="12"/>
  <c r="P68" i="12" s="1"/>
  <c r="H13" i="7"/>
  <c r="I13" i="7" s="1"/>
  <c r="J13" i="7" s="1"/>
  <c r="Q8" i="4"/>
  <c r="N27" i="4"/>
  <c r="U28" i="4"/>
  <c r="H16" i="7"/>
  <c r="I16" i="7" s="1"/>
  <c r="J16" i="7" s="1"/>
  <c r="Q11" i="4"/>
  <c r="H18" i="7"/>
  <c r="I18" i="7" s="1"/>
  <c r="J18" i="7" s="1"/>
  <c r="Q13" i="4"/>
  <c r="H14" i="7"/>
  <c r="I14" i="7" s="1"/>
  <c r="J14" i="7" s="1"/>
  <c r="Q9" i="4"/>
  <c r="U27" i="4"/>
  <c r="N29" i="4"/>
  <c r="N31" i="4" s="1"/>
  <c r="N33" i="4" s="1"/>
  <c r="U31" i="4"/>
  <c r="G28" i="4"/>
  <c r="G29" i="4" s="1"/>
  <c r="G31" i="4" s="1"/>
  <c r="F37" i="4" s="1"/>
  <c r="U29" i="4"/>
  <c r="H15" i="7"/>
  <c r="I15" i="7" s="1"/>
  <c r="J15" i="7" s="1"/>
  <c r="Q10" i="4"/>
  <c r="H17" i="7"/>
  <c r="I17" i="7" s="1"/>
  <c r="J17" i="7" s="1"/>
  <c r="Q12" i="4"/>
  <c r="U32" i="4"/>
  <c r="U34" i="4" s="1"/>
  <c r="U36" i="4" s="1"/>
  <c r="I7" i="4"/>
  <c r="P8" i="4"/>
  <c r="P9" i="4"/>
  <c r="P10" i="4"/>
  <c r="P11" i="4"/>
  <c r="P12" i="4"/>
  <c r="P13" i="4"/>
  <c r="I8" i="4"/>
  <c r="I9" i="4"/>
  <c r="I10" i="4"/>
  <c r="I11" i="4"/>
  <c r="I12" i="4"/>
  <c r="I13" i="4"/>
  <c r="J5" i="1"/>
  <c r="K5" i="1" s="1"/>
  <c r="K4" i="1"/>
  <c r="D107" i="10"/>
  <c r="M14" i="7"/>
  <c r="L14" i="7"/>
  <c r="D108" i="10"/>
  <c r="M15" i="7"/>
  <c r="D109" i="10"/>
  <c r="L16" i="7"/>
  <c r="D110" i="10"/>
  <c r="M17" i="7"/>
  <c r="L17" i="7"/>
  <c r="L18" i="7"/>
  <c r="D111" i="10"/>
  <c r="F33" i="9"/>
  <c r="E80" i="10" s="1"/>
  <c r="F32" i="9"/>
  <c r="E79" i="10" s="1"/>
  <c r="B68" i="10"/>
  <c r="D68" i="10" s="1"/>
  <c r="L15" i="7"/>
  <c r="F48" i="9"/>
  <c r="E89" i="10" s="1"/>
  <c r="F46" i="9"/>
  <c r="F53" i="9"/>
  <c r="M18" i="7"/>
  <c r="M16" i="7"/>
  <c r="N7" i="4"/>
  <c r="Q7" i="4" s="1"/>
  <c r="E106" i="10"/>
  <c r="E107" i="10"/>
  <c r="E108" i="10"/>
  <c r="E109" i="10"/>
  <c r="F17" i="9"/>
  <c r="E69" i="10" s="1"/>
  <c r="E110" i="10"/>
  <c r="E94" i="10"/>
  <c r="E111" i="10"/>
  <c r="F110" i="10"/>
  <c r="F47" i="9"/>
  <c r="E88" i="10" s="1"/>
  <c r="C51" i="9"/>
  <c r="E87" i="10"/>
  <c r="E67" i="10"/>
  <c r="C53" i="9"/>
  <c r="F29" i="9"/>
  <c r="E76" i="10" s="1"/>
  <c r="G76" i="10" s="1"/>
  <c r="F52" i="9"/>
  <c r="E93" i="10" s="1"/>
  <c r="F51" i="9"/>
  <c r="E92" i="10" s="1"/>
  <c r="F16" i="9"/>
  <c r="E68" i="10" s="1"/>
  <c r="F31" i="9"/>
  <c r="E78" i="10" s="1"/>
  <c r="F50" i="9"/>
  <c r="E91" i="10" s="1"/>
  <c r="F30" i="9"/>
  <c r="E77" i="10" s="1"/>
  <c r="F49" i="9"/>
  <c r="E90" i="10" s="1"/>
  <c r="F111" i="10"/>
  <c r="F109" i="10"/>
  <c r="F108" i="10"/>
  <c r="F107" i="10"/>
  <c r="F106" i="10"/>
  <c r="B26" i="10"/>
  <c r="C26" i="10" s="1"/>
  <c r="C106" i="10"/>
  <c r="C107" i="10"/>
  <c r="C108" i="10"/>
  <c r="B28" i="10"/>
  <c r="C28" i="10" s="1"/>
  <c r="C109" i="10"/>
  <c r="C110" i="10"/>
  <c r="C105" i="10"/>
  <c r="C111" i="10"/>
  <c r="L13" i="7"/>
  <c r="D106" i="10"/>
  <c r="B29" i="10"/>
  <c r="C29" i="10" s="1"/>
  <c r="B34" i="10"/>
  <c r="C34" i="10" s="1"/>
  <c r="B35" i="10"/>
  <c r="C35" i="10" s="1"/>
  <c r="B30" i="10"/>
  <c r="C30" i="10" s="1"/>
  <c r="B37" i="10"/>
  <c r="B31" i="10"/>
  <c r="C31" i="10" s="1"/>
  <c r="B32" i="10"/>
  <c r="C32" i="10" s="1"/>
  <c r="B27" i="10"/>
  <c r="C27" i="10" s="1"/>
  <c r="B33" i="10"/>
  <c r="C33" i="10" s="1"/>
  <c r="B51" i="9"/>
  <c r="C46" i="9"/>
  <c r="C50" i="9"/>
  <c r="B48" i="9"/>
  <c r="C16" i="9"/>
  <c r="B15" i="9"/>
  <c r="B67" i="10" s="1"/>
  <c r="D67" i="10" s="1"/>
  <c r="B33" i="9"/>
  <c r="C17" i="9"/>
  <c r="C29" i="9"/>
  <c r="D29" i="9" s="1"/>
  <c r="E29" i="9" s="1"/>
  <c r="G29" i="9" s="1"/>
  <c r="B52" i="9"/>
  <c r="B93" i="10" s="1"/>
  <c r="D93" i="10" s="1"/>
  <c r="C52" i="9"/>
  <c r="C30" i="9"/>
  <c r="B53" i="9"/>
  <c r="C31" i="9"/>
  <c r="B46" i="9"/>
  <c r="C32" i="9"/>
  <c r="B47" i="9"/>
  <c r="B88" i="10" s="1"/>
  <c r="D88" i="10" s="1"/>
  <c r="C47" i="9"/>
  <c r="B30" i="9"/>
  <c r="B17" i="9"/>
  <c r="B31" i="9"/>
  <c r="B49" i="9"/>
  <c r="B32" i="9"/>
  <c r="B50" i="9"/>
  <c r="J6" i="1" l="1"/>
  <c r="F68" i="10"/>
  <c r="G88" i="10"/>
  <c r="M13" i="7"/>
  <c r="K12" i="7"/>
  <c r="D16" i="9"/>
  <c r="E16" i="9" s="1"/>
  <c r="I16" i="9" s="1"/>
  <c r="F93" i="10"/>
  <c r="I14" i="4"/>
  <c r="H12" i="7"/>
  <c r="H68" i="10"/>
  <c r="G68" i="10"/>
  <c r="F88" i="10"/>
  <c r="H76" i="10"/>
  <c r="F76" i="10"/>
  <c r="H67" i="10"/>
  <c r="G67" i="10"/>
  <c r="B45" i="10"/>
  <c r="D26" i="10"/>
  <c r="F67" i="10"/>
  <c r="D17" i="9"/>
  <c r="E17" i="9" s="1"/>
  <c r="G17" i="9" s="1"/>
  <c r="B69" i="10"/>
  <c r="D69" i="10" s="1"/>
  <c r="D46" i="9"/>
  <c r="E46" i="9" s="1"/>
  <c r="G46" i="9" s="1"/>
  <c r="B87" i="10"/>
  <c r="D87" i="10" s="1"/>
  <c r="D33" i="9"/>
  <c r="E33" i="9" s="1"/>
  <c r="G33" i="9" s="1"/>
  <c r="H33" i="9" s="1"/>
  <c r="B80" i="10"/>
  <c r="D80" i="10" s="1"/>
  <c r="D15" i="9"/>
  <c r="I15" i="9" s="1"/>
  <c r="D30" i="9"/>
  <c r="E30" i="9" s="1"/>
  <c r="G30" i="9" s="1"/>
  <c r="I30" i="9" s="1"/>
  <c r="B77" i="10"/>
  <c r="D77" i="10" s="1"/>
  <c r="D53" i="9"/>
  <c r="E53" i="9" s="1"/>
  <c r="G53" i="9" s="1"/>
  <c r="I53" i="9" s="1"/>
  <c r="B94" i="10"/>
  <c r="D94" i="10" s="1"/>
  <c r="H93" i="10"/>
  <c r="D50" i="9"/>
  <c r="E50" i="9" s="1"/>
  <c r="G50" i="9" s="1"/>
  <c r="I50" i="9" s="1"/>
  <c r="B91" i="10"/>
  <c r="D91" i="10" s="1"/>
  <c r="D48" i="9"/>
  <c r="E48" i="9" s="1"/>
  <c r="G48" i="9" s="1"/>
  <c r="B89" i="10"/>
  <c r="D89" i="10" s="1"/>
  <c r="G93" i="10"/>
  <c r="H88" i="10"/>
  <c r="D32" i="9"/>
  <c r="E32" i="9" s="1"/>
  <c r="G32" i="9" s="1"/>
  <c r="B79" i="10"/>
  <c r="D79" i="10" s="1"/>
  <c r="D49" i="9"/>
  <c r="E49" i="9" s="1"/>
  <c r="G49" i="9" s="1"/>
  <c r="I49" i="9" s="1"/>
  <c r="B90" i="10"/>
  <c r="D90" i="10" s="1"/>
  <c r="G90" i="10" s="1"/>
  <c r="D31" i="9"/>
  <c r="E31" i="9" s="1"/>
  <c r="G31" i="9" s="1"/>
  <c r="B78" i="10"/>
  <c r="D78" i="10" s="1"/>
  <c r="D51" i="9"/>
  <c r="E51" i="9" s="1"/>
  <c r="G51" i="9" s="1"/>
  <c r="B92" i="10"/>
  <c r="D92" i="10" s="1"/>
  <c r="G18" i="9"/>
  <c r="J15" i="9" s="1"/>
  <c r="K15" i="9" s="1"/>
  <c r="D52" i="9"/>
  <c r="E52" i="9" s="1"/>
  <c r="I48" i="9"/>
  <c r="H48" i="9"/>
  <c r="H50" i="9"/>
  <c r="H32" i="9"/>
  <c r="I32" i="9"/>
  <c r="D47" i="9"/>
  <c r="E47" i="9" s="1"/>
  <c r="G47" i="9" s="1"/>
  <c r="I33" i="9"/>
  <c r="I17" i="9"/>
  <c r="H17" i="9"/>
  <c r="I29" i="9"/>
  <c r="H29" i="9"/>
  <c r="G52" i="9"/>
  <c r="H30" i="9"/>
  <c r="Q14" i="4"/>
  <c r="J7" i="1"/>
  <c r="J8" i="1" s="1"/>
  <c r="K8" i="1" s="1"/>
  <c r="K6" i="1"/>
  <c r="H16" i="9" l="1"/>
  <c r="H15" i="9"/>
  <c r="H49" i="9"/>
  <c r="C20" i="9"/>
  <c r="D105" i="10"/>
  <c r="D112" i="10" s="1"/>
  <c r="B127" i="10" s="1"/>
  <c r="E105" i="10"/>
  <c r="E112" i="10" s="1"/>
  <c r="E113" i="10" s="1"/>
  <c r="F105" i="10"/>
  <c r="F112" i="10" s="1"/>
  <c r="F114" i="10" s="1"/>
  <c r="D29" i="10"/>
  <c r="E29" i="10" s="1"/>
  <c r="F29" i="10" s="1"/>
  <c r="I51" i="9"/>
  <c r="H51" i="9"/>
  <c r="H31" i="9"/>
  <c r="H34" i="9" s="1"/>
  <c r="I31" i="9"/>
  <c r="G34" i="9"/>
  <c r="J33" i="9" s="1"/>
  <c r="K33" i="9" s="1"/>
  <c r="G94" i="10"/>
  <c r="H94" i="10"/>
  <c r="F94" i="10"/>
  <c r="H78" i="10"/>
  <c r="G78" i="10"/>
  <c r="F89" i="10"/>
  <c r="G89" i="10"/>
  <c r="H89" i="10"/>
  <c r="G69" i="10"/>
  <c r="G70" i="10" s="1"/>
  <c r="H69" i="10"/>
  <c r="H70" i="10" s="1"/>
  <c r="F69" i="10"/>
  <c r="F70" i="10" s="1"/>
  <c r="G54" i="9"/>
  <c r="J46" i="9"/>
  <c r="H53" i="9"/>
  <c r="G77" i="10"/>
  <c r="H77" i="10"/>
  <c r="F77" i="10"/>
  <c r="G91" i="10"/>
  <c r="F91" i="10"/>
  <c r="H91" i="10"/>
  <c r="F78" i="10"/>
  <c r="H79" i="10"/>
  <c r="G79" i="10"/>
  <c r="F79" i="10"/>
  <c r="H90" i="10"/>
  <c r="H80" i="10"/>
  <c r="F80" i="10"/>
  <c r="G80" i="10"/>
  <c r="F92" i="10"/>
  <c r="G92" i="10"/>
  <c r="H92" i="10"/>
  <c r="F90" i="10"/>
  <c r="H87" i="10"/>
  <c r="G87" i="10"/>
  <c r="F87" i="10"/>
  <c r="D30" i="10"/>
  <c r="E30" i="10" s="1"/>
  <c r="F30" i="10" s="1"/>
  <c r="D32" i="10"/>
  <c r="E32" i="10" s="1"/>
  <c r="F32" i="10" s="1"/>
  <c r="D34" i="10"/>
  <c r="E34" i="10" s="1"/>
  <c r="F34" i="10" s="1"/>
  <c r="D28" i="10"/>
  <c r="E28" i="10" s="1"/>
  <c r="F28" i="10" s="1"/>
  <c r="D31" i="10"/>
  <c r="E31" i="10" s="1"/>
  <c r="F31" i="10" s="1"/>
  <c r="D33" i="10"/>
  <c r="E33" i="10" s="1"/>
  <c r="F33" i="10" s="1"/>
  <c r="E26" i="10"/>
  <c r="D35" i="10"/>
  <c r="E35" i="10" s="1"/>
  <c r="D27" i="10"/>
  <c r="E27" i="10" s="1"/>
  <c r="F27" i="10" s="1"/>
  <c r="H18" i="9"/>
  <c r="H20" i="9" s="1"/>
  <c r="I18" i="9"/>
  <c r="J17" i="9"/>
  <c r="K17" i="9" s="1"/>
  <c r="J32" i="9"/>
  <c r="K32" i="9" s="1"/>
  <c r="I34" i="9"/>
  <c r="I47" i="9"/>
  <c r="H47" i="9"/>
  <c r="I52" i="9"/>
  <c r="H52" i="9"/>
  <c r="J16" i="9"/>
  <c r="K16" i="9" s="1"/>
  <c r="I46" i="9"/>
  <c r="H46" i="9"/>
  <c r="K7" i="1"/>
  <c r="J9" i="1"/>
  <c r="B65" i="9" l="1"/>
  <c r="B7" i="13"/>
  <c r="B29" i="13" s="1"/>
  <c r="H21" i="9"/>
  <c r="E65" i="9" s="1"/>
  <c r="D65" i="9"/>
  <c r="D7" i="13"/>
  <c r="J30" i="9"/>
  <c r="K30" i="9" s="1"/>
  <c r="J29" i="9"/>
  <c r="K29" i="9" s="1"/>
  <c r="H36" i="9"/>
  <c r="D8" i="13" s="1"/>
  <c r="C36" i="9"/>
  <c r="J31" i="9"/>
  <c r="K31" i="9" s="1"/>
  <c r="K34" i="9" s="1"/>
  <c r="L33" i="9" s="1"/>
  <c r="G95" i="10"/>
  <c r="H71" i="10"/>
  <c r="G71" i="10"/>
  <c r="H95" i="10"/>
  <c r="G81" i="10"/>
  <c r="G99" i="10" s="1"/>
  <c r="F81" i="10"/>
  <c r="F95" i="10"/>
  <c r="H37" i="9"/>
  <c r="E66" i="9" s="1"/>
  <c r="H81" i="10"/>
  <c r="D127" i="10"/>
  <c r="C127" i="10"/>
  <c r="F26" i="10"/>
  <c r="E36" i="10"/>
  <c r="H23" i="9"/>
  <c r="K18" i="9"/>
  <c r="L17" i="9" s="1"/>
  <c r="J18" i="9"/>
  <c r="C56" i="9"/>
  <c r="B67" i="9" s="1"/>
  <c r="J50" i="9"/>
  <c r="K50" i="9" s="1"/>
  <c r="J48" i="9"/>
  <c r="K48" i="9" s="1"/>
  <c r="J51" i="9"/>
  <c r="K51" i="9" s="1"/>
  <c r="J49" i="9"/>
  <c r="K49" i="9" s="1"/>
  <c r="J53" i="9"/>
  <c r="K53" i="9" s="1"/>
  <c r="K46" i="9"/>
  <c r="J47" i="9"/>
  <c r="K47" i="9" s="1"/>
  <c r="D66" i="9"/>
  <c r="H54" i="9"/>
  <c r="H56" i="9" s="1"/>
  <c r="J52" i="9"/>
  <c r="K52" i="9" s="1"/>
  <c r="I54" i="9"/>
  <c r="H57" i="9" s="1"/>
  <c r="E67" i="9" s="1"/>
  <c r="K17" i="7"/>
  <c r="N17" i="7" s="1"/>
  <c r="K16" i="7"/>
  <c r="N16" i="7" s="1"/>
  <c r="K15" i="7"/>
  <c r="N15" i="7" s="1"/>
  <c r="B22" i="7"/>
  <c r="K14" i="7"/>
  <c r="N14" i="7" s="1"/>
  <c r="K13" i="7"/>
  <c r="N13" i="7" s="1"/>
  <c r="N12" i="7"/>
  <c r="L19" i="7"/>
  <c r="J19" i="7"/>
  <c r="M12" i="7"/>
  <c r="M19" i="7" s="1"/>
  <c r="K18" i="7"/>
  <c r="N18" i="7" s="1"/>
  <c r="K9" i="1"/>
  <c r="J10" i="1"/>
  <c r="H22" i="9" l="1"/>
  <c r="J21" i="9" s="1"/>
  <c r="D29" i="13"/>
  <c r="E7" i="13"/>
  <c r="E29" i="13" s="1"/>
  <c r="C7" i="13"/>
  <c r="F65" i="9"/>
  <c r="B66" i="9"/>
  <c r="B68" i="9" s="1"/>
  <c r="C65" i="9" s="1"/>
  <c r="G65" i="9" s="1"/>
  <c r="B8" i="13"/>
  <c r="B30" i="13" s="1"/>
  <c r="H38" i="9"/>
  <c r="E8" i="13"/>
  <c r="E30" i="13" s="1"/>
  <c r="D30" i="13"/>
  <c r="J34" i="9"/>
  <c r="H59" i="9"/>
  <c r="H39" i="9"/>
  <c r="F99" i="10"/>
  <c r="B126" i="10" s="1"/>
  <c r="B128" i="10" s="1"/>
  <c r="H96" i="10"/>
  <c r="H99" i="10"/>
  <c r="D126" i="10" s="1"/>
  <c r="D128" i="10" s="1"/>
  <c r="F36" i="10"/>
  <c r="B40" i="10" s="1"/>
  <c r="B44" i="10" s="1"/>
  <c r="B46" i="10" s="1"/>
  <c r="G96" i="10"/>
  <c r="H82" i="10"/>
  <c r="G82" i="10"/>
  <c r="B23" i="7"/>
  <c r="C77" i="9"/>
  <c r="L15" i="9"/>
  <c r="L16" i="9"/>
  <c r="L29" i="9"/>
  <c r="L30" i="9"/>
  <c r="L31" i="9"/>
  <c r="L32" i="9"/>
  <c r="H58" i="9"/>
  <c r="F67" i="9"/>
  <c r="D67" i="9"/>
  <c r="J54" i="9"/>
  <c r="K54" i="9"/>
  <c r="B26" i="7"/>
  <c r="C80" i="9" s="1"/>
  <c r="B27" i="7"/>
  <c r="C81" i="9" s="1"/>
  <c r="B24" i="7"/>
  <c r="C78" i="9" s="1"/>
  <c r="B52" i="10" s="1"/>
  <c r="B25" i="7"/>
  <c r="C79" i="9" s="1"/>
  <c r="N19" i="7"/>
  <c r="K19" i="7"/>
  <c r="O15" i="7"/>
  <c r="O17" i="7"/>
  <c r="O14" i="7"/>
  <c r="O13" i="7"/>
  <c r="O16" i="7"/>
  <c r="O18" i="7"/>
  <c r="O12" i="7"/>
  <c r="J11" i="1"/>
  <c r="K10" i="1"/>
  <c r="C67" i="9" l="1"/>
  <c r="C66" i="9"/>
  <c r="G66" i="9" s="1"/>
  <c r="C29" i="13"/>
  <c r="F7" i="13"/>
  <c r="F29" i="13" s="1"/>
  <c r="C70" i="9"/>
  <c r="C84" i="9" s="1"/>
  <c r="B20" i="13"/>
  <c r="B22" i="13" s="1"/>
  <c r="B34" i="13" s="1"/>
  <c r="B10" i="13"/>
  <c r="B32" i="13" s="1"/>
  <c r="F66" i="9"/>
  <c r="C8" i="13"/>
  <c r="B149" i="10"/>
  <c r="D155" i="10" s="1"/>
  <c r="D129" i="10"/>
  <c r="D130" i="10" s="1"/>
  <c r="B142" i="10"/>
  <c r="C126" i="10"/>
  <c r="C128" i="10" s="1"/>
  <c r="G100" i="10"/>
  <c r="G72" i="9"/>
  <c r="H101" i="10"/>
  <c r="C85" i="9"/>
  <c r="G71" i="9"/>
  <c r="G67" i="9"/>
  <c r="G68" i="9" s="1"/>
  <c r="L34" i="9"/>
  <c r="L18" i="9"/>
  <c r="C68" i="9"/>
  <c r="H66" i="9"/>
  <c r="H65" i="9"/>
  <c r="H67" i="9"/>
  <c r="L53" i="9"/>
  <c r="L52" i="9"/>
  <c r="L51" i="9"/>
  <c r="L50" i="9"/>
  <c r="L49" i="9"/>
  <c r="L48" i="9"/>
  <c r="L47" i="9"/>
  <c r="L46" i="9"/>
  <c r="O19" i="7"/>
  <c r="B28" i="7"/>
  <c r="K11" i="1"/>
  <c r="J12" i="1"/>
  <c r="J13" i="1" s="1"/>
  <c r="C71" i="9" l="1"/>
  <c r="D10" i="13" s="1"/>
  <c r="F8" i="13"/>
  <c r="F30" i="13" s="1"/>
  <c r="C30" i="13"/>
  <c r="C129" i="10"/>
  <c r="C130" i="10" s="1"/>
  <c r="C86" i="9"/>
  <c r="H68" i="9"/>
  <c r="C72" i="9" s="1"/>
  <c r="C74" i="9" s="1"/>
  <c r="C91" i="9" s="1"/>
  <c r="C92" i="9" s="1"/>
  <c r="L54" i="9"/>
  <c r="K13" i="1"/>
  <c r="J14" i="1"/>
  <c r="K12" i="1"/>
  <c r="E10" i="13" l="1"/>
  <c r="E32" i="13" s="1"/>
  <c r="D32" i="13"/>
  <c r="C73" i="9"/>
  <c r="K14" i="1"/>
  <c r="J15" i="1"/>
  <c r="K15" i="1" s="1"/>
  <c r="B51" i="10" l="1"/>
  <c r="B53" i="10" s="1"/>
  <c r="C10" i="13"/>
  <c r="F10" i="13" l="1"/>
  <c r="C32" i="13"/>
  <c r="C34" i="13"/>
  <c r="C90" i="9"/>
  <c r="D34" i="13" s="1"/>
  <c r="B155" i="10"/>
  <c r="E155" i="10" s="1"/>
  <c r="B140" i="10"/>
  <c r="B154" i="10" s="1"/>
  <c r="E154" i="10" s="1"/>
  <c r="B141" i="10"/>
  <c r="J16" i="1"/>
  <c r="D119" i="10" l="1"/>
  <c r="D118" i="10"/>
  <c r="D117" i="10"/>
  <c r="B132" i="10" s="1"/>
  <c r="B133" i="10" s="1"/>
  <c r="F32" i="13"/>
  <c r="F23" i="13"/>
  <c r="K16" i="1"/>
  <c r="J17" i="1"/>
  <c r="C132" i="10" l="1"/>
  <c r="C133" i="10" s="1"/>
  <c r="C134" i="10" s="1"/>
  <c r="C135" i="10" s="1"/>
  <c r="D120" i="10"/>
  <c r="E24" i="13"/>
  <c r="E34" i="13" s="1"/>
  <c r="F34" i="13"/>
  <c r="D132" i="10"/>
  <c r="D133" i="10" s="1"/>
  <c r="D134" i="10" s="1"/>
  <c r="D135" i="10" s="1"/>
  <c r="D121" i="10"/>
  <c r="J18" i="1"/>
  <c r="J19" i="1" s="1"/>
  <c r="K19" i="1" s="1"/>
  <c r="K17" i="1"/>
  <c r="J20" i="1" l="1"/>
  <c r="K18" i="1"/>
  <c r="J21" i="1" l="1"/>
  <c r="K20" i="1"/>
  <c r="J22" i="1" l="1"/>
  <c r="K21" i="1"/>
  <c r="K22" i="1" l="1"/>
  <c r="J23" i="1"/>
  <c r="K23" i="1" s="1"/>
  <c r="P14" i="4" l="1"/>
  <c r="G9" i="14"/>
  <c r="F9" i="14"/>
  <c r="E9" i="14"/>
  <c r="D9" i="14"/>
  <c r="C9" i="14"/>
  <c r="B9" i="14"/>
  <c r="G8" i="14"/>
  <c r="F8" i="14"/>
  <c r="E8" i="14"/>
  <c r="D8" i="14"/>
  <c r="C8" i="14"/>
  <c r="J67" i="12"/>
  <c r="I67" i="12"/>
  <c r="H67" i="12"/>
  <c r="G67" i="12"/>
  <c r="F67" i="12"/>
  <c r="J66" i="12"/>
  <c r="I66" i="12"/>
  <c r="H66" i="12"/>
  <c r="G66" i="12"/>
  <c r="J65" i="12"/>
  <c r="I65" i="12"/>
  <c r="H65" i="12"/>
  <c r="G65" i="12"/>
  <c r="J64" i="12"/>
  <c r="I64" i="12"/>
  <c r="H64" i="12"/>
  <c r="G64" i="12"/>
  <c r="J63" i="12"/>
  <c r="I63" i="12"/>
  <c r="H63" i="12"/>
  <c r="G63" i="12"/>
  <c r="J62" i="12"/>
  <c r="I62" i="12"/>
  <c r="H62" i="12"/>
  <c r="G62" i="12"/>
  <c r="J61" i="12"/>
  <c r="I61" i="12"/>
  <c r="H61" i="12"/>
  <c r="G61" i="12"/>
  <c r="J47" i="12"/>
  <c r="I47" i="12"/>
  <c r="H47" i="12"/>
  <c r="G47" i="12"/>
  <c r="F47" i="12"/>
  <c r="J46" i="12"/>
  <c r="I46" i="12"/>
  <c r="H46" i="12"/>
  <c r="G46" i="12"/>
  <c r="F46" i="12"/>
  <c r="J45" i="12"/>
  <c r="I45" i="12"/>
  <c r="H45" i="12"/>
  <c r="G45" i="12"/>
  <c r="F45" i="12"/>
  <c r="J44" i="12"/>
  <c r="I44" i="12"/>
  <c r="H44" i="12"/>
  <c r="G44" i="12"/>
  <c r="F44" i="12"/>
  <c r="J43" i="12"/>
  <c r="I43" i="12"/>
  <c r="H43" i="12"/>
  <c r="G43" i="12"/>
  <c r="F43" i="12"/>
  <c r="J42" i="12"/>
  <c r="I42" i="12"/>
  <c r="H42" i="12"/>
  <c r="G42" i="12"/>
  <c r="F42" i="12"/>
  <c r="J41" i="12"/>
  <c r="I41" i="12"/>
  <c r="H41" i="12"/>
  <c r="G41" i="12"/>
  <c r="F41" i="12"/>
  <c r="J40" i="12"/>
  <c r="I40" i="12"/>
  <c r="H40" i="12"/>
  <c r="G40" i="12"/>
  <c r="J34" i="12"/>
  <c r="I34" i="12"/>
  <c r="H34" i="12"/>
  <c r="G34" i="12"/>
  <c r="F34" i="12"/>
  <c r="J33" i="12"/>
  <c r="I33" i="12"/>
  <c r="H33" i="12"/>
  <c r="G33" i="12"/>
  <c r="F33" i="12"/>
  <c r="J32" i="12"/>
  <c r="I32" i="12"/>
  <c r="H32" i="12"/>
  <c r="G32" i="12"/>
  <c r="F32" i="12"/>
  <c r="J31" i="12"/>
  <c r="I31" i="12"/>
  <c r="H31" i="12"/>
  <c r="G31" i="12"/>
  <c r="F31" i="12"/>
  <c r="J30" i="12"/>
  <c r="I30" i="12"/>
  <c r="H30" i="12"/>
  <c r="G30" i="12"/>
  <c r="J24" i="12"/>
  <c r="I24" i="12"/>
  <c r="H24" i="12"/>
  <c r="G24" i="12"/>
  <c r="F24" i="12"/>
  <c r="J23" i="12"/>
  <c r="I23" i="12"/>
  <c r="H23" i="12"/>
  <c r="G23" i="12"/>
  <c r="F23" i="12"/>
  <c r="J22" i="12"/>
  <c r="I22" i="12"/>
  <c r="H22" i="12"/>
  <c r="G22" i="1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<sst xmlns="http://schemas.openxmlformats.org/spreadsheetml/2006/main" count="659" uniqueCount="457">
  <si>
    <t>T</t>
  </si>
  <si>
    <t xml:space="preserve">Maturity </t>
  </si>
  <si>
    <t>Swap Rate</t>
  </si>
  <si>
    <t>Coupon Bond 1</t>
  </si>
  <si>
    <t>Maturity</t>
  </si>
  <si>
    <t>Coupon rate</t>
  </si>
  <si>
    <t>Nominal</t>
  </si>
  <si>
    <t>Coupon Bond 2</t>
  </si>
  <si>
    <t>Coupon Bond 3</t>
  </si>
  <si>
    <t>Deposit Rate 6m:</t>
  </si>
  <si>
    <t>FRA Rate 6X12</t>
  </si>
  <si>
    <t>Deposit Rate 3m:</t>
  </si>
  <si>
    <t>Ester</t>
  </si>
  <si>
    <t>credit spread</t>
  </si>
  <si>
    <t>Interest Rates</t>
  </si>
  <si>
    <t>Description</t>
  </si>
  <si>
    <t>Nb_Pol</t>
  </si>
  <si>
    <t>Age</t>
  </si>
  <si>
    <t>g</t>
  </si>
  <si>
    <t>Cl</t>
  </si>
  <si>
    <t>Number of Policyholders/contracts</t>
  </si>
  <si>
    <t>Age of the policyholders at calculation date</t>
  </si>
  <si>
    <t>Maturity of the contracts</t>
  </si>
  <si>
    <t>Guaranteed Life benefit at maturity (per contract)</t>
  </si>
  <si>
    <t>Guaranteed Rate (technical rate) defined as a compounded rate.</t>
  </si>
  <si>
    <t>Insurance Portfolio - Pure Endowment</t>
  </si>
  <si>
    <t xml:space="preserve">Surrender rate </t>
  </si>
  <si>
    <t>Boostrap continuously compounded zero coupon swap rate</t>
  </si>
  <si>
    <t>Sum Zero Coupon</t>
  </si>
  <si>
    <t>Continuous Rate</t>
  </si>
  <si>
    <t>Price  of zero coupon T&lt;=1</t>
  </si>
  <si>
    <t>P(0,T)</t>
  </si>
  <si>
    <t>Maturity T</t>
  </si>
  <si>
    <t>-</t>
  </si>
  <si>
    <t>1/360</t>
  </si>
  <si>
    <t>Makeham Model Param</t>
  </si>
  <si>
    <t>s</t>
  </si>
  <si>
    <t>k</t>
  </si>
  <si>
    <t>c</t>
  </si>
  <si>
    <t>Proba TPx</t>
  </si>
  <si>
    <t>Age x</t>
  </si>
  <si>
    <t>MR</t>
  </si>
  <si>
    <t>Total MR=</t>
  </si>
  <si>
    <t>Nelson Siegel Param</t>
  </si>
  <si>
    <t>beta0</t>
  </si>
  <si>
    <t>beta1</t>
  </si>
  <si>
    <t>beta2</t>
  </si>
  <si>
    <t>tau</t>
  </si>
  <si>
    <t>Nelson Siegel</t>
  </si>
  <si>
    <t>Discount</t>
  </si>
  <si>
    <t>Term1</t>
  </si>
  <si>
    <t>Term2</t>
  </si>
  <si>
    <t>Term3</t>
  </si>
  <si>
    <t xml:space="preserve">EV </t>
  </si>
  <si>
    <t>EV with Surrender</t>
  </si>
  <si>
    <t>Total EV=</t>
  </si>
  <si>
    <t>Credit Spread</t>
  </si>
  <si>
    <t>Année</t>
  </si>
  <si>
    <t>Taux NS</t>
  </si>
  <si>
    <t>Taux NS+Spread</t>
  </si>
  <si>
    <t>Flux</t>
  </si>
  <si>
    <t>PV</t>
  </si>
  <si>
    <t>Dirty Price=</t>
  </si>
  <si>
    <t>Market Value=</t>
  </si>
  <si>
    <t>PORTFOLIO MARKET VALUE=</t>
  </si>
  <si>
    <t>Coupon bond 1</t>
  </si>
  <si>
    <t>Coupon bond 2</t>
  </si>
  <si>
    <t>Coupon bond 3</t>
  </si>
  <si>
    <t>t</t>
  </si>
  <si>
    <t>Group</t>
  </si>
  <si>
    <t>Age (x)</t>
  </si>
  <si>
    <t>T (years)</t>
  </si>
  <si>
    <t>g (tech rate)</t>
  </si>
  <si>
    <t>r_NS(0,T)</t>
  </si>
  <si>
    <t>p_i = EV_i / EV_total</t>
  </si>
  <si>
    <t>$Dur_i = T·EV_i</t>
  </si>
  <si>
    <t>$Conv_i = T²·EV_i</t>
  </si>
  <si>
    <t>T·p_i</t>
  </si>
  <si>
    <t>(T-D)²·p_i</t>
  </si>
  <si>
    <t>e^(-rT)</t>
  </si>
  <si>
    <t>EV_i</t>
  </si>
  <si>
    <t>Convexity</t>
  </si>
  <si>
    <t>TOTAL</t>
  </si>
  <si>
    <t>EV (Technical Provisions)</t>
  </si>
  <si>
    <t>$Duration</t>
  </si>
  <si>
    <t xml:space="preserve">Duration </t>
  </si>
  <si>
    <t>$Convexity</t>
  </si>
  <si>
    <t>Convexity  Q</t>
  </si>
  <si>
    <t>Dispersion</t>
  </si>
  <si>
    <t>T_p_x</t>
  </si>
  <si>
    <t>Bond</t>
  </si>
  <si>
    <t>Spread</t>
  </si>
  <si>
    <t>Bond 1</t>
  </si>
  <si>
    <t>Bond 2</t>
  </si>
  <si>
    <t>Bond 3</t>
  </si>
  <si>
    <t>Nelson-Siegel Parameters</t>
  </si>
  <si>
    <t>BOND 1</t>
  </si>
  <si>
    <t>Spread:</t>
  </si>
  <si>
    <t>Nominal:</t>
  </si>
  <si>
    <t>r_NS(0,t)</t>
  </si>
  <si>
    <t>r_total(0,t)</t>
  </si>
  <si>
    <t>PV(CF)</t>
  </si>
  <si>
    <t>p_t = PV/Price</t>
  </si>
  <si>
    <t>RESULTS — Bond 1</t>
  </si>
  <si>
    <t>Total Market Value</t>
  </si>
  <si>
    <t>$Duration =</t>
  </si>
  <si>
    <t>BOND 2</t>
  </si>
  <si>
    <t>RESULTS — Bond 2</t>
  </si>
  <si>
    <t>BOND 3</t>
  </si>
  <si>
    <t>RESULTS — Bond 3</t>
  </si>
  <si>
    <t>Market Value (MV_i)</t>
  </si>
  <si>
    <t>Duration D_i</t>
  </si>
  <si>
    <t>Convexity Q_i</t>
  </si>
  <si>
    <t>$Duration_i</t>
  </si>
  <si>
    <t>w_i × D_i</t>
  </si>
  <si>
    <t>w_i × Q_i</t>
  </si>
  <si>
    <t>Disc. Factor</t>
  </si>
  <si>
    <t>w_i = MV_i / MV_tot</t>
  </si>
  <si>
    <t>Coupon:</t>
  </si>
  <si>
    <t>beta0 =</t>
  </si>
  <si>
    <t>beta1 =</t>
  </si>
  <si>
    <t>beta2 =</t>
  </si>
  <si>
    <t>tau =</t>
  </si>
  <si>
    <t>$Dur = t*PV</t>
  </si>
  <si>
    <t>$Conv = t**2*PV</t>
  </si>
  <si>
    <t>t*p_t</t>
  </si>
  <si>
    <t>(t-D)**2*p_t</t>
  </si>
  <si>
    <t>Duration D =</t>
  </si>
  <si>
    <t>Convexity Q</t>
  </si>
  <si>
    <t>Dispersion M=</t>
  </si>
  <si>
    <t>annee</t>
  </si>
  <si>
    <t>Maturite:</t>
  </si>
  <si>
    <t>Dirty Price</t>
  </si>
  <si>
    <t>CF</t>
  </si>
  <si>
    <t>Pour l'ensemble du portefeuille</t>
  </si>
  <si>
    <t>Verification avec sommeprod</t>
  </si>
  <si>
    <t>Duration</t>
  </si>
  <si>
    <t>RESULTS — Actif du portefeuille</t>
  </si>
  <si>
    <t>QUESTION 7 — Duration Gap &amp; Convexity Gap</t>
  </si>
  <si>
    <t>EV (TP)</t>
  </si>
  <si>
    <t>EQUITY / SURPLUS</t>
  </si>
  <si>
    <t>DURATION GAP &amp; CONVEXITY GAP</t>
  </si>
  <si>
    <t>$ Duration Gap</t>
  </si>
  <si>
    <t xml:space="preserve">Duration Gap </t>
  </si>
  <si>
    <t>$ Convexity Gap</t>
  </si>
  <si>
    <t>Convexity Gap</t>
  </si>
  <si>
    <t>Swap Description</t>
  </si>
  <si>
    <t>T_i</t>
  </si>
  <si>
    <t>Position</t>
  </si>
  <si>
    <t>P(0,t)</t>
  </si>
  <si>
    <t>SECTION 3 — $Duration of Swap &amp; Nominal</t>
  </si>
  <si>
    <t>$Dur_swap  (receiver) = $Dur_fixed − $Dur_float</t>
  </si>
  <si>
    <t>Nominal N  (RECEIVER FIXED)</t>
  </si>
  <si>
    <t>r(0,t)</t>
  </si>
  <si>
    <t>Debut T_0</t>
  </si>
  <si>
    <t>Fin T_n</t>
  </si>
  <si>
    <t>freuence de paiement</t>
  </si>
  <si>
    <t>semestrielle</t>
  </si>
  <si>
    <t>RECEIVER</t>
  </si>
  <si>
    <t>P(0, T_0=5)</t>
  </si>
  <si>
    <t>r(0, T_0=5)</t>
  </si>
  <si>
    <t>r(0, T_n=10)</t>
  </si>
  <si>
    <t>K*</t>
  </si>
  <si>
    <t xml:space="preserve"> K×0.5</t>
  </si>
  <si>
    <t>t × PV(CF)</t>
  </si>
  <si>
    <t>SECTION 2 — Jambes fixe (semiannual coupons, t = 5.5 to 10)</t>
  </si>
  <si>
    <t>SECTION 1 — Jambes flottantes</t>
  </si>
  <si>
    <t>$Dur_float  (N=1)</t>
  </si>
  <si>
    <t>$Duration actifs</t>
  </si>
  <si>
    <t>$Duration passifs (sans rachat)</t>
  </si>
  <si>
    <t>$Duration gap</t>
  </si>
  <si>
    <t>V(Actifs)</t>
  </si>
  <si>
    <t>V(Passifs)</t>
  </si>
  <si>
    <t>Surplus</t>
  </si>
  <si>
    <t>SECTION 4 — Impact exact ±25bps : tableaux détaillés par obligation et par groupe</t>
  </si>
  <si>
    <t>BOND 1  (Maturité 3 ans, coupon 2.4%, spread 1.5%)</t>
  </si>
  <si>
    <t>spread</t>
  </si>
  <si>
    <t>r_total</t>
  </si>
  <si>
    <t>PV(CF) base</t>
  </si>
  <si>
    <t>TOTAL Bond 1</t>
  </si>
  <si>
    <t>BOND 2  (Maturité 5 ans, coupon 3.3%, spread 2.7%)</t>
  </si>
  <si>
    <t>TOTAL Bond 2</t>
  </si>
  <si>
    <t>BOND 3  (Maturité 8 ans, coupon 4.8%, spread 2.2%)</t>
  </si>
  <si>
    <t>TOTAL Bond 3</t>
  </si>
  <si>
    <t>TOTAL ACTIFS  (Bond 1 + Bond 2 + Bond 3)</t>
  </si>
  <si>
    <t>Base</t>
  </si>
  <si>
    <t>PROVISIONS TECHNIQUES  (7 groupes, sans rachat)</t>
  </si>
  <si>
    <t>Groupe</t>
  </si>
  <si>
    <t>EV_i base</t>
  </si>
  <si>
    <t>Groupe 1</t>
  </si>
  <si>
    <t>Groupe 2</t>
  </si>
  <si>
    <t>Groupe 3</t>
  </si>
  <si>
    <t>Groupe 4</t>
  </si>
  <si>
    <t>Groupe 5</t>
  </si>
  <si>
    <t>Groupe 6</t>
  </si>
  <si>
    <t>Groupe 7</t>
  </si>
  <si>
    <t>TOTAL Provisions Techniques</t>
  </si>
  <si>
    <t>TABLEAU DE SYNTHÈSE  — Impact sur les Fonds Propres</t>
  </si>
  <si>
    <t>Valeur Actifs</t>
  </si>
  <si>
    <t>Valeur Passifs</t>
  </si>
  <si>
    <t>Valeur Swap</t>
  </si>
  <si>
    <t>Fonds propres  (avec swap)</t>
  </si>
  <si>
    <t xml:space="preserve">Gap           = </t>
  </si>
  <si>
    <t>PV(CF) + shift</t>
  </si>
  <si>
    <t>PV(CF) −shift</t>
  </si>
  <si>
    <t>PV(CF) +shift</t>
  </si>
  <si>
    <t>EV_i  (+shift)</t>
  </si>
  <si>
    <t>EV_i  (−shift)</t>
  </si>
  <si>
    <t>+shift = +25bps</t>
  </si>
  <si>
    <t>−shift = −25bps</t>
  </si>
  <si>
    <t xml:space="preserve">SWAP  </t>
  </si>
  <si>
    <t>shift Passifs  (+shift)</t>
  </si>
  <si>
    <t>shift Passifs  (−shift)</t>
  </si>
  <si>
    <t>V_swap  (−shift)</t>
  </si>
  <si>
    <t>shift Fonds propres  (avec swap)</t>
  </si>
  <si>
    <t>Forward Start Swap</t>
  </si>
  <si>
    <t>$Dur_fixe  (N=1)</t>
  </si>
  <si>
    <t xml:space="preserve"> N = ($D_gap) / $Dur_swap par unit</t>
  </si>
  <si>
    <t xml:space="preserve">V_swap base </t>
  </si>
  <si>
    <t xml:space="preserve">V_swap  (+shift) </t>
  </si>
  <si>
    <t>RESULTS — sans rachat</t>
  </si>
  <si>
    <t>LIABILITIES (EV sans surrender)</t>
  </si>
  <si>
    <t>NS</t>
  </si>
  <si>
    <t>SECTION 5 — Limites de risque en termes d'écart de duration (choc ±80 bps)</t>
  </si>
  <si>
    <t>5.1 — Durées modifiées et écart de duration</t>
  </si>
  <si>
    <t>années</t>
  </si>
  <si>
    <t>(= 80 bps)</t>
  </si>
  <si>
    <t>5.3 — Diagnostic : la compagnie respecte-t-elle les limites ?</t>
  </si>
  <si>
    <t>Indicateur</t>
  </si>
  <si>
    <t>Sans swap</t>
  </si>
  <si>
    <t>Avec swap</t>
  </si>
  <si>
    <t>Limite</t>
  </si>
  <si>
    <t>Dans les limites ?</t>
  </si>
  <si>
    <t>equity (sans swap)</t>
  </si>
  <si>
    <t>shift equity  (sans swap)</t>
  </si>
  <si>
    <t>% shift equity (sans swap)</t>
  </si>
  <si>
    <t>% shift equity  (avec swap)</t>
  </si>
  <si>
    <t>Immunisation condition</t>
  </si>
  <si>
    <t>Shift =</t>
  </si>
  <si>
    <t xml:space="preserve"> Total Actifs  (+shift)</t>
  </si>
  <si>
    <t>Total Actifs  (−shift)</t>
  </si>
  <si>
    <t>Swap  (+shift)</t>
  </si>
  <si>
    <t>Swap  (−shift)</t>
  </si>
  <si>
    <t xml:space="preserve">$Duration gap </t>
  </si>
  <si>
    <t>Fonds propres S_0</t>
  </si>
  <si>
    <t xml:space="preserve">Limite Duration Gap </t>
  </si>
  <si>
    <t>Limite $Duration gap</t>
  </si>
  <si>
    <t xml:space="preserve">Duration Gap  DG </t>
  </si>
  <si>
    <t>5.2 — Calcul des limites de risque</t>
  </si>
  <si>
    <t xml:space="preserve">Choc de taux </t>
  </si>
  <si>
    <t>Question 5 — Duration &amp; Convexity des PT</t>
  </si>
  <si>
    <t>Provision technique</t>
  </si>
  <si>
    <t>Makeham parametres</t>
  </si>
  <si>
    <t>or</t>
  </si>
  <si>
    <t>(D^2 + M)</t>
  </si>
  <si>
    <t>Individual Bonds</t>
  </si>
  <si>
    <t>Equity</t>
  </si>
  <si>
    <t>Instrument / Cash Flow</t>
  </si>
  <si>
    <t>t (yrs)</t>
  </si>
  <si>
    <t>PV(CF)
[from Q5/Q6]</t>
  </si>
  <si>
    <t>t × PV(CF)
= $Dur_i</t>
  </si>
  <si>
    <t>∂r/∂KR0</t>
  </si>
  <si>
    <t>∂r/∂KR5</t>
  </si>
  <si>
    <t>∂r/∂KR10</t>
  </si>
  <si>
    <t>∂r/∂KR15</t>
  </si>
  <si>
    <t>∂r/∂KR20</t>
  </si>
  <si>
    <t>$D^KR0
= (t×PV)×∂r/∂KR0</t>
  </si>
  <si>
    <t>$D^KR5
= (t×PV)×∂r/∂KR5</t>
  </si>
  <si>
    <t>$D^KR10
= (t×PV)×∂r/∂KR10</t>
  </si>
  <si>
    <t>$D^KR15
= (t×PV)×∂r/∂KR15</t>
  </si>
  <si>
    <t>$D^KR20
= (t×PV)×∂r/∂KR20</t>
  </si>
  <si>
    <t>SUM
(= total $Dur)</t>
  </si>
  <si>
    <t>Question 11  Dollar Key Rate Durations  |  Key rates: KR0=0Y  KR1=5Y  KR2=10Y  KR3=15Y  KR4=20Y</t>
  </si>
  <si>
    <t>Maturity t</t>
  </si>
  <si>
    <t>Between nodes</t>
  </si>
  <si>
    <t>SUM (check=1)</t>
  </si>
  <si>
    <t>0Y – 5Y</t>
  </si>
  <si>
    <t>exactly KR1=5Y</t>
  </si>
  <si>
    <t>5Y – 10Y</t>
  </si>
  <si>
    <t>10Y – 15Y</t>
  </si>
  <si>
    <t>Coupon  (t = 1)</t>
  </si>
  <si>
    <t>Coupon  (t = 2)</t>
  </si>
  <si>
    <t>Coupon + Principal  (t = 3)</t>
  </si>
  <si>
    <t>Coupon  (t = 3)</t>
  </si>
  <si>
    <t>Coupon  (t = 4)</t>
  </si>
  <si>
    <t>Coupon + Principal  (t = 5)  ← exactly on KR5</t>
  </si>
  <si>
    <t>Coupon  (t = 5)</t>
  </si>
  <si>
    <t>Coupon  (t = 6)</t>
  </si>
  <si>
    <t>Coupon  (t = 7)</t>
  </si>
  <si>
    <t>Coupon + Principal  (t = 8)</t>
  </si>
  <si>
    <t>Bond 1  (total $D^KRk row above)</t>
  </si>
  <si>
    <t>Bond 2  (total $D^KRk row above)</t>
  </si>
  <si>
    <t>Bond 3  (total $D^KRk row above)</t>
  </si>
  <si>
    <t>Group 7  (Age 64, T=1Y)  [KR0 / KR5]</t>
  </si>
  <si>
    <t>Group 6  (Age 62, T=3Y)  [KR0 / KR5]</t>
  </si>
  <si>
    <t>Group 5  (Age 60, T=5Y)  [100% KR5]</t>
  </si>
  <si>
    <t>Group 4  (Age 58, T=7Y)  [KR5 / KR10]</t>
  </si>
  <si>
    <t>Group 3  (Age 56, T=9Y)  [KR5 / KR10]</t>
  </si>
  <si>
    <t>Group 2  (Age 54, T=11Y)  [KR10 / KR15]</t>
  </si>
  <si>
    <t>Group 1  (Age 52, T=13Y)  [KR10 / KR15]</t>
  </si>
  <si>
    <t>Instrument</t>
  </si>
  <si>
    <t>$D^KR0  (0Y)</t>
  </si>
  <si>
    <t>$D^KR5  (5Y)</t>
  </si>
  <si>
    <t>$D^KR10  (10Y)</t>
  </si>
  <si>
    <t>$D^KR15  (15Y)</t>
  </si>
  <si>
    <t>$D^KR20  (20Y)</t>
  </si>
  <si>
    <t>SUM  (= $Duration)</t>
  </si>
  <si>
    <t>Asset Portfolio</t>
  </si>
  <si>
    <t>Technical Provisions</t>
  </si>
  <si>
    <t xml:space="preserve">Step 1  Piecewise-Linear Weights  ∂r(t)/∂KRk  </t>
  </si>
  <si>
    <t>Market Value V
[from Q6]</t>
  </si>
  <si>
    <t>$D^IR
[from Q6]</t>
  </si>
  <si>
    <t>D^IR
[from Q6]</t>
  </si>
  <si>
    <t>D^CS
= D^IR</t>
  </si>
  <si>
    <t>$D^CS
= $D^IR</t>
  </si>
  <si>
    <t>Justification</t>
  </si>
  <si>
    <t>Bond 1  (Mat 3Y, c=2.4%, s=1.5%, N=550M)</t>
  </si>
  <si>
    <t>Bond 2  (Mat 5Y, c=3.3%, s=2.7%, N=670M)</t>
  </si>
  <si>
    <t>Bond 3  (Mat 8Y, c=4.8%, s=2.2%, N=720M)</t>
  </si>
  <si>
    <t>Asset Portfolio  (sum of 3 bonds)</t>
  </si>
  <si>
    <t>D^CS_a = weighted avg of bond D^CS;  $D^CS_a = sum of bond $D^CS</t>
  </si>
  <si>
    <t>Technical Provisions (TP)</t>
  </si>
  <si>
    <t>Technical Provisions  (EV from Q5)</t>
  </si>
  <si>
    <t>Equity  (S₀ = V^a − V^l)</t>
  </si>
  <si>
    <t>$D^CS_S = $D^CS_a − $D^CS_l = $D^CS_a − 0 = $D^CS_a.  D^CS_S = $D^CS_S / S₀.  Since S₀ &lt; V^a, the equity CS duration &gt; asset CS duration.</t>
  </si>
  <si>
    <t>V^a  (asset market value)</t>
  </si>
  <si>
    <t>from Q6 / Q7</t>
  </si>
  <si>
    <t>V^l  (TP economic value)</t>
  </si>
  <si>
    <t>from Q5 / Q7</t>
  </si>
  <si>
    <t>S₀ = V^a − V^l  (equity)</t>
  </si>
  <si>
    <t>$D^CS_S  = $D^CS_a</t>
  </si>
  <si>
    <t>D^CS_S   = $D^CS_S / S₀</t>
  </si>
  <si>
    <t>Market Value V</t>
  </si>
  <si>
    <t>$D^IR  (= $D^CS)</t>
  </si>
  <si>
    <t>D^IR  (= D^CS)</t>
  </si>
  <si>
    <t>D^CS</t>
  </si>
  <si>
    <t>$D^CS</t>
  </si>
  <si>
    <t>Summary  Credit Spread Durations</t>
  </si>
  <si>
    <t>TP is discounted at risk-free rates only</t>
  </si>
  <si>
    <t>Bond 1    Maturity 3Y  |  Coupon 2.4%  |  Spread 1.5%  |  Nominal 550M</t>
  </si>
  <si>
    <t>Bond 1   $D^KRk</t>
  </si>
  <si>
    <t>SUM of $D^KRk = $Duration of Bond 1 from Q6  =  1,517,652,932</t>
  </si>
  <si>
    <t>Bond 2    Maturity 5Y  |  Coupon 3.3%  |  Spread 2.7%  |  Nominal 670M</t>
  </si>
  <si>
    <t xml:space="preserve">Bond 2    $D^KRk  </t>
  </si>
  <si>
    <t>SUM = $Duration of Bond 2 from Q6  =  2,743,706,377</t>
  </si>
  <si>
    <t xml:space="preserve">Bond 3    $D^KRk </t>
  </si>
  <si>
    <t>SUM = $Duration of Bond 3 from Q6  =  4,508,775,676</t>
  </si>
  <si>
    <t>Bond 3    Maturity 8Y  |  Coupon 4.8%  |  Spread 2.2%  |  Nominal 720M</t>
  </si>
  <si>
    <t>Asset Portfolio    Sum of the three bonds</t>
  </si>
  <si>
    <t>Asset Portfolio   $D^KRk  (SUM of 3 bonds)</t>
  </si>
  <si>
    <t>SUM = $Duration of asset portfolio from Q6  =  8,770,134,986</t>
  </si>
  <si>
    <t>Technical Provisions   7 groups of pure endowment contracts</t>
  </si>
  <si>
    <t xml:space="preserve">Technical Provisions    $D^KRk </t>
  </si>
  <si>
    <t>Summary  Dollar Key Rate Durations  (copy your totals here)</t>
  </si>
  <si>
    <t xml:space="preserve"> SUM = $Duration of TP from Q5  =  11,238,359,845</t>
  </si>
  <si>
    <t>Instrument / Key Rate</t>
  </si>
  <si>
    <t>$D^KR0</t>
  </si>
  <si>
    <t>$D^KR5</t>
  </si>
  <si>
    <t>$D^KR10</t>
  </si>
  <si>
    <t>$D^KR15</t>
  </si>
  <si>
    <t>$D^KR20</t>
  </si>
  <si>
    <t>SUM $D^k
(= $Dur)</t>
  </si>
  <si>
    <t>D^k = $D^k/S₀</t>
  </si>
  <si>
    <t>Note</t>
  </si>
  <si>
    <t>Asset Portfolio  ($D^a_k  from Q11)</t>
  </si>
  <si>
    <t>Technical Provisions  ($D^l_k  from Q11)</t>
  </si>
  <si>
    <t>S₀  (equity value from Q7)</t>
  </si>
  <si>
    <t>Equity  ($D^S_k = $D^a_k − $D^l_k)</t>
  </si>
  <si>
    <t xml:space="preserve">Step 1  Inputs from Q11 </t>
  </si>
  <si>
    <t>Step 2  Dollar Key Rate Durations of the Equity</t>
  </si>
  <si>
    <t>SUM of equity $D^S_k = $Duration gap from Q7 = -2468224858,94</t>
  </si>
  <si>
    <t>Key Rate  k</t>
  </si>
  <si>
    <t>$D^S_k  (from Q12)</t>
  </si>
  <si>
    <t>P&amp;L contribution
= −$D^S_k × Δ_k</t>
  </si>
  <si>
    <t>KR0  (0Y)</t>
  </si>
  <si>
    <t>Δ_k = 0.0000</t>
  </si>
  <si>
    <t>KR1  (5Y)</t>
  </si>
  <si>
    <t>Δ_k = +0.0015</t>
  </si>
  <si>
    <t>KR2  (10Y)</t>
  </si>
  <si>
    <t>Δ_k = −0.0015</t>
  </si>
  <si>
    <t>KR3  (15Y)</t>
  </si>
  <si>
    <t>Δ_k = −0.0025</t>
  </si>
  <si>
    <t>KR4  (20Y)</t>
  </si>
  <si>
    <t>TOTAL  ΔS  ≈  −Σ $D^S_k × Δ_k</t>
  </si>
  <si>
    <t/>
  </si>
  <si>
    <t>ΔS  (€ amount, from total above)</t>
  </si>
  <si>
    <t>S₀  (equity from Q7)</t>
  </si>
  <si>
    <t>ΔS / S₀  (% impact)</t>
  </si>
  <si>
    <t>Step 2  Express as % of equity and interpret</t>
  </si>
  <si>
    <t>Step 1  Fill in the equity $D^S_k and the given shifts</t>
  </si>
  <si>
    <t>$D^S_k from Q12.  Shifts given by the assignment  convert bps to decimal (÷10,000).</t>
  </si>
  <si>
    <t>This is the approximate first-order change in equity value from the simultaneous key rate moves</t>
  </si>
  <si>
    <t>Shift Δ_k in bps/10000</t>
  </si>
  <si>
    <t>$D^S_KR5  (equity, from Q12)</t>
  </si>
  <si>
    <t>Position: PAYER or RECEIVER ?</t>
  </si>
  <si>
    <t>$D^S_KR15  (equity, from Q12)</t>
  </si>
  <si>
    <t>$D^swap_KR15  per unit nominal</t>
  </si>
  <si>
    <t>Question 14  Forward Start Swap Hedge: Immunize Equity vs KR5Y and KR15Y</t>
  </si>
  <si>
    <t>Question 13 First-Order P&amp;L Impact of Simultaneous Key Rate Changes</t>
  </si>
  <si>
    <t>Interval</t>
  </si>
  <si>
    <t>t×PV(CF)
from Q8</t>
  </si>
  <si>
    <t>∂r/∂KR10
=(t−5)/5</t>
  </si>
  <si>
    <t>SUM
(check=1)</t>
  </si>
  <si>
    <t>exactly KR10</t>
  </si>
  <si>
    <t>$D^fixed_KR5  (SUM col J)</t>
  </si>
  <si>
    <t>$D^fixed_KR10  (SUM col K)</t>
  </si>
  <si>
    <t>t=5 falls exactly on KR5 → ∂r/∂KR5=1, all others=0.  $D^float_KR5 = 5 × P(0,5) × 1.  All other KRs = 0.</t>
  </si>
  <si>
    <t>$D^float_KR0</t>
  </si>
  <si>
    <t>$D^float_KR5</t>
  </si>
  <si>
    <t>$D^float_KR10</t>
  </si>
  <si>
    <t>$D^float_KR15</t>
  </si>
  <si>
    <t>$D^float_KR20</t>
  </si>
  <si>
    <t>Key Rate</t>
  </si>
  <si>
    <t>$D^fixed_k
(from Sec 1)</t>
  </si>
  <si>
    <t>$D^float_k
(from Sec 2)</t>
  </si>
  <si>
    <t>$D^swap_k
= fixed − float</t>
  </si>
  <si>
    <t>KR5  (5Y)</t>
  </si>
  <si>
    <t>KR10 (10Y)</t>
  </si>
  <si>
    <t>KR15 (15Y)</t>
  </si>
  <si>
    <t>KR20 (20Y)</t>
  </si>
  <si>
    <t>Condition: $D^S_KR5(equity) + N × $D^swap_KR5(N=1) = 0  →  N = −$D^S_KR5 / $D^swap_KR5(N=1).  N&gt;0 = payer swap  |  N&lt;0 = receiver swap.</t>
  </si>
  <si>
    <t>copy from Q12 equity row</t>
  </si>
  <si>
    <t>$D^swap_KR5  per unit nominal (from Sec 3)</t>
  </si>
  <si>
    <t>from Section 3 above</t>
  </si>
  <si>
    <t>Nominal  N = −$D^S_KR5 / $D^swap_KR5</t>
  </si>
  <si>
    <t>N&gt;0 → PAYER  |  N&lt;0 → RECEIVER</t>
  </si>
  <si>
    <t>N = −$D^S_KR15 / $D^swap_KR15</t>
  </si>
  <si>
    <t>UNDEFINED</t>
  </si>
  <si>
    <t>÷0 → no solution exists</t>
  </si>
  <si>
    <t>Hedge possible ?</t>
  </si>
  <si>
    <t>NO</t>
  </si>
  <si>
    <t>swap has zero KR15 exposure</t>
  </si>
  <si>
    <t>Summary</t>
  </si>
  <si>
    <t>$D^S_k (equity)</t>
  </si>
  <si>
    <t>$D^swap_k (N=1)</t>
  </si>
  <si>
    <t>Nominal N</t>
  </si>
  <si>
    <t>KR5Y hedge</t>
  </si>
  <si>
    <t>KR15Y hedge</t>
  </si>
  <si>
    <t>N/A</t>
  </si>
  <si>
    <t>Section 1  Piecewise-Linear Weights for Swap Maturities (extension of Q11 table)</t>
  </si>
  <si>
    <t>∂r/∂KR5
=(10−t)/(10-5)</t>
  </si>
  <si>
    <t>$D^fixed_KR5 + $D^fixed_KR10 = $D^fixed total from Q8 = 8.0843  (verification)</t>
  </si>
  <si>
    <t>Section 2  Float Leg Dollar KRDs  (single ZC at T₀=5, per unit nominal)</t>
  </si>
  <si>
    <t>Section 3  Swap Dollar KRDs per Unit Nominal  ($D^swap_k = $D^fixed_k − $D^float_k)</t>
  </si>
  <si>
    <t>Sub-question A  Immunize Equity against KR5Y</t>
  </si>
  <si>
    <t>Sub-question B  Immunize Equity against KR15Y</t>
  </si>
  <si>
    <t>SUM of $D^swap_k (KR5 + KR10) = $D^swap total from Q8 = 3.8561  (verification)</t>
  </si>
  <si>
    <t xml:space="preserve">PAYER </t>
  </si>
  <si>
    <t xml:space="preserve">After hedge: $D^S_KR5(equity + N×swap) = 0. </t>
  </si>
  <si>
    <t>Conclusion: to hedge KR15, a different instrument is needed. e.g. a swap starting at t=10 maturing at t=15, or a 15Y bond.</t>
  </si>
  <si>
    <t>Receiver swap = long fixed leg − short float leg.  KR0, KR15, KR20 are zero for both legs =&gt; swap KRD = 0 for those.</t>
  </si>
  <si>
    <t>Question 12 Dollar Key Rate Durations of the Equity  |  KR: 0Y  5Y  10Y  15Y  20Y</t>
  </si>
  <si>
    <t xml:space="preserve">D^CS = D^IR  </t>
  </si>
  <si>
    <t xml:space="preserve">D^CS = D^IR </t>
  </si>
  <si>
    <t>No credit spread in liability discounting =&gt; zero CS sensitivity</t>
  </si>
  <si>
    <t xml:space="preserve"> the interest rate duration and the credit spread duration are identical =&gt; D^CS = D^IR and $D^CS = $D^IR.  </t>
  </si>
  <si>
    <t>Question 10 Credit Spread Durations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</si>
</sst>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64" formatCode="_-* #,##0.00\ _€_-;\-* #,##0.00\ _€_-;_-* &quot;-&quot;??\ _€_-;_-@_-"/>
    <numFmt numFmtId="165" formatCode="&quot; &quot;#,##0.00&quot; &quot;;&quot; -&quot;#,##0.00&quot; &quot;;&quot; -&quot;#&quot; &quot;;&quot; &quot;@&quot; &quot;"/>
    <numFmt numFmtId="166" formatCode="&quot;$&quot;#,##0.00;[Red]&quot;-&quot;&quot;$&quot;#,##0.00"/>
    <numFmt numFmtId="167" formatCode="0.000%"/>
    <numFmt numFmtId="168" formatCode="_-* #,##0\ &quot;€&quot;_-;\-* #,##0\ &quot;€&quot;_-;_-* &quot;-&quot;??\ &quot;€&quot;_-;_-@_-"/>
    <numFmt numFmtId="169" formatCode="_-* #,##0\ _€_-;\-* #,##0\ _€_-;_-* &quot;-&quot;??\ _€_-;_-@_-"/>
    <numFmt numFmtId="170" formatCode="0.0000"/>
    <numFmt numFmtId="171" formatCode="0.00000"/>
    <numFmt numFmtId="172" formatCode="0.000"/>
    <numFmt numFmtId="173" formatCode="#,##0.0"/>
    <numFmt numFmtId="174" formatCode="0.000000000"/>
    <numFmt numFmtId="175" formatCode="0.0000%"/>
    <numFmt numFmtId="176" formatCode="0.000000"/>
    <numFmt numFmtId="177" formatCode="#,##0.0000"/>
  </numFmts>
  <fonts count="65" x14ac:knownFonts="1">
    <font>
      <sz val="11"/>
      <color theme="1"/>
      <name val="Arial"/>
      <family val="2"/>
    </font>
    <font>
      <sz val="11"/>
      <color rgb="FF000000"/>
      <name val="Calibri"/>
      <family val="2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sz val="11"/>
      <color rgb="FFFF0000"/>
      <name val="Arial"/>
      <family val="2"/>
    </font>
    <font>
      <sz val="11"/>
      <color rgb="FF0000FF"/>
      <name val="Arial"/>
      <family val="2"/>
    </font>
    <font>
      <b/>
      <sz val="12"/>
      <color rgb="FFFFFFFF"/>
      <name val="Arial"/>
      <family val="2"/>
    </font>
    <font>
      <b/>
      <sz val="11"/>
      <color rgb="FF008000"/>
      <name val="Arial"/>
      <family val="2"/>
    </font>
    <font>
      <b/>
      <sz val="11"/>
      <color rgb="FFFFFFFF"/>
      <name val="Arial"/>
      <family val="2"/>
    </font>
    <font>
      <sz val="11"/>
      <color rgb="FF595959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rgb="FF0000FF"/>
      <name val="Times New Roman"/>
      <family val="1"/>
    </font>
    <font>
      <sz val="11"/>
      <color rgb="FF008000"/>
      <name val="Times New Roman"/>
      <family val="1"/>
    </font>
    <font>
      <b/>
      <sz val="12"/>
      <color rgb="FFFFFFFF"/>
      <name val="Times New Roman"/>
      <family val="1"/>
    </font>
    <font>
      <b/>
      <sz val="11"/>
      <color rgb="FF008000"/>
      <name val="Times New Roman"/>
      <family val="1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sz val="11"/>
      <color rgb="FF595959"/>
      <name val="Times New Roman"/>
      <family val="1"/>
    </font>
    <font>
      <b/>
      <sz val="11"/>
      <color rgb="FF0000FF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rgb="FF008000"/>
      <name val="Times New Roman"/>
      <family val="1"/>
    </font>
    <font>
      <sz val="12"/>
      <color rgb="FFFFFFFF"/>
      <name val="Times New Roman"/>
      <family val="1"/>
    </font>
    <font>
      <b/>
      <sz val="12"/>
      <color rgb="FF0000FF"/>
      <name val="Times New Roman"/>
      <family val="1"/>
    </font>
    <font>
      <sz val="12"/>
      <color rgb="FF595959"/>
      <name val="Times New Roman"/>
      <family val="1"/>
    </font>
    <font>
      <b/>
      <sz val="11"/>
      <color rgb="FFC00000"/>
      <name val="Arial"/>
      <family val="2"/>
    </font>
    <font>
      <i/>
      <sz val="11"/>
      <color rgb="FF595959"/>
      <name val="Arial"/>
      <family val="2"/>
    </font>
    <font>
      <b/>
      <sz val="11"/>
      <color rgb="FF595959"/>
      <name val="Arial"/>
      <family val="2"/>
    </font>
    <font>
      <b/>
      <sz val="13"/>
      <color rgb="FFFFFFFF"/>
      <name val="Times New Roman"/>
      <family val="1"/>
    </font>
    <font>
      <sz val="11"/>
      <name val="Times New Roman"/>
      <family val="1"/>
    </font>
    <font>
      <b/>
      <sz val="11"/>
      <color rgb="FFC00000"/>
      <name val="Times New Roman"/>
      <family val="1"/>
    </font>
    <font>
      <i/>
      <sz val="11"/>
      <color rgb="FF595959"/>
      <name val="Times New Roman"/>
      <family val="1"/>
    </font>
    <font>
      <sz val="11"/>
      <color rgb="FFC00000"/>
      <name val="Times New Roman"/>
      <family val="1"/>
    </font>
    <font>
      <i/>
      <sz val="11"/>
      <color theme="1"/>
      <name val="Times New Roman"/>
      <family val="1"/>
    </font>
    <font>
      <b/>
      <sz val="20"/>
      <color rgb="FFFFFFFF"/>
      <name val="Times New Roman"/>
      <family val="1"/>
    </font>
    <font>
      <sz val="12"/>
      <color rgb="FFFF0000"/>
      <name val="Times New Roman"/>
      <family val="1"/>
    </font>
    <font>
      <i/>
      <sz val="9"/>
      <color rgb="FF595959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i/>
      <sz val="10"/>
      <color rgb="FF595959"/>
      <name val="Arial"/>
      <family val="2"/>
    </font>
    <font>
      <sz val="10"/>
      <color rgb="FF7F6000"/>
      <name val="Arial"/>
      <family val="2"/>
    </font>
    <font>
      <b/>
      <sz val="10"/>
      <color rgb="FF1F4E79"/>
      <name val="Arial"/>
      <family val="2"/>
    </font>
    <font>
      <b/>
      <sz val="9"/>
      <color rgb="FF375623"/>
      <name val="Arial"/>
      <family val="2"/>
    </font>
    <font>
      <b/>
      <sz val="10"/>
      <color rgb="FF000000"/>
      <name val="Arial"/>
      <family val="2"/>
    </font>
    <font>
      <b/>
      <sz val="11"/>
      <color rgb="FFFFFFFF"/>
      <name val="Arial"/>
      <family val="2"/>
    </font>
    <font>
      <i/>
      <sz val="9"/>
      <color rgb="FF595959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sz val="10"/>
      <color rgb="FF7F6000"/>
      <name val="Arial"/>
      <family val="2"/>
    </font>
    <font>
      <b/>
      <sz val="9"/>
      <color rgb="FF375623"/>
      <name val="Arial"/>
      <family val="2"/>
    </font>
    <font>
      <b/>
      <sz val="10"/>
      <color rgb="FF000000"/>
      <name val="Arial"/>
      <family val="2"/>
    </font>
    <font>
      <b/>
      <sz val="10"/>
      <color rgb="FF1F4E79"/>
      <name val="Arial"/>
      <family val="2"/>
    </font>
    <font>
      <i/>
      <sz val="10"/>
      <color rgb="FF595959"/>
      <name val="Arial"/>
      <family val="2"/>
    </font>
    <font>
      <sz val="10"/>
      <color rgb="FF1F4E79"/>
      <name val="Arial"/>
      <family val="2"/>
    </font>
    <font>
      <sz val="9"/>
      <color rgb="FF375623"/>
      <name val="Arial"/>
      <family val="2"/>
    </font>
    <font>
      <b/>
      <sz val="10"/>
      <color rgb="FF595959"/>
      <name val="Arial"/>
      <family val="2"/>
    </font>
    <font>
      <b/>
      <sz val="10"/>
      <color rgb="FFC00000"/>
      <name val="Arial"/>
      <family val="2"/>
    </font>
    <font>
      <b/>
      <sz val="12"/>
      <color rgb="FFC0000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rgb="FFC5E0B4"/>
      </patternFill>
    </fill>
    <fill>
      <patternFill patternType="solid">
        <fgColor rgb="FFFFFFFF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833C00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E0E0"/>
        <bgColor indexed="64"/>
      </patternFill>
    </fill>
    <fill>
      <patternFill patternType="solid">
        <fgColor rgb="FFE0FFE0"/>
        <bgColor indexed="64"/>
      </patternFill>
    </fill>
    <fill>
      <patternFill patternType="solid">
        <fgColor rgb="FF1F4E79"/>
        <bgColor rgb="FF1F4E79"/>
      </patternFill>
    </fill>
    <fill>
      <patternFill patternType="solid">
        <fgColor rgb="FFFFF9E6"/>
        <bgColor rgb="FFFFF9E6"/>
      </patternFill>
    </fill>
    <fill>
      <patternFill patternType="solid">
        <fgColor rgb="FF2E75B6"/>
        <bgColor rgb="FF2E75B6"/>
      </patternFill>
    </fill>
    <fill>
      <patternFill patternType="solid">
        <fgColor rgb="FFD9E1F2"/>
        <bgColor rgb="FFD9E1F2"/>
      </patternFill>
    </fill>
    <fill>
      <patternFill patternType="solid">
        <fgColor rgb="FFF2F2F2"/>
        <bgColor rgb="FFF2F2F2"/>
      </patternFill>
    </fill>
    <fill>
      <patternFill patternType="solid">
        <fgColor rgb="FFFFF2CC"/>
        <bgColor rgb="FFFFF2CC"/>
      </patternFill>
    </fill>
    <fill>
      <patternFill patternType="solid">
        <fgColor rgb="FFD6E4F0"/>
        <bgColor rgb="FFD6E4F0"/>
      </patternFill>
    </fill>
    <fill>
      <patternFill patternType="solid">
        <fgColor rgb="FFE2EFDA"/>
        <bgColor rgb="FFE2EFDA"/>
      </patternFill>
    </fill>
    <fill>
      <patternFill patternType="solid">
        <fgColor rgb="FFEBF3FB"/>
        <bgColor rgb="FFEBF3FB"/>
      </patternFill>
    </fill>
    <fill>
      <patternFill patternType="solid">
        <fgColor rgb="FFDEEBF7"/>
        <bgColor rgb="FFDEEBF7"/>
      </patternFill>
    </fill>
    <fill>
      <patternFill patternType="solid">
        <fgColor rgb="FFFFE7E7"/>
        <bgColor rgb="FFFFE7E7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medium">
        <color rgb="FF1F4E79"/>
      </top>
      <bottom/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 style="medium">
        <color rgb="FF2E75B6"/>
      </bottom>
      <diagonal/>
    </border>
    <border>
      <left style="thin">
        <color rgb="FFA9D18E"/>
      </left>
      <right style="thin">
        <color rgb="FFA9D18E"/>
      </right>
      <top style="thin">
        <color rgb="FFA9D18E"/>
      </top>
      <bottom style="thin">
        <color rgb="FFA9D18E"/>
      </bottom>
      <diagonal/>
    </border>
    <border>
      <left/>
      <right/>
      <top style="thin">
        <color rgb="FFA9D18E"/>
      </top>
      <bottom style="thin">
        <color rgb="FFA9D18E"/>
      </bottom>
      <diagonal/>
    </border>
    <border>
      <left/>
      <right style="thin">
        <color rgb="FFA9D18E"/>
      </right>
      <top style="thin">
        <color rgb="FFA9D18E"/>
      </top>
      <bottom style="thin">
        <color rgb="FFA9D18E"/>
      </bottom>
      <diagonal/>
    </border>
    <border>
      <left style="thin">
        <color rgb="FFA9D18E"/>
      </left>
      <right/>
      <top style="medium">
        <color rgb="FF2E75B6"/>
      </top>
      <bottom style="thin">
        <color rgb="FFA9D18E"/>
      </bottom>
      <diagonal/>
    </border>
    <border>
      <left/>
      <right/>
      <top style="medium">
        <color rgb="FF2E75B6"/>
      </top>
      <bottom style="thin">
        <color rgb="FFA9D18E"/>
      </bottom>
      <diagonal/>
    </border>
    <border>
      <left/>
      <right style="thin">
        <color rgb="FFA9D18E"/>
      </right>
      <top style="medium">
        <color rgb="FF2E75B6"/>
      </top>
      <bottom style="thin">
        <color rgb="FFA9D18E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0">
    <xf numFmtId="0" fontId="0" fillId="0" borderId="0"/>
    <xf numFmtId="165" fontId="1" fillId="0" borderId="0"/>
    <xf numFmtId="0" fontId="1" fillId="0" borderId="0"/>
    <xf numFmtId="9" fontId="1" fillId="0" borderId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/>
    <xf numFmtId="166" fontId="3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9" fontId="6" fillId="0" borderId="0"/>
    <xf numFmtId="164" fontId="6" fillId="0" borderId="0"/>
    <xf numFmtId="41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</cellStyleXfs>
  <cellXfs count="294">
    <xf numFmtId="0" fontId="0" fillId="0" borderId="0" xfId="0"/>
    <xf numFmtId="0" fontId="4" fillId="2" borderId="0" xfId="2" applyFont="1" applyFill="1"/>
    <xf numFmtId="0" fontId="1" fillId="2" borderId="0" xfId="2" applyFill="1"/>
    <xf numFmtId="0" fontId="0" fillId="2" borderId="0" xfId="0" applyFill="1"/>
    <xf numFmtId="11" fontId="1" fillId="2" borderId="0" xfId="2" applyNumberFormat="1" applyFill="1"/>
    <xf numFmtId="0" fontId="7" fillId="2" borderId="0" xfId="0" applyFont="1" applyFill="1"/>
    <xf numFmtId="0" fontId="0" fillId="2" borderId="4" xfId="0" applyFill="1" applyBorder="1"/>
    <xf numFmtId="10" fontId="0" fillId="2" borderId="5" xfId="0" applyNumberFormat="1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67" fontId="1" fillId="2" borderId="2" xfId="8" applyNumberFormat="1" applyFont="1" applyFill="1" applyBorder="1" applyAlignment="1">
      <alignment horizontal="center"/>
    </xf>
    <xf numFmtId="167" fontId="1" fillId="2" borderId="3" xfId="8" applyNumberFormat="1" applyFont="1" applyFill="1" applyBorder="1" applyAlignment="1">
      <alignment horizontal="center"/>
    </xf>
    <xf numFmtId="0" fontId="5" fillId="3" borderId="7" xfId="2" applyFont="1" applyFill="1" applyBorder="1" applyAlignment="1">
      <alignment horizontal="center"/>
    </xf>
    <xf numFmtId="0" fontId="5" fillId="3" borderId="1" xfId="2" applyFont="1" applyFill="1" applyBorder="1" applyAlignment="1">
      <alignment horizontal="center"/>
    </xf>
    <xf numFmtId="0" fontId="1" fillId="2" borderId="5" xfId="2" applyFill="1" applyBorder="1" applyAlignment="1">
      <alignment horizontal="center"/>
    </xf>
    <xf numFmtId="0" fontId="1" fillId="2" borderId="6" xfId="2" applyFill="1" applyBorder="1" applyAlignment="1">
      <alignment horizontal="center"/>
    </xf>
    <xf numFmtId="0" fontId="1" fillId="2" borderId="0" xfId="2" applyFill="1" applyAlignment="1">
      <alignment horizontal="center"/>
    </xf>
    <xf numFmtId="167" fontId="1" fillId="2" borderId="0" xfId="8" applyNumberFormat="1" applyFont="1" applyFill="1" applyBorder="1" applyAlignment="1">
      <alignment horizontal="center"/>
    </xf>
    <xf numFmtId="0" fontId="5" fillId="5" borderId="8" xfId="2" applyFont="1" applyFill="1" applyBorder="1"/>
    <xf numFmtId="167" fontId="0" fillId="0" borderId="1" xfId="8" applyNumberFormat="1" applyFont="1" applyBorder="1"/>
    <xf numFmtId="167" fontId="1" fillId="2" borderId="1" xfId="8" applyNumberFormat="1" applyFont="1" applyFill="1" applyBorder="1"/>
    <xf numFmtId="168" fontId="8" fillId="4" borderId="6" xfId="9" applyNumberFormat="1" applyFont="1" applyFill="1" applyBorder="1"/>
    <xf numFmtId="169" fontId="0" fillId="2" borderId="0" xfId="9" applyNumberFormat="1" applyFont="1" applyFill="1"/>
    <xf numFmtId="10" fontId="1" fillId="2" borderId="1" xfId="2" applyNumberFormat="1" applyFill="1" applyBorder="1"/>
    <xf numFmtId="168" fontId="9" fillId="4" borderId="6" xfId="9" applyNumberFormat="1" applyFont="1" applyFill="1" applyBorder="1"/>
    <xf numFmtId="10" fontId="0" fillId="2" borderId="5" xfId="9" applyNumberFormat="1" applyFont="1" applyFill="1" applyBorder="1"/>
    <xf numFmtId="0" fontId="5" fillId="2" borderId="0" xfId="2" applyFont="1" applyFill="1"/>
    <xf numFmtId="0" fontId="1" fillId="3" borderId="9" xfId="2" applyFill="1" applyBorder="1"/>
    <xf numFmtId="0" fontId="5" fillId="3" borderId="10" xfId="2" applyFont="1" applyFill="1" applyBorder="1" applyAlignment="1">
      <alignment horizontal="center"/>
    </xf>
    <xf numFmtId="0" fontId="5" fillId="3" borderId="11" xfId="2" applyFont="1" applyFill="1" applyBorder="1" applyAlignment="1">
      <alignment horizontal="center"/>
    </xf>
    <xf numFmtId="0" fontId="5" fillId="3" borderId="12" xfId="2" applyFont="1" applyFill="1" applyBorder="1" applyAlignment="1">
      <alignment horizontal="center"/>
    </xf>
    <xf numFmtId="0" fontId="5" fillId="3" borderId="13" xfId="2" applyFont="1" applyFill="1" applyBorder="1" applyAlignment="1">
      <alignment horizontal="center"/>
    </xf>
    <xf numFmtId="0" fontId="5" fillId="3" borderId="14" xfId="2" applyFont="1" applyFill="1" applyBorder="1"/>
    <xf numFmtId="0" fontId="1" fillId="2" borderId="15" xfId="2" applyFill="1" applyBorder="1" applyAlignment="1">
      <alignment horizontal="center"/>
    </xf>
    <xf numFmtId="0" fontId="1" fillId="2" borderId="16" xfId="2" applyFill="1" applyBorder="1" applyAlignment="1">
      <alignment horizontal="center"/>
    </xf>
    <xf numFmtId="3" fontId="1" fillId="2" borderId="16" xfId="2" applyNumberFormat="1" applyFill="1" applyBorder="1" applyAlignment="1">
      <alignment horizontal="center"/>
    </xf>
    <xf numFmtId="0" fontId="1" fillId="2" borderId="17" xfId="2" applyFill="1" applyBorder="1" applyAlignment="1">
      <alignment horizontal="center"/>
    </xf>
    <xf numFmtId="3" fontId="1" fillId="2" borderId="18" xfId="2" applyNumberFormat="1" applyFill="1" applyBorder="1" applyAlignment="1">
      <alignment horizontal="center"/>
    </xf>
    <xf numFmtId="10" fontId="1" fillId="2" borderId="0" xfId="8" applyNumberFormat="1" applyFont="1" applyFill="1" applyBorder="1" applyAlignment="1">
      <alignment horizontal="center"/>
    </xf>
    <xf numFmtId="3" fontId="1" fillId="2" borderId="0" xfId="2" applyNumberFormat="1" applyFill="1" applyAlignment="1">
      <alignment horizontal="center"/>
    </xf>
    <xf numFmtId="0" fontId="1" fillId="2" borderId="19" xfId="2" applyFill="1" applyBorder="1" applyAlignment="1">
      <alignment horizontal="center"/>
    </xf>
    <xf numFmtId="0" fontId="5" fillId="3" borderId="20" xfId="2" applyFont="1" applyFill="1" applyBorder="1"/>
    <xf numFmtId="3" fontId="1" fillId="2" borderId="21" xfId="2" applyNumberFormat="1" applyFill="1" applyBorder="1" applyAlignment="1">
      <alignment horizontal="center"/>
    </xf>
    <xf numFmtId="0" fontId="1" fillId="2" borderId="22" xfId="2" applyFill="1" applyBorder="1" applyAlignment="1">
      <alignment horizontal="center"/>
    </xf>
    <xf numFmtId="10" fontId="1" fillId="2" borderId="22" xfId="2" applyNumberFormat="1" applyFill="1" applyBorder="1" applyAlignment="1">
      <alignment horizontal="center"/>
    </xf>
    <xf numFmtId="3" fontId="1" fillId="2" borderId="22" xfId="2" applyNumberFormat="1" applyFill="1" applyBorder="1" applyAlignment="1">
      <alignment horizontal="center"/>
    </xf>
    <xf numFmtId="0" fontId="1" fillId="2" borderId="23" xfId="2" applyFill="1" applyBorder="1" applyAlignment="1">
      <alignment horizontal="center"/>
    </xf>
    <xf numFmtId="0" fontId="5" fillId="3" borderId="24" xfId="2" applyFont="1" applyFill="1" applyBorder="1"/>
    <xf numFmtId="169" fontId="1" fillId="2" borderId="0" xfId="9" applyNumberFormat="1" applyFont="1" applyFill="1" applyAlignment="1"/>
    <xf numFmtId="170" fontId="1" fillId="2" borderId="0" xfId="2" applyNumberFormat="1" applyFill="1"/>
    <xf numFmtId="164" fontId="1" fillId="2" borderId="0" xfId="2" applyNumberFormat="1" applyFill="1"/>
    <xf numFmtId="169" fontId="1" fillId="2" borderId="0" xfId="2" applyNumberFormat="1" applyFill="1"/>
    <xf numFmtId="9" fontId="1" fillId="2" borderId="0" xfId="2" applyNumberFormat="1" applyFill="1" applyAlignment="1">
      <alignment horizontal="center"/>
    </xf>
    <xf numFmtId="10" fontId="1" fillId="2" borderId="16" xfId="2" applyNumberFormat="1" applyFill="1" applyBorder="1" applyAlignment="1">
      <alignment horizontal="center"/>
    </xf>
    <xf numFmtId="9" fontId="1" fillId="2" borderId="0" xfId="8" applyFont="1" applyFill="1" applyBorder="1" applyAlignment="1">
      <alignment horizontal="center"/>
    </xf>
    <xf numFmtId="0" fontId="1" fillId="2" borderId="9" xfId="2" applyFill="1" applyBorder="1"/>
    <xf numFmtId="172" fontId="1" fillId="2" borderId="0" xfId="2" applyNumberFormat="1" applyFill="1"/>
    <xf numFmtId="167" fontId="1" fillId="2" borderId="0" xfId="2" applyNumberFormat="1" applyFill="1"/>
    <xf numFmtId="10" fontId="1" fillId="2" borderId="0" xfId="8" applyNumberFormat="1" applyFont="1" applyFill="1"/>
    <xf numFmtId="0" fontId="0" fillId="0" borderId="9" xfId="0" applyBorder="1"/>
    <xf numFmtId="0" fontId="5" fillId="3" borderId="9" xfId="2" applyFont="1" applyFill="1" applyBorder="1" applyAlignment="1">
      <alignment horizontal="center"/>
    </xf>
    <xf numFmtId="171" fontId="0" fillId="0" borderId="0" xfId="0" applyNumberFormat="1"/>
    <xf numFmtId="171" fontId="0" fillId="0" borderId="24" xfId="0" applyNumberFormat="1" applyBorder="1"/>
    <xf numFmtId="171" fontId="0" fillId="0" borderId="14" xfId="0" applyNumberFormat="1" applyBorder="1"/>
    <xf numFmtId="171" fontId="0" fillId="0" borderId="20" xfId="0" applyNumberFormat="1" applyBorder="1"/>
    <xf numFmtId="170" fontId="0" fillId="0" borderId="0" xfId="0" applyNumberFormat="1"/>
    <xf numFmtId="172" fontId="0" fillId="0" borderId="0" xfId="0" applyNumberFormat="1"/>
    <xf numFmtId="2" fontId="0" fillId="0" borderId="0" xfId="0" applyNumberFormat="1"/>
    <xf numFmtId="2" fontId="10" fillId="0" borderId="0" xfId="0" applyNumberFormat="1" applyFont="1"/>
    <xf numFmtId="4" fontId="10" fillId="0" borderId="9" xfId="0" applyNumberFormat="1" applyFont="1" applyBorder="1"/>
    <xf numFmtId="4" fontId="0" fillId="0" borderId="24" xfId="0" applyNumberFormat="1" applyBorder="1"/>
    <xf numFmtId="4" fontId="0" fillId="0" borderId="14" xfId="0" applyNumberForma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5" fillId="3" borderId="20" xfId="2" applyFont="1" applyFill="1" applyBorder="1" applyAlignment="1">
      <alignment horizontal="center"/>
    </xf>
    <xf numFmtId="0" fontId="5" fillId="3" borderId="14" xfId="2" applyFont="1" applyFill="1" applyBorder="1" applyAlignment="1">
      <alignment horizontal="center"/>
    </xf>
    <xf numFmtId="4" fontId="0" fillId="0" borderId="0" xfId="0" applyNumberFormat="1"/>
    <xf numFmtId="4" fontId="10" fillId="0" borderId="0" xfId="0" applyNumberFormat="1" applyFont="1"/>
    <xf numFmtId="173" fontId="10" fillId="0" borderId="9" xfId="0" applyNumberFormat="1" applyFont="1" applyBorder="1"/>
    <xf numFmtId="10" fontId="0" fillId="0" borderId="0" xfId="0" applyNumberFormat="1"/>
    <xf numFmtId="168" fontId="8" fillId="4" borderId="0" xfId="9" applyNumberFormat="1" applyFont="1" applyFill="1" applyBorder="1"/>
    <xf numFmtId="0" fontId="0" fillId="2" borderId="9" xfId="0" applyFill="1" applyBorder="1"/>
    <xf numFmtId="170" fontId="0" fillId="2" borderId="0" xfId="0" applyNumberFormat="1" applyFill="1"/>
    <xf numFmtId="167" fontId="0" fillId="0" borderId="0" xfId="0" applyNumberFormat="1"/>
    <xf numFmtId="10" fontId="0" fillId="0" borderId="0" xfId="8" applyNumberFormat="1" applyFont="1"/>
    <xf numFmtId="3" fontId="0" fillId="0" borderId="0" xfId="0" applyNumberFormat="1"/>
    <xf numFmtId="0" fontId="7" fillId="0" borderId="0" xfId="0" applyFont="1"/>
    <xf numFmtId="0" fontId="7" fillId="11" borderId="0" xfId="0" applyFont="1" applyFill="1"/>
    <xf numFmtId="41" fontId="0" fillId="0" borderId="0" xfId="10" applyFont="1"/>
    <xf numFmtId="3" fontId="13" fillId="0" borderId="0" xfId="0" applyNumberFormat="1" applyFont="1"/>
    <xf numFmtId="3" fontId="7" fillId="11" borderId="0" xfId="0" applyNumberFormat="1" applyFont="1" applyFill="1"/>
    <xf numFmtId="0" fontId="14" fillId="10" borderId="0" xfId="0" applyFont="1" applyFill="1"/>
    <xf numFmtId="0" fontId="15" fillId="0" borderId="0" xfId="0" applyFont="1"/>
    <xf numFmtId="0" fontId="16" fillId="0" borderId="0" xfId="0" applyFont="1"/>
    <xf numFmtId="0" fontId="17" fillId="9" borderId="0" xfId="0" applyFont="1" applyFill="1"/>
    <xf numFmtId="0" fontId="18" fillId="0" borderId="0" xfId="0" applyFont="1"/>
    <xf numFmtId="167" fontId="19" fillId="0" borderId="0" xfId="0" applyNumberFormat="1" applyFont="1"/>
    <xf numFmtId="174" fontId="19" fillId="0" borderId="0" xfId="0" applyNumberFormat="1" applyFont="1"/>
    <xf numFmtId="2" fontId="19" fillId="0" borderId="0" xfId="0" applyNumberFormat="1" applyFont="1"/>
    <xf numFmtId="0" fontId="20" fillId="10" borderId="0" xfId="0" applyFont="1" applyFill="1"/>
    <xf numFmtId="0" fontId="17" fillId="11" borderId="0" xfId="0" applyFont="1" applyFill="1" applyAlignment="1">
      <alignment horizontal="center"/>
    </xf>
    <xf numFmtId="167" fontId="16" fillId="0" borderId="0" xfId="0" applyNumberFormat="1" applyFont="1"/>
    <xf numFmtId="3" fontId="16" fillId="0" borderId="0" xfId="0" applyNumberFormat="1" applyFont="1"/>
    <xf numFmtId="175" fontId="16" fillId="0" borderId="0" xfId="0" applyNumberFormat="1" applyFont="1"/>
    <xf numFmtId="170" fontId="16" fillId="0" borderId="0" xfId="0" applyNumberFormat="1" applyFont="1"/>
    <xf numFmtId="3" fontId="19" fillId="0" borderId="0" xfId="0" applyNumberFormat="1" applyFont="1"/>
    <xf numFmtId="172" fontId="16" fillId="0" borderId="0" xfId="0" applyNumberFormat="1" applyFont="1"/>
    <xf numFmtId="0" fontId="17" fillId="11" borderId="0" xfId="0" applyFont="1" applyFill="1"/>
    <xf numFmtId="3" fontId="21" fillId="11" borderId="0" xfId="0" applyNumberFormat="1" applyFont="1" applyFill="1"/>
    <xf numFmtId="167" fontId="17" fillId="11" borderId="0" xfId="0" applyNumberFormat="1" applyFont="1" applyFill="1"/>
    <xf numFmtId="3" fontId="17" fillId="11" borderId="0" xfId="0" applyNumberFormat="1" applyFont="1" applyFill="1"/>
    <xf numFmtId="172" fontId="17" fillId="11" borderId="0" xfId="0" applyNumberFormat="1" applyFont="1" applyFill="1"/>
    <xf numFmtId="0" fontId="22" fillId="10" borderId="0" xfId="0" applyFont="1" applyFill="1"/>
    <xf numFmtId="0" fontId="23" fillId="0" borderId="0" xfId="0" applyFont="1"/>
    <xf numFmtId="3" fontId="17" fillId="0" borderId="0" xfId="0" applyNumberFormat="1" applyFont="1"/>
    <xf numFmtId="0" fontId="24" fillId="0" borderId="0" xfId="0" applyFont="1"/>
    <xf numFmtId="170" fontId="25" fillId="0" borderId="0" xfId="0" applyNumberFormat="1" applyFont="1"/>
    <xf numFmtId="170" fontId="17" fillId="0" borderId="0" xfId="0" applyNumberFormat="1" applyFont="1"/>
    <xf numFmtId="0" fontId="17" fillId="0" borderId="0" xfId="0" applyFont="1"/>
    <xf numFmtId="41" fontId="16" fillId="0" borderId="0" xfId="10" applyFont="1"/>
    <xf numFmtId="0" fontId="20" fillId="14" borderId="0" xfId="0" applyFont="1" applyFill="1"/>
    <xf numFmtId="0" fontId="20" fillId="13" borderId="0" xfId="0" applyFont="1" applyFill="1"/>
    <xf numFmtId="0" fontId="20" fillId="16" borderId="0" xfId="0" applyFont="1" applyFill="1"/>
    <xf numFmtId="0" fontId="26" fillId="0" borderId="0" xfId="0" applyFont="1"/>
    <xf numFmtId="0" fontId="27" fillId="0" borderId="0" xfId="0" applyFont="1"/>
    <xf numFmtId="167" fontId="28" fillId="0" borderId="0" xfId="0" applyNumberFormat="1" applyFont="1"/>
    <xf numFmtId="0" fontId="28" fillId="0" borderId="0" xfId="0" applyFont="1"/>
    <xf numFmtId="0" fontId="29" fillId="10" borderId="0" xfId="0" applyFont="1" applyFill="1"/>
    <xf numFmtId="10" fontId="20" fillId="10" borderId="0" xfId="0" applyNumberFormat="1" applyFont="1" applyFill="1"/>
    <xf numFmtId="3" fontId="20" fillId="10" borderId="0" xfId="0" applyNumberFormat="1" applyFont="1" applyFill="1"/>
    <xf numFmtId="0" fontId="26" fillId="11" borderId="0" xfId="0" applyFont="1" applyFill="1" applyAlignment="1">
      <alignment horizontal="center"/>
    </xf>
    <xf numFmtId="167" fontId="27" fillId="0" borderId="0" xfId="0" applyNumberFormat="1" applyFont="1"/>
    <xf numFmtId="170" fontId="27" fillId="0" borderId="0" xfId="0" applyNumberFormat="1" applyFont="1"/>
    <xf numFmtId="41" fontId="27" fillId="0" borderId="0" xfId="10" applyFont="1"/>
    <xf numFmtId="0" fontId="26" fillId="11" borderId="0" xfId="0" applyFont="1" applyFill="1"/>
    <xf numFmtId="41" fontId="26" fillId="11" borderId="0" xfId="10" applyFont="1" applyFill="1"/>
    <xf numFmtId="167" fontId="26" fillId="11" borderId="0" xfId="0" applyNumberFormat="1" applyFont="1" applyFill="1"/>
    <xf numFmtId="170" fontId="26" fillId="11" borderId="0" xfId="0" applyNumberFormat="1" applyFont="1" applyFill="1"/>
    <xf numFmtId="41" fontId="30" fillId="0" borderId="0" xfId="10" applyFont="1"/>
    <xf numFmtId="3" fontId="26" fillId="0" borderId="0" xfId="0" applyNumberFormat="1" applyFont="1"/>
    <xf numFmtId="170" fontId="30" fillId="0" borderId="0" xfId="0" applyNumberFormat="1" applyFont="1"/>
    <xf numFmtId="170" fontId="26" fillId="0" borderId="0" xfId="0" applyNumberFormat="1" applyFont="1"/>
    <xf numFmtId="0" fontId="29" fillId="14" borderId="0" xfId="0" applyFont="1" applyFill="1"/>
    <xf numFmtId="10" fontId="20" fillId="14" borderId="0" xfId="0" applyNumberFormat="1" applyFont="1" applyFill="1"/>
    <xf numFmtId="3" fontId="20" fillId="14" borderId="0" xfId="0" applyNumberFormat="1" applyFont="1" applyFill="1"/>
    <xf numFmtId="0" fontId="26" fillId="15" borderId="0" xfId="0" applyFont="1" applyFill="1" applyAlignment="1">
      <alignment horizontal="center"/>
    </xf>
    <xf numFmtId="0" fontId="26" fillId="15" borderId="0" xfId="0" applyFont="1" applyFill="1"/>
    <xf numFmtId="41" fontId="26" fillId="15" borderId="0" xfId="10" applyFont="1" applyFill="1"/>
    <xf numFmtId="167" fontId="26" fillId="15" borderId="0" xfId="0" applyNumberFormat="1" applyFont="1" applyFill="1"/>
    <xf numFmtId="170" fontId="26" fillId="15" borderId="0" xfId="0" applyNumberFormat="1" applyFont="1" applyFill="1"/>
    <xf numFmtId="0" fontId="29" fillId="13" borderId="0" xfId="0" applyFont="1" applyFill="1"/>
    <xf numFmtId="10" fontId="20" fillId="13" borderId="0" xfId="0" applyNumberFormat="1" applyFont="1" applyFill="1"/>
    <xf numFmtId="3" fontId="20" fillId="13" borderId="0" xfId="0" applyNumberFormat="1" applyFont="1" applyFill="1"/>
    <xf numFmtId="0" fontId="26" fillId="12" borderId="0" xfId="0" applyFont="1" applyFill="1"/>
    <xf numFmtId="41" fontId="26" fillId="12" borderId="0" xfId="10" applyFont="1" applyFill="1"/>
    <xf numFmtId="167" fontId="26" fillId="12" borderId="0" xfId="0" applyNumberFormat="1" applyFont="1" applyFill="1"/>
    <xf numFmtId="170" fontId="26" fillId="12" borderId="0" xfId="0" applyNumberFormat="1" applyFont="1" applyFill="1"/>
    <xf numFmtId="0" fontId="26" fillId="17" borderId="0" xfId="0" applyFont="1" applyFill="1"/>
    <xf numFmtId="3" fontId="27" fillId="0" borderId="0" xfId="0" applyNumberFormat="1" applyFont="1"/>
    <xf numFmtId="3" fontId="26" fillId="17" borderId="0" xfId="0" applyNumberFormat="1" applyFont="1" applyFill="1"/>
    <xf numFmtId="167" fontId="26" fillId="17" borderId="0" xfId="0" applyNumberFormat="1" applyFont="1" applyFill="1"/>
    <xf numFmtId="170" fontId="26" fillId="17" borderId="0" xfId="0" applyNumberFormat="1" applyFont="1" applyFill="1"/>
    <xf numFmtId="3" fontId="30" fillId="0" borderId="0" xfId="0" applyNumberFormat="1" applyFont="1"/>
    <xf numFmtId="172" fontId="27" fillId="0" borderId="0" xfId="0" applyNumberFormat="1" applyFont="1"/>
    <xf numFmtId="41" fontId="27" fillId="0" borderId="0" xfId="0" applyNumberFormat="1" applyFont="1"/>
    <xf numFmtId="0" fontId="20" fillId="8" borderId="0" xfId="0" applyFont="1" applyFill="1"/>
    <xf numFmtId="0" fontId="31" fillId="0" borderId="0" xfId="0" applyFont="1"/>
    <xf numFmtId="3" fontId="28" fillId="0" borderId="0" xfId="0" applyNumberFormat="1" applyFont="1"/>
    <xf numFmtId="170" fontId="28" fillId="0" borderId="0" xfId="0" applyNumberFormat="1" applyFont="1"/>
    <xf numFmtId="0" fontId="32" fillId="0" borderId="0" xfId="0" applyFont="1"/>
    <xf numFmtId="10" fontId="11" fillId="0" borderId="0" xfId="0" applyNumberFormat="1" applyFont="1"/>
    <xf numFmtId="0" fontId="33" fillId="0" borderId="0" xfId="0" applyFont="1"/>
    <xf numFmtId="0" fontId="12" fillId="8" borderId="0" xfId="0" applyFont="1" applyFill="1"/>
    <xf numFmtId="3" fontId="32" fillId="0" borderId="0" xfId="0" applyNumberFormat="1" applyFont="1"/>
    <xf numFmtId="0" fontId="13" fillId="0" borderId="0" xfId="0" applyFont="1"/>
    <xf numFmtId="0" fontId="34" fillId="0" borderId="0" xfId="0" applyFont="1"/>
    <xf numFmtId="0" fontId="35" fillId="8" borderId="0" xfId="0" applyFont="1" applyFill="1"/>
    <xf numFmtId="0" fontId="36" fillId="0" borderId="0" xfId="0" applyFont="1"/>
    <xf numFmtId="1" fontId="18" fillId="0" borderId="0" xfId="0" applyNumberFormat="1" applyFont="1"/>
    <xf numFmtId="0" fontId="37" fillId="0" borderId="0" xfId="0" applyFont="1"/>
    <xf numFmtId="0" fontId="38" fillId="0" borderId="0" xfId="0" applyFont="1"/>
    <xf numFmtId="176" fontId="16" fillId="0" borderId="0" xfId="0" applyNumberFormat="1" applyFont="1"/>
    <xf numFmtId="176" fontId="17" fillId="0" borderId="0" xfId="0" applyNumberFormat="1" applyFont="1"/>
    <xf numFmtId="0" fontId="24" fillId="0" borderId="0" xfId="0" quotePrefix="1" applyFont="1"/>
    <xf numFmtId="176" fontId="17" fillId="11" borderId="0" xfId="0" applyNumberFormat="1" applyFont="1" applyFill="1"/>
    <xf numFmtId="175" fontId="25" fillId="0" borderId="0" xfId="0" applyNumberFormat="1" applyFont="1"/>
    <xf numFmtId="176" fontId="25" fillId="0" borderId="0" xfId="0" applyNumberFormat="1" applyFont="1"/>
    <xf numFmtId="3" fontId="39" fillId="0" borderId="0" xfId="0" applyNumberFormat="1" applyFont="1"/>
    <xf numFmtId="3" fontId="37" fillId="0" borderId="0" xfId="0" applyNumberFormat="1" applyFont="1"/>
    <xf numFmtId="3" fontId="21" fillId="0" borderId="0" xfId="0" applyNumberFormat="1" applyFont="1"/>
    <xf numFmtId="10" fontId="21" fillId="0" borderId="0" xfId="0" applyNumberFormat="1" applyFont="1"/>
    <xf numFmtId="10" fontId="37" fillId="0" borderId="0" xfId="0" applyNumberFormat="1" applyFont="1"/>
    <xf numFmtId="0" fontId="14" fillId="8" borderId="0" xfId="0" applyFont="1" applyFill="1"/>
    <xf numFmtId="0" fontId="14" fillId="8" borderId="0" xfId="0" applyFont="1" applyFill="1" applyAlignment="1">
      <alignment horizontal="center"/>
    </xf>
    <xf numFmtId="3" fontId="14" fillId="8" borderId="0" xfId="0" applyNumberFormat="1" applyFont="1" applyFill="1"/>
    <xf numFmtId="3" fontId="22" fillId="8" borderId="0" xfId="0" applyNumberFormat="1" applyFont="1" applyFill="1"/>
    <xf numFmtId="0" fontId="17" fillId="17" borderId="0" xfId="0" applyFont="1" applyFill="1" applyAlignment="1">
      <alignment horizontal="center"/>
    </xf>
    <xf numFmtId="0" fontId="17" fillId="18" borderId="0" xfId="0" applyFont="1" applyFill="1" applyAlignment="1">
      <alignment horizontal="center"/>
    </xf>
    <xf numFmtId="0" fontId="17" fillId="19" borderId="0" xfId="0" applyFont="1" applyFill="1" applyAlignment="1">
      <alignment horizontal="center"/>
    </xf>
    <xf numFmtId="0" fontId="22" fillId="8" borderId="0" xfId="0" applyFont="1" applyFill="1"/>
    <xf numFmtId="0" fontId="16" fillId="8" borderId="0" xfId="0" applyFont="1" applyFill="1"/>
    <xf numFmtId="0" fontId="16" fillId="9" borderId="0" xfId="0" applyFont="1" applyFill="1"/>
    <xf numFmtId="10" fontId="18" fillId="0" borderId="0" xfId="0" applyNumberFormat="1" applyFont="1"/>
    <xf numFmtId="3" fontId="23" fillId="0" borderId="0" xfId="0" applyNumberFormat="1" applyFont="1"/>
    <xf numFmtId="0" fontId="40" fillId="0" borderId="0" xfId="0" applyFont="1"/>
    <xf numFmtId="3" fontId="25" fillId="0" borderId="0" xfId="0" applyNumberFormat="1" applyFont="1"/>
    <xf numFmtId="170" fontId="39" fillId="0" borderId="0" xfId="0" applyNumberFormat="1" applyFont="1"/>
    <xf numFmtId="170" fontId="19" fillId="0" borderId="0" xfId="0" applyNumberFormat="1" applyFont="1"/>
    <xf numFmtId="0" fontId="17" fillId="0" borderId="0" xfId="0" applyFont="1" applyAlignment="1">
      <alignment horizontal="center"/>
    </xf>
    <xf numFmtId="0" fontId="41" fillId="7" borderId="0" xfId="0" applyFont="1" applyFill="1"/>
    <xf numFmtId="0" fontId="42" fillId="0" borderId="0" xfId="0" applyFont="1"/>
    <xf numFmtId="0" fontId="44" fillId="22" borderId="35" xfId="0" applyFont="1" applyFill="1" applyBorder="1" applyAlignment="1">
      <alignment horizontal="center" vertical="center" wrapText="1"/>
    </xf>
    <xf numFmtId="0" fontId="0" fillId="23" borderId="35" xfId="0" applyFill="1" applyBorder="1"/>
    <xf numFmtId="0" fontId="45" fillId="0" borderId="35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0" fillId="24" borderId="35" xfId="0" applyFill="1" applyBorder="1"/>
    <xf numFmtId="172" fontId="47" fillId="25" borderId="35" xfId="0" applyNumberFormat="1" applyFont="1" applyFill="1" applyBorder="1" applyAlignment="1">
      <alignment horizontal="right" vertical="center"/>
    </xf>
    <xf numFmtId="0" fontId="45" fillId="0" borderId="35" xfId="0" applyFont="1" applyBorder="1" applyAlignment="1">
      <alignment horizontal="left" vertical="center" wrapText="1" indent="1"/>
    </xf>
    <xf numFmtId="4" fontId="47" fillId="25" borderId="35" xfId="0" applyNumberFormat="1" applyFont="1" applyFill="1" applyBorder="1" applyAlignment="1">
      <alignment horizontal="right" vertical="center"/>
    </xf>
    <xf numFmtId="0" fontId="48" fillId="26" borderId="38" xfId="0" applyFont="1" applyFill="1" applyBorder="1" applyAlignment="1">
      <alignment horizontal="left" vertical="center"/>
    </xf>
    <xf numFmtId="4" fontId="48" fillId="26" borderId="38" xfId="0" applyNumberFormat="1" applyFont="1" applyFill="1" applyBorder="1" applyAlignment="1">
      <alignment horizontal="right" vertical="center"/>
    </xf>
    <xf numFmtId="0" fontId="45" fillId="0" borderId="35" xfId="0" applyFont="1" applyBorder="1" applyAlignment="1">
      <alignment horizontal="left" vertical="center"/>
    </xf>
    <xf numFmtId="0" fontId="0" fillId="0" borderId="35" xfId="0" applyBorder="1"/>
    <xf numFmtId="0" fontId="0" fillId="22" borderId="35" xfId="0" applyFill="1" applyBorder="1"/>
    <xf numFmtId="0" fontId="50" fillId="0" borderId="35" xfId="0" applyFont="1" applyBorder="1" applyAlignment="1">
      <alignment horizontal="left" vertical="center"/>
    </xf>
    <xf numFmtId="0" fontId="43" fillId="0" borderId="35" xfId="0" applyFont="1" applyBorder="1" applyAlignment="1">
      <alignment horizontal="left" vertical="center"/>
    </xf>
    <xf numFmtId="0" fontId="43" fillId="26" borderId="38" xfId="0" applyFont="1" applyFill="1" applyBorder="1" applyAlignment="1">
      <alignment horizontal="left" vertical="center"/>
    </xf>
    <xf numFmtId="2" fontId="50" fillId="24" borderId="35" xfId="0" applyNumberFormat="1" applyFont="1" applyFill="1" applyBorder="1" applyAlignment="1">
      <alignment horizontal="center" vertical="center"/>
    </xf>
    <xf numFmtId="4" fontId="50" fillId="24" borderId="35" xfId="0" applyNumberFormat="1" applyFont="1" applyFill="1" applyBorder="1" applyAlignment="1">
      <alignment horizontal="center" vertical="center"/>
    </xf>
    <xf numFmtId="0" fontId="43" fillId="24" borderId="35" xfId="0" applyFont="1" applyFill="1" applyBorder="1" applyAlignment="1">
      <alignment horizontal="left" vertical="center"/>
    </xf>
    <xf numFmtId="0" fontId="45" fillId="0" borderId="35" xfId="0" applyFont="1" applyBorder="1" applyAlignment="1">
      <alignment horizontal="left" vertical="center" wrapText="1"/>
    </xf>
    <xf numFmtId="0" fontId="50" fillId="0" borderId="35" xfId="0" applyFont="1" applyBorder="1" applyAlignment="1">
      <alignment horizontal="left" vertical="center" wrapText="1"/>
    </xf>
    <xf numFmtId="0" fontId="53" fillId="22" borderId="35" xfId="0" applyFont="1" applyFill="1" applyBorder="1" applyAlignment="1">
      <alignment horizontal="center" vertical="center" wrapText="1"/>
    </xf>
    <xf numFmtId="0" fontId="54" fillId="0" borderId="35" xfId="0" applyFont="1" applyBorder="1" applyAlignment="1">
      <alignment horizontal="left" vertical="center" wrapText="1" indent="1"/>
    </xf>
    <xf numFmtId="4" fontId="55" fillId="25" borderId="35" xfId="0" applyNumberFormat="1" applyFont="1" applyFill="1" applyBorder="1" applyAlignment="1">
      <alignment horizontal="right" vertical="center"/>
    </xf>
    <xf numFmtId="0" fontId="57" fillId="0" borderId="35" xfId="0" applyFont="1" applyBorder="1" applyAlignment="1">
      <alignment horizontal="left" vertical="center" wrapText="1"/>
    </xf>
    <xf numFmtId="0" fontId="52" fillId="0" borderId="35" xfId="0" applyFont="1" applyBorder="1" applyAlignment="1">
      <alignment horizontal="left" vertical="center"/>
    </xf>
    <xf numFmtId="4" fontId="58" fillId="26" borderId="38" xfId="0" applyNumberFormat="1" applyFont="1" applyFill="1" applyBorder="1" applyAlignment="1">
      <alignment horizontal="right" vertical="center"/>
    </xf>
    <xf numFmtId="0" fontId="57" fillId="0" borderId="35" xfId="0" applyFont="1" applyBorder="1" applyAlignment="1">
      <alignment horizontal="center" vertical="center"/>
    </xf>
    <xf numFmtId="177" fontId="0" fillId="24" borderId="35" xfId="0" applyNumberFormat="1" applyFill="1" applyBorder="1"/>
    <xf numFmtId="4" fontId="63" fillId="24" borderId="35" xfId="0" applyNumberFormat="1" applyFont="1" applyFill="1" applyBorder="1" applyAlignment="1">
      <alignment horizontal="center" vertical="center"/>
    </xf>
    <xf numFmtId="49" fontId="64" fillId="25" borderId="35" xfId="0" applyNumberFormat="1" applyFont="1" applyFill="1" applyBorder="1" applyAlignment="1">
      <alignment horizontal="center" vertical="center"/>
    </xf>
    <xf numFmtId="0" fontId="54" fillId="0" borderId="35" xfId="0" applyFont="1" applyBorder="1" applyAlignment="1">
      <alignment horizontal="center" vertical="center"/>
    </xf>
    <xf numFmtId="0" fontId="59" fillId="0" borderId="35" xfId="0" applyFont="1" applyBorder="1" applyAlignment="1">
      <alignment horizontal="center" vertical="center"/>
    </xf>
    <xf numFmtId="177" fontId="55" fillId="25" borderId="35" xfId="0" applyNumberFormat="1" applyFont="1" applyFill="1" applyBorder="1" applyAlignment="1">
      <alignment horizontal="right" vertical="center"/>
    </xf>
    <xf numFmtId="172" fontId="60" fillId="29" borderId="35" xfId="0" applyNumberFormat="1" applyFont="1" applyFill="1" applyBorder="1" applyAlignment="1">
      <alignment horizontal="right" vertical="center"/>
    </xf>
    <xf numFmtId="172" fontId="61" fillId="27" borderId="35" xfId="0" applyNumberFormat="1" applyFont="1" applyFill="1" applyBorder="1" applyAlignment="1">
      <alignment horizontal="center" vertical="center"/>
    </xf>
    <xf numFmtId="177" fontId="58" fillId="26" borderId="38" xfId="0" applyNumberFormat="1" applyFont="1" applyFill="1" applyBorder="1" applyAlignment="1">
      <alignment horizontal="right" vertical="center"/>
    </xf>
    <xf numFmtId="1" fontId="62" fillId="24" borderId="35" xfId="0" applyNumberFormat="1" applyFont="1" applyFill="1" applyBorder="1" applyAlignment="1">
      <alignment horizontal="center" vertical="center"/>
    </xf>
    <xf numFmtId="0" fontId="52" fillId="24" borderId="35" xfId="0" applyFont="1" applyFill="1" applyBorder="1" applyAlignment="1">
      <alignment horizontal="left" vertical="center"/>
    </xf>
    <xf numFmtId="4" fontId="60" fillId="29" borderId="35" xfId="0" applyNumberFormat="1" applyFont="1" applyFill="1" applyBorder="1" applyAlignment="1">
      <alignment horizontal="right" vertical="center"/>
    </xf>
    <xf numFmtId="0" fontId="63" fillId="24" borderId="35" xfId="0" applyFont="1" applyFill="1" applyBorder="1" applyAlignment="1">
      <alignment horizontal="center" vertical="center"/>
    </xf>
    <xf numFmtId="0" fontId="43" fillId="28" borderId="0" xfId="0" applyFont="1" applyFill="1" applyAlignment="1">
      <alignment horizontal="left" vertical="center" wrapText="1"/>
    </xf>
    <xf numFmtId="0" fontId="0" fillId="0" borderId="0" xfId="0"/>
    <xf numFmtId="0" fontId="43" fillId="21" borderId="0" xfId="0" applyFont="1" applyFill="1" applyAlignment="1">
      <alignment horizontal="left" vertical="center" wrapText="1"/>
    </xf>
    <xf numFmtId="0" fontId="49" fillId="27" borderId="39" xfId="0" applyFont="1" applyFill="1" applyBorder="1" applyAlignment="1">
      <alignment horizontal="left" vertical="center" wrapText="1"/>
    </xf>
    <xf numFmtId="0" fontId="0" fillId="0" borderId="40" xfId="0" applyBorder="1"/>
    <xf numFmtId="0" fontId="0" fillId="0" borderId="41" xfId="0" applyBorder="1"/>
    <xf numFmtId="0" fontId="14" fillId="20" borderId="32" xfId="0" applyFont="1" applyFill="1" applyBorder="1" applyAlignment="1">
      <alignment horizontal="left" vertical="center" wrapText="1"/>
    </xf>
    <xf numFmtId="0" fontId="0" fillId="0" borderId="33" xfId="0" applyBorder="1"/>
    <xf numFmtId="0" fontId="0" fillId="0" borderId="34" xfId="0" applyBorder="1"/>
    <xf numFmtId="0" fontId="5" fillId="3" borderId="28" xfId="2" applyFont="1" applyFill="1" applyBorder="1" applyAlignment="1">
      <alignment horizontal="center"/>
    </xf>
    <xf numFmtId="0" fontId="5" fillId="3" borderId="0" xfId="2" applyFont="1" applyFill="1" applyAlignment="1">
      <alignment horizontal="center"/>
    </xf>
    <xf numFmtId="0" fontId="5" fillId="3" borderId="2" xfId="2" applyFont="1" applyFill="1" applyBorder="1" applyAlignment="1">
      <alignment horizontal="center"/>
    </xf>
    <xf numFmtId="0" fontId="5" fillId="3" borderId="29" xfId="2" applyFont="1" applyFill="1" applyBorder="1" applyAlignment="1">
      <alignment horizontal="center"/>
    </xf>
    <xf numFmtId="0" fontId="5" fillId="3" borderId="30" xfId="2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1" fillId="3" borderId="25" xfId="2" applyFill="1" applyBorder="1" applyAlignment="1">
      <alignment horizontal="center"/>
    </xf>
    <xf numFmtId="0" fontId="1" fillId="3" borderId="26" xfId="2" applyFill="1" applyBorder="1" applyAlignment="1">
      <alignment horizontal="center"/>
    </xf>
    <xf numFmtId="0" fontId="1" fillId="3" borderId="27" xfId="2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31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49" fillId="27" borderId="42" xfId="0" applyFont="1" applyFill="1" applyBorder="1" applyAlignment="1">
      <alignment horizontal="left" vertical="center" wrapText="1"/>
    </xf>
    <xf numFmtId="0" fontId="49" fillId="27" borderId="43" xfId="0" applyFont="1" applyFill="1" applyBorder="1" applyAlignment="1">
      <alignment horizontal="left" vertical="center" wrapText="1"/>
    </xf>
    <xf numFmtId="0" fontId="49" fillId="27" borderId="44" xfId="0" applyFont="1" applyFill="1" applyBorder="1" applyAlignment="1">
      <alignment horizontal="left" vertical="center" wrapText="1"/>
    </xf>
    <xf numFmtId="0" fontId="14" fillId="20" borderId="37" xfId="0" applyFont="1" applyFill="1" applyBorder="1" applyAlignment="1">
      <alignment horizontal="left" vertical="center" wrapText="1"/>
    </xf>
    <xf numFmtId="0" fontId="14" fillId="20" borderId="33" xfId="0" applyFont="1" applyFill="1" applyBorder="1" applyAlignment="1">
      <alignment horizontal="left" vertical="center" wrapText="1"/>
    </xf>
    <xf numFmtId="0" fontId="14" fillId="20" borderId="34" xfId="0" applyFont="1" applyFill="1" applyBorder="1" applyAlignment="1">
      <alignment horizontal="left" vertical="center" wrapText="1"/>
    </xf>
    <xf numFmtId="0" fontId="43" fillId="21" borderId="36" xfId="0" applyFont="1" applyFill="1" applyBorder="1" applyAlignment="1">
      <alignment horizontal="left" vertical="center" wrapText="1"/>
    </xf>
    <xf numFmtId="4" fontId="55" fillId="25" borderId="45" xfId="0" applyNumberFormat="1" applyFont="1" applyFill="1" applyBorder="1" applyAlignment="1">
      <alignment horizontal="center" vertical="center"/>
    </xf>
    <xf numFmtId="4" fontId="55" fillId="25" borderId="47" xfId="0" applyNumberFormat="1" applyFont="1" applyFill="1" applyBorder="1" applyAlignment="1">
      <alignment horizontal="center" vertical="center"/>
    </xf>
    <xf numFmtId="0" fontId="52" fillId="21" borderId="0" xfId="0" applyFont="1" applyFill="1" applyAlignment="1">
      <alignment horizontal="left" vertical="center" wrapText="1"/>
    </xf>
    <xf numFmtId="0" fontId="52" fillId="0" borderId="45" xfId="0" applyFont="1" applyBorder="1" applyAlignment="1">
      <alignment horizontal="left" vertical="center" wrapText="1"/>
    </xf>
    <xf numFmtId="0" fontId="52" fillId="0" borderId="46" xfId="0" applyFont="1" applyBorder="1" applyAlignment="1">
      <alignment horizontal="left" vertical="center" wrapText="1"/>
    </xf>
    <xf numFmtId="0" fontId="52" fillId="0" borderId="45" xfId="0" applyFont="1" applyBorder="1" applyAlignment="1">
      <alignment horizontal="left" vertical="center"/>
    </xf>
    <xf numFmtId="0" fontId="52" fillId="0" borderId="47" xfId="0" applyFont="1" applyBorder="1" applyAlignment="1">
      <alignment horizontal="left" vertical="center"/>
    </xf>
    <xf numFmtId="0" fontId="51" fillId="20" borderId="32" xfId="0" applyFont="1" applyFill="1" applyBorder="1" applyAlignment="1">
      <alignment horizontal="left" vertical="center" wrapText="1"/>
    </xf>
    <xf numFmtId="0" fontId="56" fillId="27" borderId="39" xfId="0" applyFont="1" applyFill="1" applyBorder="1" applyAlignment="1">
      <alignment horizontal="left" vertical="center" wrapText="1"/>
    </xf>
    <xf numFmtId="0" fontId="52" fillId="28" borderId="0" xfId="0" applyFont="1" applyFill="1" applyAlignment="1">
      <alignment horizontal="left" vertical="center" wrapText="1"/>
    </xf>
    <xf numFmtId="0" fontId="55" fillId="25" borderId="35" xfId="0" applyFont="1" applyFill="1" applyBorder="1" applyAlignment="1">
      <alignment horizontal="left" vertical="top" wrapText="1"/>
    </xf>
    <xf numFmtId="0" fontId="52" fillId="30" borderId="0" xfId="0" applyFont="1" applyFill="1" applyAlignment="1">
      <alignment horizontal="left" vertical="center" wrapText="1"/>
    </xf>
  </cellXfs>
  <cellStyles count="20">
    <cellStyle name="Comma [0] 2" xfId="13" xr:uid="{6F635307-8A92-4BA2-A5CE-7C43D7CCD900}"/>
    <cellStyle name="Comma 2" xfId="12" xr:uid="{45C7BD63-3382-4340-A861-1B17F8BB68AC}"/>
    <cellStyle name="Comma 3" xfId="14" xr:uid="{3F6EE789-87AE-437A-AFD1-564CA8D6F13B}"/>
    <cellStyle name="Comma 4" xfId="15" xr:uid="{3F46967A-E679-4361-B018-1D1699E82528}"/>
    <cellStyle name="Comma 5" xfId="16" xr:uid="{764B6848-CAD4-463C-8856-23DC24542CD9}"/>
    <cellStyle name="Comma 6" xfId="17" xr:uid="{71E45C52-4C7A-42A8-ADDD-336397DBA995}"/>
    <cellStyle name="Comma 7" xfId="18" xr:uid="{3899B87E-0B69-4F92-9830-0CB7EE51DCD6}"/>
    <cellStyle name="Comma 8" xfId="19" xr:uid="{C8680BDE-69BE-4487-9247-42A6E6065969}"/>
    <cellStyle name="Excel Built-in Comma" xfId="1" xr:uid="{00000000-0005-0000-0000-000000000000}"/>
    <cellStyle name="Excel Built-in Normal" xfId="2" xr:uid="{00000000-0005-0000-0000-000001000000}"/>
    <cellStyle name="Excel Built-in Percent" xfId="3" xr:uid="{00000000-0005-0000-0000-000002000000}"/>
    <cellStyle name="Heading" xfId="4" xr:uid="{00000000-0005-0000-0000-000003000000}"/>
    <cellStyle name="Heading1" xfId="5" xr:uid="{00000000-0005-0000-0000-000004000000}"/>
    <cellStyle name="Milliers" xfId="9" builtinId="3"/>
    <cellStyle name="Milliers [0]" xfId="10" builtinId="6"/>
    <cellStyle name="Normal" xfId="0" builtinId="0" customBuiltin="1"/>
    <cellStyle name="Per cent 2" xfId="11" xr:uid="{17916B8D-5BAB-4C4B-9C28-DFBB060F39C4}"/>
    <cellStyle name="Pourcentage" xfId="8" builtinId="5"/>
    <cellStyle name="Result" xfId="6" xr:uid="{00000000-0005-0000-0000-000007000000}"/>
    <cellStyle name="Result2" xfId="7" xr:uid="{00000000-0005-0000-0000-000008000000}"/>
  </cellStyles>
  <dxfs count="0"/>
  <tableStyles count="0" defaultTableStyle="TableStyleMedium2" defaultPivotStyle="PivotStyleLight16"/>
  <colors>
    <mruColors>
      <color rgb="FFFFDE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  <wetp:taskpane dockstate="right" visibility="0" width="438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0003BE46-D554-470E-9D3E-687859F85922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917e23ef-c048-4a07-be0c-27e92c9ae536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89D8F62-0349-4438-9628-9B7EB67AA94C}">
  <we:reference id="WA200005502" version="1.0.0.12" store="Omex" storeType="OMEX"/>
  <we:alternateReferences>
    <we:reference id="WA200005502" version="1.0.0.12" store="WA200005502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75B8D-5E93-7B45-B3A1-EB344EE5AE40}">
  <sheetPr codeName="Feuil1"/>
  <dimension ref="B2:C33"/>
  <sheetViews>
    <sheetView topLeftCell="A2" zoomScale="140" workbookViewId="0">
      <selection activeCell="C7" sqref="C7"/>
    </sheetView>
  </sheetViews>
  <sheetFormatPr baseColWidth="10" defaultColWidth="10.796875" defaultRowHeight="13.8" x14ac:dyDescent="0.25"/>
  <cols>
    <col min="1" max="1" width="10.796875" style="3"/>
    <col min="2" max="2" width="15.19921875" style="3" bestFit="1" customWidth="1"/>
    <col min="3" max="3" width="18.19921875" style="3" bestFit="1" customWidth="1"/>
    <col min="4" max="4" width="5.19921875" style="3" customWidth="1"/>
    <col min="5" max="5" width="7.296875" style="3" customWidth="1"/>
    <col min="6" max="6" width="5.796875" style="3" customWidth="1"/>
    <col min="7" max="16384" width="10.796875" style="3"/>
  </cols>
  <sheetData>
    <row r="2" spans="2:3" x14ac:dyDescent="0.25">
      <c r="B2" s="5" t="s">
        <v>3</v>
      </c>
    </row>
    <row r="4" spans="2:3" x14ac:dyDescent="0.25">
      <c r="B4" s="8" t="s">
        <v>4</v>
      </c>
      <c r="C4" s="6">
        <v>3</v>
      </c>
    </row>
    <row r="5" spans="2:3" x14ac:dyDescent="0.25">
      <c r="B5" s="9" t="s">
        <v>5</v>
      </c>
      <c r="C5" s="7">
        <v>2.4E-2</v>
      </c>
    </row>
    <row r="6" spans="2:3" x14ac:dyDescent="0.25">
      <c r="B6" s="9" t="s">
        <v>13</v>
      </c>
      <c r="C6" s="26">
        <v>1.4999999999999999E-2</v>
      </c>
    </row>
    <row r="7" spans="2:3" ht="15.6" x14ac:dyDescent="0.3">
      <c r="B7" s="10" t="s">
        <v>6</v>
      </c>
      <c r="C7" s="22">
        <v>550000000</v>
      </c>
    </row>
    <row r="9" spans="2:3" x14ac:dyDescent="0.25">
      <c r="B9" s="5" t="s">
        <v>7</v>
      </c>
    </row>
    <row r="11" spans="2:3" x14ac:dyDescent="0.25">
      <c r="B11" s="8" t="s">
        <v>4</v>
      </c>
      <c r="C11" s="6">
        <v>5</v>
      </c>
    </row>
    <row r="12" spans="2:3" x14ac:dyDescent="0.25">
      <c r="B12" s="9" t="s">
        <v>5</v>
      </c>
      <c r="C12" s="7">
        <v>3.3000000000000002E-2</v>
      </c>
    </row>
    <row r="13" spans="2:3" x14ac:dyDescent="0.25">
      <c r="B13" s="9" t="s">
        <v>13</v>
      </c>
      <c r="C13" s="7">
        <v>2.7E-2</v>
      </c>
    </row>
    <row r="14" spans="2:3" ht="15.6" x14ac:dyDescent="0.3">
      <c r="B14" s="10" t="s">
        <v>6</v>
      </c>
      <c r="C14" s="25">
        <v>670000000</v>
      </c>
    </row>
    <row r="16" spans="2:3" x14ac:dyDescent="0.25">
      <c r="B16" s="5" t="s">
        <v>8</v>
      </c>
    </row>
    <row r="18" spans="2:3" x14ac:dyDescent="0.25">
      <c r="B18" s="8" t="s">
        <v>4</v>
      </c>
      <c r="C18" s="6">
        <v>8</v>
      </c>
    </row>
    <row r="19" spans="2:3" x14ac:dyDescent="0.25">
      <c r="B19" s="9" t="s">
        <v>5</v>
      </c>
      <c r="C19" s="7">
        <v>4.8000000000000001E-2</v>
      </c>
    </row>
    <row r="20" spans="2:3" x14ac:dyDescent="0.25">
      <c r="B20" s="9" t="s">
        <v>13</v>
      </c>
      <c r="C20" s="7">
        <v>2.1999999999999999E-2</v>
      </c>
    </row>
    <row r="21" spans="2:3" ht="15.6" x14ac:dyDescent="0.3">
      <c r="B21" s="10" t="s">
        <v>6</v>
      </c>
      <c r="C21" s="22">
        <v>720000000</v>
      </c>
    </row>
    <row r="33" spans="3:3" x14ac:dyDescent="0.25">
      <c r="C33" s="3">
        <f>0.15/0.01</f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817B-E40E-A849-A94A-9BE3387B8462}">
  <sheetPr codeName="Feuil2"/>
  <dimension ref="A1:J15"/>
  <sheetViews>
    <sheetView workbookViewId="0">
      <selection activeCell="F8" sqref="F8"/>
    </sheetView>
  </sheetViews>
  <sheetFormatPr baseColWidth="10" defaultColWidth="10.796875" defaultRowHeight="13.8" x14ac:dyDescent="0.25"/>
  <cols>
    <col min="1" max="1" width="7.796875" style="3" customWidth="1"/>
    <col min="2" max="2" width="10.796875" style="3"/>
    <col min="3" max="3" width="16.796875" style="3" bestFit="1" customWidth="1"/>
    <col min="4" max="4" width="10.796875" style="3"/>
    <col min="5" max="5" width="16.796875" style="3" bestFit="1" customWidth="1"/>
    <col min="6" max="8" width="10.796875" style="3"/>
    <col min="9" max="9" width="13.5" style="3" bestFit="1" customWidth="1"/>
    <col min="10" max="16384" width="10.796875" style="3"/>
  </cols>
  <sheetData>
    <row r="1" spans="1:10" ht="18" x14ac:dyDescent="0.35">
      <c r="A1" s="1" t="s">
        <v>25</v>
      </c>
      <c r="B1" s="2"/>
      <c r="C1" s="2"/>
      <c r="D1" s="2"/>
      <c r="E1" s="2"/>
      <c r="F1" s="2"/>
      <c r="G1" s="2"/>
      <c r="H1" s="2"/>
      <c r="I1" s="27" t="s">
        <v>15</v>
      </c>
      <c r="J1" s="2"/>
    </row>
    <row r="2" spans="1:10" ht="15" thickBot="1" x14ac:dyDescent="0.35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 ht="15" thickBot="1" x14ac:dyDescent="0.35">
      <c r="A3" s="28"/>
      <c r="B3" s="29" t="s">
        <v>16</v>
      </c>
      <c r="C3" s="30" t="s">
        <v>17</v>
      </c>
      <c r="D3" s="30" t="s">
        <v>18</v>
      </c>
      <c r="E3" s="31" t="s">
        <v>19</v>
      </c>
      <c r="F3" s="32" t="s">
        <v>0</v>
      </c>
      <c r="G3" s="2"/>
      <c r="H3" s="2"/>
      <c r="I3" s="2" t="s">
        <v>16</v>
      </c>
      <c r="J3" s="2" t="s">
        <v>20</v>
      </c>
    </row>
    <row r="4" spans="1:10" ht="14.4" x14ac:dyDescent="0.3">
      <c r="A4" s="48">
        <v>1</v>
      </c>
      <c r="B4" s="34">
        <v>2500</v>
      </c>
      <c r="C4" s="35">
        <v>52</v>
      </c>
      <c r="D4" s="54">
        <v>5.0000000000000001E-3</v>
      </c>
      <c r="E4" s="36">
        <v>200000</v>
      </c>
      <c r="F4" s="37">
        <v>13</v>
      </c>
      <c r="G4" s="2"/>
      <c r="H4" s="2"/>
      <c r="I4" s="2" t="s">
        <v>17</v>
      </c>
      <c r="J4" s="2" t="s">
        <v>21</v>
      </c>
    </row>
    <row r="5" spans="1:10" ht="14.4" x14ac:dyDescent="0.3">
      <c r="A5" s="33">
        <v>2</v>
      </c>
      <c r="B5" s="38">
        <v>2250</v>
      </c>
      <c r="C5" s="17">
        <v>54</v>
      </c>
      <c r="D5" s="39">
        <v>5.0000000000000001E-3</v>
      </c>
      <c r="E5" s="40">
        <v>150000</v>
      </c>
      <c r="F5" s="41">
        <v>11</v>
      </c>
      <c r="G5" s="2"/>
      <c r="H5" s="2"/>
      <c r="I5" s="2" t="s">
        <v>0</v>
      </c>
      <c r="J5" s="2" t="s">
        <v>22</v>
      </c>
    </row>
    <row r="6" spans="1:10" ht="14.4" x14ac:dyDescent="0.3">
      <c r="A6" s="33">
        <v>3</v>
      </c>
      <c r="B6" s="38">
        <v>2000</v>
      </c>
      <c r="C6" s="17">
        <v>56</v>
      </c>
      <c r="D6" s="39">
        <v>0.01</v>
      </c>
      <c r="E6" s="40">
        <v>200000</v>
      </c>
      <c r="F6" s="41">
        <v>9</v>
      </c>
      <c r="G6" s="2"/>
      <c r="H6" s="2"/>
      <c r="I6" s="2" t="s">
        <v>19</v>
      </c>
      <c r="J6" s="2" t="s">
        <v>23</v>
      </c>
    </row>
    <row r="7" spans="1:10" ht="14.4" x14ac:dyDescent="0.3">
      <c r="A7" s="33">
        <v>4</v>
      </c>
      <c r="B7" s="38">
        <v>2200</v>
      </c>
      <c r="C7" s="17">
        <v>58</v>
      </c>
      <c r="D7" s="39">
        <v>1.2500000000000001E-2</v>
      </c>
      <c r="E7" s="40">
        <v>130000</v>
      </c>
      <c r="F7" s="41">
        <v>7</v>
      </c>
      <c r="G7" s="2"/>
      <c r="H7" s="2"/>
      <c r="I7" s="2" t="s">
        <v>18</v>
      </c>
      <c r="J7" s="2" t="s">
        <v>24</v>
      </c>
    </row>
    <row r="8" spans="1:10" ht="14.4" x14ac:dyDescent="0.3">
      <c r="A8" s="33">
        <v>5</v>
      </c>
      <c r="B8" s="38">
        <v>1750</v>
      </c>
      <c r="C8" s="17">
        <v>60</v>
      </c>
      <c r="D8" s="39">
        <v>1.4999999999999999E-2</v>
      </c>
      <c r="E8" s="40">
        <v>125000</v>
      </c>
      <c r="F8" s="41">
        <v>5</v>
      </c>
      <c r="G8" s="2"/>
      <c r="H8" s="2"/>
    </row>
    <row r="9" spans="1:10" ht="14.4" x14ac:dyDescent="0.3">
      <c r="A9" s="33">
        <v>6</v>
      </c>
      <c r="B9" s="38">
        <v>2000</v>
      </c>
      <c r="C9" s="17">
        <v>62</v>
      </c>
      <c r="D9" s="55">
        <v>0.02</v>
      </c>
      <c r="E9" s="40">
        <v>100000</v>
      </c>
      <c r="F9" s="41">
        <v>3</v>
      </c>
      <c r="G9" s="2"/>
      <c r="H9" s="2"/>
      <c r="I9" s="2"/>
      <c r="J9" s="2"/>
    </row>
    <row r="10" spans="1:10" ht="15" thickBot="1" x14ac:dyDescent="0.35">
      <c r="A10" s="42">
        <v>7</v>
      </c>
      <c r="B10" s="43">
        <v>2500</v>
      </c>
      <c r="C10" s="44">
        <v>64</v>
      </c>
      <c r="D10" s="45">
        <v>2.5000000000000001E-2</v>
      </c>
      <c r="E10" s="46">
        <v>100000</v>
      </c>
      <c r="F10" s="47">
        <v>1</v>
      </c>
      <c r="G10" s="2"/>
      <c r="H10" s="2"/>
      <c r="I10" s="3" t="s">
        <v>26</v>
      </c>
      <c r="J10" s="53">
        <v>0.01</v>
      </c>
    </row>
    <row r="11" spans="1:10" ht="14.4" x14ac:dyDescent="0.3">
      <c r="B11" s="17"/>
      <c r="C11" s="18"/>
      <c r="E11" s="23"/>
      <c r="G11" s="2"/>
      <c r="H11" s="2"/>
      <c r="I11" s="2"/>
      <c r="J11" s="2"/>
    </row>
    <row r="12" spans="1:10" ht="14.4" x14ac:dyDescent="0.3">
      <c r="C12" s="18"/>
      <c r="E12" s="23"/>
      <c r="G12" s="2"/>
      <c r="H12" s="2"/>
      <c r="I12" s="2"/>
      <c r="J12" s="2"/>
    </row>
    <row r="13" spans="1:10" ht="14.4" x14ac:dyDescent="0.3">
      <c r="B13" s="17"/>
      <c r="C13" s="18"/>
      <c r="E13" s="23"/>
      <c r="G13" s="2"/>
      <c r="H13" s="2"/>
      <c r="I13" s="2"/>
      <c r="J13" s="2"/>
    </row>
    <row r="14" spans="1:10" ht="14.4" x14ac:dyDescent="0.3">
      <c r="B14" s="17"/>
      <c r="C14" s="18"/>
      <c r="E14" s="23"/>
    </row>
    <row r="15" spans="1:10" ht="14.4" x14ac:dyDescent="0.3">
      <c r="B15" s="17"/>
      <c r="C15" s="18"/>
      <c r="E15" s="2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AMK32"/>
  <sheetViews>
    <sheetView zoomScale="77" workbookViewId="0">
      <selection activeCell="N3" sqref="N3"/>
    </sheetView>
  </sheetViews>
  <sheetFormatPr baseColWidth="10" defaultColWidth="8.796875" defaultRowHeight="14.4" x14ac:dyDescent="0.3"/>
  <cols>
    <col min="1" max="1" width="8.296875" style="2" customWidth="1"/>
    <col min="2" max="2" width="13.5" style="2" customWidth="1"/>
    <col min="3" max="3" width="11.296875" style="2" customWidth="1"/>
    <col min="4" max="4" width="10" style="2" customWidth="1"/>
    <col min="5" max="5" width="14.296875" style="2" bestFit="1" customWidth="1"/>
    <col min="6" max="6" width="13" style="2" customWidth="1"/>
    <col min="7" max="8" width="16.796875" style="2" bestFit="1" customWidth="1"/>
    <col min="9" max="9" width="8.69921875" style="2" bestFit="1" customWidth="1"/>
    <col min="10" max="10" width="14.296875" style="2" bestFit="1" customWidth="1"/>
    <col min="11" max="11" width="19.796875" style="2" customWidth="1"/>
    <col min="12" max="12" width="9" style="2" customWidth="1"/>
    <col min="13" max="13" width="8.5" style="2" customWidth="1"/>
    <col min="14" max="14" width="9" style="2" customWidth="1"/>
    <col min="15" max="15" width="8.796875" style="2" customWidth="1"/>
    <col min="16" max="16" width="10.69921875" style="2" customWidth="1"/>
    <col min="17" max="17" width="9.296875" style="2" customWidth="1"/>
    <col min="18" max="1025" width="5.5" style="2" customWidth="1"/>
    <col min="1026" max="16384" width="8.796875" style="3"/>
  </cols>
  <sheetData>
    <row r="1" spans="1:11" s="2" customFormat="1" ht="18" x14ac:dyDescent="0.35">
      <c r="A1" s="1" t="s">
        <v>14</v>
      </c>
      <c r="J1" s="4"/>
    </row>
    <row r="2" spans="1:11" s="2" customFormat="1" ht="15" thickBot="1" x14ac:dyDescent="0.35">
      <c r="H2" s="263" t="s">
        <v>27</v>
      </c>
      <c r="I2" s="264"/>
      <c r="J2" s="264"/>
      <c r="K2" s="265"/>
    </row>
    <row r="3" spans="1:11" s="2" customFormat="1" ht="15" thickBot="1" x14ac:dyDescent="0.35">
      <c r="B3" s="14" t="s">
        <v>1</v>
      </c>
      <c r="C3" s="13" t="s">
        <v>2</v>
      </c>
      <c r="E3" s="19" t="s">
        <v>12</v>
      </c>
      <c r="F3" s="24">
        <v>1.4999999999999999E-2</v>
      </c>
      <c r="H3" s="56" t="s">
        <v>4</v>
      </c>
      <c r="I3" s="56" t="s">
        <v>2</v>
      </c>
      <c r="J3" s="56" t="s">
        <v>28</v>
      </c>
      <c r="K3" s="56" t="s">
        <v>29</v>
      </c>
    </row>
    <row r="4" spans="1:11" s="2" customFormat="1" x14ac:dyDescent="0.3">
      <c r="B4" s="15">
        <v>2</v>
      </c>
      <c r="C4" s="11">
        <v>1.304E-2</v>
      </c>
      <c r="H4" s="2">
        <v>1</v>
      </c>
      <c r="I4" s="2" t="s">
        <v>33</v>
      </c>
      <c r="J4" s="57">
        <f>F17</f>
        <v>0.98649836665702184</v>
      </c>
      <c r="K4" s="59">
        <f>-LN($J4)/$H4</f>
        <v>1.3593609215696431E-2</v>
      </c>
    </row>
    <row r="5" spans="1:11" s="2" customFormat="1" x14ac:dyDescent="0.3">
      <c r="B5" s="15">
        <v>3</v>
      </c>
      <c r="C5" s="11">
        <v>1.2930000000000001E-2</v>
      </c>
      <c r="E5" s="19" t="s">
        <v>11</v>
      </c>
      <c r="F5" s="20">
        <v>1.4590000000000001E-2</v>
      </c>
      <c r="H5" s="2">
        <v>2</v>
      </c>
      <c r="I5" s="58">
        <f>$C4</f>
        <v>1.304E-2</v>
      </c>
      <c r="J5" s="57">
        <f>(1-$I5*SUM($J$4:INDEX(J:J,ROW()-1)))/(1+$I5)</f>
        <v>0.97442950061082723</v>
      </c>
      <c r="K5" s="59">
        <f t="shared" ref="K5:K23" si="0">-LN($J5)/$H5</f>
        <v>1.2951553408438562E-2</v>
      </c>
    </row>
    <row r="6" spans="1:11" s="2" customFormat="1" x14ac:dyDescent="0.3">
      <c r="B6" s="15">
        <v>4</v>
      </c>
      <c r="C6" s="11">
        <v>1.319E-2</v>
      </c>
      <c r="H6" s="2">
        <v>3</v>
      </c>
      <c r="I6" s="58">
        <f t="shared" ref="I6:I22" si="1">$C5</f>
        <v>1.2930000000000001E-2</v>
      </c>
      <c r="J6" s="57">
        <f>(1-$I6*SUM($J$4:INDEX(J:J,ROW()-1)))/(1+$I6)</f>
        <v>0.9622039061694555</v>
      </c>
      <c r="K6" s="59">
        <f t="shared" si="0"/>
        <v>1.2842963367270338E-2</v>
      </c>
    </row>
    <row r="7" spans="1:11" s="2" customFormat="1" x14ac:dyDescent="0.3">
      <c r="B7" s="15">
        <v>5</v>
      </c>
      <c r="C7" s="11">
        <v>1.371E-2</v>
      </c>
      <c r="E7" s="19" t="s">
        <v>9</v>
      </c>
      <c r="F7" s="20">
        <v>1.4239999999999999E-2</v>
      </c>
      <c r="H7" s="2">
        <v>4</v>
      </c>
      <c r="I7" s="58">
        <f t="shared" si="1"/>
        <v>1.319E-2</v>
      </c>
      <c r="J7" s="57">
        <f>(1-$I7*SUM($J$4:INDEX(J:J,ROW()-1)))/(1+$I7)</f>
        <v>0.94892753768627991</v>
      </c>
      <c r="K7" s="59">
        <f t="shared" si="0"/>
        <v>1.3105709945619491E-2</v>
      </c>
    </row>
    <row r="8" spans="1:11" s="2" customFormat="1" x14ac:dyDescent="0.3">
      <c r="B8" s="15">
        <v>6</v>
      </c>
      <c r="C8" s="11">
        <v>1.439E-2</v>
      </c>
      <c r="H8" s="2">
        <v>5</v>
      </c>
      <c r="I8" s="58">
        <f t="shared" si="1"/>
        <v>1.371E-2</v>
      </c>
      <c r="J8" s="57">
        <f>(1-$I8*SUM($J$4:INDEX(J:J,ROW()-1)))/(1+$I8)</f>
        <v>0.93410745365488701</v>
      </c>
      <c r="K8" s="59">
        <f t="shared" si="0"/>
        <v>1.3632760126191069E-2</v>
      </c>
    </row>
    <row r="9" spans="1:11" s="2" customFormat="1" x14ac:dyDescent="0.3">
      <c r="B9" s="15">
        <v>7</v>
      </c>
      <c r="C9" s="11">
        <v>1.516E-2</v>
      </c>
      <c r="E9" s="19" t="s">
        <v>10</v>
      </c>
      <c r="F9" s="21">
        <v>1.304E-2</v>
      </c>
      <c r="H9" s="2">
        <v>6</v>
      </c>
      <c r="I9" s="58">
        <f t="shared" si="1"/>
        <v>1.439E-2</v>
      </c>
      <c r="J9" s="57">
        <f>(1-$I9*SUM($J$4:INDEX(J:J,ROW()-1)))/(1+$I9)</f>
        <v>0.91763449980267731</v>
      </c>
      <c r="K9" s="59">
        <f t="shared" si="0"/>
        <v>1.4326019334474575E-2</v>
      </c>
    </row>
    <row r="10" spans="1:11" s="2" customFormat="1" x14ac:dyDescent="0.3">
      <c r="B10" s="15">
        <v>8</v>
      </c>
      <c r="C10" s="11">
        <v>1.5970000000000002E-2</v>
      </c>
      <c r="H10" s="2">
        <v>7</v>
      </c>
      <c r="I10" s="58">
        <f>$C9</f>
        <v>1.516E-2</v>
      </c>
      <c r="J10" s="57">
        <f>(1-$I10*SUM($J$4:INDEX(J:J,ROW()-1)))/(1+$I10)</f>
        <v>0.89958939756191125</v>
      </c>
      <c r="K10" s="59">
        <f t="shared" si="0"/>
        <v>1.5116692098756265E-2</v>
      </c>
    </row>
    <row r="11" spans="1:11" s="2" customFormat="1" x14ac:dyDescent="0.3">
      <c r="B11" s="15">
        <v>9</v>
      </c>
      <c r="C11" s="11">
        <v>1.6799999999999999E-2</v>
      </c>
      <c r="H11" s="2">
        <v>8</v>
      </c>
      <c r="I11" s="58">
        <f t="shared" si="1"/>
        <v>1.5970000000000002E-2</v>
      </c>
      <c r="J11" s="57">
        <f>(1-$I11*SUM($J$4:INDEX(J:J,ROW()-1)))/(1+$I11)</f>
        <v>0.88016816552218602</v>
      </c>
      <c r="K11" s="59">
        <f t="shared" si="0"/>
        <v>1.595528657279046E-2</v>
      </c>
    </row>
    <row r="12" spans="1:11" s="2" customFormat="1" ht="15" thickBot="1" x14ac:dyDescent="0.35">
      <c r="B12" s="15">
        <v>10</v>
      </c>
      <c r="C12" s="11">
        <v>1.7610000000000001E-2</v>
      </c>
      <c r="E12" s="266" t="s">
        <v>30</v>
      </c>
      <c r="F12" s="267"/>
      <c r="H12" s="2">
        <v>9</v>
      </c>
      <c r="I12" s="58">
        <f t="shared" si="1"/>
        <v>1.6799999999999999E-2</v>
      </c>
      <c r="J12" s="57">
        <f>(1-$I12*SUM($J$4:INDEX(J:J,ROW()-1)))/(1+$I12)</f>
        <v>0.85950060158853658</v>
      </c>
      <c r="K12" s="59">
        <f t="shared" si="0"/>
        <v>1.6822639358998748E-2</v>
      </c>
    </row>
    <row r="13" spans="1:11" s="2" customFormat="1" ht="15" thickBot="1" x14ac:dyDescent="0.35">
      <c r="B13" s="15">
        <v>11</v>
      </c>
      <c r="C13" s="11">
        <v>1.84E-2</v>
      </c>
      <c r="E13" s="56" t="s">
        <v>32</v>
      </c>
      <c r="F13" s="56" t="s">
        <v>31</v>
      </c>
      <c r="H13" s="2">
        <v>10</v>
      </c>
      <c r="I13" s="58">
        <f t="shared" si="1"/>
        <v>1.7610000000000001E-2</v>
      </c>
      <c r="J13" s="57">
        <f>(1-$I13*SUM($J$4:INDEX(J:J,ROW()-1)))/(1+$I13)</f>
        <v>0.83796987397022527</v>
      </c>
      <c r="K13" s="59">
        <f t="shared" si="0"/>
        <v>1.7677312906246669E-2</v>
      </c>
    </row>
    <row r="14" spans="1:11" s="2" customFormat="1" x14ac:dyDescent="0.3">
      <c r="B14" s="15">
        <v>12</v>
      </c>
      <c r="C14" s="11">
        <v>1.9140000000000001E-2</v>
      </c>
      <c r="E14" s="2" t="s">
        <v>34</v>
      </c>
      <c r="F14" s="57">
        <f>1/(1+$F$3/360)</f>
        <v>0.99995833506937204</v>
      </c>
      <c r="H14" s="2">
        <v>11</v>
      </c>
      <c r="I14" s="58">
        <f t="shared" si="1"/>
        <v>1.84E-2</v>
      </c>
      <c r="J14" s="57">
        <f>(1-$I14*SUM($J$4:INDEX(J:J,ROW()-1)))/(1+$I14)</f>
        <v>0.81569232209414599</v>
      </c>
      <c r="K14" s="59">
        <f t="shared" si="0"/>
        <v>1.8519822852617138E-2</v>
      </c>
    </row>
    <row r="15" spans="1:11" s="2" customFormat="1" x14ac:dyDescent="0.3">
      <c r="B15" s="15">
        <v>13</v>
      </c>
      <c r="C15" s="11">
        <v>1.985E-2</v>
      </c>
      <c r="E15" s="2">
        <v>0.25</v>
      </c>
      <c r="F15" s="57">
        <f>1/(1+0.25*F5)</f>
        <v>0.99636575590533527</v>
      </c>
      <c r="H15" s="2">
        <v>12</v>
      </c>
      <c r="I15" s="58">
        <f t="shared" si="1"/>
        <v>1.9140000000000001E-2</v>
      </c>
      <c r="J15" s="57">
        <f>(1-$I15*SUM($J$4:INDEX(J:J,ROW()-1)))/(1+$I15)</f>
        <v>0.79310001382676631</v>
      </c>
      <c r="K15" s="59">
        <f t="shared" si="0"/>
        <v>1.9317162038253219E-2</v>
      </c>
    </row>
    <row r="16" spans="1:11" s="2" customFormat="1" x14ac:dyDescent="0.3">
      <c r="B16" s="15">
        <v>14</v>
      </c>
      <c r="C16" s="11">
        <v>2.051E-2</v>
      </c>
      <c r="E16" s="2">
        <v>0.5</v>
      </c>
      <c r="F16" s="57">
        <f>1/(1+0.5*F7)</f>
        <v>0.9929303360076257</v>
      </c>
      <c r="H16" s="2">
        <v>13</v>
      </c>
      <c r="I16" s="58">
        <f t="shared" si="1"/>
        <v>1.985E-2</v>
      </c>
      <c r="J16" s="57">
        <f>(1-$I16*SUM($J$4:INDEX(J:J,ROW()-1)))/(1+$I16)</f>
        <v>0.77013780503306706</v>
      </c>
      <c r="K16" s="59">
        <f t="shared" si="0"/>
        <v>2.0091216351675524E-2</v>
      </c>
    </row>
    <row r="17" spans="2:11" s="2" customFormat="1" x14ac:dyDescent="0.3">
      <c r="B17" s="15">
        <v>15</v>
      </c>
      <c r="C17" s="11">
        <v>2.112E-2</v>
      </c>
      <c r="E17" s="2">
        <v>1</v>
      </c>
      <c r="F17" s="57">
        <f>F16/(1+F9*0.5)</f>
        <v>0.98649836665702184</v>
      </c>
      <c r="H17" s="2">
        <v>14</v>
      </c>
      <c r="I17" s="58">
        <f t="shared" si="1"/>
        <v>2.051E-2</v>
      </c>
      <c r="J17" s="57">
        <f>(1-$I17*SUM($J$4:INDEX(J:J,ROW()-1)))/(1+$I17)</f>
        <v>0.74717056354166989</v>
      </c>
      <c r="K17" s="59">
        <f t="shared" si="0"/>
        <v>2.0818699180848426E-2</v>
      </c>
    </row>
    <row r="18" spans="2:11" s="2" customFormat="1" x14ac:dyDescent="0.3">
      <c r="B18" s="15">
        <v>16</v>
      </c>
      <c r="C18" s="11">
        <v>2.1690000000000001E-2</v>
      </c>
      <c r="H18" s="2">
        <v>15</v>
      </c>
      <c r="I18" s="58">
        <f t="shared" si="1"/>
        <v>2.112E-2</v>
      </c>
      <c r="J18" s="57">
        <f>(1-$I18*SUM($J$4:INDEX(J:J,ROW()-1)))/(1+$I18)</f>
        <v>0.72435268551880361</v>
      </c>
      <c r="K18" s="59">
        <f t="shared" si="0"/>
        <v>2.1498458034235168E-2</v>
      </c>
    </row>
    <row r="19" spans="2:11" s="2" customFormat="1" x14ac:dyDescent="0.3">
      <c r="B19" s="15">
        <v>17</v>
      </c>
      <c r="C19" s="11">
        <v>2.222E-2</v>
      </c>
      <c r="H19" s="2">
        <v>16</v>
      </c>
      <c r="I19" s="58">
        <f t="shared" si="1"/>
        <v>2.1690000000000001E-2</v>
      </c>
      <c r="J19" s="57">
        <f>(1-$I19*SUM($J$4:INDEX(J:J,ROW()-1)))/(1+$I19)</f>
        <v>0.70169360606804199</v>
      </c>
      <c r="K19" s="59">
        <f t="shared" si="0"/>
        <v>2.2141151801539614E-2</v>
      </c>
    </row>
    <row r="20" spans="2:11" s="2" customFormat="1" x14ac:dyDescent="0.3">
      <c r="B20" s="15">
        <v>18</v>
      </c>
      <c r="C20" s="11">
        <v>2.2700000000000001E-2</v>
      </c>
      <c r="H20" s="2">
        <v>17</v>
      </c>
      <c r="I20" s="58">
        <f t="shared" si="1"/>
        <v>2.222E-2</v>
      </c>
      <c r="J20" s="57">
        <f>(1-$I20*SUM($J$4:INDEX(J:J,ROW()-1)))/(1+$I20)</f>
        <v>0.67931015107257686</v>
      </c>
      <c r="K20" s="59">
        <f t="shared" si="0"/>
        <v>2.2745734086216593E-2</v>
      </c>
    </row>
    <row r="21" spans="2:11" s="2" customFormat="1" x14ac:dyDescent="0.3">
      <c r="B21" s="15">
        <v>19</v>
      </c>
      <c r="C21" s="11">
        <v>2.315E-2</v>
      </c>
      <c r="H21" s="2">
        <v>18</v>
      </c>
      <c r="I21" s="58">
        <f t="shared" si="1"/>
        <v>2.2700000000000001E-2</v>
      </c>
      <c r="J21" s="57">
        <f>(1-$I21*SUM($J$4:INDEX(J:J,ROW()-1)))/(1+$I21)</f>
        <v>0.65745825518372436</v>
      </c>
      <c r="K21" s="59">
        <f t="shared" si="0"/>
        <v>2.3298555953370798E-2</v>
      </c>
    </row>
    <row r="22" spans="2:11" s="2" customFormat="1" x14ac:dyDescent="0.3">
      <c r="B22" s="16">
        <v>20</v>
      </c>
      <c r="C22" s="12">
        <v>2.3560000000000001E-2</v>
      </c>
      <c r="H22" s="2">
        <v>19</v>
      </c>
      <c r="I22" s="58">
        <f t="shared" si="1"/>
        <v>2.315E-2</v>
      </c>
      <c r="J22" s="57">
        <f>(1-$I22*SUM($J$4:INDEX(J:J,ROW()-1)))/(1+$I22)</f>
        <v>0.63594563853415531</v>
      </c>
      <c r="K22" s="59">
        <f t="shared" si="0"/>
        <v>2.3823273331475058E-2</v>
      </c>
    </row>
    <row r="23" spans="2:11" x14ac:dyDescent="0.3">
      <c r="H23" s="2">
        <v>20</v>
      </c>
      <c r="I23" s="58">
        <f>$C22</f>
        <v>2.3560000000000001E-2</v>
      </c>
      <c r="J23" s="57">
        <f>(1-$I23*SUM($J$4:INDEX(J:J,ROW()-1)))/(1+$I23)</f>
        <v>0.6150084250000738</v>
      </c>
      <c r="K23" s="59">
        <f t="shared" si="0"/>
        <v>2.4305965604117016E-2</v>
      </c>
    </row>
    <row r="25" spans="2:11" x14ac:dyDescent="0.3">
      <c r="G25" s="49"/>
      <c r="H25" s="50"/>
    </row>
    <row r="26" spans="2:11" x14ac:dyDescent="0.3">
      <c r="G26" s="49"/>
    </row>
    <row r="27" spans="2:11" x14ac:dyDescent="0.3">
      <c r="G27" s="52"/>
    </row>
    <row r="28" spans="2:11" x14ac:dyDescent="0.3">
      <c r="H28" s="52"/>
    </row>
    <row r="29" spans="2:11" x14ac:dyDescent="0.3">
      <c r="H29" s="51"/>
    </row>
    <row r="32" spans="2:11" x14ac:dyDescent="0.3">
      <c r="G32" s="51"/>
    </row>
  </sheetData>
  <mergeCells count="2">
    <mergeCell ref="H2:K2"/>
    <mergeCell ref="E12:F12"/>
  </mergeCells>
  <pageMargins left="0.70000000000000007" right="0.70000000000000007" top="1.1437000000000002" bottom="1.1437000000000002" header="0.75000000000000011" footer="0.75000000000000011"/>
  <pageSetup paperSize="0" fitToWidth="0" fitToHeight="0" orientation="portrait" horizontalDpi="0" verticalDpi="0" copies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EB365-BBA9-4010-8460-460CA497A8C9}">
  <sheetPr codeName="Feuil4"/>
  <dimension ref="B1:U37"/>
  <sheetViews>
    <sheetView showGridLines="0" topLeftCell="D1" zoomScale="118" workbookViewId="0">
      <selection activeCell="M15" sqref="M15"/>
    </sheetView>
  </sheetViews>
  <sheetFormatPr baseColWidth="10" defaultColWidth="10.69921875" defaultRowHeight="13.8" x14ac:dyDescent="0.25"/>
  <cols>
    <col min="4" max="4" width="11.19921875" customWidth="1"/>
    <col min="5" max="5" width="10.796875" bestFit="1" customWidth="1"/>
    <col min="6" max="6" width="15.796875" bestFit="1" customWidth="1"/>
    <col min="7" max="7" width="14.19921875" bestFit="1" customWidth="1"/>
    <col min="9" max="9" width="20.296875" bestFit="1" customWidth="1"/>
    <col min="11" max="11" width="11.69921875" bestFit="1" customWidth="1"/>
    <col min="12" max="12" width="15.19921875" bestFit="1" customWidth="1"/>
    <col min="13" max="13" width="13" bestFit="1" customWidth="1"/>
    <col min="14" max="14" width="13.69921875" bestFit="1" customWidth="1"/>
    <col min="15" max="15" width="15.5" customWidth="1"/>
    <col min="16" max="16" width="23.296875" customWidth="1"/>
    <col min="17" max="17" width="21.296875" customWidth="1"/>
    <col min="19" max="19" width="21" customWidth="1"/>
    <col min="21" max="21" width="13.69921875" bestFit="1" customWidth="1"/>
  </cols>
  <sheetData>
    <row r="1" spans="2:17" ht="15" thickBot="1" x14ac:dyDescent="0.35">
      <c r="H1" s="269" t="s">
        <v>35</v>
      </c>
      <c r="I1" s="270"/>
      <c r="J1" s="270"/>
      <c r="K1" s="271"/>
      <c r="M1" s="269" t="s">
        <v>43</v>
      </c>
      <c r="N1" s="270"/>
      <c r="O1" s="270"/>
      <c r="P1" s="271"/>
    </row>
    <row r="2" spans="2:17" ht="14.4" thickBot="1" x14ac:dyDescent="0.3">
      <c r="H2" s="60" t="s">
        <v>37</v>
      </c>
      <c r="I2" s="60" t="s">
        <v>36</v>
      </c>
      <c r="J2" s="60" t="s">
        <v>18</v>
      </c>
      <c r="K2" s="60" t="s">
        <v>38</v>
      </c>
      <c r="M2" s="60" t="s">
        <v>44</v>
      </c>
      <c r="N2" s="60" t="s">
        <v>45</v>
      </c>
      <c r="O2" s="60" t="s">
        <v>46</v>
      </c>
      <c r="P2" s="60" t="s">
        <v>47</v>
      </c>
    </row>
    <row r="3" spans="2:17" ht="14.4" thickBot="1" x14ac:dyDescent="0.3">
      <c r="H3" s="73">
        <v>1000266.63</v>
      </c>
      <c r="I3" s="74">
        <v>0.99944170384800002</v>
      </c>
      <c r="J3" s="74">
        <v>0.99973344111499995</v>
      </c>
      <c r="K3" s="75">
        <v>1.10107753603</v>
      </c>
      <c r="M3" s="73">
        <v>3.5000000000000003E-2</v>
      </c>
      <c r="N3" s="74">
        <v>-0.02</v>
      </c>
      <c r="O3" s="74">
        <v>3.5000000000000003E-2</v>
      </c>
      <c r="P3" s="75">
        <v>4</v>
      </c>
    </row>
    <row r="4" spans="2:17" ht="18.600000000000001" thickBot="1" x14ac:dyDescent="0.4">
      <c r="B4" s="1" t="s">
        <v>25</v>
      </c>
      <c r="C4" s="2"/>
      <c r="D4" s="2"/>
      <c r="E4" s="2"/>
      <c r="F4" s="2"/>
      <c r="G4" s="2"/>
    </row>
    <row r="5" spans="2:17" ht="15" thickBot="1" x14ac:dyDescent="0.35">
      <c r="B5" s="2"/>
      <c r="C5" s="2"/>
      <c r="D5" s="2"/>
      <c r="E5" s="2"/>
      <c r="F5" s="2"/>
      <c r="G5" s="2"/>
      <c r="K5" s="269" t="s">
        <v>48</v>
      </c>
      <c r="L5" s="270"/>
      <c r="M5" s="270"/>
      <c r="N5" s="271"/>
    </row>
    <row r="6" spans="2:17" ht="15" thickBot="1" x14ac:dyDescent="0.35">
      <c r="B6" s="28"/>
      <c r="C6" s="29" t="s">
        <v>16</v>
      </c>
      <c r="D6" s="30" t="s">
        <v>40</v>
      </c>
      <c r="E6" s="30" t="s">
        <v>18</v>
      </c>
      <c r="F6" s="31" t="s">
        <v>19</v>
      </c>
      <c r="G6" s="32" t="s">
        <v>0</v>
      </c>
      <c r="H6" s="61" t="s">
        <v>39</v>
      </c>
      <c r="I6" s="61" t="s">
        <v>41</v>
      </c>
      <c r="K6" s="76" t="s">
        <v>50</v>
      </c>
      <c r="L6" s="76" t="s">
        <v>51</v>
      </c>
      <c r="M6" s="77" t="s">
        <v>52</v>
      </c>
      <c r="N6" s="77" t="s">
        <v>48</v>
      </c>
      <c r="P6" s="31" t="s">
        <v>53</v>
      </c>
      <c r="Q6" s="31" t="s">
        <v>54</v>
      </c>
    </row>
    <row r="7" spans="2:17" ht="14.4" x14ac:dyDescent="0.3">
      <c r="B7" s="48">
        <v>1</v>
      </c>
      <c r="C7" s="34">
        <v>2500</v>
      </c>
      <c r="D7" s="35">
        <v>52</v>
      </c>
      <c r="E7" s="54">
        <v>5.0000000000000001E-3</v>
      </c>
      <c r="F7" s="36">
        <v>200000</v>
      </c>
      <c r="G7" s="37">
        <v>13</v>
      </c>
      <c r="H7" s="63">
        <f>POWER($I$3, $G7) * POWER($J$3, POWER($K$3, $D7+$G7) - POWER($K$3, $D7))</f>
        <v>0.89876423905927738</v>
      </c>
      <c r="I7" s="71">
        <f>$C7*$F7*$H7*((1+$E7)^(-$G7))</f>
        <v>421169570.08493066</v>
      </c>
      <c r="K7">
        <f>$M$3</f>
        <v>3.5000000000000003E-2</v>
      </c>
      <c r="L7">
        <f>$N$3*(1-EXP(-$G7/$P$3))/($G7/$P$3)</f>
        <v>-5.91523564411248E-3</v>
      </c>
      <c r="M7" s="62">
        <f>$O$3*((1-EXP(-$G7/$P$3))/($G7/$P$3)-EXP(-$G7/$P$3))</f>
        <v>8.99456510308657E-3</v>
      </c>
      <c r="N7" s="62">
        <f>$K7+$L7+$M7</f>
        <v>3.807932945897409E-2</v>
      </c>
      <c r="P7" s="90">
        <f>$C7*$F7*$H7*EXP(-$N7*$G7)</f>
        <v>273921697.10706687</v>
      </c>
      <c r="Q7" s="78">
        <f>$C7*$F7*$H7*EXP(-$N7*$G7)*0.99^($G7)</f>
        <v>240372047.86700669</v>
      </c>
    </row>
    <row r="8" spans="2:17" ht="14.4" x14ac:dyDescent="0.3">
      <c r="B8" s="33">
        <v>2</v>
      </c>
      <c r="C8" s="38">
        <v>2250</v>
      </c>
      <c r="D8" s="17">
        <v>54</v>
      </c>
      <c r="E8" s="39">
        <v>5.0000000000000001E-3</v>
      </c>
      <c r="F8" s="40">
        <v>150000</v>
      </c>
      <c r="G8" s="41">
        <v>11</v>
      </c>
      <c r="H8" s="64">
        <f t="shared" ref="H8:H13" si="0">POWER($I$3, $G8) * POWER($J$3, POWER($K$3, $D8+$G8) - POWER($K$3, $D8))</f>
        <v>0.90741488113796942</v>
      </c>
      <c r="I8" s="72">
        <f t="shared" ref="I8:I13" si="1">$C8*$F8*$H8*((1+$E8)^(-$G8))</f>
        <v>289903190.55030555</v>
      </c>
      <c r="K8">
        <f t="shared" ref="K8:K13" si="2">$M$3</f>
        <v>3.5000000000000003E-2</v>
      </c>
      <c r="L8">
        <f>$N$3*(1-EXP(-$G8/$P$3))/($G8/$P$3)</f>
        <v>-6.8077973730421267E-3</v>
      </c>
      <c r="M8" s="62">
        <f t="shared" ref="M8:M13" si="3">$O$3*((1-EXP(-$G8/$P$3))/($G8/$P$3)-EXP(-$G8/$P$3))</f>
        <v>9.676170260588958E-3</v>
      </c>
      <c r="N8" s="62">
        <f t="shared" ref="N8:N13" si="4">$K8+$L8+$M8</f>
        <v>3.7868372887546839E-2</v>
      </c>
      <c r="P8" s="90">
        <f t="shared" ref="P8:P13" si="5">$C8*$F8*$H8*EXP(-$N8*$G8)</f>
        <v>201917237.16072407</v>
      </c>
      <c r="Q8" s="78">
        <f t="shared" ref="Q8:Q13" si="6">$C8*$F8*$H8*EXP(-$N8*$G8)*0.99^($G8)</f>
        <v>180784226.62422588</v>
      </c>
    </row>
    <row r="9" spans="2:17" ht="14.4" x14ac:dyDescent="0.3">
      <c r="B9" s="33">
        <v>3</v>
      </c>
      <c r="C9" s="38">
        <v>2000</v>
      </c>
      <c r="D9" s="17">
        <v>56</v>
      </c>
      <c r="E9" s="39">
        <v>0.01</v>
      </c>
      <c r="F9" s="40">
        <v>200000</v>
      </c>
      <c r="G9" s="41">
        <v>9</v>
      </c>
      <c r="H9" s="64">
        <f t="shared" si="0"/>
        <v>0.91779668933085279</v>
      </c>
      <c r="I9" s="72">
        <f t="shared" si="1"/>
        <v>335671225.44429833</v>
      </c>
      <c r="K9">
        <f t="shared" si="2"/>
        <v>3.5000000000000003E-2</v>
      </c>
      <c r="L9">
        <f t="shared" ref="L9:L13" si="7">$N$3*(1-EXP(-$G9/$P$3))/($G9/$P$3)</f>
        <v>-7.9520068927834281E-3</v>
      </c>
      <c r="M9" s="62">
        <f t="shared" si="3"/>
        <v>1.0227039202705747E-2</v>
      </c>
      <c r="N9" s="62">
        <f t="shared" si="4"/>
        <v>3.7275032309922324E-2</v>
      </c>
      <c r="P9" s="90">
        <f t="shared" si="5"/>
        <v>262489182.61884293</v>
      </c>
      <c r="Q9" s="78">
        <f t="shared" si="6"/>
        <v>239788395.60019609</v>
      </c>
    </row>
    <row r="10" spans="2:17" ht="14.4" x14ac:dyDescent="0.3">
      <c r="B10" s="33">
        <v>4</v>
      </c>
      <c r="C10" s="38">
        <v>2200</v>
      </c>
      <c r="D10" s="17">
        <v>58</v>
      </c>
      <c r="E10" s="39">
        <v>1.2500000000000001E-2</v>
      </c>
      <c r="F10" s="40">
        <v>130000</v>
      </c>
      <c r="G10" s="41">
        <v>7</v>
      </c>
      <c r="H10" s="64">
        <f t="shared" si="0"/>
        <v>0.93032202710388157</v>
      </c>
      <c r="I10" s="72">
        <f t="shared" si="1"/>
        <v>243912531.54788032</v>
      </c>
      <c r="K10">
        <f t="shared" si="2"/>
        <v>3.5000000000000003E-2</v>
      </c>
      <c r="L10">
        <f t="shared" si="7"/>
        <v>-9.4425835034234844E-3</v>
      </c>
      <c r="M10" s="62">
        <f t="shared" si="3"/>
        <v>1.0442433110225519E-2</v>
      </c>
      <c r="N10" s="62">
        <f t="shared" si="4"/>
        <v>3.599984960680204E-2</v>
      </c>
      <c r="P10" s="90">
        <f t="shared" si="5"/>
        <v>206803357.19158548</v>
      </c>
      <c r="Q10" s="78">
        <f t="shared" si="6"/>
        <v>192754243.06910864</v>
      </c>
    </row>
    <row r="11" spans="2:17" ht="14.4" x14ac:dyDescent="0.3">
      <c r="B11" s="33">
        <v>5</v>
      </c>
      <c r="C11" s="38">
        <v>1750</v>
      </c>
      <c r="D11" s="17">
        <v>60</v>
      </c>
      <c r="E11" s="39">
        <v>1.4999999999999999E-2</v>
      </c>
      <c r="F11" s="40">
        <v>125000</v>
      </c>
      <c r="G11" s="41">
        <v>5</v>
      </c>
      <c r="H11" s="64">
        <f t="shared" si="0"/>
        <v>0.9455125555482311</v>
      </c>
      <c r="I11" s="72">
        <f t="shared" si="1"/>
        <v>191992892.10681984</v>
      </c>
      <c r="K11">
        <f t="shared" si="2"/>
        <v>3.5000000000000003E-2</v>
      </c>
      <c r="L11">
        <f t="shared" si="7"/>
        <v>-1.1415923250236958E-2</v>
      </c>
      <c r="M11" s="62">
        <f t="shared" si="3"/>
        <v>9.9501977978080219E-3</v>
      </c>
      <c r="N11" s="62">
        <f t="shared" si="4"/>
        <v>3.3534274547571068E-2</v>
      </c>
      <c r="P11" s="90">
        <f t="shared" si="5"/>
        <v>174902738.74064356</v>
      </c>
      <c r="Q11" s="78">
        <f t="shared" si="6"/>
        <v>166330764.24261126</v>
      </c>
    </row>
    <row r="12" spans="2:17" ht="14.4" x14ac:dyDescent="0.3">
      <c r="B12" s="33">
        <v>6</v>
      </c>
      <c r="C12" s="38">
        <v>2000</v>
      </c>
      <c r="D12" s="17">
        <v>62</v>
      </c>
      <c r="E12" s="55">
        <v>0.02</v>
      </c>
      <c r="F12" s="40">
        <v>100000</v>
      </c>
      <c r="G12" s="41">
        <v>3</v>
      </c>
      <c r="H12" s="64">
        <f t="shared" si="0"/>
        <v>0.96403345290881404</v>
      </c>
      <c r="I12" s="72">
        <f t="shared" si="1"/>
        <v>181686050.78529641</v>
      </c>
      <c r="K12">
        <f t="shared" si="2"/>
        <v>3.5000000000000003E-2</v>
      </c>
      <c r="L12">
        <f t="shared" si="7"/>
        <v>-1.4070225260239608E-2</v>
      </c>
      <c r="M12" s="62">
        <f t="shared" si="3"/>
        <v>8.0900648594838011E-3</v>
      </c>
      <c r="N12" s="62">
        <f t="shared" si="4"/>
        <v>2.9019839599244198E-2</v>
      </c>
      <c r="P12" s="90">
        <f t="shared" si="5"/>
        <v>176730958.01394728</v>
      </c>
      <c r="Q12" s="78">
        <f t="shared" si="6"/>
        <v>171481871.82997501</v>
      </c>
    </row>
    <row r="13" spans="2:17" ht="15" thickBot="1" x14ac:dyDescent="0.35">
      <c r="B13" s="42">
        <v>7</v>
      </c>
      <c r="C13" s="43">
        <v>2500</v>
      </c>
      <c r="D13" s="44">
        <v>64</v>
      </c>
      <c r="E13" s="45">
        <v>2.5000000000000001E-2</v>
      </c>
      <c r="F13" s="46">
        <v>100000</v>
      </c>
      <c r="G13" s="47">
        <v>1</v>
      </c>
      <c r="H13" s="65">
        <f t="shared" si="0"/>
        <v>0.98674079836000372</v>
      </c>
      <c r="I13" s="72">
        <f t="shared" si="1"/>
        <v>240668487.40487897</v>
      </c>
      <c r="K13">
        <f t="shared" si="2"/>
        <v>3.5000000000000003E-2</v>
      </c>
      <c r="L13">
        <f t="shared" si="7"/>
        <v>-1.7695937354287612E-2</v>
      </c>
      <c r="M13" s="62">
        <f t="shared" si="3"/>
        <v>3.7098629625041467E-3</v>
      </c>
      <c r="N13" s="62">
        <f t="shared" si="4"/>
        <v>2.1013925608216539E-2</v>
      </c>
      <c r="P13" s="90">
        <f t="shared" si="5"/>
        <v>241555461.88698477</v>
      </c>
      <c r="Q13" s="78">
        <f t="shared" si="6"/>
        <v>239139907.26811492</v>
      </c>
    </row>
    <row r="14" spans="2:17" ht="15" thickBot="1" x14ac:dyDescent="0.35">
      <c r="H14" s="28" t="s">
        <v>42</v>
      </c>
      <c r="I14" s="70">
        <f>SUM(I7:I13)</f>
        <v>1905003947.9244103</v>
      </c>
      <c r="O14" s="28" t="s">
        <v>55</v>
      </c>
      <c r="P14" s="80">
        <f>SUM(P7:P13)</f>
        <v>1538320632.719795</v>
      </c>
      <c r="Q14" s="70">
        <f>SUM(Q7:Q13)</f>
        <v>1430651456.5012383</v>
      </c>
    </row>
    <row r="21" spans="2:21" ht="14.4" thickBot="1" x14ac:dyDescent="0.3">
      <c r="B21" s="272" t="s">
        <v>65</v>
      </c>
      <c r="C21" s="273"/>
      <c r="D21" s="273"/>
      <c r="E21" s="274"/>
      <c r="I21" s="272" t="s">
        <v>66</v>
      </c>
      <c r="J21" s="273"/>
      <c r="K21" s="273"/>
      <c r="L21" s="274"/>
      <c r="P21" s="272" t="s">
        <v>67</v>
      </c>
      <c r="Q21" s="273"/>
      <c r="R21" s="273"/>
      <c r="S21" s="274"/>
    </row>
    <row r="22" spans="2:21" ht="14.4" thickBot="1" x14ac:dyDescent="0.3">
      <c r="B22" s="60" t="s">
        <v>4</v>
      </c>
      <c r="C22" s="60" t="s">
        <v>5</v>
      </c>
      <c r="D22" s="60" t="s">
        <v>56</v>
      </c>
      <c r="E22" s="60" t="s">
        <v>6</v>
      </c>
      <c r="I22" s="60" t="s">
        <v>4</v>
      </c>
      <c r="J22" s="60" t="s">
        <v>5</v>
      </c>
      <c r="K22" s="60" t="s">
        <v>56</v>
      </c>
      <c r="L22" s="60" t="s">
        <v>6</v>
      </c>
      <c r="P22" s="60" t="s">
        <v>4</v>
      </c>
      <c r="Q22" s="60" t="s">
        <v>5</v>
      </c>
      <c r="R22" s="60" t="s">
        <v>56</v>
      </c>
      <c r="S22" s="60" t="s">
        <v>6</v>
      </c>
    </row>
    <row r="23" spans="2:21" ht="15.6" x14ac:dyDescent="0.3">
      <c r="B23">
        <v>3</v>
      </c>
      <c r="C23" s="81">
        <v>2.4E-2</v>
      </c>
      <c r="D23" s="81">
        <v>1.4999999999999999E-2</v>
      </c>
      <c r="E23">
        <v>550000000</v>
      </c>
      <c r="I23">
        <v>5</v>
      </c>
      <c r="J23" s="7">
        <v>3.3000000000000002E-2</v>
      </c>
      <c r="K23" s="7">
        <v>2.7E-2</v>
      </c>
      <c r="L23" s="25">
        <v>670000000</v>
      </c>
      <c r="P23">
        <v>8</v>
      </c>
      <c r="Q23" s="7">
        <v>4.8000000000000001E-2</v>
      </c>
      <c r="R23" s="7">
        <v>2.1999999999999999E-2</v>
      </c>
      <c r="S23" s="22">
        <v>720000000</v>
      </c>
    </row>
    <row r="24" spans="2:21" ht="14.4" thickBot="1" x14ac:dyDescent="0.3">
      <c r="B24" s="5"/>
      <c r="C24" s="3"/>
      <c r="I24" s="5"/>
      <c r="J24" s="3"/>
      <c r="P24" s="5"/>
      <c r="Q24" s="3"/>
    </row>
    <row r="25" spans="2:21" ht="14.4" thickBot="1" x14ac:dyDescent="0.3">
      <c r="B25" s="83" t="s">
        <v>57</v>
      </c>
      <c r="C25" s="83" t="s">
        <v>58</v>
      </c>
      <c r="D25" s="60" t="s">
        <v>59</v>
      </c>
      <c r="E25" s="60" t="s">
        <v>49</v>
      </c>
      <c r="F25" s="60" t="s">
        <v>60</v>
      </c>
      <c r="G25" s="60" t="s">
        <v>61</v>
      </c>
      <c r="I25" s="83" t="s">
        <v>57</v>
      </c>
      <c r="J25" s="83" t="s">
        <v>58</v>
      </c>
      <c r="K25" s="60" t="s">
        <v>59</v>
      </c>
      <c r="L25" s="60" t="s">
        <v>49</v>
      </c>
      <c r="M25" s="60" t="s">
        <v>60</v>
      </c>
      <c r="N25" s="60" t="s">
        <v>61</v>
      </c>
      <c r="P25" s="83" t="s">
        <v>57</v>
      </c>
      <c r="Q25" s="83" t="s">
        <v>58</v>
      </c>
      <c r="R25" s="60" t="s">
        <v>59</v>
      </c>
      <c r="S25" s="60" t="s">
        <v>49</v>
      </c>
      <c r="T25" s="60" t="s">
        <v>60</v>
      </c>
      <c r="U25" s="60" t="s">
        <v>61</v>
      </c>
    </row>
    <row r="26" spans="2:21" x14ac:dyDescent="0.25">
      <c r="B26">
        <v>1</v>
      </c>
      <c r="C26" s="84">
        <f>$M$3+$N$3*(1-EXP(-$B26/$P$3))/($B26/$P$3)+$O$3*((1-EXP(-$B26/$P$3))/($B26/$P$3)-EXP(-$B26/$P$3))</f>
        <v>2.1013925608216539E-2</v>
      </c>
      <c r="D26" s="85">
        <f>$C26+$D$23</f>
        <v>3.6013925608216535E-2</v>
      </c>
      <c r="E26" s="66">
        <f>EXP(-$D26*$B26)</f>
        <v>0.96462686037385847</v>
      </c>
      <c r="F26">
        <f>100*$C$23</f>
        <v>2.4</v>
      </c>
      <c r="G26" s="68">
        <f>$F26*$E26</f>
        <v>2.3151044648972601</v>
      </c>
      <c r="I26">
        <v>1</v>
      </c>
      <c r="J26" s="66">
        <f>$M$3+$N$3*(1-EXP(-$I26/$P$3))/($I26/$P$3)+$O$3*((1-EXP(-$I26/$P$3))/($I26/$P$3)-EXP(-$I26/$P$3))</f>
        <v>2.1013925608216539E-2</v>
      </c>
      <c r="K26" s="85">
        <f>$J26+$K$23</f>
        <v>4.8013925608216539E-2</v>
      </c>
      <c r="L26" s="67">
        <f>EXP(-$K26*$I26)</f>
        <v>0.95312051420222466</v>
      </c>
      <c r="M26">
        <f>100*$J$23</f>
        <v>3.3000000000000003</v>
      </c>
      <c r="N26" s="68">
        <f>$M26*$L26</f>
        <v>3.1452976968673414</v>
      </c>
      <c r="P26">
        <v>1</v>
      </c>
      <c r="Q26" s="66">
        <f>$M$3+$N$3*(1-EXP(-$P26/$P$3))/($P26/$P$3)+$O$3*((1-EXP(-$P26/$P$3))/($P26/$P$3)-EXP(-$P26/$P$3))</f>
        <v>2.1013925608216539E-2</v>
      </c>
      <c r="R26" s="85">
        <f>$Q26+$R$23</f>
        <v>4.3013925608216541E-2</v>
      </c>
      <c r="S26" s="67">
        <f>EXP(-$R26*$P26)</f>
        <v>0.95789805066118627</v>
      </c>
      <c r="T26">
        <f>100*$Q$23</f>
        <v>4.8</v>
      </c>
      <c r="U26" s="68">
        <f>$T26*$S26</f>
        <v>4.5979106431736936</v>
      </c>
    </row>
    <row r="27" spans="2:21" x14ac:dyDescent="0.25">
      <c r="B27">
        <v>2</v>
      </c>
      <c r="C27" s="84">
        <f>$M$3+$N$3*(1-EXP(-$B27/$P$3))/($B27/$P$3)+$O$3*((1-EXP(-$B27/$P$3))/($B27/$P$3)-EXP(-$B27/$P$3))</f>
        <v>2.5575507118678828E-2</v>
      </c>
      <c r="D27" s="85">
        <f>$C27+$D$23</f>
        <v>4.0575507118678827E-2</v>
      </c>
      <c r="E27" s="66">
        <f>EXP(-$D27*$B27)</f>
        <v>0.92205443758252104</v>
      </c>
      <c r="F27">
        <f>100*$C$23</f>
        <v>2.4</v>
      </c>
      <c r="G27" s="68">
        <f>$F27*$E27</f>
        <v>2.2129306501980506</v>
      </c>
      <c r="I27">
        <v>2</v>
      </c>
      <c r="J27" s="66">
        <f>$M$3+$N$3*(1-EXP(-$I27/$P$3))/($I27/$P$3)+$O$3*((1-EXP(-$I27/$P$3))/($I27/$P$3)-EXP(-$I27/$P$3))</f>
        <v>2.5575507118678828E-2</v>
      </c>
      <c r="K27" s="85">
        <f>$J27+$K$23</f>
        <v>5.2575507118678824E-2</v>
      </c>
      <c r="L27" s="67">
        <f>EXP(-$K27*$I27)</f>
        <v>0.90018857103068151</v>
      </c>
      <c r="M27">
        <f>100*$J$23</f>
        <v>3.3000000000000003</v>
      </c>
      <c r="N27" s="68">
        <f>$M27*$L27</f>
        <v>2.9706222844012493</v>
      </c>
      <c r="P27">
        <v>2</v>
      </c>
      <c r="Q27" s="66">
        <f t="shared" ref="Q27:Q33" si="8">$M$3+$N$3*(1-EXP(-$P27/$P$3))/($P27/$P$3)+$O$3*((1-EXP(-$P27/$P$3))/($P27/$P$3)-EXP(-$P27/$P$3))</f>
        <v>2.5575507118678828E-2</v>
      </c>
      <c r="R27" s="85">
        <f t="shared" ref="R27:R33" si="9">$Q27+$R$23</f>
        <v>4.7575507118678827E-2</v>
      </c>
      <c r="S27" s="67">
        <f t="shared" ref="S27:S33" si="10">EXP(-$R27*$P27)</f>
        <v>0.9092356165767983</v>
      </c>
      <c r="T27">
        <f t="shared" ref="T27:T32" si="11">100*$Q$23</f>
        <v>4.8</v>
      </c>
      <c r="U27" s="68">
        <f t="shared" ref="U27:U33" si="12">$T27*$S27</f>
        <v>4.3643309595686315</v>
      </c>
    </row>
    <row r="28" spans="2:21" ht="14.4" thickBot="1" x14ac:dyDescent="0.3">
      <c r="B28">
        <v>3</v>
      </c>
      <c r="C28" s="84">
        <f>$M$3+$N$3*(1-EXP(-$B28/$P$3))/($B28/$P$3)+$O$3*((1-EXP(-$B28/$P$3))/($B28/$P$3)-EXP(-$B28/$P$3))</f>
        <v>2.9019839599244198E-2</v>
      </c>
      <c r="D28" s="85">
        <f>$C28+$D$23</f>
        <v>4.4019839599244201E-2</v>
      </c>
      <c r="E28" s="66">
        <f>EXP(-$D28*$B28)</f>
        <v>0.87628883786912504</v>
      </c>
      <c r="F28">
        <f>100+100*$C$23</f>
        <v>102.4</v>
      </c>
      <c r="G28" s="68">
        <f>$F28*$E28</f>
        <v>89.731976997798412</v>
      </c>
      <c r="I28">
        <v>3</v>
      </c>
      <c r="J28" s="66">
        <f>$M$3+$N$3*(1-EXP(-$I28/$P$3))/($I28/$P$3)+$O$3*((1-EXP(-$I28/$P$3))/($I28/$P$3)-EXP(-$I28/$P$3))</f>
        <v>2.9019839599244198E-2</v>
      </c>
      <c r="K28" s="85">
        <f>$J28+$K$23</f>
        <v>5.6019839599244198E-2</v>
      </c>
      <c r="L28" s="67">
        <f>EXP(-$K28*$I28)</f>
        <v>0.84530352173805756</v>
      </c>
      <c r="M28">
        <f>100*$J$23</f>
        <v>3.3000000000000003</v>
      </c>
      <c r="N28" s="68">
        <f>$M28*$L28</f>
        <v>2.7895016217355901</v>
      </c>
      <c r="P28">
        <v>3</v>
      </c>
      <c r="Q28" s="66">
        <f t="shared" si="8"/>
        <v>2.9019839599244198E-2</v>
      </c>
      <c r="R28" s="85">
        <f t="shared" si="9"/>
        <v>5.1019839599244193E-2</v>
      </c>
      <c r="S28" s="67">
        <f t="shared" si="10"/>
        <v>0.85807864848197968</v>
      </c>
      <c r="T28">
        <f t="shared" si="11"/>
        <v>4.8</v>
      </c>
      <c r="U28" s="68">
        <f t="shared" si="12"/>
        <v>4.1187775127135025</v>
      </c>
    </row>
    <row r="29" spans="2:21" ht="16.2" thickBot="1" x14ac:dyDescent="0.35">
      <c r="C29" s="82"/>
      <c r="F29" s="28" t="s">
        <v>62</v>
      </c>
      <c r="G29" s="69">
        <f>SUM(G26:G28)</f>
        <v>94.260012112893719</v>
      </c>
      <c r="I29">
        <v>4</v>
      </c>
      <c r="J29" s="66">
        <f>$M$3+$N$3*(1-EXP(-$I29/$P$3))/($I29/$P$3)+$O$3*((1-EXP(-$I29/$P$3))/($I29/$P$3)-EXP(-$I29/$P$3))</f>
        <v>3.1606027941427889E-2</v>
      </c>
      <c r="K29" s="85">
        <f>$J29+$K$23</f>
        <v>5.8606027941427885E-2</v>
      </c>
      <c r="L29" s="67">
        <f>EXP(-$K29*$I29)</f>
        <v>0.7910262611999046</v>
      </c>
      <c r="M29">
        <f>100*$J$23</f>
        <v>3.3000000000000003</v>
      </c>
      <c r="N29" s="68">
        <f>$M29*$L29</f>
        <v>2.6103866619596854</v>
      </c>
      <c r="P29">
        <v>4</v>
      </c>
      <c r="Q29" s="66">
        <f t="shared" si="8"/>
        <v>3.1606027941427889E-2</v>
      </c>
      <c r="R29" s="85">
        <f t="shared" si="9"/>
        <v>5.3606027941427888E-2</v>
      </c>
      <c r="S29" s="67">
        <f t="shared" si="10"/>
        <v>0.80700605167249728</v>
      </c>
      <c r="T29">
        <f t="shared" si="11"/>
        <v>4.8</v>
      </c>
      <c r="U29" s="68">
        <f t="shared" si="12"/>
        <v>3.8736290480279867</v>
      </c>
    </row>
    <row r="30" spans="2:21" ht="14.4" thickBot="1" x14ac:dyDescent="0.3">
      <c r="I30">
        <v>5</v>
      </c>
      <c r="J30" s="66">
        <f>$M$3+$N$3*(1-EXP(-$I30/$P$3))/($I30/$P$3)+$O$3*((1-EXP(-$I30/$P$3))/($I30/$P$3)-EXP(-$I30/$P$3))</f>
        <v>3.3534274547571068E-2</v>
      </c>
      <c r="K30" s="85">
        <f>$J30+$K$23</f>
        <v>6.0534274547571071E-2</v>
      </c>
      <c r="L30" s="67">
        <f>EXP(-$K30*$I30)</f>
        <v>0.73884186005654318</v>
      </c>
      <c r="M30">
        <f>100*(1+$J$23)</f>
        <v>103.3</v>
      </c>
      <c r="N30" s="68">
        <f>$M30*$L30</f>
        <v>76.322364143840915</v>
      </c>
      <c r="P30">
        <v>5</v>
      </c>
      <c r="Q30" s="66">
        <f t="shared" si="8"/>
        <v>3.3534274547571068E-2</v>
      </c>
      <c r="R30" s="85">
        <f t="shared" si="9"/>
        <v>5.5534274547571066E-2</v>
      </c>
      <c r="S30" s="67">
        <f t="shared" si="10"/>
        <v>0.75754573079236787</v>
      </c>
      <c r="T30">
        <f t="shared" si="11"/>
        <v>4.8</v>
      </c>
      <c r="U30" s="68">
        <f t="shared" si="12"/>
        <v>3.6362195078033657</v>
      </c>
    </row>
    <row r="31" spans="2:21" ht="15" thickBot="1" x14ac:dyDescent="0.35">
      <c r="F31" s="28" t="s">
        <v>63</v>
      </c>
      <c r="G31" s="79">
        <f>$G$29*$E$23/100</f>
        <v>518430066.62091547</v>
      </c>
      <c r="M31" s="28" t="s">
        <v>62</v>
      </c>
      <c r="N31" s="69">
        <f>SUM(N26:N30)</f>
        <v>87.83817240880478</v>
      </c>
      <c r="P31">
        <v>6</v>
      </c>
      <c r="Q31" s="66">
        <f t="shared" si="8"/>
        <v>3.4959142793320658E-2</v>
      </c>
      <c r="R31" s="85">
        <f t="shared" si="9"/>
        <v>5.6959142793320656E-2</v>
      </c>
      <c r="S31" s="67">
        <f t="shared" si="10"/>
        <v>0.71052236311566774</v>
      </c>
      <c r="T31">
        <f t="shared" si="11"/>
        <v>4.8</v>
      </c>
      <c r="U31" s="68">
        <f t="shared" si="12"/>
        <v>3.4105073429552051</v>
      </c>
    </row>
    <row r="32" spans="2:21" ht="14.4" thickBot="1" x14ac:dyDescent="0.3">
      <c r="P32">
        <v>7</v>
      </c>
      <c r="Q32" s="66">
        <f t="shared" si="8"/>
        <v>3.599984960680204E-2</v>
      </c>
      <c r="R32" s="85">
        <f t="shared" si="9"/>
        <v>5.7999849606802038E-2</v>
      </c>
      <c r="S32" s="67">
        <f t="shared" si="10"/>
        <v>0.66631086888487401</v>
      </c>
      <c r="T32">
        <f t="shared" si="11"/>
        <v>4.8</v>
      </c>
      <c r="U32" s="68">
        <f t="shared" si="12"/>
        <v>3.1982921706473952</v>
      </c>
    </row>
    <row r="33" spans="2:21" ht="15" thickBot="1" x14ac:dyDescent="0.35">
      <c r="M33" s="28" t="s">
        <v>63</v>
      </c>
      <c r="N33" s="79">
        <f>$N$31*$L$23/100</f>
        <v>588515755.13899195</v>
      </c>
      <c r="P33">
        <v>8</v>
      </c>
      <c r="Q33" s="66">
        <f t="shared" si="8"/>
        <v>3.6748250462443968E-2</v>
      </c>
      <c r="R33" s="85">
        <f t="shared" si="9"/>
        <v>5.8748250462443967E-2</v>
      </c>
      <c r="S33" s="67">
        <f t="shared" si="10"/>
        <v>0.62501101606344667</v>
      </c>
      <c r="T33">
        <f>100*(1+$Q$23)</f>
        <v>104.80000000000001</v>
      </c>
      <c r="U33" s="68">
        <f t="shared" si="12"/>
        <v>65.501154483449213</v>
      </c>
    </row>
    <row r="34" spans="2:21" ht="15" thickBot="1" x14ac:dyDescent="0.35">
      <c r="T34" s="28" t="s">
        <v>62</v>
      </c>
      <c r="U34" s="69">
        <f>SUM(U26:U33)</f>
        <v>92.700821668338989</v>
      </c>
    </row>
    <row r="35" spans="2:21" ht="14.4" thickBot="1" x14ac:dyDescent="0.3"/>
    <row r="36" spans="2:21" ht="15" thickBot="1" x14ac:dyDescent="0.35">
      <c r="T36" s="28" t="s">
        <v>63</v>
      </c>
      <c r="U36" s="79">
        <f>$U$34*$S$23/100</f>
        <v>667445916.01204073</v>
      </c>
    </row>
    <row r="37" spans="2:21" ht="14.4" thickBot="1" x14ac:dyDescent="0.3">
      <c r="B37" s="268" t="s">
        <v>64</v>
      </c>
      <c r="C37" s="268"/>
      <c r="D37" s="268"/>
      <c r="E37" s="268"/>
      <c r="F37" s="70">
        <f>G31+N33+U36</f>
        <v>1774391737.7719483</v>
      </c>
    </row>
  </sheetData>
  <mergeCells count="7">
    <mergeCell ref="B37:E37"/>
    <mergeCell ref="H1:K1"/>
    <mergeCell ref="M1:P1"/>
    <mergeCell ref="K5:N5"/>
    <mergeCell ref="B21:E21"/>
    <mergeCell ref="I21:L21"/>
    <mergeCell ref="P21:S2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3AB69-059C-4742-B205-468D8472EBFC}">
  <sheetPr codeName="Sheet1"/>
  <dimension ref="A1:O28"/>
  <sheetViews>
    <sheetView topLeftCell="F1" zoomScale="116" workbookViewId="0">
      <selection activeCell="L13" sqref="L13"/>
    </sheetView>
  </sheetViews>
  <sheetFormatPr baseColWidth="10" defaultColWidth="11.19921875" defaultRowHeight="13.8" x14ac:dyDescent="0.25"/>
  <cols>
    <col min="1" max="1" width="76.296875" style="95" customWidth="1"/>
    <col min="2" max="2" width="19.296875" style="95" customWidth="1"/>
    <col min="3" max="3" width="11.296875" style="95" bestFit="1" customWidth="1"/>
    <col min="4" max="4" width="20.19921875" style="95" bestFit="1" customWidth="1"/>
    <col min="5" max="5" width="11.69921875" style="95" bestFit="1" customWidth="1"/>
    <col min="6" max="6" width="11.296875" style="95" bestFit="1" customWidth="1"/>
    <col min="7" max="7" width="15.296875" style="95" bestFit="1" customWidth="1"/>
    <col min="8" max="9" width="11.19921875" style="95"/>
    <col min="10" max="10" width="25.19921875" style="95" customWidth="1"/>
    <col min="11" max="15" width="18.296875" style="95" customWidth="1"/>
    <col min="16" max="16384" width="11.19921875" style="95"/>
  </cols>
  <sheetData>
    <row r="1" spans="1:15" ht="24.6" x14ac:dyDescent="0.4">
      <c r="A1" s="211" t="s">
        <v>250</v>
      </c>
    </row>
    <row r="3" spans="1:15" x14ac:dyDescent="0.25">
      <c r="A3" s="96" t="s">
        <v>95</v>
      </c>
      <c r="D3" s="96" t="s">
        <v>252</v>
      </c>
    </row>
    <row r="4" spans="1:15" x14ac:dyDescent="0.25">
      <c r="A4" s="97" t="s">
        <v>44</v>
      </c>
      <c r="B4" s="98">
        <f>Part1_Quest2_3_4!$M$3</f>
        <v>3.5000000000000003E-2</v>
      </c>
      <c r="D4" s="97" t="s">
        <v>36</v>
      </c>
      <c r="E4" s="99">
        <f>Part1_Quest2_3_4!$I$3</f>
        <v>0.99944170384800002</v>
      </c>
    </row>
    <row r="5" spans="1:15" x14ac:dyDescent="0.25">
      <c r="A5" s="97" t="s">
        <v>45</v>
      </c>
      <c r="B5" s="98">
        <f>Part1_Quest2_3_4!$N$3</f>
        <v>-0.02</v>
      </c>
      <c r="D5" s="97" t="s">
        <v>18</v>
      </c>
      <c r="E5" s="99">
        <f>Part1_Quest2_3_4!$J$3</f>
        <v>0.99973344111499995</v>
      </c>
    </row>
    <row r="6" spans="1:15" x14ac:dyDescent="0.25">
      <c r="A6" s="97" t="s">
        <v>46</v>
      </c>
      <c r="B6" s="98">
        <f>Part1_Quest2_3_4!$O$3</f>
        <v>3.5000000000000003E-2</v>
      </c>
      <c r="D6" s="97" t="s">
        <v>38</v>
      </c>
      <c r="E6" s="99">
        <f>Part1_Quest2_3_4!$K$3</f>
        <v>1.10107753603</v>
      </c>
    </row>
    <row r="7" spans="1:15" x14ac:dyDescent="0.25">
      <c r="A7" s="97" t="s">
        <v>47</v>
      </c>
      <c r="B7" s="100">
        <f>Part1_Quest2_3_4!$P$3</f>
        <v>4</v>
      </c>
    </row>
    <row r="9" spans="1:15" x14ac:dyDescent="0.25">
      <c r="A9" s="115" t="s">
        <v>251</v>
      </c>
      <c r="B9" s="115" t="s">
        <v>84</v>
      </c>
      <c r="C9" s="115" t="s">
        <v>85</v>
      </c>
      <c r="D9" s="115" t="s">
        <v>86</v>
      </c>
      <c r="E9" s="115" t="s">
        <v>87</v>
      </c>
      <c r="F9" s="115" t="s">
        <v>88</v>
      </c>
    </row>
    <row r="11" spans="1:15" x14ac:dyDescent="0.25">
      <c r="A11" s="102" t="s">
        <v>69</v>
      </c>
      <c r="B11" s="102" t="s">
        <v>16</v>
      </c>
      <c r="C11" s="102" t="s">
        <v>70</v>
      </c>
      <c r="D11" s="102" t="s">
        <v>71</v>
      </c>
      <c r="E11" s="102" t="s">
        <v>72</v>
      </c>
      <c r="F11" s="102" t="s">
        <v>19</v>
      </c>
      <c r="G11" s="102" t="s">
        <v>89</v>
      </c>
      <c r="H11" s="102" t="s">
        <v>73</v>
      </c>
      <c r="I11" s="102" t="s">
        <v>79</v>
      </c>
      <c r="J11" s="102" t="s">
        <v>80</v>
      </c>
      <c r="K11" s="102" t="s">
        <v>74</v>
      </c>
      <c r="L11" s="102" t="s">
        <v>75</v>
      </c>
      <c r="M11" s="102" t="s">
        <v>76</v>
      </c>
      <c r="N11" s="102" t="s">
        <v>77</v>
      </c>
      <c r="O11" s="102" t="s">
        <v>78</v>
      </c>
    </row>
    <row r="12" spans="1:15" x14ac:dyDescent="0.25">
      <c r="A12" s="95">
        <v>1</v>
      </c>
      <c r="B12" s="95">
        <f>Part1_Quest2_3_4!$C$7</f>
        <v>2500</v>
      </c>
      <c r="C12" s="95">
        <f>Part1_Quest2_3_4!$D$7</f>
        <v>52</v>
      </c>
      <c r="D12" s="95">
        <f>Part1_Quest2_3_4!$G$7</f>
        <v>13</v>
      </c>
      <c r="E12" s="103">
        <f>Part1_Quest2_3_4!$E$7</f>
        <v>5.0000000000000001E-3</v>
      </c>
      <c r="F12" s="104">
        <f>Part1_Quest2_3_4!$F$7</f>
        <v>200000</v>
      </c>
      <c r="G12" s="105">
        <f>Part1_Quest2_3_4!$H$7</f>
        <v>0.89876423905927738</v>
      </c>
      <c r="H12" s="103">
        <f>Part1_Quest2_3_4!$N$7</f>
        <v>3.807932945897409E-2</v>
      </c>
      <c r="I12" s="106">
        <f>EXP(-H12*D12)</f>
        <v>0.6095518384082047</v>
      </c>
      <c r="J12" s="107">
        <f>I12*F12*G12*B12</f>
        <v>273921697.10706687</v>
      </c>
      <c r="K12" s="103">
        <f>J12/SUM($J$12:$J$18)</f>
        <v>0.17806541190490663</v>
      </c>
      <c r="L12" s="104">
        <f>D12*J12</f>
        <v>3560982062.3918695</v>
      </c>
      <c r="M12" s="104">
        <f t="shared" ref="M12:M18" si="0">D12^2*J12</f>
        <v>46292766811.094299</v>
      </c>
      <c r="N12" s="108">
        <f>D12*K12</f>
        <v>2.3148503547637862</v>
      </c>
      <c r="O12" s="108">
        <f t="shared" ref="O12:O18" si="1">(D12-$B$22)^2*K12</f>
        <v>5.7739770169468283</v>
      </c>
    </row>
    <row r="13" spans="1:15" x14ac:dyDescent="0.25">
      <c r="A13" s="95">
        <v>2</v>
      </c>
      <c r="B13" s="95">
        <f>Part1_Quest2_3_4!$C$8</f>
        <v>2250</v>
      </c>
      <c r="C13" s="95">
        <f>Part1_Quest2_3_4!$D$8</f>
        <v>54</v>
      </c>
      <c r="D13" s="95">
        <f>Part1_Quest2_3_4!$G$8</f>
        <v>11</v>
      </c>
      <c r="E13" s="103">
        <f>Part1_Quest2_3_4!$E$8</f>
        <v>5.0000000000000001E-3</v>
      </c>
      <c r="F13" s="104">
        <f>Part1_Quest2_3_4!$F$8</f>
        <v>150000</v>
      </c>
      <c r="G13" s="105">
        <f>Part1_Quest2_3_4!$H$8</f>
        <v>0.90741488113796942</v>
      </c>
      <c r="H13" s="103">
        <f>Part1_Quest2_3_4!$N$8</f>
        <v>3.7868372887546839E-2</v>
      </c>
      <c r="I13" s="106">
        <f t="shared" ref="I13:I18" si="2">EXP(-H13*D13)</f>
        <v>0.65931616036619622</v>
      </c>
      <c r="J13" s="107">
        <f t="shared" ref="J13:J18" si="3">I13*F13*G13*B13</f>
        <v>201917237.1607241</v>
      </c>
      <c r="K13" s="103">
        <f t="shared" ref="K13:K18" si="4">J13/SUM($J$12:$J$18)</f>
        <v>0.13125822592896555</v>
      </c>
      <c r="L13" s="104">
        <f t="shared" ref="L13:L18" si="5">D13*J13</f>
        <v>2221089608.7679653</v>
      </c>
      <c r="M13" s="104">
        <f t="shared" si="0"/>
        <v>24431985696.447617</v>
      </c>
      <c r="N13" s="108">
        <f t="shared" ref="N13:N18" si="6">D13*K13</f>
        <v>1.4438404852186211</v>
      </c>
      <c r="O13" s="108">
        <f t="shared" si="1"/>
        <v>1.7914869691488411</v>
      </c>
    </row>
    <row r="14" spans="1:15" x14ac:dyDescent="0.25">
      <c r="A14" s="95">
        <v>3</v>
      </c>
      <c r="B14" s="95">
        <f>Part1_Quest2_3_4!$C$9</f>
        <v>2000</v>
      </c>
      <c r="C14" s="95">
        <f>Part1_Quest2_3_4!$D$9</f>
        <v>56</v>
      </c>
      <c r="D14" s="95">
        <f>Part1_Quest2_3_4!$G$9</f>
        <v>9</v>
      </c>
      <c r="E14" s="103">
        <f>Part1_Quest2_3_4!$E$9</f>
        <v>0.01</v>
      </c>
      <c r="F14" s="104">
        <f>Part1_Quest2_3_4!$F$9</f>
        <v>200000</v>
      </c>
      <c r="G14" s="105">
        <f>Part1_Quest2_3_4!$H$9</f>
        <v>0.91779668933085279</v>
      </c>
      <c r="H14" s="103">
        <f>Part1_Quest2_3_4!$N$9</f>
        <v>3.7275032309922324E-2</v>
      </c>
      <c r="I14" s="106">
        <f t="shared" si="2"/>
        <v>0.7149981735339952</v>
      </c>
      <c r="J14" s="107">
        <f t="shared" si="3"/>
        <v>262489182.61884293</v>
      </c>
      <c r="K14" s="103">
        <f t="shared" si="4"/>
        <v>0.17063359681703971</v>
      </c>
      <c r="L14" s="104">
        <f t="shared" si="5"/>
        <v>2362402643.5695863</v>
      </c>
      <c r="M14" s="104">
        <f t="shared" si="0"/>
        <v>21261623792.126278</v>
      </c>
      <c r="N14" s="108">
        <f t="shared" si="6"/>
        <v>1.5357023713533575</v>
      </c>
      <c r="O14" s="108">
        <f t="shared" si="1"/>
        <v>0.4898858416922996</v>
      </c>
    </row>
    <row r="15" spans="1:15" x14ac:dyDescent="0.25">
      <c r="A15" s="95">
        <v>4</v>
      </c>
      <c r="B15" s="95">
        <f>Part1_Quest2_3_4!$C$10</f>
        <v>2200</v>
      </c>
      <c r="C15" s="95">
        <f>Part1_Quest2_3_4!$D$10</f>
        <v>58</v>
      </c>
      <c r="D15" s="95">
        <f>Part1_Quest2_3_4!$G$10</f>
        <v>7</v>
      </c>
      <c r="E15" s="103">
        <f>Part1_Quest2_3_4!$E$10</f>
        <v>1.2500000000000001E-2</v>
      </c>
      <c r="F15" s="104">
        <f>Part1_Quest2_3_4!$F$10</f>
        <v>130000</v>
      </c>
      <c r="G15" s="105">
        <f>Part1_Quest2_3_4!$H$10</f>
        <v>0.93032202710388157</v>
      </c>
      <c r="H15" s="103">
        <f>Part1_Quest2_3_4!$N$10</f>
        <v>3.599984960680204E-2</v>
      </c>
      <c r="I15" s="106">
        <f t="shared" si="2"/>
        <v>0.77724555631562908</v>
      </c>
      <c r="J15" s="107">
        <f t="shared" si="3"/>
        <v>206803357.19158551</v>
      </c>
      <c r="K15" s="103">
        <f t="shared" si="4"/>
        <v>0.13443449485946973</v>
      </c>
      <c r="L15" s="104">
        <f t="shared" si="5"/>
        <v>1447623500.3410985</v>
      </c>
      <c r="M15" s="104">
        <f t="shared" si="0"/>
        <v>10133364502.38769</v>
      </c>
      <c r="N15" s="108">
        <f t="shared" si="6"/>
        <v>0.94104146401628808</v>
      </c>
      <c r="O15" s="108">
        <f t="shared" si="1"/>
        <v>1.2555267625659044E-2</v>
      </c>
    </row>
    <row r="16" spans="1:15" x14ac:dyDescent="0.25">
      <c r="A16" s="95">
        <v>5</v>
      </c>
      <c r="B16" s="95">
        <f>Part1_Quest2_3_4!$C$11</f>
        <v>1750</v>
      </c>
      <c r="C16" s="95">
        <f>Part1_Quest2_3_4!$D$11</f>
        <v>60</v>
      </c>
      <c r="D16" s="95">
        <f>Part1_Quest2_3_4!$G$11</f>
        <v>5</v>
      </c>
      <c r="E16" s="103">
        <f>Part1_Quest2_3_4!$E$11</f>
        <v>1.4999999999999999E-2</v>
      </c>
      <c r="F16" s="104">
        <f>Part1_Quest2_3_4!$F$11</f>
        <v>125000</v>
      </c>
      <c r="G16" s="105">
        <f>Part1_Quest2_3_4!$H$11</f>
        <v>0.9455125555482311</v>
      </c>
      <c r="H16" s="103">
        <f>Part1_Quest2_3_4!$N$11</f>
        <v>3.3534274547571068E-2</v>
      </c>
      <c r="I16" s="106">
        <f t="shared" si="2"/>
        <v>0.84563168665325994</v>
      </c>
      <c r="J16" s="107">
        <f t="shared" si="3"/>
        <v>174902738.74064356</v>
      </c>
      <c r="K16" s="103">
        <f t="shared" si="4"/>
        <v>0.11369719356322389</v>
      </c>
      <c r="L16" s="104">
        <f t="shared" si="5"/>
        <v>874513693.70321774</v>
      </c>
      <c r="M16" s="104">
        <f t="shared" si="0"/>
        <v>4372568468.5160894</v>
      </c>
      <c r="N16" s="108">
        <f t="shared" si="6"/>
        <v>0.56848596781611938</v>
      </c>
      <c r="O16" s="108">
        <f t="shared" si="1"/>
        <v>0.60439213727123875</v>
      </c>
    </row>
    <row r="17" spans="1:15" x14ac:dyDescent="0.25">
      <c r="A17" s="95">
        <v>6</v>
      </c>
      <c r="B17" s="95">
        <f>Part1_Quest2_3_4!$C$12</f>
        <v>2000</v>
      </c>
      <c r="C17" s="95">
        <f>Part1_Quest2_3_4!$D$12</f>
        <v>62</v>
      </c>
      <c r="D17" s="95">
        <f>Part1_Quest2_3_4!$G$12</f>
        <v>3</v>
      </c>
      <c r="E17" s="103">
        <f>Part1_Quest2_3_4!$E$12</f>
        <v>0.02</v>
      </c>
      <c r="F17" s="104">
        <f>Part1_Quest2_3_4!$F$12</f>
        <v>100000</v>
      </c>
      <c r="G17" s="105">
        <f>Part1_Quest2_3_4!$H$12</f>
        <v>0.96403345290881404</v>
      </c>
      <c r="H17" s="103">
        <f>Part1_Quest2_3_4!$N$12</f>
        <v>2.9019839599244198E-2</v>
      </c>
      <c r="I17" s="106">
        <f t="shared" si="2"/>
        <v>0.91662253773813751</v>
      </c>
      <c r="J17" s="107">
        <f t="shared" si="3"/>
        <v>176730958.01394728</v>
      </c>
      <c r="K17" s="103">
        <f t="shared" si="4"/>
        <v>0.11488564493962607</v>
      </c>
      <c r="L17" s="104">
        <f t="shared" si="5"/>
        <v>530192874.04184186</v>
      </c>
      <c r="M17" s="104">
        <f t="shared" si="0"/>
        <v>1590578622.1255255</v>
      </c>
      <c r="N17" s="108">
        <f t="shared" si="6"/>
        <v>0.34465693481887821</v>
      </c>
      <c r="O17" s="108">
        <f t="shared" si="1"/>
        <v>2.1297750481857731</v>
      </c>
    </row>
    <row r="18" spans="1:15" x14ac:dyDescent="0.25">
      <c r="A18" s="95">
        <v>7</v>
      </c>
      <c r="B18" s="95">
        <f>Part1_Quest2_3_4!$C$13</f>
        <v>2500</v>
      </c>
      <c r="C18" s="95">
        <f>Part1_Quest2_3_4!$D$13</f>
        <v>64</v>
      </c>
      <c r="D18" s="95">
        <f>Part1_Quest2_3_4!$G$13</f>
        <v>1</v>
      </c>
      <c r="E18" s="103">
        <f>Part1_Quest2_3_4!$E$13</f>
        <v>2.5000000000000001E-2</v>
      </c>
      <c r="F18" s="104">
        <f>Part1_Quest2_3_4!$F$13</f>
        <v>100000</v>
      </c>
      <c r="G18" s="105">
        <f>Part1_Quest2_3_4!$H$13</f>
        <v>0.98674079836000372</v>
      </c>
      <c r="H18" s="103">
        <f>Part1_Quest2_3_4!$N$13</f>
        <v>2.1013925608216539E-2</v>
      </c>
      <c r="I18" s="106">
        <f t="shared" si="2"/>
        <v>0.97920532844474673</v>
      </c>
      <c r="J18" s="107">
        <f t="shared" si="3"/>
        <v>241555461.88698474</v>
      </c>
      <c r="K18" s="103">
        <f t="shared" si="4"/>
        <v>0.15702543198676841</v>
      </c>
      <c r="L18" s="104">
        <f t="shared" si="5"/>
        <v>241555461.88698474</v>
      </c>
      <c r="M18" s="104">
        <f t="shared" si="0"/>
        <v>241555461.88698474</v>
      </c>
      <c r="N18" s="108">
        <f t="shared" si="6"/>
        <v>0.15702543198676841</v>
      </c>
      <c r="O18" s="108">
        <f t="shared" si="1"/>
        <v>6.2434299949431225</v>
      </c>
    </row>
    <row r="19" spans="1:15" x14ac:dyDescent="0.25">
      <c r="A19" s="109" t="s">
        <v>82</v>
      </c>
      <c r="J19" s="110">
        <f t="shared" ref="J19:O19" si="7">SUM(J12:J18)</f>
        <v>1538320632.719795</v>
      </c>
      <c r="K19" s="111">
        <f t="shared" si="7"/>
        <v>0.99999999999999989</v>
      </c>
      <c r="L19" s="112">
        <f t="shared" si="7"/>
        <v>11238359844.702564</v>
      </c>
      <c r="M19" s="112">
        <f t="shared" si="7"/>
        <v>108324443354.58447</v>
      </c>
      <c r="N19" s="113">
        <f t="shared" si="7"/>
        <v>7.3056030099738178</v>
      </c>
      <c r="O19" s="113">
        <f t="shared" si="7"/>
        <v>17.04550227581376</v>
      </c>
    </row>
    <row r="22" spans="1:15" x14ac:dyDescent="0.25">
      <c r="A22" s="114" t="s">
        <v>220</v>
      </c>
      <c r="B22" s="95">
        <f xml:space="preserve"> SUMPRODUCT(D12:D18, J12:J18) / SUM(J12:J18)</f>
        <v>7.3056030099738187</v>
      </c>
    </row>
    <row r="23" spans="1:15" x14ac:dyDescent="0.25">
      <c r="A23" s="115" t="s">
        <v>83</v>
      </c>
      <c r="B23" s="116">
        <f>J19</f>
        <v>1538320632.719795</v>
      </c>
      <c r="C23" s="117"/>
    </row>
    <row r="24" spans="1:15" x14ac:dyDescent="0.25">
      <c r="A24" s="115" t="s">
        <v>84</v>
      </c>
      <c r="B24" s="116">
        <f>L19</f>
        <v>11238359844.702564</v>
      </c>
      <c r="C24" s="117"/>
    </row>
    <row r="25" spans="1:15" x14ac:dyDescent="0.25">
      <c r="A25" s="115" t="s">
        <v>85</v>
      </c>
      <c r="B25" s="118">
        <f>L19/J19</f>
        <v>7.3056030099738187</v>
      </c>
      <c r="C25" s="117"/>
    </row>
    <row r="26" spans="1:15" x14ac:dyDescent="0.25">
      <c r="A26" s="115" t="s">
        <v>86</v>
      </c>
      <c r="B26" s="116">
        <f>M19</f>
        <v>108324443354.58447</v>
      </c>
      <c r="C26" s="117"/>
    </row>
    <row r="27" spans="1:15" x14ac:dyDescent="0.25">
      <c r="A27" s="115" t="s">
        <v>87</v>
      </c>
      <c r="B27" s="118">
        <f>M19/J19</f>
        <v>70.417337615152277</v>
      </c>
      <c r="C27" s="117"/>
    </row>
    <row r="28" spans="1:15" x14ac:dyDescent="0.25">
      <c r="A28" s="115" t="s">
        <v>88</v>
      </c>
      <c r="B28" s="119">
        <f>B27-B25^2</f>
        <v>17.04550227581376</v>
      </c>
      <c r="C28" s="11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C3D5F-AC49-4EDE-A31A-66679BB7FF99}">
  <sheetPr codeName="Sheet2"/>
  <dimension ref="A1:L92"/>
  <sheetViews>
    <sheetView topLeftCell="A39" zoomScale="40" workbookViewId="0">
      <selection activeCell="E89" sqref="E89"/>
    </sheetView>
  </sheetViews>
  <sheetFormatPr baseColWidth="10" defaultColWidth="11.19921875" defaultRowHeight="15.6" x14ac:dyDescent="0.3"/>
  <cols>
    <col min="1" max="1" width="44" style="126" bestFit="1" customWidth="1"/>
    <col min="2" max="2" width="30.19921875" style="126" bestFit="1" customWidth="1"/>
    <col min="3" max="3" width="24.5" style="126" bestFit="1" customWidth="1"/>
    <col min="4" max="4" width="13.69921875" style="126" bestFit="1" customWidth="1"/>
    <col min="5" max="6" width="24" style="126" bestFit="1" customWidth="1"/>
    <col min="7" max="7" width="16.5" style="126" bestFit="1" customWidth="1"/>
    <col min="8" max="8" width="20.5" style="126" bestFit="1" customWidth="1"/>
    <col min="9" max="9" width="16.296875" style="126" customWidth="1"/>
    <col min="10" max="10" width="13.19921875" style="126" bestFit="1" customWidth="1"/>
    <col min="11" max="11" width="11.19921875" style="126"/>
    <col min="12" max="12" width="12.19921875" style="126" bestFit="1" customWidth="1"/>
    <col min="13" max="16384" width="11.19921875" style="126"/>
  </cols>
  <sheetData>
    <row r="1" spans="1:12" x14ac:dyDescent="0.3">
      <c r="A1" s="125"/>
    </row>
    <row r="3" spans="1:12" x14ac:dyDescent="0.3">
      <c r="A3" s="125" t="s">
        <v>222</v>
      </c>
    </row>
    <row r="4" spans="1:12" x14ac:dyDescent="0.3">
      <c r="A4" s="126" t="s">
        <v>119</v>
      </c>
      <c r="B4" s="127">
        <f>Part1_Quest2_3_4!$M$3</f>
        <v>3.5000000000000003E-2</v>
      </c>
      <c r="C4" s="127"/>
      <c r="E4" s="127"/>
      <c r="G4" s="127"/>
      <c r="I4" s="128"/>
    </row>
    <row r="5" spans="1:12" x14ac:dyDescent="0.3">
      <c r="A5" s="126" t="s">
        <v>120</v>
      </c>
      <c r="B5" s="127">
        <f>Part1_Quest2_3_4!$N$3</f>
        <v>-0.02</v>
      </c>
      <c r="C5" s="127"/>
      <c r="E5" s="127"/>
      <c r="G5" s="127"/>
      <c r="I5" s="128"/>
    </row>
    <row r="6" spans="1:12" x14ac:dyDescent="0.3">
      <c r="A6" s="126" t="s">
        <v>121</v>
      </c>
      <c r="B6" s="127">
        <f>Part1_Quest2_3_4!$O$3</f>
        <v>3.5000000000000003E-2</v>
      </c>
    </row>
    <row r="7" spans="1:12" x14ac:dyDescent="0.3">
      <c r="A7" s="126" t="s">
        <v>122</v>
      </c>
      <c r="B7" s="128">
        <f>Part1_Quest2_3_4!$P$3</f>
        <v>4</v>
      </c>
    </row>
    <row r="8" spans="1:12" x14ac:dyDescent="0.3">
      <c r="B8" s="128"/>
    </row>
    <row r="9" spans="1:12" x14ac:dyDescent="0.3">
      <c r="B9" s="128"/>
    </row>
    <row r="10" spans="1:12" x14ac:dyDescent="0.3">
      <c r="B10" s="128"/>
    </row>
    <row r="11" spans="1:12" x14ac:dyDescent="0.3">
      <c r="B11" s="128"/>
    </row>
    <row r="12" spans="1:12" x14ac:dyDescent="0.3">
      <c r="A12" s="101" t="s">
        <v>96</v>
      </c>
      <c r="B12" s="129" t="s">
        <v>131</v>
      </c>
      <c r="C12" s="101">
        <f>Assets!C4</f>
        <v>3</v>
      </c>
      <c r="D12" s="129" t="s">
        <v>118</v>
      </c>
      <c r="E12" s="130">
        <f>Assets!C5</f>
        <v>2.4E-2</v>
      </c>
      <c r="F12" s="129" t="s">
        <v>97</v>
      </c>
      <c r="G12" s="130">
        <f>Assets!C6</f>
        <v>1.4999999999999999E-2</v>
      </c>
      <c r="H12" s="129" t="s">
        <v>98</v>
      </c>
      <c r="I12" s="131">
        <f>Assets!C7</f>
        <v>550000000</v>
      </c>
    </row>
    <row r="14" spans="1:12" x14ac:dyDescent="0.3">
      <c r="A14" s="132" t="s">
        <v>68</v>
      </c>
      <c r="B14" s="132" t="s">
        <v>99</v>
      </c>
      <c r="C14" s="132" t="s">
        <v>91</v>
      </c>
      <c r="D14" s="132" t="s">
        <v>100</v>
      </c>
      <c r="E14" s="132" t="s">
        <v>116</v>
      </c>
      <c r="F14" s="132" t="s">
        <v>133</v>
      </c>
      <c r="G14" s="132" t="s">
        <v>101</v>
      </c>
      <c r="H14" s="132" t="s">
        <v>123</v>
      </c>
      <c r="I14" s="132" t="s">
        <v>124</v>
      </c>
      <c r="J14" s="132" t="s">
        <v>102</v>
      </c>
      <c r="K14" s="132" t="s">
        <v>125</v>
      </c>
      <c r="L14" s="132" t="s">
        <v>126</v>
      </c>
    </row>
    <row r="15" spans="1:12" x14ac:dyDescent="0.3">
      <c r="A15" s="126">
        <v>1</v>
      </c>
      <c r="B15" s="133">
        <f>$B$4+$B$5*(1-EXP(-A15/$B$7))/(A15/$B$7)+$B$6*((1-EXP(-A15/$B$7))/(A15/$B$7)-EXP(-A15/$B$7))</f>
        <v>2.1013925608216539E-2</v>
      </c>
      <c r="C15" s="133">
        <f>$G$12</f>
        <v>1.4999999999999999E-2</v>
      </c>
      <c r="D15" s="133">
        <f>B15+C15</f>
        <v>3.6013925608216535E-2</v>
      </c>
      <c r="E15" s="134">
        <f>EXP(-D15*A15)</f>
        <v>0.96462686037385847</v>
      </c>
      <c r="F15" s="135">
        <f>$E$12*$I$12</f>
        <v>13200000</v>
      </c>
      <c r="G15" s="135">
        <f>E15*F15</f>
        <v>12733074.556934932</v>
      </c>
      <c r="H15" s="135">
        <f>A15*G15</f>
        <v>12733074.556934932</v>
      </c>
      <c r="I15" s="135">
        <f>A15^2*G15</f>
        <v>12733074.556934932</v>
      </c>
      <c r="J15" s="133">
        <f>G15/$G$18</f>
        <v>2.4560833517870726E-2</v>
      </c>
      <c r="K15" s="134">
        <f>A15*J15</f>
        <v>2.4560833517870726E-2</v>
      </c>
      <c r="L15" s="134">
        <f>(A15-$K$18)^2*J15</f>
        <v>9.1240460183754479E-2</v>
      </c>
    </row>
    <row r="16" spans="1:12" x14ac:dyDescent="0.3">
      <c r="A16" s="126">
        <v>2</v>
      </c>
      <c r="B16" s="133">
        <f>$B$4+$B$5*(1-EXP(-A16/$B$7))/(A16/$B$7)+$B$6*((1-EXP(-A16/$B$7))/(A16/$B$7)-EXP(-A16/$B$7))</f>
        <v>2.5575507118678828E-2</v>
      </c>
      <c r="C16" s="133">
        <f>$G$12</f>
        <v>1.4999999999999999E-2</v>
      </c>
      <c r="D16" s="133">
        <f>B16+C16</f>
        <v>4.0575507118678827E-2</v>
      </c>
      <c r="E16" s="134">
        <f>EXP(-D16*A16)</f>
        <v>0.92205443758252104</v>
      </c>
      <c r="F16" s="135">
        <f>$E$12*$I$12</f>
        <v>13200000</v>
      </c>
      <c r="G16" s="135">
        <f>E16*F16</f>
        <v>12171118.576089278</v>
      </c>
      <c r="H16" s="135">
        <f>A16*G16</f>
        <v>24342237.152178556</v>
      </c>
      <c r="I16" s="135">
        <f>A16^2*G16</f>
        <v>48684474.304357111</v>
      </c>
      <c r="J16" s="133">
        <f>G16/$G$18</f>
        <v>2.3476876361395529E-2</v>
      </c>
      <c r="K16" s="134">
        <f>A16*J16</f>
        <v>4.6953752722791058E-2</v>
      </c>
      <c r="L16" s="134">
        <f>(A16-$K$18)^2*J16</f>
        <v>2.0191838322262283E-2</v>
      </c>
    </row>
    <row r="17" spans="1:12" x14ac:dyDescent="0.3">
      <c r="A17" s="126">
        <v>3</v>
      </c>
      <c r="B17" s="133">
        <f>$B$4+$B$5*(1-EXP(-A17/$B$7))/(A17/$B$7)+$B$6*((1-EXP(-A17/$B$7))/(A17/$B$7)-EXP(-A17/$B$7))</f>
        <v>2.9019839599244198E-2</v>
      </c>
      <c r="C17" s="133">
        <f>$G$12</f>
        <v>1.4999999999999999E-2</v>
      </c>
      <c r="D17" s="133">
        <f>B17+C17</f>
        <v>4.4019839599244201E-2</v>
      </c>
      <c r="E17" s="134">
        <f>EXP(-D17*A17)</f>
        <v>0.87628883786912504</v>
      </c>
      <c r="F17" s="135">
        <f>(1+$E$12)*$I$12</f>
        <v>563200000</v>
      </c>
      <c r="G17" s="135">
        <f>E17*F17</f>
        <v>493525873.4878912</v>
      </c>
      <c r="H17" s="135">
        <f>A17*G17</f>
        <v>1480577620.4636736</v>
      </c>
      <c r="I17" s="135">
        <f>A17^2*G17</f>
        <v>4441732861.3910208</v>
      </c>
      <c r="J17" s="133">
        <f>G17/$G$18</f>
        <v>0.95196229012073375</v>
      </c>
      <c r="K17" s="134">
        <f>A17*J17</f>
        <v>2.8558868703622013</v>
      </c>
      <c r="L17" s="134">
        <f>(A17-$K$18)^2*J17</f>
        <v>5.0173634234756976E-3</v>
      </c>
    </row>
    <row r="18" spans="1:12" x14ac:dyDescent="0.3">
      <c r="A18" s="136" t="s">
        <v>82</v>
      </c>
      <c r="F18" s="135"/>
      <c r="G18" s="137">
        <f t="shared" ref="G18:L18" si="0">SUM(G15:G17)</f>
        <v>518430066.62091541</v>
      </c>
      <c r="H18" s="137">
        <f t="shared" si="0"/>
        <v>1517652932.1727872</v>
      </c>
      <c r="I18" s="137">
        <f t="shared" si="0"/>
        <v>4503150410.2523127</v>
      </c>
      <c r="J18" s="138">
        <f t="shared" si="0"/>
        <v>1</v>
      </c>
      <c r="K18" s="139">
        <f t="shared" si="0"/>
        <v>2.9274014566028632</v>
      </c>
      <c r="L18" s="139">
        <f t="shared" si="0"/>
        <v>0.11644966192949247</v>
      </c>
    </row>
    <row r="20" spans="1:12" x14ac:dyDescent="0.3">
      <c r="A20" s="101" t="s">
        <v>103</v>
      </c>
      <c r="B20" s="126" t="s">
        <v>132</v>
      </c>
      <c r="C20" s="140">
        <f>G18</f>
        <v>518430066.62091541</v>
      </c>
      <c r="E20" s="141"/>
      <c r="G20" s="126" t="s">
        <v>127</v>
      </c>
      <c r="H20" s="142">
        <f>H18/G18</f>
        <v>2.9274014566028632</v>
      </c>
      <c r="I20" s="126" t="s">
        <v>130</v>
      </c>
    </row>
    <row r="21" spans="1:12" x14ac:dyDescent="0.3">
      <c r="G21" s="126" t="s">
        <v>128</v>
      </c>
      <c r="H21" s="142">
        <f>I18/G18</f>
        <v>8.6861289500500565</v>
      </c>
      <c r="I21" s="126" t="s">
        <v>253</v>
      </c>
      <c r="J21" s="134">
        <f>H20^2+H22</f>
        <v>8.6861289500500565</v>
      </c>
      <c r="K21" s="212" t="s">
        <v>254</v>
      </c>
    </row>
    <row r="22" spans="1:12" x14ac:dyDescent="0.3">
      <c r="G22" s="126" t="s">
        <v>129</v>
      </c>
      <c r="H22" s="143">
        <f>H21-H20^2</f>
        <v>0.11644966192949191</v>
      </c>
    </row>
    <row r="23" spans="1:12" x14ac:dyDescent="0.3">
      <c r="G23" s="126" t="s">
        <v>105</v>
      </c>
      <c r="H23" s="141">
        <f>H20*C20</f>
        <v>1517652932.1727872</v>
      </c>
    </row>
    <row r="26" spans="1:12" x14ac:dyDescent="0.3">
      <c r="A26" s="122" t="s">
        <v>106</v>
      </c>
      <c r="B26" s="144" t="s">
        <v>131</v>
      </c>
      <c r="C26" s="122">
        <f>Assets!C11</f>
        <v>5</v>
      </c>
      <c r="D26" s="144" t="s">
        <v>118</v>
      </c>
      <c r="E26" s="145">
        <f>Assets!C12</f>
        <v>3.3000000000000002E-2</v>
      </c>
      <c r="F26" s="144" t="s">
        <v>97</v>
      </c>
      <c r="G26" s="145">
        <f>Assets!C13</f>
        <v>2.7E-2</v>
      </c>
      <c r="H26" s="144" t="s">
        <v>98</v>
      </c>
      <c r="I26" s="146">
        <f>Assets!C14</f>
        <v>670000000</v>
      </c>
    </row>
    <row r="28" spans="1:12" x14ac:dyDescent="0.3">
      <c r="A28" s="147" t="s">
        <v>68</v>
      </c>
      <c r="B28" s="148" t="s">
        <v>99</v>
      </c>
      <c r="C28" s="148" t="s">
        <v>91</v>
      </c>
      <c r="D28" s="148" t="s">
        <v>100</v>
      </c>
      <c r="E28" s="148" t="s">
        <v>116</v>
      </c>
      <c r="F28" s="148" t="s">
        <v>133</v>
      </c>
      <c r="G28" s="148" t="s">
        <v>101</v>
      </c>
      <c r="H28" s="132" t="s">
        <v>123</v>
      </c>
      <c r="I28" s="132" t="s">
        <v>124</v>
      </c>
      <c r="J28" s="132" t="s">
        <v>102</v>
      </c>
      <c r="K28" s="132" t="s">
        <v>125</v>
      </c>
      <c r="L28" s="132" t="s">
        <v>126</v>
      </c>
    </row>
    <row r="29" spans="1:12" x14ac:dyDescent="0.3">
      <c r="A29" s="126">
        <v>1</v>
      </c>
      <c r="B29" s="133">
        <f>$B$4+$B$5*(1-EXP(-A29/$B$7))/(A29/$B$7)+$B$6*((1-EXP(-A29/$B$7))/(A29/$B$7)-EXP(-A29/$B$7))</f>
        <v>2.1013925608216539E-2</v>
      </c>
      <c r="C29" s="133">
        <f>$G$26</f>
        <v>2.7E-2</v>
      </c>
      <c r="D29" s="133">
        <f>B29+C29</f>
        <v>4.8013925608216539E-2</v>
      </c>
      <c r="E29" s="134">
        <f>EXP(-D29*A29)</f>
        <v>0.95312051420222466</v>
      </c>
      <c r="F29" s="135">
        <f>$E$26*$I$26</f>
        <v>22110000</v>
      </c>
      <c r="G29" s="135">
        <f>E29*F29</f>
        <v>21073494.569011185</v>
      </c>
      <c r="H29" s="135">
        <f>A29*G29</f>
        <v>21073494.569011185</v>
      </c>
      <c r="I29" s="135">
        <f>A29^2*G29</f>
        <v>21073494.569011185</v>
      </c>
      <c r="J29" s="133">
        <f>G29/$G$34</f>
        <v>3.5807868158150125E-2</v>
      </c>
      <c r="K29" s="134">
        <f>A29*J29</f>
        <v>3.5807868158150125E-2</v>
      </c>
      <c r="L29" s="134">
        <f>(A29-$K$34)^2*J29</f>
        <v>0.48021271537504773</v>
      </c>
    </row>
    <row r="30" spans="1:12" x14ac:dyDescent="0.3">
      <c r="A30" s="126">
        <v>2</v>
      </c>
      <c r="B30" s="133">
        <f>$B$4+$B$5*(1-EXP(-A30/$B$7))/(A30/$B$7)+$B$6*((1-EXP(-A30/$B$7))/(A30/$B$7)-EXP(-A30/$B$7))</f>
        <v>2.5575507118678828E-2</v>
      </c>
      <c r="C30" s="133">
        <f>$G$26</f>
        <v>2.7E-2</v>
      </c>
      <c r="D30" s="133">
        <f>B30+C30</f>
        <v>5.2575507118678824E-2</v>
      </c>
      <c r="E30" s="134">
        <f>EXP(-D30*A30)</f>
        <v>0.90018857103068151</v>
      </c>
      <c r="F30" s="135">
        <f t="shared" ref="F30:F32" si="1">$E$26*$I$26</f>
        <v>22110000</v>
      </c>
      <c r="G30" s="135">
        <f>E30*F30</f>
        <v>19903169.305488367</v>
      </c>
      <c r="H30" s="135">
        <f>A30*G30</f>
        <v>39806338.610976733</v>
      </c>
      <c r="I30" s="135">
        <f>A30^2*G30</f>
        <v>79612677.221953467</v>
      </c>
      <c r="J30" s="133">
        <f>G30/$G$34</f>
        <v>3.3819263344594334E-2</v>
      </c>
      <c r="K30" s="134">
        <f>A30*J30</f>
        <v>6.7638526689188669E-2</v>
      </c>
      <c r="L30" s="134">
        <f>(A30-$K$34)^2*J30</f>
        <v>0.23966560322736349</v>
      </c>
    </row>
    <row r="31" spans="1:12" x14ac:dyDescent="0.3">
      <c r="A31" s="126">
        <v>3</v>
      </c>
      <c r="B31" s="133">
        <f>$B$4+$B$5*(1-EXP(-A31/$B$7))/(A31/$B$7)+$B$6*((1-EXP(-A31/$B$7))/(A31/$B$7)-EXP(-A31/$B$7))</f>
        <v>2.9019839599244198E-2</v>
      </c>
      <c r="C31" s="133">
        <f>$G$26</f>
        <v>2.7E-2</v>
      </c>
      <c r="D31" s="133">
        <f>B31+C31</f>
        <v>5.6019839599244198E-2</v>
      </c>
      <c r="E31" s="134">
        <f>EXP(-D31*A31)</f>
        <v>0.84530352173805756</v>
      </c>
      <c r="F31" s="135">
        <f t="shared" si="1"/>
        <v>22110000</v>
      </c>
      <c r="G31" s="135">
        <f>E31*F31</f>
        <v>18689660.865628451</v>
      </c>
      <c r="H31" s="135">
        <f>A31*G31</f>
        <v>56068982.596885353</v>
      </c>
      <c r="I31" s="135">
        <f>A31^2*G31</f>
        <v>168206947.79065606</v>
      </c>
      <c r="J31" s="133">
        <f>G31/$G$34</f>
        <v>3.1757282115946826E-2</v>
      </c>
      <c r="K31" s="134">
        <f>A31*J31</f>
        <v>9.5271846347840472E-2</v>
      </c>
      <c r="L31" s="134">
        <f>(A31-$K$34)^2*J31</f>
        <v>8.7729599975207267E-2</v>
      </c>
    </row>
    <row r="32" spans="1:12" x14ac:dyDescent="0.3">
      <c r="A32" s="126">
        <v>4</v>
      </c>
      <c r="B32" s="133">
        <f>$B$4+$B$5*(1-EXP(-A32/$B$7))/(A32/$B$7)+$B$6*((1-EXP(-A32/$B$7))/(A32/$B$7)-EXP(-A32/$B$7))</f>
        <v>3.1606027941427889E-2</v>
      </c>
      <c r="C32" s="133">
        <f>$G$26</f>
        <v>2.7E-2</v>
      </c>
      <c r="D32" s="133">
        <f>B32+C32</f>
        <v>5.8606027941427885E-2</v>
      </c>
      <c r="E32" s="134">
        <f>EXP(-D32*A32)</f>
        <v>0.7910262611999046</v>
      </c>
      <c r="F32" s="135">
        <f t="shared" si="1"/>
        <v>22110000</v>
      </c>
      <c r="G32" s="135">
        <f>E32*F32</f>
        <v>17489590.635129891</v>
      </c>
      <c r="H32" s="135">
        <f>A32*G32</f>
        <v>69958362.540519565</v>
      </c>
      <c r="I32" s="135">
        <f>A32^2*G32</f>
        <v>279833450.16207826</v>
      </c>
      <c r="J32" s="133">
        <f>G32/$G$34</f>
        <v>2.9718134956300889E-2</v>
      </c>
      <c r="K32" s="134">
        <f>A32*J32</f>
        <v>0.11887253982520356</v>
      </c>
      <c r="L32" s="134">
        <f>(A32-$K$34)^2*J32</f>
        <v>1.3026865068905056E-2</v>
      </c>
    </row>
    <row r="33" spans="1:12" x14ac:dyDescent="0.3">
      <c r="A33" s="126">
        <v>5</v>
      </c>
      <c r="B33" s="133">
        <f>$B$4+$B$5*(1-EXP(-A33/$B$7))/(A33/$B$7)+$B$6*((1-EXP(-A33/$B$7))/(A33/$B$7)-EXP(-A33/$B$7))</f>
        <v>3.3534274547571068E-2</v>
      </c>
      <c r="C33" s="133">
        <f>$G$26</f>
        <v>2.7E-2</v>
      </c>
      <c r="D33" s="133">
        <f>B33+C33</f>
        <v>6.0534274547571071E-2</v>
      </c>
      <c r="E33" s="134">
        <f>EXP(-D33*A33)</f>
        <v>0.73884186005654318</v>
      </c>
      <c r="F33" s="135">
        <f>(1+$E$26)*I26</f>
        <v>692110000</v>
      </c>
      <c r="G33" s="135">
        <f>E33*F33</f>
        <v>511359839.7637341</v>
      </c>
      <c r="H33" s="135">
        <f>A33*G33</f>
        <v>2556799198.8186703</v>
      </c>
      <c r="I33" s="135">
        <f>A33^2*G33</f>
        <v>12783995994.093353</v>
      </c>
      <c r="J33" s="133">
        <f>G33/$G$34</f>
        <v>0.86889745142500785</v>
      </c>
      <c r="K33" s="134">
        <f>A33*J33</f>
        <v>4.3444872571250395</v>
      </c>
      <c r="L33" s="134">
        <f>(A33-$K$34)^2*J33</f>
        <v>9.9220488101668766E-2</v>
      </c>
    </row>
    <row r="34" spans="1:12" x14ac:dyDescent="0.3">
      <c r="A34" s="148" t="s">
        <v>82</v>
      </c>
      <c r="F34" s="135"/>
      <c r="G34" s="149">
        <f t="shared" ref="G34:L34" si="2">SUM(G29:G33)</f>
        <v>588515755.13899195</v>
      </c>
      <c r="H34" s="149">
        <f t="shared" si="2"/>
        <v>2743706377.1360631</v>
      </c>
      <c r="I34" s="149">
        <f t="shared" si="2"/>
        <v>13332722563.837051</v>
      </c>
      <c r="J34" s="150">
        <f t="shared" si="2"/>
        <v>1</v>
      </c>
      <c r="K34" s="151">
        <f t="shared" si="2"/>
        <v>4.6620780381454221</v>
      </c>
      <c r="L34" s="151">
        <f t="shared" si="2"/>
        <v>0.91985527174819226</v>
      </c>
    </row>
    <row r="36" spans="1:12" x14ac:dyDescent="0.3">
      <c r="A36" s="122" t="s">
        <v>107</v>
      </c>
      <c r="B36" s="126" t="s">
        <v>132</v>
      </c>
      <c r="C36" s="140">
        <f>G34</f>
        <v>588515755.13899195</v>
      </c>
      <c r="E36" s="141"/>
      <c r="G36" s="126" t="s">
        <v>127</v>
      </c>
      <c r="H36" s="142">
        <f>H34/G34</f>
        <v>4.6620780381454221</v>
      </c>
      <c r="I36" s="126" t="s">
        <v>130</v>
      </c>
    </row>
    <row r="37" spans="1:12" x14ac:dyDescent="0.3">
      <c r="G37" s="126" t="s">
        <v>128</v>
      </c>
      <c r="H37" s="142">
        <f>I34/G34</f>
        <v>22.654826905506059</v>
      </c>
    </row>
    <row r="38" spans="1:12" x14ac:dyDescent="0.3">
      <c r="G38" s="126" t="s">
        <v>129</v>
      </c>
      <c r="H38" s="143">
        <f>H37-H36^2</f>
        <v>0.91985527174819026</v>
      </c>
    </row>
    <row r="39" spans="1:12" x14ac:dyDescent="0.3">
      <c r="G39" s="126" t="s">
        <v>105</v>
      </c>
      <c r="H39" s="141">
        <f>H36*C36</f>
        <v>2743706377.1360631</v>
      </c>
    </row>
    <row r="43" spans="1:12" x14ac:dyDescent="0.3">
      <c r="A43" s="123" t="s">
        <v>108</v>
      </c>
      <c r="B43" s="152" t="s">
        <v>131</v>
      </c>
      <c r="C43" s="123">
        <f>Assets!C18</f>
        <v>8</v>
      </c>
      <c r="D43" s="152" t="s">
        <v>118</v>
      </c>
      <c r="E43" s="153">
        <f>Assets!C19</f>
        <v>4.8000000000000001E-2</v>
      </c>
      <c r="F43" s="152" t="s">
        <v>97</v>
      </c>
      <c r="G43" s="153">
        <f>Assets!C20</f>
        <v>2.1999999999999999E-2</v>
      </c>
      <c r="H43" s="152" t="s">
        <v>98</v>
      </c>
      <c r="I43" s="154">
        <f>Assets!C21</f>
        <v>720000000</v>
      </c>
    </row>
    <row r="45" spans="1:12" x14ac:dyDescent="0.3">
      <c r="A45" s="147" t="s">
        <v>68</v>
      </c>
      <c r="B45" s="148" t="s">
        <v>99</v>
      </c>
      <c r="C45" s="148" t="s">
        <v>91</v>
      </c>
      <c r="D45" s="148" t="s">
        <v>100</v>
      </c>
      <c r="E45" s="148" t="s">
        <v>116</v>
      </c>
      <c r="F45" s="148" t="s">
        <v>133</v>
      </c>
      <c r="G45" s="148" t="s">
        <v>101</v>
      </c>
      <c r="H45" s="132" t="s">
        <v>123</v>
      </c>
      <c r="I45" s="132" t="s">
        <v>124</v>
      </c>
      <c r="J45" s="132" t="s">
        <v>102</v>
      </c>
      <c r="K45" s="132" t="s">
        <v>125</v>
      </c>
      <c r="L45" s="132" t="s">
        <v>126</v>
      </c>
    </row>
    <row r="46" spans="1:12" x14ac:dyDescent="0.3">
      <c r="A46" s="126">
        <v>1</v>
      </c>
      <c r="B46" s="133">
        <f t="shared" ref="B46:B53" si="3">$B$4+$B$5*(1-EXP(-A46/$B$7))/(A46/$B$7)+$B$6*((1-EXP(-A46/$B$7))/(A46/$B$7)-EXP(-A46/$B$7))</f>
        <v>2.1013925608216539E-2</v>
      </c>
      <c r="C46" s="133">
        <f t="shared" ref="C46:C53" si="4">$G$43</f>
        <v>2.1999999999999999E-2</v>
      </c>
      <c r="D46" s="133">
        <f t="shared" ref="D46:D53" si="5">B46+C46</f>
        <v>4.3013925608216541E-2</v>
      </c>
      <c r="E46" s="134">
        <f t="shared" ref="E46:E53" si="6">EXP(-D46*A46)</f>
        <v>0.95789805066118627</v>
      </c>
      <c r="F46" s="135">
        <f>$E$43*$I$43</f>
        <v>34560000</v>
      </c>
      <c r="G46" s="135">
        <f t="shared" ref="G46:G53" si="7">E46*F46</f>
        <v>33104956.630850598</v>
      </c>
      <c r="H46" s="135">
        <f t="shared" ref="H46:H53" si="8">A46*G46</f>
        <v>33104956.630850598</v>
      </c>
      <c r="I46" s="135">
        <f t="shared" ref="I46:I53" si="9">A46^2*G46</f>
        <v>33104956.630850598</v>
      </c>
      <c r="J46" s="133">
        <f t="shared" ref="J46:J53" si="10">G46/$G$54</f>
        <v>4.9599459426841984E-2</v>
      </c>
      <c r="K46" s="134">
        <f t="shared" ref="K46:K53" si="11">A46*J46</f>
        <v>4.9599459426841984E-2</v>
      </c>
      <c r="L46" s="134">
        <f t="shared" ref="L46:L53" si="12">(A46-$K$54)^2*J46</f>
        <v>1.6428880288233101</v>
      </c>
    </row>
    <row r="47" spans="1:12" x14ac:dyDescent="0.3">
      <c r="A47" s="126">
        <v>2</v>
      </c>
      <c r="B47" s="133">
        <f t="shared" si="3"/>
        <v>2.5575507118678828E-2</v>
      </c>
      <c r="C47" s="133">
        <f t="shared" si="4"/>
        <v>2.1999999999999999E-2</v>
      </c>
      <c r="D47" s="133">
        <f t="shared" si="5"/>
        <v>4.7575507118678827E-2</v>
      </c>
      <c r="E47" s="134">
        <f t="shared" si="6"/>
        <v>0.9092356165767983</v>
      </c>
      <c r="F47" s="135">
        <f t="shared" ref="F47:F52" si="13">$E$43*$I$43</f>
        <v>34560000</v>
      </c>
      <c r="G47" s="135">
        <f t="shared" si="7"/>
        <v>31423182.908894148</v>
      </c>
      <c r="H47" s="135">
        <f t="shared" si="8"/>
        <v>62846365.817788295</v>
      </c>
      <c r="I47" s="135">
        <f t="shared" si="9"/>
        <v>125692731.63557659</v>
      </c>
      <c r="J47" s="133">
        <f t="shared" si="10"/>
        <v>4.7079744073716491E-2</v>
      </c>
      <c r="K47" s="134">
        <f t="shared" si="11"/>
        <v>9.4159488147432982E-2</v>
      </c>
      <c r="L47" s="134">
        <f t="shared" si="12"/>
        <v>1.0645939424277764</v>
      </c>
    </row>
    <row r="48" spans="1:12" x14ac:dyDescent="0.3">
      <c r="A48" s="126">
        <v>3</v>
      </c>
      <c r="B48" s="133">
        <f t="shared" si="3"/>
        <v>2.9019839599244198E-2</v>
      </c>
      <c r="C48" s="133">
        <f t="shared" si="4"/>
        <v>2.1999999999999999E-2</v>
      </c>
      <c r="D48" s="133">
        <f t="shared" si="5"/>
        <v>5.1019839599244193E-2</v>
      </c>
      <c r="E48" s="134">
        <f t="shared" si="6"/>
        <v>0.85807864848197968</v>
      </c>
      <c r="F48" s="135">
        <f t="shared" si="13"/>
        <v>34560000</v>
      </c>
      <c r="G48" s="135">
        <f t="shared" si="7"/>
        <v>29655198.091537219</v>
      </c>
      <c r="H48" s="135">
        <f t="shared" si="8"/>
        <v>88965594.274611652</v>
      </c>
      <c r="I48" s="135">
        <f t="shared" si="9"/>
        <v>266896782.82383496</v>
      </c>
      <c r="J48" s="133">
        <f t="shared" si="10"/>
        <v>4.4430863055879781E-2</v>
      </c>
      <c r="K48" s="134">
        <f t="shared" si="11"/>
        <v>0.13329258916763934</v>
      </c>
      <c r="L48" s="134">
        <f t="shared" si="12"/>
        <v>0.62656552731457227</v>
      </c>
    </row>
    <row r="49" spans="1:12" x14ac:dyDescent="0.3">
      <c r="A49" s="126">
        <v>4</v>
      </c>
      <c r="B49" s="133">
        <f t="shared" si="3"/>
        <v>3.1606027941427889E-2</v>
      </c>
      <c r="C49" s="133">
        <f t="shared" si="4"/>
        <v>2.1999999999999999E-2</v>
      </c>
      <c r="D49" s="133">
        <f t="shared" si="5"/>
        <v>5.3606027941427888E-2</v>
      </c>
      <c r="E49" s="134">
        <f t="shared" si="6"/>
        <v>0.80700605167249728</v>
      </c>
      <c r="F49" s="135">
        <f t="shared" si="13"/>
        <v>34560000</v>
      </c>
      <c r="G49" s="135">
        <f t="shared" si="7"/>
        <v>27890129.145801507</v>
      </c>
      <c r="H49" s="135">
        <f t="shared" si="8"/>
        <v>111560516.58320603</v>
      </c>
      <c r="I49" s="135">
        <f t="shared" si="9"/>
        <v>446242066.33282411</v>
      </c>
      <c r="J49" s="133">
        <f t="shared" si="10"/>
        <v>4.1786350739013836E-2</v>
      </c>
      <c r="K49" s="134">
        <f t="shared" si="11"/>
        <v>0.16714540295605534</v>
      </c>
      <c r="L49" s="134">
        <f t="shared" si="12"/>
        <v>0.31722103004736069</v>
      </c>
    </row>
    <row r="50" spans="1:12" x14ac:dyDescent="0.3">
      <c r="A50" s="126">
        <v>5</v>
      </c>
      <c r="B50" s="133">
        <f t="shared" si="3"/>
        <v>3.3534274547571068E-2</v>
      </c>
      <c r="C50" s="133">
        <f t="shared" si="4"/>
        <v>2.1999999999999999E-2</v>
      </c>
      <c r="D50" s="133">
        <f t="shared" si="5"/>
        <v>5.5534274547571066E-2</v>
      </c>
      <c r="E50" s="134">
        <f t="shared" si="6"/>
        <v>0.75754573079236787</v>
      </c>
      <c r="F50" s="135">
        <f t="shared" si="13"/>
        <v>34560000</v>
      </c>
      <c r="G50" s="135">
        <f t="shared" si="7"/>
        <v>26180780.456184234</v>
      </c>
      <c r="H50" s="135">
        <f t="shared" si="8"/>
        <v>130903902.28092118</v>
      </c>
      <c r="I50" s="135">
        <f t="shared" si="9"/>
        <v>654519511.40460587</v>
      </c>
      <c r="J50" s="133">
        <f t="shared" si="10"/>
        <v>3.9225321225445829E-2</v>
      </c>
      <c r="K50" s="134">
        <f t="shared" si="11"/>
        <v>0.19612660612722915</v>
      </c>
      <c r="L50" s="134">
        <f t="shared" si="12"/>
        <v>0.12085179667356274</v>
      </c>
    </row>
    <row r="51" spans="1:12" x14ac:dyDescent="0.3">
      <c r="A51" s="126">
        <v>6</v>
      </c>
      <c r="B51" s="133">
        <f t="shared" si="3"/>
        <v>3.4959142793320658E-2</v>
      </c>
      <c r="C51" s="133">
        <f t="shared" si="4"/>
        <v>2.1999999999999999E-2</v>
      </c>
      <c r="D51" s="133">
        <f t="shared" si="5"/>
        <v>5.6959142793320656E-2</v>
      </c>
      <c r="E51" s="134">
        <f t="shared" si="6"/>
        <v>0.71052236311566774</v>
      </c>
      <c r="F51" s="135">
        <f t="shared" si="13"/>
        <v>34560000</v>
      </c>
      <c r="G51" s="135">
        <f t="shared" si="7"/>
        <v>24555652.869277477</v>
      </c>
      <c r="H51" s="135">
        <f t="shared" si="8"/>
        <v>147333917.21566486</v>
      </c>
      <c r="I51" s="135">
        <f t="shared" si="9"/>
        <v>884003503.29398918</v>
      </c>
      <c r="J51" s="133">
        <f t="shared" si="10"/>
        <v>3.6790475872556683E-2</v>
      </c>
      <c r="K51" s="134">
        <f t="shared" si="11"/>
        <v>0.2207428552353401</v>
      </c>
      <c r="L51" s="134">
        <f t="shared" si="12"/>
        <v>2.0986351903995223E-2</v>
      </c>
    </row>
    <row r="52" spans="1:12" x14ac:dyDescent="0.3">
      <c r="A52" s="126">
        <v>7</v>
      </c>
      <c r="B52" s="133">
        <f t="shared" si="3"/>
        <v>3.599984960680204E-2</v>
      </c>
      <c r="C52" s="133">
        <f t="shared" si="4"/>
        <v>2.1999999999999999E-2</v>
      </c>
      <c r="D52" s="133">
        <f t="shared" si="5"/>
        <v>5.7999849606802038E-2</v>
      </c>
      <c r="E52" s="134">
        <f t="shared" si="6"/>
        <v>0.66631086888487401</v>
      </c>
      <c r="F52" s="135">
        <f t="shared" si="13"/>
        <v>34560000</v>
      </c>
      <c r="G52" s="135">
        <f t="shared" si="7"/>
        <v>23027703.628661245</v>
      </c>
      <c r="H52" s="135">
        <f t="shared" si="8"/>
        <v>161193925.40062872</v>
      </c>
      <c r="I52" s="135">
        <f t="shared" si="9"/>
        <v>1128357477.8044009</v>
      </c>
      <c r="J52" s="133">
        <f t="shared" si="10"/>
        <v>3.4501227854161931E-2</v>
      </c>
      <c r="K52" s="134">
        <f t="shared" si="11"/>
        <v>0.24150859497913352</v>
      </c>
      <c r="L52" s="134">
        <f t="shared" si="12"/>
        <v>2.0664171305517049E-3</v>
      </c>
    </row>
    <row r="53" spans="1:12" x14ac:dyDescent="0.3">
      <c r="A53" s="126">
        <v>8</v>
      </c>
      <c r="B53" s="133">
        <f t="shared" si="3"/>
        <v>3.6748250462443968E-2</v>
      </c>
      <c r="C53" s="133">
        <f t="shared" si="4"/>
        <v>2.1999999999999999E-2</v>
      </c>
      <c r="D53" s="133">
        <f t="shared" si="5"/>
        <v>5.8748250462443967E-2</v>
      </c>
      <c r="E53" s="134">
        <f t="shared" si="6"/>
        <v>0.62501101606344667</v>
      </c>
      <c r="F53" s="135">
        <f>(1+$E$43)*I43</f>
        <v>754560000</v>
      </c>
      <c r="G53" s="135">
        <f t="shared" si="7"/>
        <v>471608312.28083432</v>
      </c>
      <c r="H53" s="135">
        <f t="shared" si="8"/>
        <v>3772866498.2466745</v>
      </c>
      <c r="I53" s="135">
        <f t="shared" si="9"/>
        <v>30182931985.973396</v>
      </c>
      <c r="J53" s="133">
        <f t="shared" si="10"/>
        <v>0.70658655775238344</v>
      </c>
      <c r="K53" s="134">
        <f t="shared" si="11"/>
        <v>5.6526924620190675</v>
      </c>
      <c r="L53" s="134">
        <f t="shared" si="12"/>
        <v>1.0947563138749887</v>
      </c>
    </row>
    <row r="54" spans="1:12" x14ac:dyDescent="0.3">
      <c r="A54" s="155" t="s">
        <v>82</v>
      </c>
      <c r="F54" s="135"/>
      <c r="G54" s="156">
        <f t="shared" ref="G54:L54" si="14">SUM(G46:G53)</f>
        <v>667445916.01204073</v>
      </c>
      <c r="H54" s="156">
        <f t="shared" si="14"/>
        <v>4508775676.450346</v>
      </c>
      <c r="I54" s="156">
        <f t="shared" si="14"/>
        <v>33721749015.899479</v>
      </c>
      <c r="J54" s="157">
        <f t="shared" si="14"/>
        <v>1</v>
      </c>
      <c r="K54" s="158">
        <f t="shared" si="14"/>
        <v>6.7552674580587402</v>
      </c>
      <c r="L54" s="158">
        <f t="shared" si="14"/>
        <v>4.8899294081961173</v>
      </c>
    </row>
    <row r="56" spans="1:12" x14ac:dyDescent="0.3">
      <c r="A56" s="123" t="s">
        <v>109</v>
      </c>
      <c r="B56" s="126" t="s">
        <v>132</v>
      </c>
      <c r="C56" s="140">
        <f>G54</f>
        <v>667445916.01204073</v>
      </c>
      <c r="E56" s="141"/>
      <c r="G56" s="126" t="s">
        <v>127</v>
      </c>
      <c r="H56" s="142">
        <f>H54/G54</f>
        <v>6.7552674580587402</v>
      </c>
      <c r="I56" s="126" t="s">
        <v>130</v>
      </c>
    </row>
    <row r="57" spans="1:12" x14ac:dyDescent="0.3">
      <c r="G57" s="126" t="s">
        <v>128</v>
      </c>
      <c r="H57" s="142">
        <f>I54/G54</f>
        <v>50.52356783810351</v>
      </c>
    </row>
    <row r="58" spans="1:12" x14ac:dyDescent="0.3">
      <c r="G58" s="126" t="s">
        <v>129</v>
      </c>
      <c r="H58" s="143">
        <f>H57-H56^2</f>
        <v>4.8899294081961173</v>
      </c>
    </row>
    <row r="59" spans="1:12" x14ac:dyDescent="0.3">
      <c r="G59" s="126" t="s">
        <v>105</v>
      </c>
      <c r="H59" s="141">
        <f>H56*C56</f>
        <v>4508775676.450346</v>
      </c>
    </row>
    <row r="62" spans="1:12" x14ac:dyDescent="0.3">
      <c r="A62" s="124" t="s">
        <v>134</v>
      </c>
    </row>
    <row r="64" spans="1:12" x14ac:dyDescent="0.3">
      <c r="A64" s="159" t="s">
        <v>90</v>
      </c>
      <c r="B64" s="159" t="s">
        <v>110</v>
      </c>
      <c r="C64" s="159" t="s">
        <v>117</v>
      </c>
      <c r="D64" s="159" t="s">
        <v>111</v>
      </c>
      <c r="E64" s="159" t="s">
        <v>112</v>
      </c>
      <c r="F64" s="159" t="s">
        <v>113</v>
      </c>
      <c r="G64" s="159" t="s">
        <v>114</v>
      </c>
      <c r="H64" s="159" t="s">
        <v>115</v>
      </c>
    </row>
    <row r="65" spans="1:8" x14ac:dyDescent="0.3">
      <c r="A65" s="125" t="s">
        <v>92</v>
      </c>
      <c r="B65" s="160">
        <f>C20</f>
        <v>518430066.62091541</v>
      </c>
      <c r="C65" s="133">
        <f>B65/$B$68</f>
        <v>0.29217339981073909</v>
      </c>
      <c r="D65" s="134">
        <f>H20</f>
        <v>2.9274014566028632</v>
      </c>
      <c r="E65" s="134">
        <f>H21</f>
        <v>8.6861289500500565</v>
      </c>
      <c r="F65" s="160">
        <f>H23</f>
        <v>1517652932.1727872</v>
      </c>
      <c r="G65" s="134">
        <f>C65*D65</f>
        <v>0.85530883618656828</v>
      </c>
      <c r="H65" s="134">
        <f>C65*E65</f>
        <v>2.5378558265306106</v>
      </c>
    </row>
    <row r="66" spans="1:8" x14ac:dyDescent="0.3">
      <c r="A66" s="125" t="s">
        <v>93</v>
      </c>
      <c r="B66" s="160">
        <f>C36</f>
        <v>588515755.13899195</v>
      </c>
      <c r="C66" s="133">
        <f>B66/$B$68</f>
        <v>0.33167183018896046</v>
      </c>
      <c r="D66" s="134">
        <f>H36</f>
        <v>4.6620780381454221</v>
      </c>
      <c r="E66" s="134">
        <f>H37</f>
        <v>22.654826905506059</v>
      </c>
      <c r="F66" s="160">
        <f>H39</f>
        <v>2743706377.1360631</v>
      </c>
      <c r="G66" s="134">
        <f>C66*D66</f>
        <v>1.5462799553954503</v>
      </c>
      <c r="H66" s="134">
        <f>C66*E66</f>
        <v>7.5139679023632979</v>
      </c>
    </row>
    <row r="67" spans="1:8" x14ac:dyDescent="0.3">
      <c r="A67" s="125" t="s">
        <v>94</v>
      </c>
      <c r="B67" s="160">
        <f>C56</f>
        <v>667445916.01204073</v>
      </c>
      <c r="C67" s="133">
        <f>B67/$B$68</f>
        <v>0.37615477000030062</v>
      </c>
      <c r="D67" s="134">
        <f>H56</f>
        <v>6.7552674580587402</v>
      </c>
      <c r="E67" s="134">
        <f>H57</f>
        <v>50.52356783810351</v>
      </c>
      <c r="F67" s="160">
        <f>H59</f>
        <v>4508775676.450346</v>
      </c>
      <c r="G67" s="134">
        <f>C67*D67</f>
        <v>2.5410260769766007</v>
      </c>
      <c r="H67" s="134">
        <f>C67*E67</f>
        <v>19.004681039736411</v>
      </c>
    </row>
    <row r="68" spans="1:8" x14ac:dyDescent="0.3">
      <c r="A68" s="159" t="s">
        <v>82</v>
      </c>
      <c r="B68" s="161">
        <f>SUM(B65:B67)</f>
        <v>1774391737.7719479</v>
      </c>
      <c r="C68" s="162">
        <f>SUM(C65:C67)</f>
        <v>1</v>
      </c>
      <c r="G68" s="163">
        <f>SUM(G65:G67)</f>
        <v>4.9426148685586195</v>
      </c>
      <c r="H68" s="163">
        <f>SUM(H65:H67)</f>
        <v>29.056504768630319</v>
      </c>
    </row>
    <row r="70" spans="1:8" x14ac:dyDescent="0.3">
      <c r="A70" s="124" t="s">
        <v>137</v>
      </c>
      <c r="B70" s="126" t="s">
        <v>104</v>
      </c>
      <c r="C70" s="164">
        <f>B68</f>
        <v>1774391737.7719479</v>
      </c>
    </row>
    <row r="71" spans="1:8" x14ac:dyDescent="0.3">
      <c r="B71" s="126" t="s">
        <v>136</v>
      </c>
      <c r="C71" s="142">
        <f>G68</f>
        <v>4.9426148685586195</v>
      </c>
      <c r="D71" s="126" t="s">
        <v>130</v>
      </c>
      <c r="F71" s="126" t="s">
        <v>135</v>
      </c>
      <c r="G71" s="165">
        <f>SUMPRODUCT(C65:C67,D65:D67)</f>
        <v>4.9426148685586195</v>
      </c>
    </row>
    <row r="72" spans="1:8" x14ac:dyDescent="0.3">
      <c r="B72" s="126" t="s">
        <v>81</v>
      </c>
      <c r="C72" s="142">
        <f>H68</f>
        <v>29.056504768630319</v>
      </c>
      <c r="F72" s="126" t="s">
        <v>135</v>
      </c>
      <c r="G72" s="126">
        <f>SUMPRODUCT(C65:C67,E65:E67)</f>
        <v>29.056504768630319</v>
      </c>
    </row>
    <row r="73" spans="1:8" x14ac:dyDescent="0.3">
      <c r="B73" s="126" t="s">
        <v>84</v>
      </c>
      <c r="C73" s="141">
        <f>C71*C70</f>
        <v>8770134985.7591972</v>
      </c>
    </row>
    <row r="74" spans="1:8" x14ac:dyDescent="0.3">
      <c r="B74" s="126" t="s">
        <v>86</v>
      </c>
      <c r="C74" s="135">
        <f>C72*C70</f>
        <v>51557621989.988838</v>
      </c>
    </row>
    <row r="75" spans="1:8" x14ac:dyDescent="0.3">
      <c r="A75" s="167" t="s">
        <v>138</v>
      </c>
    </row>
    <row r="77" spans="1:8" x14ac:dyDescent="0.3">
      <c r="A77" s="125" t="s">
        <v>221</v>
      </c>
      <c r="B77" s="168" t="s">
        <v>139</v>
      </c>
      <c r="C77" s="169">
        <f>Part1_Quest5!J19</f>
        <v>1538320632.719795</v>
      </c>
      <c r="D77" s="168"/>
    </row>
    <row r="78" spans="1:8" x14ac:dyDescent="0.3">
      <c r="B78" s="168" t="s">
        <v>84</v>
      </c>
      <c r="C78" s="169">
        <f>Part1_Quest5!B24</f>
        <v>11238359844.702564</v>
      </c>
      <c r="D78" s="168"/>
    </row>
    <row r="79" spans="1:8" x14ac:dyDescent="0.3">
      <c r="B79" s="168" t="s">
        <v>136</v>
      </c>
      <c r="C79" s="170">
        <f>Part1_Quest5!B25</f>
        <v>7.3056030099738187</v>
      </c>
      <c r="D79" s="168"/>
    </row>
    <row r="80" spans="1:8" x14ac:dyDescent="0.3">
      <c r="B80" s="168" t="s">
        <v>86</v>
      </c>
      <c r="C80" s="169">
        <f>Part1_Quest5!B26</f>
        <v>108324443354.58447</v>
      </c>
      <c r="D80" s="168"/>
    </row>
    <row r="81" spans="1:4" x14ac:dyDescent="0.3">
      <c r="B81" s="168" t="s">
        <v>81</v>
      </c>
      <c r="C81" s="170">
        <f>Part1_Quest5!B27</f>
        <v>70.417337615152277</v>
      </c>
      <c r="D81" s="168"/>
    </row>
    <row r="82" spans="1:4" x14ac:dyDescent="0.3">
      <c r="C82" s="166"/>
    </row>
    <row r="83" spans="1:4" x14ac:dyDescent="0.3">
      <c r="A83" s="136" t="s">
        <v>140</v>
      </c>
    </row>
    <row r="84" spans="1:4" x14ac:dyDescent="0.3">
      <c r="B84" s="168" t="s">
        <v>171</v>
      </c>
      <c r="C84" s="160">
        <f>C70</f>
        <v>1774391737.7719479</v>
      </c>
      <c r="D84" s="168"/>
    </row>
    <row r="85" spans="1:4" x14ac:dyDescent="0.3">
      <c r="B85" s="168" t="s">
        <v>172</v>
      </c>
      <c r="C85" s="160">
        <f>C77</f>
        <v>1538320632.719795</v>
      </c>
      <c r="D85" s="168"/>
    </row>
    <row r="86" spans="1:4" x14ac:dyDescent="0.3">
      <c r="B86" s="125" t="s">
        <v>173</v>
      </c>
      <c r="C86" s="164">
        <f>C84-C85</f>
        <v>236071105.05215287</v>
      </c>
      <c r="D86" s="168"/>
    </row>
    <row r="88" spans="1:4" x14ac:dyDescent="0.3">
      <c r="A88" s="136" t="s">
        <v>141</v>
      </c>
    </row>
    <row r="89" spans="1:4" x14ac:dyDescent="0.3">
      <c r="B89" s="168" t="s">
        <v>142</v>
      </c>
      <c r="C89" s="164">
        <f>C73-C78</f>
        <v>-2468224858.943367</v>
      </c>
      <c r="D89" s="168"/>
    </row>
    <row r="90" spans="1:4" x14ac:dyDescent="0.3">
      <c r="B90" s="168" t="s">
        <v>143</v>
      </c>
      <c r="C90" s="142">
        <f>C89/C86</f>
        <v>-10.455429767222407</v>
      </c>
      <c r="D90" s="168"/>
    </row>
    <row r="91" spans="1:4" x14ac:dyDescent="0.3">
      <c r="B91" s="168" t="s">
        <v>144</v>
      </c>
      <c r="C91" s="164">
        <f>C74-C80</f>
        <v>-56766821364.595634</v>
      </c>
      <c r="D91" s="168"/>
    </row>
    <row r="92" spans="1:4" x14ac:dyDescent="0.3">
      <c r="B92" s="168" t="s">
        <v>145</v>
      </c>
      <c r="C92" s="142">
        <f>C91/C86</f>
        <v>-240.46492836154047</v>
      </c>
      <c r="D92" s="16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8D003-B804-436A-A846-25F4A99066FF}">
  <sheetPr codeName="Sheet3"/>
  <dimension ref="A1:H155"/>
  <sheetViews>
    <sheetView topLeftCell="A27" workbookViewId="0">
      <selection activeCell="F32" sqref="F32"/>
    </sheetView>
  </sheetViews>
  <sheetFormatPr baseColWidth="10" defaultColWidth="11.19921875" defaultRowHeight="13.8" x14ac:dyDescent="0.25"/>
  <cols>
    <col min="1" max="1" width="77.796875" style="95" customWidth="1"/>
    <col min="2" max="2" width="24.5" style="95" customWidth="1"/>
    <col min="3" max="3" width="22.19921875" style="95" customWidth="1"/>
    <col min="4" max="4" width="25.796875" style="95" bestFit="1" customWidth="1"/>
    <col min="5" max="5" width="15.69921875" style="95" customWidth="1"/>
    <col min="6" max="6" width="16.796875" style="95" customWidth="1"/>
    <col min="7" max="7" width="12.796875" style="95" bestFit="1" customWidth="1"/>
    <col min="8" max="8" width="12.296875" style="95" bestFit="1" customWidth="1"/>
    <col min="9" max="16384" width="11.19921875" style="95"/>
  </cols>
  <sheetData>
    <row r="1" spans="1:2" ht="27.45" customHeight="1" x14ac:dyDescent="0.3">
      <c r="A1" s="178" t="s">
        <v>215</v>
      </c>
    </row>
    <row r="2" spans="1:2" ht="27.45" customHeight="1" x14ac:dyDescent="0.25"/>
    <row r="3" spans="1:2" x14ac:dyDescent="0.25">
      <c r="A3" s="120" t="s">
        <v>95</v>
      </c>
    </row>
    <row r="4" spans="1:2" ht="27.45" customHeight="1" x14ac:dyDescent="0.25">
      <c r="A4" s="95" t="s">
        <v>44</v>
      </c>
      <c r="B4" s="179">
        <f>Part1_Quest2_3_4!$M$3</f>
        <v>3.5000000000000003E-2</v>
      </c>
    </row>
    <row r="5" spans="1:2" x14ac:dyDescent="0.25">
      <c r="A5" s="95" t="s">
        <v>45</v>
      </c>
      <c r="B5" s="179">
        <f>Part1_Quest2_3_4!$N$3</f>
        <v>-0.02</v>
      </c>
    </row>
    <row r="6" spans="1:2" x14ac:dyDescent="0.25">
      <c r="A6" s="95" t="s">
        <v>46</v>
      </c>
      <c r="B6" s="179">
        <f>Part1_Quest2_3_4!$O$3</f>
        <v>3.5000000000000003E-2</v>
      </c>
    </row>
    <row r="7" spans="1:2" x14ac:dyDescent="0.25">
      <c r="A7" s="95" t="s">
        <v>47</v>
      </c>
      <c r="B7" s="179">
        <f>Part1_Quest2_3_4!$P$3</f>
        <v>4</v>
      </c>
    </row>
    <row r="9" spans="1:2" x14ac:dyDescent="0.25">
      <c r="A9" s="120" t="s">
        <v>146</v>
      </c>
    </row>
    <row r="10" spans="1:2" x14ac:dyDescent="0.25">
      <c r="A10" s="95" t="s">
        <v>154</v>
      </c>
      <c r="B10" s="180">
        <v>5</v>
      </c>
    </row>
    <row r="11" spans="1:2" x14ac:dyDescent="0.25">
      <c r="A11" s="95" t="s">
        <v>155</v>
      </c>
      <c r="B11" s="180">
        <v>10</v>
      </c>
    </row>
    <row r="12" spans="1:2" x14ac:dyDescent="0.25">
      <c r="A12" s="95" t="s">
        <v>156</v>
      </c>
      <c r="B12" s="95" t="s">
        <v>157</v>
      </c>
    </row>
    <row r="13" spans="1:2" x14ac:dyDescent="0.25">
      <c r="A13" s="95" t="s">
        <v>148</v>
      </c>
      <c r="B13" s="181" t="s">
        <v>158</v>
      </c>
    </row>
    <row r="15" spans="1:2" x14ac:dyDescent="0.25">
      <c r="A15" s="114" t="s">
        <v>166</v>
      </c>
    </row>
    <row r="16" spans="1:2" x14ac:dyDescent="0.25">
      <c r="A16" s="182"/>
    </row>
    <row r="17" spans="1:6" x14ac:dyDescent="0.25">
      <c r="A17" s="182"/>
    </row>
    <row r="19" spans="1:6" x14ac:dyDescent="0.25">
      <c r="A19" s="95" t="s">
        <v>160</v>
      </c>
      <c r="B19" s="105">
        <f>$B$4+$B$5*(1-EXP(-$B$10/$B$7))/($B$10/$B$7)+$B$6*((1-EXP(-$B$10/$B$7))/($B$10/$B$7)-EXP(-$B$10/$B$7))</f>
        <v>3.3534274547571068E-2</v>
      </c>
    </row>
    <row r="20" spans="1:6" x14ac:dyDescent="0.25">
      <c r="A20" s="95" t="s">
        <v>159</v>
      </c>
      <c r="B20" s="183">
        <f>EXP(-B19*$B$10)</f>
        <v>0.84563168665325994</v>
      </c>
    </row>
    <row r="21" spans="1:6" x14ac:dyDescent="0.25">
      <c r="A21" s="95" t="s">
        <v>167</v>
      </c>
      <c r="B21" s="184">
        <f>$B$10*B20</f>
        <v>4.2281584332662998</v>
      </c>
      <c r="C21" s="185"/>
    </row>
    <row r="23" spans="1:6" x14ac:dyDescent="0.25">
      <c r="A23" s="114" t="s">
        <v>165</v>
      </c>
    </row>
    <row r="25" spans="1:6" x14ac:dyDescent="0.25">
      <c r="A25" s="210" t="s">
        <v>68</v>
      </c>
      <c r="B25" s="120" t="s">
        <v>153</v>
      </c>
      <c r="C25" s="120" t="s">
        <v>149</v>
      </c>
      <c r="D25" s="120" t="s">
        <v>163</v>
      </c>
      <c r="E25" s="120" t="s">
        <v>101</v>
      </c>
      <c r="F25" s="120" t="s">
        <v>164</v>
      </c>
    </row>
    <row r="26" spans="1:6" x14ac:dyDescent="0.25">
      <c r="A26" s="95">
        <v>5.5</v>
      </c>
      <c r="B26" s="95">
        <f>$B$4+$B$5*(1-EXP(-A26/$B$7))/(A26/$B$7)+$B$6*((1-EXP(-A26/$B$7))/(A26/$B$7)-EXP(-A26/$B$7))</f>
        <v>3.4301454919873006E-2</v>
      </c>
      <c r="C26" s="95">
        <f>EXP(-B26*A26)</f>
        <v>0.8280696563909079</v>
      </c>
      <c r="D26" s="95">
        <f>$B$38*0.5</f>
        <v>2.1100327589148492E-2</v>
      </c>
      <c r="E26" s="95">
        <f>C26*D26</f>
        <v>1.7472541016481786E-2</v>
      </c>
      <c r="F26" s="95">
        <f>A26*E26</f>
        <v>9.6098975590649824E-2</v>
      </c>
    </row>
    <row r="27" spans="1:6" x14ac:dyDescent="0.25">
      <c r="A27" s="95">
        <v>6</v>
      </c>
      <c r="B27" s="95">
        <f t="shared" ref="B27:B35" si="0">$B$4+$B$5*(1-EXP(-A27/$B$7))/(A27/$B$7)+$B$6*((1-EXP(-A27/$B$7))/(A27/$B$7)-EXP(-A27/$B$7))</f>
        <v>3.4959142793320658E-2</v>
      </c>
      <c r="C27" s="95">
        <f t="shared" ref="C27:C34" si="1">EXP(-B27*A27)</f>
        <v>0.81078297957670364</v>
      </c>
      <c r="D27" s="95">
        <f t="shared" ref="D27:D34" si="2">$B$38*0.5</f>
        <v>2.1100327589148492E-2</v>
      </c>
      <c r="E27" s="95">
        <f t="shared" ref="E27:E34" si="3">C27*D27</f>
        <v>1.710778647277434E-2</v>
      </c>
      <c r="F27" s="95">
        <f t="shared" ref="F27:F34" si="4">A27*E27</f>
        <v>0.10264671883664604</v>
      </c>
    </row>
    <row r="28" spans="1:6" x14ac:dyDescent="0.25">
      <c r="A28" s="95">
        <v>6.5</v>
      </c>
      <c r="B28" s="95">
        <f t="shared" si="0"/>
        <v>3.5521214365968341E-2</v>
      </c>
      <c r="C28" s="95">
        <f t="shared" si="1"/>
        <v>0.79382845447290096</v>
      </c>
      <c r="D28" s="95">
        <f t="shared" si="2"/>
        <v>2.1100327589148492E-2</v>
      </c>
      <c r="E28" s="95">
        <f t="shared" si="3"/>
        <v>1.675004043896566E-2</v>
      </c>
      <c r="F28" s="95">
        <f t="shared" si="4"/>
        <v>0.10887526285327678</v>
      </c>
    </row>
    <row r="29" spans="1:6" x14ac:dyDescent="0.25">
      <c r="A29" s="95">
        <v>7</v>
      </c>
      <c r="B29" s="95">
        <f t="shared" si="0"/>
        <v>3.599984960680204E-2</v>
      </c>
      <c r="C29" s="95">
        <f t="shared" si="1"/>
        <v>0.77724555631562908</v>
      </c>
      <c r="D29" s="95">
        <f t="shared" si="2"/>
        <v>2.1100327589148492E-2</v>
      </c>
      <c r="E29" s="95">
        <f t="shared" si="3"/>
        <v>1.6400135855469736E-2</v>
      </c>
      <c r="F29" s="95">
        <f t="shared" si="4"/>
        <v>0.11480095098828816</v>
      </c>
    </row>
    <row r="30" spans="1:6" x14ac:dyDescent="0.25">
      <c r="A30" s="95">
        <v>7.5</v>
      </c>
      <c r="B30" s="95">
        <f t="shared" si="0"/>
        <v>3.6405736425668078E-2</v>
      </c>
      <c r="C30" s="95">
        <f t="shared" si="1"/>
        <v>0.76106004369179303</v>
      </c>
      <c r="D30" s="95">
        <f t="shared" si="2"/>
        <v>2.1100327589148492E-2</v>
      </c>
      <c r="E30" s="95">
        <f t="shared" si="3"/>
        <v>1.6058616236908498E-2</v>
      </c>
      <c r="F30" s="95">
        <f t="shared" si="4"/>
        <v>0.12043962177681374</v>
      </c>
    </row>
    <row r="31" spans="1:6" x14ac:dyDescent="0.25">
      <c r="A31" s="95">
        <v>8</v>
      </c>
      <c r="B31" s="95">
        <f t="shared" si="0"/>
        <v>3.6748250462443968E-2</v>
      </c>
      <c r="C31" s="95">
        <f t="shared" si="1"/>
        <v>0.74528692262997875</v>
      </c>
      <c r="D31" s="95">
        <f t="shared" si="2"/>
        <v>2.1100327589148492E-2</v>
      </c>
      <c r="E31" s="95">
        <f t="shared" si="3"/>
        <v>1.5725798215400918E-2</v>
      </c>
      <c r="F31" s="95">
        <f t="shared" si="4"/>
        <v>0.12580638572320735</v>
      </c>
    </row>
    <row r="32" spans="1:6" x14ac:dyDescent="0.25">
      <c r="A32" s="95">
        <v>8.5</v>
      </c>
      <c r="B32" s="95">
        <f t="shared" si="0"/>
        <v>3.7035613393487973E-2</v>
      </c>
      <c r="C32" s="95">
        <f t="shared" si="1"/>
        <v>0.72993286571357241</v>
      </c>
      <c r="D32" s="95">
        <f t="shared" si="2"/>
        <v>2.1100327589148492E-2</v>
      </c>
      <c r="E32" s="95">
        <f t="shared" si="3"/>
        <v>1.5401822584642313E-2</v>
      </c>
      <c r="F32" s="95">
        <f t="shared" si="4"/>
        <v>0.13091549196945965</v>
      </c>
    </row>
    <row r="33" spans="1:6" x14ac:dyDescent="0.25">
      <c r="A33" s="95">
        <v>9</v>
      </c>
      <c r="B33" s="95">
        <f t="shared" si="0"/>
        <v>3.7275032309922324E-2</v>
      </c>
      <c r="C33" s="95">
        <f t="shared" si="1"/>
        <v>0.7149981735339952</v>
      </c>
      <c r="D33" s="95">
        <f t="shared" si="2"/>
        <v>2.1100327589148492E-2</v>
      </c>
      <c r="E33" s="95">
        <f t="shared" si="3"/>
        <v>1.508669568721014E-2</v>
      </c>
      <c r="F33" s="95">
        <f t="shared" si="4"/>
        <v>0.13578026118489125</v>
      </c>
    </row>
    <row r="34" spans="1:6" x14ac:dyDescent="0.25">
      <c r="A34" s="95">
        <v>9.5</v>
      </c>
      <c r="B34" s="95">
        <f t="shared" si="0"/>
        <v>3.7472822419454169E-2</v>
      </c>
      <c r="C34" s="95">
        <f t="shared" si="1"/>
        <v>0.7004783550387067</v>
      </c>
      <c r="D34" s="95">
        <f t="shared" si="2"/>
        <v>2.1100327589148492E-2</v>
      </c>
      <c r="E34" s="95">
        <f t="shared" si="3"/>
        <v>1.4780322760424576E-2</v>
      </c>
      <c r="F34" s="95">
        <f t="shared" si="4"/>
        <v>0.14041306622403346</v>
      </c>
    </row>
    <row r="35" spans="1:6" x14ac:dyDescent="0.25">
      <c r="A35" s="95">
        <v>10</v>
      </c>
      <c r="B35" s="95">
        <f t="shared" si="0"/>
        <v>3.7634515056420154E-2</v>
      </c>
      <c r="C35" s="95">
        <f>EXP(-B35*A35)</f>
        <v>0.68636539275205899</v>
      </c>
      <c r="D35" s="120">
        <f>$B$38*0.5+1</f>
        <v>1.0211003275891486</v>
      </c>
      <c r="E35" s="95">
        <f>C35*D35</f>
        <v>0.70084792738498203</v>
      </c>
      <c r="F35" s="95">
        <f>A35*E35</f>
        <v>7.0084792738498205</v>
      </c>
    </row>
    <row r="36" spans="1:6" x14ac:dyDescent="0.25">
      <c r="A36" s="109" t="s">
        <v>82</v>
      </c>
      <c r="E36" s="186">
        <f>SUM(E26:E35)</f>
        <v>0.84563168665326005</v>
      </c>
      <c r="F36" s="186">
        <f>SUM(F26:F35)</f>
        <v>8.0842560089970874</v>
      </c>
    </row>
    <row r="37" spans="1:6" x14ac:dyDescent="0.25">
      <c r="A37" s="95" t="s">
        <v>161</v>
      </c>
      <c r="B37" s="105">
        <f>$B$4+$B$5*(1-EXP(-$B$11/$B$7))/($B$11/$B$7)+$B$6*((1-EXP(-$B$11/$B$7))/($B$11/$B$7)-EXP(-$B$11/$B$7))</f>
        <v>3.7634515056420154E-2</v>
      </c>
    </row>
    <row r="38" spans="1:6" x14ac:dyDescent="0.25">
      <c r="A38" s="95" t="s">
        <v>162</v>
      </c>
      <c r="B38" s="187">
        <f>(B20-EXP(-B37*$B$11))/(0.5*SUM(C26:C35))</f>
        <v>4.2200655178296985E-2</v>
      </c>
      <c r="C38" s="185"/>
    </row>
    <row r="40" spans="1:6" x14ac:dyDescent="0.25">
      <c r="A40" s="95" t="s">
        <v>216</v>
      </c>
      <c r="B40" s="184">
        <f>F36</f>
        <v>8.0842560089970874</v>
      </c>
      <c r="C40" s="185"/>
    </row>
    <row r="42" spans="1:6" x14ac:dyDescent="0.25">
      <c r="A42" s="114" t="s">
        <v>150</v>
      </c>
    </row>
    <row r="44" spans="1:6" x14ac:dyDescent="0.25">
      <c r="A44" s="95" t="s">
        <v>216</v>
      </c>
      <c r="B44" s="183">
        <f>B40</f>
        <v>8.0842560089970874</v>
      </c>
    </row>
    <row r="45" spans="1:6" x14ac:dyDescent="0.25">
      <c r="A45" s="95" t="s">
        <v>167</v>
      </c>
      <c r="B45" s="183">
        <f>B21</f>
        <v>4.2281584332662998</v>
      </c>
    </row>
    <row r="46" spans="1:6" x14ac:dyDescent="0.25">
      <c r="A46" s="120" t="s">
        <v>151</v>
      </c>
      <c r="B46" s="188">
        <f>B44-B45</f>
        <v>3.8560975757307876</v>
      </c>
      <c r="C46" s="117"/>
    </row>
    <row r="48" spans="1:6" x14ac:dyDescent="0.25">
      <c r="A48" s="95" t="s">
        <v>237</v>
      </c>
    </row>
    <row r="49" spans="1:6" x14ac:dyDescent="0.25">
      <c r="A49" s="95" t="s">
        <v>217</v>
      </c>
    </row>
    <row r="51" spans="1:6" x14ac:dyDescent="0.25">
      <c r="A51" s="95" t="s">
        <v>168</v>
      </c>
      <c r="B51" s="107">
        <f>Part1_Quest6_7!C73</f>
        <v>8770134985.7591972</v>
      </c>
      <c r="C51" s="117"/>
    </row>
    <row r="52" spans="1:6" x14ac:dyDescent="0.25">
      <c r="A52" s="95" t="s">
        <v>169</v>
      </c>
      <c r="B52" s="107">
        <f>Part1_Quest6_7!C78</f>
        <v>11238359844.702564</v>
      </c>
      <c r="C52" s="117"/>
    </row>
    <row r="53" spans="1:6" x14ac:dyDescent="0.25">
      <c r="A53" s="95" t="s">
        <v>170</v>
      </c>
      <c r="B53" s="189">
        <f>B51-B52</f>
        <v>-2468224858.943367</v>
      </c>
      <c r="C53" s="117"/>
    </row>
    <row r="55" spans="1:6" x14ac:dyDescent="0.25">
      <c r="A55" s="120" t="s">
        <v>152</v>
      </c>
      <c r="B55" s="190">
        <f>-B53/B46</f>
        <v>640083610.55946612</v>
      </c>
      <c r="C55" s="117"/>
    </row>
    <row r="56" spans="1:6" x14ac:dyDescent="0.25">
      <c r="B56" s="104"/>
      <c r="C56" s="117"/>
    </row>
    <row r="58" spans="1:6" ht="15.6" x14ac:dyDescent="0.3">
      <c r="A58" s="174" t="s">
        <v>174</v>
      </c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 s="88" t="s">
        <v>238</v>
      </c>
      <c r="B60" s="172">
        <v>2.5000000000000001E-3</v>
      </c>
      <c r="C60" s="94"/>
      <c r="D60"/>
      <c r="E60"/>
      <c r="F60"/>
    </row>
    <row r="61" spans="1:6" x14ac:dyDescent="0.25">
      <c r="A61"/>
      <c r="B61"/>
      <c r="C61"/>
      <c r="D61"/>
      <c r="E61"/>
      <c r="F61"/>
    </row>
    <row r="62" spans="1:6" ht="14.4" x14ac:dyDescent="0.3">
      <c r="A62" s="173"/>
      <c r="B62"/>
      <c r="C62"/>
      <c r="D62"/>
      <c r="E62"/>
      <c r="F62"/>
    </row>
    <row r="63" spans="1:6" ht="14.4" x14ac:dyDescent="0.3">
      <c r="A63" s="17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8" x14ac:dyDescent="0.25">
      <c r="A65" s="93" t="s">
        <v>175</v>
      </c>
      <c r="B65"/>
      <c r="C65"/>
      <c r="D65"/>
      <c r="E65"/>
      <c r="F65"/>
    </row>
    <row r="66" spans="1:8" x14ac:dyDescent="0.25">
      <c r="A66" s="88" t="s">
        <v>68</v>
      </c>
      <c r="B66" s="88" t="s">
        <v>99</v>
      </c>
      <c r="C66" s="88" t="s">
        <v>176</v>
      </c>
      <c r="D66" s="88" t="s">
        <v>177</v>
      </c>
      <c r="E66" s="88" t="s">
        <v>133</v>
      </c>
      <c r="F66" s="88" t="s">
        <v>178</v>
      </c>
      <c r="G66" s="120" t="s">
        <v>205</v>
      </c>
      <c r="H66" s="120" t="s">
        <v>204</v>
      </c>
    </row>
    <row r="67" spans="1:8" x14ac:dyDescent="0.25">
      <c r="A67">
        <v>1</v>
      </c>
      <c r="B67">
        <f>Part1_Quest6_7!B15</f>
        <v>2.1013925608216539E-2</v>
      </c>
      <c r="C67" s="81">
        <f>Assets!$C$6</f>
        <v>1.4999999999999999E-2</v>
      </c>
      <c r="D67" s="85">
        <f>B67+C67</f>
        <v>3.6013925608216535E-2</v>
      </c>
      <c r="E67" s="87">
        <f>Part1_Quest6_7!F15</f>
        <v>13200000</v>
      </c>
      <c r="F67" s="87">
        <f>E67*EXP(-D67*A67)</f>
        <v>12733074.556934932</v>
      </c>
      <c r="G67" s="104">
        <f>E67*EXP(-(D67+$B$60)*A67)</f>
        <v>12701281.62826225</v>
      </c>
      <c r="H67" s="104">
        <f>E67*EXP(-(D67-$B$60)*A67)</f>
        <v>12764947.067365041</v>
      </c>
    </row>
    <row r="68" spans="1:8" x14ac:dyDescent="0.25">
      <c r="A68">
        <v>2</v>
      </c>
      <c r="B68">
        <f>Part1_Quest6_7!B16</f>
        <v>2.5575507118678828E-2</v>
      </c>
      <c r="C68" s="81">
        <f>Assets!$C$6</f>
        <v>1.4999999999999999E-2</v>
      </c>
      <c r="D68" s="85">
        <f>B68+C68</f>
        <v>4.0575507118678827E-2</v>
      </c>
      <c r="E68" s="87">
        <f>Part1_Quest6_7!F16</f>
        <v>13200000</v>
      </c>
      <c r="F68" s="87">
        <f>E68*EXP(-D68*A68)</f>
        <v>12171118.576089278</v>
      </c>
      <c r="G68" s="104">
        <f>E68*EXP(-(D68+$B$60)*A68)</f>
        <v>12110414.868942702</v>
      </c>
      <c r="H68" s="104">
        <f>E68*EXP(-(D68-$B$60)*A68)</f>
        <v>12232126.56183417</v>
      </c>
    </row>
    <row r="69" spans="1:8" x14ac:dyDescent="0.25">
      <c r="A69">
        <v>3</v>
      </c>
      <c r="B69">
        <f>Part1_Quest6_7!B17</f>
        <v>2.9019839599244198E-2</v>
      </c>
      <c r="C69" s="81">
        <f>Assets!$C$6</f>
        <v>1.4999999999999999E-2</v>
      </c>
      <c r="D69" s="85">
        <f>B69+C69</f>
        <v>4.4019839599244201E-2</v>
      </c>
      <c r="E69" s="87">
        <f>Part1_Quest6_7!F17</f>
        <v>563200000</v>
      </c>
      <c r="F69" s="87">
        <f>E69*EXP(-D69*A69)</f>
        <v>493525873.4878912</v>
      </c>
      <c r="G69" s="104">
        <f>E69*EXP(-(D69+$B$60)*A69)</f>
        <v>489838275.21585286</v>
      </c>
      <c r="H69" s="104">
        <f>E69*EXP(-(D69-$B$60)*A69)</f>
        <v>497241232.72044241</v>
      </c>
    </row>
    <row r="70" spans="1:8" x14ac:dyDescent="0.25">
      <c r="A70" s="89" t="s">
        <v>179</v>
      </c>
      <c r="B70"/>
      <c r="C70"/>
      <c r="D70"/>
      <c r="E70"/>
      <c r="F70" s="92">
        <f>SUM(F67:F69)</f>
        <v>518430066.62091541</v>
      </c>
      <c r="G70" s="112">
        <f>SUM(G67:G69)</f>
        <v>514649971.71305782</v>
      </c>
      <c r="H70" s="112">
        <f>SUM(H67:H69)</f>
        <v>522238306.34964162</v>
      </c>
    </row>
    <row r="71" spans="1:8" x14ac:dyDescent="0.25">
      <c r="A71" s="94"/>
      <c r="B71"/>
      <c r="C71"/>
      <c r="D71"/>
      <c r="E71"/>
      <c r="F71" t="s">
        <v>202</v>
      </c>
      <c r="G71" s="189">
        <f>G70-F70</f>
        <v>-3780094.9078575969</v>
      </c>
      <c r="H71" s="107">
        <f>H70-F70</f>
        <v>3808239.7287262082</v>
      </c>
    </row>
    <row r="72" spans="1:8" x14ac:dyDescent="0.25">
      <c r="A72" s="94"/>
      <c r="B72"/>
      <c r="C72"/>
      <c r="D72"/>
      <c r="E72"/>
      <c r="F72"/>
    </row>
    <row r="73" spans="1:8" x14ac:dyDescent="0.25">
      <c r="A73"/>
      <c r="B73"/>
      <c r="C73"/>
      <c r="D73"/>
      <c r="E73"/>
      <c r="F73"/>
    </row>
    <row r="74" spans="1:8" x14ac:dyDescent="0.25">
      <c r="A74" s="93" t="s">
        <v>180</v>
      </c>
      <c r="B74"/>
      <c r="C74"/>
      <c r="D74"/>
      <c r="E74"/>
      <c r="F74"/>
    </row>
    <row r="75" spans="1:8" x14ac:dyDescent="0.25">
      <c r="A75" s="88" t="s">
        <v>68</v>
      </c>
      <c r="B75" s="88" t="s">
        <v>99</v>
      </c>
      <c r="C75" s="88" t="s">
        <v>176</v>
      </c>
      <c r="D75" s="88" t="s">
        <v>177</v>
      </c>
      <c r="E75" s="88" t="s">
        <v>133</v>
      </c>
      <c r="F75" s="88" t="s">
        <v>178</v>
      </c>
      <c r="G75" s="120" t="s">
        <v>205</v>
      </c>
      <c r="H75" s="120" t="s">
        <v>204</v>
      </c>
    </row>
    <row r="76" spans="1:8" x14ac:dyDescent="0.25">
      <c r="A76">
        <v>1</v>
      </c>
      <c r="B76" s="86">
        <f>Part1_Quest6_7!B29</f>
        <v>2.1013925608216539E-2</v>
      </c>
      <c r="C76" s="81">
        <f>Assets!$C$13</f>
        <v>2.7E-2</v>
      </c>
      <c r="D76" s="85">
        <f>B76+C76</f>
        <v>4.8013925608216539E-2</v>
      </c>
      <c r="E76" s="87">
        <f>Part1_Quest6_7!F29</f>
        <v>22110000</v>
      </c>
      <c r="F76" s="87">
        <f>E76*EXP(-D76*A76)</f>
        <v>21073494.569011185</v>
      </c>
      <c r="G76" s="104">
        <f>E76*EXP(-(D76+$B$60)*A76)</f>
        <v>21020876.632414576</v>
      </c>
      <c r="H76" s="104">
        <f>E76*EXP(-(D76-$B$60)*A76)</f>
        <v>21126244.215017449</v>
      </c>
    </row>
    <row r="77" spans="1:8" x14ac:dyDescent="0.25">
      <c r="A77">
        <v>2</v>
      </c>
      <c r="B77" s="86">
        <f>Part1_Quest6_7!B30</f>
        <v>2.5575507118678828E-2</v>
      </c>
      <c r="C77" s="81">
        <f>Assets!$C$13</f>
        <v>2.7E-2</v>
      </c>
      <c r="D77" s="85">
        <f>B77+C77</f>
        <v>5.2575507118678824E-2</v>
      </c>
      <c r="E77" s="87">
        <f>Part1_Quest6_7!F30</f>
        <v>22110000</v>
      </c>
      <c r="F77" s="87">
        <f>E77*EXP(-D77*A77)</f>
        <v>19903169.305488367</v>
      </c>
      <c r="G77" s="104">
        <f>E77*EXP(-(D77+$B$60)*A77)</f>
        <v>19803901.834445678</v>
      </c>
      <c r="H77" s="104">
        <f>E77*EXP(-(D77-$B$60)*A77)</f>
        <v>20002934.356800318</v>
      </c>
    </row>
    <row r="78" spans="1:8" x14ac:dyDescent="0.25">
      <c r="A78">
        <v>3</v>
      </c>
      <c r="B78" s="86">
        <f>Part1_Quest6_7!B31</f>
        <v>2.9019839599244198E-2</v>
      </c>
      <c r="C78" s="81">
        <f>Assets!$C$13</f>
        <v>2.7E-2</v>
      </c>
      <c r="D78" s="85">
        <f>B78+C78</f>
        <v>5.6019839599244198E-2</v>
      </c>
      <c r="E78" s="87">
        <f>Part1_Quest6_7!F31</f>
        <v>22110000</v>
      </c>
      <c r="F78" s="87">
        <f>E78*EXP(-D78*A78)</f>
        <v>18689660.865628451</v>
      </c>
      <c r="G78" s="104">
        <f>E78*EXP(-(D78+$B$60)*A78)</f>
        <v>18550012.744191583</v>
      </c>
      <c r="H78" s="104">
        <f>E78*EXP(-(D78-$B$60)*A78)</f>
        <v>18830360.285416961</v>
      </c>
    </row>
    <row r="79" spans="1:8" x14ac:dyDescent="0.25">
      <c r="A79">
        <v>4</v>
      </c>
      <c r="B79" s="86">
        <f>Part1_Quest6_7!B32</f>
        <v>3.1606027941427889E-2</v>
      </c>
      <c r="C79" s="81">
        <f>Assets!$C$13</f>
        <v>2.7E-2</v>
      </c>
      <c r="D79" s="85">
        <f>B79+C79</f>
        <v>5.8606027941427885E-2</v>
      </c>
      <c r="E79" s="87">
        <f>Part1_Quest6_7!F32</f>
        <v>22110000</v>
      </c>
      <c r="F79" s="87">
        <f>E79*EXP(-D79*A79)</f>
        <v>17489590.635129891</v>
      </c>
      <c r="G79" s="104">
        <f>E79*EXP(-(D79+$B$60)*A79)</f>
        <v>17315566.300651357</v>
      </c>
      <c r="H79" s="104">
        <f>E79*EXP(-(D79-$B$60)*A79)</f>
        <v>17665363.943246648</v>
      </c>
    </row>
    <row r="80" spans="1:8" x14ac:dyDescent="0.25">
      <c r="A80">
        <v>5</v>
      </c>
      <c r="B80" s="86">
        <f>Part1_Quest6_7!B33</f>
        <v>3.3534274547571068E-2</v>
      </c>
      <c r="C80" s="81">
        <f>Assets!$C$13</f>
        <v>2.7E-2</v>
      </c>
      <c r="D80" s="85">
        <f>B80+C80</f>
        <v>6.0534274547571071E-2</v>
      </c>
      <c r="E80" s="87">
        <f>Part1_Quest6_7!F33</f>
        <v>692110000</v>
      </c>
      <c r="F80" s="87">
        <f>E80*EXP(-D80*A80)</f>
        <v>511359839.7637341</v>
      </c>
      <c r="G80" s="104">
        <f>E80*EXP(-(D80+$B$60)*A80)</f>
        <v>505007625.81477225</v>
      </c>
      <c r="H80" s="104">
        <f>E80*EXP(-(D80-$B$60)*A80)</f>
        <v>517791954.72802889</v>
      </c>
    </row>
    <row r="81" spans="1:8" x14ac:dyDescent="0.25">
      <c r="A81" s="89" t="s">
        <v>181</v>
      </c>
      <c r="B81"/>
      <c r="C81"/>
      <c r="D81"/>
      <c r="E81"/>
      <c r="F81" s="92">
        <f>SUM(F76:F80)</f>
        <v>588515755.13899195</v>
      </c>
      <c r="G81" s="112">
        <f>SUM(G76:G80)</f>
        <v>581697983.32647538</v>
      </c>
      <c r="H81" s="112">
        <f>SUM(H76:H80)</f>
        <v>595416857.52851033</v>
      </c>
    </row>
    <row r="82" spans="1:8" x14ac:dyDescent="0.25">
      <c r="A82" s="94"/>
      <c r="B82"/>
      <c r="C82"/>
      <c r="D82"/>
      <c r="E82" t="s">
        <v>202</v>
      </c>
      <c r="F82"/>
      <c r="G82" s="189">
        <f>G81-F81</f>
        <v>-6817771.8125165701</v>
      </c>
      <c r="H82" s="107">
        <f>H81-F81</f>
        <v>6901102.3895183802</v>
      </c>
    </row>
    <row r="83" spans="1:8" x14ac:dyDescent="0.25">
      <c r="A83" s="94"/>
      <c r="B83"/>
      <c r="C83"/>
      <c r="D83"/>
      <c r="E83"/>
      <c r="F83"/>
    </row>
    <row r="84" spans="1:8" x14ac:dyDescent="0.25">
      <c r="A84"/>
      <c r="B84"/>
      <c r="C84"/>
      <c r="D84"/>
      <c r="E84"/>
      <c r="F84"/>
    </row>
    <row r="85" spans="1:8" x14ac:dyDescent="0.25">
      <c r="A85" s="93" t="s">
        <v>182</v>
      </c>
      <c r="B85"/>
      <c r="C85"/>
      <c r="D85"/>
      <c r="E85"/>
      <c r="F85"/>
    </row>
    <row r="86" spans="1:8" x14ac:dyDescent="0.25">
      <c r="A86" s="88" t="s">
        <v>68</v>
      </c>
      <c r="B86" s="88" t="s">
        <v>99</v>
      </c>
      <c r="C86" s="88" t="s">
        <v>176</v>
      </c>
      <c r="D86" s="88" t="s">
        <v>177</v>
      </c>
      <c r="E86" s="88" t="s">
        <v>133</v>
      </c>
      <c r="F86" s="88" t="s">
        <v>178</v>
      </c>
      <c r="G86" s="120" t="s">
        <v>203</v>
      </c>
      <c r="H86" s="120" t="s">
        <v>204</v>
      </c>
    </row>
    <row r="87" spans="1:8" x14ac:dyDescent="0.25">
      <c r="A87">
        <v>1</v>
      </c>
      <c r="B87">
        <f>Part1_Quest6_7!B46</f>
        <v>2.1013925608216539E-2</v>
      </c>
      <c r="C87" s="81">
        <f>Assets!$C$20</f>
        <v>2.1999999999999999E-2</v>
      </c>
      <c r="D87" s="85">
        <f t="shared" ref="D87:D94" si="5">B87+C87</f>
        <v>4.3013925608216541E-2</v>
      </c>
      <c r="E87" s="87">
        <f>Part1_Quest6_7!F46</f>
        <v>34560000</v>
      </c>
      <c r="F87" s="87">
        <f t="shared" ref="F87:F94" si="6">E87*EXP(-D87*A87)</f>
        <v>33104956.630850598</v>
      </c>
      <c r="G87" s="104">
        <f t="shared" ref="G87:G94" si="7">E87*EXP(-(D87+$B$60)*A87)</f>
        <v>33022297.606105976</v>
      </c>
      <c r="H87" s="104">
        <f t="shared" ref="H87:H94" si="8">E87*EXP(-(D87-$B$60)*A87)</f>
        <v>33187822.56168193</v>
      </c>
    </row>
    <row r="88" spans="1:8" x14ac:dyDescent="0.25">
      <c r="A88">
        <v>2</v>
      </c>
      <c r="B88">
        <f>Part1_Quest6_7!B47</f>
        <v>2.5575507118678828E-2</v>
      </c>
      <c r="C88" s="81">
        <f>Assets!$C$20</f>
        <v>2.1999999999999999E-2</v>
      </c>
      <c r="D88" s="85">
        <f t="shared" si="5"/>
        <v>4.7575507118678827E-2</v>
      </c>
      <c r="E88" s="87">
        <f>Part1_Quest6_7!F47</f>
        <v>34560000</v>
      </c>
      <c r="F88" s="87">
        <f t="shared" si="6"/>
        <v>31423182.908894148</v>
      </c>
      <c r="G88" s="104">
        <f t="shared" si="7"/>
        <v>31266459.13030389</v>
      </c>
      <c r="H88" s="104">
        <f t="shared" si="8"/>
        <v>31580692.268693756</v>
      </c>
    </row>
    <row r="89" spans="1:8" x14ac:dyDescent="0.25">
      <c r="A89">
        <v>3</v>
      </c>
      <c r="B89">
        <f>Part1_Quest6_7!B48</f>
        <v>2.9019839599244198E-2</v>
      </c>
      <c r="C89" s="81">
        <f>Assets!$C$20</f>
        <v>2.1999999999999999E-2</v>
      </c>
      <c r="D89" s="85">
        <f t="shared" si="5"/>
        <v>5.1019839599244193E-2</v>
      </c>
      <c r="E89" s="87">
        <f>Part1_Quest6_7!F48</f>
        <v>34560000</v>
      </c>
      <c r="F89" s="87">
        <f t="shared" si="6"/>
        <v>29655198.091537219</v>
      </c>
      <c r="G89" s="104">
        <f t="shared" si="7"/>
        <v>29433616.077069659</v>
      </c>
      <c r="H89" s="104">
        <f t="shared" si="8"/>
        <v>29878448.218716677</v>
      </c>
    </row>
    <row r="90" spans="1:8" x14ac:dyDescent="0.25">
      <c r="A90">
        <v>4</v>
      </c>
      <c r="B90">
        <f>Part1_Quest6_7!B49</f>
        <v>3.1606027941427889E-2</v>
      </c>
      <c r="C90" s="81">
        <f>Assets!$C$20</f>
        <v>2.1999999999999999E-2</v>
      </c>
      <c r="D90" s="85">
        <f t="shared" si="5"/>
        <v>5.3606027941427888E-2</v>
      </c>
      <c r="E90" s="87">
        <f>Part1_Quest6_7!F49</f>
        <v>34560000</v>
      </c>
      <c r="F90" s="87">
        <f t="shared" si="6"/>
        <v>27890129.145801507</v>
      </c>
      <c r="G90" s="104">
        <f t="shared" si="7"/>
        <v>27612617.724043604</v>
      </c>
      <c r="H90" s="104">
        <f t="shared" si="8"/>
        <v>28170429.603715837</v>
      </c>
    </row>
    <row r="91" spans="1:8" x14ac:dyDescent="0.25">
      <c r="A91">
        <v>5</v>
      </c>
      <c r="B91">
        <f>Part1_Quest6_7!B50</f>
        <v>3.3534274547571068E-2</v>
      </c>
      <c r="C91" s="81">
        <f>Assets!$C$20</f>
        <v>2.1999999999999999E-2</v>
      </c>
      <c r="D91" s="85">
        <f t="shared" si="5"/>
        <v>5.5534274547571066E-2</v>
      </c>
      <c r="E91" s="87">
        <f>Part1_Quest6_7!F50</f>
        <v>34560000</v>
      </c>
      <c r="F91" s="87">
        <f t="shared" si="6"/>
        <v>26180780.456184234</v>
      </c>
      <c r="G91" s="104">
        <f t="shared" si="7"/>
        <v>25855557.578131624</v>
      </c>
      <c r="H91" s="104">
        <f t="shared" si="8"/>
        <v>26510094.134448335</v>
      </c>
    </row>
    <row r="92" spans="1:8" x14ac:dyDescent="0.25">
      <c r="A92">
        <v>6</v>
      </c>
      <c r="B92">
        <f>Part1_Quest6_7!B51</f>
        <v>3.4959142793320658E-2</v>
      </c>
      <c r="C92" s="81">
        <f>Assets!$C$20</f>
        <v>2.1999999999999999E-2</v>
      </c>
      <c r="D92" s="85">
        <f t="shared" si="5"/>
        <v>5.6959142793320656E-2</v>
      </c>
      <c r="E92" s="87">
        <f>Part1_Quest6_7!F51</f>
        <v>34560000</v>
      </c>
      <c r="F92" s="87">
        <f t="shared" si="6"/>
        <v>24555652.869277477</v>
      </c>
      <c r="G92" s="104">
        <f t="shared" si="7"/>
        <v>24190066.826273445</v>
      </c>
      <c r="H92" s="104">
        <f t="shared" si="8"/>
        <v>24926764.03777203</v>
      </c>
    </row>
    <row r="93" spans="1:8" x14ac:dyDescent="0.25">
      <c r="A93">
        <v>7</v>
      </c>
      <c r="B93">
        <f>Part1_Quest6_7!B52</f>
        <v>3.599984960680204E-2</v>
      </c>
      <c r="C93" s="81">
        <f>Assets!$C$20</f>
        <v>2.1999999999999999E-2</v>
      </c>
      <c r="D93" s="85">
        <f t="shared" si="5"/>
        <v>5.7999849606802038E-2</v>
      </c>
      <c r="E93" s="87">
        <f>Part1_Quest6_7!F52</f>
        <v>34560000</v>
      </c>
      <c r="F93" s="87">
        <f t="shared" si="6"/>
        <v>23027703.628661245</v>
      </c>
      <c r="G93" s="104">
        <f t="shared" si="7"/>
        <v>22628224.452936687</v>
      </c>
      <c r="H93" s="104">
        <f t="shared" si="8"/>
        <v>23434235.218602806</v>
      </c>
    </row>
    <row r="94" spans="1:8" x14ac:dyDescent="0.25">
      <c r="A94">
        <v>8</v>
      </c>
      <c r="B94">
        <f>Part1_Quest6_7!B53</f>
        <v>3.6748250462443968E-2</v>
      </c>
      <c r="C94" s="81">
        <f>Assets!$C$20</f>
        <v>2.1999999999999999E-2</v>
      </c>
      <c r="D94" s="85">
        <f t="shared" si="5"/>
        <v>5.8748250462443967E-2</v>
      </c>
      <c r="E94" s="87">
        <f>Part1_Quest6_7!F53</f>
        <v>754560000</v>
      </c>
      <c r="F94" s="87">
        <f t="shared" si="6"/>
        <v>471608312.28083432</v>
      </c>
      <c r="G94" s="104">
        <f t="shared" si="7"/>
        <v>462269842.01811177</v>
      </c>
      <c r="H94" s="104">
        <f t="shared" si="8"/>
        <v>481135432.15666384</v>
      </c>
    </row>
    <row r="95" spans="1:8" x14ac:dyDescent="0.25">
      <c r="A95" s="89" t="s">
        <v>183</v>
      </c>
      <c r="B95"/>
      <c r="C95"/>
      <c r="D95"/>
      <c r="E95"/>
      <c r="F95" s="92">
        <f>SUM(F87:F94)</f>
        <v>667445916.01204073</v>
      </c>
      <c r="G95" s="112">
        <f>SUM(G87:G94)</f>
        <v>656278681.41297662</v>
      </c>
      <c r="H95" s="112">
        <f>SUM(H87:H94)</f>
        <v>678823918.20029521</v>
      </c>
    </row>
    <row r="96" spans="1:8" x14ac:dyDescent="0.25">
      <c r="A96" s="94"/>
      <c r="B96"/>
      <c r="C96"/>
      <c r="D96"/>
      <c r="E96" t="s">
        <v>202</v>
      </c>
      <c r="F96"/>
      <c r="G96" s="189">
        <f>G95-F95</f>
        <v>-11167234.599064112</v>
      </c>
      <c r="H96" s="107">
        <f>H95-F95</f>
        <v>11378002.188254476</v>
      </c>
    </row>
    <row r="97" spans="1:8" x14ac:dyDescent="0.25">
      <c r="A97" s="94"/>
      <c r="B97"/>
      <c r="C97"/>
      <c r="D97"/>
      <c r="E97"/>
      <c r="F97"/>
    </row>
    <row r="98" spans="1:8" x14ac:dyDescent="0.25">
      <c r="A98"/>
      <c r="B98"/>
      <c r="C98"/>
      <c r="D98"/>
      <c r="E98"/>
      <c r="F98"/>
    </row>
    <row r="99" spans="1:8" x14ac:dyDescent="0.25">
      <c r="A99" s="194" t="s">
        <v>184</v>
      </c>
      <c r="B99"/>
      <c r="C99"/>
      <c r="D99"/>
      <c r="E99" s="195" t="s">
        <v>185</v>
      </c>
      <c r="F99" s="196">
        <f>F70+F81+F95</f>
        <v>1774391737.7719479</v>
      </c>
      <c r="G99" s="197">
        <f>G70+G81+G95</f>
        <v>1752626636.4525099</v>
      </c>
      <c r="H99" s="197">
        <f>H70+H81+H95</f>
        <v>1796479082.0784471</v>
      </c>
    </row>
    <row r="100" spans="1:8" x14ac:dyDescent="0.25">
      <c r="A100" s="171" t="s">
        <v>239</v>
      </c>
      <c r="B100"/>
      <c r="C100"/>
      <c r="D100"/>
      <c r="E100"/>
      <c r="F100"/>
      <c r="G100" s="190">
        <f>G99-F99</f>
        <v>-21765101.319437981</v>
      </c>
    </row>
    <row r="101" spans="1:8" x14ac:dyDescent="0.25">
      <c r="A101" s="176" t="s">
        <v>240</v>
      </c>
      <c r="B101"/>
      <c r="C101"/>
      <c r="D101"/>
      <c r="E101"/>
      <c r="F101"/>
      <c r="H101" s="191">
        <f>H99-F99</f>
        <v>22087344.306499243</v>
      </c>
    </row>
    <row r="102" spans="1:8" x14ac:dyDescent="0.25">
      <c r="A102"/>
      <c r="B102"/>
      <c r="C102"/>
      <c r="D102"/>
      <c r="E102"/>
      <c r="F102"/>
    </row>
    <row r="103" spans="1:8" x14ac:dyDescent="0.25">
      <c r="A103" s="93" t="s">
        <v>186</v>
      </c>
      <c r="B103"/>
      <c r="C103"/>
      <c r="D103"/>
      <c r="E103"/>
      <c r="F103"/>
    </row>
    <row r="104" spans="1:8" x14ac:dyDescent="0.25">
      <c r="A104" s="88" t="s">
        <v>187</v>
      </c>
      <c r="B104" s="88" t="s">
        <v>147</v>
      </c>
      <c r="C104" s="88" t="s">
        <v>73</v>
      </c>
      <c r="D104" s="88" t="s">
        <v>188</v>
      </c>
      <c r="E104" s="88" t="s">
        <v>206</v>
      </c>
      <c r="F104" s="88" t="s">
        <v>207</v>
      </c>
    </row>
    <row r="105" spans="1:8" x14ac:dyDescent="0.25">
      <c r="A105" t="s">
        <v>189</v>
      </c>
      <c r="B105">
        <f>Part1_Quest2_3_4!G7</f>
        <v>13</v>
      </c>
      <c r="C105" s="85">
        <f t="shared" ref="C105:C111" si="9">$B$4+$B$5*(1-EXP(-B105/$B$7))/(B105/$B$7)+$B$6*((1-EXP(-B105/$B$7))/(B105/$B$7)-EXP(-B105/$B$7))</f>
        <v>3.807932945897409E-2</v>
      </c>
      <c r="D105" s="87">
        <f>Part1_Quest5!J12</f>
        <v>273921697.10706687</v>
      </c>
      <c r="E105" s="87">
        <f>Part1_Quest5!B12*Part1_Quest5!F12*Part1_Quest5!G12*EXP(-(Part1_Quest5!H12+Part1_Quest8!$B$60)*B105)</f>
        <v>265162352.29553184</v>
      </c>
      <c r="F105" s="87">
        <f>Part1_Quest5!B12*Part1_Quest5!F12*Part1_Quest5!G12*EXP(-(Part1_Quest5!H12-Part1_Quest8!$B$60)*B105)</f>
        <v>282970397.17911738</v>
      </c>
      <c r="H105" s="121"/>
    </row>
    <row r="106" spans="1:8" x14ac:dyDescent="0.25">
      <c r="A106" t="s">
        <v>190</v>
      </c>
      <c r="B106">
        <f>Part1_Quest2_3_4!G8</f>
        <v>11</v>
      </c>
      <c r="C106" s="85">
        <f t="shared" si="9"/>
        <v>3.7868372887546839E-2</v>
      </c>
      <c r="D106" s="87">
        <f>Part1_Quest5!J13</f>
        <v>201917237.1607241</v>
      </c>
      <c r="E106" s="87">
        <f>Part1_Quest5!B13*Part1_Quest5!F13*Part1_Quest5!G13*EXP(-(Part1_Quest5!H13+Part1_Quest8!$B$60)*B106)</f>
        <v>196440168.00480995</v>
      </c>
      <c r="F106" s="87">
        <f>Part1_Quest5!B13*Part1_Quest5!F13*Part1_Quest5!G13*EXP(-(Part1_Quest5!H13-Part1_Quest8!$B$60)*B106)</f>
        <v>207547015.85075927</v>
      </c>
      <c r="H106" s="121"/>
    </row>
    <row r="107" spans="1:8" x14ac:dyDescent="0.25">
      <c r="A107" t="s">
        <v>191</v>
      </c>
      <c r="B107">
        <f>Part1_Quest2_3_4!G9</f>
        <v>9</v>
      </c>
      <c r="C107" s="85">
        <f t="shared" si="9"/>
        <v>3.7275032309922324E-2</v>
      </c>
      <c r="D107" s="87">
        <f>Part1_Quest5!J14</f>
        <v>262489182.61884293</v>
      </c>
      <c r="E107" s="87">
        <f>Part1_Quest5!B14*Part1_Quest5!F14*Part1_Quest5!G14*EXP(-(Part1_Quest5!H14+Part1_Quest8!$B$60)*B107)</f>
        <v>256649123.05544132</v>
      </c>
      <c r="F107" s="87">
        <f>Part1_Quest5!B14*Part1_Quest5!F14*Part1_Quest5!G14*EXP(-(Part1_Quest5!H14-Part1_Quest8!$B$60)*B107)</f>
        <v>268462132.93713218</v>
      </c>
      <c r="H107" s="121"/>
    </row>
    <row r="108" spans="1:8" x14ac:dyDescent="0.25">
      <c r="A108" t="s">
        <v>192</v>
      </c>
      <c r="B108">
        <f>Part1_Quest2_3_4!G10</f>
        <v>7</v>
      </c>
      <c r="C108" s="85">
        <f t="shared" si="9"/>
        <v>3.599984960680204E-2</v>
      </c>
      <c r="D108" s="87">
        <f>Part1_Quest5!J15</f>
        <v>206803357.19158551</v>
      </c>
      <c r="E108" s="87">
        <f>Part1_Quest5!B15*Part1_Quest5!F15*Part1_Quest5!G15*EXP(-(Part1_Quest5!H15+Part1_Quest8!$B$60)*B108)</f>
        <v>203215781.2873542</v>
      </c>
      <c r="F108" s="87">
        <f>Part1_Quest5!B15*Part1_Quest5!F15*Part1_Quest5!G15*EXP(-(Part1_Quest5!H15-Part1_Quest8!$B$60)*B108)</f>
        <v>210454268.24029765</v>
      </c>
      <c r="H108" s="121"/>
    </row>
    <row r="109" spans="1:8" x14ac:dyDescent="0.25">
      <c r="A109" t="s">
        <v>193</v>
      </c>
      <c r="B109">
        <f>Part1_Quest2_3_4!G11</f>
        <v>5</v>
      </c>
      <c r="C109" s="85">
        <f t="shared" si="9"/>
        <v>3.3534274547571068E-2</v>
      </c>
      <c r="D109" s="87">
        <f>Part1_Quest5!J16</f>
        <v>174902738.74064356</v>
      </c>
      <c r="E109" s="87">
        <f>Part1_Quest5!B16*Part1_Quest5!F16*Part1_Quest5!G16*EXP(-(Part1_Quest5!H16+Part1_Quest8!$B$60)*B109)</f>
        <v>172730062.02584073</v>
      </c>
      <c r="F109" s="87">
        <f>Part1_Quest5!B16*Part1_Quest5!F16*Part1_Quest5!G16*EXP(-(Part1_Quest5!H16-Part1_Quest8!$B$60)*B109)</f>
        <v>177102744.36421698</v>
      </c>
      <c r="H109" s="121"/>
    </row>
    <row r="110" spans="1:8" x14ac:dyDescent="0.25">
      <c r="A110" t="s">
        <v>194</v>
      </c>
      <c r="B110">
        <f>Part1_Quest2_3_4!G12</f>
        <v>3</v>
      </c>
      <c r="C110" s="85">
        <f t="shared" si="9"/>
        <v>2.9019839599244198E-2</v>
      </c>
      <c r="D110" s="87">
        <f>Part1_Quest5!J17</f>
        <v>176730958.01394728</v>
      </c>
      <c r="E110" s="87">
        <f>Part1_Quest5!B17*Part1_Quest5!F17*Part1_Quest5!G17*EXP(-(Part1_Quest5!H17+Part1_Quest8!$B$60)*B110)</f>
        <v>175410433.98390591</v>
      </c>
      <c r="F110" s="87">
        <f>Part1_Quest5!B17*Part1_Quest5!F17*Part1_Quest5!G17*EXP(-(Part1_Quest5!H17-Part1_Quest8!$B$60)*B110)</f>
        <v>178061423.206976</v>
      </c>
      <c r="H110" s="121"/>
    </row>
    <row r="111" spans="1:8" x14ac:dyDescent="0.25">
      <c r="A111" t="s">
        <v>195</v>
      </c>
      <c r="B111">
        <f>Part1_Quest2_3_4!G13</f>
        <v>1</v>
      </c>
      <c r="C111" s="85">
        <f t="shared" si="9"/>
        <v>2.1013925608216539E-2</v>
      </c>
      <c r="D111" s="87">
        <f>Part1_Quest5!J18</f>
        <v>241555461.88698474</v>
      </c>
      <c r="E111" s="87">
        <f>Part1_Quest5!B18*Part1_Quest5!F18*Part1_Quest5!G18*EXP(-(Part1_Quest5!H18+Part1_Quest8!$B$60)*B111)</f>
        <v>240952327.46442798</v>
      </c>
      <c r="F111" s="87">
        <f>Part1_Quest5!B18*Part1_Quest5!F18*Part1_Quest5!G18*EXP(-(Part1_Quest5!H18-Part1_Quest8!$B$60)*B111)</f>
        <v>242160106.03196463</v>
      </c>
      <c r="H111" s="121"/>
    </row>
    <row r="112" spans="1:8" x14ac:dyDescent="0.25">
      <c r="A112" s="194" t="s">
        <v>196</v>
      </c>
      <c r="B112"/>
      <c r="C112"/>
      <c r="D112" s="196">
        <f>SUM(D105:D111)</f>
        <v>1538320632.719795</v>
      </c>
      <c r="E112" s="196">
        <f>SUM(E105:E111)</f>
        <v>1510560248.117312</v>
      </c>
      <c r="F112" s="196">
        <f>SUM(F105:F111)</f>
        <v>1566758087.8104639</v>
      </c>
      <c r="H112" s="121"/>
    </row>
    <row r="113" spans="1:6" x14ac:dyDescent="0.25">
      <c r="A113" s="176" t="s">
        <v>211</v>
      </c>
      <c r="B113"/>
      <c r="C113"/>
      <c r="D113"/>
      <c r="E113" s="91">
        <f>E112-D112</f>
        <v>-27760384.602483034</v>
      </c>
    </row>
    <row r="114" spans="1:6" x14ac:dyDescent="0.25">
      <c r="A114" s="171" t="s">
        <v>212</v>
      </c>
      <c r="B114"/>
      <c r="C114"/>
      <c r="D114"/>
      <c r="E114"/>
      <c r="F114" s="175">
        <f>F112-D112</f>
        <v>28437455.090668917</v>
      </c>
    </row>
    <row r="115" spans="1:6" x14ac:dyDescent="0.25">
      <c r="A115"/>
      <c r="B115"/>
      <c r="C115"/>
      <c r="D115"/>
      <c r="E115"/>
      <c r="F115"/>
    </row>
    <row r="116" spans="1:6" x14ac:dyDescent="0.25">
      <c r="A116" s="93" t="s">
        <v>210</v>
      </c>
      <c r="B116"/>
      <c r="C116"/>
      <c r="D116"/>
      <c r="E116"/>
      <c r="F116"/>
    </row>
    <row r="117" spans="1:6" x14ac:dyDescent="0.25">
      <c r="A117" s="94" t="s">
        <v>218</v>
      </c>
      <c r="B117"/>
      <c r="C117"/>
      <c r="D117" s="87">
        <f>$B$55*($B$38*0.5*SUM(C26:C35)+EXP(-B37*$B$11)-B20)</f>
        <v>0</v>
      </c>
      <c r="E117"/>
      <c r="F117"/>
    </row>
    <row r="118" spans="1:6" x14ac:dyDescent="0.25">
      <c r="A118" s="94" t="s">
        <v>219</v>
      </c>
      <c r="B118"/>
      <c r="C118"/>
      <c r="D118" s="87">
        <f>$B$55*($B$38*0.5*SUMPRODUCT(C26:C35,EXP(-$B$60*A26:A35))+EXP(-B37*$B$11)*EXP(-$B$60*$B$11)-B20*EXP(-$B$60*$B$10))</f>
        <v>-6057283.5766307786</v>
      </c>
      <c r="E118" s="87"/>
      <c r="F118"/>
    </row>
    <row r="119" spans="1:6" x14ac:dyDescent="0.25">
      <c r="A119" s="94" t="s">
        <v>213</v>
      </c>
      <c r="B119"/>
      <c r="C119"/>
      <c r="D119" s="87">
        <f>$B$55*($B$38*0.5*SUMPRODUCT(C26:C35,EXP($B$60*A26:A35))+EXP(-B37*$B$11)*EXP($B$60*$B$11)-B20*EXP($B$60*$B$10))</f>
        <v>6286040.8366500139</v>
      </c>
      <c r="E119"/>
      <c r="F119"/>
    </row>
    <row r="120" spans="1:6" x14ac:dyDescent="0.25">
      <c r="A120" s="177" t="s">
        <v>241</v>
      </c>
      <c r="B120"/>
      <c r="C120"/>
      <c r="D120" s="175">
        <f>D118-D117</f>
        <v>-6057283.5766307786</v>
      </c>
      <c r="E120"/>
      <c r="F120"/>
    </row>
    <row r="121" spans="1:6" x14ac:dyDescent="0.25">
      <c r="A121" s="177" t="s">
        <v>242</v>
      </c>
      <c r="B121"/>
      <c r="C121"/>
      <c r="D121" s="91">
        <f>D119-D117</f>
        <v>6286040.8366500139</v>
      </c>
      <c r="E121"/>
      <c r="F121"/>
    </row>
    <row r="122" spans="1:6" x14ac:dyDescent="0.25">
      <c r="A122"/>
      <c r="B122"/>
      <c r="C122"/>
      <c r="D122"/>
      <c r="E122"/>
      <c r="F122"/>
    </row>
    <row r="123" spans="1:6" ht="15.6" x14ac:dyDescent="0.3">
      <c r="A123" s="174" t="s">
        <v>197</v>
      </c>
      <c r="B123"/>
      <c r="C123"/>
      <c r="D123"/>
      <c r="E123"/>
      <c r="F123"/>
    </row>
    <row r="125" spans="1:6" x14ac:dyDescent="0.25">
      <c r="B125" s="198" t="s">
        <v>185</v>
      </c>
      <c r="C125" s="199" t="s">
        <v>208</v>
      </c>
      <c r="D125" s="200" t="s">
        <v>209</v>
      </c>
    </row>
    <row r="126" spans="1:6" x14ac:dyDescent="0.25">
      <c r="A126" s="120" t="s">
        <v>198</v>
      </c>
      <c r="B126" s="104">
        <f>F99</f>
        <v>1774391737.7719479</v>
      </c>
      <c r="C126" s="104">
        <f>G99</f>
        <v>1752626636.4525099</v>
      </c>
      <c r="D126" s="104">
        <f>H99</f>
        <v>1796479082.0784471</v>
      </c>
    </row>
    <row r="127" spans="1:6" x14ac:dyDescent="0.25">
      <c r="A127" s="120" t="s">
        <v>199</v>
      </c>
      <c r="B127" s="104">
        <f>D112</f>
        <v>1538320632.719795</v>
      </c>
      <c r="C127" s="104">
        <f>E112</f>
        <v>1510560248.117312</v>
      </c>
      <c r="D127" s="104">
        <f>F112</f>
        <v>1566758087.8104639</v>
      </c>
    </row>
    <row r="128" spans="1:6" x14ac:dyDescent="0.25">
      <c r="A128" s="120" t="s">
        <v>233</v>
      </c>
      <c r="B128" s="116">
        <f>B126-B127</f>
        <v>236071105.05215287</v>
      </c>
      <c r="C128" s="116">
        <f>C126-C127</f>
        <v>242066388.33519793</v>
      </c>
      <c r="D128" s="116">
        <f>D126-D127</f>
        <v>229720994.2679832</v>
      </c>
    </row>
    <row r="129" spans="1:8" x14ac:dyDescent="0.25">
      <c r="A129" s="95" t="s">
        <v>234</v>
      </c>
      <c r="C129" s="189">
        <f>C128-$B$128</f>
        <v>5995283.2830450535</v>
      </c>
      <c r="D129" s="107">
        <f>D128-$B$128</f>
        <v>-6350110.7841696739</v>
      </c>
    </row>
    <row r="130" spans="1:8" x14ac:dyDescent="0.25">
      <c r="A130" s="120" t="s">
        <v>235</v>
      </c>
      <c r="C130" s="193">
        <f>C129/$B$128</f>
        <v>2.5396091070614399E-2</v>
      </c>
      <c r="D130" s="192">
        <f>D129/$B$128</f>
        <v>-2.689914457242366E-2</v>
      </c>
    </row>
    <row r="132" spans="1:8" x14ac:dyDescent="0.25">
      <c r="A132" s="95" t="s">
        <v>200</v>
      </c>
      <c r="B132" s="104">
        <f>D117</f>
        <v>0</v>
      </c>
      <c r="C132" s="104">
        <f>D118</f>
        <v>-6057283.5766307786</v>
      </c>
      <c r="D132" s="104">
        <f>D119</f>
        <v>6286040.8366500139</v>
      </c>
    </row>
    <row r="133" spans="1:8" x14ac:dyDescent="0.25">
      <c r="A133" s="120" t="s">
        <v>201</v>
      </c>
      <c r="B133" s="116">
        <f>B128+B132</f>
        <v>236071105.05215287</v>
      </c>
      <c r="C133" s="116">
        <f>C128+C132</f>
        <v>236009104.75856715</v>
      </c>
      <c r="D133" s="116">
        <f>D128+D132</f>
        <v>236007035.10463321</v>
      </c>
    </row>
    <row r="134" spans="1:8" x14ac:dyDescent="0.25">
      <c r="A134" s="95" t="s">
        <v>214</v>
      </c>
      <c r="C134" s="189">
        <f>C133-$B$133</f>
        <v>-62000.293585717678</v>
      </c>
      <c r="D134" s="107">
        <f>D133-$B$133</f>
        <v>-64069.947519659996</v>
      </c>
    </row>
    <row r="135" spans="1:8" x14ac:dyDescent="0.25">
      <c r="A135" s="120" t="s">
        <v>236</v>
      </c>
      <c r="C135" s="193">
        <f>C134/$B$133</f>
        <v>-2.626339787413651E-4</v>
      </c>
      <c r="D135" s="192">
        <f>D134/$B$133</f>
        <v>-2.7140105734458969E-4</v>
      </c>
    </row>
    <row r="137" spans="1:8" x14ac:dyDescent="0.25">
      <c r="A137" s="201" t="s">
        <v>223</v>
      </c>
      <c r="B137" s="202"/>
      <c r="C137" s="202"/>
      <c r="D137" s="202"/>
      <c r="E137" s="202"/>
      <c r="F137" s="202"/>
      <c r="G137" s="202"/>
      <c r="H137" s="202"/>
    </row>
    <row r="139" spans="1:8" x14ac:dyDescent="0.25">
      <c r="A139" s="96" t="s">
        <v>224</v>
      </c>
      <c r="B139" s="203"/>
      <c r="C139" s="203"/>
      <c r="D139" s="203"/>
    </row>
    <row r="140" spans="1:8" x14ac:dyDescent="0.25">
      <c r="A140" s="95" t="s">
        <v>143</v>
      </c>
      <c r="B140" s="208">
        <f>B53/B128</f>
        <v>-10.455429767222407</v>
      </c>
      <c r="C140" s="95" t="s">
        <v>225</v>
      </c>
    </row>
    <row r="141" spans="1:8" x14ac:dyDescent="0.25">
      <c r="A141" s="95" t="s">
        <v>243</v>
      </c>
      <c r="B141" s="189">
        <f>B53</f>
        <v>-2468224858.943367</v>
      </c>
    </row>
    <row r="142" spans="1:8" x14ac:dyDescent="0.25">
      <c r="A142" s="95" t="s">
        <v>244</v>
      </c>
      <c r="B142" s="205">
        <f>B128</f>
        <v>236071105.05215287</v>
      </c>
    </row>
    <row r="144" spans="1:8" x14ac:dyDescent="0.25">
      <c r="A144" s="96" t="s">
        <v>248</v>
      </c>
      <c r="B144" s="203"/>
      <c r="C144" s="203"/>
      <c r="D144" s="203"/>
    </row>
    <row r="145" spans="1:5" x14ac:dyDescent="0.25">
      <c r="A145" s="95" t="s">
        <v>249</v>
      </c>
      <c r="B145" s="204">
        <v>8.0000000000000002E-3</v>
      </c>
      <c r="C145" s="95" t="s">
        <v>226</v>
      </c>
    </row>
    <row r="147" spans="1:5" x14ac:dyDescent="0.25">
      <c r="A147" s="206"/>
    </row>
    <row r="148" spans="1:5" x14ac:dyDescent="0.25">
      <c r="A148" s="120" t="s">
        <v>245</v>
      </c>
      <c r="B148" s="118">
        <f>0.15/B145</f>
        <v>18.75</v>
      </c>
    </row>
    <row r="149" spans="1:5" x14ac:dyDescent="0.25">
      <c r="A149" s="120" t="s">
        <v>246</v>
      </c>
      <c r="B149" s="207">
        <f>0.15*B128/B145</f>
        <v>4426333219.7278662</v>
      </c>
    </row>
    <row r="151" spans="1:5" x14ac:dyDescent="0.25">
      <c r="A151" s="96" t="s">
        <v>227</v>
      </c>
      <c r="B151" s="203"/>
      <c r="C151" s="203"/>
      <c r="D151" s="203"/>
      <c r="E151" s="203"/>
    </row>
    <row r="153" spans="1:5" x14ac:dyDescent="0.25">
      <c r="A153" s="109" t="s">
        <v>228</v>
      </c>
      <c r="B153" s="102" t="s">
        <v>229</v>
      </c>
      <c r="C153" s="102" t="s">
        <v>230</v>
      </c>
      <c r="D153" s="102" t="s">
        <v>231</v>
      </c>
      <c r="E153" s="102" t="s">
        <v>232</v>
      </c>
    </row>
    <row r="154" spans="1:5" x14ac:dyDescent="0.25">
      <c r="A154" s="95" t="s">
        <v>247</v>
      </c>
      <c r="B154" s="208">
        <f>B140</f>
        <v>-10.455429767222407</v>
      </c>
      <c r="C154" s="209">
        <v>0</v>
      </c>
      <c r="D154" s="106">
        <f>B148</f>
        <v>18.75</v>
      </c>
      <c r="E154" s="181" t="str">
        <f>IF(ABS(B154)&lt;=B148,"OUI","NON")</f>
        <v>OUI</v>
      </c>
    </row>
    <row r="155" spans="1:5" x14ac:dyDescent="0.25">
      <c r="A155" s="95" t="s">
        <v>170</v>
      </c>
      <c r="B155" s="189">
        <f>B53</f>
        <v>-2468224858.943367</v>
      </c>
      <c r="C155" s="107">
        <v>0</v>
      </c>
      <c r="D155" s="104">
        <f>B149</f>
        <v>4426333219.7278662</v>
      </c>
      <c r="E155" s="181" t="str">
        <f>IF(ABS(B155)&lt;=B149,"OUI","NON")</f>
        <v>OUI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0EDD2-9499-3645-91D4-1CECCE762DED}">
  <sheetPr codeName="Sheet6"/>
  <dimension ref="A1:I36"/>
  <sheetViews>
    <sheetView zoomScale="57" workbookViewId="0">
      <pane ySplit="4" topLeftCell="A5" activePane="bottomLeft" state="frozen"/>
      <selection pane="bottomLeft" activeCell="A7" sqref="A7:XFD9"/>
    </sheetView>
  </sheetViews>
  <sheetFormatPr baseColWidth="10" defaultColWidth="10.69921875" defaultRowHeight="13.8" x14ac:dyDescent="0.25"/>
  <cols>
    <col min="1" max="1" width="36.296875" customWidth="1"/>
    <col min="2" max="2" width="23.796875" customWidth="1"/>
    <col min="3" max="3" width="38.5" customWidth="1"/>
    <col min="4" max="4" width="14.5" customWidth="1"/>
    <col min="5" max="5" width="6.5" bestFit="1" customWidth="1"/>
    <col min="6" max="6" width="15.19921875" bestFit="1" customWidth="1"/>
    <col min="7" max="7" width="52.19921875" bestFit="1" customWidth="1"/>
  </cols>
  <sheetData>
    <row r="1" spans="1:9" ht="14.4" thickBot="1" x14ac:dyDescent="0.3">
      <c r="A1" s="260" t="s">
        <v>456</v>
      </c>
      <c r="B1" s="261"/>
      <c r="C1" s="261"/>
      <c r="D1" s="261"/>
      <c r="E1" s="261"/>
      <c r="F1" s="261"/>
      <c r="G1" s="262"/>
    </row>
    <row r="2" spans="1:9" ht="24" customHeight="1" x14ac:dyDescent="0.25">
      <c r="A2" s="256" t="s">
        <v>455</v>
      </c>
      <c r="B2" s="255"/>
      <c r="C2" s="255"/>
      <c r="D2" s="255"/>
      <c r="E2" s="255"/>
      <c r="F2" s="255"/>
      <c r="G2" s="255"/>
    </row>
    <row r="4" spans="1:9" ht="27" thickBot="1" x14ac:dyDescent="0.3">
      <c r="A4" s="213" t="s">
        <v>300</v>
      </c>
      <c r="B4" s="213" t="s">
        <v>310</v>
      </c>
      <c r="C4" s="213" t="s">
        <v>311</v>
      </c>
      <c r="D4" s="213" t="s">
        <v>312</v>
      </c>
      <c r="E4" s="213" t="s">
        <v>313</v>
      </c>
      <c r="F4" s="213" t="s">
        <v>314</v>
      </c>
      <c r="G4" s="213" t="s">
        <v>315</v>
      </c>
    </row>
    <row r="5" spans="1:9" ht="14.4" thickBot="1" x14ac:dyDescent="0.3">
      <c r="A5" s="260" t="s">
        <v>255</v>
      </c>
      <c r="B5" s="261"/>
      <c r="C5" s="261"/>
      <c r="D5" s="261"/>
      <c r="E5" s="261"/>
      <c r="F5" s="261"/>
      <c r="G5" s="261"/>
      <c r="H5" s="261"/>
      <c r="I5" s="262"/>
    </row>
    <row r="6" spans="1:9" x14ac:dyDescent="0.25">
      <c r="A6" s="256"/>
      <c r="B6" s="255"/>
      <c r="C6" s="255"/>
      <c r="D6" s="255"/>
      <c r="E6" s="255"/>
      <c r="F6" s="255"/>
      <c r="G6" s="255"/>
    </row>
    <row r="7" spans="1:9" x14ac:dyDescent="0.25">
      <c r="A7" s="219" t="s">
        <v>316</v>
      </c>
      <c r="B7" s="220">
        <f>Part1_Quest6_7!C20</f>
        <v>518430066.62091541</v>
      </c>
      <c r="C7" s="220">
        <f>Part1_Quest6_7!H23</f>
        <v>1517652932.1727872</v>
      </c>
      <c r="D7" s="220">
        <f>Part1_Quest6_7!H20</f>
        <v>2.9274014566028632</v>
      </c>
      <c r="E7" s="220">
        <f>D7</f>
        <v>2.9274014566028632</v>
      </c>
      <c r="F7" s="220">
        <f>C7</f>
        <v>1517652932.1727872</v>
      </c>
      <c r="G7" s="227" t="s">
        <v>452</v>
      </c>
    </row>
    <row r="8" spans="1:9" x14ac:dyDescent="0.25">
      <c r="A8" s="219" t="s">
        <v>317</v>
      </c>
      <c r="B8" s="220">
        <f>Part1_Quest6_7!C36</f>
        <v>588515755.13899195</v>
      </c>
      <c r="C8" s="220">
        <f>Part1_Quest6_7!H39</f>
        <v>2743706377.1360631</v>
      </c>
      <c r="D8" s="220">
        <f>Part1_Quest6_7!H36</f>
        <v>4.6620780381454221</v>
      </c>
      <c r="E8" s="220">
        <f t="shared" ref="E8:E9" si="0">D8</f>
        <v>4.6620780381454221</v>
      </c>
      <c r="F8" s="220">
        <f t="shared" ref="F8:F9" si="1">C8</f>
        <v>2743706377.1360631</v>
      </c>
      <c r="G8" s="227" t="s">
        <v>453</v>
      </c>
    </row>
    <row r="9" spans="1:9" ht="39.6" customHeight="1" thickBot="1" x14ac:dyDescent="0.3">
      <c r="A9" s="219" t="s">
        <v>318</v>
      </c>
      <c r="B9" s="220">
        <f>Part1_Quest6_7!C56</f>
        <v>667445916.01204073</v>
      </c>
      <c r="C9" s="220">
        <f>Part1_Quest6_7!H59</f>
        <v>4508775676.450346</v>
      </c>
      <c r="D9" s="220">
        <f>Part1_Quest6_7!H56</f>
        <v>6.7552674580587402</v>
      </c>
      <c r="E9" s="220">
        <f t="shared" si="0"/>
        <v>6.7552674580587402</v>
      </c>
      <c r="F9" s="220">
        <f t="shared" si="1"/>
        <v>4508775676.450346</v>
      </c>
      <c r="G9" s="227" t="s">
        <v>452</v>
      </c>
    </row>
    <row r="10" spans="1:9" ht="14.4" thickBot="1" x14ac:dyDescent="0.3">
      <c r="A10" s="221" t="s">
        <v>319</v>
      </c>
      <c r="B10" s="222">
        <f>Part1_Quest6_7!C70</f>
        <v>1774391737.7719479</v>
      </c>
      <c r="C10" s="222">
        <f>Part1_Quest6_7!C73</f>
        <v>8770134985.7591972</v>
      </c>
      <c r="D10" s="222">
        <f>Part1_Quest6_7!C71</f>
        <v>4.9426148685586195</v>
      </c>
      <c r="E10" s="222">
        <f>D10</f>
        <v>4.9426148685586195</v>
      </c>
      <c r="F10" s="222">
        <f>C10</f>
        <v>8770134985.7591972</v>
      </c>
      <c r="G10" s="228" t="s">
        <v>320</v>
      </c>
    </row>
    <row r="11" spans="1:9" x14ac:dyDescent="0.25">
      <c r="A11" s="257"/>
      <c r="B11" s="258"/>
      <c r="C11" s="258"/>
      <c r="D11" s="258"/>
      <c r="E11" s="258"/>
      <c r="F11" s="258"/>
      <c r="G11" s="259"/>
    </row>
    <row r="12" spans="1:9" ht="14.4" thickBot="1" x14ac:dyDescent="0.3"/>
    <row r="13" spans="1:9" ht="14.4" thickBot="1" x14ac:dyDescent="0.3">
      <c r="A13" s="260" t="s">
        <v>321</v>
      </c>
      <c r="B13" s="261"/>
      <c r="C13" s="261"/>
      <c r="D13" s="261"/>
      <c r="E13" s="261"/>
      <c r="F13" s="261"/>
      <c r="G13" s="261"/>
      <c r="H13" s="261"/>
      <c r="I13" s="262"/>
    </row>
    <row r="14" spans="1:9" x14ac:dyDescent="0.25">
      <c r="A14" s="256" t="s">
        <v>338</v>
      </c>
      <c r="B14" s="255"/>
      <c r="C14" s="255"/>
      <c r="D14" s="255"/>
      <c r="E14" s="255"/>
      <c r="F14" s="255"/>
      <c r="G14" s="255"/>
    </row>
    <row r="15" spans="1:9" x14ac:dyDescent="0.25">
      <c r="A15" s="219" t="s">
        <v>322</v>
      </c>
      <c r="B15" s="220">
        <f>Part1_Quest6_7!C77</f>
        <v>1538320632.719795</v>
      </c>
      <c r="C15" s="220">
        <f>Part1_Quest6_7!C78</f>
        <v>11238359844.702564</v>
      </c>
      <c r="D15" s="220">
        <f>Part1_Quest6_7!C79</f>
        <v>7.3056030099738187</v>
      </c>
      <c r="E15" s="229">
        <v>0</v>
      </c>
      <c r="F15" s="230">
        <v>0</v>
      </c>
      <c r="G15" s="227" t="s">
        <v>454</v>
      </c>
    </row>
    <row r="16" spans="1:9" x14ac:dyDescent="0.25">
      <c r="A16" s="257"/>
      <c r="B16" s="258"/>
      <c r="C16" s="258"/>
      <c r="D16" s="258"/>
      <c r="E16" s="258"/>
      <c r="F16" s="258"/>
      <c r="G16" s="259"/>
    </row>
    <row r="17" spans="1:9" ht="14.4" thickBot="1" x14ac:dyDescent="0.3"/>
    <row r="18" spans="1:9" ht="14.4" thickBot="1" x14ac:dyDescent="0.3">
      <c r="A18" s="260" t="s">
        <v>323</v>
      </c>
      <c r="B18" s="261"/>
      <c r="C18" s="261"/>
      <c r="D18" s="261"/>
      <c r="E18" s="261"/>
      <c r="F18" s="261"/>
      <c r="G18" s="261"/>
      <c r="H18" s="261"/>
      <c r="I18" s="262"/>
    </row>
    <row r="19" spans="1:9" x14ac:dyDescent="0.25">
      <c r="A19" s="256" t="s">
        <v>324</v>
      </c>
      <c r="B19" s="255"/>
      <c r="C19" s="255"/>
      <c r="D19" s="255"/>
      <c r="E19" s="255"/>
      <c r="F19" s="255"/>
      <c r="G19" s="255"/>
    </row>
    <row r="20" spans="1:9" x14ac:dyDescent="0.25">
      <c r="A20" s="219" t="s">
        <v>325</v>
      </c>
      <c r="B20" s="220">
        <f>Part1_Quest6_7!C70</f>
        <v>1774391737.7719479</v>
      </c>
      <c r="C20" s="217"/>
      <c r="D20" s="217"/>
      <c r="E20" s="217"/>
      <c r="F20" s="217"/>
      <c r="G20" s="231" t="s">
        <v>326</v>
      </c>
    </row>
    <row r="21" spans="1:9" x14ac:dyDescent="0.25">
      <c r="A21" s="219" t="s">
        <v>327</v>
      </c>
      <c r="B21" s="220">
        <f>Part1_Quest6_7!C77</f>
        <v>1538320632.719795</v>
      </c>
      <c r="C21" s="217"/>
      <c r="D21" s="217"/>
      <c r="E21" s="217"/>
      <c r="F21" s="217"/>
      <c r="G21" s="231" t="s">
        <v>328</v>
      </c>
    </row>
    <row r="22" spans="1:9" x14ac:dyDescent="0.25">
      <c r="A22" s="219" t="s">
        <v>329</v>
      </c>
      <c r="B22" s="220">
        <f>B20-B21</f>
        <v>236071105.05215287</v>
      </c>
      <c r="C22" s="217"/>
      <c r="D22" s="217"/>
      <c r="E22" s="217"/>
      <c r="F22" s="217"/>
      <c r="G22" s="231"/>
    </row>
    <row r="23" spans="1:9" x14ac:dyDescent="0.25">
      <c r="A23" s="219" t="s">
        <v>330</v>
      </c>
      <c r="B23" s="217"/>
      <c r="C23" s="217"/>
      <c r="D23" s="217"/>
      <c r="E23" s="217"/>
      <c r="F23" s="220">
        <f>F10-F15</f>
        <v>8770134985.7591972</v>
      </c>
      <c r="G23" s="231"/>
    </row>
    <row r="24" spans="1:9" x14ac:dyDescent="0.25">
      <c r="A24" s="219" t="s">
        <v>331</v>
      </c>
      <c r="B24" s="217"/>
      <c r="C24" s="217"/>
      <c r="D24" s="217"/>
      <c r="E24" s="220">
        <f>F23/B22</f>
        <v>37.150395783599599</v>
      </c>
      <c r="F24" s="217"/>
      <c r="G24" s="231"/>
    </row>
    <row r="25" spans="1:9" x14ac:dyDescent="0.25">
      <c r="A25" s="257"/>
      <c r="B25" s="258"/>
      <c r="C25" s="258"/>
      <c r="D25" s="258"/>
      <c r="E25" s="258"/>
      <c r="F25" s="258"/>
      <c r="G25" s="259"/>
    </row>
    <row r="26" spans="1:9" ht="14.4" thickBot="1" x14ac:dyDescent="0.3"/>
    <row r="27" spans="1:9" ht="14.4" thickBot="1" x14ac:dyDescent="0.3">
      <c r="A27" s="260" t="s">
        <v>337</v>
      </c>
      <c r="B27" s="261"/>
      <c r="C27" s="261"/>
      <c r="D27" s="261"/>
      <c r="E27" s="261"/>
      <c r="F27" s="261"/>
      <c r="G27" s="261"/>
      <c r="H27" s="261"/>
      <c r="I27" s="262"/>
    </row>
    <row r="28" spans="1:9" x14ac:dyDescent="0.25">
      <c r="A28" s="213" t="s">
        <v>300</v>
      </c>
      <c r="B28" s="213" t="s">
        <v>332</v>
      </c>
      <c r="C28" s="213" t="s">
        <v>333</v>
      </c>
      <c r="D28" s="213" t="s">
        <v>334</v>
      </c>
      <c r="E28" s="213" t="s">
        <v>335</v>
      </c>
      <c r="F28" s="213" t="s">
        <v>336</v>
      </c>
      <c r="G28" s="213"/>
    </row>
    <row r="29" spans="1:9" x14ac:dyDescent="0.25">
      <c r="A29" s="232" t="s">
        <v>92</v>
      </c>
      <c r="B29" s="220">
        <f>B7</f>
        <v>518430066.62091541</v>
      </c>
      <c r="C29" s="220">
        <f>C7</f>
        <v>1517652932.1727872</v>
      </c>
      <c r="D29" s="220">
        <f>D7</f>
        <v>2.9274014566028632</v>
      </c>
      <c r="E29" s="220">
        <f>E7</f>
        <v>2.9274014566028632</v>
      </c>
      <c r="F29" s="220">
        <f>F7</f>
        <v>1517652932.1727872</v>
      </c>
      <c r="G29" s="224"/>
    </row>
    <row r="30" spans="1:9" x14ac:dyDescent="0.25">
      <c r="A30" s="232" t="s">
        <v>93</v>
      </c>
      <c r="B30" s="220">
        <f t="shared" ref="B30:F32" si="2">B8</f>
        <v>588515755.13899195</v>
      </c>
      <c r="C30" s="220">
        <f t="shared" si="2"/>
        <v>2743706377.1360631</v>
      </c>
      <c r="D30" s="220">
        <f t="shared" si="2"/>
        <v>4.6620780381454221</v>
      </c>
      <c r="E30" s="220">
        <f t="shared" si="2"/>
        <v>4.6620780381454221</v>
      </c>
      <c r="F30" s="220">
        <f t="shared" si="2"/>
        <v>2743706377.1360631</v>
      </c>
      <c r="G30" s="224"/>
    </row>
    <row r="31" spans="1:9" x14ac:dyDescent="0.25">
      <c r="A31" s="232" t="s">
        <v>94</v>
      </c>
      <c r="B31" s="220">
        <f t="shared" si="2"/>
        <v>667445916.01204073</v>
      </c>
      <c r="C31" s="220">
        <f t="shared" si="2"/>
        <v>4508775676.450346</v>
      </c>
      <c r="D31" s="220">
        <f t="shared" si="2"/>
        <v>6.7552674580587402</v>
      </c>
      <c r="E31" s="220">
        <f t="shared" si="2"/>
        <v>6.7552674580587402</v>
      </c>
      <c r="F31" s="220">
        <f t="shared" si="2"/>
        <v>4508775676.450346</v>
      </c>
      <c r="G31" s="224"/>
    </row>
    <row r="32" spans="1:9" x14ac:dyDescent="0.25">
      <c r="A32" s="233" t="s">
        <v>307</v>
      </c>
      <c r="B32" s="220">
        <f t="shared" si="2"/>
        <v>1774391737.7719479</v>
      </c>
      <c r="C32" s="220">
        <f t="shared" si="2"/>
        <v>8770134985.7591972</v>
      </c>
      <c r="D32" s="220">
        <f t="shared" si="2"/>
        <v>4.9426148685586195</v>
      </c>
      <c r="E32" s="220">
        <f t="shared" si="2"/>
        <v>4.9426148685586195</v>
      </c>
      <c r="F32" s="220">
        <f t="shared" si="2"/>
        <v>8770134985.7591972</v>
      </c>
      <c r="G32" s="224"/>
    </row>
    <row r="33" spans="1:7" x14ac:dyDescent="0.25">
      <c r="A33" s="232" t="s">
        <v>308</v>
      </c>
      <c r="B33" s="220">
        <f>B15</f>
        <v>1538320632.719795</v>
      </c>
      <c r="C33" s="220">
        <f>C15</f>
        <v>11238359844.702564</v>
      </c>
      <c r="D33" s="220">
        <f>D15</f>
        <v>7.3056030099738187</v>
      </c>
      <c r="E33" s="220">
        <f>E15</f>
        <v>0</v>
      </c>
      <c r="F33" s="220">
        <f>F15</f>
        <v>0</v>
      </c>
      <c r="G33" s="224"/>
    </row>
    <row r="34" spans="1:7" x14ac:dyDescent="0.25">
      <c r="A34" s="233" t="s">
        <v>256</v>
      </c>
      <c r="B34" s="220">
        <f>B22</f>
        <v>236071105.05215287</v>
      </c>
      <c r="C34" s="220">
        <f>Part1_Quest6_7!C89</f>
        <v>-2468224858.943367</v>
      </c>
      <c r="D34" s="220">
        <f>Part1_Quest6_7!C90</f>
        <v>-10.455429767222407</v>
      </c>
      <c r="E34" s="220">
        <f>E24</f>
        <v>37.150395783599599</v>
      </c>
      <c r="F34" s="220">
        <f>F23</f>
        <v>8770134985.7591972</v>
      </c>
      <c r="G34" s="224"/>
    </row>
    <row r="36" spans="1:7" x14ac:dyDescent="0.25">
      <c r="A36" s="254"/>
      <c r="B36" s="255"/>
      <c r="C36" s="255"/>
      <c r="D36" s="255"/>
      <c r="E36" s="255"/>
      <c r="F36" s="255"/>
      <c r="G36" s="255"/>
    </row>
  </sheetData>
  <mergeCells count="13">
    <mergeCell ref="A13:I13"/>
    <mergeCell ref="A1:G1"/>
    <mergeCell ref="A2:G2"/>
    <mergeCell ref="A5:I5"/>
    <mergeCell ref="A6:G6"/>
    <mergeCell ref="A11:G11"/>
    <mergeCell ref="A36:G36"/>
    <mergeCell ref="A14:G14"/>
    <mergeCell ref="A16:G16"/>
    <mergeCell ref="A18:I18"/>
    <mergeCell ref="A19:G19"/>
    <mergeCell ref="A25:G25"/>
    <mergeCell ref="A27:I2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05FF2-4909-F942-B009-BFFE86E74C3D}">
  <sheetPr codeName="Sheet5"/>
  <dimension ref="A1:P79"/>
  <sheetViews>
    <sheetView zoomScale="48" workbookViewId="0">
      <pane ySplit="4" topLeftCell="A35" activePane="bottomLeft" state="frozen"/>
      <selection pane="bottomLeft" activeCell="A60" sqref="A60:P60"/>
    </sheetView>
  </sheetViews>
  <sheetFormatPr baseColWidth="10" defaultColWidth="10.69921875" defaultRowHeight="13.8" x14ac:dyDescent="0.25"/>
  <cols>
    <col min="2" max="2" width="13.796875" bestFit="1" customWidth="1"/>
    <col min="3" max="3" width="13.69921875" bestFit="1" customWidth="1"/>
    <col min="4" max="4" width="15.19921875" bestFit="1" customWidth="1"/>
    <col min="5" max="5" width="16.296875" bestFit="1" customWidth="1"/>
    <col min="7" max="7" width="11.19921875" bestFit="1" customWidth="1"/>
    <col min="11" max="11" width="13.69921875" bestFit="1" customWidth="1"/>
    <col min="12" max="14" width="15.19921875" bestFit="1" customWidth="1"/>
    <col min="16" max="16" width="16.296875" bestFit="1" customWidth="1"/>
  </cols>
  <sheetData>
    <row r="1" spans="1:16" ht="14.4" thickBot="1" x14ac:dyDescent="0.3">
      <c r="A1" s="278" t="s">
        <v>272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79"/>
      <c r="P1" s="280"/>
    </row>
    <row r="2" spans="1:16" x14ac:dyDescent="0.25">
      <c r="A2" s="281"/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</row>
    <row r="4" spans="1:16" ht="53.4" thickBot="1" x14ac:dyDescent="0.3">
      <c r="A4" s="213" t="s">
        <v>257</v>
      </c>
      <c r="B4" s="213" t="s">
        <v>258</v>
      </c>
      <c r="C4" s="213" t="s">
        <v>133</v>
      </c>
      <c r="D4" s="213" t="s">
        <v>259</v>
      </c>
      <c r="E4" s="213" t="s">
        <v>260</v>
      </c>
      <c r="F4" s="213" t="s">
        <v>261</v>
      </c>
      <c r="G4" s="213" t="s">
        <v>262</v>
      </c>
      <c r="H4" s="213" t="s">
        <v>263</v>
      </c>
      <c r="I4" s="213" t="s">
        <v>264</v>
      </c>
      <c r="J4" s="213" t="s">
        <v>265</v>
      </c>
      <c r="K4" s="213" t="s">
        <v>266</v>
      </c>
      <c r="L4" s="213" t="s">
        <v>267</v>
      </c>
      <c r="M4" s="213" t="s">
        <v>268</v>
      </c>
      <c r="N4" s="213" t="s">
        <v>269</v>
      </c>
      <c r="O4" s="213" t="s">
        <v>270</v>
      </c>
      <c r="P4" s="213" t="s">
        <v>271</v>
      </c>
    </row>
    <row r="5" spans="1:16" ht="14.4" thickBot="1" x14ac:dyDescent="0.3">
      <c r="A5" s="260" t="s">
        <v>309</v>
      </c>
      <c r="B5" s="261"/>
      <c r="C5" s="261"/>
      <c r="D5" s="261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62"/>
    </row>
    <row r="6" spans="1:16" x14ac:dyDescent="0.25">
      <c r="A6" s="256"/>
      <c r="B6" s="255"/>
      <c r="C6" s="255"/>
      <c r="D6" s="255"/>
      <c r="E6" s="255"/>
      <c r="F6" s="255"/>
      <c r="G6" s="255"/>
      <c r="H6" s="255"/>
      <c r="I6" s="255"/>
      <c r="J6" s="255"/>
      <c r="K6" s="255"/>
      <c r="L6" s="255"/>
      <c r="M6" s="255"/>
      <c r="N6" s="255"/>
      <c r="O6" s="255"/>
      <c r="P6" s="255"/>
    </row>
    <row r="7" spans="1:16" x14ac:dyDescent="0.25">
      <c r="A7" s="213" t="s">
        <v>273</v>
      </c>
      <c r="B7" s="213" t="s">
        <v>274</v>
      </c>
      <c r="C7" s="214"/>
      <c r="D7" s="214"/>
      <c r="E7" s="214"/>
      <c r="F7" s="213" t="s">
        <v>261</v>
      </c>
      <c r="G7" s="213" t="s">
        <v>262</v>
      </c>
      <c r="H7" s="213" t="s">
        <v>263</v>
      </c>
      <c r="I7" s="213" t="s">
        <v>264</v>
      </c>
      <c r="J7" s="213" t="s">
        <v>265</v>
      </c>
      <c r="K7" s="214"/>
      <c r="L7" s="214"/>
      <c r="M7" s="214"/>
      <c r="N7" s="214"/>
      <c r="O7" s="214"/>
      <c r="P7" s="213" t="s">
        <v>275</v>
      </c>
    </row>
    <row r="8" spans="1:16" x14ac:dyDescent="0.25">
      <c r="A8" s="215">
        <v>1</v>
      </c>
      <c r="B8" s="216" t="s">
        <v>276</v>
      </c>
      <c r="C8" s="217"/>
      <c r="D8" s="217"/>
      <c r="E8" s="217"/>
      <c r="F8" s="218">
        <f>(5-A8)/(5-0)</f>
        <v>0.8</v>
      </c>
      <c r="G8" s="218">
        <f>1-(5-A8)/(5-0)</f>
        <v>0.19999999999999996</v>
      </c>
      <c r="H8" s="218">
        <f>0</f>
        <v>0</v>
      </c>
      <c r="I8" s="218">
        <f>0</f>
        <v>0</v>
      </c>
      <c r="J8" s="218">
        <f>0</f>
        <v>0</v>
      </c>
      <c r="K8" s="217"/>
      <c r="L8" s="217"/>
      <c r="M8" s="217"/>
      <c r="N8" s="217"/>
      <c r="O8" s="217"/>
      <c r="P8" s="218">
        <f>SUM(F8:J8)</f>
        <v>1</v>
      </c>
    </row>
    <row r="9" spans="1:16" x14ac:dyDescent="0.25">
      <c r="A9" s="215">
        <v>2</v>
      </c>
      <c r="B9" s="216" t="s">
        <v>276</v>
      </c>
      <c r="C9" s="217"/>
      <c r="D9" s="217"/>
      <c r="E9" s="217"/>
      <c r="F9" s="218">
        <f t="shared" ref="F9:F11" si="0">(5-A9)/(5-0)</f>
        <v>0.6</v>
      </c>
      <c r="G9" s="218">
        <f t="shared" ref="G9:G11" si="1">1-(5-A9)/(5-0)</f>
        <v>0.4</v>
      </c>
      <c r="H9" s="218">
        <f>0</f>
        <v>0</v>
      </c>
      <c r="I9" s="218">
        <f>0</f>
        <v>0</v>
      </c>
      <c r="J9" s="218">
        <f>0</f>
        <v>0</v>
      </c>
      <c r="K9" s="217"/>
      <c r="L9" s="217"/>
      <c r="M9" s="217"/>
      <c r="N9" s="217"/>
      <c r="O9" s="217"/>
      <c r="P9" s="218">
        <f t="shared" ref="P9:P18" si="2">SUM(F9:J9)</f>
        <v>1</v>
      </c>
    </row>
    <row r="10" spans="1:16" x14ac:dyDescent="0.25">
      <c r="A10" s="215">
        <v>3</v>
      </c>
      <c r="B10" s="216" t="s">
        <v>276</v>
      </c>
      <c r="C10" s="217"/>
      <c r="D10" s="217"/>
      <c r="E10" s="217"/>
      <c r="F10" s="218">
        <f t="shared" si="0"/>
        <v>0.4</v>
      </c>
      <c r="G10" s="218">
        <f t="shared" si="1"/>
        <v>0.6</v>
      </c>
      <c r="H10" s="218">
        <f>0</f>
        <v>0</v>
      </c>
      <c r="I10" s="218">
        <f>0</f>
        <v>0</v>
      </c>
      <c r="J10" s="218">
        <f>0</f>
        <v>0</v>
      </c>
      <c r="K10" s="217"/>
      <c r="L10" s="217"/>
      <c r="M10" s="217"/>
      <c r="N10" s="217"/>
      <c r="O10" s="217"/>
      <c r="P10" s="218">
        <f t="shared" si="2"/>
        <v>1</v>
      </c>
    </row>
    <row r="11" spans="1:16" x14ac:dyDescent="0.25">
      <c r="A11" s="215">
        <v>4</v>
      </c>
      <c r="B11" s="216" t="s">
        <v>276</v>
      </c>
      <c r="C11" s="217"/>
      <c r="D11" s="217"/>
      <c r="E11" s="217"/>
      <c r="F11" s="218">
        <f t="shared" si="0"/>
        <v>0.2</v>
      </c>
      <c r="G11" s="218">
        <f t="shared" si="1"/>
        <v>0.8</v>
      </c>
      <c r="H11" s="218">
        <f>0</f>
        <v>0</v>
      </c>
      <c r="I11" s="218">
        <f>0</f>
        <v>0</v>
      </c>
      <c r="J11" s="218">
        <f>0</f>
        <v>0</v>
      </c>
      <c r="K11" s="217"/>
      <c r="L11" s="217"/>
      <c r="M11" s="217"/>
      <c r="N11" s="217"/>
      <c r="O11" s="217"/>
      <c r="P11" s="218">
        <f t="shared" si="2"/>
        <v>1</v>
      </c>
    </row>
    <row r="12" spans="1:16" x14ac:dyDescent="0.25">
      <c r="A12" s="215">
        <v>5</v>
      </c>
      <c r="B12" s="216" t="s">
        <v>277</v>
      </c>
      <c r="C12" s="217"/>
      <c r="D12" s="217"/>
      <c r="E12" s="217"/>
      <c r="F12" s="218">
        <f>0</f>
        <v>0</v>
      </c>
      <c r="G12" s="218">
        <f>(10-A12)/(10-5)</f>
        <v>1</v>
      </c>
      <c r="H12" s="218">
        <f>1-(10-A12)/(10-5)</f>
        <v>0</v>
      </c>
      <c r="I12" s="218">
        <f>0</f>
        <v>0</v>
      </c>
      <c r="J12" s="218">
        <f>0</f>
        <v>0</v>
      </c>
      <c r="K12" s="217"/>
      <c r="L12" s="217"/>
      <c r="M12" s="217"/>
      <c r="N12" s="217"/>
      <c r="O12" s="217"/>
      <c r="P12" s="218">
        <f t="shared" si="2"/>
        <v>1</v>
      </c>
    </row>
    <row r="13" spans="1:16" x14ac:dyDescent="0.25">
      <c r="A13" s="215">
        <v>6</v>
      </c>
      <c r="B13" s="216" t="s">
        <v>278</v>
      </c>
      <c r="C13" s="217"/>
      <c r="D13" s="217"/>
      <c r="E13" s="217"/>
      <c r="F13" s="218">
        <f>0</f>
        <v>0</v>
      </c>
      <c r="G13" s="218">
        <f>(10-A13)/(10-5)</f>
        <v>0.8</v>
      </c>
      <c r="H13" s="218">
        <f t="shared" ref="H13:H16" si="3">1-(10-A13)/(10-5)</f>
        <v>0.19999999999999996</v>
      </c>
      <c r="I13" s="218">
        <f>0</f>
        <v>0</v>
      </c>
      <c r="J13" s="218">
        <f>0</f>
        <v>0</v>
      </c>
      <c r="K13" s="217"/>
      <c r="L13" s="217"/>
      <c r="M13" s="217"/>
      <c r="N13" s="217"/>
      <c r="O13" s="217"/>
      <c r="P13" s="218">
        <f t="shared" si="2"/>
        <v>1</v>
      </c>
    </row>
    <row r="14" spans="1:16" x14ac:dyDescent="0.25">
      <c r="A14" s="215">
        <v>7</v>
      </c>
      <c r="B14" s="216" t="s">
        <v>278</v>
      </c>
      <c r="C14" s="217"/>
      <c r="D14" s="217"/>
      <c r="E14" s="217"/>
      <c r="F14" s="218">
        <f>0</f>
        <v>0</v>
      </c>
      <c r="G14" s="218">
        <f t="shared" ref="G14:G16" si="4">(10-A14)/(10-5)</f>
        <v>0.6</v>
      </c>
      <c r="H14" s="218">
        <f t="shared" si="3"/>
        <v>0.4</v>
      </c>
      <c r="I14" s="218">
        <f>0</f>
        <v>0</v>
      </c>
      <c r="J14" s="218">
        <f>0</f>
        <v>0</v>
      </c>
      <c r="K14" s="217"/>
      <c r="L14" s="217"/>
      <c r="M14" s="217"/>
      <c r="N14" s="217"/>
      <c r="O14" s="217"/>
      <c r="P14" s="218">
        <f t="shared" si="2"/>
        <v>1</v>
      </c>
    </row>
    <row r="15" spans="1:16" x14ac:dyDescent="0.25">
      <c r="A15" s="215">
        <v>8</v>
      </c>
      <c r="B15" s="216" t="s">
        <v>278</v>
      </c>
      <c r="C15" s="217"/>
      <c r="D15" s="217"/>
      <c r="E15" s="217"/>
      <c r="F15" s="218">
        <f>0</f>
        <v>0</v>
      </c>
      <c r="G15" s="218">
        <f t="shared" si="4"/>
        <v>0.4</v>
      </c>
      <c r="H15" s="218">
        <f t="shared" si="3"/>
        <v>0.6</v>
      </c>
      <c r="I15" s="218">
        <f>0</f>
        <v>0</v>
      </c>
      <c r="J15" s="218">
        <f>0</f>
        <v>0</v>
      </c>
      <c r="K15" s="217"/>
      <c r="L15" s="217"/>
      <c r="M15" s="217"/>
      <c r="N15" s="217"/>
      <c r="O15" s="217"/>
      <c r="P15" s="218">
        <f t="shared" si="2"/>
        <v>1</v>
      </c>
    </row>
    <row r="16" spans="1:16" x14ac:dyDescent="0.25">
      <c r="A16" s="215">
        <v>9</v>
      </c>
      <c r="B16" s="216" t="s">
        <v>278</v>
      </c>
      <c r="C16" s="217"/>
      <c r="D16" s="217"/>
      <c r="E16" s="217"/>
      <c r="F16" s="218">
        <f>0</f>
        <v>0</v>
      </c>
      <c r="G16" s="218">
        <f t="shared" si="4"/>
        <v>0.2</v>
      </c>
      <c r="H16" s="218">
        <f t="shared" si="3"/>
        <v>0.8</v>
      </c>
      <c r="I16" s="218">
        <f>0</f>
        <v>0</v>
      </c>
      <c r="J16" s="218">
        <f>0</f>
        <v>0</v>
      </c>
      <c r="K16" s="217"/>
      <c r="L16" s="217"/>
      <c r="M16" s="217"/>
      <c r="N16" s="217"/>
      <c r="O16" s="217"/>
      <c r="P16" s="218">
        <f t="shared" si="2"/>
        <v>1</v>
      </c>
    </row>
    <row r="17" spans="1:16" x14ac:dyDescent="0.25">
      <c r="A17" s="215">
        <v>11</v>
      </c>
      <c r="B17" s="216" t="s">
        <v>279</v>
      </c>
      <c r="C17" s="217"/>
      <c r="D17" s="217"/>
      <c r="E17" s="217"/>
      <c r="F17" s="218">
        <f>0</f>
        <v>0</v>
      </c>
      <c r="G17" s="218">
        <v>0</v>
      </c>
      <c r="H17" s="218">
        <f>(15-A17)/(15-10)</f>
        <v>0.8</v>
      </c>
      <c r="I17" s="218">
        <f>1-(15-A17)/(15-10)</f>
        <v>0.19999999999999996</v>
      </c>
      <c r="J17" s="218">
        <f>0</f>
        <v>0</v>
      </c>
      <c r="K17" s="217"/>
      <c r="L17" s="217"/>
      <c r="M17" s="217"/>
      <c r="N17" s="217"/>
      <c r="O17" s="217"/>
      <c r="P17" s="218">
        <f t="shared" si="2"/>
        <v>1</v>
      </c>
    </row>
    <row r="18" spans="1:16" x14ac:dyDescent="0.25">
      <c r="A18" s="215">
        <v>13</v>
      </c>
      <c r="B18" s="216" t="s">
        <v>279</v>
      </c>
      <c r="C18" s="217"/>
      <c r="D18" s="217"/>
      <c r="E18" s="217"/>
      <c r="F18" s="218">
        <f>0</f>
        <v>0</v>
      </c>
      <c r="G18" s="218">
        <v>0</v>
      </c>
      <c r="H18" s="218">
        <f>(15-A18)/(15-10)</f>
        <v>0.4</v>
      </c>
      <c r="I18" s="218">
        <f>1-(15-A18)/(15-10)</f>
        <v>0.6</v>
      </c>
      <c r="J18" s="218">
        <f>0</f>
        <v>0</v>
      </c>
      <c r="K18" s="217"/>
      <c r="L18" s="217"/>
      <c r="M18" s="217"/>
      <c r="N18" s="217"/>
      <c r="O18" s="217"/>
      <c r="P18" s="218">
        <f t="shared" si="2"/>
        <v>1</v>
      </c>
    </row>
    <row r="19" spans="1:16" ht="14.4" thickBot="1" x14ac:dyDescent="0.3"/>
    <row r="20" spans="1:16" ht="14.4" thickBot="1" x14ac:dyDescent="0.3">
      <c r="A20" s="260" t="s">
        <v>339</v>
      </c>
      <c r="B20" s="261"/>
      <c r="C20" s="261"/>
      <c r="D20" s="261"/>
      <c r="E20" s="261"/>
      <c r="F20" s="261"/>
      <c r="G20" s="261"/>
      <c r="H20" s="261"/>
      <c r="I20" s="261"/>
      <c r="J20" s="261"/>
      <c r="K20" s="261"/>
      <c r="L20" s="261"/>
      <c r="M20" s="261"/>
      <c r="N20" s="261"/>
      <c r="O20" s="261"/>
      <c r="P20" s="262"/>
    </row>
    <row r="21" spans="1:16" x14ac:dyDescent="0.25">
      <c r="A21" s="256"/>
      <c r="B21" s="255"/>
      <c r="C21" s="255"/>
      <c r="D21" s="255"/>
      <c r="E21" s="255"/>
      <c r="F21" s="255"/>
      <c r="G21" s="255"/>
      <c r="H21" s="255"/>
      <c r="I21" s="255"/>
      <c r="J21" s="255"/>
      <c r="K21" s="255"/>
      <c r="L21" s="255"/>
      <c r="M21" s="255"/>
      <c r="N21" s="255"/>
      <c r="O21" s="255"/>
      <c r="P21" s="255"/>
    </row>
    <row r="22" spans="1:16" ht="26.4" x14ac:dyDescent="0.25">
      <c r="A22" s="219" t="s">
        <v>280</v>
      </c>
      <c r="B22" s="215">
        <v>1</v>
      </c>
      <c r="C22" s="220">
        <f>Assets!C5*Assets!C7</f>
        <v>13200000</v>
      </c>
      <c r="D22" s="220">
        <f>C22*Part1_Quest6_7!E15</f>
        <v>12733074.556934932</v>
      </c>
      <c r="E22" s="220">
        <f>B22*D22</f>
        <v>12733074.556934932</v>
      </c>
      <c r="F22" s="218" cm="1">
        <f t="array" ref="F22:J24">F8:J10</f>
        <v>0.8</v>
      </c>
      <c r="G22" s="218">
        <v>0.19999999999999996</v>
      </c>
      <c r="H22" s="218">
        <v>0</v>
      </c>
      <c r="I22" s="218">
        <v>0</v>
      </c>
      <c r="J22" s="218">
        <v>0</v>
      </c>
      <c r="K22" s="220">
        <f>$E22*F22</f>
        <v>10186459.645547947</v>
      </c>
      <c r="L22" s="220">
        <f t="shared" ref="L22:N24" si="5">$E22*G22</f>
        <v>2546614.9113869858</v>
      </c>
      <c r="M22" s="220">
        <f t="shared" si="5"/>
        <v>0</v>
      </c>
      <c r="N22" s="220">
        <f t="shared" si="5"/>
        <v>0</v>
      </c>
      <c r="O22" s="220">
        <f>$E22*J22</f>
        <v>0</v>
      </c>
      <c r="P22" s="220">
        <f>SUM(K22:N22)</f>
        <v>12733074.556934932</v>
      </c>
    </row>
    <row r="23" spans="1:16" ht="26.4" x14ac:dyDescent="0.25">
      <c r="A23" s="219" t="s">
        <v>281</v>
      </c>
      <c r="B23" s="215">
        <v>2</v>
      </c>
      <c r="C23" s="220">
        <f>Assets!C5*Assets!C7</f>
        <v>13200000</v>
      </c>
      <c r="D23" s="220">
        <f>C23*Part1_Quest6_7!E16</f>
        <v>12171118.576089278</v>
      </c>
      <c r="E23" s="220">
        <f t="shared" ref="E23:E24" si="6">B23*D23</f>
        <v>24342237.152178556</v>
      </c>
      <c r="F23" s="218">
        <v>0.6</v>
      </c>
      <c r="G23" s="218">
        <v>0.4</v>
      </c>
      <c r="H23" s="218">
        <v>0</v>
      </c>
      <c r="I23" s="218">
        <v>0</v>
      </c>
      <c r="J23" s="218">
        <v>0</v>
      </c>
      <c r="K23" s="220">
        <f>$E23*F23</f>
        <v>14605342.291307133</v>
      </c>
      <c r="L23" s="220">
        <f t="shared" si="5"/>
        <v>9736894.860871423</v>
      </c>
      <c r="M23" s="220">
        <f t="shared" si="5"/>
        <v>0</v>
      </c>
      <c r="N23" s="220">
        <f t="shared" si="5"/>
        <v>0</v>
      </c>
      <c r="O23" s="220">
        <f t="shared" ref="O23:O24" si="7">$E23*J23</f>
        <v>0</v>
      </c>
      <c r="P23" s="220">
        <f t="shared" ref="P23:P24" si="8">SUM(K23:N23)</f>
        <v>24342237.152178556</v>
      </c>
    </row>
    <row r="24" spans="1:16" ht="40.200000000000003" thickBot="1" x14ac:dyDescent="0.3">
      <c r="A24" s="219" t="s">
        <v>282</v>
      </c>
      <c r="B24" s="215">
        <v>3</v>
      </c>
      <c r="C24" s="220">
        <f>Assets!C5*Assets!C7+Assets!C7</f>
        <v>563200000</v>
      </c>
      <c r="D24" s="220">
        <f>C24*Part1_Quest6_7!E17</f>
        <v>493525873.4878912</v>
      </c>
      <c r="E24" s="220">
        <f t="shared" si="6"/>
        <v>1480577620.4636736</v>
      </c>
      <c r="F24" s="218">
        <v>0.4</v>
      </c>
      <c r="G24" s="218">
        <v>0.6</v>
      </c>
      <c r="H24" s="218">
        <v>0</v>
      </c>
      <c r="I24" s="218">
        <v>0</v>
      </c>
      <c r="J24" s="218">
        <v>0</v>
      </c>
      <c r="K24" s="220">
        <f t="shared" ref="K24" si="9">$E24*F24</f>
        <v>592231048.18546951</v>
      </c>
      <c r="L24" s="220">
        <f t="shared" si="5"/>
        <v>888346572.27820408</v>
      </c>
      <c r="M24" s="220">
        <f t="shared" si="5"/>
        <v>0</v>
      </c>
      <c r="N24" s="220">
        <f t="shared" si="5"/>
        <v>0</v>
      </c>
      <c r="O24" s="220">
        <f t="shared" si="7"/>
        <v>0</v>
      </c>
      <c r="P24" s="220">
        <f t="shared" si="8"/>
        <v>1480577620.4636736</v>
      </c>
    </row>
    <row r="25" spans="1:16" ht="14.4" thickBot="1" x14ac:dyDescent="0.3">
      <c r="A25" s="221" t="s">
        <v>340</v>
      </c>
      <c r="B25" s="222"/>
      <c r="C25" s="222">
        <f>SUM(C22:C24)</f>
        <v>589600000</v>
      </c>
      <c r="D25" s="222">
        <f t="shared" ref="D25:E25" si="10">SUM(D22:D24)</f>
        <v>518430066.62091541</v>
      </c>
      <c r="E25" s="222">
        <f t="shared" si="10"/>
        <v>1517652932.1727872</v>
      </c>
      <c r="F25" s="222"/>
      <c r="G25" s="222"/>
      <c r="H25" s="222"/>
      <c r="I25" s="222"/>
      <c r="J25" s="222"/>
      <c r="K25" s="222">
        <f t="shared" ref="K25" si="11">SUM(K22:K24)</f>
        <v>617022850.12232459</v>
      </c>
      <c r="L25" s="222">
        <f t="shared" ref="L25" si="12">SUM(L22:L24)</f>
        <v>900630082.05046248</v>
      </c>
      <c r="M25" s="222">
        <f>SUM(M22:M24)</f>
        <v>0</v>
      </c>
      <c r="N25" s="222">
        <f t="shared" ref="N25" si="13">SUM(N22:N24)</f>
        <v>0</v>
      </c>
      <c r="O25" s="222">
        <f t="shared" ref="O25" si="14">SUM(O22:O24)</f>
        <v>0</v>
      </c>
      <c r="P25" s="222">
        <f>SUM(P22:P24)</f>
        <v>1517652932.1727872</v>
      </c>
    </row>
    <row r="26" spans="1:16" x14ac:dyDescent="0.25">
      <c r="A26" s="257" t="s">
        <v>341</v>
      </c>
      <c r="B26" s="258"/>
      <c r="C26" s="258"/>
      <c r="D26" s="258"/>
      <c r="E26" s="258"/>
      <c r="F26" s="258"/>
      <c r="G26" s="258"/>
      <c r="H26" s="258"/>
      <c r="I26" s="258"/>
      <c r="J26" s="258"/>
      <c r="K26" s="258"/>
      <c r="L26" s="258"/>
      <c r="M26" s="258"/>
      <c r="N26" s="258"/>
      <c r="O26" s="258"/>
      <c r="P26" s="259"/>
    </row>
    <row r="27" spans="1:16" ht="14.4" thickBot="1" x14ac:dyDescent="0.3"/>
    <row r="28" spans="1:16" ht="14.4" thickBot="1" x14ac:dyDescent="0.3">
      <c r="A28" s="260" t="s">
        <v>342</v>
      </c>
      <c r="B28" s="261"/>
      <c r="C28" s="261"/>
      <c r="D28" s="261"/>
      <c r="E28" s="261"/>
      <c r="F28" s="261"/>
      <c r="G28" s="261"/>
      <c r="H28" s="261"/>
      <c r="I28" s="261"/>
      <c r="J28" s="261"/>
      <c r="K28" s="261"/>
      <c r="L28" s="261"/>
      <c r="M28" s="261"/>
      <c r="N28" s="261"/>
      <c r="O28" s="261"/>
      <c r="P28" s="262"/>
    </row>
    <row r="29" spans="1:16" x14ac:dyDescent="0.25">
      <c r="A29" s="256"/>
      <c r="B29" s="255"/>
      <c r="C29" s="255"/>
      <c r="D29" s="255"/>
      <c r="E29" s="255"/>
      <c r="F29" s="255"/>
      <c r="G29" s="255"/>
      <c r="H29" s="255"/>
      <c r="I29" s="255"/>
      <c r="J29" s="255"/>
      <c r="K29" s="255"/>
      <c r="L29" s="255"/>
      <c r="M29" s="255"/>
      <c r="N29" s="255"/>
      <c r="O29" s="255"/>
      <c r="P29" s="255"/>
    </row>
    <row r="30" spans="1:16" ht="26.4" x14ac:dyDescent="0.25">
      <c r="A30" s="219" t="s">
        <v>280</v>
      </c>
      <c r="B30" s="215">
        <v>1</v>
      </c>
      <c r="C30" s="220">
        <f>Assets!$C$12*Assets!$C$14</f>
        <v>22110000</v>
      </c>
      <c r="D30" s="220">
        <f>C30*Part1_Quest6_7!E29</f>
        <v>21073494.569011185</v>
      </c>
      <c r="E30" s="220">
        <f>B30*D30</f>
        <v>21073494.569011185</v>
      </c>
      <c r="F30" s="218" cm="1">
        <f t="array" ref="F30:J34">F8:J12</f>
        <v>0.8</v>
      </c>
      <c r="G30" s="218">
        <v>0.19999999999999996</v>
      </c>
      <c r="H30" s="218">
        <v>0</v>
      </c>
      <c r="I30" s="218">
        <v>0</v>
      </c>
      <c r="J30" s="218">
        <v>0</v>
      </c>
      <c r="K30" s="220">
        <f>$E30*F30</f>
        <v>16858795.655208949</v>
      </c>
      <c r="L30" s="220">
        <f t="shared" ref="L30:O34" si="15">$E30*G30</f>
        <v>4214698.9138022363</v>
      </c>
      <c r="M30" s="220">
        <f t="shared" si="15"/>
        <v>0</v>
      </c>
      <c r="N30" s="220">
        <f t="shared" si="15"/>
        <v>0</v>
      </c>
      <c r="O30" s="220">
        <f t="shared" si="15"/>
        <v>0</v>
      </c>
      <c r="P30" s="220">
        <f>SUM(K30:O30)</f>
        <v>21073494.569011185</v>
      </c>
    </row>
    <row r="31" spans="1:16" ht="26.4" x14ac:dyDescent="0.25">
      <c r="A31" s="219" t="s">
        <v>281</v>
      </c>
      <c r="B31" s="215">
        <v>2</v>
      </c>
      <c r="C31" s="220">
        <f>Assets!$C$12*Assets!$C$14</f>
        <v>22110000</v>
      </c>
      <c r="D31" s="220">
        <f>C31*Part1_Quest6_7!E30</f>
        <v>19903169.305488367</v>
      </c>
      <c r="E31" s="220">
        <f t="shared" ref="E31:E34" si="16">B31*D31</f>
        <v>39806338.610976733</v>
      </c>
      <c r="F31" s="218">
        <v>0.6</v>
      </c>
      <c r="G31" s="218">
        <v>0.4</v>
      </c>
      <c r="H31" s="218">
        <v>0</v>
      </c>
      <c r="I31" s="218">
        <v>0</v>
      </c>
      <c r="J31" s="218">
        <v>0</v>
      </c>
      <c r="K31" s="220">
        <f t="shared" ref="K31:K34" si="17">$E31*F31</f>
        <v>23883803.166586038</v>
      </c>
      <c r="L31" s="220">
        <f t="shared" si="15"/>
        <v>15922535.444390694</v>
      </c>
      <c r="M31" s="220">
        <f t="shared" si="15"/>
        <v>0</v>
      </c>
      <c r="N31" s="220">
        <f t="shared" si="15"/>
        <v>0</v>
      </c>
      <c r="O31" s="220">
        <f t="shared" si="15"/>
        <v>0</v>
      </c>
      <c r="P31" s="220">
        <f t="shared" ref="P31:P34" si="18">SUM(K31:O31)</f>
        <v>39806338.610976733</v>
      </c>
    </row>
    <row r="32" spans="1:16" ht="26.4" x14ac:dyDescent="0.25">
      <c r="A32" s="219" t="s">
        <v>283</v>
      </c>
      <c r="B32" s="215">
        <v>3</v>
      </c>
      <c r="C32" s="220">
        <f>Assets!$C$12*Assets!$C$14</f>
        <v>22110000</v>
      </c>
      <c r="D32" s="220">
        <f>C32*Part1_Quest6_7!E31</f>
        <v>18689660.865628451</v>
      </c>
      <c r="E32" s="220">
        <f t="shared" si="16"/>
        <v>56068982.596885353</v>
      </c>
      <c r="F32" s="218">
        <v>0.4</v>
      </c>
      <c r="G32" s="218">
        <v>0.6</v>
      </c>
      <c r="H32" s="218">
        <v>0</v>
      </c>
      <c r="I32" s="218">
        <v>0</v>
      </c>
      <c r="J32" s="218">
        <v>0</v>
      </c>
      <c r="K32" s="220">
        <f t="shared" si="17"/>
        <v>22427593.038754143</v>
      </c>
      <c r="L32" s="220">
        <f t="shared" si="15"/>
        <v>33641389.558131211</v>
      </c>
      <c r="M32" s="220">
        <f t="shared" si="15"/>
        <v>0</v>
      </c>
      <c r="N32" s="220">
        <f t="shared" si="15"/>
        <v>0</v>
      </c>
      <c r="O32" s="220">
        <f t="shared" si="15"/>
        <v>0</v>
      </c>
      <c r="P32" s="220">
        <f t="shared" si="18"/>
        <v>56068982.596885353</v>
      </c>
    </row>
    <row r="33" spans="1:16" ht="26.4" x14ac:dyDescent="0.25">
      <c r="A33" s="219" t="s">
        <v>284</v>
      </c>
      <c r="B33" s="215">
        <v>4</v>
      </c>
      <c r="C33" s="220">
        <f>Assets!$C$12*Assets!$C$14</f>
        <v>22110000</v>
      </c>
      <c r="D33" s="220">
        <f>C33*Part1_Quest6_7!E32</f>
        <v>17489590.635129891</v>
      </c>
      <c r="E33" s="220">
        <f t="shared" si="16"/>
        <v>69958362.540519565</v>
      </c>
      <c r="F33" s="218">
        <v>0.2</v>
      </c>
      <c r="G33" s="218">
        <v>0.8</v>
      </c>
      <c r="H33" s="218">
        <v>0</v>
      </c>
      <c r="I33" s="218">
        <v>0</v>
      </c>
      <c r="J33" s="218">
        <v>0</v>
      </c>
      <c r="K33" s="220">
        <f t="shared" si="17"/>
        <v>13991672.508103915</v>
      </c>
      <c r="L33" s="220">
        <f t="shared" si="15"/>
        <v>55966690.032415658</v>
      </c>
      <c r="M33" s="220">
        <f t="shared" si="15"/>
        <v>0</v>
      </c>
      <c r="N33" s="220">
        <f t="shared" si="15"/>
        <v>0</v>
      </c>
      <c r="O33" s="220">
        <f t="shared" si="15"/>
        <v>0</v>
      </c>
      <c r="P33" s="220">
        <f t="shared" si="18"/>
        <v>69958362.540519565</v>
      </c>
    </row>
    <row r="34" spans="1:16" ht="66.599999999999994" thickBot="1" x14ac:dyDescent="0.3">
      <c r="A34" s="219" t="s">
        <v>285</v>
      </c>
      <c r="B34" s="215">
        <v>5</v>
      </c>
      <c r="C34" s="220">
        <f>Assets!$C$12*Assets!$C$14+Assets!C14</f>
        <v>692110000</v>
      </c>
      <c r="D34" s="220">
        <f>C34*Part1_Quest6_7!E33</f>
        <v>511359839.7637341</v>
      </c>
      <c r="E34" s="220">
        <f t="shared" si="16"/>
        <v>2556799198.8186703</v>
      </c>
      <c r="F34" s="218">
        <v>0</v>
      </c>
      <c r="G34" s="218">
        <v>1</v>
      </c>
      <c r="H34" s="218">
        <v>0</v>
      </c>
      <c r="I34" s="218">
        <v>0</v>
      </c>
      <c r="J34" s="218">
        <v>0</v>
      </c>
      <c r="K34" s="220">
        <f t="shared" si="17"/>
        <v>0</v>
      </c>
      <c r="L34" s="220">
        <f t="shared" si="15"/>
        <v>2556799198.8186703</v>
      </c>
      <c r="M34" s="220">
        <f t="shared" si="15"/>
        <v>0</v>
      </c>
      <c r="N34" s="220">
        <f t="shared" si="15"/>
        <v>0</v>
      </c>
      <c r="O34" s="220">
        <f t="shared" si="15"/>
        <v>0</v>
      </c>
      <c r="P34" s="220">
        <f t="shared" si="18"/>
        <v>2556799198.8186703</v>
      </c>
    </row>
    <row r="35" spans="1:16" ht="14.4" thickBot="1" x14ac:dyDescent="0.3">
      <c r="A35" s="221" t="s">
        <v>343</v>
      </c>
      <c r="B35" s="222"/>
      <c r="C35" s="222">
        <f>SUM(C30:C34)</f>
        <v>780550000</v>
      </c>
      <c r="D35" s="222">
        <f t="shared" ref="D35:E35" si="19">SUM(D30:D34)</f>
        <v>588515755.13899195</v>
      </c>
      <c r="E35" s="222">
        <f t="shared" si="19"/>
        <v>2743706377.1360631</v>
      </c>
      <c r="F35" s="222"/>
      <c r="G35" s="222"/>
      <c r="H35" s="222"/>
      <c r="I35" s="222"/>
      <c r="J35" s="222"/>
      <c r="K35" s="222">
        <f t="shared" ref="K35:L35" si="20">SUM(K30:K34)</f>
        <v>77161864.368653044</v>
      </c>
      <c r="L35" s="222">
        <f t="shared" si="20"/>
        <v>2666544512.7674103</v>
      </c>
      <c r="M35" s="222">
        <f t="shared" ref="M35" si="21">SUM(M30:M34)</f>
        <v>0</v>
      </c>
      <c r="N35" s="222">
        <f t="shared" ref="N35:O35" si="22">SUM(N30:N34)</f>
        <v>0</v>
      </c>
      <c r="O35" s="222">
        <f t="shared" si="22"/>
        <v>0</v>
      </c>
      <c r="P35" s="222">
        <f t="shared" ref="P35" si="23">SUM(P30:P34)</f>
        <v>2743706377.1360631</v>
      </c>
    </row>
    <row r="36" spans="1:16" x14ac:dyDescent="0.25">
      <c r="A36" s="257" t="s">
        <v>344</v>
      </c>
      <c r="B36" s="258"/>
      <c r="C36" s="258"/>
      <c r="D36" s="258"/>
      <c r="E36" s="258"/>
      <c r="F36" s="258"/>
      <c r="G36" s="258"/>
      <c r="H36" s="258"/>
      <c r="I36" s="258"/>
      <c r="J36" s="258"/>
      <c r="K36" s="258"/>
      <c r="L36" s="258"/>
      <c r="M36" s="258"/>
      <c r="N36" s="258"/>
      <c r="O36" s="258"/>
      <c r="P36" s="259"/>
    </row>
    <row r="37" spans="1:16" ht="14.4" thickBot="1" x14ac:dyDescent="0.3"/>
    <row r="38" spans="1:16" ht="14.4" thickBot="1" x14ac:dyDescent="0.3">
      <c r="A38" s="260" t="s">
        <v>347</v>
      </c>
      <c r="B38" s="261"/>
      <c r="C38" s="261"/>
      <c r="D38" s="261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P38" s="262"/>
    </row>
    <row r="39" spans="1:16" x14ac:dyDescent="0.25">
      <c r="A39" s="256"/>
      <c r="B39" s="255"/>
      <c r="C39" s="255"/>
      <c r="D39" s="255"/>
      <c r="E39" s="255"/>
      <c r="F39" s="255"/>
      <c r="G39" s="255"/>
      <c r="H39" s="255"/>
      <c r="I39" s="255"/>
      <c r="J39" s="255"/>
      <c r="K39" s="255"/>
      <c r="L39" s="255"/>
      <c r="M39" s="255"/>
      <c r="N39" s="255"/>
      <c r="O39" s="255"/>
      <c r="P39" s="255"/>
    </row>
    <row r="40" spans="1:16" ht="26.4" x14ac:dyDescent="0.25">
      <c r="A40" s="219" t="s">
        <v>280</v>
      </c>
      <c r="B40" s="215">
        <v>1</v>
      </c>
      <c r="C40" s="220">
        <f>Assets!$C$19*Assets!$C$21</f>
        <v>34560000</v>
      </c>
      <c r="D40" s="220">
        <f>Part1_Quest6_7!E46*Part1_Quest11!C40</f>
        <v>33104956.630850598</v>
      </c>
      <c r="E40" s="220">
        <f>B40*D40</f>
        <v>33104956.630850598</v>
      </c>
      <c r="F40" s="218" cm="1">
        <f t="array" ref="F40:J47">F8:J15</f>
        <v>0.8</v>
      </c>
      <c r="G40" s="218">
        <v>0.19999999999999996</v>
      </c>
      <c r="H40" s="218">
        <v>0</v>
      </c>
      <c r="I40" s="218">
        <v>0</v>
      </c>
      <c r="J40" s="218">
        <v>0</v>
      </c>
      <c r="K40" s="220">
        <f>$E40*F40</f>
        <v>26483965.304680482</v>
      </c>
      <c r="L40" s="220">
        <f t="shared" ref="L40:O47" si="24">$E40*G40</f>
        <v>6620991.3261701185</v>
      </c>
      <c r="M40" s="220">
        <f t="shared" si="24"/>
        <v>0</v>
      </c>
      <c r="N40" s="220">
        <f t="shared" si="24"/>
        <v>0</v>
      </c>
      <c r="O40" s="220">
        <f t="shared" si="24"/>
        <v>0</v>
      </c>
      <c r="P40" s="220">
        <f>SUM(K40:O40)</f>
        <v>33104956.630850598</v>
      </c>
    </row>
    <row r="41" spans="1:16" ht="26.4" x14ac:dyDescent="0.25">
      <c r="A41" s="219" t="s">
        <v>281</v>
      </c>
      <c r="B41" s="215">
        <v>2</v>
      </c>
      <c r="C41" s="220">
        <f>Assets!$C$19*Assets!$C$21</f>
        <v>34560000</v>
      </c>
      <c r="D41" s="220">
        <f>Part1_Quest6_7!E47*Part1_Quest11!C41</f>
        <v>31423182.908894148</v>
      </c>
      <c r="E41" s="220">
        <f t="shared" ref="E41:E47" si="25">B41*D41</f>
        <v>62846365.817788295</v>
      </c>
      <c r="F41" s="218">
        <v>0.6</v>
      </c>
      <c r="G41" s="218">
        <v>0.4</v>
      </c>
      <c r="H41" s="218">
        <v>0</v>
      </c>
      <c r="I41" s="218">
        <v>0</v>
      </c>
      <c r="J41" s="218">
        <v>0</v>
      </c>
      <c r="K41" s="220">
        <f t="shared" ref="K41:K47" si="26">$E41*F41</f>
        <v>37707819.490672976</v>
      </c>
      <c r="L41" s="220">
        <f t="shared" si="24"/>
        <v>25138546.32711532</v>
      </c>
      <c r="M41" s="220">
        <f t="shared" si="24"/>
        <v>0</v>
      </c>
      <c r="N41" s="220">
        <f t="shared" si="24"/>
        <v>0</v>
      </c>
      <c r="O41" s="220">
        <f t="shared" si="24"/>
        <v>0</v>
      </c>
      <c r="P41" s="220">
        <f t="shared" ref="P41:P47" si="27">SUM(K41:O41)</f>
        <v>62846365.817788295</v>
      </c>
    </row>
    <row r="42" spans="1:16" ht="26.4" x14ac:dyDescent="0.25">
      <c r="A42" s="219" t="s">
        <v>283</v>
      </c>
      <c r="B42" s="215">
        <v>3</v>
      </c>
      <c r="C42" s="220">
        <f>Assets!$C$19*Assets!$C$21</f>
        <v>34560000</v>
      </c>
      <c r="D42" s="220">
        <f>Part1_Quest6_7!E48*Part1_Quest11!C42</f>
        <v>29655198.091537219</v>
      </c>
      <c r="E42" s="220">
        <f t="shared" si="25"/>
        <v>88965594.274611652</v>
      </c>
      <c r="F42" s="218">
        <v>0.4</v>
      </c>
      <c r="G42" s="218">
        <v>0.6</v>
      </c>
      <c r="H42" s="218">
        <v>0</v>
      </c>
      <c r="I42" s="218">
        <v>0</v>
      </c>
      <c r="J42" s="218">
        <v>0</v>
      </c>
      <c r="K42" s="220">
        <f t="shared" si="26"/>
        <v>35586237.709844664</v>
      </c>
      <c r="L42" s="220">
        <f t="shared" si="24"/>
        <v>53379356.564766988</v>
      </c>
      <c r="M42" s="220">
        <f t="shared" si="24"/>
        <v>0</v>
      </c>
      <c r="N42" s="220">
        <f t="shared" si="24"/>
        <v>0</v>
      </c>
      <c r="O42" s="220">
        <f t="shared" si="24"/>
        <v>0</v>
      </c>
      <c r="P42" s="220">
        <f t="shared" si="27"/>
        <v>88965594.274611652</v>
      </c>
    </row>
    <row r="43" spans="1:16" ht="26.4" x14ac:dyDescent="0.25">
      <c r="A43" s="219" t="s">
        <v>284</v>
      </c>
      <c r="B43" s="215">
        <v>4</v>
      </c>
      <c r="C43" s="220">
        <f>Assets!$C$19*Assets!$C$21</f>
        <v>34560000</v>
      </c>
      <c r="D43" s="220">
        <f>Part1_Quest6_7!E49*Part1_Quest11!C43</f>
        <v>27890129.145801507</v>
      </c>
      <c r="E43" s="220">
        <f t="shared" si="25"/>
        <v>111560516.58320603</v>
      </c>
      <c r="F43" s="218">
        <v>0.2</v>
      </c>
      <c r="G43" s="218">
        <v>0.8</v>
      </c>
      <c r="H43" s="218">
        <v>0</v>
      </c>
      <c r="I43" s="218">
        <v>0</v>
      </c>
      <c r="J43" s="218">
        <v>0</v>
      </c>
      <c r="K43" s="220">
        <f t="shared" si="26"/>
        <v>22312103.316641208</v>
      </c>
      <c r="L43" s="220">
        <f t="shared" si="24"/>
        <v>89248413.266564831</v>
      </c>
      <c r="M43" s="220">
        <f t="shared" si="24"/>
        <v>0</v>
      </c>
      <c r="N43" s="220">
        <f t="shared" si="24"/>
        <v>0</v>
      </c>
      <c r="O43" s="220">
        <f t="shared" si="24"/>
        <v>0</v>
      </c>
      <c r="P43" s="220">
        <f t="shared" si="27"/>
        <v>111560516.58320604</v>
      </c>
    </row>
    <row r="44" spans="1:16" ht="26.4" x14ac:dyDescent="0.25">
      <c r="A44" s="219" t="s">
        <v>286</v>
      </c>
      <c r="B44" s="215">
        <v>5</v>
      </c>
      <c r="C44" s="220">
        <f>Assets!$C$19*Assets!$C$21</f>
        <v>34560000</v>
      </c>
      <c r="D44" s="220">
        <f>Part1_Quest6_7!E50*Part1_Quest11!C44</f>
        <v>26180780.456184234</v>
      </c>
      <c r="E44" s="220">
        <f t="shared" si="25"/>
        <v>130903902.28092118</v>
      </c>
      <c r="F44" s="218">
        <v>0</v>
      </c>
      <c r="G44" s="218">
        <v>1</v>
      </c>
      <c r="H44" s="218">
        <v>0</v>
      </c>
      <c r="I44" s="218">
        <v>0</v>
      </c>
      <c r="J44" s="218">
        <v>0</v>
      </c>
      <c r="K44" s="220">
        <f t="shared" si="26"/>
        <v>0</v>
      </c>
      <c r="L44" s="220">
        <f t="shared" si="24"/>
        <v>130903902.28092118</v>
      </c>
      <c r="M44" s="220">
        <f t="shared" si="24"/>
        <v>0</v>
      </c>
      <c r="N44" s="220">
        <f t="shared" si="24"/>
        <v>0</v>
      </c>
      <c r="O44" s="220">
        <f t="shared" si="24"/>
        <v>0</v>
      </c>
      <c r="P44" s="220">
        <f t="shared" si="27"/>
        <v>130903902.28092118</v>
      </c>
    </row>
    <row r="45" spans="1:16" ht="26.4" x14ac:dyDescent="0.25">
      <c r="A45" s="219" t="s">
        <v>287</v>
      </c>
      <c r="B45" s="215">
        <v>6</v>
      </c>
      <c r="C45" s="220">
        <f>Assets!$C$19*Assets!$C$21</f>
        <v>34560000</v>
      </c>
      <c r="D45" s="220">
        <f>Part1_Quest6_7!E51*Part1_Quest11!C45</f>
        <v>24555652.869277477</v>
      </c>
      <c r="E45" s="220">
        <f t="shared" si="25"/>
        <v>147333917.21566486</v>
      </c>
      <c r="F45" s="218">
        <v>0</v>
      </c>
      <c r="G45" s="218">
        <v>0.8</v>
      </c>
      <c r="H45" s="218">
        <v>0.19999999999999996</v>
      </c>
      <c r="I45" s="218">
        <v>0</v>
      </c>
      <c r="J45" s="218">
        <v>0</v>
      </c>
      <c r="K45" s="220">
        <f t="shared" si="26"/>
        <v>0</v>
      </c>
      <c r="L45" s="220">
        <f t="shared" si="24"/>
        <v>117867133.7725319</v>
      </c>
      <c r="M45" s="220">
        <f t="shared" si="24"/>
        <v>29466783.443132967</v>
      </c>
      <c r="N45" s="220">
        <f t="shared" si="24"/>
        <v>0</v>
      </c>
      <c r="O45" s="220">
        <f t="shared" si="24"/>
        <v>0</v>
      </c>
      <c r="P45" s="220">
        <f t="shared" si="27"/>
        <v>147333917.21566486</v>
      </c>
    </row>
    <row r="46" spans="1:16" ht="26.4" x14ac:dyDescent="0.25">
      <c r="A46" s="219" t="s">
        <v>288</v>
      </c>
      <c r="B46" s="215">
        <v>7</v>
      </c>
      <c r="C46" s="220">
        <f>Assets!$C$19*Assets!$C$21</f>
        <v>34560000</v>
      </c>
      <c r="D46" s="220">
        <f>Part1_Quest6_7!E52*Part1_Quest11!C46</f>
        <v>23027703.628661245</v>
      </c>
      <c r="E46" s="220">
        <f t="shared" si="25"/>
        <v>161193925.40062872</v>
      </c>
      <c r="F46" s="218">
        <v>0</v>
      </c>
      <c r="G46" s="218">
        <v>0.6</v>
      </c>
      <c r="H46" s="218">
        <v>0.4</v>
      </c>
      <c r="I46" s="218">
        <v>0</v>
      </c>
      <c r="J46" s="218">
        <v>0</v>
      </c>
      <c r="K46" s="220">
        <f t="shared" si="26"/>
        <v>0</v>
      </c>
      <c r="L46" s="220">
        <f t="shared" si="24"/>
        <v>96716355.240377232</v>
      </c>
      <c r="M46" s="220">
        <f t="shared" si="24"/>
        <v>64477570.160251491</v>
      </c>
      <c r="N46" s="220">
        <f t="shared" si="24"/>
        <v>0</v>
      </c>
      <c r="O46" s="220">
        <f t="shared" si="24"/>
        <v>0</v>
      </c>
      <c r="P46" s="220">
        <f t="shared" si="27"/>
        <v>161193925.40062872</v>
      </c>
    </row>
    <row r="47" spans="1:16" ht="40.200000000000003" thickBot="1" x14ac:dyDescent="0.3">
      <c r="A47" s="219" t="s">
        <v>289</v>
      </c>
      <c r="B47" s="215">
        <v>8</v>
      </c>
      <c r="C47" s="220">
        <f>Assets!$C$19*Assets!$C$21+Assets!$C$21</f>
        <v>754560000</v>
      </c>
      <c r="D47" s="220">
        <f>Part1_Quest6_7!E53*Part1_Quest11!C47</f>
        <v>471608312.28083432</v>
      </c>
      <c r="E47" s="220">
        <f t="shared" si="25"/>
        <v>3772866498.2466745</v>
      </c>
      <c r="F47" s="218">
        <v>0</v>
      </c>
      <c r="G47" s="218">
        <v>0.4</v>
      </c>
      <c r="H47" s="218">
        <v>0.6</v>
      </c>
      <c r="I47" s="218">
        <v>0</v>
      </c>
      <c r="J47" s="218">
        <v>0</v>
      </c>
      <c r="K47" s="220">
        <f t="shared" si="26"/>
        <v>0</v>
      </c>
      <c r="L47" s="220">
        <f t="shared" si="24"/>
        <v>1509146599.2986698</v>
      </c>
      <c r="M47" s="220">
        <f t="shared" si="24"/>
        <v>2263719898.9480047</v>
      </c>
      <c r="N47" s="220">
        <f t="shared" si="24"/>
        <v>0</v>
      </c>
      <c r="O47" s="220">
        <f t="shared" si="24"/>
        <v>0</v>
      </c>
      <c r="P47" s="220">
        <f t="shared" si="27"/>
        <v>3772866498.2466745</v>
      </c>
    </row>
    <row r="48" spans="1:16" ht="14.4" thickBot="1" x14ac:dyDescent="0.3">
      <c r="A48" s="221" t="s">
        <v>345</v>
      </c>
      <c r="B48" s="222"/>
      <c r="C48" s="222">
        <f>SUM(C40:C47)</f>
        <v>996480000</v>
      </c>
      <c r="D48" s="222">
        <f t="shared" ref="D48:P48" si="28">SUM(D40:D47)</f>
        <v>667445916.01204073</v>
      </c>
      <c r="E48" s="222">
        <f t="shared" si="28"/>
        <v>4508775676.450346</v>
      </c>
      <c r="F48" s="222"/>
      <c r="G48" s="222"/>
      <c r="H48" s="222"/>
      <c r="I48" s="222"/>
      <c r="J48" s="222"/>
      <c r="K48" s="222">
        <f t="shared" si="28"/>
        <v>122090125.82183933</v>
      </c>
      <c r="L48" s="222">
        <f t="shared" si="28"/>
        <v>2029021298.0771174</v>
      </c>
      <c r="M48" s="222">
        <f t="shared" si="28"/>
        <v>2357664252.5513892</v>
      </c>
      <c r="N48" s="222">
        <f t="shared" si="28"/>
        <v>0</v>
      </c>
      <c r="O48" s="222">
        <f t="shared" si="28"/>
        <v>0</v>
      </c>
      <c r="P48" s="222">
        <f t="shared" si="28"/>
        <v>4508775676.450346</v>
      </c>
    </row>
    <row r="49" spans="1:16" x14ac:dyDescent="0.25">
      <c r="A49" s="257" t="s">
        <v>346</v>
      </c>
      <c r="B49" s="258"/>
      <c r="C49" s="258"/>
      <c r="D49" s="258"/>
      <c r="E49" s="258"/>
      <c r="F49" s="258"/>
      <c r="G49" s="258"/>
      <c r="H49" s="258"/>
      <c r="I49" s="258"/>
      <c r="J49" s="258"/>
      <c r="K49" s="258"/>
      <c r="L49" s="258"/>
      <c r="M49" s="258"/>
      <c r="N49" s="258"/>
      <c r="O49" s="258"/>
      <c r="P49" s="259"/>
    </row>
    <row r="50" spans="1:16" ht="14.4" thickBot="1" x14ac:dyDescent="0.3"/>
    <row r="51" spans="1:16" ht="14.4" thickBot="1" x14ac:dyDescent="0.3">
      <c r="A51" s="260" t="s">
        <v>348</v>
      </c>
      <c r="B51" s="261"/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2"/>
    </row>
    <row r="52" spans="1:16" x14ac:dyDescent="0.25">
      <c r="A52" s="256"/>
      <c r="B52" s="255"/>
      <c r="C52" s="255"/>
      <c r="D52" s="255"/>
      <c r="E52" s="255"/>
      <c r="F52" s="255"/>
      <c r="G52" s="255"/>
      <c r="H52" s="255"/>
      <c r="I52" s="255"/>
      <c r="J52" s="255"/>
      <c r="K52" s="255"/>
      <c r="L52" s="255"/>
      <c r="M52" s="255"/>
      <c r="N52" s="255"/>
      <c r="O52" s="255"/>
      <c r="P52" s="255"/>
    </row>
    <row r="53" spans="1:16" x14ac:dyDescent="0.25">
      <c r="A53" s="223" t="s">
        <v>290</v>
      </c>
      <c r="B53" s="224"/>
      <c r="C53" s="217"/>
      <c r="D53" s="217"/>
      <c r="E53" s="217"/>
      <c r="F53" s="217"/>
      <c r="G53" s="217"/>
      <c r="H53" s="217"/>
      <c r="I53" s="217"/>
      <c r="J53" s="217"/>
      <c r="K53" s="220">
        <f>K25</f>
        <v>617022850.12232459</v>
      </c>
      <c r="L53" s="220">
        <f>L25</f>
        <v>900630082.05046248</v>
      </c>
      <c r="M53" s="220">
        <f t="shared" ref="M53:O53" si="29">M25</f>
        <v>0</v>
      </c>
      <c r="N53" s="220">
        <f t="shared" si="29"/>
        <v>0</v>
      </c>
      <c r="O53" s="220">
        <f t="shared" si="29"/>
        <v>0</v>
      </c>
      <c r="P53" s="220">
        <f>P25</f>
        <v>1517652932.1727872</v>
      </c>
    </row>
    <row r="54" spans="1:16" x14ac:dyDescent="0.25">
      <c r="A54" s="223" t="s">
        <v>291</v>
      </c>
      <c r="B54" s="224"/>
      <c r="C54" s="217"/>
      <c r="D54" s="217"/>
      <c r="E54" s="217"/>
      <c r="F54" s="217"/>
      <c r="G54" s="217"/>
      <c r="H54" s="217"/>
      <c r="I54" s="217"/>
      <c r="J54" s="217"/>
      <c r="K54" s="220">
        <f>K35</f>
        <v>77161864.368653044</v>
      </c>
      <c r="L54" s="220">
        <f>L35</f>
        <v>2666544512.7674103</v>
      </c>
      <c r="M54" s="220">
        <f t="shared" ref="M54:O54" si="30">M35</f>
        <v>0</v>
      </c>
      <c r="N54" s="220">
        <f t="shared" si="30"/>
        <v>0</v>
      </c>
      <c r="O54" s="220">
        <f t="shared" si="30"/>
        <v>0</v>
      </c>
      <c r="P54" s="220">
        <f>P35</f>
        <v>2743706377.1360631</v>
      </c>
    </row>
    <row r="55" spans="1:16" ht="14.4" thickBot="1" x14ac:dyDescent="0.3">
      <c r="A55" s="223" t="s">
        <v>292</v>
      </c>
      <c r="B55" s="224"/>
      <c r="C55" s="217"/>
      <c r="D55" s="217"/>
      <c r="E55" s="217"/>
      <c r="F55" s="217"/>
      <c r="G55" s="217"/>
      <c r="H55" s="217"/>
      <c r="I55" s="217"/>
      <c r="J55" s="217"/>
      <c r="K55" s="220">
        <f>K48</f>
        <v>122090125.82183933</v>
      </c>
      <c r="L55" s="220">
        <f>L48</f>
        <v>2029021298.0771174</v>
      </c>
      <c r="M55" s="220">
        <f t="shared" ref="M55:O55" si="31">M48</f>
        <v>2357664252.5513892</v>
      </c>
      <c r="N55" s="220">
        <f t="shared" si="31"/>
        <v>0</v>
      </c>
      <c r="O55" s="220">
        <f t="shared" si="31"/>
        <v>0</v>
      </c>
      <c r="P55" s="220">
        <f>P48</f>
        <v>4508775676.450346</v>
      </c>
    </row>
    <row r="56" spans="1:16" ht="14.4" thickBot="1" x14ac:dyDescent="0.3">
      <c r="A56" s="221" t="s">
        <v>349</v>
      </c>
      <c r="B56" s="222"/>
      <c r="C56" s="222"/>
      <c r="D56" s="222"/>
      <c r="E56" s="222"/>
      <c r="F56" s="222"/>
      <c r="G56" s="222"/>
      <c r="H56" s="222"/>
      <c r="I56" s="222"/>
      <c r="J56" s="222"/>
      <c r="K56" s="222">
        <f>SUM(K53:K55)</f>
        <v>816274840.31281698</v>
      </c>
      <c r="L56" s="222">
        <f t="shared" ref="L56:O56" si="32">SUM(L53:L55)</f>
        <v>5596195892.8949909</v>
      </c>
      <c r="M56" s="222">
        <f t="shared" si="32"/>
        <v>2357664252.5513892</v>
      </c>
      <c r="N56" s="222">
        <f t="shared" si="32"/>
        <v>0</v>
      </c>
      <c r="O56" s="222">
        <f t="shared" si="32"/>
        <v>0</v>
      </c>
      <c r="P56" s="222">
        <f>SUM(P53:P55)</f>
        <v>8770134985.7591972</v>
      </c>
    </row>
    <row r="57" spans="1:16" x14ac:dyDescent="0.25">
      <c r="A57" s="257" t="s">
        <v>350</v>
      </c>
      <c r="B57" s="258"/>
      <c r="C57" s="258"/>
      <c r="D57" s="258"/>
      <c r="E57" s="258"/>
      <c r="F57" s="258"/>
      <c r="G57" s="258"/>
      <c r="H57" s="258"/>
      <c r="I57" s="258"/>
      <c r="J57" s="258"/>
      <c r="K57" s="258"/>
      <c r="L57" s="258"/>
      <c r="M57" s="258"/>
      <c r="N57" s="258"/>
      <c r="O57" s="258"/>
      <c r="P57" s="259"/>
    </row>
    <row r="58" spans="1:16" ht="14.4" thickBot="1" x14ac:dyDescent="0.3"/>
    <row r="59" spans="1:16" ht="14.4" thickBot="1" x14ac:dyDescent="0.3">
      <c r="A59" s="260" t="s">
        <v>351</v>
      </c>
      <c r="B59" s="261"/>
      <c r="C59" s="261"/>
      <c r="D59" s="261"/>
      <c r="E59" s="261"/>
      <c r="F59" s="261"/>
      <c r="G59" s="261"/>
      <c r="H59" s="261"/>
      <c r="I59" s="261"/>
      <c r="J59" s="261"/>
      <c r="K59" s="261"/>
      <c r="L59" s="261"/>
      <c r="M59" s="261"/>
      <c r="N59" s="261"/>
      <c r="O59" s="261"/>
      <c r="P59" s="262"/>
    </row>
    <row r="60" spans="1:16" x14ac:dyDescent="0.25">
      <c r="A60" s="256"/>
      <c r="B60" s="255"/>
      <c r="C60" s="255"/>
      <c r="D60" s="255"/>
      <c r="E60" s="255"/>
      <c r="F60" s="255"/>
      <c r="G60" s="255"/>
      <c r="H60" s="255"/>
      <c r="I60" s="255"/>
      <c r="J60" s="255"/>
      <c r="K60" s="255"/>
      <c r="L60" s="255"/>
      <c r="M60" s="255"/>
      <c r="N60" s="255"/>
      <c r="O60" s="255"/>
      <c r="P60" s="255"/>
    </row>
    <row r="61" spans="1:16" ht="66" x14ac:dyDescent="0.25">
      <c r="A61" s="219" t="s">
        <v>293</v>
      </c>
      <c r="B61" s="215">
        <v>1</v>
      </c>
      <c r="C61" s="217"/>
      <c r="D61" s="220">
        <f>Part1_Quest5!J18</f>
        <v>241555461.88698474</v>
      </c>
      <c r="E61" s="220">
        <f>B61*D61</f>
        <v>241555461.88698474</v>
      </c>
      <c r="F61" s="218" cm="1">
        <f t="array" ref="F61:J61">F8:J8</f>
        <v>0.8</v>
      </c>
      <c r="G61" s="218">
        <v>0.19999999999999996</v>
      </c>
      <c r="H61" s="218">
        <v>0</v>
      </c>
      <c r="I61" s="218">
        <v>0</v>
      </c>
      <c r="J61" s="218">
        <v>0</v>
      </c>
      <c r="K61" s="220">
        <f>$E61*F61</f>
        <v>193244369.50958779</v>
      </c>
      <c r="L61" s="220">
        <f t="shared" ref="L61:O67" si="33">$E61*G61</f>
        <v>48311092.377396934</v>
      </c>
      <c r="M61" s="220">
        <f t="shared" si="33"/>
        <v>0</v>
      </c>
      <c r="N61" s="220">
        <f t="shared" si="33"/>
        <v>0</v>
      </c>
      <c r="O61" s="220">
        <f t="shared" si="33"/>
        <v>0</v>
      </c>
      <c r="P61" s="220">
        <f>SUM(K61:O61)</f>
        <v>241555461.88698474</v>
      </c>
    </row>
    <row r="62" spans="1:16" ht="66" x14ac:dyDescent="0.25">
      <c r="A62" s="219" t="s">
        <v>294</v>
      </c>
      <c r="B62" s="215">
        <v>3</v>
      </c>
      <c r="C62" s="217"/>
      <c r="D62" s="220">
        <f>Part1_Quest5!J17</f>
        <v>176730958.01394728</v>
      </c>
      <c r="E62" s="220">
        <f>B62*D62</f>
        <v>530192874.04184186</v>
      </c>
      <c r="F62" s="218" cm="1">
        <f t="array" ref="F62:J62">F10:J10</f>
        <v>0.4</v>
      </c>
      <c r="G62" s="218">
        <v>0.6</v>
      </c>
      <c r="H62" s="218">
        <v>0</v>
      </c>
      <c r="I62" s="218">
        <v>0</v>
      </c>
      <c r="J62" s="218">
        <v>0</v>
      </c>
      <c r="K62" s="220">
        <f t="shared" ref="K62:K67" si="34">$E62*F62</f>
        <v>212077149.61673677</v>
      </c>
      <c r="L62" s="220">
        <f t="shared" si="33"/>
        <v>318115724.42510509</v>
      </c>
      <c r="M62" s="220">
        <f t="shared" si="33"/>
        <v>0</v>
      </c>
      <c r="N62" s="220">
        <f t="shared" si="33"/>
        <v>0</v>
      </c>
      <c r="O62" s="220">
        <f t="shared" si="33"/>
        <v>0</v>
      </c>
      <c r="P62" s="220">
        <f t="shared" ref="P62:P67" si="35">SUM(K62:O62)</f>
        <v>530192874.04184186</v>
      </c>
    </row>
    <row r="63" spans="1:16" ht="66" x14ac:dyDescent="0.25">
      <c r="A63" s="219" t="s">
        <v>295</v>
      </c>
      <c r="B63" s="215">
        <v>5</v>
      </c>
      <c r="C63" s="217"/>
      <c r="D63" s="220">
        <f>Part1_Quest5!J16</f>
        <v>174902738.74064356</v>
      </c>
      <c r="E63" s="220">
        <f>B63*D63</f>
        <v>874513693.70321774</v>
      </c>
      <c r="F63" s="218" cm="1">
        <f t="array" ref="F63:J63">F12:J12</f>
        <v>0</v>
      </c>
      <c r="G63" s="218">
        <v>1</v>
      </c>
      <c r="H63" s="218">
        <v>0</v>
      </c>
      <c r="I63" s="218">
        <v>0</v>
      </c>
      <c r="J63" s="218">
        <v>0</v>
      </c>
      <c r="K63" s="220">
        <f t="shared" si="34"/>
        <v>0</v>
      </c>
      <c r="L63" s="220">
        <f t="shared" si="33"/>
        <v>874513693.70321774</v>
      </c>
      <c r="M63" s="220">
        <f t="shared" si="33"/>
        <v>0</v>
      </c>
      <c r="N63" s="220">
        <f t="shared" si="33"/>
        <v>0</v>
      </c>
      <c r="O63" s="220">
        <f t="shared" si="33"/>
        <v>0</v>
      </c>
      <c r="P63" s="220">
        <f t="shared" si="35"/>
        <v>874513693.70321774</v>
      </c>
    </row>
    <row r="64" spans="1:16" ht="66" x14ac:dyDescent="0.25">
      <c r="A64" s="219" t="s">
        <v>296</v>
      </c>
      <c r="B64" s="215">
        <v>7</v>
      </c>
      <c r="C64" s="217"/>
      <c r="D64" s="220">
        <f>Part1_Quest5!J15</f>
        <v>206803357.19158551</v>
      </c>
      <c r="E64" s="220">
        <f>B64*D64</f>
        <v>1447623500.3410985</v>
      </c>
      <c r="F64" s="218" cm="1">
        <f t="array" ref="F64:J64">F14:J14</f>
        <v>0</v>
      </c>
      <c r="G64" s="218">
        <v>0.6</v>
      </c>
      <c r="H64" s="218">
        <v>0.4</v>
      </c>
      <c r="I64" s="218">
        <v>0</v>
      </c>
      <c r="J64" s="218">
        <v>0</v>
      </c>
      <c r="K64" s="220">
        <f t="shared" si="34"/>
        <v>0</v>
      </c>
      <c r="L64" s="220">
        <f t="shared" si="33"/>
        <v>868574100.2046591</v>
      </c>
      <c r="M64" s="220">
        <f t="shared" si="33"/>
        <v>579049400.13643944</v>
      </c>
      <c r="N64" s="220">
        <f t="shared" si="33"/>
        <v>0</v>
      </c>
      <c r="O64" s="220">
        <f t="shared" si="33"/>
        <v>0</v>
      </c>
      <c r="P64" s="220">
        <f t="shared" si="35"/>
        <v>1447623500.3410985</v>
      </c>
    </row>
    <row r="65" spans="1:16" ht="66" x14ac:dyDescent="0.25">
      <c r="A65" s="219" t="s">
        <v>297</v>
      </c>
      <c r="B65" s="215">
        <v>9</v>
      </c>
      <c r="C65" s="217"/>
      <c r="D65" s="220">
        <f>Part1_Quest5!J14</f>
        <v>262489182.61884293</v>
      </c>
      <c r="E65" s="220">
        <f>B65*D65</f>
        <v>2362402643.5695863</v>
      </c>
      <c r="F65" s="218" cm="1">
        <f t="array" ref="F65:J65">F16:J16</f>
        <v>0</v>
      </c>
      <c r="G65" s="218">
        <v>0.2</v>
      </c>
      <c r="H65" s="218">
        <v>0.8</v>
      </c>
      <c r="I65" s="218">
        <v>0</v>
      </c>
      <c r="J65" s="218">
        <v>0</v>
      </c>
      <c r="K65" s="220">
        <f t="shared" si="34"/>
        <v>0</v>
      </c>
      <c r="L65" s="220">
        <f t="shared" si="33"/>
        <v>472480528.71391726</v>
      </c>
      <c r="M65" s="220">
        <f t="shared" si="33"/>
        <v>1889922114.855669</v>
      </c>
      <c r="N65" s="220">
        <f t="shared" si="33"/>
        <v>0</v>
      </c>
      <c r="O65" s="220">
        <f t="shared" si="33"/>
        <v>0</v>
      </c>
      <c r="P65" s="220">
        <f t="shared" si="35"/>
        <v>2362402643.5695863</v>
      </c>
    </row>
    <row r="66" spans="1:16" ht="66" x14ac:dyDescent="0.25">
      <c r="A66" s="219" t="s">
        <v>298</v>
      </c>
      <c r="B66" s="215">
        <v>11</v>
      </c>
      <c r="C66" s="217"/>
      <c r="D66" s="220">
        <f>Part1_Quest5!J13</f>
        <v>201917237.1607241</v>
      </c>
      <c r="E66" s="220">
        <f t="shared" ref="E66:E67" si="36">B66*D66</f>
        <v>2221089608.7679653</v>
      </c>
      <c r="F66" s="218" cm="1">
        <f t="array" ref="F66:J67">F17:J18</f>
        <v>0</v>
      </c>
      <c r="G66" s="218">
        <v>0</v>
      </c>
      <c r="H66" s="218">
        <v>0.8</v>
      </c>
      <c r="I66" s="218">
        <v>0.19999999999999996</v>
      </c>
      <c r="J66" s="218">
        <v>0</v>
      </c>
      <c r="K66" s="220">
        <f t="shared" si="34"/>
        <v>0</v>
      </c>
      <c r="L66" s="220">
        <f t="shared" si="33"/>
        <v>0</v>
      </c>
      <c r="M66" s="220">
        <f t="shared" si="33"/>
        <v>1776871687.0143723</v>
      </c>
      <c r="N66" s="220">
        <f t="shared" si="33"/>
        <v>444217921.75359297</v>
      </c>
      <c r="O66" s="220">
        <f t="shared" si="33"/>
        <v>0</v>
      </c>
      <c r="P66" s="220">
        <f>SUM(K66:O66)</f>
        <v>2221089608.7679653</v>
      </c>
    </row>
    <row r="67" spans="1:16" ht="66.599999999999994" thickBot="1" x14ac:dyDescent="0.3">
      <c r="A67" s="219" t="s">
        <v>299</v>
      </c>
      <c r="B67" s="215">
        <v>13</v>
      </c>
      <c r="C67" s="217"/>
      <c r="D67" s="220">
        <f>Part1_Quest5!J12</f>
        <v>273921697.10706687</v>
      </c>
      <c r="E67" s="220">
        <f t="shared" si="36"/>
        <v>3560982062.3918695</v>
      </c>
      <c r="F67" s="218">
        <v>0</v>
      </c>
      <c r="G67" s="218">
        <v>0</v>
      </c>
      <c r="H67" s="218">
        <v>0.4</v>
      </c>
      <c r="I67" s="218">
        <v>0.6</v>
      </c>
      <c r="J67" s="218">
        <v>0</v>
      </c>
      <c r="K67" s="220">
        <f t="shared" si="34"/>
        <v>0</v>
      </c>
      <c r="L67" s="220">
        <f t="shared" si="33"/>
        <v>0</v>
      </c>
      <c r="M67" s="220">
        <f t="shared" si="33"/>
        <v>1424392824.956748</v>
      </c>
      <c r="N67" s="220">
        <f t="shared" si="33"/>
        <v>2136589237.4351215</v>
      </c>
      <c r="O67" s="220">
        <f t="shared" si="33"/>
        <v>0</v>
      </c>
      <c r="P67" s="220">
        <f t="shared" si="35"/>
        <v>3560982062.3918695</v>
      </c>
    </row>
    <row r="68" spans="1:16" ht="14.4" thickBot="1" x14ac:dyDescent="0.3">
      <c r="A68" s="221" t="s">
        <v>352</v>
      </c>
      <c r="B68" s="222"/>
      <c r="C68" s="222"/>
      <c r="D68" s="222">
        <f>SUM(D61:D67)</f>
        <v>1538320632.719795</v>
      </c>
      <c r="E68" s="222">
        <f t="shared" ref="E68:O68" si="37">SUM(E61:E67)</f>
        <v>11238359844.702564</v>
      </c>
      <c r="F68" s="222"/>
      <c r="G68" s="222"/>
      <c r="H68" s="222"/>
      <c r="I68" s="222"/>
      <c r="J68" s="222"/>
      <c r="K68" s="222">
        <f t="shared" si="37"/>
        <v>405321519.12632453</v>
      </c>
      <c r="L68" s="222">
        <f t="shared" si="37"/>
        <v>2581995139.4242959</v>
      </c>
      <c r="M68" s="222">
        <f t="shared" si="37"/>
        <v>5670236026.9632282</v>
      </c>
      <c r="N68" s="222">
        <f t="shared" si="37"/>
        <v>2580807159.1887145</v>
      </c>
      <c r="O68" s="222">
        <f t="shared" si="37"/>
        <v>0</v>
      </c>
      <c r="P68" s="222">
        <f>SUM(P61:P67)</f>
        <v>11238359844.702564</v>
      </c>
    </row>
    <row r="69" spans="1:16" ht="13.95" customHeight="1" x14ac:dyDescent="0.25">
      <c r="A69" s="275" t="s">
        <v>354</v>
      </c>
      <c r="B69" s="276"/>
      <c r="C69" s="276"/>
      <c r="D69" s="276"/>
      <c r="E69" s="276"/>
      <c r="F69" s="276"/>
      <c r="G69" s="276"/>
      <c r="H69" s="276"/>
      <c r="I69" s="276"/>
      <c r="J69" s="276"/>
      <c r="K69" s="276"/>
      <c r="L69" s="276"/>
      <c r="M69" s="276"/>
      <c r="N69" s="276"/>
      <c r="O69" s="276"/>
      <c r="P69" s="277"/>
    </row>
    <row r="70" spans="1:16" ht="14.4" thickBot="1" x14ac:dyDescent="0.3"/>
    <row r="71" spans="1:16" ht="14.4" thickBot="1" x14ac:dyDescent="0.3">
      <c r="A71" s="260" t="s">
        <v>353</v>
      </c>
      <c r="B71" s="261"/>
      <c r="C71" s="261"/>
      <c r="D71" s="261"/>
      <c r="E71" s="261"/>
      <c r="F71" s="261"/>
      <c r="G71" s="261"/>
      <c r="H71" s="261"/>
      <c r="I71" s="261"/>
      <c r="J71" s="261"/>
      <c r="K71" s="261"/>
      <c r="L71" s="261"/>
      <c r="M71" s="261"/>
      <c r="N71" s="261"/>
      <c r="O71" s="261"/>
      <c r="P71" s="262"/>
    </row>
    <row r="72" spans="1:16" ht="26.4" x14ac:dyDescent="0.25">
      <c r="A72" s="213" t="s">
        <v>300</v>
      </c>
      <c r="B72" s="225"/>
      <c r="C72" s="225"/>
      <c r="D72" s="225"/>
      <c r="E72" s="225"/>
      <c r="F72" s="225"/>
      <c r="G72" s="225"/>
      <c r="H72" s="225"/>
      <c r="I72" s="225"/>
      <c r="J72" s="225"/>
      <c r="K72" s="213" t="s">
        <v>301</v>
      </c>
      <c r="L72" s="213" t="s">
        <v>302</v>
      </c>
      <c r="M72" s="213" t="s">
        <v>303</v>
      </c>
      <c r="N72" s="213" t="s">
        <v>304</v>
      </c>
      <c r="O72" s="213" t="s">
        <v>305</v>
      </c>
      <c r="P72" s="213" t="s">
        <v>306</v>
      </c>
    </row>
    <row r="73" spans="1:16" x14ac:dyDescent="0.25">
      <c r="A73" s="223" t="s">
        <v>92</v>
      </c>
      <c r="B73" s="217"/>
      <c r="C73" s="217"/>
      <c r="D73" s="217"/>
      <c r="E73" s="217"/>
      <c r="F73" s="217"/>
      <c r="G73" s="217"/>
      <c r="H73" s="217"/>
      <c r="I73" s="217"/>
      <c r="J73" s="217"/>
      <c r="K73" s="220">
        <f>K25</f>
        <v>617022850.12232459</v>
      </c>
      <c r="L73" s="220">
        <f t="shared" ref="L73:P73" si="38">L25</f>
        <v>900630082.05046248</v>
      </c>
      <c r="M73" s="220">
        <f t="shared" si="38"/>
        <v>0</v>
      </c>
      <c r="N73" s="220">
        <f t="shared" si="38"/>
        <v>0</v>
      </c>
      <c r="O73" s="220">
        <f t="shared" si="38"/>
        <v>0</v>
      </c>
      <c r="P73" s="220">
        <f t="shared" si="38"/>
        <v>1517652932.1727872</v>
      </c>
    </row>
    <row r="74" spans="1:16" x14ac:dyDescent="0.25">
      <c r="A74" s="223" t="s">
        <v>93</v>
      </c>
      <c r="B74" s="217"/>
      <c r="C74" s="217"/>
      <c r="D74" s="217"/>
      <c r="E74" s="217"/>
      <c r="F74" s="217"/>
      <c r="G74" s="217"/>
      <c r="H74" s="217"/>
      <c r="I74" s="217"/>
      <c r="J74" s="217"/>
      <c r="K74" s="220">
        <f>K35</f>
        <v>77161864.368653044</v>
      </c>
      <c r="L74" s="220">
        <f t="shared" ref="L74:P74" si="39">L35</f>
        <v>2666544512.7674103</v>
      </c>
      <c r="M74" s="220">
        <f t="shared" si="39"/>
        <v>0</v>
      </c>
      <c r="N74" s="220">
        <f t="shared" si="39"/>
        <v>0</v>
      </c>
      <c r="O74" s="220">
        <f t="shared" si="39"/>
        <v>0</v>
      </c>
      <c r="P74" s="220">
        <f t="shared" si="39"/>
        <v>2743706377.1360631</v>
      </c>
    </row>
    <row r="75" spans="1:16" x14ac:dyDescent="0.25">
      <c r="A75" s="223" t="s">
        <v>94</v>
      </c>
      <c r="B75" s="217"/>
      <c r="C75" s="217"/>
      <c r="D75" s="217"/>
      <c r="E75" s="217"/>
      <c r="F75" s="217"/>
      <c r="G75" s="217"/>
      <c r="H75" s="217"/>
      <c r="I75" s="217"/>
      <c r="J75" s="217"/>
      <c r="K75" s="220">
        <f>K48</f>
        <v>122090125.82183933</v>
      </c>
      <c r="L75" s="220">
        <f t="shared" ref="L75:P75" si="40">L48</f>
        <v>2029021298.0771174</v>
      </c>
      <c r="M75" s="220">
        <f t="shared" si="40"/>
        <v>2357664252.5513892</v>
      </c>
      <c r="N75" s="220">
        <f t="shared" si="40"/>
        <v>0</v>
      </c>
      <c r="O75" s="220">
        <f t="shared" si="40"/>
        <v>0</v>
      </c>
      <c r="P75" s="220">
        <f t="shared" si="40"/>
        <v>4508775676.450346</v>
      </c>
    </row>
    <row r="76" spans="1:16" x14ac:dyDescent="0.25">
      <c r="A76" s="226" t="s">
        <v>307</v>
      </c>
      <c r="B76" s="217"/>
      <c r="C76" s="217"/>
      <c r="D76" s="217"/>
      <c r="E76" s="217"/>
      <c r="F76" s="217"/>
      <c r="G76" s="217"/>
      <c r="H76" s="217"/>
      <c r="I76" s="217"/>
      <c r="J76" s="217"/>
      <c r="K76" s="220">
        <f>K56</f>
        <v>816274840.31281698</v>
      </c>
      <c r="L76" s="220">
        <f t="shared" ref="L76:P76" si="41">L56</f>
        <v>5596195892.8949909</v>
      </c>
      <c r="M76" s="220">
        <f t="shared" si="41"/>
        <v>2357664252.5513892</v>
      </c>
      <c r="N76" s="220">
        <f t="shared" si="41"/>
        <v>0</v>
      </c>
      <c r="O76" s="220">
        <f t="shared" si="41"/>
        <v>0</v>
      </c>
      <c r="P76" s="220">
        <f t="shared" si="41"/>
        <v>8770134985.7591972</v>
      </c>
    </row>
    <row r="77" spans="1:16" x14ac:dyDescent="0.25">
      <c r="A77" s="226" t="s">
        <v>308</v>
      </c>
      <c r="B77" s="217"/>
      <c r="C77" s="217"/>
      <c r="D77" s="217"/>
      <c r="E77" s="217"/>
      <c r="F77" s="217"/>
      <c r="G77" s="217"/>
      <c r="H77" s="217"/>
      <c r="I77" s="217"/>
      <c r="J77" s="217"/>
      <c r="K77" s="220">
        <f>K68</f>
        <v>405321519.12632453</v>
      </c>
      <c r="L77" s="220">
        <f t="shared" ref="L77:P77" si="42">L68</f>
        <v>2581995139.4242959</v>
      </c>
      <c r="M77" s="220">
        <f t="shared" si="42"/>
        <v>5670236026.9632282</v>
      </c>
      <c r="N77" s="220">
        <f t="shared" si="42"/>
        <v>2580807159.1887145</v>
      </c>
      <c r="O77" s="220">
        <f t="shared" si="42"/>
        <v>0</v>
      </c>
      <c r="P77" s="220">
        <f t="shared" si="42"/>
        <v>11238359844.702564</v>
      </c>
    </row>
    <row r="79" spans="1:16" x14ac:dyDescent="0.25">
      <c r="A79" s="254"/>
      <c r="B79" s="255"/>
      <c r="C79" s="255"/>
      <c r="D79" s="255"/>
      <c r="E79" s="255"/>
      <c r="F79" s="255"/>
      <c r="G79" s="255"/>
      <c r="H79" s="255"/>
      <c r="I79" s="255"/>
      <c r="J79" s="255"/>
      <c r="K79" s="255"/>
      <c r="L79" s="255"/>
      <c r="M79" s="255"/>
      <c r="N79" s="255"/>
      <c r="O79" s="255"/>
      <c r="P79" s="255"/>
    </row>
  </sheetData>
  <mergeCells count="21">
    <mergeCell ref="A39:P39"/>
    <mergeCell ref="A1:P1"/>
    <mergeCell ref="A2:P2"/>
    <mergeCell ref="A5:P5"/>
    <mergeCell ref="A6:P6"/>
    <mergeCell ref="A20:P20"/>
    <mergeCell ref="A21:P21"/>
    <mergeCell ref="A26:P26"/>
    <mergeCell ref="A28:P28"/>
    <mergeCell ref="A29:P29"/>
    <mergeCell ref="A36:P36"/>
    <mergeCell ref="A38:P38"/>
    <mergeCell ref="A69:P69"/>
    <mergeCell ref="A71:P71"/>
    <mergeCell ref="A79:P79"/>
    <mergeCell ref="A49:P49"/>
    <mergeCell ref="A51:P51"/>
    <mergeCell ref="A52:P52"/>
    <mergeCell ref="A57:P57"/>
    <mergeCell ref="A59:P59"/>
    <mergeCell ref="A60:P6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EDAB5-850C-8F49-A27D-3A923E89D606}">
  <sheetPr codeName="Sheet7"/>
  <dimension ref="A1:I27"/>
  <sheetViews>
    <sheetView zoomScale="58" zoomScaleNormal="149" workbookViewId="0">
      <pane ySplit="4" topLeftCell="A5" activePane="bottomLeft" state="frozen"/>
      <selection pane="bottomLeft" activeCell="B19" sqref="B19"/>
    </sheetView>
  </sheetViews>
  <sheetFormatPr baseColWidth="10" defaultColWidth="10.69921875" defaultRowHeight="13.8" x14ac:dyDescent="0.25"/>
  <cols>
    <col min="1" max="1" width="30.5" customWidth="1"/>
    <col min="2" max="2" width="24.69921875" customWidth="1"/>
    <col min="3" max="3" width="30.69921875" customWidth="1"/>
    <col min="4" max="4" width="21.296875" customWidth="1"/>
    <col min="5" max="5" width="16.19921875" customWidth="1"/>
    <col min="6" max="6" width="8.69921875" bestFit="1" customWidth="1"/>
    <col min="7" max="7" width="16.296875" bestFit="1" customWidth="1"/>
    <col min="8" max="8" width="13.69921875" bestFit="1" customWidth="1"/>
  </cols>
  <sheetData>
    <row r="1" spans="1:9" ht="14.4" thickBot="1" x14ac:dyDescent="0.3">
      <c r="A1" s="260" t="s">
        <v>451</v>
      </c>
      <c r="B1" s="255"/>
      <c r="C1" s="255"/>
      <c r="D1" s="255"/>
      <c r="E1" s="255"/>
      <c r="F1" s="255"/>
      <c r="G1" s="255"/>
      <c r="H1" s="255"/>
      <c r="I1" s="255"/>
    </row>
    <row r="2" spans="1:9" ht="28.05" customHeight="1" x14ac:dyDescent="0.25">
      <c r="A2" s="256"/>
      <c r="B2" s="255"/>
      <c r="C2" s="255"/>
      <c r="D2" s="255"/>
      <c r="E2" s="255"/>
      <c r="F2" s="255"/>
      <c r="G2" s="255"/>
      <c r="H2" s="255"/>
      <c r="I2" s="255"/>
    </row>
    <row r="4" spans="1:9" ht="26.4" x14ac:dyDescent="0.25">
      <c r="A4" s="213" t="s">
        <v>355</v>
      </c>
      <c r="B4" s="213" t="s">
        <v>356</v>
      </c>
      <c r="C4" s="213" t="s">
        <v>357</v>
      </c>
      <c r="D4" s="213" t="s">
        <v>358</v>
      </c>
      <c r="E4" s="213" t="s">
        <v>359</v>
      </c>
      <c r="F4" s="213" t="s">
        <v>360</v>
      </c>
      <c r="G4" s="213" t="s">
        <v>361</v>
      </c>
      <c r="H4" s="213" t="s">
        <v>362</v>
      </c>
      <c r="I4" s="213" t="s">
        <v>363</v>
      </c>
    </row>
    <row r="5" spans="1:9" ht="14.4" thickBot="1" x14ac:dyDescent="0.3"/>
    <row r="6" spans="1:9" ht="14.4" thickBot="1" x14ac:dyDescent="0.3">
      <c r="A6" s="260" t="s">
        <v>368</v>
      </c>
      <c r="B6" s="255"/>
      <c r="C6" s="255"/>
      <c r="D6" s="255"/>
      <c r="E6" s="255"/>
      <c r="F6" s="255"/>
      <c r="G6" s="255"/>
      <c r="H6" s="255"/>
      <c r="I6" s="255"/>
    </row>
    <row r="7" spans="1:9" x14ac:dyDescent="0.25">
      <c r="A7" s="256"/>
      <c r="B7" s="255"/>
      <c r="C7" s="255"/>
      <c r="D7" s="255"/>
      <c r="E7" s="255"/>
      <c r="F7" s="255"/>
      <c r="G7" s="255"/>
      <c r="H7" s="255"/>
      <c r="I7" s="255"/>
    </row>
    <row r="8" spans="1:9" x14ac:dyDescent="0.25">
      <c r="A8" s="219" t="s">
        <v>364</v>
      </c>
      <c r="B8" s="220" cm="1">
        <f t="array" ref="B8:G9">Part1_Quest11!K76:P77</f>
        <v>816274840.31281698</v>
      </c>
      <c r="C8" s="220">
        <v>5596195892.8949909</v>
      </c>
      <c r="D8" s="220">
        <v>2357664252.5513892</v>
      </c>
      <c r="E8" s="220">
        <v>0</v>
      </c>
      <c r="F8" s="220">
        <v>0</v>
      </c>
      <c r="G8" s="220">
        <v>8770134985.7591972</v>
      </c>
      <c r="H8" s="217"/>
      <c r="I8" s="217"/>
    </row>
    <row r="9" spans="1:9" ht="26.4" x14ac:dyDescent="0.25">
      <c r="A9" s="219" t="s">
        <v>365</v>
      </c>
      <c r="B9" s="220">
        <v>405321519.12632453</v>
      </c>
      <c r="C9" s="220">
        <v>2581995139.4242959</v>
      </c>
      <c r="D9" s="220">
        <v>5670236026.9632282</v>
      </c>
      <c r="E9" s="220">
        <v>2580807159.1887145</v>
      </c>
      <c r="F9" s="220">
        <v>0</v>
      </c>
      <c r="G9" s="220">
        <v>11238359844.702564</v>
      </c>
      <c r="H9" s="217"/>
      <c r="I9" s="217"/>
    </row>
    <row r="10" spans="1:9" x14ac:dyDescent="0.25">
      <c r="A10" s="257"/>
      <c r="B10" s="255"/>
      <c r="C10" s="255"/>
      <c r="D10" s="255"/>
      <c r="E10" s="255"/>
      <c r="F10" s="255"/>
      <c r="G10" s="255"/>
      <c r="H10" s="255"/>
      <c r="I10" s="255"/>
    </row>
    <row r="11" spans="1:9" ht="14.4" thickBot="1" x14ac:dyDescent="0.3"/>
    <row r="12" spans="1:9" ht="14.4" thickBot="1" x14ac:dyDescent="0.3">
      <c r="A12" s="260" t="s">
        <v>369</v>
      </c>
      <c r="B12" s="255"/>
      <c r="C12" s="255"/>
      <c r="D12" s="255"/>
      <c r="E12" s="255"/>
      <c r="F12" s="255"/>
      <c r="G12" s="255"/>
      <c r="H12" s="255"/>
      <c r="I12" s="255"/>
    </row>
    <row r="13" spans="1:9" x14ac:dyDescent="0.25">
      <c r="A13" s="256"/>
      <c r="B13" s="255"/>
      <c r="C13" s="255"/>
      <c r="D13" s="255"/>
      <c r="E13" s="255"/>
      <c r="F13" s="255"/>
      <c r="G13" s="255"/>
      <c r="H13" s="255"/>
      <c r="I13" s="255"/>
    </row>
    <row r="14" spans="1:9" x14ac:dyDescent="0.25">
      <c r="A14" s="233" t="s">
        <v>366</v>
      </c>
      <c r="B14" s="217"/>
      <c r="C14" s="217"/>
      <c r="D14" s="217"/>
      <c r="E14" s="217"/>
      <c r="F14" s="217"/>
      <c r="G14" s="217"/>
      <c r="H14" s="220">
        <f>Part1_Quest6_7!C86</f>
        <v>236071105.05215287</v>
      </c>
      <c r="I14" s="227"/>
    </row>
    <row r="15" spans="1:9" x14ac:dyDescent="0.25">
      <c r="A15" s="233" t="s">
        <v>367</v>
      </c>
      <c r="B15" s="220">
        <f>B8-B9</f>
        <v>410953321.18649244</v>
      </c>
      <c r="C15" s="220">
        <f t="shared" ref="C15:F15" si="0">C8-C9</f>
        <v>3014200753.470695</v>
      </c>
      <c r="D15" s="220">
        <f t="shared" si="0"/>
        <v>-3312571774.411839</v>
      </c>
      <c r="E15" s="220">
        <f t="shared" si="0"/>
        <v>-2580807159.1887145</v>
      </c>
      <c r="F15" s="220">
        <f t="shared" si="0"/>
        <v>0</v>
      </c>
      <c r="G15" s="220">
        <f>G8-G9</f>
        <v>-2468224858.943367</v>
      </c>
      <c r="H15" s="220">
        <f>G15/H14</f>
        <v>-10.455429767222407</v>
      </c>
      <c r="I15" s="227"/>
    </row>
    <row r="16" spans="1:9" x14ac:dyDescent="0.25">
      <c r="A16" s="257" t="s">
        <v>370</v>
      </c>
      <c r="B16" s="255"/>
      <c r="C16" s="255"/>
      <c r="D16" s="255"/>
      <c r="E16" s="255"/>
      <c r="F16" s="255"/>
      <c r="G16" s="255"/>
      <c r="H16" s="255"/>
      <c r="I16" s="255"/>
    </row>
    <row r="19" ht="28.05" customHeight="1" x14ac:dyDescent="0.25"/>
    <row r="27" ht="72" customHeight="1" x14ac:dyDescent="0.25"/>
  </sheetData>
  <mergeCells count="8">
    <mergeCell ref="A13:I13"/>
    <mergeCell ref="A16:I16"/>
    <mergeCell ref="A12:I12"/>
    <mergeCell ref="A1:I1"/>
    <mergeCell ref="A2:I2"/>
    <mergeCell ref="A6:I6"/>
    <mergeCell ref="A7:I7"/>
    <mergeCell ref="A10:I10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CCD75-78B9-43D1-BC01-8E2676745195}">
  <dimension ref="A1:E18"/>
  <sheetViews>
    <sheetView zoomScale="51" workbookViewId="0">
      <pane ySplit="4" topLeftCell="A5" activePane="bottomLeft" state="frozen"/>
      <selection pane="bottomLeft" activeCell="A16" sqref="A16"/>
    </sheetView>
  </sheetViews>
  <sheetFormatPr baseColWidth="10" defaultColWidth="8.796875" defaultRowHeight="13.8" x14ac:dyDescent="0.25"/>
  <cols>
    <col min="1" max="1" width="39.796875" customWidth="1"/>
    <col min="2" max="2" width="33.5" customWidth="1"/>
    <col min="3" max="3" width="31" customWidth="1"/>
    <col min="4" max="4" width="30.19921875" customWidth="1"/>
    <col min="5" max="5" width="43.5" customWidth="1"/>
  </cols>
  <sheetData>
    <row r="1" spans="1:5" ht="14.4" thickBot="1" x14ac:dyDescent="0.3">
      <c r="A1" s="289" t="s">
        <v>398</v>
      </c>
      <c r="B1" s="255"/>
      <c r="C1" s="255"/>
      <c r="D1" s="255"/>
      <c r="E1" s="255"/>
    </row>
    <row r="2" spans="1:5" ht="37.049999999999997" customHeight="1" x14ac:dyDescent="0.25">
      <c r="A2" s="284"/>
      <c r="B2" s="255"/>
      <c r="C2" s="255"/>
      <c r="D2" s="255"/>
      <c r="E2" s="255"/>
    </row>
    <row r="4" spans="1:5" ht="27" thickBot="1" x14ac:dyDescent="0.3">
      <c r="A4" s="234" t="s">
        <v>371</v>
      </c>
      <c r="B4" s="234" t="s">
        <v>392</v>
      </c>
      <c r="C4" s="234" t="s">
        <v>372</v>
      </c>
      <c r="D4" s="234" t="s">
        <v>373</v>
      </c>
      <c r="E4" s="234" t="s">
        <v>363</v>
      </c>
    </row>
    <row r="5" spans="1:5" ht="14.4" thickBot="1" x14ac:dyDescent="0.3">
      <c r="A5" s="289" t="s">
        <v>389</v>
      </c>
      <c r="B5" s="255"/>
      <c r="C5" s="255"/>
      <c r="D5" s="255"/>
      <c r="E5" s="255"/>
    </row>
    <row r="6" spans="1:5" ht="22.95" customHeight="1" x14ac:dyDescent="0.25">
      <c r="A6" s="284" t="s">
        <v>390</v>
      </c>
      <c r="B6" s="255"/>
      <c r="C6" s="255"/>
      <c r="D6" s="255"/>
      <c r="E6" s="255"/>
    </row>
    <row r="7" spans="1:5" x14ac:dyDescent="0.25">
      <c r="A7" s="235" t="s">
        <v>374</v>
      </c>
      <c r="B7" s="240">
        <f>0/10000</f>
        <v>0</v>
      </c>
      <c r="C7" s="236">
        <f>Part1_Quest12!B15</f>
        <v>410953321.18649244</v>
      </c>
      <c r="D7" s="236">
        <f>-C7*B7</f>
        <v>0</v>
      </c>
      <c r="E7" s="238" t="s">
        <v>375</v>
      </c>
    </row>
    <row r="8" spans="1:5" x14ac:dyDescent="0.25">
      <c r="A8" s="235" t="s">
        <v>376</v>
      </c>
      <c r="B8" s="240">
        <f>15/10000</f>
        <v>1.5E-3</v>
      </c>
      <c r="C8" s="236">
        <f>Part1_Quest12!C15</f>
        <v>3014200753.470695</v>
      </c>
      <c r="D8" s="236">
        <f t="shared" ref="D8:D11" si="0">-C8*B8</f>
        <v>-4521301.1302060429</v>
      </c>
      <c r="E8" s="238" t="s">
        <v>377</v>
      </c>
    </row>
    <row r="9" spans="1:5" x14ac:dyDescent="0.25">
      <c r="A9" s="235" t="s">
        <v>378</v>
      </c>
      <c r="B9" s="240">
        <f>-15/10000</f>
        <v>-1.5E-3</v>
      </c>
      <c r="C9" s="236">
        <f>Part1_Quest12!D15</f>
        <v>-3312571774.411839</v>
      </c>
      <c r="D9" s="236">
        <f t="shared" si="0"/>
        <v>-4968857.6616177587</v>
      </c>
      <c r="E9" s="238" t="s">
        <v>379</v>
      </c>
    </row>
    <row r="10" spans="1:5" x14ac:dyDescent="0.25">
      <c r="A10" s="235" t="s">
        <v>380</v>
      </c>
      <c r="B10" s="240">
        <f>-25/10000</f>
        <v>-2.5000000000000001E-3</v>
      </c>
      <c r="C10" s="236">
        <f>Part1_Quest12!E15</f>
        <v>-2580807159.1887145</v>
      </c>
      <c r="D10" s="236">
        <f t="shared" si="0"/>
        <v>-6452017.8979717866</v>
      </c>
      <c r="E10" s="238" t="s">
        <v>381</v>
      </c>
    </row>
    <row r="11" spans="1:5" ht="14.4" thickBot="1" x14ac:dyDescent="0.3">
      <c r="A11" s="235" t="s">
        <v>382</v>
      </c>
      <c r="B11" s="240">
        <f>0/10000</f>
        <v>0</v>
      </c>
      <c r="C11" s="236">
        <f>Part1_Quest12!F15</f>
        <v>0</v>
      </c>
      <c r="D11" s="236">
        <f t="shared" si="0"/>
        <v>0</v>
      </c>
      <c r="E11" s="238" t="s">
        <v>375</v>
      </c>
    </row>
    <row r="12" spans="1:5" ht="14.4" thickBot="1" x14ac:dyDescent="0.3">
      <c r="A12" s="233" t="s">
        <v>383</v>
      </c>
      <c r="B12" s="217"/>
      <c r="C12" s="217"/>
      <c r="D12" s="239">
        <f>SUM(D7:D11)</f>
        <v>-15942176.689795587</v>
      </c>
      <c r="E12" s="238"/>
    </row>
    <row r="13" spans="1:5" ht="25.05" customHeight="1" x14ac:dyDescent="0.25">
      <c r="A13" s="290" t="s">
        <v>391</v>
      </c>
      <c r="B13" s="255"/>
      <c r="C13" s="255"/>
      <c r="D13" s="255"/>
      <c r="E13" s="255"/>
    </row>
    <row r="14" spans="1:5" ht="14.4" thickBot="1" x14ac:dyDescent="0.3"/>
    <row r="15" spans="1:5" ht="14.4" thickBot="1" x14ac:dyDescent="0.3">
      <c r="A15" s="289" t="s">
        <v>388</v>
      </c>
      <c r="B15" s="255"/>
      <c r="C15" s="255"/>
      <c r="D15" s="255"/>
      <c r="E15" s="255"/>
    </row>
    <row r="16" spans="1:5" ht="62.55" customHeight="1" x14ac:dyDescent="0.25">
      <c r="A16" s="235" t="s">
        <v>385</v>
      </c>
      <c r="B16" s="282">
        <f>D12</f>
        <v>-15942176.689795587</v>
      </c>
      <c r="C16" s="283"/>
      <c r="D16" s="287"/>
      <c r="E16" s="288"/>
    </row>
    <row r="17" spans="1:5" x14ac:dyDescent="0.25">
      <c r="A17" s="235" t="s">
        <v>386</v>
      </c>
      <c r="B17" s="282">
        <f>Part1_Quest6_7!C86</f>
        <v>236071105.05215287</v>
      </c>
      <c r="C17" s="283"/>
      <c r="D17" s="285"/>
      <c r="E17" s="286"/>
    </row>
    <row r="18" spans="1:5" x14ac:dyDescent="0.25">
      <c r="A18" s="235" t="s">
        <v>387</v>
      </c>
      <c r="B18" s="282">
        <f>B16/B17</f>
        <v>-6.7531249477879293E-2</v>
      </c>
      <c r="C18" s="283"/>
      <c r="D18" s="285"/>
      <c r="E18" s="286"/>
    </row>
  </sheetData>
  <mergeCells count="12">
    <mergeCell ref="A1:E1"/>
    <mergeCell ref="A2:E2"/>
    <mergeCell ref="A5:E5"/>
    <mergeCell ref="A13:E13"/>
    <mergeCell ref="B17:C17"/>
    <mergeCell ref="B18:C18"/>
    <mergeCell ref="A6:E6"/>
    <mergeCell ref="D17:E17"/>
    <mergeCell ref="D18:E18"/>
    <mergeCell ref="D16:E16"/>
    <mergeCell ref="B16:C16"/>
    <mergeCell ref="A15:E1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B3A4-782C-4A06-B611-8F65751F54BE}">
  <dimension ref="A1:L65"/>
  <sheetViews>
    <sheetView tabSelected="1" zoomScale="80" zoomScaleNormal="115" workbookViewId="0">
      <pane ySplit="4" topLeftCell="A46" activePane="bottomLeft" state="frozen"/>
      <selection pane="bottomLeft" activeCell="A58" sqref="A58:L58"/>
    </sheetView>
  </sheetViews>
  <sheetFormatPr baseColWidth="10" defaultColWidth="8.796875" defaultRowHeight="13.8" x14ac:dyDescent="0.25"/>
  <cols>
    <col min="1" max="1" width="19" customWidth="1"/>
    <col min="2" max="2" width="16.296875" customWidth="1"/>
    <col min="3" max="3" width="25.69921875" customWidth="1"/>
    <col min="4" max="4" width="21.796875" customWidth="1"/>
    <col min="5" max="5" width="17.296875" customWidth="1"/>
    <col min="6" max="6" width="20.5" customWidth="1"/>
    <col min="7" max="7" width="26.796875" customWidth="1"/>
    <col min="8" max="8" width="20.19921875" customWidth="1"/>
    <col min="9" max="9" width="25.19921875" customWidth="1"/>
    <col min="10" max="10" width="14" customWidth="1"/>
  </cols>
  <sheetData>
    <row r="1" spans="1:12" ht="14.4" thickBot="1" x14ac:dyDescent="0.3">
      <c r="A1" s="289" t="s">
        <v>397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</row>
    <row r="2" spans="1:12" x14ac:dyDescent="0.25">
      <c r="A2" s="284"/>
      <c r="B2" s="255"/>
      <c r="C2" s="255"/>
      <c r="D2" s="255"/>
      <c r="E2" s="255"/>
      <c r="F2" s="255"/>
      <c r="G2" s="255"/>
      <c r="H2" s="255"/>
      <c r="I2" s="255"/>
      <c r="J2" s="255"/>
      <c r="K2" s="255"/>
      <c r="L2" s="255"/>
    </row>
    <row r="3" spans="1:12" x14ac:dyDescent="0.25">
      <c r="A3" s="291"/>
      <c r="B3" s="255"/>
      <c r="C3" s="255"/>
      <c r="D3" s="255"/>
      <c r="E3" s="255"/>
      <c r="F3" s="255"/>
      <c r="G3" s="255"/>
      <c r="H3" s="255"/>
      <c r="I3" s="255"/>
      <c r="J3" s="255"/>
      <c r="K3" s="255"/>
      <c r="L3" s="255"/>
    </row>
    <row r="4" spans="1:12" ht="14.4" thickBot="1" x14ac:dyDescent="0.3"/>
    <row r="5" spans="1:12" ht="14.4" thickBot="1" x14ac:dyDescent="0.3">
      <c r="A5" s="289" t="s">
        <v>439</v>
      </c>
      <c r="B5" s="255"/>
      <c r="C5" s="255"/>
      <c r="D5" s="255"/>
      <c r="E5" s="255"/>
      <c r="F5" s="255"/>
      <c r="G5" s="255"/>
      <c r="H5" s="255"/>
      <c r="I5" s="255"/>
      <c r="J5" s="255"/>
      <c r="K5" s="255"/>
      <c r="L5" s="255"/>
    </row>
    <row r="6" spans="1:12" x14ac:dyDescent="0.25">
      <c r="A6" s="284"/>
      <c r="B6" s="255"/>
      <c r="C6" s="255"/>
      <c r="D6" s="255"/>
      <c r="E6" s="255"/>
      <c r="F6" s="255"/>
      <c r="G6" s="255"/>
      <c r="H6" s="255"/>
      <c r="I6" s="255"/>
      <c r="J6" s="255"/>
      <c r="K6" s="255"/>
      <c r="L6" s="255"/>
    </row>
    <row r="7" spans="1:12" ht="26.4" x14ac:dyDescent="0.25">
      <c r="A7" s="234" t="s">
        <v>273</v>
      </c>
      <c r="B7" s="234" t="s">
        <v>399</v>
      </c>
      <c r="C7" s="234"/>
      <c r="D7" s="234"/>
      <c r="E7" s="234"/>
      <c r="F7" s="234"/>
      <c r="G7" s="234" t="s">
        <v>400</v>
      </c>
      <c r="H7" s="234" t="s">
        <v>440</v>
      </c>
      <c r="I7" s="234" t="s">
        <v>401</v>
      </c>
      <c r="J7" s="234"/>
      <c r="K7" s="234"/>
      <c r="L7" s="234" t="s">
        <v>402</v>
      </c>
    </row>
    <row r="8" spans="1:12" x14ac:dyDescent="0.25">
      <c r="A8" s="244">
        <v>5.5</v>
      </c>
      <c r="B8" s="245" t="s">
        <v>278</v>
      </c>
      <c r="C8" s="217"/>
      <c r="D8" s="217"/>
      <c r="E8" s="217"/>
      <c r="F8" s="217"/>
      <c r="G8" s="246">
        <f>Part1_Quest8!F26</f>
        <v>9.6098975590649824E-2</v>
      </c>
      <c r="H8" s="247">
        <f>(10-A8)/5</f>
        <v>0.9</v>
      </c>
      <c r="I8" s="247">
        <f>(A8-5)/5</f>
        <v>0.1</v>
      </c>
      <c r="J8" s="246">
        <f>G8*H8</f>
        <v>8.6489078031584843E-2</v>
      </c>
      <c r="K8" s="246">
        <f>G8*I8</f>
        <v>9.6098975590649827E-3</v>
      </c>
      <c r="L8" s="248">
        <f>SUM(H8:I8)</f>
        <v>1</v>
      </c>
    </row>
    <row r="9" spans="1:12" x14ac:dyDescent="0.25">
      <c r="A9" s="244">
        <v>6</v>
      </c>
      <c r="B9" s="245" t="s">
        <v>278</v>
      </c>
      <c r="C9" s="217"/>
      <c r="D9" s="217"/>
      <c r="E9" s="217"/>
      <c r="F9" s="217"/>
      <c r="G9" s="246">
        <f>Part1_Quest8!F27</f>
        <v>0.10264671883664604</v>
      </c>
      <c r="H9" s="247">
        <f t="shared" ref="H9:H17" si="0">(10-A9)/5</f>
        <v>0.8</v>
      </c>
      <c r="I9" s="247">
        <f t="shared" ref="I9:I17" si="1">(A9-5)/5</f>
        <v>0.2</v>
      </c>
      <c r="J9" s="246">
        <f t="shared" ref="J9:J17" si="2">G9*H9</f>
        <v>8.2117375069316836E-2</v>
      </c>
      <c r="K9" s="246">
        <f t="shared" ref="K9:K17" si="3">G9*I9</f>
        <v>2.0529343767329209E-2</v>
      </c>
      <c r="L9" s="248">
        <f t="shared" ref="L9:L17" si="4">SUM(H9:I9)</f>
        <v>1</v>
      </c>
    </row>
    <row r="10" spans="1:12" x14ac:dyDescent="0.25">
      <c r="A10" s="244">
        <v>6.5</v>
      </c>
      <c r="B10" s="245" t="s">
        <v>278</v>
      </c>
      <c r="C10" s="217"/>
      <c r="D10" s="217"/>
      <c r="E10" s="217"/>
      <c r="F10" s="217"/>
      <c r="G10" s="246">
        <f>Part1_Quest8!F28</f>
        <v>0.10887526285327678</v>
      </c>
      <c r="H10" s="247">
        <f t="shared" si="0"/>
        <v>0.7</v>
      </c>
      <c r="I10" s="247">
        <f t="shared" si="1"/>
        <v>0.3</v>
      </c>
      <c r="J10" s="246">
        <f t="shared" si="2"/>
        <v>7.6212683997293737E-2</v>
      </c>
      <c r="K10" s="246">
        <f t="shared" si="3"/>
        <v>3.2662578855983032E-2</v>
      </c>
      <c r="L10" s="248">
        <f t="shared" si="4"/>
        <v>1</v>
      </c>
    </row>
    <row r="11" spans="1:12" x14ac:dyDescent="0.25">
      <c r="A11" s="244">
        <v>7</v>
      </c>
      <c r="B11" s="245" t="s">
        <v>278</v>
      </c>
      <c r="C11" s="217"/>
      <c r="D11" s="217"/>
      <c r="E11" s="217"/>
      <c r="F11" s="217"/>
      <c r="G11" s="246">
        <f>Part1_Quest8!F29</f>
        <v>0.11480095098828816</v>
      </c>
      <c r="H11" s="247">
        <f t="shared" si="0"/>
        <v>0.6</v>
      </c>
      <c r="I11" s="247">
        <f t="shared" si="1"/>
        <v>0.4</v>
      </c>
      <c r="J11" s="246">
        <f t="shared" si="2"/>
        <v>6.8880570592972895E-2</v>
      </c>
      <c r="K11" s="246">
        <f t="shared" si="3"/>
        <v>4.5920380395315263E-2</v>
      </c>
      <c r="L11" s="248">
        <f t="shared" si="4"/>
        <v>1</v>
      </c>
    </row>
    <row r="12" spans="1:12" x14ac:dyDescent="0.25">
      <c r="A12" s="244">
        <v>7.5</v>
      </c>
      <c r="B12" s="245" t="s">
        <v>278</v>
      </c>
      <c r="C12" s="217"/>
      <c r="D12" s="217"/>
      <c r="E12" s="217"/>
      <c r="F12" s="217"/>
      <c r="G12" s="246">
        <f>Part1_Quest8!F30</f>
        <v>0.12043962177681374</v>
      </c>
      <c r="H12" s="247">
        <f t="shared" si="0"/>
        <v>0.5</v>
      </c>
      <c r="I12" s="247">
        <f t="shared" si="1"/>
        <v>0.5</v>
      </c>
      <c r="J12" s="246">
        <f t="shared" si="2"/>
        <v>6.0219810888406868E-2</v>
      </c>
      <c r="K12" s="246">
        <f t="shared" si="3"/>
        <v>6.0219810888406868E-2</v>
      </c>
      <c r="L12" s="248">
        <f t="shared" si="4"/>
        <v>1</v>
      </c>
    </row>
    <row r="13" spans="1:12" x14ac:dyDescent="0.25">
      <c r="A13" s="244">
        <v>8</v>
      </c>
      <c r="B13" s="245" t="s">
        <v>278</v>
      </c>
      <c r="C13" s="217"/>
      <c r="D13" s="217"/>
      <c r="E13" s="217"/>
      <c r="F13" s="217"/>
      <c r="G13" s="246">
        <f>Part1_Quest8!F31</f>
        <v>0.12580638572320735</v>
      </c>
      <c r="H13" s="247">
        <f t="shared" si="0"/>
        <v>0.4</v>
      </c>
      <c r="I13" s="247">
        <f t="shared" si="1"/>
        <v>0.6</v>
      </c>
      <c r="J13" s="246">
        <f t="shared" si="2"/>
        <v>5.0322554289282943E-2</v>
      </c>
      <c r="K13" s="246">
        <f t="shared" si="3"/>
        <v>7.5483831433924412E-2</v>
      </c>
      <c r="L13" s="248">
        <f t="shared" si="4"/>
        <v>1</v>
      </c>
    </row>
    <row r="14" spans="1:12" x14ac:dyDescent="0.25">
      <c r="A14" s="244">
        <v>8.5</v>
      </c>
      <c r="B14" s="245" t="s">
        <v>278</v>
      </c>
      <c r="C14" s="217"/>
      <c r="D14" s="217"/>
      <c r="E14" s="217"/>
      <c r="F14" s="217"/>
      <c r="G14" s="246">
        <f>Part1_Quest8!F32</f>
        <v>0.13091549196945965</v>
      </c>
      <c r="H14" s="247">
        <f t="shared" si="0"/>
        <v>0.3</v>
      </c>
      <c r="I14" s="247">
        <f t="shared" si="1"/>
        <v>0.7</v>
      </c>
      <c r="J14" s="246">
        <f t="shared" si="2"/>
        <v>3.9274647590837895E-2</v>
      </c>
      <c r="K14" s="246">
        <f t="shared" si="3"/>
        <v>9.1640844378621744E-2</v>
      </c>
      <c r="L14" s="248">
        <f t="shared" si="4"/>
        <v>1</v>
      </c>
    </row>
    <row r="15" spans="1:12" x14ac:dyDescent="0.25">
      <c r="A15" s="244">
        <v>9</v>
      </c>
      <c r="B15" s="245" t="s">
        <v>278</v>
      </c>
      <c r="C15" s="217"/>
      <c r="D15" s="217"/>
      <c r="E15" s="217"/>
      <c r="F15" s="217"/>
      <c r="G15" s="246">
        <f>Part1_Quest8!F33</f>
        <v>0.13578026118489125</v>
      </c>
      <c r="H15" s="247">
        <f t="shared" si="0"/>
        <v>0.2</v>
      </c>
      <c r="I15" s="247">
        <f t="shared" si="1"/>
        <v>0.8</v>
      </c>
      <c r="J15" s="246">
        <f t="shared" si="2"/>
        <v>2.7156052236978253E-2</v>
      </c>
      <c r="K15" s="246">
        <f t="shared" si="3"/>
        <v>0.10862420894791301</v>
      </c>
      <c r="L15" s="248">
        <f t="shared" si="4"/>
        <v>1</v>
      </c>
    </row>
    <row r="16" spans="1:12" x14ac:dyDescent="0.25">
      <c r="A16" s="244">
        <v>9.5</v>
      </c>
      <c r="B16" s="245" t="s">
        <v>278</v>
      </c>
      <c r="C16" s="217"/>
      <c r="D16" s="217"/>
      <c r="E16" s="217"/>
      <c r="F16" s="217"/>
      <c r="G16" s="246">
        <f>Part1_Quest8!F34</f>
        <v>0.14041306622403346</v>
      </c>
      <c r="H16" s="247">
        <f t="shared" si="0"/>
        <v>0.1</v>
      </c>
      <c r="I16" s="247">
        <f t="shared" si="1"/>
        <v>0.9</v>
      </c>
      <c r="J16" s="246">
        <f t="shared" si="2"/>
        <v>1.4041306622403348E-2</v>
      </c>
      <c r="K16" s="246">
        <f t="shared" si="3"/>
        <v>0.12637175960163011</v>
      </c>
      <c r="L16" s="248">
        <f t="shared" si="4"/>
        <v>1</v>
      </c>
    </row>
    <row r="17" spans="1:12" ht="14.4" thickBot="1" x14ac:dyDescent="0.3">
      <c r="A17" s="244">
        <v>10</v>
      </c>
      <c r="B17" s="245" t="s">
        <v>403</v>
      </c>
      <c r="C17" s="217"/>
      <c r="D17" s="217"/>
      <c r="E17" s="217"/>
      <c r="F17" s="217"/>
      <c r="G17" s="246">
        <f>Part1_Quest8!F35</f>
        <v>7.0084792738498205</v>
      </c>
      <c r="H17" s="247">
        <f t="shared" si="0"/>
        <v>0</v>
      </c>
      <c r="I17" s="247">
        <f t="shared" si="1"/>
        <v>1</v>
      </c>
      <c r="J17" s="246">
        <f t="shared" si="2"/>
        <v>0</v>
      </c>
      <c r="K17" s="246">
        <f t="shared" si="3"/>
        <v>7.0084792738498205</v>
      </c>
      <c r="L17" s="248">
        <f t="shared" si="4"/>
        <v>1</v>
      </c>
    </row>
    <row r="18" spans="1:12" ht="27" thickBot="1" x14ac:dyDescent="0.3">
      <c r="A18" s="237" t="s">
        <v>404</v>
      </c>
      <c r="B18" s="217"/>
      <c r="C18" s="217"/>
      <c r="D18" s="217"/>
      <c r="E18" s="217"/>
      <c r="F18" s="217"/>
      <c r="G18" s="217"/>
      <c r="H18" s="217"/>
      <c r="I18" s="217"/>
      <c r="J18" s="249">
        <f>SUM(J8:J17)</f>
        <v>0.50471407931907764</v>
      </c>
      <c r="K18" s="217"/>
      <c r="L18" s="217"/>
    </row>
    <row r="19" spans="1:12" ht="27" thickBot="1" x14ac:dyDescent="0.3">
      <c r="A19" s="237" t="s">
        <v>405</v>
      </c>
      <c r="B19" s="217"/>
      <c r="C19" s="217"/>
      <c r="D19" s="217"/>
      <c r="E19" s="217"/>
      <c r="F19" s="217"/>
      <c r="G19" s="217"/>
      <c r="H19" s="217"/>
      <c r="I19" s="217"/>
      <c r="J19" s="217"/>
      <c r="K19" s="249">
        <f>SUM(K8:K17)</f>
        <v>7.5795419296780091</v>
      </c>
      <c r="L19" s="241">
        <f>SUM(J18+K19)</f>
        <v>8.0842560089970874</v>
      </c>
    </row>
    <row r="20" spans="1:12" x14ac:dyDescent="0.25">
      <c r="A20" s="290" t="s">
        <v>441</v>
      </c>
      <c r="B20" s="255"/>
      <c r="C20" s="255"/>
      <c r="D20" s="255"/>
      <c r="E20" s="255"/>
      <c r="F20" s="255"/>
      <c r="G20" s="255"/>
      <c r="H20" s="255"/>
      <c r="I20" s="255"/>
      <c r="J20" s="255"/>
      <c r="K20" s="255"/>
      <c r="L20" s="255"/>
    </row>
    <row r="21" spans="1:12" ht="14.4" thickBot="1" x14ac:dyDescent="0.3"/>
    <row r="22" spans="1:12" ht="14.4" thickBot="1" x14ac:dyDescent="0.3">
      <c r="A22" s="289" t="s">
        <v>442</v>
      </c>
      <c r="B22" s="255"/>
      <c r="C22" s="255"/>
      <c r="D22" s="255"/>
      <c r="E22" s="255"/>
      <c r="F22" s="255"/>
      <c r="G22" s="255"/>
      <c r="H22" s="255"/>
      <c r="I22" s="255"/>
      <c r="J22" s="255"/>
      <c r="K22" s="255"/>
      <c r="L22" s="255"/>
    </row>
    <row r="23" spans="1:12" x14ac:dyDescent="0.25">
      <c r="A23" s="284" t="s">
        <v>406</v>
      </c>
      <c r="B23" s="255"/>
      <c r="C23" s="255"/>
      <c r="D23" s="255"/>
      <c r="E23" s="255"/>
      <c r="F23" s="255"/>
      <c r="G23" s="255"/>
      <c r="H23" s="255"/>
      <c r="I23" s="255"/>
      <c r="J23" s="255"/>
      <c r="K23" s="255"/>
      <c r="L23" s="255"/>
    </row>
    <row r="24" spans="1:12" x14ac:dyDescent="0.25">
      <c r="A24" s="235" t="s">
        <v>407</v>
      </c>
      <c r="B24" s="217"/>
      <c r="C24" s="217"/>
      <c r="D24" s="217"/>
      <c r="E24" s="217"/>
      <c r="F24" s="217"/>
      <c r="G24" s="217"/>
      <c r="H24" s="217"/>
      <c r="I24" s="217"/>
      <c r="J24" s="250">
        <v>0</v>
      </c>
      <c r="K24" s="217"/>
      <c r="L24" s="251"/>
    </row>
    <row r="25" spans="1:12" x14ac:dyDescent="0.25">
      <c r="A25" s="235" t="s">
        <v>408</v>
      </c>
      <c r="B25" s="217"/>
      <c r="C25" s="217"/>
      <c r="D25" s="217"/>
      <c r="E25" s="217"/>
      <c r="F25" s="217"/>
      <c r="G25" s="217"/>
      <c r="H25" s="217"/>
      <c r="I25" s="217"/>
      <c r="J25" s="246">
        <f>Part1_Quest8!B21*1</f>
        <v>4.2281584332662998</v>
      </c>
      <c r="K25" s="217"/>
      <c r="L25" s="251"/>
    </row>
    <row r="26" spans="1:12" x14ac:dyDescent="0.25">
      <c r="A26" s="235" t="s">
        <v>409</v>
      </c>
      <c r="B26" s="217"/>
      <c r="C26" s="217"/>
      <c r="D26" s="217"/>
      <c r="E26" s="217"/>
      <c r="F26" s="217"/>
      <c r="G26" s="217"/>
      <c r="H26" s="217"/>
      <c r="I26" s="217"/>
      <c r="J26" s="250">
        <v>0</v>
      </c>
      <c r="K26" s="217"/>
      <c r="L26" s="251"/>
    </row>
    <row r="27" spans="1:12" x14ac:dyDescent="0.25">
      <c r="A27" s="235" t="s">
        <v>410</v>
      </c>
      <c r="B27" s="217"/>
      <c r="C27" s="217"/>
      <c r="D27" s="217"/>
      <c r="E27" s="217"/>
      <c r="F27" s="217"/>
      <c r="G27" s="217"/>
      <c r="H27" s="217"/>
      <c r="I27" s="217"/>
      <c r="J27" s="250">
        <v>0</v>
      </c>
      <c r="K27" s="217"/>
      <c r="L27" s="251"/>
    </row>
    <row r="28" spans="1:12" x14ac:dyDescent="0.25">
      <c r="A28" s="235" t="s">
        <v>411</v>
      </c>
      <c r="B28" s="217"/>
      <c r="C28" s="217"/>
      <c r="D28" s="217"/>
      <c r="E28" s="217"/>
      <c r="F28" s="217"/>
      <c r="G28" s="217"/>
      <c r="H28" s="217"/>
      <c r="I28" s="217"/>
      <c r="J28" s="250">
        <v>0</v>
      </c>
      <c r="K28" s="217"/>
      <c r="L28" s="251"/>
    </row>
    <row r="29" spans="1:12" ht="14.4" thickBot="1" x14ac:dyDescent="0.3"/>
    <row r="30" spans="1:12" ht="14.4" thickBot="1" x14ac:dyDescent="0.3">
      <c r="A30" s="289" t="s">
        <v>443</v>
      </c>
      <c r="B30" s="255"/>
      <c r="C30" s="255"/>
      <c r="D30" s="255"/>
      <c r="E30" s="255"/>
      <c r="F30" s="255"/>
      <c r="G30" s="255"/>
      <c r="H30" s="255"/>
      <c r="I30" s="255"/>
      <c r="J30" s="255"/>
      <c r="K30" s="255"/>
      <c r="L30" s="255"/>
    </row>
    <row r="31" spans="1:12" x14ac:dyDescent="0.25">
      <c r="A31" s="256" t="s">
        <v>450</v>
      </c>
      <c r="B31" s="255"/>
      <c r="C31" s="255"/>
      <c r="D31" s="255"/>
      <c r="E31" s="255"/>
      <c r="F31" s="255"/>
      <c r="G31" s="255"/>
      <c r="H31" s="255"/>
      <c r="I31" s="255"/>
      <c r="J31" s="255"/>
      <c r="K31" s="255"/>
      <c r="L31" s="255"/>
    </row>
    <row r="32" spans="1:12" ht="26.4" x14ac:dyDescent="0.25">
      <c r="A32" s="234" t="s">
        <v>412</v>
      </c>
      <c r="B32" s="234" t="s">
        <v>413</v>
      </c>
      <c r="C32" s="234" t="s">
        <v>414</v>
      </c>
      <c r="D32" s="234" t="s">
        <v>415</v>
      </c>
      <c r="E32" s="234"/>
      <c r="F32" s="234"/>
      <c r="G32" s="234"/>
      <c r="H32" s="234"/>
      <c r="I32" s="234"/>
      <c r="J32" s="234"/>
      <c r="K32" s="234"/>
      <c r="L32" s="234" t="s">
        <v>363</v>
      </c>
    </row>
    <row r="33" spans="1:12" ht="14.4" thickBot="1" x14ac:dyDescent="0.3">
      <c r="A33" s="235" t="s">
        <v>374</v>
      </c>
      <c r="B33" s="250">
        <v>0</v>
      </c>
      <c r="C33" s="250">
        <v>0</v>
      </c>
      <c r="D33" s="250">
        <v>0</v>
      </c>
      <c r="E33" s="217"/>
      <c r="F33" s="217"/>
      <c r="G33" s="217"/>
      <c r="H33" s="217"/>
      <c r="I33" s="217"/>
      <c r="J33" s="217"/>
      <c r="K33" s="217"/>
      <c r="L33" s="238"/>
    </row>
    <row r="34" spans="1:12" ht="14.4" thickBot="1" x14ac:dyDescent="0.3">
      <c r="A34" s="235" t="s">
        <v>416</v>
      </c>
      <c r="B34" s="246">
        <f>J18</f>
        <v>0.50471407931907764</v>
      </c>
      <c r="C34" s="246">
        <f>J25</f>
        <v>4.2281584332662998</v>
      </c>
      <c r="D34" s="249">
        <f>B34-C34</f>
        <v>-3.7234443539472224</v>
      </c>
      <c r="E34" s="217"/>
      <c r="F34" s="217"/>
      <c r="G34" s="217"/>
      <c r="H34" s="217"/>
      <c r="I34" s="217"/>
      <c r="J34" s="217"/>
      <c r="K34" s="217"/>
      <c r="L34" s="238"/>
    </row>
    <row r="35" spans="1:12" ht="14.4" thickBot="1" x14ac:dyDescent="0.3">
      <c r="A35" s="235" t="s">
        <v>417</v>
      </c>
      <c r="B35" s="246">
        <f>K19</f>
        <v>7.5795419296780091</v>
      </c>
      <c r="C35" s="246">
        <f>J26</f>
        <v>0</v>
      </c>
      <c r="D35" s="249">
        <f>B35-C35</f>
        <v>7.5795419296780091</v>
      </c>
      <c r="E35" s="217"/>
      <c r="F35" s="217"/>
      <c r="G35" s="217"/>
      <c r="H35" s="217"/>
      <c r="I35" s="217"/>
      <c r="J35" s="217"/>
      <c r="K35" s="217"/>
      <c r="L35" s="238"/>
    </row>
    <row r="36" spans="1:12" x14ac:dyDescent="0.25">
      <c r="A36" s="235" t="s">
        <v>418</v>
      </c>
      <c r="B36" s="250">
        <v>0</v>
      </c>
      <c r="C36" s="250">
        <v>0</v>
      </c>
      <c r="D36" s="250">
        <v>0</v>
      </c>
      <c r="E36" s="217"/>
      <c r="F36" s="217"/>
      <c r="G36" s="217"/>
      <c r="H36" s="217"/>
      <c r="I36" s="217"/>
      <c r="J36" s="217"/>
      <c r="K36" s="217"/>
      <c r="L36" s="238"/>
    </row>
    <row r="37" spans="1:12" x14ac:dyDescent="0.25">
      <c r="A37" s="235" t="s">
        <v>419</v>
      </c>
      <c r="B37" s="250">
        <v>0</v>
      </c>
      <c r="C37" s="250">
        <v>0</v>
      </c>
      <c r="D37" s="250">
        <v>0</v>
      </c>
      <c r="E37" s="217"/>
      <c r="F37" s="241">
        <f>D35+D34</f>
        <v>3.8560975757307867</v>
      </c>
      <c r="G37" s="217"/>
      <c r="H37" s="217"/>
      <c r="I37" s="217"/>
      <c r="J37" s="217"/>
      <c r="K37" s="217"/>
      <c r="L37" s="238"/>
    </row>
    <row r="38" spans="1:12" x14ac:dyDescent="0.25">
      <c r="A38" s="290" t="s">
        <v>446</v>
      </c>
      <c r="B38" s="255"/>
      <c r="C38" s="255"/>
      <c r="D38" s="255"/>
      <c r="E38" s="255"/>
      <c r="F38" s="255"/>
      <c r="G38" s="255"/>
      <c r="H38" s="255"/>
      <c r="I38" s="255"/>
      <c r="J38" s="255"/>
      <c r="K38" s="255"/>
      <c r="L38" s="255"/>
    </row>
    <row r="39" spans="1:12" ht="14.4" thickBot="1" x14ac:dyDescent="0.3"/>
    <row r="40" spans="1:12" ht="14.4" thickBot="1" x14ac:dyDescent="0.3">
      <c r="A40" s="289" t="s">
        <v>444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</row>
    <row r="41" spans="1:12" x14ac:dyDescent="0.25">
      <c r="A41" s="284" t="s">
        <v>420</v>
      </c>
      <c r="B41" s="255"/>
      <c r="C41" s="255"/>
      <c r="D41" s="255"/>
      <c r="E41" s="255"/>
      <c r="F41" s="255"/>
      <c r="G41" s="255"/>
      <c r="H41" s="255"/>
      <c r="I41" s="255"/>
      <c r="J41" s="255"/>
      <c r="K41" s="255"/>
      <c r="L41" s="255"/>
    </row>
    <row r="42" spans="1:12" ht="26.4" x14ac:dyDescent="0.25">
      <c r="A42" s="235" t="s">
        <v>393</v>
      </c>
      <c r="B42" s="252">
        <f>Part1_Quest12!C15</f>
        <v>3014200753.470695</v>
      </c>
      <c r="C42" s="217"/>
      <c r="D42" s="217"/>
      <c r="E42" s="217"/>
      <c r="F42" s="217"/>
      <c r="G42" s="217"/>
      <c r="H42" s="217"/>
      <c r="I42" s="217"/>
      <c r="J42" s="217"/>
      <c r="K42" s="217"/>
      <c r="L42" s="238"/>
    </row>
    <row r="43" spans="1:12" ht="39.6" x14ac:dyDescent="0.25">
      <c r="A43" s="235" t="s">
        <v>422</v>
      </c>
      <c r="B43" s="246">
        <f>D34</f>
        <v>-3.7234443539472224</v>
      </c>
      <c r="C43" s="217"/>
      <c r="D43" s="217"/>
      <c r="E43" s="217"/>
      <c r="F43" s="217"/>
      <c r="G43" s="217"/>
      <c r="H43" s="217"/>
      <c r="I43" s="217"/>
      <c r="J43" s="217"/>
      <c r="K43" s="217"/>
      <c r="L43" s="238" t="s">
        <v>423</v>
      </c>
    </row>
    <row r="44" spans="1:12" ht="52.95" customHeight="1" x14ac:dyDescent="0.25">
      <c r="A44" s="235" t="s">
        <v>424</v>
      </c>
      <c r="B44" s="236">
        <f>-B42/B43</f>
        <v>809519484.36542141</v>
      </c>
      <c r="C44" s="217"/>
      <c r="D44" s="217"/>
      <c r="E44" s="217"/>
      <c r="F44" s="217"/>
      <c r="G44" s="217"/>
      <c r="H44" s="217"/>
      <c r="I44" s="217"/>
      <c r="J44" s="217"/>
      <c r="K44" s="217"/>
      <c r="L44" s="238"/>
    </row>
    <row r="45" spans="1:12" ht="27.45" customHeight="1" x14ac:dyDescent="0.25">
      <c r="A45" s="235"/>
      <c r="B45" s="236"/>
      <c r="C45" s="217"/>
      <c r="D45" s="217"/>
      <c r="E45" s="217"/>
      <c r="F45" s="217"/>
      <c r="G45" s="217"/>
      <c r="H45" s="217"/>
      <c r="I45" s="217"/>
      <c r="J45" s="217"/>
      <c r="K45" s="217"/>
      <c r="L45" s="238" t="s">
        <v>384</v>
      </c>
    </row>
    <row r="46" spans="1:12" ht="52.5" customHeight="1" x14ac:dyDescent="0.25">
      <c r="A46" s="235" t="s">
        <v>394</v>
      </c>
      <c r="B46" s="243" t="s">
        <v>447</v>
      </c>
      <c r="C46" s="217"/>
      <c r="D46" s="217"/>
      <c r="E46" s="217"/>
      <c r="F46" s="217"/>
      <c r="G46" s="217"/>
      <c r="H46" s="217"/>
      <c r="I46" s="217"/>
      <c r="J46" s="217"/>
      <c r="K46" s="217"/>
      <c r="L46" s="238" t="s">
        <v>425</v>
      </c>
    </row>
    <row r="47" spans="1:12" x14ac:dyDescent="0.25">
      <c r="A47" s="257" t="s">
        <v>448</v>
      </c>
      <c r="B47" s="255"/>
      <c r="C47" s="255"/>
      <c r="D47" s="255"/>
      <c r="E47" s="255"/>
      <c r="F47" s="255"/>
      <c r="G47" s="255"/>
      <c r="H47" s="255"/>
      <c r="I47" s="255"/>
      <c r="J47" s="255"/>
      <c r="K47" s="255"/>
      <c r="L47" s="255"/>
    </row>
    <row r="48" spans="1:12" ht="14.4" thickBot="1" x14ac:dyDescent="0.3"/>
    <row r="49" spans="1:12" ht="14.4" thickBot="1" x14ac:dyDescent="0.3">
      <c r="A49" s="289" t="s">
        <v>445</v>
      </c>
      <c r="B49" s="255"/>
      <c r="C49" s="255"/>
      <c r="D49" s="255"/>
      <c r="E49" s="255"/>
      <c r="F49" s="255"/>
      <c r="G49" s="255"/>
      <c r="H49" s="255"/>
      <c r="I49" s="255"/>
      <c r="J49" s="255"/>
      <c r="K49" s="255"/>
      <c r="L49" s="255"/>
    </row>
    <row r="50" spans="1:12" x14ac:dyDescent="0.25">
      <c r="A50" s="293"/>
      <c r="B50" s="255"/>
      <c r="C50" s="255"/>
      <c r="D50" s="255"/>
      <c r="E50" s="255"/>
      <c r="F50" s="255"/>
      <c r="G50" s="255"/>
      <c r="H50" s="255"/>
      <c r="I50" s="255"/>
      <c r="J50" s="255"/>
      <c r="K50" s="255"/>
      <c r="L50" s="255"/>
    </row>
    <row r="51" spans="1:12" ht="26.4" x14ac:dyDescent="0.25">
      <c r="A51" s="235" t="s">
        <v>395</v>
      </c>
      <c r="B51" s="242">
        <f>Part1_Quest12!E15</f>
        <v>-2580807159.1887145</v>
      </c>
      <c r="C51" s="217"/>
      <c r="D51" s="217"/>
      <c r="E51" s="217"/>
      <c r="F51" s="217"/>
      <c r="G51" s="217"/>
      <c r="H51" s="217"/>
      <c r="I51" s="217"/>
      <c r="J51" s="217"/>
      <c r="K51" s="217"/>
      <c r="L51" s="238" t="s">
        <v>421</v>
      </c>
    </row>
    <row r="52" spans="1:12" ht="26.4" x14ac:dyDescent="0.25">
      <c r="A52" s="235" t="s">
        <v>396</v>
      </c>
      <c r="B52" s="253">
        <v>0</v>
      </c>
      <c r="C52" s="217"/>
      <c r="D52" s="217"/>
      <c r="E52" s="217"/>
      <c r="F52" s="217"/>
      <c r="G52" s="217"/>
      <c r="H52" s="217"/>
      <c r="I52" s="217"/>
      <c r="J52" s="217"/>
      <c r="K52" s="217"/>
      <c r="L52" s="238"/>
    </row>
    <row r="53" spans="1:12" ht="26.4" x14ac:dyDescent="0.25">
      <c r="A53" s="235" t="s">
        <v>426</v>
      </c>
      <c r="B53" s="253" t="s">
        <v>427</v>
      </c>
      <c r="C53" s="217"/>
      <c r="D53" s="217"/>
      <c r="E53" s="217"/>
      <c r="F53" s="217"/>
      <c r="G53" s="217"/>
      <c r="H53" s="217"/>
      <c r="I53" s="217"/>
      <c r="J53" s="217"/>
      <c r="K53" s="217"/>
      <c r="L53" s="238" t="s">
        <v>428</v>
      </c>
    </row>
    <row r="54" spans="1:12" x14ac:dyDescent="0.25">
      <c r="A54" s="235" t="s">
        <v>429</v>
      </c>
      <c r="B54" s="253" t="s">
        <v>430</v>
      </c>
      <c r="C54" s="217"/>
      <c r="D54" s="217"/>
      <c r="E54" s="217"/>
      <c r="F54" s="217"/>
      <c r="G54" s="217"/>
      <c r="H54" s="217"/>
      <c r="I54" s="217"/>
      <c r="J54" s="217"/>
      <c r="K54" s="217"/>
      <c r="L54" s="238" t="s">
        <v>431</v>
      </c>
    </row>
    <row r="55" spans="1:12" x14ac:dyDescent="0.25">
      <c r="A55" s="235"/>
      <c r="B55" s="292"/>
      <c r="C55" s="255"/>
      <c r="D55" s="255"/>
      <c r="E55" s="255"/>
      <c r="F55" s="255"/>
      <c r="G55" s="255"/>
      <c r="H55" s="255"/>
      <c r="I55" s="255"/>
      <c r="J55" s="255"/>
      <c r="K55" s="255"/>
      <c r="L55" s="224"/>
    </row>
    <row r="56" spans="1:12" x14ac:dyDescent="0.25">
      <c r="B56" s="255"/>
      <c r="C56" s="255"/>
      <c r="D56" s="255"/>
      <c r="E56" s="255"/>
      <c r="F56" s="255"/>
      <c r="G56" s="255"/>
      <c r="H56" s="255"/>
      <c r="I56" s="255"/>
      <c r="J56" s="255"/>
      <c r="K56" s="255"/>
      <c r="L56" s="224"/>
    </row>
    <row r="57" spans="1:12" x14ac:dyDescent="0.25">
      <c r="B57" s="255"/>
      <c r="C57" s="255"/>
      <c r="D57" s="255"/>
      <c r="E57" s="255"/>
      <c r="F57" s="255"/>
      <c r="G57" s="255"/>
      <c r="H57" s="255"/>
      <c r="I57" s="255"/>
      <c r="J57" s="255"/>
      <c r="K57" s="255"/>
      <c r="L57" s="224"/>
    </row>
    <row r="58" spans="1:12" x14ac:dyDescent="0.25">
      <c r="A58" s="290" t="s">
        <v>449</v>
      </c>
      <c r="B58" s="255"/>
      <c r="C58" s="255"/>
      <c r="D58" s="255"/>
      <c r="E58" s="255"/>
      <c r="F58" s="255"/>
      <c r="G58" s="255"/>
      <c r="H58" s="255"/>
      <c r="I58" s="255"/>
      <c r="J58" s="255"/>
      <c r="K58" s="255"/>
      <c r="L58" s="255"/>
    </row>
    <row r="59" spans="1:12" ht="14.4" thickBot="1" x14ac:dyDescent="0.3"/>
    <row r="60" spans="1:12" ht="14.4" thickBot="1" x14ac:dyDescent="0.3">
      <c r="A60" s="289" t="s">
        <v>432</v>
      </c>
      <c r="B60" s="255"/>
      <c r="C60" s="255"/>
      <c r="D60" s="255"/>
      <c r="E60" s="255"/>
      <c r="F60" s="255"/>
      <c r="G60" s="255"/>
      <c r="H60" s="255"/>
      <c r="I60" s="255"/>
      <c r="J60" s="255"/>
      <c r="K60" s="255"/>
      <c r="L60" s="255"/>
    </row>
    <row r="61" spans="1:12" x14ac:dyDescent="0.25">
      <c r="A61" s="234"/>
      <c r="B61" s="234" t="s">
        <v>433</v>
      </c>
      <c r="C61" s="234" t="s">
        <v>434</v>
      </c>
      <c r="D61" s="234" t="s">
        <v>435</v>
      </c>
      <c r="E61" s="234" t="s">
        <v>148</v>
      </c>
      <c r="F61" s="234"/>
      <c r="G61" s="234"/>
      <c r="H61" s="234"/>
      <c r="I61" s="234"/>
      <c r="J61" s="234"/>
      <c r="K61" s="234"/>
      <c r="L61" s="234" t="s">
        <v>363</v>
      </c>
    </row>
    <row r="62" spans="1:12" x14ac:dyDescent="0.25">
      <c r="A62" s="237" t="s">
        <v>436</v>
      </c>
      <c r="B62" s="236">
        <f>B42</f>
        <v>3014200753.470695</v>
      </c>
      <c r="C62" s="236">
        <f>B43</f>
        <v>-3.7234443539472224</v>
      </c>
      <c r="D62" s="236">
        <f>B44</f>
        <v>809519484.36542141</v>
      </c>
      <c r="E62" s="236" t="str">
        <f>B46</f>
        <v xml:space="preserve">PAYER </v>
      </c>
      <c r="F62" s="217"/>
      <c r="G62" s="217"/>
      <c r="H62" s="217"/>
      <c r="I62" s="217"/>
      <c r="J62" s="217"/>
      <c r="K62" s="217"/>
      <c r="L62" s="217"/>
    </row>
    <row r="63" spans="1:12" x14ac:dyDescent="0.25">
      <c r="A63" s="237" t="s">
        <v>437</v>
      </c>
      <c r="B63" s="253" t="s">
        <v>438</v>
      </c>
      <c r="C63" s="253" t="s">
        <v>438</v>
      </c>
      <c r="D63" s="253" t="s">
        <v>438</v>
      </c>
      <c r="E63" s="253" t="s">
        <v>438</v>
      </c>
      <c r="F63" s="217"/>
      <c r="G63" s="217"/>
      <c r="H63" s="217"/>
      <c r="I63" s="217"/>
      <c r="J63" s="217"/>
      <c r="K63" s="217"/>
      <c r="L63" s="217"/>
    </row>
    <row r="65" spans="1:12" x14ac:dyDescent="0.25">
      <c r="A65" s="291"/>
      <c r="B65" s="255"/>
      <c r="C65" s="255"/>
      <c r="D65" s="255"/>
      <c r="E65" s="255"/>
      <c r="F65" s="255"/>
      <c r="G65" s="255"/>
      <c r="H65" s="255"/>
      <c r="I65" s="255"/>
      <c r="J65" s="255"/>
      <c r="K65" s="255"/>
      <c r="L65" s="255"/>
    </row>
  </sheetData>
  <mergeCells count="20">
    <mergeCell ref="A22:L22"/>
    <mergeCell ref="A20:L20"/>
    <mergeCell ref="A38:L38"/>
    <mergeCell ref="A31:L31"/>
    <mergeCell ref="A1:L1"/>
    <mergeCell ref="A6:L6"/>
    <mergeCell ref="A3:L3"/>
    <mergeCell ref="A2:L2"/>
    <mergeCell ref="A5:L5"/>
    <mergeCell ref="A23:L23"/>
    <mergeCell ref="A65:L65"/>
    <mergeCell ref="A58:L58"/>
    <mergeCell ref="A40:L40"/>
    <mergeCell ref="A30:L30"/>
    <mergeCell ref="A60:L60"/>
    <mergeCell ref="A49:L49"/>
    <mergeCell ref="A41:L41"/>
    <mergeCell ref="B55:K57"/>
    <mergeCell ref="A50:L50"/>
    <mergeCell ref="A47:L4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Assets</vt:lpstr>
      <vt:lpstr>Insurance Portfolio</vt:lpstr>
      <vt:lpstr>Interest Rates</vt:lpstr>
      <vt:lpstr>Part1_Quest2_3_4</vt:lpstr>
      <vt:lpstr>Part1_Quest5</vt:lpstr>
      <vt:lpstr>Part1_Quest6_7</vt:lpstr>
      <vt:lpstr>Part1_Quest8</vt:lpstr>
      <vt:lpstr>Part1_Quest10</vt:lpstr>
      <vt:lpstr>Part1_Quest11</vt:lpstr>
      <vt:lpstr>Part1_Quest12</vt:lpstr>
      <vt:lpstr>Part1_Quest13</vt:lpstr>
      <vt:lpstr>Quest14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Barbarin</dc:creator>
  <cp:lastModifiedBy>Davy Kamga Bopda</cp:lastModifiedBy>
  <cp:revision>1</cp:revision>
  <dcterms:created xsi:type="dcterms:W3CDTF">2017-03-26T07:54:14Z</dcterms:created>
  <dcterms:modified xsi:type="dcterms:W3CDTF">2026-06-11T11:54:43Z</dcterms:modified>
</cp:coreProperties>
</file>